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la\Desktop\SDLEP 2026\STRIDE\DASHBOARD\"/>
    </mc:Choice>
  </mc:AlternateContent>
  <xr:revisionPtr revIDLastSave="0" documentId="8_{CA8F9CFA-AEB2-4C8B-9FD3-626AF08800DD}" xr6:coauthVersionLast="47" xr6:coauthVersionMax="47" xr10:uidLastSave="{00000000-0000-0000-0000-000000000000}"/>
  <bookViews>
    <workbookView xWindow="-108" yWindow="-108" windowWidth="23256" windowHeight="12456" xr2:uid="{F0B9A290-8994-44EB-9FDA-5D0701450A11}"/>
  </bookViews>
  <sheets>
    <sheet name="Feuil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1880" i="1" l="1"/>
  <c r="AT1880" i="1"/>
  <c r="AR1880" i="1"/>
  <c r="AS1880" i="1" s="1"/>
  <c r="AU1879" i="1"/>
  <c r="AT1879" i="1"/>
  <c r="AS1879" i="1"/>
  <c r="AR1879" i="1"/>
  <c r="AU1878" i="1"/>
  <c r="AT1878" i="1"/>
  <c r="AR1878" i="1"/>
  <c r="AS1878" i="1" s="1"/>
  <c r="AU1877" i="1"/>
  <c r="AT1877" i="1"/>
  <c r="AR1877" i="1"/>
  <c r="AS1877" i="1" s="1"/>
  <c r="AU1876" i="1"/>
  <c r="AT1876" i="1"/>
  <c r="AR1876" i="1"/>
  <c r="AS1876" i="1" s="1"/>
  <c r="AU1875" i="1"/>
  <c r="AT1875" i="1"/>
  <c r="AR1875" i="1"/>
  <c r="AS1875" i="1" s="1"/>
  <c r="AU1874" i="1"/>
  <c r="AT1874" i="1"/>
  <c r="AR1874" i="1"/>
  <c r="AS1874" i="1" s="1"/>
  <c r="AU1873" i="1"/>
  <c r="AT1873" i="1"/>
  <c r="AR1873" i="1"/>
  <c r="AS1873" i="1" s="1"/>
  <c r="AU1872" i="1"/>
  <c r="AT1872" i="1"/>
  <c r="AR1872" i="1"/>
  <c r="AS1872" i="1" s="1"/>
  <c r="AU1871" i="1"/>
  <c r="AT1871" i="1"/>
  <c r="AR1871" i="1"/>
  <c r="AS1871" i="1" s="1"/>
  <c r="AU1870" i="1"/>
  <c r="AT1870" i="1"/>
  <c r="AR1870" i="1"/>
  <c r="AS1870" i="1" s="1"/>
  <c r="AU1869" i="1"/>
  <c r="AT1869" i="1"/>
  <c r="AR1869" i="1"/>
  <c r="AS1869" i="1" s="1"/>
  <c r="AU1868" i="1"/>
  <c r="AT1868" i="1"/>
  <c r="AR1868" i="1"/>
  <c r="AS1868" i="1" s="1"/>
  <c r="AU1867" i="1"/>
  <c r="AT1867" i="1"/>
  <c r="AS1867" i="1"/>
  <c r="AR1867" i="1"/>
  <c r="AU1866" i="1"/>
  <c r="AT1866" i="1"/>
  <c r="AR1866" i="1"/>
  <c r="AS1866" i="1" s="1"/>
  <c r="AU1865" i="1"/>
  <c r="AT1865" i="1"/>
  <c r="AR1865" i="1"/>
  <c r="AS1865" i="1" s="1"/>
  <c r="AU1864" i="1"/>
  <c r="AT1864" i="1"/>
  <c r="AR1864" i="1"/>
  <c r="AS1864" i="1" s="1"/>
  <c r="AU1863" i="1"/>
  <c r="AT1863" i="1"/>
  <c r="AR1863" i="1"/>
  <c r="AS1863" i="1" s="1"/>
  <c r="AU1862" i="1"/>
  <c r="AT1862" i="1"/>
  <c r="AR1862" i="1"/>
  <c r="AS1862" i="1" s="1"/>
  <c r="AU1861" i="1"/>
  <c r="AT1861" i="1"/>
  <c r="AS1861" i="1"/>
  <c r="AR1861" i="1"/>
  <c r="AU1860" i="1"/>
  <c r="AT1860" i="1"/>
  <c r="AR1860" i="1"/>
  <c r="AS1860" i="1" s="1"/>
  <c r="AU1859" i="1"/>
  <c r="AT1859" i="1"/>
  <c r="AR1859" i="1"/>
  <c r="AS1859" i="1" s="1"/>
  <c r="AU1858" i="1"/>
  <c r="AT1858" i="1"/>
  <c r="AR1858" i="1"/>
  <c r="AS1858" i="1" s="1"/>
  <c r="AU1857" i="1"/>
  <c r="AT1857" i="1"/>
  <c r="AR1857" i="1"/>
  <c r="AS1857" i="1" s="1"/>
  <c r="AU1856" i="1"/>
  <c r="AT1856" i="1"/>
  <c r="AR1856" i="1"/>
  <c r="AS1856" i="1" s="1"/>
  <c r="AU1855" i="1"/>
  <c r="AT1855" i="1"/>
  <c r="AR1855" i="1"/>
  <c r="AS1855" i="1" s="1"/>
  <c r="AU1854" i="1"/>
  <c r="AT1854" i="1"/>
  <c r="AR1854" i="1"/>
  <c r="AS1854" i="1" s="1"/>
  <c r="AU1853" i="1"/>
  <c r="AT1853" i="1"/>
  <c r="AR1853" i="1"/>
  <c r="AS1853" i="1" s="1"/>
  <c r="AU1852" i="1"/>
  <c r="AT1852" i="1"/>
  <c r="AR1852" i="1"/>
  <c r="AS1852" i="1" s="1"/>
  <c r="AU1851" i="1"/>
  <c r="AT1851" i="1"/>
  <c r="AR1851" i="1"/>
  <c r="AS1851" i="1" s="1"/>
  <c r="AU1850" i="1"/>
  <c r="AT1850" i="1"/>
  <c r="AR1850" i="1"/>
  <c r="AS1850" i="1" s="1"/>
  <c r="AU1849" i="1"/>
  <c r="AT1849" i="1"/>
  <c r="AS1849" i="1"/>
  <c r="AR1849" i="1"/>
  <c r="AU1848" i="1"/>
  <c r="AT1848" i="1"/>
  <c r="AR1848" i="1"/>
  <c r="AS1848" i="1" s="1"/>
  <c r="AU1847" i="1"/>
  <c r="AT1847" i="1"/>
  <c r="AR1847" i="1"/>
  <c r="AS1847" i="1" s="1"/>
  <c r="AU1846" i="1"/>
  <c r="AT1846" i="1"/>
  <c r="AR1846" i="1"/>
  <c r="AS1846" i="1" s="1"/>
  <c r="AU1845" i="1"/>
  <c r="AT1845" i="1"/>
  <c r="AR1845" i="1"/>
  <c r="AS1845" i="1" s="1"/>
  <c r="AU1844" i="1"/>
  <c r="AT1844" i="1"/>
  <c r="AR1844" i="1"/>
  <c r="AS1844" i="1" s="1"/>
  <c r="AU1843" i="1"/>
  <c r="AT1843" i="1"/>
  <c r="AS1843" i="1"/>
  <c r="AR1843" i="1"/>
  <c r="AU1842" i="1"/>
  <c r="AT1842" i="1"/>
  <c r="AR1842" i="1"/>
  <c r="AS1842" i="1" s="1"/>
  <c r="AU1841" i="1"/>
  <c r="AT1841" i="1"/>
  <c r="AR1841" i="1"/>
  <c r="AS1841" i="1" s="1"/>
  <c r="AU1840" i="1"/>
  <c r="AT1840" i="1"/>
  <c r="AR1840" i="1"/>
  <c r="AS1840" i="1" s="1"/>
  <c r="AU1839" i="1"/>
  <c r="AT1839" i="1"/>
  <c r="AR1839" i="1"/>
  <c r="AS1839" i="1" s="1"/>
  <c r="AU1838" i="1"/>
  <c r="AT1838" i="1"/>
  <c r="AR1838" i="1"/>
  <c r="AS1838" i="1" s="1"/>
  <c r="AU1837" i="1"/>
  <c r="AT1837" i="1"/>
  <c r="AR1837" i="1"/>
  <c r="AS1837" i="1" s="1"/>
  <c r="AU1836" i="1"/>
  <c r="AT1836" i="1"/>
  <c r="AR1836" i="1"/>
  <c r="AS1836" i="1" s="1"/>
  <c r="AU1835" i="1"/>
  <c r="AT1835" i="1"/>
  <c r="AR1835" i="1"/>
  <c r="AS1835" i="1" s="1"/>
  <c r="AU1834" i="1"/>
  <c r="AT1834" i="1"/>
  <c r="AR1834" i="1"/>
  <c r="AS1834" i="1" s="1"/>
  <c r="AU1833" i="1"/>
  <c r="AT1833" i="1"/>
  <c r="AR1833" i="1"/>
  <c r="AS1833" i="1" s="1"/>
  <c r="AU1832" i="1"/>
  <c r="AT1832" i="1"/>
  <c r="AR1832" i="1"/>
  <c r="AS1832" i="1" s="1"/>
  <c r="AU1831" i="1"/>
  <c r="AT1831" i="1"/>
  <c r="AS1831" i="1"/>
  <c r="AR1831" i="1"/>
  <c r="AU1830" i="1"/>
  <c r="AT1830" i="1"/>
  <c r="AR1830" i="1"/>
  <c r="AS1830" i="1" s="1"/>
  <c r="AU1829" i="1"/>
  <c r="AT1829" i="1"/>
  <c r="AR1829" i="1"/>
  <c r="AS1829" i="1" s="1"/>
  <c r="AU1828" i="1"/>
  <c r="AT1828" i="1"/>
  <c r="AR1828" i="1"/>
  <c r="AS1828" i="1" s="1"/>
  <c r="AU1827" i="1"/>
  <c r="AT1827" i="1"/>
  <c r="AR1827" i="1"/>
  <c r="AS1827" i="1" s="1"/>
  <c r="AU1826" i="1"/>
  <c r="AT1826" i="1"/>
  <c r="AR1826" i="1"/>
  <c r="AS1826" i="1" s="1"/>
  <c r="AU1825" i="1"/>
  <c r="AT1825" i="1"/>
  <c r="AS1825" i="1"/>
  <c r="AR1825" i="1"/>
  <c r="AU1824" i="1"/>
  <c r="AT1824" i="1"/>
  <c r="AR1824" i="1"/>
  <c r="AS1824" i="1" s="1"/>
  <c r="AU1823" i="1"/>
  <c r="AT1823" i="1"/>
  <c r="AR1823" i="1"/>
  <c r="AS1823" i="1" s="1"/>
  <c r="AU1822" i="1"/>
  <c r="AT1822" i="1"/>
  <c r="AR1822" i="1"/>
  <c r="AS1822" i="1" s="1"/>
  <c r="AU1821" i="1"/>
  <c r="AT1821" i="1"/>
  <c r="AR1821" i="1"/>
  <c r="AS1821" i="1" s="1"/>
  <c r="AU1820" i="1"/>
  <c r="AT1820" i="1"/>
  <c r="AR1820" i="1"/>
  <c r="AS1820" i="1" s="1"/>
  <c r="AU1819" i="1"/>
  <c r="AT1819" i="1"/>
  <c r="AR1819" i="1"/>
  <c r="AS1819" i="1" s="1"/>
  <c r="AU1818" i="1"/>
  <c r="AT1818" i="1"/>
  <c r="AR1818" i="1"/>
  <c r="AS1818" i="1" s="1"/>
  <c r="AU1817" i="1"/>
  <c r="AT1817" i="1"/>
  <c r="AR1817" i="1"/>
  <c r="AS1817" i="1" s="1"/>
  <c r="AU1816" i="1"/>
  <c r="AT1816" i="1"/>
  <c r="AR1816" i="1"/>
  <c r="AS1816" i="1" s="1"/>
  <c r="AU1815" i="1"/>
  <c r="AT1815" i="1"/>
  <c r="AR1815" i="1"/>
  <c r="AS1815" i="1" s="1"/>
  <c r="AU1814" i="1"/>
  <c r="AT1814" i="1"/>
  <c r="AR1814" i="1"/>
  <c r="AS1814" i="1" s="1"/>
  <c r="AU1813" i="1"/>
  <c r="AT1813" i="1"/>
  <c r="AR1813" i="1"/>
  <c r="AS1813" i="1" s="1"/>
  <c r="AU1812" i="1"/>
  <c r="AT1812" i="1"/>
  <c r="AR1812" i="1"/>
  <c r="AS1812" i="1" s="1"/>
  <c r="AU1811" i="1"/>
  <c r="AT1811" i="1"/>
  <c r="AR1811" i="1"/>
  <c r="AS1811" i="1" s="1"/>
  <c r="AU1810" i="1"/>
  <c r="AT1810" i="1"/>
  <c r="AR1810" i="1"/>
  <c r="AS1810" i="1" s="1"/>
  <c r="AU1809" i="1"/>
  <c r="AT1809" i="1"/>
  <c r="AR1809" i="1"/>
  <c r="AS1809" i="1" s="1"/>
  <c r="AU1808" i="1"/>
  <c r="AT1808" i="1"/>
  <c r="AR1808" i="1"/>
  <c r="AS1808" i="1" s="1"/>
  <c r="AU1807" i="1"/>
  <c r="AT1807" i="1"/>
  <c r="AR1807" i="1"/>
  <c r="AS1807" i="1" s="1"/>
  <c r="AU1806" i="1"/>
  <c r="AT1806" i="1"/>
  <c r="AR1806" i="1"/>
  <c r="AS1806" i="1" s="1"/>
  <c r="AU1805" i="1"/>
  <c r="AT1805" i="1"/>
  <c r="AR1805" i="1"/>
  <c r="AS1805" i="1" s="1"/>
  <c r="AU1804" i="1"/>
  <c r="AT1804" i="1"/>
  <c r="AR1804" i="1"/>
  <c r="AS1804" i="1" s="1"/>
  <c r="AU1803" i="1"/>
  <c r="AT1803" i="1"/>
  <c r="AR1803" i="1"/>
  <c r="AS1803" i="1" s="1"/>
  <c r="AU1802" i="1"/>
  <c r="AT1802" i="1"/>
  <c r="AR1802" i="1"/>
  <c r="AS1802" i="1" s="1"/>
  <c r="AU1801" i="1"/>
  <c r="AT1801" i="1"/>
  <c r="AR1801" i="1"/>
  <c r="AS1801" i="1" s="1"/>
  <c r="AU1800" i="1"/>
  <c r="AT1800" i="1"/>
  <c r="AR1800" i="1"/>
  <c r="AS1800" i="1" s="1"/>
  <c r="AU1799" i="1"/>
  <c r="AT1799" i="1"/>
  <c r="AR1799" i="1"/>
  <c r="AS1799" i="1" s="1"/>
  <c r="AU1798" i="1"/>
  <c r="AT1798" i="1"/>
  <c r="AR1798" i="1"/>
  <c r="AS1798" i="1" s="1"/>
  <c r="AU1797" i="1"/>
  <c r="AT1797" i="1"/>
  <c r="AR1797" i="1"/>
  <c r="AS1797" i="1" s="1"/>
  <c r="AU1796" i="1"/>
  <c r="AT1796" i="1"/>
  <c r="AR1796" i="1"/>
  <c r="AS1796" i="1" s="1"/>
  <c r="AU1795" i="1"/>
  <c r="AT1795" i="1"/>
  <c r="AR1795" i="1"/>
  <c r="AS1795" i="1" s="1"/>
  <c r="AU1794" i="1"/>
  <c r="AT1794" i="1"/>
  <c r="AR1794" i="1"/>
  <c r="AS1794" i="1" s="1"/>
  <c r="AU1793" i="1"/>
  <c r="AT1793" i="1"/>
  <c r="AR1793" i="1"/>
  <c r="AS1793" i="1" s="1"/>
  <c r="AU1792" i="1"/>
  <c r="AT1792" i="1"/>
  <c r="AR1792" i="1"/>
  <c r="AS1792" i="1" s="1"/>
  <c r="AU1791" i="1"/>
  <c r="AT1791" i="1"/>
  <c r="AR1791" i="1"/>
  <c r="AS1791" i="1" s="1"/>
  <c r="AU1790" i="1"/>
  <c r="AT1790" i="1"/>
  <c r="AR1790" i="1"/>
  <c r="AS1790" i="1" s="1"/>
  <c r="AU1789" i="1"/>
  <c r="AT1789" i="1"/>
  <c r="AR1789" i="1"/>
  <c r="AS1789" i="1" s="1"/>
  <c r="AU1788" i="1"/>
  <c r="AT1788" i="1"/>
  <c r="AR1788" i="1"/>
  <c r="AS1788" i="1" s="1"/>
  <c r="AU1787" i="1"/>
  <c r="AT1787" i="1"/>
  <c r="AR1787" i="1"/>
  <c r="AS1787" i="1" s="1"/>
  <c r="AU1786" i="1"/>
  <c r="AT1786" i="1"/>
  <c r="AR1786" i="1"/>
  <c r="AS1786" i="1" s="1"/>
  <c r="AU1785" i="1"/>
  <c r="AT1785" i="1"/>
  <c r="AR1785" i="1"/>
  <c r="AS1785" i="1" s="1"/>
  <c r="AU1784" i="1"/>
  <c r="AT1784" i="1"/>
  <c r="AR1784" i="1"/>
  <c r="AS1784" i="1" s="1"/>
  <c r="AU1783" i="1"/>
  <c r="AT1783" i="1"/>
  <c r="AR1783" i="1"/>
  <c r="AS1783" i="1" s="1"/>
  <c r="AU1782" i="1"/>
  <c r="AT1782" i="1"/>
  <c r="AR1782" i="1"/>
  <c r="AS1782" i="1" s="1"/>
  <c r="AU1781" i="1"/>
  <c r="AT1781" i="1"/>
  <c r="AR1781" i="1"/>
  <c r="AS1781" i="1" s="1"/>
  <c r="AU1780" i="1"/>
  <c r="AT1780" i="1"/>
  <c r="AR1780" i="1"/>
  <c r="AS1780" i="1" s="1"/>
  <c r="AU1779" i="1"/>
  <c r="AT1779" i="1"/>
  <c r="AR1779" i="1"/>
  <c r="AS1779" i="1" s="1"/>
  <c r="AU1778" i="1"/>
  <c r="AT1778" i="1"/>
  <c r="AR1778" i="1"/>
  <c r="AS1778" i="1" s="1"/>
  <c r="AU1777" i="1"/>
  <c r="AT1777" i="1"/>
  <c r="AR1777" i="1"/>
  <c r="AS1777" i="1" s="1"/>
  <c r="AU1776" i="1"/>
  <c r="AT1776" i="1"/>
  <c r="AR1776" i="1"/>
  <c r="AS1776" i="1" s="1"/>
  <c r="AU1775" i="1"/>
  <c r="AT1775" i="1"/>
  <c r="AR1775" i="1"/>
  <c r="AS1775" i="1" s="1"/>
  <c r="AU1774" i="1"/>
  <c r="AT1774" i="1"/>
  <c r="AR1774" i="1"/>
  <c r="AS1774" i="1" s="1"/>
  <c r="AU1773" i="1"/>
  <c r="AT1773" i="1"/>
  <c r="AR1773" i="1"/>
  <c r="AS1773" i="1" s="1"/>
  <c r="AU1772" i="1"/>
  <c r="AT1772" i="1"/>
  <c r="AR1772" i="1"/>
  <c r="AS1772" i="1" s="1"/>
  <c r="AU1771" i="1"/>
  <c r="AT1771" i="1"/>
  <c r="AR1771" i="1"/>
  <c r="AS1771" i="1" s="1"/>
  <c r="AU1770" i="1"/>
  <c r="AT1770" i="1"/>
  <c r="AR1770" i="1"/>
  <c r="AS1770" i="1" s="1"/>
  <c r="AU1769" i="1"/>
  <c r="AT1769" i="1"/>
  <c r="AR1769" i="1"/>
  <c r="AS1769" i="1" s="1"/>
  <c r="AU1768" i="1"/>
  <c r="AT1768" i="1"/>
  <c r="AR1768" i="1"/>
  <c r="AS1768" i="1" s="1"/>
  <c r="AU1767" i="1"/>
  <c r="AT1767" i="1"/>
  <c r="AR1767" i="1"/>
  <c r="AS1767" i="1" s="1"/>
  <c r="AU1766" i="1"/>
  <c r="AT1766" i="1"/>
  <c r="AR1766" i="1"/>
  <c r="AS1766" i="1" s="1"/>
  <c r="AU1765" i="1"/>
  <c r="AT1765" i="1"/>
  <c r="AR1765" i="1"/>
  <c r="AS1765" i="1" s="1"/>
  <c r="AU1764" i="1"/>
  <c r="AT1764" i="1"/>
  <c r="AR1764" i="1"/>
  <c r="AS1764" i="1" s="1"/>
  <c r="AU1763" i="1"/>
  <c r="AT1763" i="1"/>
  <c r="AR1763" i="1"/>
  <c r="AS1763" i="1" s="1"/>
  <c r="AU1762" i="1"/>
  <c r="AT1762" i="1"/>
  <c r="AR1762" i="1"/>
  <c r="AS1762" i="1" s="1"/>
  <c r="AU1761" i="1"/>
  <c r="AT1761" i="1"/>
  <c r="AR1761" i="1"/>
  <c r="AS1761" i="1" s="1"/>
  <c r="AU1760" i="1"/>
  <c r="AT1760" i="1"/>
  <c r="AR1760" i="1"/>
  <c r="AS1760" i="1" s="1"/>
  <c r="AU1759" i="1"/>
  <c r="AT1759" i="1"/>
  <c r="AR1759" i="1"/>
  <c r="AS1759" i="1" s="1"/>
  <c r="AU1758" i="1"/>
  <c r="AT1758" i="1"/>
  <c r="AR1758" i="1"/>
  <c r="AS1758" i="1" s="1"/>
  <c r="AU1757" i="1"/>
  <c r="AT1757" i="1"/>
  <c r="AR1757" i="1"/>
  <c r="AS1757" i="1" s="1"/>
  <c r="AU1756" i="1"/>
  <c r="AT1756" i="1"/>
  <c r="AR1756" i="1"/>
  <c r="AS1756" i="1" s="1"/>
  <c r="AU1755" i="1"/>
  <c r="AT1755" i="1"/>
  <c r="AR1755" i="1"/>
  <c r="AS1755" i="1" s="1"/>
  <c r="AU1754" i="1"/>
  <c r="AT1754" i="1"/>
  <c r="AR1754" i="1"/>
  <c r="AS1754" i="1" s="1"/>
  <c r="AU1753" i="1"/>
  <c r="AT1753" i="1"/>
  <c r="AR1753" i="1"/>
  <c r="AS1753" i="1" s="1"/>
  <c r="AU1752" i="1"/>
  <c r="AT1752" i="1"/>
  <c r="AR1752" i="1"/>
  <c r="AS1752" i="1" s="1"/>
  <c r="AU1751" i="1"/>
  <c r="AT1751" i="1"/>
  <c r="AR1751" i="1"/>
  <c r="AS1751" i="1" s="1"/>
  <c r="AU1750" i="1"/>
  <c r="AT1750" i="1"/>
  <c r="AS1750" i="1"/>
  <c r="AR1750" i="1"/>
  <c r="AU1749" i="1"/>
  <c r="AT1749" i="1"/>
  <c r="AS1749" i="1"/>
  <c r="AR1749" i="1"/>
  <c r="AU1748" i="1"/>
  <c r="AT1748" i="1"/>
  <c r="AR1748" i="1"/>
  <c r="AS1748" i="1" s="1"/>
  <c r="AU1747" i="1"/>
  <c r="AT1747" i="1"/>
  <c r="AR1747" i="1"/>
  <c r="AS1747" i="1" s="1"/>
  <c r="AU1746" i="1"/>
  <c r="AT1746" i="1"/>
  <c r="AR1746" i="1"/>
  <c r="AS1746" i="1" s="1"/>
  <c r="AU1745" i="1"/>
  <c r="AT1745" i="1"/>
  <c r="AR1745" i="1"/>
  <c r="AS1745" i="1" s="1"/>
  <c r="AU1744" i="1"/>
  <c r="AT1744" i="1"/>
  <c r="AS1744" i="1"/>
  <c r="AR1744" i="1"/>
  <c r="AU1743" i="1"/>
  <c r="AT1743" i="1"/>
  <c r="AS1743" i="1"/>
  <c r="AR1743" i="1"/>
  <c r="AU1742" i="1"/>
  <c r="AT1742" i="1"/>
  <c r="AR1742" i="1"/>
  <c r="AS1742" i="1" s="1"/>
  <c r="AU1741" i="1"/>
  <c r="AT1741" i="1"/>
  <c r="AR1741" i="1"/>
  <c r="AS1741" i="1" s="1"/>
  <c r="AU1740" i="1"/>
  <c r="AT1740" i="1"/>
  <c r="AR1740" i="1"/>
  <c r="AS1740" i="1" s="1"/>
  <c r="AU1739" i="1"/>
  <c r="AT1739" i="1"/>
  <c r="AR1739" i="1"/>
  <c r="AS1739" i="1" s="1"/>
  <c r="AU1738" i="1"/>
  <c r="AT1738" i="1"/>
  <c r="AS1738" i="1"/>
  <c r="AR1738" i="1"/>
  <c r="AU1737" i="1"/>
  <c r="AT1737" i="1"/>
  <c r="AS1737" i="1"/>
  <c r="AR1737" i="1"/>
  <c r="AU1736" i="1"/>
  <c r="AT1736" i="1"/>
  <c r="AR1736" i="1"/>
  <c r="AS1736" i="1" s="1"/>
  <c r="AU1735" i="1"/>
  <c r="AT1735" i="1"/>
  <c r="AR1735" i="1"/>
  <c r="AS1735" i="1" s="1"/>
  <c r="AU1734" i="1"/>
  <c r="AT1734" i="1"/>
  <c r="AR1734" i="1"/>
  <c r="AS1734" i="1" s="1"/>
  <c r="AU1733" i="1"/>
  <c r="AT1733" i="1"/>
  <c r="AR1733" i="1"/>
  <c r="AS1733" i="1" s="1"/>
  <c r="AU1732" i="1"/>
  <c r="AT1732" i="1"/>
  <c r="AS1732" i="1"/>
  <c r="AR1732" i="1"/>
  <c r="AU1731" i="1"/>
  <c r="AT1731" i="1"/>
  <c r="AS1731" i="1"/>
  <c r="AR1731" i="1"/>
  <c r="AU1730" i="1"/>
  <c r="AT1730" i="1"/>
  <c r="AR1730" i="1"/>
  <c r="AS1730" i="1" s="1"/>
  <c r="AU1729" i="1"/>
  <c r="AT1729" i="1"/>
  <c r="AR1729" i="1"/>
  <c r="AS1729" i="1" s="1"/>
  <c r="AU1728" i="1"/>
  <c r="AT1728" i="1"/>
  <c r="AR1728" i="1"/>
  <c r="AS1728" i="1" s="1"/>
  <c r="AU1727" i="1"/>
  <c r="AT1727" i="1"/>
  <c r="AR1727" i="1"/>
  <c r="AS1727" i="1" s="1"/>
  <c r="AU1726" i="1"/>
  <c r="AT1726" i="1"/>
  <c r="AS1726" i="1"/>
  <c r="AR1726" i="1"/>
  <c r="AU1725" i="1"/>
  <c r="AT1725" i="1"/>
  <c r="AS1725" i="1"/>
  <c r="AR1725" i="1"/>
  <c r="AU1724" i="1"/>
  <c r="AT1724" i="1"/>
  <c r="AR1724" i="1"/>
  <c r="AS1724" i="1" s="1"/>
  <c r="AU1723" i="1"/>
  <c r="AT1723" i="1"/>
  <c r="AR1723" i="1"/>
  <c r="AS1723" i="1" s="1"/>
  <c r="AU1722" i="1"/>
  <c r="AT1722" i="1"/>
  <c r="AR1722" i="1"/>
  <c r="AS1722" i="1" s="1"/>
  <c r="AU1721" i="1"/>
  <c r="AT1721" i="1"/>
  <c r="AR1721" i="1"/>
  <c r="AS1721" i="1" s="1"/>
  <c r="AU1720" i="1"/>
  <c r="AT1720" i="1"/>
  <c r="AS1720" i="1"/>
  <c r="AR1720" i="1"/>
  <c r="AU1719" i="1"/>
  <c r="AT1719" i="1"/>
  <c r="AS1719" i="1"/>
  <c r="AR1719" i="1"/>
  <c r="AU1718" i="1"/>
  <c r="AT1718" i="1"/>
  <c r="AR1718" i="1"/>
  <c r="AS1718" i="1" s="1"/>
  <c r="AU1717" i="1"/>
  <c r="AT1717" i="1"/>
  <c r="AR1717" i="1"/>
  <c r="AS1717" i="1" s="1"/>
  <c r="AU1716" i="1"/>
  <c r="AT1716" i="1"/>
  <c r="AR1716" i="1"/>
  <c r="AS1716" i="1" s="1"/>
  <c r="AU1715" i="1"/>
  <c r="AT1715" i="1"/>
  <c r="AR1715" i="1"/>
  <c r="AS1715" i="1" s="1"/>
  <c r="AU1714" i="1"/>
  <c r="AT1714" i="1"/>
  <c r="AS1714" i="1"/>
  <c r="AR1714" i="1"/>
  <c r="AU1713" i="1"/>
  <c r="AT1713" i="1"/>
  <c r="AS1713" i="1"/>
  <c r="AR1713" i="1"/>
  <c r="AU1712" i="1"/>
  <c r="AT1712" i="1"/>
  <c r="AR1712" i="1"/>
  <c r="AS1712" i="1" s="1"/>
  <c r="AU1711" i="1"/>
  <c r="AT1711" i="1"/>
  <c r="AR1711" i="1"/>
  <c r="AS1711" i="1" s="1"/>
  <c r="AU1710" i="1"/>
  <c r="AT1710" i="1"/>
  <c r="AR1710" i="1"/>
  <c r="AS1710" i="1" s="1"/>
  <c r="AU1709" i="1"/>
  <c r="AT1709" i="1"/>
  <c r="AR1709" i="1"/>
  <c r="AS1709" i="1" s="1"/>
  <c r="AU1708" i="1"/>
  <c r="AT1708" i="1"/>
  <c r="AS1708" i="1"/>
  <c r="AR1708" i="1"/>
  <c r="AU1707" i="1"/>
  <c r="AT1707" i="1"/>
  <c r="AS1707" i="1"/>
  <c r="AR1707" i="1"/>
  <c r="AU1706" i="1"/>
  <c r="AT1706" i="1"/>
  <c r="AR1706" i="1"/>
  <c r="AS1706" i="1" s="1"/>
  <c r="AU1705" i="1"/>
  <c r="AT1705" i="1"/>
  <c r="AR1705" i="1"/>
  <c r="AS1705" i="1" s="1"/>
  <c r="AU1704" i="1"/>
  <c r="AT1704" i="1"/>
  <c r="AR1704" i="1"/>
  <c r="AS1704" i="1" s="1"/>
  <c r="AU1703" i="1"/>
  <c r="AT1703" i="1"/>
  <c r="AR1703" i="1"/>
  <c r="AS1703" i="1" s="1"/>
  <c r="AU1702" i="1"/>
  <c r="AT1702" i="1"/>
  <c r="AS1702" i="1"/>
  <c r="AR1702" i="1"/>
  <c r="AU1701" i="1"/>
  <c r="AT1701" i="1"/>
  <c r="AS1701" i="1"/>
  <c r="AR1701" i="1"/>
  <c r="AU1700" i="1"/>
  <c r="AT1700" i="1"/>
  <c r="AR1700" i="1"/>
  <c r="AS1700" i="1" s="1"/>
  <c r="AU1699" i="1"/>
  <c r="AT1699" i="1"/>
  <c r="AR1699" i="1"/>
  <c r="AS1699" i="1" s="1"/>
  <c r="AU1698" i="1"/>
  <c r="AT1698" i="1"/>
  <c r="AR1698" i="1"/>
  <c r="AS1698" i="1" s="1"/>
  <c r="AU1697" i="1"/>
  <c r="AT1697" i="1"/>
  <c r="AR1697" i="1"/>
  <c r="AS1697" i="1" s="1"/>
  <c r="AU1696" i="1"/>
  <c r="AT1696" i="1"/>
  <c r="AS1696" i="1"/>
  <c r="AR1696" i="1"/>
  <c r="AU1695" i="1"/>
  <c r="AT1695" i="1"/>
  <c r="AS1695" i="1"/>
  <c r="AR1695" i="1"/>
  <c r="AU1694" i="1"/>
  <c r="AT1694" i="1"/>
  <c r="AR1694" i="1"/>
  <c r="AS1694" i="1" s="1"/>
  <c r="AU1693" i="1"/>
  <c r="AT1693" i="1"/>
  <c r="AR1693" i="1"/>
  <c r="AS1693" i="1" s="1"/>
  <c r="AU1692" i="1"/>
  <c r="AT1692" i="1"/>
  <c r="AR1692" i="1"/>
  <c r="AS1692" i="1" s="1"/>
  <c r="AU1691" i="1"/>
  <c r="AT1691" i="1"/>
  <c r="AR1691" i="1"/>
  <c r="AS1691" i="1" s="1"/>
  <c r="AU1690" i="1"/>
  <c r="AT1690" i="1"/>
  <c r="AS1690" i="1"/>
  <c r="AR1690" i="1"/>
  <c r="AU1689" i="1"/>
  <c r="AT1689" i="1"/>
  <c r="AS1689" i="1"/>
  <c r="AR1689" i="1"/>
  <c r="AU1688" i="1"/>
  <c r="AT1688" i="1"/>
  <c r="AR1688" i="1"/>
  <c r="AS1688" i="1" s="1"/>
  <c r="AU1687" i="1"/>
  <c r="AT1687" i="1"/>
  <c r="AR1687" i="1"/>
  <c r="AS1687" i="1" s="1"/>
  <c r="AU1686" i="1"/>
  <c r="AT1686" i="1"/>
  <c r="AR1686" i="1"/>
  <c r="AS1686" i="1" s="1"/>
  <c r="AU1685" i="1"/>
  <c r="AT1685" i="1"/>
  <c r="AR1685" i="1"/>
  <c r="AS1685" i="1" s="1"/>
  <c r="AU1684" i="1"/>
  <c r="AT1684" i="1"/>
  <c r="AR1684" i="1"/>
  <c r="AS1684" i="1" s="1"/>
  <c r="AU1683" i="1"/>
  <c r="AT1683" i="1"/>
  <c r="AS1683" i="1"/>
  <c r="AR1683" i="1"/>
  <c r="AU1682" i="1"/>
  <c r="AT1682" i="1"/>
  <c r="AR1682" i="1"/>
  <c r="AS1682" i="1" s="1"/>
  <c r="AU1681" i="1"/>
  <c r="AT1681" i="1"/>
  <c r="AR1681" i="1"/>
  <c r="AS1681" i="1" s="1"/>
  <c r="AU1680" i="1"/>
  <c r="AT1680" i="1"/>
  <c r="AR1680" i="1"/>
  <c r="AS1680" i="1" s="1"/>
  <c r="AU1679" i="1"/>
  <c r="AT1679" i="1"/>
  <c r="AR1679" i="1"/>
  <c r="AS1679" i="1" s="1"/>
  <c r="AU1678" i="1"/>
  <c r="AT1678" i="1"/>
  <c r="AS1678" i="1"/>
  <c r="AR1678" i="1"/>
  <c r="AU1677" i="1"/>
  <c r="AT1677" i="1"/>
  <c r="AS1677" i="1"/>
  <c r="AR1677" i="1"/>
  <c r="AU1676" i="1"/>
  <c r="AT1676" i="1"/>
  <c r="AR1676" i="1"/>
  <c r="AS1676" i="1" s="1"/>
  <c r="AU1675" i="1"/>
  <c r="AT1675" i="1"/>
  <c r="AS1675" i="1"/>
  <c r="AR1675" i="1"/>
  <c r="AU1674" i="1"/>
  <c r="AT1674" i="1"/>
  <c r="AR1674" i="1"/>
  <c r="AS1674" i="1" s="1"/>
  <c r="AU1673" i="1"/>
  <c r="AT1673" i="1"/>
  <c r="AR1673" i="1"/>
  <c r="AS1673" i="1" s="1"/>
  <c r="AU1672" i="1"/>
  <c r="AT1672" i="1"/>
  <c r="AS1672" i="1"/>
  <c r="AR1672" i="1"/>
  <c r="AU1671" i="1"/>
  <c r="AT1671" i="1"/>
  <c r="AR1671" i="1"/>
  <c r="AS1671" i="1" s="1"/>
  <c r="AU1670" i="1"/>
  <c r="AT1670" i="1"/>
  <c r="AR1670" i="1"/>
  <c r="AS1670" i="1" s="1"/>
  <c r="AU1669" i="1"/>
  <c r="AT1669" i="1"/>
  <c r="AS1669" i="1"/>
  <c r="AR1669" i="1"/>
  <c r="AU1668" i="1"/>
  <c r="AT1668" i="1"/>
  <c r="AR1668" i="1"/>
  <c r="AS1668" i="1" s="1"/>
  <c r="AU1667" i="1"/>
  <c r="AT1667" i="1"/>
  <c r="AR1667" i="1"/>
  <c r="AS1667" i="1" s="1"/>
  <c r="AU1666" i="1"/>
  <c r="AT1666" i="1"/>
  <c r="AS1666" i="1"/>
  <c r="AR1666" i="1"/>
  <c r="AU1665" i="1"/>
  <c r="AT1665" i="1"/>
  <c r="AS1665" i="1"/>
  <c r="AR1665" i="1"/>
  <c r="AU1664" i="1"/>
  <c r="AT1664" i="1"/>
  <c r="AR1664" i="1"/>
  <c r="AS1664" i="1" s="1"/>
  <c r="AU1663" i="1"/>
  <c r="AT1663" i="1"/>
  <c r="AR1663" i="1"/>
  <c r="AS1663" i="1" s="1"/>
  <c r="AU1662" i="1"/>
  <c r="AT1662" i="1"/>
  <c r="AR1662" i="1"/>
  <c r="AS1662" i="1" s="1"/>
  <c r="AU1661" i="1"/>
  <c r="AT1661" i="1"/>
  <c r="AR1661" i="1"/>
  <c r="AS1661" i="1" s="1"/>
  <c r="AU1660" i="1"/>
  <c r="AT1660" i="1"/>
  <c r="AS1660" i="1"/>
  <c r="AR1660" i="1"/>
  <c r="AU1659" i="1"/>
  <c r="AT1659" i="1"/>
  <c r="AS1659" i="1"/>
  <c r="AR1659" i="1"/>
  <c r="AU1658" i="1"/>
  <c r="AT1658" i="1"/>
  <c r="AR1658" i="1"/>
  <c r="AS1658" i="1" s="1"/>
  <c r="AU1657" i="1"/>
  <c r="AT1657" i="1"/>
  <c r="AR1657" i="1"/>
  <c r="AS1657" i="1" s="1"/>
  <c r="AU1656" i="1"/>
  <c r="AT1656" i="1"/>
  <c r="AR1656" i="1"/>
  <c r="AS1656" i="1" s="1"/>
  <c r="AU1655" i="1"/>
  <c r="AT1655" i="1"/>
  <c r="AR1655" i="1"/>
  <c r="AS1655" i="1" s="1"/>
  <c r="AU1654" i="1"/>
  <c r="AT1654" i="1"/>
  <c r="AS1654" i="1"/>
  <c r="AR1654" i="1"/>
  <c r="AU1653" i="1"/>
  <c r="AT1653" i="1"/>
  <c r="AS1653" i="1"/>
  <c r="AR1653" i="1"/>
  <c r="AU1652" i="1"/>
  <c r="AT1652" i="1"/>
  <c r="AR1652" i="1"/>
  <c r="AS1652" i="1" s="1"/>
  <c r="AU1651" i="1"/>
  <c r="AT1651" i="1"/>
  <c r="AR1651" i="1"/>
  <c r="AS1651" i="1" s="1"/>
  <c r="AU1650" i="1"/>
  <c r="AT1650" i="1"/>
  <c r="AS1650" i="1"/>
  <c r="AR1650" i="1"/>
  <c r="AU1649" i="1"/>
  <c r="AT1649" i="1"/>
  <c r="AR1649" i="1"/>
  <c r="AS1649" i="1" s="1"/>
  <c r="AU1648" i="1"/>
  <c r="AT1648" i="1"/>
  <c r="AR1648" i="1"/>
  <c r="AS1648" i="1" s="1"/>
  <c r="AU1647" i="1"/>
  <c r="AT1647" i="1"/>
  <c r="AS1647" i="1"/>
  <c r="AR1647" i="1"/>
  <c r="AU1646" i="1"/>
  <c r="AT1646" i="1"/>
  <c r="AR1646" i="1"/>
  <c r="AS1646" i="1" s="1"/>
  <c r="AU1645" i="1"/>
  <c r="AT1645" i="1"/>
  <c r="AS1645" i="1"/>
  <c r="AR1645" i="1"/>
  <c r="AU1644" i="1"/>
  <c r="AT1644" i="1"/>
  <c r="AR1644" i="1"/>
  <c r="AS1644" i="1" s="1"/>
  <c r="AU1643" i="1"/>
  <c r="AT1643" i="1"/>
  <c r="AR1643" i="1"/>
  <c r="AS1643" i="1" s="1"/>
  <c r="AU1642" i="1"/>
  <c r="AT1642" i="1"/>
  <c r="AS1642" i="1"/>
  <c r="AR1642" i="1"/>
  <c r="AU1641" i="1"/>
  <c r="AT1641" i="1"/>
  <c r="AS1641" i="1"/>
  <c r="AR1641" i="1"/>
  <c r="AU1640" i="1"/>
  <c r="AT1640" i="1"/>
  <c r="AR1640" i="1"/>
  <c r="AS1640" i="1" s="1"/>
  <c r="AU1639" i="1"/>
  <c r="AT1639" i="1"/>
  <c r="AR1639" i="1"/>
  <c r="AS1639" i="1" s="1"/>
  <c r="AU1638" i="1"/>
  <c r="AT1638" i="1"/>
  <c r="AR1638" i="1"/>
  <c r="AS1638" i="1" s="1"/>
  <c r="AU1637" i="1"/>
  <c r="AT1637" i="1"/>
  <c r="AR1637" i="1"/>
  <c r="AS1637" i="1" s="1"/>
  <c r="AU1636" i="1"/>
  <c r="AT1636" i="1"/>
  <c r="AR1636" i="1"/>
  <c r="AS1636" i="1" s="1"/>
  <c r="AU1635" i="1"/>
  <c r="AT1635" i="1"/>
  <c r="AR1635" i="1"/>
  <c r="AS1635" i="1" s="1"/>
  <c r="AU1634" i="1"/>
  <c r="AT1634" i="1"/>
  <c r="AR1634" i="1"/>
  <c r="AS1634" i="1" s="1"/>
  <c r="AU1633" i="1"/>
  <c r="AT1633" i="1"/>
  <c r="AR1633" i="1"/>
  <c r="AS1633" i="1" s="1"/>
  <c r="AU1632" i="1"/>
  <c r="AT1632" i="1"/>
  <c r="AS1632" i="1"/>
  <c r="AR1632" i="1"/>
  <c r="AU1631" i="1"/>
  <c r="AT1631" i="1"/>
  <c r="AR1631" i="1"/>
  <c r="AS1631" i="1" s="1"/>
  <c r="AU1630" i="1"/>
  <c r="AT1630" i="1"/>
  <c r="AS1630" i="1"/>
  <c r="AR1630" i="1"/>
  <c r="AU1629" i="1"/>
  <c r="AT1629" i="1"/>
  <c r="AS1629" i="1"/>
  <c r="AR1629" i="1"/>
  <c r="AU1628" i="1"/>
  <c r="AT1628" i="1"/>
  <c r="AR1628" i="1"/>
  <c r="AS1628" i="1" s="1"/>
  <c r="AU1627" i="1"/>
  <c r="AT1627" i="1"/>
  <c r="AR1627" i="1"/>
  <c r="AS1627" i="1" s="1"/>
  <c r="AU1626" i="1"/>
  <c r="AT1626" i="1"/>
  <c r="AR1626" i="1"/>
  <c r="AS1626" i="1" s="1"/>
  <c r="AU1625" i="1"/>
  <c r="AT1625" i="1"/>
  <c r="AR1625" i="1"/>
  <c r="AS1625" i="1" s="1"/>
  <c r="AU1624" i="1"/>
  <c r="AT1624" i="1"/>
  <c r="AS1624" i="1"/>
  <c r="AR1624" i="1"/>
  <c r="AU1623" i="1"/>
  <c r="AT1623" i="1"/>
  <c r="AS1623" i="1"/>
  <c r="AR1623" i="1"/>
  <c r="AU1622" i="1"/>
  <c r="AT1622" i="1"/>
  <c r="AR1622" i="1"/>
  <c r="AS1622" i="1" s="1"/>
  <c r="AU1621" i="1"/>
  <c r="AT1621" i="1"/>
  <c r="AR1621" i="1"/>
  <c r="AS1621" i="1" s="1"/>
  <c r="AU1620" i="1"/>
  <c r="AT1620" i="1"/>
  <c r="AR1620" i="1"/>
  <c r="AS1620" i="1" s="1"/>
  <c r="AU1619" i="1"/>
  <c r="AT1619" i="1"/>
  <c r="AR1619" i="1"/>
  <c r="AS1619" i="1" s="1"/>
  <c r="AU1618" i="1"/>
  <c r="AT1618" i="1"/>
  <c r="AS1618" i="1"/>
  <c r="AR1618" i="1"/>
  <c r="AU1617" i="1"/>
  <c r="AT1617" i="1"/>
  <c r="AS1617" i="1"/>
  <c r="AR1617" i="1"/>
  <c r="AU1616" i="1"/>
  <c r="AT1616" i="1"/>
  <c r="AR1616" i="1"/>
  <c r="AS1616" i="1" s="1"/>
  <c r="AU1615" i="1"/>
  <c r="AT1615" i="1"/>
  <c r="AR1615" i="1"/>
  <c r="AS1615" i="1" s="1"/>
  <c r="AU1614" i="1"/>
  <c r="AT1614" i="1"/>
  <c r="AR1614" i="1"/>
  <c r="AS1614" i="1" s="1"/>
  <c r="AU1613" i="1"/>
  <c r="AT1613" i="1"/>
  <c r="AR1613" i="1"/>
  <c r="AS1613" i="1" s="1"/>
  <c r="AU1612" i="1"/>
  <c r="AT1612" i="1"/>
  <c r="AS1612" i="1"/>
  <c r="AR1612" i="1"/>
  <c r="AU1611" i="1"/>
  <c r="AT1611" i="1"/>
  <c r="AS1611" i="1"/>
  <c r="AR1611" i="1"/>
  <c r="AU1610" i="1"/>
  <c r="AT1610" i="1"/>
  <c r="AR1610" i="1"/>
  <c r="AS1610" i="1" s="1"/>
  <c r="AU1609" i="1"/>
  <c r="AT1609" i="1"/>
  <c r="AR1609" i="1"/>
  <c r="AS1609" i="1" s="1"/>
  <c r="AU1608" i="1"/>
  <c r="AT1608" i="1"/>
  <c r="AR1608" i="1"/>
  <c r="AS1608" i="1" s="1"/>
  <c r="AU1607" i="1"/>
  <c r="AT1607" i="1"/>
  <c r="AR1607" i="1"/>
  <c r="AS1607" i="1" s="1"/>
  <c r="AU1606" i="1"/>
  <c r="AT1606" i="1"/>
  <c r="AS1606" i="1"/>
  <c r="AR1606" i="1"/>
  <c r="AU1605" i="1"/>
  <c r="AT1605" i="1"/>
  <c r="AS1605" i="1"/>
  <c r="AR1605" i="1"/>
  <c r="AU1604" i="1"/>
  <c r="AT1604" i="1"/>
  <c r="AR1604" i="1"/>
  <c r="AS1604" i="1" s="1"/>
  <c r="AU1603" i="1"/>
  <c r="AT1603" i="1"/>
  <c r="AR1603" i="1"/>
  <c r="AS1603" i="1" s="1"/>
  <c r="AU1602" i="1"/>
  <c r="AT1602" i="1"/>
  <c r="AR1602" i="1"/>
  <c r="AS1602" i="1" s="1"/>
  <c r="AU1601" i="1"/>
  <c r="AT1601" i="1"/>
  <c r="AR1601" i="1"/>
  <c r="AS1601" i="1" s="1"/>
  <c r="AU1600" i="1"/>
  <c r="AT1600" i="1"/>
  <c r="AS1600" i="1"/>
  <c r="AR1600" i="1"/>
  <c r="AU1599" i="1"/>
  <c r="AT1599" i="1"/>
  <c r="AS1599" i="1"/>
  <c r="AR1599" i="1"/>
  <c r="AU1598" i="1"/>
  <c r="AT1598" i="1"/>
  <c r="AR1598" i="1"/>
  <c r="AS1598" i="1" s="1"/>
  <c r="AU1597" i="1"/>
  <c r="AT1597" i="1"/>
  <c r="AR1597" i="1"/>
  <c r="AS1597" i="1" s="1"/>
  <c r="AU1596" i="1"/>
  <c r="AT1596" i="1"/>
  <c r="AR1596" i="1"/>
  <c r="AS1596" i="1" s="1"/>
  <c r="AU1595" i="1"/>
  <c r="AT1595" i="1"/>
  <c r="AR1595" i="1"/>
  <c r="AS1595" i="1" s="1"/>
  <c r="AU1594" i="1"/>
  <c r="AT1594" i="1"/>
  <c r="AS1594" i="1"/>
  <c r="AR1594" i="1"/>
  <c r="AU1593" i="1"/>
  <c r="AT1593" i="1"/>
  <c r="AS1593" i="1"/>
  <c r="AR1593" i="1"/>
  <c r="AU1592" i="1"/>
  <c r="AT1592" i="1"/>
  <c r="AR1592" i="1"/>
  <c r="AS1592" i="1" s="1"/>
  <c r="AU1591" i="1"/>
  <c r="AT1591" i="1"/>
  <c r="AR1591" i="1"/>
  <c r="AS1591" i="1" s="1"/>
  <c r="AU1590" i="1"/>
  <c r="AT1590" i="1"/>
  <c r="AR1590" i="1"/>
  <c r="AS1590" i="1" s="1"/>
  <c r="AU1589" i="1"/>
  <c r="AT1589" i="1"/>
  <c r="AR1589" i="1"/>
  <c r="AS1589" i="1" s="1"/>
  <c r="AU1588" i="1"/>
  <c r="AT1588" i="1"/>
  <c r="AS1588" i="1"/>
  <c r="AR1588" i="1"/>
  <c r="AU1587" i="1"/>
  <c r="AT1587" i="1"/>
  <c r="AS1587" i="1"/>
  <c r="AR1587" i="1"/>
  <c r="AU1586" i="1"/>
  <c r="AT1586" i="1"/>
  <c r="AR1586" i="1"/>
  <c r="AS1586" i="1" s="1"/>
  <c r="AU1585" i="1"/>
  <c r="AT1585" i="1"/>
  <c r="AR1585" i="1"/>
  <c r="AS1585" i="1" s="1"/>
  <c r="AU1584" i="1"/>
  <c r="AT1584" i="1"/>
  <c r="AR1584" i="1"/>
  <c r="AS1584" i="1" s="1"/>
  <c r="AU1583" i="1"/>
  <c r="AT1583" i="1"/>
  <c r="AR1583" i="1"/>
  <c r="AS1583" i="1" s="1"/>
  <c r="AU1582" i="1"/>
  <c r="AT1582" i="1"/>
  <c r="AS1582" i="1"/>
  <c r="AR1582" i="1"/>
  <c r="AU1581" i="1"/>
  <c r="AT1581" i="1"/>
  <c r="AS1581" i="1"/>
  <c r="AR1581" i="1"/>
  <c r="AU1580" i="1"/>
  <c r="AT1580" i="1"/>
  <c r="AR1580" i="1"/>
  <c r="AS1580" i="1" s="1"/>
  <c r="AU1579" i="1"/>
  <c r="AT1579" i="1"/>
  <c r="AR1579" i="1"/>
  <c r="AS1579" i="1" s="1"/>
  <c r="AU1578" i="1"/>
  <c r="AT1578" i="1"/>
  <c r="AR1578" i="1"/>
  <c r="AS1578" i="1" s="1"/>
  <c r="AU1577" i="1"/>
  <c r="AT1577" i="1"/>
  <c r="AR1577" i="1"/>
  <c r="AS1577" i="1" s="1"/>
  <c r="AU1576" i="1"/>
  <c r="AT1576" i="1"/>
  <c r="AS1576" i="1"/>
  <c r="AR1576" i="1"/>
  <c r="AU1575" i="1"/>
  <c r="AT1575" i="1"/>
  <c r="AS1575" i="1"/>
  <c r="AR1575" i="1"/>
  <c r="AU1574" i="1"/>
  <c r="AT1574" i="1"/>
  <c r="AR1574" i="1"/>
  <c r="AS1574" i="1" s="1"/>
  <c r="AU1573" i="1"/>
  <c r="AT1573" i="1"/>
  <c r="AR1573" i="1"/>
  <c r="AS1573" i="1" s="1"/>
  <c r="AU1572" i="1"/>
  <c r="AT1572" i="1"/>
  <c r="AR1572" i="1"/>
  <c r="AS1572" i="1" s="1"/>
  <c r="AU1571" i="1"/>
  <c r="AT1571" i="1"/>
  <c r="AR1571" i="1"/>
  <c r="AS1571" i="1" s="1"/>
  <c r="AU1570" i="1"/>
  <c r="AT1570" i="1"/>
  <c r="AS1570" i="1"/>
  <c r="AR1570" i="1"/>
  <c r="AU1569" i="1"/>
  <c r="AT1569" i="1"/>
  <c r="AS1569" i="1"/>
  <c r="AR1569" i="1"/>
  <c r="AU1568" i="1"/>
  <c r="AT1568" i="1"/>
  <c r="AR1568" i="1"/>
  <c r="AS1568" i="1" s="1"/>
  <c r="AU1567" i="1"/>
  <c r="AT1567" i="1"/>
  <c r="AR1567" i="1"/>
  <c r="AS1567" i="1" s="1"/>
  <c r="AU1566" i="1"/>
  <c r="AT1566" i="1"/>
  <c r="AR1566" i="1"/>
  <c r="AS1566" i="1" s="1"/>
  <c r="AU1565" i="1"/>
  <c r="AT1565" i="1"/>
  <c r="AR1565" i="1"/>
  <c r="AS1565" i="1" s="1"/>
  <c r="AU1564" i="1"/>
  <c r="AT1564" i="1"/>
  <c r="AS1564" i="1"/>
  <c r="AR1564" i="1"/>
  <c r="AU1563" i="1"/>
  <c r="AT1563" i="1"/>
  <c r="AS1563" i="1"/>
  <c r="AR1563" i="1"/>
  <c r="AU1562" i="1"/>
  <c r="AT1562" i="1"/>
  <c r="AR1562" i="1"/>
  <c r="AS1562" i="1" s="1"/>
  <c r="AU1561" i="1"/>
  <c r="AT1561" i="1"/>
  <c r="AR1561" i="1"/>
  <c r="AS1561" i="1" s="1"/>
  <c r="AU1560" i="1"/>
  <c r="AT1560" i="1"/>
  <c r="AR1560" i="1"/>
  <c r="AS1560" i="1" s="1"/>
  <c r="AU1559" i="1"/>
  <c r="AT1559" i="1"/>
  <c r="AR1559" i="1"/>
  <c r="AS1559" i="1" s="1"/>
  <c r="AU1558" i="1"/>
  <c r="AT1558" i="1"/>
  <c r="AS1558" i="1"/>
  <c r="AR1558" i="1"/>
  <c r="AU1557" i="1"/>
  <c r="AT1557" i="1"/>
  <c r="AS1557" i="1"/>
  <c r="AR1557" i="1"/>
  <c r="AU1556" i="1"/>
  <c r="AT1556" i="1"/>
  <c r="AR1556" i="1"/>
  <c r="AS1556" i="1" s="1"/>
  <c r="AU1555" i="1"/>
  <c r="AT1555" i="1"/>
  <c r="AR1555" i="1"/>
  <c r="AS1555" i="1" s="1"/>
  <c r="AU1554" i="1"/>
  <c r="AT1554" i="1"/>
  <c r="AR1554" i="1"/>
  <c r="AS1554" i="1" s="1"/>
  <c r="AU1553" i="1"/>
  <c r="AT1553" i="1"/>
  <c r="AR1553" i="1"/>
  <c r="AS1553" i="1" s="1"/>
  <c r="AU1552" i="1"/>
  <c r="AT1552" i="1"/>
  <c r="AS1552" i="1"/>
  <c r="AR1552" i="1"/>
  <c r="AU1551" i="1"/>
  <c r="AT1551" i="1"/>
  <c r="AS1551" i="1"/>
  <c r="AR1551" i="1"/>
  <c r="AU1550" i="1"/>
  <c r="AT1550" i="1"/>
  <c r="AR1550" i="1"/>
  <c r="AS1550" i="1" s="1"/>
  <c r="AU1549" i="1"/>
  <c r="AT1549" i="1"/>
  <c r="AR1549" i="1"/>
  <c r="AS1549" i="1" s="1"/>
  <c r="AU1548" i="1"/>
  <c r="AT1548" i="1"/>
  <c r="AR1548" i="1"/>
  <c r="AS1548" i="1" s="1"/>
  <c r="AU1547" i="1"/>
  <c r="AT1547" i="1"/>
  <c r="AR1547" i="1"/>
  <c r="AS1547" i="1" s="1"/>
  <c r="AU1546" i="1"/>
  <c r="AT1546" i="1"/>
  <c r="AS1546" i="1"/>
  <c r="AR1546" i="1"/>
  <c r="AU1545" i="1"/>
  <c r="AT1545" i="1"/>
  <c r="AS1545" i="1"/>
  <c r="AR1545" i="1"/>
  <c r="AU1544" i="1"/>
  <c r="AT1544" i="1"/>
  <c r="AR1544" i="1"/>
  <c r="AS1544" i="1" s="1"/>
  <c r="AU1543" i="1"/>
  <c r="AT1543" i="1"/>
  <c r="AR1543" i="1"/>
  <c r="AS1543" i="1" s="1"/>
  <c r="AU1542" i="1"/>
  <c r="AT1542" i="1"/>
  <c r="AR1542" i="1"/>
  <c r="AS1542" i="1" s="1"/>
  <c r="AU1541" i="1"/>
  <c r="AT1541" i="1"/>
  <c r="AR1541" i="1"/>
  <c r="AS1541" i="1" s="1"/>
  <c r="AU1540" i="1"/>
  <c r="AT1540" i="1"/>
  <c r="AS1540" i="1"/>
  <c r="AR1540" i="1"/>
  <c r="AU1539" i="1"/>
  <c r="AT1539" i="1"/>
  <c r="AS1539" i="1"/>
  <c r="AR1539" i="1"/>
  <c r="AU1538" i="1"/>
  <c r="AT1538" i="1"/>
  <c r="AR1538" i="1"/>
  <c r="AS1538" i="1" s="1"/>
  <c r="AU1537" i="1"/>
  <c r="AT1537" i="1"/>
  <c r="AR1537" i="1"/>
  <c r="AS1537" i="1" s="1"/>
  <c r="AU1536" i="1"/>
  <c r="AT1536" i="1"/>
  <c r="AR1536" i="1"/>
  <c r="AS1536" i="1" s="1"/>
  <c r="AU1535" i="1"/>
  <c r="AT1535" i="1"/>
  <c r="AR1535" i="1"/>
  <c r="AS1535" i="1" s="1"/>
  <c r="AU1534" i="1"/>
  <c r="AT1534" i="1"/>
  <c r="AS1534" i="1"/>
  <c r="AR1534" i="1"/>
  <c r="AU1533" i="1"/>
  <c r="AT1533" i="1"/>
  <c r="AS1533" i="1"/>
  <c r="AR1533" i="1"/>
  <c r="AU1532" i="1"/>
  <c r="AT1532" i="1"/>
  <c r="AR1532" i="1"/>
  <c r="AS1532" i="1" s="1"/>
  <c r="AU1531" i="1"/>
  <c r="AT1531" i="1"/>
  <c r="AR1531" i="1"/>
  <c r="AS1531" i="1" s="1"/>
  <c r="AU1530" i="1"/>
  <c r="AT1530" i="1"/>
  <c r="AR1530" i="1"/>
  <c r="AS1530" i="1" s="1"/>
  <c r="AU1529" i="1"/>
  <c r="AT1529" i="1"/>
  <c r="AR1529" i="1"/>
  <c r="AS1529" i="1" s="1"/>
  <c r="AU1528" i="1"/>
  <c r="AT1528" i="1"/>
  <c r="AS1528" i="1"/>
  <c r="AR1528" i="1"/>
  <c r="AU1527" i="1"/>
  <c r="AT1527" i="1"/>
  <c r="AS1527" i="1"/>
  <c r="AR1527" i="1"/>
  <c r="AU1526" i="1"/>
  <c r="AT1526" i="1"/>
  <c r="AR1526" i="1"/>
  <c r="AS1526" i="1" s="1"/>
  <c r="AU1525" i="1"/>
  <c r="AT1525" i="1"/>
  <c r="AR1525" i="1"/>
  <c r="AS1525" i="1" s="1"/>
  <c r="AU1524" i="1"/>
  <c r="AT1524" i="1"/>
  <c r="AR1524" i="1"/>
  <c r="AS1524" i="1" s="1"/>
  <c r="AU1523" i="1"/>
  <c r="AT1523" i="1"/>
  <c r="AR1523" i="1"/>
  <c r="AS1523" i="1" s="1"/>
  <c r="AU1522" i="1"/>
  <c r="AT1522" i="1"/>
  <c r="AS1522" i="1"/>
  <c r="AR1522" i="1"/>
  <c r="AU1521" i="1"/>
  <c r="AT1521" i="1"/>
  <c r="AS1521" i="1"/>
  <c r="AR1521" i="1"/>
  <c r="AU1520" i="1"/>
  <c r="AT1520" i="1"/>
  <c r="AR1520" i="1"/>
  <c r="AS1520" i="1" s="1"/>
  <c r="AU1519" i="1"/>
  <c r="AT1519" i="1"/>
  <c r="AR1519" i="1"/>
  <c r="AS1519" i="1" s="1"/>
  <c r="AU1518" i="1"/>
  <c r="AT1518" i="1"/>
  <c r="AR1518" i="1"/>
  <c r="AS1518" i="1" s="1"/>
  <c r="AU1517" i="1"/>
  <c r="AT1517" i="1"/>
  <c r="AR1517" i="1"/>
  <c r="AS1517" i="1" s="1"/>
  <c r="AU1516" i="1"/>
  <c r="AT1516" i="1"/>
  <c r="AS1516" i="1"/>
  <c r="AR1516" i="1"/>
  <c r="AU1515" i="1"/>
  <c r="AT1515" i="1"/>
  <c r="AS1515" i="1"/>
  <c r="AR1515" i="1"/>
  <c r="AU1514" i="1"/>
  <c r="AT1514" i="1"/>
  <c r="AR1514" i="1"/>
  <c r="AS1514" i="1" s="1"/>
  <c r="AU1513" i="1"/>
  <c r="AT1513" i="1"/>
  <c r="AR1513" i="1"/>
  <c r="AS1513" i="1" s="1"/>
  <c r="AU1512" i="1"/>
  <c r="AT1512" i="1"/>
  <c r="AR1512" i="1"/>
  <c r="AS1512" i="1" s="1"/>
  <c r="AU1511" i="1"/>
  <c r="AT1511" i="1"/>
  <c r="AR1511" i="1"/>
  <c r="AS1511" i="1" s="1"/>
  <c r="AU1510" i="1"/>
  <c r="AT1510" i="1"/>
  <c r="AS1510" i="1"/>
  <c r="AR1510" i="1"/>
  <c r="AU1509" i="1"/>
  <c r="AT1509" i="1"/>
  <c r="AS1509" i="1"/>
  <c r="AR1509" i="1"/>
  <c r="AU1508" i="1"/>
  <c r="AT1508" i="1"/>
  <c r="AR1508" i="1"/>
  <c r="AS1508" i="1" s="1"/>
  <c r="AU1507" i="1"/>
  <c r="AT1507" i="1"/>
  <c r="AR1507" i="1"/>
  <c r="AS1507" i="1" s="1"/>
  <c r="AU1506" i="1"/>
  <c r="AT1506" i="1"/>
  <c r="AR1506" i="1"/>
  <c r="AS1506" i="1" s="1"/>
  <c r="AU1505" i="1"/>
  <c r="AT1505" i="1"/>
  <c r="AR1505" i="1"/>
  <c r="AS1505" i="1" s="1"/>
  <c r="AU1504" i="1"/>
  <c r="AT1504" i="1"/>
  <c r="AS1504" i="1"/>
  <c r="AR1504" i="1"/>
  <c r="AU1503" i="1"/>
  <c r="AT1503" i="1"/>
  <c r="AS1503" i="1"/>
  <c r="AR1503" i="1"/>
  <c r="AU1502" i="1"/>
  <c r="AT1502" i="1"/>
  <c r="AR1502" i="1"/>
  <c r="AS1502" i="1" s="1"/>
  <c r="AU1501" i="1"/>
  <c r="AT1501" i="1"/>
  <c r="AR1501" i="1"/>
  <c r="AS1501" i="1" s="1"/>
  <c r="AU1500" i="1"/>
  <c r="AT1500" i="1"/>
  <c r="AR1500" i="1"/>
  <c r="AS1500" i="1" s="1"/>
  <c r="AU1499" i="1"/>
  <c r="AT1499" i="1"/>
  <c r="AR1499" i="1"/>
  <c r="AS1499" i="1" s="1"/>
  <c r="AU1498" i="1"/>
  <c r="AT1498" i="1"/>
  <c r="AS1498" i="1"/>
  <c r="AR1498" i="1"/>
  <c r="AU1497" i="1"/>
  <c r="AT1497" i="1"/>
  <c r="AS1497" i="1"/>
  <c r="AR1497" i="1"/>
  <c r="AU1496" i="1"/>
  <c r="AT1496" i="1"/>
  <c r="AR1496" i="1"/>
  <c r="AS1496" i="1" s="1"/>
  <c r="AU1495" i="1"/>
  <c r="AT1495" i="1"/>
  <c r="AR1495" i="1"/>
  <c r="AS1495" i="1" s="1"/>
  <c r="AU1494" i="1"/>
  <c r="AT1494" i="1"/>
  <c r="AR1494" i="1"/>
  <c r="AS1494" i="1" s="1"/>
  <c r="AU1493" i="1"/>
  <c r="AT1493" i="1"/>
  <c r="AR1493" i="1"/>
  <c r="AS1493" i="1" s="1"/>
  <c r="AU1492" i="1"/>
  <c r="AT1492" i="1"/>
  <c r="AS1492" i="1"/>
  <c r="AR1492" i="1"/>
  <c r="AU1491" i="1"/>
  <c r="AT1491" i="1"/>
  <c r="AS1491" i="1"/>
  <c r="AR1491" i="1"/>
  <c r="AU1490" i="1"/>
  <c r="AT1490" i="1"/>
  <c r="AR1490" i="1"/>
  <c r="AS1490" i="1" s="1"/>
  <c r="AU1489" i="1"/>
  <c r="AT1489" i="1"/>
  <c r="AR1489" i="1"/>
  <c r="AS1489" i="1" s="1"/>
  <c r="AU1488" i="1"/>
  <c r="AT1488" i="1"/>
  <c r="AR1488" i="1"/>
  <c r="AS1488" i="1" s="1"/>
  <c r="AU1487" i="1"/>
  <c r="AT1487" i="1"/>
  <c r="AR1487" i="1"/>
  <c r="AS1487" i="1" s="1"/>
  <c r="AU1486" i="1"/>
  <c r="AT1486" i="1"/>
  <c r="AS1486" i="1"/>
  <c r="AR1486" i="1"/>
  <c r="AU1485" i="1"/>
  <c r="AT1485" i="1"/>
  <c r="AS1485" i="1"/>
  <c r="AR1485" i="1"/>
  <c r="AU1484" i="1"/>
  <c r="AT1484" i="1"/>
  <c r="AR1484" i="1"/>
  <c r="AS1484" i="1" s="1"/>
  <c r="AU1483" i="1"/>
  <c r="AT1483" i="1"/>
  <c r="AR1483" i="1"/>
  <c r="AS1483" i="1" s="1"/>
  <c r="AU1482" i="1"/>
  <c r="AT1482" i="1"/>
  <c r="AR1482" i="1"/>
  <c r="AS1482" i="1" s="1"/>
  <c r="AU1481" i="1"/>
  <c r="AT1481" i="1"/>
  <c r="AR1481" i="1"/>
  <c r="AS1481" i="1" s="1"/>
  <c r="AU1480" i="1"/>
  <c r="AT1480" i="1"/>
  <c r="AS1480" i="1"/>
  <c r="AR1480" i="1"/>
  <c r="AU1479" i="1"/>
  <c r="AT1479" i="1"/>
  <c r="AS1479" i="1"/>
  <c r="AR1479" i="1"/>
  <c r="AU1478" i="1"/>
  <c r="AT1478" i="1"/>
  <c r="AR1478" i="1"/>
  <c r="AS1478" i="1" s="1"/>
  <c r="AU1477" i="1"/>
  <c r="AT1477" i="1"/>
  <c r="AR1477" i="1"/>
  <c r="AS1477" i="1" s="1"/>
  <c r="AU1476" i="1"/>
  <c r="AT1476" i="1"/>
  <c r="AR1476" i="1"/>
  <c r="AS1476" i="1" s="1"/>
  <c r="AU1475" i="1"/>
  <c r="AT1475" i="1"/>
  <c r="AR1475" i="1"/>
  <c r="AS1475" i="1" s="1"/>
  <c r="AU1474" i="1"/>
  <c r="AT1474" i="1"/>
  <c r="AS1474" i="1"/>
  <c r="AR1474" i="1"/>
  <c r="AU1473" i="1"/>
  <c r="AT1473" i="1"/>
  <c r="AS1473" i="1"/>
  <c r="AR1473" i="1"/>
  <c r="AU1472" i="1"/>
  <c r="AT1472" i="1"/>
  <c r="AR1472" i="1"/>
  <c r="AS1472" i="1" s="1"/>
  <c r="AU1471" i="1"/>
  <c r="AT1471" i="1"/>
  <c r="AR1471" i="1"/>
  <c r="AS1471" i="1" s="1"/>
  <c r="AU1470" i="1"/>
  <c r="AT1470" i="1"/>
  <c r="AR1470" i="1"/>
  <c r="AS1470" i="1" s="1"/>
  <c r="AU1469" i="1"/>
  <c r="AT1469" i="1"/>
  <c r="AR1469" i="1"/>
  <c r="AS1469" i="1" s="1"/>
  <c r="AU1468" i="1"/>
  <c r="AT1468" i="1"/>
  <c r="AS1468" i="1"/>
  <c r="AR1468" i="1"/>
  <c r="AU1467" i="1"/>
  <c r="AT1467" i="1"/>
  <c r="AS1467" i="1"/>
  <c r="AR1467" i="1"/>
  <c r="AU1466" i="1"/>
  <c r="AT1466" i="1"/>
  <c r="AR1466" i="1"/>
  <c r="AS1466" i="1" s="1"/>
  <c r="AU1465" i="1"/>
  <c r="AT1465" i="1"/>
  <c r="AR1465" i="1"/>
  <c r="AS1465" i="1" s="1"/>
  <c r="AU1464" i="1"/>
  <c r="AT1464" i="1"/>
  <c r="AR1464" i="1"/>
  <c r="AS1464" i="1" s="1"/>
  <c r="AU1463" i="1"/>
  <c r="AT1463" i="1"/>
  <c r="AR1463" i="1"/>
  <c r="AS1463" i="1" s="1"/>
  <c r="AU1462" i="1"/>
  <c r="AT1462" i="1"/>
  <c r="AS1462" i="1"/>
  <c r="AR1462" i="1"/>
  <c r="AU1461" i="1"/>
  <c r="AT1461" i="1"/>
  <c r="AS1461" i="1"/>
  <c r="AR1461" i="1"/>
  <c r="AU1460" i="1"/>
  <c r="AT1460" i="1"/>
  <c r="AR1460" i="1"/>
  <c r="AS1460" i="1" s="1"/>
  <c r="AU1459" i="1"/>
  <c r="AT1459" i="1"/>
  <c r="AR1459" i="1"/>
  <c r="AS1459" i="1" s="1"/>
  <c r="AU1458" i="1"/>
  <c r="AT1458" i="1"/>
  <c r="AR1458" i="1"/>
  <c r="AS1458" i="1" s="1"/>
  <c r="AU1457" i="1"/>
  <c r="AT1457" i="1"/>
  <c r="AR1457" i="1"/>
  <c r="AS1457" i="1" s="1"/>
  <c r="AU1456" i="1"/>
  <c r="AT1456" i="1"/>
  <c r="AS1456" i="1"/>
  <c r="AR1456" i="1"/>
  <c r="AU1455" i="1"/>
  <c r="AT1455" i="1"/>
  <c r="AS1455" i="1"/>
  <c r="AR1455" i="1"/>
  <c r="AU1454" i="1"/>
  <c r="AT1454" i="1"/>
  <c r="AR1454" i="1"/>
  <c r="AS1454" i="1" s="1"/>
  <c r="AU1453" i="1"/>
  <c r="AT1453" i="1"/>
  <c r="AR1453" i="1"/>
  <c r="AS1453" i="1" s="1"/>
  <c r="AU1452" i="1"/>
  <c r="AT1452" i="1"/>
  <c r="AR1452" i="1"/>
  <c r="AS1452" i="1" s="1"/>
  <c r="AU1451" i="1"/>
  <c r="AT1451" i="1"/>
  <c r="AR1451" i="1"/>
  <c r="AS1451" i="1" s="1"/>
  <c r="AU1450" i="1"/>
  <c r="AT1450" i="1"/>
  <c r="AS1450" i="1"/>
  <c r="AR1450" i="1"/>
  <c r="AU1449" i="1"/>
  <c r="AT1449" i="1"/>
  <c r="AS1449" i="1"/>
  <c r="AR1449" i="1"/>
  <c r="AU1448" i="1"/>
  <c r="AT1448" i="1"/>
  <c r="AR1448" i="1"/>
  <c r="AS1448" i="1" s="1"/>
  <c r="AU1447" i="1"/>
  <c r="AT1447" i="1"/>
  <c r="AR1447" i="1"/>
  <c r="AS1447" i="1" s="1"/>
  <c r="AU1446" i="1"/>
  <c r="AT1446" i="1"/>
  <c r="AR1446" i="1"/>
  <c r="AS1446" i="1" s="1"/>
  <c r="AU1445" i="1"/>
  <c r="AT1445" i="1"/>
  <c r="AR1445" i="1"/>
  <c r="AS1445" i="1" s="1"/>
  <c r="AU1444" i="1"/>
  <c r="AT1444" i="1"/>
  <c r="AS1444" i="1"/>
  <c r="AR1444" i="1"/>
  <c r="AU1443" i="1"/>
  <c r="AT1443" i="1"/>
  <c r="AS1443" i="1"/>
  <c r="AR1443" i="1"/>
  <c r="AU1442" i="1"/>
  <c r="AT1442" i="1"/>
  <c r="AR1442" i="1"/>
  <c r="AS1442" i="1" s="1"/>
  <c r="AU1441" i="1"/>
  <c r="AT1441" i="1"/>
  <c r="AR1441" i="1"/>
  <c r="AS1441" i="1" s="1"/>
  <c r="AU1440" i="1"/>
  <c r="AT1440" i="1"/>
  <c r="AR1440" i="1"/>
  <c r="AS1440" i="1" s="1"/>
  <c r="AU1439" i="1"/>
  <c r="AT1439" i="1"/>
  <c r="AR1439" i="1"/>
  <c r="AS1439" i="1" s="1"/>
  <c r="AU1438" i="1"/>
  <c r="AT1438" i="1"/>
  <c r="AS1438" i="1"/>
  <c r="AR1438" i="1"/>
  <c r="AU1437" i="1"/>
  <c r="AT1437" i="1"/>
  <c r="AS1437" i="1"/>
  <c r="AR1437" i="1"/>
  <c r="AU1436" i="1"/>
  <c r="AT1436" i="1"/>
  <c r="AR1436" i="1"/>
  <c r="AS1436" i="1" s="1"/>
  <c r="AU1435" i="1"/>
  <c r="AT1435" i="1"/>
  <c r="AR1435" i="1"/>
  <c r="AS1435" i="1" s="1"/>
  <c r="AU1434" i="1"/>
  <c r="AT1434" i="1"/>
  <c r="AR1434" i="1"/>
  <c r="AS1434" i="1" s="1"/>
  <c r="AU1433" i="1"/>
  <c r="AT1433" i="1"/>
  <c r="AR1433" i="1"/>
  <c r="AS1433" i="1" s="1"/>
  <c r="AU1432" i="1"/>
  <c r="AT1432" i="1"/>
  <c r="AS1432" i="1"/>
  <c r="AR1432" i="1"/>
  <c r="AU1431" i="1"/>
  <c r="AT1431" i="1"/>
  <c r="AS1431" i="1"/>
  <c r="AR1431" i="1"/>
  <c r="AU1430" i="1"/>
  <c r="AT1430" i="1"/>
  <c r="AR1430" i="1"/>
  <c r="AS1430" i="1" s="1"/>
  <c r="AU1429" i="1"/>
  <c r="AT1429" i="1"/>
  <c r="AR1429" i="1"/>
  <c r="AS1429" i="1" s="1"/>
  <c r="AU1428" i="1"/>
  <c r="AT1428" i="1"/>
  <c r="AR1428" i="1"/>
  <c r="AS1428" i="1" s="1"/>
  <c r="AU1427" i="1"/>
  <c r="AT1427" i="1"/>
  <c r="AR1427" i="1"/>
  <c r="AS1427" i="1" s="1"/>
  <c r="AU1426" i="1"/>
  <c r="AT1426" i="1"/>
  <c r="AS1426" i="1"/>
  <c r="AR1426" i="1"/>
  <c r="AU1425" i="1"/>
  <c r="AT1425" i="1"/>
  <c r="AS1425" i="1"/>
  <c r="AR1425" i="1"/>
  <c r="AU1424" i="1"/>
  <c r="AT1424" i="1"/>
  <c r="AR1424" i="1"/>
  <c r="AS1424" i="1" s="1"/>
  <c r="AU1423" i="1"/>
  <c r="AT1423" i="1"/>
  <c r="AR1423" i="1"/>
  <c r="AS1423" i="1" s="1"/>
  <c r="AU1422" i="1"/>
  <c r="AT1422" i="1"/>
  <c r="AR1422" i="1"/>
  <c r="AS1422" i="1" s="1"/>
  <c r="AU1421" i="1"/>
  <c r="AT1421" i="1"/>
  <c r="AR1421" i="1"/>
  <c r="AS1421" i="1" s="1"/>
  <c r="AU1420" i="1"/>
  <c r="AT1420" i="1"/>
  <c r="AS1420" i="1"/>
  <c r="AR1420" i="1"/>
  <c r="AU1419" i="1"/>
  <c r="AT1419" i="1"/>
  <c r="AS1419" i="1"/>
  <c r="AR1419" i="1"/>
  <c r="AU1418" i="1"/>
  <c r="AT1418" i="1"/>
  <c r="AR1418" i="1"/>
  <c r="AS1418" i="1" s="1"/>
  <c r="AU1417" i="1"/>
  <c r="AT1417" i="1"/>
  <c r="AR1417" i="1"/>
  <c r="AS1417" i="1" s="1"/>
  <c r="AU1416" i="1"/>
  <c r="AT1416" i="1"/>
  <c r="AR1416" i="1"/>
  <c r="AS1416" i="1" s="1"/>
  <c r="AU1415" i="1"/>
  <c r="AT1415" i="1"/>
  <c r="AR1415" i="1"/>
  <c r="AS1415" i="1" s="1"/>
  <c r="AU1414" i="1"/>
  <c r="AT1414" i="1"/>
  <c r="AS1414" i="1"/>
  <c r="AR1414" i="1"/>
  <c r="AU1413" i="1"/>
  <c r="AT1413" i="1"/>
  <c r="AS1413" i="1"/>
  <c r="AR1413" i="1"/>
  <c r="AU1412" i="1"/>
  <c r="AT1412" i="1"/>
  <c r="AR1412" i="1"/>
  <c r="AS1412" i="1" s="1"/>
  <c r="AU1411" i="1"/>
  <c r="AT1411" i="1"/>
  <c r="AR1411" i="1"/>
  <c r="AS1411" i="1" s="1"/>
  <c r="AU1410" i="1"/>
  <c r="AT1410" i="1"/>
  <c r="AR1410" i="1"/>
  <c r="AS1410" i="1" s="1"/>
  <c r="AU1409" i="1"/>
  <c r="AT1409" i="1"/>
  <c r="AR1409" i="1"/>
  <c r="AS1409" i="1" s="1"/>
  <c r="AU1408" i="1"/>
  <c r="AT1408" i="1"/>
  <c r="AR1408" i="1"/>
  <c r="AS1408" i="1" s="1"/>
  <c r="AU1407" i="1"/>
  <c r="AT1407" i="1"/>
  <c r="AS1407" i="1"/>
  <c r="AR1407" i="1"/>
  <c r="AU1406" i="1"/>
  <c r="AT1406" i="1"/>
  <c r="AR1406" i="1"/>
  <c r="AS1406" i="1" s="1"/>
  <c r="AU1405" i="1"/>
  <c r="AT1405" i="1"/>
  <c r="AR1405" i="1"/>
  <c r="AS1405" i="1" s="1"/>
  <c r="AU1404" i="1"/>
  <c r="AT1404" i="1"/>
  <c r="AR1404" i="1"/>
  <c r="AS1404" i="1" s="1"/>
  <c r="AU1403" i="1"/>
  <c r="AT1403" i="1"/>
  <c r="AR1403" i="1"/>
  <c r="AS1403" i="1" s="1"/>
  <c r="AU1402" i="1"/>
  <c r="AT1402" i="1"/>
  <c r="AS1402" i="1"/>
  <c r="AR1402" i="1"/>
  <c r="AU1401" i="1"/>
  <c r="AT1401" i="1"/>
  <c r="AS1401" i="1"/>
  <c r="AR1401" i="1"/>
  <c r="AU1400" i="1"/>
  <c r="AT1400" i="1"/>
  <c r="AR1400" i="1"/>
  <c r="AS1400" i="1" s="1"/>
  <c r="AU1399" i="1"/>
  <c r="AT1399" i="1"/>
  <c r="AR1399" i="1"/>
  <c r="AS1399" i="1" s="1"/>
  <c r="AU1398" i="1"/>
  <c r="AT1398" i="1"/>
  <c r="AR1398" i="1"/>
  <c r="AS1398" i="1" s="1"/>
  <c r="AU1397" i="1"/>
  <c r="AT1397" i="1"/>
  <c r="AR1397" i="1"/>
  <c r="AS1397" i="1" s="1"/>
  <c r="AU1396" i="1"/>
  <c r="AT1396" i="1"/>
  <c r="AS1396" i="1"/>
  <c r="AR1396" i="1"/>
  <c r="AU1395" i="1"/>
  <c r="AT1395" i="1"/>
  <c r="AS1395" i="1"/>
  <c r="AR1395" i="1"/>
  <c r="AU1394" i="1"/>
  <c r="AT1394" i="1"/>
  <c r="AR1394" i="1"/>
  <c r="AS1394" i="1" s="1"/>
  <c r="AU1393" i="1"/>
  <c r="AT1393" i="1"/>
  <c r="AR1393" i="1"/>
  <c r="AS1393" i="1" s="1"/>
  <c r="AU1392" i="1"/>
  <c r="AT1392" i="1"/>
  <c r="AR1392" i="1"/>
  <c r="AS1392" i="1" s="1"/>
  <c r="AU1391" i="1"/>
  <c r="AT1391" i="1"/>
  <c r="AR1391" i="1"/>
  <c r="AS1391" i="1" s="1"/>
  <c r="AU1390" i="1"/>
  <c r="AT1390" i="1"/>
  <c r="AR1390" i="1"/>
  <c r="AS1390" i="1" s="1"/>
  <c r="AU1389" i="1"/>
  <c r="AT1389" i="1"/>
  <c r="AR1389" i="1"/>
  <c r="AS1389" i="1" s="1"/>
  <c r="AU1388" i="1"/>
  <c r="AT1388" i="1"/>
  <c r="AR1388" i="1"/>
  <c r="AS1388" i="1" s="1"/>
  <c r="AU1387" i="1"/>
  <c r="AT1387" i="1"/>
  <c r="AR1387" i="1"/>
  <c r="AS1387" i="1" s="1"/>
  <c r="AU1386" i="1"/>
  <c r="AT1386" i="1"/>
  <c r="AR1386" i="1"/>
  <c r="AS1386" i="1" s="1"/>
  <c r="AU1385" i="1"/>
  <c r="AT1385" i="1"/>
  <c r="AR1385" i="1"/>
  <c r="AS1385" i="1" s="1"/>
  <c r="AU1384" i="1"/>
  <c r="AT1384" i="1"/>
  <c r="AR1384" i="1"/>
  <c r="AS1384" i="1" s="1"/>
  <c r="AU1383" i="1"/>
  <c r="AT1383" i="1"/>
  <c r="AR1383" i="1"/>
  <c r="AS1383" i="1" s="1"/>
  <c r="AU1382" i="1"/>
  <c r="AT1382" i="1"/>
  <c r="AR1382" i="1"/>
  <c r="AS1382" i="1" s="1"/>
  <c r="AU1381" i="1"/>
  <c r="AT1381" i="1"/>
  <c r="AR1381" i="1"/>
  <c r="AS1381" i="1" s="1"/>
  <c r="AU1380" i="1"/>
  <c r="AT1380" i="1"/>
  <c r="AR1380" i="1"/>
  <c r="AS1380" i="1" s="1"/>
  <c r="AU1379" i="1"/>
  <c r="AT1379" i="1"/>
  <c r="AR1379" i="1"/>
  <c r="AS1379" i="1" s="1"/>
  <c r="AU1378" i="1"/>
  <c r="AT1378" i="1"/>
  <c r="AR1378" i="1"/>
  <c r="AS1378" i="1" s="1"/>
  <c r="AU1377" i="1"/>
  <c r="AT1377" i="1"/>
  <c r="AR1377" i="1"/>
  <c r="AS1377" i="1" s="1"/>
  <c r="AU1376" i="1"/>
  <c r="AT1376" i="1"/>
  <c r="AR1376" i="1"/>
  <c r="AS1376" i="1" s="1"/>
  <c r="AU1375" i="1"/>
  <c r="AT1375" i="1"/>
  <c r="AR1375" i="1"/>
  <c r="AS1375" i="1" s="1"/>
  <c r="AU1374" i="1"/>
  <c r="AT1374" i="1"/>
  <c r="AR1374" i="1"/>
  <c r="AS1374" i="1" s="1"/>
  <c r="AU1373" i="1"/>
  <c r="AT1373" i="1"/>
  <c r="AR1373" i="1"/>
  <c r="AS1373" i="1" s="1"/>
  <c r="AU1372" i="1"/>
  <c r="AT1372" i="1"/>
  <c r="AR1372" i="1"/>
  <c r="AS1372" i="1" s="1"/>
  <c r="AU1371" i="1"/>
  <c r="AT1371" i="1"/>
  <c r="AR1371" i="1"/>
  <c r="AS1371" i="1" s="1"/>
  <c r="AU1370" i="1"/>
  <c r="AT1370" i="1"/>
  <c r="AR1370" i="1"/>
  <c r="AS1370" i="1" s="1"/>
  <c r="AU1369" i="1"/>
  <c r="AT1369" i="1"/>
  <c r="AR1369" i="1"/>
  <c r="AS1369" i="1" s="1"/>
  <c r="AU1368" i="1"/>
  <c r="AT1368" i="1"/>
  <c r="AR1368" i="1"/>
  <c r="AS1368" i="1" s="1"/>
  <c r="AU1367" i="1"/>
  <c r="AT1367" i="1"/>
  <c r="AR1367" i="1"/>
  <c r="AS1367" i="1" s="1"/>
  <c r="AU1366" i="1"/>
  <c r="AT1366" i="1"/>
  <c r="AR1366" i="1"/>
  <c r="AS1366" i="1" s="1"/>
  <c r="AU1365" i="1"/>
  <c r="AT1365" i="1"/>
  <c r="AR1365" i="1"/>
  <c r="AS1365" i="1" s="1"/>
  <c r="AU1364" i="1"/>
  <c r="AT1364" i="1"/>
  <c r="AR1364" i="1"/>
  <c r="AS1364" i="1" s="1"/>
  <c r="AU1363" i="1"/>
  <c r="AT1363" i="1"/>
  <c r="AR1363" i="1"/>
  <c r="AS1363" i="1" s="1"/>
  <c r="AU1362" i="1"/>
  <c r="AT1362" i="1"/>
  <c r="AR1362" i="1"/>
  <c r="AS1362" i="1" s="1"/>
  <c r="AU1361" i="1"/>
  <c r="AT1361" i="1"/>
  <c r="AR1361" i="1"/>
  <c r="AS1361" i="1" s="1"/>
  <c r="AU1360" i="1"/>
  <c r="AT1360" i="1"/>
  <c r="AR1360" i="1"/>
  <c r="AS1360" i="1" s="1"/>
  <c r="AU1359" i="1"/>
  <c r="AT1359" i="1"/>
  <c r="AR1359" i="1"/>
  <c r="AS1359" i="1" s="1"/>
  <c r="AU1358" i="1"/>
  <c r="AT1358" i="1"/>
  <c r="AR1358" i="1"/>
  <c r="AS1358" i="1" s="1"/>
  <c r="AU1357" i="1"/>
  <c r="AT1357" i="1"/>
  <c r="AR1357" i="1"/>
  <c r="AS1357" i="1" s="1"/>
  <c r="AU1356" i="1"/>
  <c r="AT1356" i="1"/>
  <c r="AR1356" i="1"/>
  <c r="AS1356" i="1" s="1"/>
  <c r="AU1355" i="1"/>
  <c r="AT1355" i="1"/>
  <c r="AR1355" i="1"/>
  <c r="AS1355" i="1" s="1"/>
  <c r="AU1354" i="1"/>
  <c r="AT1354" i="1"/>
  <c r="AR1354" i="1"/>
  <c r="AS1354" i="1" s="1"/>
  <c r="AU1353" i="1"/>
  <c r="AT1353" i="1"/>
  <c r="AR1353" i="1"/>
  <c r="AS1353" i="1" s="1"/>
  <c r="AU1352" i="1"/>
  <c r="AT1352" i="1"/>
  <c r="AR1352" i="1"/>
  <c r="AS1352" i="1" s="1"/>
  <c r="AU1351" i="1"/>
  <c r="AT1351" i="1"/>
  <c r="AR1351" i="1"/>
  <c r="AS1351" i="1" s="1"/>
  <c r="AU1350" i="1"/>
  <c r="AT1350" i="1"/>
  <c r="AR1350" i="1"/>
  <c r="AS1350" i="1" s="1"/>
  <c r="AU1349" i="1"/>
  <c r="AT1349" i="1"/>
  <c r="AR1349" i="1"/>
  <c r="AS1349" i="1" s="1"/>
  <c r="AU1348" i="1"/>
  <c r="AT1348" i="1"/>
  <c r="AR1348" i="1"/>
  <c r="AS1348" i="1" s="1"/>
  <c r="AU1347" i="1"/>
  <c r="AT1347" i="1"/>
  <c r="AR1347" i="1"/>
  <c r="AS1347" i="1" s="1"/>
  <c r="AU1346" i="1"/>
  <c r="AT1346" i="1"/>
  <c r="AR1346" i="1"/>
  <c r="AS1346" i="1" s="1"/>
  <c r="AU1345" i="1"/>
  <c r="AT1345" i="1"/>
  <c r="AR1345" i="1"/>
  <c r="AS1345" i="1" s="1"/>
  <c r="AU1344" i="1"/>
  <c r="AT1344" i="1"/>
  <c r="AR1344" i="1"/>
  <c r="AS1344" i="1" s="1"/>
  <c r="AU1343" i="1"/>
  <c r="AT1343" i="1"/>
  <c r="AR1343" i="1"/>
  <c r="AS1343" i="1" s="1"/>
  <c r="AU1342" i="1"/>
  <c r="AT1342" i="1"/>
  <c r="AR1342" i="1"/>
  <c r="AS1342" i="1" s="1"/>
  <c r="AU1341" i="1"/>
  <c r="AT1341" i="1"/>
  <c r="AR1341" i="1"/>
  <c r="AS1341" i="1" s="1"/>
  <c r="AU1340" i="1"/>
  <c r="AT1340" i="1"/>
  <c r="AR1340" i="1"/>
  <c r="AS1340" i="1" s="1"/>
  <c r="AU1339" i="1"/>
  <c r="AT1339" i="1"/>
  <c r="AR1339" i="1"/>
  <c r="AS1339" i="1" s="1"/>
  <c r="AU1338" i="1"/>
  <c r="AT1338" i="1"/>
  <c r="AR1338" i="1"/>
  <c r="AS1338" i="1" s="1"/>
  <c r="AU1337" i="1"/>
  <c r="AT1337" i="1"/>
  <c r="AR1337" i="1"/>
  <c r="AS1337" i="1" s="1"/>
  <c r="AU1336" i="1"/>
  <c r="AT1336" i="1"/>
  <c r="AR1336" i="1"/>
  <c r="AS1336" i="1" s="1"/>
  <c r="AU1335" i="1"/>
  <c r="AT1335" i="1"/>
  <c r="AR1335" i="1"/>
  <c r="AS1335" i="1" s="1"/>
  <c r="AU1334" i="1"/>
  <c r="AT1334" i="1"/>
  <c r="AR1334" i="1"/>
  <c r="AS1334" i="1" s="1"/>
  <c r="AU1333" i="1"/>
  <c r="AT1333" i="1"/>
  <c r="AR1333" i="1"/>
  <c r="AS1333" i="1" s="1"/>
  <c r="AU1332" i="1"/>
  <c r="AT1332" i="1"/>
  <c r="AR1332" i="1"/>
  <c r="AS1332" i="1" s="1"/>
  <c r="AU1331" i="1"/>
  <c r="AT1331" i="1"/>
  <c r="AR1331" i="1"/>
  <c r="AS1331" i="1" s="1"/>
  <c r="AU1330" i="1"/>
  <c r="AT1330" i="1"/>
  <c r="AR1330" i="1"/>
  <c r="AS1330" i="1" s="1"/>
  <c r="AU1329" i="1"/>
  <c r="AT1329" i="1"/>
  <c r="AR1329" i="1"/>
  <c r="AS1329" i="1" s="1"/>
  <c r="AU1328" i="1"/>
  <c r="AT1328" i="1"/>
  <c r="AR1328" i="1"/>
  <c r="AS1328" i="1" s="1"/>
  <c r="AU1327" i="1"/>
  <c r="AT1327" i="1"/>
  <c r="AR1327" i="1"/>
  <c r="AS1327" i="1" s="1"/>
  <c r="AU1326" i="1"/>
  <c r="AT1326" i="1"/>
  <c r="AR1326" i="1"/>
  <c r="AS1326" i="1" s="1"/>
  <c r="AU1325" i="1"/>
  <c r="AT1325" i="1"/>
  <c r="AR1325" i="1"/>
  <c r="AS1325" i="1" s="1"/>
  <c r="AU1324" i="1"/>
  <c r="AT1324" i="1"/>
  <c r="AR1324" i="1"/>
  <c r="AS1324" i="1" s="1"/>
  <c r="AU1323" i="1"/>
  <c r="AT1323" i="1"/>
  <c r="AR1323" i="1"/>
  <c r="AS1323" i="1" s="1"/>
  <c r="AU1322" i="1"/>
  <c r="AT1322" i="1"/>
  <c r="AR1322" i="1"/>
  <c r="AS1322" i="1" s="1"/>
  <c r="AU1321" i="1"/>
  <c r="AT1321" i="1"/>
  <c r="AR1321" i="1"/>
  <c r="AS1321" i="1" s="1"/>
  <c r="AU1320" i="1"/>
  <c r="AT1320" i="1"/>
  <c r="AR1320" i="1"/>
  <c r="AS1320" i="1" s="1"/>
  <c r="AU1319" i="1"/>
  <c r="AT1319" i="1"/>
  <c r="AR1319" i="1"/>
  <c r="AS1319" i="1" s="1"/>
  <c r="AU1318" i="1"/>
  <c r="AT1318" i="1"/>
  <c r="AR1318" i="1"/>
  <c r="AS1318" i="1" s="1"/>
  <c r="AU1317" i="1"/>
  <c r="AT1317" i="1"/>
  <c r="AR1317" i="1"/>
  <c r="AS1317" i="1" s="1"/>
  <c r="AU1316" i="1"/>
  <c r="AT1316" i="1"/>
  <c r="AR1316" i="1"/>
  <c r="AS1316" i="1" s="1"/>
  <c r="AU1315" i="1"/>
  <c r="AT1315" i="1"/>
  <c r="AR1315" i="1"/>
  <c r="AS1315" i="1" s="1"/>
  <c r="AU1314" i="1"/>
  <c r="AT1314" i="1"/>
  <c r="AR1314" i="1"/>
  <c r="AS1314" i="1" s="1"/>
  <c r="AU1313" i="1"/>
  <c r="AT1313" i="1"/>
  <c r="AR1313" i="1"/>
  <c r="AS1313" i="1" s="1"/>
  <c r="AU1312" i="1"/>
  <c r="AT1312" i="1"/>
  <c r="AR1312" i="1"/>
  <c r="AS1312" i="1" s="1"/>
  <c r="AU1311" i="1"/>
  <c r="AT1311" i="1"/>
  <c r="AR1311" i="1"/>
  <c r="AS1311" i="1" s="1"/>
  <c r="AU1310" i="1"/>
  <c r="AT1310" i="1"/>
  <c r="AR1310" i="1"/>
  <c r="AS1310" i="1" s="1"/>
  <c r="AU1309" i="1"/>
  <c r="AT1309" i="1"/>
  <c r="AR1309" i="1"/>
  <c r="AS1309" i="1" s="1"/>
  <c r="AU1308" i="1"/>
  <c r="AT1308" i="1"/>
  <c r="AR1308" i="1"/>
  <c r="AS1308" i="1" s="1"/>
  <c r="AU1307" i="1"/>
  <c r="AT1307" i="1"/>
  <c r="AR1307" i="1"/>
  <c r="AS1307" i="1" s="1"/>
  <c r="AU1306" i="1"/>
  <c r="AT1306" i="1"/>
  <c r="AR1306" i="1"/>
  <c r="AS1306" i="1" s="1"/>
  <c r="AU1305" i="1"/>
  <c r="AT1305" i="1"/>
  <c r="AR1305" i="1"/>
  <c r="AS1305" i="1" s="1"/>
  <c r="AU1304" i="1"/>
  <c r="AT1304" i="1"/>
  <c r="AR1304" i="1"/>
  <c r="AS1304" i="1" s="1"/>
  <c r="AU1303" i="1"/>
  <c r="AT1303" i="1"/>
  <c r="AR1303" i="1"/>
  <c r="AS1303" i="1" s="1"/>
  <c r="AU1302" i="1"/>
  <c r="AT1302" i="1"/>
  <c r="AR1302" i="1"/>
  <c r="AS1302" i="1" s="1"/>
  <c r="AU1301" i="1"/>
  <c r="AT1301" i="1"/>
  <c r="AR1301" i="1"/>
  <c r="AS1301" i="1" s="1"/>
  <c r="AU1300" i="1"/>
  <c r="AT1300" i="1"/>
  <c r="AR1300" i="1"/>
  <c r="AS1300" i="1" s="1"/>
  <c r="AU1299" i="1"/>
  <c r="AT1299" i="1"/>
  <c r="AR1299" i="1"/>
  <c r="AS1299" i="1" s="1"/>
  <c r="AU1298" i="1"/>
  <c r="AT1298" i="1"/>
  <c r="AR1298" i="1"/>
  <c r="AS1298" i="1" s="1"/>
  <c r="AU1297" i="1"/>
  <c r="AT1297" i="1"/>
  <c r="AR1297" i="1"/>
  <c r="AS1297" i="1" s="1"/>
  <c r="AU1296" i="1"/>
  <c r="AT1296" i="1"/>
  <c r="AR1296" i="1"/>
  <c r="AS1296" i="1" s="1"/>
  <c r="AU1295" i="1"/>
  <c r="AT1295" i="1"/>
  <c r="AR1295" i="1"/>
  <c r="AS1295" i="1" s="1"/>
  <c r="AU1294" i="1"/>
  <c r="AT1294" i="1"/>
  <c r="AR1294" i="1"/>
  <c r="AS1294" i="1" s="1"/>
  <c r="AU1293" i="1"/>
  <c r="AT1293" i="1"/>
  <c r="AR1293" i="1"/>
  <c r="AS1293" i="1" s="1"/>
  <c r="AU1292" i="1"/>
  <c r="AT1292" i="1"/>
  <c r="AR1292" i="1"/>
  <c r="AS1292" i="1" s="1"/>
  <c r="AU1291" i="1"/>
  <c r="AT1291" i="1"/>
  <c r="AR1291" i="1"/>
  <c r="AS1291" i="1" s="1"/>
  <c r="AU1290" i="1"/>
  <c r="AT1290" i="1"/>
  <c r="AR1290" i="1"/>
  <c r="AS1290" i="1" s="1"/>
  <c r="AU1289" i="1"/>
  <c r="AT1289" i="1"/>
  <c r="AR1289" i="1"/>
  <c r="AS1289" i="1" s="1"/>
  <c r="AU1288" i="1"/>
  <c r="AT1288" i="1"/>
  <c r="AR1288" i="1"/>
  <c r="AS1288" i="1" s="1"/>
  <c r="AU1287" i="1"/>
  <c r="AT1287" i="1"/>
  <c r="AR1287" i="1"/>
  <c r="AS1287" i="1" s="1"/>
  <c r="AU1286" i="1"/>
  <c r="AT1286" i="1"/>
  <c r="AR1286" i="1"/>
  <c r="AS1286" i="1" s="1"/>
  <c r="AU1285" i="1"/>
  <c r="AT1285" i="1"/>
  <c r="AR1285" i="1"/>
  <c r="AS1285" i="1" s="1"/>
  <c r="AU1284" i="1"/>
  <c r="AT1284" i="1"/>
  <c r="AR1284" i="1"/>
  <c r="AS1284" i="1" s="1"/>
  <c r="AU1283" i="1"/>
  <c r="AT1283" i="1"/>
  <c r="AR1283" i="1"/>
  <c r="AS1283" i="1" s="1"/>
  <c r="AU1282" i="1"/>
  <c r="AT1282" i="1"/>
  <c r="AR1282" i="1"/>
  <c r="AS1282" i="1" s="1"/>
  <c r="AU1281" i="1"/>
  <c r="AT1281" i="1"/>
  <c r="AR1281" i="1"/>
  <c r="AS1281" i="1" s="1"/>
  <c r="AU1280" i="1"/>
  <c r="AT1280" i="1"/>
  <c r="AR1280" i="1"/>
  <c r="AS1280" i="1" s="1"/>
  <c r="AU1279" i="1"/>
  <c r="AT1279" i="1"/>
  <c r="AR1279" i="1"/>
  <c r="AS1279" i="1" s="1"/>
  <c r="AU1278" i="1"/>
  <c r="AT1278" i="1"/>
  <c r="AR1278" i="1"/>
  <c r="AS1278" i="1" s="1"/>
  <c r="AU1277" i="1"/>
  <c r="AT1277" i="1"/>
  <c r="AR1277" i="1"/>
  <c r="AS1277" i="1" s="1"/>
  <c r="AU1276" i="1"/>
  <c r="AT1276" i="1"/>
  <c r="AR1276" i="1"/>
  <c r="AS1276" i="1" s="1"/>
  <c r="AU1275" i="1"/>
  <c r="AT1275" i="1"/>
  <c r="AR1275" i="1"/>
  <c r="AS1275" i="1" s="1"/>
  <c r="AU1274" i="1"/>
  <c r="AT1274" i="1"/>
  <c r="AR1274" i="1"/>
  <c r="AS1274" i="1" s="1"/>
  <c r="AU1273" i="1"/>
  <c r="AT1273" i="1"/>
  <c r="AR1273" i="1"/>
  <c r="AS1273" i="1" s="1"/>
  <c r="AU1272" i="1"/>
  <c r="AT1272" i="1"/>
  <c r="AR1272" i="1"/>
  <c r="AS1272" i="1" s="1"/>
  <c r="AU1271" i="1"/>
  <c r="AT1271" i="1"/>
  <c r="AR1271" i="1"/>
  <c r="AS1271" i="1" s="1"/>
  <c r="AU1270" i="1"/>
  <c r="AT1270" i="1"/>
  <c r="AS1270" i="1"/>
  <c r="AR1270" i="1"/>
  <c r="AU1269" i="1"/>
  <c r="AT1269" i="1"/>
  <c r="AR1269" i="1"/>
  <c r="AS1269" i="1" s="1"/>
  <c r="AU1268" i="1"/>
  <c r="AT1268" i="1"/>
  <c r="AR1268" i="1"/>
  <c r="AS1268" i="1" s="1"/>
  <c r="AU1267" i="1"/>
  <c r="AT1267" i="1"/>
  <c r="AS1267" i="1"/>
  <c r="AR1267" i="1"/>
  <c r="AU1266" i="1"/>
  <c r="AT1266" i="1"/>
  <c r="AR1266" i="1"/>
  <c r="AS1266" i="1" s="1"/>
  <c r="AU1265" i="1"/>
  <c r="AT1265" i="1"/>
  <c r="AR1265" i="1"/>
  <c r="AS1265" i="1" s="1"/>
  <c r="AU1264" i="1"/>
  <c r="AT1264" i="1"/>
  <c r="AR1264" i="1"/>
  <c r="AS1264" i="1" s="1"/>
  <c r="AU1263" i="1"/>
  <c r="AT1263" i="1"/>
  <c r="AR1263" i="1"/>
  <c r="AS1263" i="1" s="1"/>
  <c r="AU1262" i="1"/>
  <c r="AT1262" i="1"/>
  <c r="AR1262" i="1"/>
  <c r="AS1262" i="1" s="1"/>
  <c r="AU1261" i="1"/>
  <c r="AT1261" i="1"/>
  <c r="AS1261" i="1"/>
  <c r="AR1261" i="1"/>
  <c r="AU1260" i="1"/>
  <c r="AT1260" i="1"/>
  <c r="AR1260" i="1"/>
  <c r="AS1260" i="1" s="1"/>
  <c r="AU1259" i="1"/>
  <c r="AT1259" i="1"/>
  <c r="AR1259" i="1"/>
  <c r="AS1259" i="1" s="1"/>
  <c r="AU1258" i="1"/>
  <c r="AT1258" i="1"/>
  <c r="AS1258" i="1"/>
  <c r="AR1258" i="1"/>
  <c r="AU1257" i="1"/>
  <c r="AT1257" i="1"/>
  <c r="AR1257" i="1"/>
  <c r="AS1257" i="1" s="1"/>
  <c r="AU1256" i="1"/>
  <c r="AT1256" i="1"/>
  <c r="AR1256" i="1"/>
  <c r="AS1256" i="1" s="1"/>
  <c r="AU1255" i="1"/>
  <c r="AT1255" i="1"/>
  <c r="AS1255" i="1"/>
  <c r="AR1255" i="1"/>
  <c r="AU1254" i="1"/>
  <c r="AT1254" i="1"/>
  <c r="AR1254" i="1"/>
  <c r="AS1254" i="1" s="1"/>
  <c r="AU1253" i="1"/>
  <c r="AT1253" i="1"/>
  <c r="AR1253" i="1"/>
  <c r="AS1253" i="1" s="1"/>
  <c r="AU1252" i="1"/>
  <c r="AT1252" i="1"/>
  <c r="AS1252" i="1"/>
  <c r="AR1252" i="1"/>
  <c r="AU1251" i="1"/>
  <c r="AT1251" i="1"/>
  <c r="AR1251" i="1"/>
  <c r="AS1251" i="1" s="1"/>
  <c r="AU1250" i="1"/>
  <c r="AT1250" i="1"/>
  <c r="AR1250" i="1"/>
  <c r="AS1250" i="1" s="1"/>
  <c r="AU1249" i="1"/>
  <c r="AT1249" i="1"/>
  <c r="AS1249" i="1"/>
  <c r="AR1249" i="1"/>
  <c r="AU1248" i="1"/>
  <c r="AT1248" i="1"/>
  <c r="AR1248" i="1"/>
  <c r="AS1248" i="1" s="1"/>
  <c r="AU1247" i="1"/>
  <c r="AT1247" i="1"/>
  <c r="AR1247" i="1"/>
  <c r="AS1247" i="1" s="1"/>
  <c r="AU1246" i="1"/>
  <c r="AT1246" i="1"/>
  <c r="AR1246" i="1"/>
  <c r="AS1246" i="1" s="1"/>
  <c r="AU1245" i="1"/>
  <c r="AT1245" i="1"/>
  <c r="AR1245" i="1"/>
  <c r="AS1245" i="1" s="1"/>
  <c r="AU1244" i="1"/>
  <c r="AT1244" i="1"/>
  <c r="AR1244" i="1"/>
  <c r="AS1244" i="1" s="1"/>
  <c r="AU1243" i="1"/>
  <c r="AT1243" i="1"/>
  <c r="AS1243" i="1"/>
  <c r="AR1243" i="1"/>
  <c r="AU1242" i="1"/>
  <c r="AT1242" i="1"/>
  <c r="AR1242" i="1"/>
  <c r="AS1242" i="1" s="1"/>
  <c r="AU1241" i="1"/>
  <c r="AT1241" i="1"/>
  <c r="AR1241" i="1"/>
  <c r="AS1241" i="1" s="1"/>
  <c r="AU1240" i="1"/>
  <c r="AT1240" i="1"/>
  <c r="AS1240" i="1"/>
  <c r="AR1240" i="1"/>
  <c r="AU1239" i="1"/>
  <c r="AT1239" i="1"/>
  <c r="AR1239" i="1"/>
  <c r="AS1239" i="1" s="1"/>
  <c r="AU1238" i="1"/>
  <c r="AT1238" i="1"/>
  <c r="AR1238" i="1"/>
  <c r="AS1238" i="1" s="1"/>
  <c r="AU1237" i="1"/>
  <c r="AT1237" i="1"/>
  <c r="AS1237" i="1"/>
  <c r="AR1237" i="1"/>
  <c r="AU1236" i="1"/>
  <c r="AT1236" i="1"/>
  <c r="AR1236" i="1"/>
  <c r="AS1236" i="1" s="1"/>
  <c r="AU1235" i="1"/>
  <c r="AT1235" i="1"/>
  <c r="AR1235" i="1"/>
  <c r="AS1235" i="1" s="1"/>
  <c r="AU1234" i="1"/>
  <c r="AT1234" i="1"/>
  <c r="AS1234" i="1"/>
  <c r="AR1234" i="1"/>
  <c r="AU1233" i="1"/>
  <c r="AT1233" i="1"/>
  <c r="AR1233" i="1"/>
  <c r="AS1233" i="1" s="1"/>
  <c r="AU1232" i="1"/>
  <c r="AT1232" i="1"/>
  <c r="AR1232" i="1"/>
  <c r="AS1232" i="1" s="1"/>
  <c r="AU1231" i="1"/>
  <c r="AT1231" i="1"/>
  <c r="AS1231" i="1"/>
  <c r="AR1231" i="1"/>
  <c r="AU1230" i="1"/>
  <c r="AT1230" i="1"/>
  <c r="AR1230" i="1"/>
  <c r="AS1230" i="1" s="1"/>
  <c r="AU1229" i="1"/>
  <c r="AT1229" i="1"/>
  <c r="AR1229" i="1"/>
  <c r="AS1229" i="1" s="1"/>
  <c r="AU1228" i="1"/>
  <c r="AT1228" i="1"/>
  <c r="AR1228" i="1"/>
  <c r="AS1228" i="1" s="1"/>
  <c r="AU1227" i="1"/>
  <c r="AT1227" i="1"/>
  <c r="AR1227" i="1"/>
  <c r="AS1227" i="1" s="1"/>
  <c r="AU1226" i="1"/>
  <c r="AT1226" i="1"/>
  <c r="AR1226" i="1"/>
  <c r="AS1226" i="1" s="1"/>
  <c r="AU1225" i="1"/>
  <c r="AT1225" i="1"/>
  <c r="AS1225" i="1"/>
  <c r="AR1225" i="1"/>
  <c r="AU1224" i="1"/>
  <c r="AT1224" i="1"/>
  <c r="AR1224" i="1"/>
  <c r="AS1224" i="1" s="1"/>
  <c r="AU1223" i="1"/>
  <c r="AT1223" i="1"/>
  <c r="AR1223" i="1"/>
  <c r="AS1223" i="1" s="1"/>
  <c r="AU1222" i="1"/>
  <c r="AT1222" i="1"/>
  <c r="AS1222" i="1"/>
  <c r="AR1222" i="1"/>
  <c r="AU1221" i="1"/>
  <c r="AT1221" i="1"/>
  <c r="AR1221" i="1"/>
  <c r="AS1221" i="1" s="1"/>
  <c r="AU1220" i="1"/>
  <c r="AT1220" i="1"/>
  <c r="AR1220" i="1"/>
  <c r="AS1220" i="1" s="1"/>
  <c r="AU1219" i="1"/>
  <c r="AT1219" i="1"/>
  <c r="AS1219" i="1"/>
  <c r="AR1219" i="1"/>
  <c r="AU1218" i="1"/>
  <c r="AT1218" i="1"/>
  <c r="AR1218" i="1"/>
  <c r="AS1218" i="1" s="1"/>
  <c r="AU1217" i="1"/>
  <c r="AT1217" i="1"/>
  <c r="AR1217" i="1"/>
  <c r="AS1217" i="1" s="1"/>
  <c r="AU1216" i="1"/>
  <c r="AT1216" i="1"/>
  <c r="AS1216" i="1"/>
  <c r="AR1216" i="1"/>
  <c r="AU1215" i="1"/>
  <c r="AT1215" i="1"/>
  <c r="AR1215" i="1"/>
  <c r="AS1215" i="1" s="1"/>
  <c r="AU1214" i="1"/>
  <c r="AT1214" i="1"/>
  <c r="AR1214" i="1"/>
  <c r="AS1214" i="1" s="1"/>
  <c r="AU1213" i="1"/>
  <c r="AT1213" i="1"/>
  <c r="AS1213" i="1"/>
  <c r="AR1213" i="1"/>
  <c r="AU1212" i="1"/>
  <c r="AT1212" i="1"/>
  <c r="AR1212" i="1"/>
  <c r="AS1212" i="1" s="1"/>
  <c r="AU1211" i="1"/>
  <c r="AT1211" i="1"/>
  <c r="AR1211" i="1"/>
  <c r="AS1211" i="1" s="1"/>
  <c r="AU1210" i="1"/>
  <c r="AT1210" i="1"/>
  <c r="AR1210" i="1"/>
  <c r="AS1210" i="1" s="1"/>
  <c r="AU1209" i="1"/>
  <c r="AT1209" i="1"/>
  <c r="AR1209" i="1"/>
  <c r="AS1209" i="1" s="1"/>
  <c r="AU1208" i="1"/>
  <c r="AT1208" i="1"/>
  <c r="AR1208" i="1"/>
  <c r="AS1208" i="1" s="1"/>
  <c r="AU1207" i="1"/>
  <c r="AT1207" i="1"/>
  <c r="AS1207" i="1"/>
  <c r="AR1207" i="1"/>
  <c r="AU1206" i="1"/>
  <c r="AT1206" i="1"/>
  <c r="AR1206" i="1"/>
  <c r="AS1206" i="1" s="1"/>
  <c r="AU1205" i="1"/>
  <c r="AT1205" i="1"/>
  <c r="AR1205" i="1"/>
  <c r="AS1205" i="1" s="1"/>
  <c r="AU1204" i="1"/>
  <c r="AT1204" i="1"/>
  <c r="AR1204" i="1"/>
  <c r="AS1204" i="1" s="1"/>
  <c r="AU1203" i="1"/>
  <c r="AT1203" i="1"/>
  <c r="AR1203" i="1"/>
  <c r="AS1203" i="1" s="1"/>
  <c r="AU1202" i="1"/>
  <c r="AT1202" i="1"/>
  <c r="AR1202" i="1"/>
  <c r="AS1202" i="1" s="1"/>
  <c r="AU1201" i="1"/>
  <c r="AT1201" i="1"/>
  <c r="AS1201" i="1"/>
  <c r="AR1201" i="1"/>
  <c r="AU1200" i="1"/>
  <c r="AT1200" i="1"/>
  <c r="AR1200" i="1"/>
  <c r="AS1200" i="1" s="1"/>
  <c r="AU1199" i="1"/>
  <c r="AT1199" i="1"/>
  <c r="AR1199" i="1"/>
  <c r="AS1199" i="1" s="1"/>
  <c r="AU1198" i="1"/>
  <c r="AT1198" i="1"/>
  <c r="AS1198" i="1"/>
  <c r="AR1198" i="1"/>
  <c r="AU1197" i="1"/>
  <c r="AT1197" i="1"/>
  <c r="AR1197" i="1"/>
  <c r="AS1197" i="1" s="1"/>
  <c r="AU1196" i="1"/>
  <c r="AT1196" i="1"/>
  <c r="AR1196" i="1"/>
  <c r="AS1196" i="1" s="1"/>
  <c r="AU1195" i="1"/>
  <c r="AT1195" i="1"/>
  <c r="AR1195" i="1"/>
  <c r="AS1195" i="1" s="1"/>
  <c r="AU1194" i="1"/>
  <c r="AT1194" i="1"/>
  <c r="AS1194" i="1"/>
  <c r="AR1194" i="1"/>
  <c r="AU1193" i="1"/>
  <c r="AT1193" i="1"/>
  <c r="AR1193" i="1"/>
  <c r="AS1193" i="1" s="1"/>
  <c r="AU1192" i="1"/>
  <c r="AT1192" i="1"/>
  <c r="AS1192" i="1"/>
  <c r="AR1192" i="1"/>
  <c r="AU1191" i="1"/>
  <c r="AT1191" i="1"/>
  <c r="AS1191" i="1"/>
  <c r="AR1191" i="1"/>
  <c r="AU1190" i="1"/>
  <c r="AT1190" i="1"/>
  <c r="AR1190" i="1"/>
  <c r="AS1190" i="1" s="1"/>
  <c r="AU1189" i="1"/>
  <c r="AT1189" i="1"/>
  <c r="AR1189" i="1"/>
  <c r="AS1189" i="1" s="1"/>
  <c r="AU1188" i="1"/>
  <c r="AT1188" i="1"/>
  <c r="AR1188" i="1"/>
  <c r="AS1188" i="1" s="1"/>
  <c r="AU1187" i="1"/>
  <c r="AT1187" i="1"/>
  <c r="AR1187" i="1"/>
  <c r="AS1187" i="1" s="1"/>
  <c r="AU1186" i="1"/>
  <c r="AT1186" i="1"/>
  <c r="AS1186" i="1"/>
  <c r="AR1186" i="1"/>
  <c r="AU1185" i="1"/>
  <c r="AT1185" i="1"/>
  <c r="AS1185" i="1"/>
  <c r="AR1185" i="1"/>
  <c r="AU1184" i="1"/>
  <c r="AT1184" i="1"/>
  <c r="AR1184" i="1"/>
  <c r="AS1184" i="1" s="1"/>
  <c r="AU1183" i="1"/>
  <c r="AT1183" i="1"/>
  <c r="AR1183" i="1"/>
  <c r="AS1183" i="1" s="1"/>
  <c r="AU1182" i="1"/>
  <c r="AT1182" i="1"/>
  <c r="AR1182" i="1"/>
  <c r="AS1182" i="1" s="1"/>
  <c r="AU1181" i="1"/>
  <c r="AT1181" i="1"/>
  <c r="AS1181" i="1"/>
  <c r="AR1181" i="1"/>
  <c r="AU1180" i="1"/>
  <c r="AT1180" i="1"/>
  <c r="AR1180" i="1"/>
  <c r="AS1180" i="1" s="1"/>
  <c r="AU1179" i="1"/>
  <c r="AT1179" i="1"/>
  <c r="AR1179" i="1"/>
  <c r="AS1179" i="1" s="1"/>
  <c r="AU1178" i="1"/>
  <c r="AT1178" i="1"/>
  <c r="AS1178" i="1"/>
  <c r="AR1178" i="1"/>
  <c r="AU1177" i="1"/>
  <c r="AT1177" i="1"/>
  <c r="AR1177" i="1"/>
  <c r="AS1177" i="1" s="1"/>
  <c r="AU1176" i="1"/>
  <c r="AT1176" i="1"/>
  <c r="AR1176" i="1"/>
  <c r="AS1176" i="1" s="1"/>
  <c r="AU1175" i="1"/>
  <c r="AT1175" i="1"/>
  <c r="AR1175" i="1"/>
  <c r="AS1175" i="1" s="1"/>
  <c r="AU1174" i="1"/>
  <c r="AT1174" i="1"/>
  <c r="AR1174" i="1"/>
  <c r="AS1174" i="1" s="1"/>
  <c r="AU1173" i="1"/>
  <c r="AT1173" i="1"/>
  <c r="AR1173" i="1"/>
  <c r="AS1173" i="1" s="1"/>
  <c r="AU1172" i="1"/>
  <c r="AT1172" i="1"/>
  <c r="AR1172" i="1"/>
  <c r="AS1172" i="1" s="1"/>
  <c r="AU1171" i="1"/>
  <c r="AT1171" i="1"/>
  <c r="AR1171" i="1"/>
  <c r="AS1171" i="1" s="1"/>
  <c r="AU1170" i="1"/>
  <c r="AT1170" i="1"/>
  <c r="AR1170" i="1"/>
  <c r="AS1170" i="1" s="1"/>
  <c r="AU1169" i="1"/>
  <c r="AT1169" i="1"/>
  <c r="AR1169" i="1"/>
  <c r="AS1169" i="1" s="1"/>
  <c r="AU1168" i="1"/>
  <c r="AT1168" i="1"/>
  <c r="AR1168" i="1"/>
  <c r="AS1168" i="1" s="1"/>
  <c r="AU1167" i="1"/>
  <c r="AT1167" i="1"/>
  <c r="AR1167" i="1"/>
  <c r="AS1167" i="1" s="1"/>
  <c r="AU1166" i="1"/>
  <c r="AT1166" i="1"/>
  <c r="AS1166" i="1"/>
  <c r="AR1166" i="1"/>
  <c r="AU1165" i="1"/>
  <c r="AT1165" i="1"/>
  <c r="AR1165" i="1"/>
  <c r="AS1165" i="1" s="1"/>
  <c r="AU1164" i="1"/>
  <c r="AT1164" i="1"/>
  <c r="AR1164" i="1"/>
  <c r="AS1164" i="1" s="1"/>
  <c r="AU1163" i="1"/>
  <c r="AT1163" i="1"/>
  <c r="AS1163" i="1"/>
  <c r="AR1163" i="1"/>
  <c r="AU1162" i="1"/>
  <c r="AT1162" i="1"/>
  <c r="AR1162" i="1"/>
  <c r="AS1162" i="1" s="1"/>
  <c r="AU1161" i="1"/>
  <c r="AT1161" i="1"/>
  <c r="AR1161" i="1"/>
  <c r="AS1161" i="1" s="1"/>
  <c r="AU1160" i="1"/>
  <c r="AT1160" i="1"/>
  <c r="AS1160" i="1"/>
  <c r="AR1160" i="1"/>
  <c r="AU1159" i="1"/>
  <c r="AT1159" i="1"/>
  <c r="AR1159" i="1"/>
  <c r="AS1159" i="1" s="1"/>
  <c r="AU1158" i="1"/>
  <c r="AT1158" i="1"/>
  <c r="AR1158" i="1"/>
  <c r="AS1158" i="1" s="1"/>
  <c r="AU1157" i="1"/>
  <c r="AT1157" i="1"/>
  <c r="AR1157" i="1"/>
  <c r="AS1157" i="1" s="1"/>
  <c r="AU1156" i="1"/>
  <c r="AT1156" i="1"/>
  <c r="AR1156" i="1"/>
  <c r="AS1156" i="1" s="1"/>
  <c r="AU1155" i="1"/>
  <c r="AT1155" i="1"/>
  <c r="AR1155" i="1"/>
  <c r="AS1155" i="1" s="1"/>
  <c r="AU1154" i="1"/>
  <c r="AT1154" i="1"/>
  <c r="AR1154" i="1"/>
  <c r="AS1154" i="1" s="1"/>
  <c r="AU1153" i="1"/>
  <c r="AT1153" i="1"/>
  <c r="AR1153" i="1"/>
  <c r="AS1153" i="1" s="1"/>
  <c r="AU1152" i="1"/>
  <c r="AT1152" i="1"/>
  <c r="AR1152" i="1"/>
  <c r="AS1152" i="1" s="1"/>
  <c r="AU1151" i="1"/>
  <c r="AT1151" i="1"/>
  <c r="AR1151" i="1"/>
  <c r="AS1151" i="1" s="1"/>
  <c r="AU1150" i="1"/>
  <c r="AT1150" i="1"/>
  <c r="AR1150" i="1"/>
  <c r="AS1150" i="1" s="1"/>
  <c r="AU1149" i="1"/>
  <c r="AT1149" i="1"/>
  <c r="AR1149" i="1"/>
  <c r="AS1149" i="1" s="1"/>
  <c r="AU1148" i="1"/>
  <c r="AT1148" i="1"/>
  <c r="AS1148" i="1"/>
  <c r="AR1148" i="1"/>
  <c r="AU1147" i="1"/>
  <c r="AT1147" i="1"/>
  <c r="AR1147" i="1"/>
  <c r="AS1147" i="1" s="1"/>
  <c r="AU1146" i="1"/>
  <c r="AT1146" i="1"/>
  <c r="AR1146" i="1"/>
  <c r="AS1146" i="1" s="1"/>
  <c r="AU1145" i="1"/>
  <c r="AT1145" i="1"/>
  <c r="AS1145" i="1"/>
  <c r="AR1145" i="1"/>
  <c r="AU1144" i="1"/>
  <c r="AT1144" i="1"/>
  <c r="AR1144" i="1"/>
  <c r="AS1144" i="1" s="1"/>
  <c r="AU1143" i="1"/>
  <c r="AT1143" i="1"/>
  <c r="AR1143" i="1"/>
  <c r="AS1143" i="1" s="1"/>
  <c r="AU1142" i="1"/>
  <c r="AT1142" i="1"/>
  <c r="AS1142" i="1"/>
  <c r="AR1142" i="1"/>
  <c r="AU1141" i="1"/>
  <c r="AT1141" i="1"/>
  <c r="AR1141" i="1"/>
  <c r="AS1141" i="1" s="1"/>
  <c r="AU1140" i="1"/>
  <c r="AT1140" i="1"/>
  <c r="AR1140" i="1"/>
  <c r="AS1140" i="1" s="1"/>
  <c r="AU1139" i="1"/>
  <c r="AT1139" i="1"/>
  <c r="AR1139" i="1"/>
  <c r="AS1139" i="1" s="1"/>
  <c r="AU1138" i="1"/>
  <c r="AT1138" i="1"/>
  <c r="AR1138" i="1"/>
  <c r="AS1138" i="1" s="1"/>
  <c r="AU1137" i="1"/>
  <c r="AT1137" i="1"/>
  <c r="AR1137" i="1"/>
  <c r="AS1137" i="1" s="1"/>
  <c r="AU1136" i="1"/>
  <c r="AT1136" i="1"/>
  <c r="AR1136" i="1"/>
  <c r="AS1136" i="1" s="1"/>
  <c r="AU1135" i="1"/>
  <c r="AT1135" i="1"/>
  <c r="AR1135" i="1"/>
  <c r="AS1135" i="1" s="1"/>
  <c r="AU1134" i="1"/>
  <c r="AT1134" i="1"/>
  <c r="AR1134" i="1"/>
  <c r="AS1134" i="1" s="1"/>
  <c r="AU1133" i="1"/>
  <c r="AT1133" i="1"/>
  <c r="AR1133" i="1"/>
  <c r="AS1133" i="1" s="1"/>
  <c r="AU1132" i="1"/>
  <c r="AT1132" i="1"/>
  <c r="AR1132" i="1"/>
  <c r="AS1132" i="1" s="1"/>
  <c r="AU1131" i="1"/>
  <c r="AT1131" i="1"/>
  <c r="AR1131" i="1"/>
  <c r="AS1131" i="1" s="1"/>
  <c r="AU1130" i="1"/>
  <c r="AT1130" i="1"/>
  <c r="AS1130" i="1"/>
  <c r="AR1130" i="1"/>
  <c r="AU1129" i="1"/>
  <c r="AT1129" i="1"/>
  <c r="AR1129" i="1"/>
  <c r="AS1129" i="1" s="1"/>
  <c r="AU1128" i="1"/>
  <c r="AT1128" i="1"/>
  <c r="AR1128" i="1"/>
  <c r="AS1128" i="1" s="1"/>
  <c r="AU1127" i="1"/>
  <c r="AT1127" i="1"/>
  <c r="AS1127" i="1"/>
  <c r="AR1127" i="1"/>
  <c r="AU1126" i="1"/>
  <c r="AT1126" i="1"/>
  <c r="AR1126" i="1"/>
  <c r="AS1126" i="1" s="1"/>
  <c r="AU1125" i="1"/>
  <c r="AT1125" i="1"/>
  <c r="AR1125" i="1"/>
  <c r="AS1125" i="1" s="1"/>
  <c r="AU1124" i="1"/>
  <c r="AT1124" i="1"/>
  <c r="AS1124" i="1"/>
  <c r="AR1124" i="1"/>
  <c r="AU1123" i="1"/>
  <c r="AT1123" i="1"/>
  <c r="AR1123" i="1"/>
  <c r="AS1123" i="1" s="1"/>
  <c r="AU1122" i="1"/>
  <c r="AT1122" i="1"/>
  <c r="AR1122" i="1"/>
  <c r="AS1122" i="1" s="1"/>
  <c r="AU1121" i="1"/>
  <c r="AT1121" i="1"/>
  <c r="AR1121" i="1"/>
  <c r="AS1121" i="1" s="1"/>
  <c r="AU1120" i="1"/>
  <c r="AT1120" i="1"/>
  <c r="AR1120" i="1"/>
  <c r="AS1120" i="1" s="1"/>
  <c r="AU1119" i="1"/>
  <c r="AT1119" i="1"/>
  <c r="AR1119" i="1"/>
  <c r="AS1119" i="1" s="1"/>
  <c r="AU1118" i="1"/>
  <c r="AT1118" i="1"/>
  <c r="AR1118" i="1"/>
  <c r="AS1118" i="1" s="1"/>
  <c r="AU1117" i="1"/>
  <c r="AT1117" i="1"/>
  <c r="AR1117" i="1"/>
  <c r="AS1117" i="1" s="1"/>
  <c r="AU1116" i="1"/>
  <c r="AT1116" i="1"/>
  <c r="AR1116" i="1"/>
  <c r="AS1116" i="1" s="1"/>
  <c r="AU1115" i="1"/>
  <c r="AT1115" i="1"/>
  <c r="AR1115" i="1"/>
  <c r="AS1115" i="1" s="1"/>
  <c r="AU1114" i="1"/>
  <c r="AT1114" i="1"/>
  <c r="AR1114" i="1"/>
  <c r="AS1114" i="1" s="1"/>
  <c r="AU1113" i="1"/>
  <c r="AT1113" i="1"/>
  <c r="AR1113" i="1"/>
  <c r="AS1113" i="1" s="1"/>
  <c r="AU1112" i="1"/>
  <c r="AT1112" i="1"/>
  <c r="AS1112" i="1"/>
  <c r="AR1112" i="1"/>
  <c r="AU1111" i="1"/>
  <c r="AT1111" i="1"/>
  <c r="AR1111" i="1"/>
  <c r="AS1111" i="1" s="1"/>
  <c r="AU1110" i="1"/>
  <c r="AT1110" i="1"/>
  <c r="AR1110" i="1"/>
  <c r="AS1110" i="1" s="1"/>
  <c r="AU1109" i="1"/>
  <c r="AT1109" i="1"/>
  <c r="AS1109" i="1"/>
  <c r="AR1109" i="1"/>
  <c r="AU1108" i="1"/>
  <c r="AT1108" i="1"/>
  <c r="AR1108" i="1"/>
  <c r="AS1108" i="1" s="1"/>
  <c r="AU1107" i="1"/>
  <c r="AT1107" i="1"/>
  <c r="AR1107" i="1"/>
  <c r="AS1107" i="1" s="1"/>
  <c r="AU1106" i="1"/>
  <c r="AT1106" i="1"/>
  <c r="AS1106" i="1"/>
  <c r="AR1106" i="1"/>
  <c r="AU1105" i="1"/>
  <c r="AT1105" i="1"/>
  <c r="AR1105" i="1"/>
  <c r="AS1105" i="1" s="1"/>
  <c r="AU1104" i="1"/>
  <c r="AT1104" i="1"/>
  <c r="AR1104" i="1"/>
  <c r="AS1104" i="1" s="1"/>
  <c r="AU1103" i="1"/>
  <c r="AT1103" i="1"/>
  <c r="AR1103" i="1"/>
  <c r="AS1103" i="1" s="1"/>
  <c r="AU1102" i="1"/>
  <c r="AT1102" i="1"/>
  <c r="AR1102" i="1"/>
  <c r="AS1102" i="1" s="1"/>
  <c r="AU1101" i="1"/>
  <c r="AT1101" i="1"/>
  <c r="AR1101" i="1"/>
  <c r="AS1101" i="1" s="1"/>
  <c r="AU1100" i="1"/>
  <c r="AT1100" i="1"/>
  <c r="AR1100" i="1"/>
  <c r="AS1100" i="1" s="1"/>
  <c r="AU1099" i="1"/>
  <c r="AT1099" i="1"/>
  <c r="AR1099" i="1"/>
  <c r="AS1099" i="1" s="1"/>
  <c r="AU1098" i="1"/>
  <c r="AT1098" i="1"/>
  <c r="AR1098" i="1"/>
  <c r="AS1098" i="1" s="1"/>
  <c r="AU1097" i="1"/>
  <c r="AT1097" i="1"/>
  <c r="AR1097" i="1"/>
  <c r="AS1097" i="1" s="1"/>
  <c r="AU1096" i="1"/>
  <c r="AT1096" i="1"/>
  <c r="AR1096" i="1"/>
  <c r="AS1096" i="1" s="1"/>
  <c r="AU1095" i="1"/>
  <c r="AT1095" i="1"/>
  <c r="AR1095" i="1"/>
  <c r="AS1095" i="1" s="1"/>
  <c r="AU1094" i="1"/>
  <c r="AT1094" i="1"/>
  <c r="AS1094" i="1"/>
  <c r="AR1094" i="1"/>
  <c r="AU1093" i="1"/>
  <c r="AT1093" i="1"/>
  <c r="AR1093" i="1"/>
  <c r="AS1093" i="1" s="1"/>
  <c r="AU1092" i="1"/>
  <c r="AT1092" i="1"/>
  <c r="AR1092" i="1"/>
  <c r="AS1092" i="1" s="1"/>
  <c r="AU1091" i="1"/>
  <c r="AT1091" i="1"/>
  <c r="AS1091" i="1"/>
  <c r="AR1091" i="1"/>
  <c r="AU1090" i="1"/>
  <c r="AT1090" i="1"/>
  <c r="AR1090" i="1"/>
  <c r="AS1090" i="1" s="1"/>
  <c r="AU1089" i="1"/>
  <c r="AT1089" i="1"/>
  <c r="AR1089" i="1"/>
  <c r="AS1089" i="1" s="1"/>
  <c r="AU1088" i="1"/>
  <c r="AT1088" i="1"/>
  <c r="AS1088" i="1"/>
  <c r="AR1088" i="1"/>
  <c r="AU1087" i="1"/>
  <c r="AT1087" i="1"/>
  <c r="AR1087" i="1"/>
  <c r="AS1087" i="1" s="1"/>
  <c r="AU1086" i="1"/>
  <c r="AT1086" i="1"/>
  <c r="AR1086" i="1"/>
  <c r="AS1086" i="1" s="1"/>
  <c r="AU1085" i="1"/>
  <c r="AT1085" i="1"/>
  <c r="AR1085" i="1"/>
  <c r="AS1085" i="1" s="1"/>
  <c r="AU1084" i="1"/>
  <c r="AT1084" i="1"/>
  <c r="AR1084" i="1"/>
  <c r="AS1084" i="1" s="1"/>
  <c r="AU1083" i="1"/>
  <c r="AT1083" i="1"/>
  <c r="AR1083" i="1"/>
  <c r="AS1083" i="1" s="1"/>
  <c r="AU1082" i="1"/>
  <c r="AT1082" i="1"/>
  <c r="AS1082" i="1"/>
  <c r="AR1082" i="1"/>
  <c r="AU1081" i="1"/>
  <c r="AT1081" i="1"/>
  <c r="AR1081" i="1"/>
  <c r="AS1081" i="1" s="1"/>
  <c r="AU1080" i="1"/>
  <c r="AT1080" i="1"/>
  <c r="AR1080" i="1"/>
  <c r="AS1080" i="1" s="1"/>
  <c r="AU1079" i="1"/>
  <c r="AT1079" i="1"/>
  <c r="AR1079" i="1"/>
  <c r="AS1079" i="1" s="1"/>
  <c r="AU1078" i="1"/>
  <c r="AT1078" i="1"/>
  <c r="AR1078" i="1"/>
  <c r="AS1078" i="1" s="1"/>
  <c r="AU1077" i="1"/>
  <c r="AT1077" i="1"/>
  <c r="AR1077" i="1"/>
  <c r="AS1077" i="1" s="1"/>
  <c r="AU1076" i="1"/>
  <c r="AT1076" i="1"/>
  <c r="AS1076" i="1"/>
  <c r="AR1076" i="1"/>
  <c r="AU1075" i="1"/>
  <c r="AT1075" i="1"/>
  <c r="AR1075" i="1"/>
  <c r="AS1075" i="1" s="1"/>
  <c r="AU1074" i="1"/>
  <c r="AT1074" i="1"/>
  <c r="AR1074" i="1"/>
  <c r="AS1074" i="1" s="1"/>
  <c r="AU1073" i="1"/>
  <c r="AT1073" i="1"/>
  <c r="AS1073" i="1"/>
  <c r="AR1073" i="1"/>
  <c r="AU1072" i="1"/>
  <c r="AT1072" i="1"/>
  <c r="AR1072" i="1"/>
  <c r="AS1072" i="1" s="1"/>
  <c r="AU1071" i="1"/>
  <c r="AT1071" i="1"/>
  <c r="AR1071" i="1"/>
  <c r="AS1071" i="1" s="1"/>
  <c r="AU1070" i="1"/>
  <c r="AT1070" i="1"/>
  <c r="AS1070" i="1"/>
  <c r="AR1070" i="1"/>
  <c r="AU1069" i="1"/>
  <c r="AT1069" i="1"/>
  <c r="AR1069" i="1"/>
  <c r="AS1069" i="1" s="1"/>
  <c r="AU1068" i="1"/>
  <c r="AT1068" i="1"/>
  <c r="AR1068" i="1"/>
  <c r="AS1068" i="1" s="1"/>
  <c r="AU1067" i="1"/>
  <c r="AT1067" i="1"/>
  <c r="AR1067" i="1"/>
  <c r="AS1067" i="1" s="1"/>
  <c r="AU1066" i="1"/>
  <c r="AT1066" i="1"/>
  <c r="AR1066" i="1"/>
  <c r="AS1066" i="1" s="1"/>
  <c r="AU1065" i="1"/>
  <c r="AT1065" i="1"/>
  <c r="AR1065" i="1"/>
  <c r="AS1065" i="1" s="1"/>
  <c r="AU1064" i="1"/>
  <c r="AT1064" i="1"/>
  <c r="AR1064" i="1"/>
  <c r="AS1064" i="1" s="1"/>
  <c r="AU1063" i="1"/>
  <c r="AT1063" i="1"/>
  <c r="AR1063" i="1"/>
  <c r="AS1063" i="1" s="1"/>
  <c r="AU1062" i="1"/>
  <c r="AT1062" i="1"/>
  <c r="AR1062" i="1"/>
  <c r="AS1062" i="1" s="1"/>
  <c r="AU1061" i="1"/>
  <c r="AT1061" i="1"/>
  <c r="AR1061" i="1"/>
  <c r="AS1061" i="1" s="1"/>
  <c r="AU1060" i="1"/>
  <c r="AT1060" i="1"/>
  <c r="AR1060" i="1"/>
  <c r="AS1060" i="1" s="1"/>
  <c r="AU1059" i="1"/>
  <c r="AT1059" i="1"/>
  <c r="AR1059" i="1"/>
  <c r="AS1059" i="1" s="1"/>
  <c r="AU1058" i="1"/>
  <c r="AT1058" i="1"/>
  <c r="AS1058" i="1"/>
  <c r="AR1058" i="1"/>
  <c r="AU1057" i="1"/>
  <c r="AT1057" i="1"/>
  <c r="AR1057" i="1"/>
  <c r="AS1057" i="1" s="1"/>
  <c r="AU1056" i="1"/>
  <c r="AT1056" i="1"/>
  <c r="AR1056" i="1"/>
  <c r="AS1056" i="1" s="1"/>
  <c r="AU1055" i="1"/>
  <c r="AT1055" i="1"/>
  <c r="AS1055" i="1"/>
  <c r="AR1055" i="1"/>
  <c r="AU1054" i="1"/>
  <c r="AT1054" i="1"/>
  <c r="AR1054" i="1"/>
  <c r="AS1054" i="1" s="1"/>
  <c r="AU1053" i="1"/>
  <c r="AT1053" i="1"/>
  <c r="AR1053" i="1"/>
  <c r="AS1053" i="1" s="1"/>
  <c r="AU1052" i="1"/>
  <c r="AT1052" i="1"/>
  <c r="AS1052" i="1"/>
  <c r="AR1052" i="1"/>
  <c r="AU1051" i="1"/>
  <c r="AT1051" i="1"/>
  <c r="AR1051" i="1"/>
  <c r="AS1051" i="1" s="1"/>
  <c r="AU1050" i="1"/>
  <c r="AT1050" i="1"/>
  <c r="AR1050" i="1"/>
  <c r="AS1050" i="1" s="1"/>
  <c r="AU1049" i="1"/>
  <c r="AT1049" i="1"/>
  <c r="AR1049" i="1"/>
  <c r="AS1049" i="1" s="1"/>
  <c r="AU1048" i="1"/>
  <c r="AT1048" i="1"/>
  <c r="AR1048" i="1"/>
  <c r="AS1048" i="1" s="1"/>
  <c r="AU1047" i="1"/>
  <c r="AT1047" i="1"/>
  <c r="AR1047" i="1"/>
  <c r="AS1047" i="1" s="1"/>
  <c r="AU1046" i="1"/>
  <c r="AT1046" i="1"/>
  <c r="AR1046" i="1"/>
  <c r="AS1046" i="1" s="1"/>
  <c r="AU1045" i="1"/>
  <c r="AT1045" i="1"/>
  <c r="AR1045" i="1"/>
  <c r="AS1045" i="1" s="1"/>
  <c r="AU1044" i="1"/>
  <c r="AT1044" i="1"/>
  <c r="AS1044" i="1"/>
  <c r="AR1044" i="1"/>
  <c r="AU1043" i="1"/>
  <c r="AT1043" i="1"/>
  <c r="AS1043" i="1"/>
  <c r="AR1043" i="1"/>
  <c r="AU1042" i="1"/>
  <c r="AT1042" i="1"/>
  <c r="AR1042" i="1"/>
  <c r="AS1042" i="1" s="1"/>
  <c r="AU1041" i="1"/>
  <c r="AT1041" i="1"/>
  <c r="AS1041" i="1"/>
  <c r="AR1041" i="1"/>
  <c r="AU1040" i="1"/>
  <c r="AT1040" i="1"/>
  <c r="AS1040" i="1"/>
  <c r="AR1040" i="1"/>
  <c r="AU1039" i="1"/>
  <c r="AT1039" i="1"/>
  <c r="AR1039" i="1"/>
  <c r="AS1039" i="1" s="1"/>
  <c r="AU1038" i="1"/>
  <c r="AT1038" i="1"/>
  <c r="AS1038" i="1"/>
  <c r="AR1038" i="1"/>
  <c r="AU1037" i="1"/>
  <c r="AT1037" i="1"/>
  <c r="AR1037" i="1"/>
  <c r="AS1037" i="1" s="1"/>
  <c r="AU1036" i="1"/>
  <c r="AT1036" i="1"/>
  <c r="AR1036" i="1"/>
  <c r="AS1036" i="1" s="1"/>
  <c r="AU1035" i="1"/>
  <c r="AT1035" i="1"/>
  <c r="AS1035" i="1"/>
  <c r="AR1035" i="1"/>
  <c r="AU1034" i="1"/>
  <c r="AT1034" i="1"/>
  <c r="AR1034" i="1"/>
  <c r="AS1034" i="1" s="1"/>
  <c r="AU1033" i="1"/>
  <c r="AT1033" i="1"/>
  <c r="AR1033" i="1"/>
  <c r="AS1033" i="1" s="1"/>
  <c r="AU1032" i="1"/>
  <c r="AT1032" i="1"/>
  <c r="AR1032" i="1"/>
  <c r="AS1032" i="1" s="1"/>
  <c r="AU1031" i="1"/>
  <c r="AT1031" i="1"/>
  <c r="AS1031" i="1"/>
  <c r="AR1031" i="1"/>
  <c r="AU1030" i="1"/>
  <c r="AT1030" i="1"/>
  <c r="AR1030" i="1"/>
  <c r="AS1030" i="1" s="1"/>
  <c r="AU1029" i="1"/>
  <c r="AT1029" i="1"/>
  <c r="AS1029" i="1"/>
  <c r="AR1029" i="1"/>
  <c r="AU1028" i="1"/>
  <c r="AT1028" i="1"/>
  <c r="AS1028" i="1"/>
  <c r="AR1028" i="1"/>
  <c r="AU1027" i="1"/>
  <c r="AT1027" i="1"/>
  <c r="AR1027" i="1"/>
  <c r="AS1027" i="1" s="1"/>
  <c r="AU1026" i="1"/>
  <c r="AT1026" i="1"/>
  <c r="AR1026" i="1"/>
  <c r="AS1026" i="1" s="1"/>
  <c r="AU1025" i="1"/>
  <c r="AT1025" i="1"/>
  <c r="AS1025" i="1"/>
  <c r="AR1025" i="1"/>
  <c r="AU1024" i="1"/>
  <c r="AT1024" i="1"/>
  <c r="AR1024" i="1"/>
  <c r="AS1024" i="1" s="1"/>
  <c r="AU1023" i="1"/>
  <c r="AT1023" i="1"/>
  <c r="AR1023" i="1"/>
  <c r="AS1023" i="1" s="1"/>
  <c r="AU1022" i="1"/>
  <c r="AT1022" i="1"/>
  <c r="AS1022" i="1"/>
  <c r="AR1022" i="1"/>
  <c r="AU1021" i="1"/>
  <c r="AT1021" i="1"/>
  <c r="AR1021" i="1"/>
  <c r="AS1021" i="1" s="1"/>
  <c r="AU1020" i="1"/>
  <c r="AT1020" i="1"/>
  <c r="AS1020" i="1"/>
  <c r="AR1020" i="1"/>
  <c r="AU1019" i="1"/>
  <c r="AT1019" i="1"/>
  <c r="AR1019" i="1"/>
  <c r="AS1019" i="1" s="1"/>
  <c r="AU1018" i="1"/>
  <c r="AT1018" i="1"/>
  <c r="AR1018" i="1"/>
  <c r="AS1018" i="1" s="1"/>
  <c r="AU1017" i="1"/>
  <c r="AT1017" i="1"/>
  <c r="AR1017" i="1"/>
  <c r="AS1017" i="1" s="1"/>
  <c r="AU1016" i="1"/>
  <c r="AT1016" i="1"/>
  <c r="AS1016" i="1"/>
  <c r="AR1016" i="1"/>
  <c r="AU1015" i="1"/>
  <c r="AT1015" i="1"/>
  <c r="AR1015" i="1"/>
  <c r="AS1015" i="1" s="1"/>
  <c r="AU1014" i="1"/>
  <c r="AT1014" i="1"/>
  <c r="AR1014" i="1"/>
  <c r="AS1014" i="1" s="1"/>
  <c r="AU1013" i="1"/>
  <c r="AT1013" i="1"/>
  <c r="AR1013" i="1"/>
  <c r="AS1013" i="1" s="1"/>
  <c r="AU1012" i="1"/>
  <c r="AT1012" i="1"/>
  <c r="AR1012" i="1"/>
  <c r="AS1012" i="1" s="1"/>
  <c r="AU1011" i="1"/>
  <c r="AT1011" i="1"/>
  <c r="AR1011" i="1"/>
  <c r="AS1011" i="1" s="1"/>
  <c r="AU1010" i="1"/>
  <c r="AT1010" i="1"/>
  <c r="AR1010" i="1"/>
  <c r="AS1010" i="1" s="1"/>
  <c r="AU1009" i="1"/>
  <c r="AT1009" i="1"/>
  <c r="AR1009" i="1"/>
  <c r="AS1009" i="1" s="1"/>
  <c r="AU1008" i="1"/>
  <c r="AT1008" i="1"/>
  <c r="AS1008" i="1"/>
  <c r="AR1008" i="1"/>
  <c r="AU1007" i="1"/>
  <c r="AT1007" i="1"/>
  <c r="AS1007" i="1"/>
  <c r="AR1007" i="1"/>
  <c r="AU1006" i="1"/>
  <c r="AT1006" i="1"/>
  <c r="AR1006" i="1"/>
  <c r="AS1006" i="1" s="1"/>
  <c r="AU1005" i="1"/>
  <c r="AT1005" i="1"/>
  <c r="AS1005" i="1"/>
  <c r="AR1005" i="1"/>
  <c r="AU1004" i="1"/>
  <c r="AT1004" i="1"/>
  <c r="AR1004" i="1"/>
  <c r="AS1004" i="1" s="1"/>
  <c r="AU1003" i="1"/>
  <c r="AT1003" i="1"/>
  <c r="AR1003" i="1"/>
  <c r="AS1003" i="1" s="1"/>
  <c r="AU1002" i="1"/>
  <c r="AT1002" i="1"/>
  <c r="AS1002" i="1"/>
  <c r="AR1002" i="1"/>
  <c r="AU1001" i="1"/>
  <c r="AT1001" i="1"/>
  <c r="AR1001" i="1"/>
  <c r="AS1001" i="1" s="1"/>
  <c r="AU1000" i="1"/>
  <c r="AT1000" i="1"/>
  <c r="AR1000" i="1"/>
  <c r="AS1000" i="1" s="1"/>
  <c r="AU999" i="1"/>
  <c r="AT999" i="1"/>
  <c r="AS999" i="1"/>
  <c r="AR999" i="1"/>
  <c r="AU998" i="1"/>
  <c r="AT998" i="1"/>
  <c r="AR998" i="1"/>
  <c r="AS998" i="1" s="1"/>
  <c r="AU997" i="1"/>
  <c r="AT997" i="1"/>
  <c r="AR997" i="1"/>
  <c r="AS997" i="1" s="1"/>
  <c r="AU996" i="1"/>
  <c r="AT996" i="1"/>
  <c r="AR996" i="1"/>
  <c r="AS996" i="1" s="1"/>
  <c r="AU995" i="1"/>
  <c r="AT995" i="1"/>
  <c r="AS995" i="1"/>
  <c r="AR995" i="1"/>
  <c r="AU994" i="1"/>
  <c r="AT994" i="1"/>
  <c r="AR994" i="1"/>
  <c r="AS994" i="1" s="1"/>
  <c r="AU993" i="1"/>
  <c r="AT993" i="1"/>
  <c r="AS993" i="1"/>
  <c r="AR993" i="1"/>
  <c r="AU992" i="1"/>
  <c r="AT992" i="1"/>
  <c r="AS992" i="1"/>
  <c r="AR992" i="1"/>
  <c r="AU991" i="1"/>
  <c r="AT991" i="1"/>
  <c r="AR991" i="1"/>
  <c r="AS991" i="1" s="1"/>
  <c r="AU990" i="1"/>
  <c r="AT990" i="1"/>
  <c r="AR990" i="1"/>
  <c r="AS990" i="1" s="1"/>
  <c r="AU989" i="1"/>
  <c r="AT989" i="1"/>
  <c r="AS989" i="1"/>
  <c r="AR989" i="1"/>
  <c r="AU988" i="1"/>
  <c r="AT988" i="1"/>
  <c r="AR988" i="1"/>
  <c r="AS988" i="1" s="1"/>
  <c r="AU987" i="1"/>
  <c r="AT987" i="1"/>
  <c r="AR987" i="1"/>
  <c r="AS987" i="1" s="1"/>
  <c r="AU986" i="1"/>
  <c r="AT986" i="1"/>
  <c r="AS986" i="1"/>
  <c r="AR986" i="1"/>
  <c r="AU985" i="1"/>
  <c r="AT985" i="1"/>
  <c r="AR985" i="1"/>
  <c r="AS985" i="1" s="1"/>
  <c r="AU984" i="1"/>
  <c r="AT984" i="1"/>
  <c r="AS984" i="1"/>
  <c r="AR984" i="1"/>
  <c r="AU983" i="1"/>
  <c r="AT983" i="1"/>
  <c r="AS983" i="1"/>
  <c r="AR983" i="1"/>
  <c r="AU982" i="1"/>
  <c r="AT982" i="1"/>
  <c r="AR982" i="1"/>
  <c r="AS982" i="1" s="1"/>
  <c r="AU981" i="1"/>
  <c r="AT981" i="1"/>
  <c r="AS981" i="1"/>
  <c r="AR981" i="1"/>
  <c r="AU980" i="1"/>
  <c r="AT980" i="1"/>
  <c r="AR980" i="1"/>
  <c r="AS980" i="1" s="1"/>
  <c r="AU979" i="1"/>
  <c r="AT979" i="1"/>
  <c r="AR979" i="1"/>
  <c r="AS979" i="1" s="1"/>
  <c r="AU978" i="1"/>
  <c r="AT978" i="1"/>
  <c r="AR978" i="1"/>
  <c r="AS978" i="1" s="1"/>
  <c r="AU977" i="1"/>
  <c r="AT977" i="1"/>
  <c r="AR977" i="1"/>
  <c r="AS977" i="1" s="1"/>
  <c r="AU976" i="1"/>
  <c r="AT976" i="1"/>
  <c r="AR976" i="1"/>
  <c r="AS976" i="1" s="1"/>
  <c r="AU975" i="1"/>
  <c r="AT975" i="1"/>
  <c r="AR975" i="1"/>
  <c r="AS975" i="1" s="1"/>
  <c r="AU974" i="1"/>
  <c r="AT974" i="1"/>
  <c r="AR974" i="1"/>
  <c r="AS974" i="1" s="1"/>
  <c r="AU973" i="1"/>
  <c r="AT973" i="1"/>
  <c r="AR973" i="1"/>
  <c r="AS973" i="1" s="1"/>
  <c r="AU972" i="1"/>
  <c r="AT972" i="1"/>
  <c r="AS972" i="1"/>
  <c r="AR972" i="1"/>
  <c r="AU971" i="1"/>
  <c r="AT971" i="1"/>
  <c r="AS971" i="1"/>
  <c r="AR971" i="1"/>
  <c r="AU970" i="1"/>
  <c r="AT970" i="1"/>
  <c r="AR970" i="1"/>
  <c r="AS970" i="1" s="1"/>
  <c r="AU969" i="1"/>
  <c r="AT969" i="1"/>
  <c r="AR969" i="1"/>
  <c r="AS969" i="1" s="1"/>
  <c r="AU968" i="1"/>
  <c r="AT968" i="1"/>
  <c r="AR968" i="1"/>
  <c r="AS968" i="1" s="1"/>
  <c r="AU967" i="1"/>
  <c r="AT967" i="1"/>
  <c r="AR967" i="1"/>
  <c r="AS967" i="1" s="1"/>
  <c r="AU966" i="1"/>
  <c r="AT966" i="1"/>
  <c r="AS966" i="1"/>
  <c r="AR966" i="1"/>
  <c r="AU965" i="1"/>
  <c r="AT965" i="1"/>
  <c r="AR965" i="1"/>
  <c r="AS965" i="1" s="1"/>
  <c r="AU964" i="1"/>
  <c r="AT964" i="1"/>
  <c r="AR964" i="1"/>
  <c r="AS964" i="1" s="1"/>
  <c r="AU963" i="1"/>
  <c r="AT963" i="1"/>
  <c r="AS963" i="1"/>
  <c r="AR963" i="1"/>
  <c r="AU962" i="1"/>
  <c r="AT962" i="1"/>
  <c r="AR962" i="1"/>
  <c r="AS962" i="1" s="1"/>
  <c r="AU961" i="1"/>
  <c r="AT961" i="1"/>
  <c r="AR961" i="1"/>
  <c r="AS961" i="1" s="1"/>
  <c r="AU960" i="1"/>
  <c r="AT960" i="1"/>
  <c r="AR960" i="1"/>
  <c r="AS960" i="1" s="1"/>
  <c r="AU959" i="1"/>
  <c r="AT959" i="1"/>
  <c r="AS959" i="1"/>
  <c r="AR959" i="1"/>
  <c r="AU958" i="1"/>
  <c r="AT958" i="1"/>
  <c r="AR958" i="1"/>
  <c r="AS958" i="1" s="1"/>
  <c r="AU957" i="1"/>
  <c r="AT957" i="1"/>
  <c r="AS957" i="1"/>
  <c r="AR957" i="1"/>
  <c r="AU956" i="1"/>
  <c r="AT956" i="1"/>
  <c r="AR956" i="1"/>
  <c r="AS956" i="1" s="1"/>
  <c r="AU955" i="1"/>
  <c r="AT955" i="1"/>
  <c r="AR955" i="1"/>
  <c r="AS955" i="1" s="1"/>
  <c r="AU954" i="1"/>
  <c r="AT954" i="1"/>
  <c r="AR954" i="1"/>
  <c r="AS954" i="1" s="1"/>
  <c r="AU953" i="1"/>
  <c r="AT953" i="1"/>
  <c r="AS953" i="1"/>
  <c r="AR953" i="1"/>
  <c r="AU952" i="1"/>
  <c r="AT952" i="1"/>
  <c r="AR952" i="1"/>
  <c r="AS952" i="1" s="1"/>
  <c r="AU951" i="1"/>
  <c r="AT951" i="1"/>
  <c r="AR951" i="1"/>
  <c r="AS951" i="1" s="1"/>
  <c r="AU950" i="1"/>
  <c r="AT950" i="1"/>
  <c r="AS950" i="1"/>
  <c r="AR950" i="1"/>
  <c r="AU949" i="1"/>
  <c r="AT949" i="1"/>
  <c r="AR949" i="1"/>
  <c r="AS949" i="1" s="1"/>
  <c r="AU948" i="1"/>
  <c r="AT948" i="1"/>
  <c r="AS948" i="1"/>
  <c r="AR948" i="1"/>
  <c r="AU947" i="1"/>
  <c r="AT947" i="1"/>
  <c r="AR947" i="1"/>
  <c r="AS947" i="1" s="1"/>
  <c r="AU946" i="1"/>
  <c r="AT946" i="1"/>
  <c r="AR946" i="1"/>
  <c r="AS946" i="1" s="1"/>
  <c r="AU945" i="1"/>
  <c r="AT945" i="1"/>
  <c r="AS945" i="1"/>
  <c r="AR945" i="1"/>
  <c r="AU944" i="1"/>
  <c r="AT944" i="1"/>
  <c r="AS944" i="1"/>
  <c r="AR944" i="1"/>
  <c r="AU943" i="1"/>
  <c r="AT943" i="1"/>
  <c r="AR943" i="1"/>
  <c r="AS943" i="1" s="1"/>
  <c r="AU942" i="1"/>
  <c r="AT942" i="1"/>
  <c r="AR942" i="1"/>
  <c r="AS942" i="1" s="1"/>
  <c r="AU941" i="1"/>
  <c r="AT941" i="1"/>
  <c r="AR941" i="1"/>
  <c r="AS941" i="1" s="1"/>
  <c r="AU940" i="1"/>
  <c r="AT940" i="1"/>
  <c r="AR940" i="1"/>
  <c r="AS940" i="1" s="1"/>
  <c r="AU939" i="1"/>
  <c r="AT939" i="1"/>
  <c r="AR939" i="1"/>
  <c r="AS939" i="1" s="1"/>
  <c r="AU938" i="1"/>
  <c r="AT938" i="1"/>
  <c r="AR938" i="1"/>
  <c r="AS938" i="1" s="1"/>
  <c r="AU937" i="1"/>
  <c r="AT937" i="1"/>
  <c r="AR937" i="1"/>
  <c r="AS937" i="1" s="1"/>
  <c r="AU936" i="1"/>
  <c r="AT936" i="1"/>
  <c r="AS936" i="1"/>
  <c r="AR936" i="1"/>
  <c r="AU935" i="1"/>
  <c r="AT935" i="1"/>
  <c r="AS935" i="1"/>
  <c r="AR935" i="1"/>
  <c r="AU934" i="1"/>
  <c r="AT934" i="1"/>
  <c r="AR934" i="1"/>
  <c r="AS934" i="1" s="1"/>
  <c r="AU933" i="1"/>
  <c r="AT933" i="1"/>
  <c r="AR933" i="1"/>
  <c r="AS933" i="1" s="1"/>
  <c r="AU932" i="1"/>
  <c r="AT932" i="1"/>
  <c r="AS932" i="1"/>
  <c r="AR932" i="1"/>
  <c r="AU931" i="1"/>
  <c r="AT931" i="1"/>
  <c r="AR931" i="1"/>
  <c r="AS931" i="1" s="1"/>
  <c r="AU930" i="1"/>
  <c r="AT930" i="1"/>
  <c r="AS930" i="1"/>
  <c r="AR930" i="1"/>
  <c r="AU929" i="1"/>
  <c r="AT929" i="1"/>
  <c r="AR929" i="1"/>
  <c r="AS929" i="1" s="1"/>
  <c r="AU928" i="1"/>
  <c r="AT928" i="1"/>
  <c r="AR928" i="1"/>
  <c r="AS928" i="1" s="1"/>
  <c r="AU927" i="1"/>
  <c r="AT927" i="1"/>
  <c r="AS927" i="1"/>
  <c r="AR927" i="1"/>
  <c r="AU926" i="1"/>
  <c r="AT926" i="1"/>
  <c r="AR926" i="1"/>
  <c r="AS926" i="1" s="1"/>
  <c r="AU925" i="1"/>
  <c r="AT925" i="1"/>
  <c r="AR925" i="1"/>
  <c r="AS925" i="1" s="1"/>
  <c r="AU924" i="1"/>
  <c r="AT924" i="1"/>
  <c r="AS924" i="1"/>
  <c r="AR924" i="1"/>
  <c r="AU923" i="1"/>
  <c r="AT923" i="1"/>
  <c r="AR923" i="1"/>
  <c r="AS923" i="1" s="1"/>
  <c r="AU922" i="1"/>
  <c r="AT922" i="1"/>
  <c r="AR922" i="1"/>
  <c r="AS922" i="1" s="1"/>
  <c r="AU921" i="1"/>
  <c r="AT921" i="1"/>
  <c r="AS921" i="1"/>
  <c r="AR921" i="1"/>
  <c r="AU920" i="1"/>
  <c r="AT920" i="1"/>
  <c r="AR920" i="1"/>
  <c r="AS920" i="1" s="1"/>
  <c r="AU919" i="1"/>
  <c r="AT919" i="1"/>
  <c r="AR919" i="1"/>
  <c r="AS919" i="1" s="1"/>
  <c r="AU918" i="1"/>
  <c r="AT918" i="1"/>
  <c r="AS918" i="1"/>
  <c r="AR918" i="1"/>
  <c r="AU917" i="1"/>
  <c r="AT917" i="1"/>
  <c r="AR917" i="1"/>
  <c r="AS917" i="1" s="1"/>
  <c r="AU916" i="1"/>
  <c r="AT916" i="1"/>
  <c r="AR916" i="1"/>
  <c r="AS916" i="1" s="1"/>
  <c r="AU915" i="1"/>
  <c r="AT915" i="1"/>
  <c r="AS915" i="1"/>
  <c r="AR915" i="1"/>
  <c r="AU914" i="1"/>
  <c r="AT914" i="1"/>
  <c r="AR914" i="1"/>
  <c r="AS914" i="1" s="1"/>
  <c r="AU913" i="1"/>
  <c r="AT913" i="1"/>
  <c r="AR913" i="1"/>
  <c r="AS913" i="1" s="1"/>
  <c r="AU912" i="1"/>
  <c r="AT912" i="1"/>
  <c r="AR912" i="1"/>
  <c r="AS912" i="1" s="1"/>
  <c r="AU911" i="1"/>
  <c r="AT911" i="1"/>
  <c r="AR911" i="1"/>
  <c r="AS911" i="1" s="1"/>
  <c r="AU910" i="1"/>
  <c r="AT910" i="1"/>
  <c r="AR910" i="1"/>
  <c r="AS910" i="1" s="1"/>
  <c r="AU909" i="1"/>
  <c r="AT909" i="1"/>
  <c r="AS909" i="1"/>
  <c r="AR909" i="1"/>
  <c r="AU908" i="1"/>
  <c r="AT908" i="1"/>
  <c r="AR908" i="1"/>
  <c r="AS908" i="1" s="1"/>
  <c r="AU907" i="1"/>
  <c r="AT907" i="1"/>
  <c r="AR907" i="1"/>
  <c r="AS907" i="1" s="1"/>
  <c r="AU906" i="1"/>
  <c r="AT906" i="1"/>
  <c r="AS906" i="1"/>
  <c r="AR906" i="1"/>
  <c r="AU905" i="1"/>
  <c r="AT905" i="1"/>
  <c r="AR905" i="1"/>
  <c r="AS905" i="1" s="1"/>
  <c r="AU904" i="1"/>
  <c r="AT904" i="1"/>
  <c r="AR904" i="1"/>
  <c r="AS904" i="1" s="1"/>
  <c r="AU903" i="1"/>
  <c r="AT903" i="1"/>
  <c r="AR903" i="1"/>
  <c r="AS903" i="1" s="1"/>
  <c r="AU902" i="1"/>
  <c r="AT902" i="1"/>
  <c r="AR902" i="1"/>
  <c r="AS902" i="1" s="1"/>
  <c r="AU901" i="1"/>
  <c r="AT901" i="1"/>
  <c r="AR901" i="1"/>
  <c r="AS901" i="1" s="1"/>
  <c r="AU900" i="1"/>
  <c r="AT900" i="1"/>
  <c r="AR900" i="1"/>
  <c r="AS900" i="1" s="1"/>
  <c r="AU899" i="1"/>
  <c r="AT899" i="1"/>
  <c r="AR899" i="1"/>
  <c r="AS899" i="1" s="1"/>
  <c r="AU898" i="1"/>
  <c r="AT898" i="1"/>
  <c r="AR898" i="1"/>
  <c r="AS898" i="1" s="1"/>
  <c r="AU897" i="1"/>
  <c r="AT897" i="1"/>
  <c r="AS897" i="1"/>
  <c r="AR897" i="1"/>
  <c r="AU896" i="1"/>
  <c r="AT896" i="1"/>
  <c r="AR896" i="1"/>
  <c r="AS896" i="1" s="1"/>
  <c r="AU895" i="1"/>
  <c r="AT895" i="1"/>
  <c r="AR895" i="1"/>
  <c r="AS895" i="1" s="1"/>
  <c r="AU894" i="1"/>
  <c r="AT894" i="1"/>
  <c r="AR894" i="1"/>
  <c r="AS894" i="1" s="1"/>
  <c r="AU893" i="1"/>
  <c r="AT893" i="1"/>
  <c r="AR893" i="1"/>
  <c r="AS893" i="1" s="1"/>
  <c r="AU892" i="1"/>
  <c r="AT892" i="1"/>
  <c r="AR892" i="1"/>
  <c r="AS892" i="1" s="1"/>
  <c r="AU891" i="1"/>
  <c r="AT891" i="1"/>
  <c r="AR891" i="1"/>
  <c r="AS891" i="1" s="1"/>
  <c r="AU890" i="1"/>
  <c r="AT890" i="1"/>
  <c r="AR890" i="1"/>
  <c r="AS890" i="1" s="1"/>
  <c r="AU889" i="1"/>
  <c r="AT889" i="1"/>
  <c r="AR889" i="1"/>
  <c r="AS889" i="1" s="1"/>
  <c r="AU888" i="1"/>
  <c r="AT888" i="1"/>
  <c r="AS888" i="1"/>
  <c r="AR888" i="1"/>
  <c r="AU887" i="1"/>
  <c r="AT887" i="1"/>
  <c r="AR887" i="1"/>
  <c r="AS887" i="1" s="1"/>
  <c r="AU886" i="1"/>
  <c r="AT886" i="1"/>
  <c r="AR886" i="1"/>
  <c r="AS886" i="1" s="1"/>
  <c r="AU885" i="1"/>
  <c r="AT885" i="1"/>
  <c r="AR885" i="1"/>
  <c r="AS885" i="1" s="1"/>
  <c r="AU884" i="1"/>
  <c r="AT884" i="1"/>
  <c r="AR884" i="1"/>
  <c r="AS884" i="1" s="1"/>
  <c r="AU883" i="1"/>
  <c r="AT883" i="1"/>
  <c r="AR883" i="1"/>
  <c r="AS883" i="1" s="1"/>
  <c r="AU882" i="1"/>
  <c r="AT882" i="1"/>
  <c r="AS882" i="1"/>
  <c r="AR882" i="1"/>
  <c r="AU881" i="1"/>
  <c r="AT881" i="1"/>
  <c r="AR881" i="1"/>
  <c r="AS881" i="1" s="1"/>
  <c r="AU880" i="1"/>
  <c r="AT880" i="1"/>
  <c r="AR880" i="1"/>
  <c r="AS880" i="1" s="1"/>
  <c r="AU879" i="1"/>
  <c r="AT879" i="1"/>
  <c r="AR879" i="1"/>
  <c r="AS879" i="1" s="1"/>
  <c r="AU878" i="1"/>
  <c r="AT878" i="1"/>
  <c r="AR878" i="1"/>
  <c r="AS878" i="1" s="1"/>
  <c r="AU877" i="1"/>
  <c r="AT877" i="1"/>
  <c r="AR877" i="1"/>
  <c r="AS877" i="1" s="1"/>
  <c r="AU876" i="1"/>
  <c r="AT876" i="1"/>
  <c r="AR876" i="1"/>
  <c r="AS876" i="1" s="1"/>
  <c r="AU875" i="1"/>
  <c r="AT875" i="1"/>
  <c r="AR875" i="1"/>
  <c r="AS875" i="1" s="1"/>
  <c r="AU874" i="1"/>
  <c r="AT874" i="1"/>
  <c r="AR874" i="1"/>
  <c r="AS874" i="1" s="1"/>
  <c r="AU873" i="1"/>
  <c r="AT873" i="1"/>
  <c r="AR873" i="1"/>
  <c r="AS873" i="1" s="1"/>
  <c r="AU872" i="1"/>
  <c r="AT872" i="1"/>
  <c r="AR872" i="1"/>
  <c r="AS872" i="1" s="1"/>
  <c r="AU871" i="1"/>
  <c r="AT871" i="1"/>
  <c r="AR871" i="1"/>
  <c r="AS871" i="1" s="1"/>
  <c r="AU870" i="1"/>
  <c r="AT870" i="1"/>
  <c r="AS870" i="1"/>
  <c r="AR870" i="1"/>
  <c r="AU869" i="1"/>
  <c r="AT869" i="1"/>
  <c r="AR869" i="1"/>
  <c r="AS869" i="1" s="1"/>
  <c r="AU868" i="1"/>
  <c r="AT868" i="1"/>
  <c r="AR868" i="1"/>
  <c r="AS868" i="1" s="1"/>
  <c r="AU867" i="1"/>
  <c r="AT867" i="1"/>
  <c r="AR867" i="1"/>
  <c r="AS867" i="1" s="1"/>
  <c r="AU866" i="1"/>
  <c r="AT866" i="1"/>
  <c r="AR866" i="1"/>
  <c r="AS866" i="1" s="1"/>
  <c r="AU865" i="1"/>
  <c r="AT865" i="1"/>
  <c r="AR865" i="1"/>
  <c r="AS865" i="1" s="1"/>
  <c r="AU864" i="1"/>
  <c r="AT864" i="1"/>
  <c r="AR864" i="1"/>
  <c r="AS864" i="1" s="1"/>
  <c r="AU863" i="1"/>
  <c r="AT863" i="1"/>
  <c r="AR863" i="1"/>
  <c r="AS863" i="1" s="1"/>
  <c r="AU862" i="1"/>
  <c r="AT862" i="1"/>
  <c r="AR862" i="1"/>
  <c r="AS862" i="1" s="1"/>
  <c r="AU861" i="1"/>
  <c r="AT861" i="1"/>
  <c r="AR861" i="1"/>
  <c r="AS861" i="1" s="1"/>
  <c r="AU860" i="1"/>
  <c r="AT860" i="1"/>
  <c r="AR860" i="1"/>
  <c r="AS860" i="1" s="1"/>
  <c r="AU859" i="1"/>
  <c r="AT859" i="1"/>
  <c r="AR859" i="1"/>
  <c r="AS859" i="1" s="1"/>
  <c r="AU858" i="1"/>
  <c r="AT858" i="1"/>
  <c r="AR858" i="1"/>
  <c r="AS858" i="1" s="1"/>
  <c r="AU857" i="1"/>
  <c r="AT857" i="1"/>
  <c r="AR857" i="1"/>
  <c r="AS857" i="1" s="1"/>
  <c r="AU856" i="1"/>
  <c r="AT856" i="1"/>
  <c r="AR856" i="1"/>
  <c r="AS856" i="1" s="1"/>
  <c r="AU855" i="1"/>
  <c r="AT855" i="1"/>
  <c r="AR855" i="1"/>
  <c r="AS855" i="1" s="1"/>
  <c r="AU854" i="1"/>
  <c r="AT854" i="1"/>
  <c r="AR854" i="1"/>
  <c r="AS854" i="1" s="1"/>
  <c r="AU853" i="1"/>
  <c r="AT853" i="1"/>
  <c r="AR853" i="1"/>
  <c r="AS853" i="1" s="1"/>
  <c r="AU852" i="1"/>
  <c r="AT852" i="1"/>
  <c r="AS852" i="1"/>
  <c r="AR852" i="1"/>
  <c r="AU851" i="1"/>
  <c r="AT851" i="1"/>
  <c r="AR851" i="1"/>
  <c r="AS851" i="1" s="1"/>
  <c r="AU850" i="1"/>
  <c r="AT850" i="1"/>
  <c r="AR850" i="1"/>
  <c r="AS850" i="1" s="1"/>
  <c r="AU849" i="1"/>
  <c r="AT849" i="1"/>
  <c r="AR849" i="1"/>
  <c r="AS849" i="1" s="1"/>
  <c r="AU848" i="1"/>
  <c r="AT848" i="1"/>
  <c r="AR848" i="1"/>
  <c r="AS848" i="1" s="1"/>
  <c r="AU847" i="1"/>
  <c r="AT847" i="1"/>
  <c r="AR847" i="1"/>
  <c r="AS847" i="1" s="1"/>
  <c r="AU846" i="1"/>
  <c r="AT846" i="1"/>
  <c r="AS846" i="1"/>
  <c r="AR846" i="1"/>
  <c r="AU845" i="1"/>
  <c r="AT845" i="1"/>
  <c r="AR845" i="1"/>
  <c r="AS845" i="1" s="1"/>
  <c r="AU844" i="1"/>
  <c r="AT844" i="1"/>
  <c r="AR844" i="1"/>
  <c r="AS844" i="1" s="1"/>
  <c r="AU843" i="1"/>
  <c r="AT843" i="1"/>
  <c r="AR843" i="1"/>
  <c r="AS843" i="1" s="1"/>
  <c r="AU842" i="1"/>
  <c r="AT842" i="1"/>
  <c r="AR842" i="1"/>
  <c r="AS842" i="1" s="1"/>
  <c r="AU841" i="1"/>
  <c r="AT841" i="1"/>
  <c r="AR841" i="1"/>
  <c r="AS841" i="1" s="1"/>
  <c r="AU840" i="1"/>
  <c r="AT840" i="1"/>
  <c r="AR840" i="1"/>
  <c r="AS840" i="1" s="1"/>
  <c r="AU839" i="1"/>
  <c r="AT839" i="1"/>
  <c r="AR839" i="1"/>
  <c r="AS839" i="1" s="1"/>
  <c r="AU838" i="1"/>
  <c r="AT838" i="1"/>
  <c r="AR838" i="1"/>
  <c r="AS838" i="1" s="1"/>
  <c r="AU837" i="1"/>
  <c r="AT837" i="1"/>
  <c r="AR837" i="1"/>
  <c r="AS837" i="1" s="1"/>
  <c r="AU836" i="1"/>
  <c r="AT836" i="1"/>
  <c r="AR836" i="1"/>
  <c r="AS836" i="1" s="1"/>
  <c r="AU835" i="1"/>
  <c r="AT835" i="1"/>
  <c r="AR835" i="1"/>
  <c r="AS835" i="1" s="1"/>
  <c r="AU834" i="1"/>
  <c r="AT834" i="1"/>
  <c r="AS834" i="1"/>
  <c r="AR834" i="1"/>
  <c r="AU833" i="1"/>
  <c r="AT833" i="1"/>
  <c r="AR833" i="1"/>
  <c r="AS833" i="1" s="1"/>
  <c r="AU832" i="1"/>
  <c r="AT832" i="1"/>
  <c r="AR832" i="1"/>
  <c r="AS832" i="1" s="1"/>
  <c r="AU831" i="1"/>
  <c r="AT831" i="1"/>
  <c r="AS831" i="1"/>
  <c r="AR831" i="1"/>
  <c r="AU830" i="1"/>
  <c r="AT830" i="1"/>
  <c r="AR830" i="1"/>
  <c r="AS830" i="1" s="1"/>
  <c r="AU829" i="1"/>
  <c r="AT829" i="1"/>
  <c r="AR829" i="1"/>
  <c r="AS829" i="1" s="1"/>
  <c r="AU828" i="1"/>
  <c r="AT828" i="1"/>
  <c r="AR828" i="1"/>
  <c r="AS828" i="1" s="1"/>
  <c r="AU827" i="1"/>
  <c r="AT827" i="1"/>
  <c r="AR827" i="1"/>
  <c r="AS827" i="1" s="1"/>
  <c r="AU826" i="1"/>
  <c r="AT826" i="1"/>
  <c r="AR826" i="1"/>
  <c r="AS826" i="1" s="1"/>
  <c r="AU825" i="1"/>
  <c r="AT825" i="1"/>
  <c r="AR825" i="1"/>
  <c r="AS825" i="1" s="1"/>
  <c r="AU824" i="1"/>
  <c r="AT824" i="1"/>
  <c r="AR824" i="1"/>
  <c r="AS824" i="1" s="1"/>
  <c r="AU823" i="1"/>
  <c r="AT823" i="1"/>
  <c r="AR823" i="1"/>
  <c r="AS823" i="1" s="1"/>
  <c r="AU822" i="1"/>
  <c r="AT822" i="1"/>
  <c r="AR822" i="1"/>
  <c r="AS822" i="1" s="1"/>
  <c r="AU821" i="1"/>
  <c r="AT821" i="1"/>
  <c r="AR821" i="1"/>
  <c r="AS821" i="1" s="1"/>
  <c r="AU820" i="1"/>
  <c r="AT820" i="1"/>
  <c r="AR820" i="1"/>
  <c r="AS820" i="1" s="1"/>
  <c r="AU819" i="1"/>
  <c r="AT819" i="1"/>
  <c r="AR819" i="1"/>
  <c r="AS819" i="1" s="1"/>
  <c r="AU818" i="1"/>
  <c r="AT818" i="1"/>
  <c r="AR818" i="1"/>
  <c r="AS818" i="1" s="1"/>
  <c r="AU817" i="1"/>
  <c r="AT817" i="1"/>
  <c r="AR817" i="1"/>
  <c r="AS817" i="1" s="1"/>
  <c r="AU816" i="1"/>
  <c r="AT816" i="1"/>
  <c r="AR816" i="1"/>
  <c r="AS816" i="1" s="1"/>
  <c r="AU815" i="1"/>
  <c r="AT815" i="1"/>
  <c r="AS815" i="1"/>
  <c r="AR815" i="1"/>
  <c r="AU814" i="1"/>
  <c r="AT814" i="1"/>
  <c r="AR814" i="1"/>
  <c r="AS814" i="1" s="1"/>
  <c r="AU813" i="1"/>
  <c r="AT813" i="1"/>
  <c r="AS813" i="1"/>
  <c r="AR813" i="1"/>
  <c r="AU812" i="1"/>
  <c r="AT812" i="1"/>
  <c r="AR812" i="1"/>
  <c r="AS812" i="1" s="1"/>
  <c r="AU811" i="1"/>
  <c r="AT811" i="1"/>
  <c r="AR811" i="1"/>
  <c r="AS811" i="1" s="1"/>
  <c r="AU810" i="1"/>
  <c r="AT810" i="1"/>
  <c r="AR810" i="1"/>
  <c r="AS810" i="1" s="1"/>
  <c r="AU809" i="1"/>
  <c r="AT809" i="1"/>
  <c r="AR809" i="1"/>
  <c r="AS809" i="1" s="1"/>
  <c r="AU808" i="1"/>
  <c r="AT808" i="1"/>
  <c r="AR808" i="1"/>
  <c r="AS808" i="1" s="1"/>
  <c r="AU807" i="1"/>
  <c r="AT807" i="1"/>
  <c r="AS807" i="1"/>
  <c r="AR807" i="1"/>
  <c r="AU806" i="1"/>
  <c r="AT806" i="1"/>
  <c r="AS806" i="1"/>
  <c r="AR806" i="1"/>
  <c r="AU805" i="1"/>
  <c r="AT805" i="1"/>
  <c r="AR805" i="1"/>
  <c r="AS805" i="1" s="1"/>
  <c r="AU804" i="1"/>
  <c r="AT804" i="1"/>
  <c r="AR804" i="1"/>
  <c r="AS804" i="1" s="1"/>
  <c r="AU803" i="1"/>
  <c r="AT803" i="1"/>
  <c r="AR803" i="1"/>
  <c r="AS803" i="1" s="1"/>
  <c r="AU802" i="1"/>
  <c r="AT802" i="1"/>
  <c r="AR802" i="1"/>
  <c r="AS802" i="1" s="1"/>
  <c r="AU801" i="1"/>
  <c r="AT801" i="1"/>
  <c r="AR801" i="1"/>
  <c r="AS801" i="1" s="1"/>
  <c r="AU800" i="1"/>
  <c r="AT800" i="1"/>
  <c r="AS800" i="1"/>
  <c r="AR800" i="1"/>
  <c r="AU799" i="1"/>
  <c r="AT799" i="1"/>
  <c r="AR799" i="1"/>
  <c r="AS799" i="1" s="1"/>
  <c r="AU798" i="1"/>
  <c r="AT798" i="1"/>
  <c r="AR798" i="1"/>
  <c r="AS798" i="1" s="1"/>
  <c r="AU797" i="1"/>
  <c r="AT797" i="1"/>
  <c r="AR797" i="1"/>
  <c r="AS797" i="1" s="1"/>
  <c r="AU796" i="1"/>
  <c r="AT796" i="1"/>
  <c r="AR796" i="1"/>
  <c r="AS796" i="1" s="1"/>
  <c r="AU795" i="1"/>
  <c r="AT795" i="1"/>
  <c r="AR795" i="1"/>
  <c r="AS795" i="1" s="1"/>
  <c r="AU794" i="1"/>
  <c r="AT794" i="1"/>
  <c r="AR794" i="1"/>
  <c r="AS794" i="1" s="1"/>
  <c r="AU793" i="1"/>
  <c r="AT793" i="1"/>
  <c r="AR793" i="1"/>
  <c r="AS793" i="1" s="1"/>
  <c r="AU792" i="1"/>
  <c r="AT792" i="1"/>
  <c r="AS792" i="1"/>
  <c r="AR792" i="1"/>
  <c r="AU791" i="1"/>
  <c r="AT791" i="1"/>
  <c r="AR791" i="1"/>
  <c r="AS791" i="1" s="1"/>
  <c r="AU790" i="1"/>
  <c r="AT790" i="1"/>
  <c r="AR790" i="1"/>
  <c r="AS790" i="1" s="1"/>
  <c r="AU789" i="1"/>
  <c r="AT789" i="1"/>
  <c r="AS789" i="1"/>
  <c r="AR789" i="1"/>
  <c r="AU788" i="1"/>
  <c r="AT788" i="1"/>
  <c r="AR788" i="1"/>
  <c r="AS788" i="1" s="1"/>
  <c r="AU787" i="1"/>
  <c r="AT787" i="1"/>
  <c r="AR787" i="1"/>
  <c r="AS787" i="1" s="1"/>
  <c r="AU786" i="1"/>
  <c r="AT786" i="1"/>
  <c r="AR786" i="1"/>
  <c r="AS786" i="1" s="1"/>
  <c r="AU785" i="1"/>
  <c r="AT785" i="1"/>
  <c r="AR785" i="1"/>
  <c r="AS785" i="1" s="1"/>
  <c r="AU784" i="1"/>
  <c r="AT784" i="1"/>
  <c r="AR784" i="1"/>
  <c r="AS784" i="1" s="1"/>
  <c r="AU783" i="1"/>
  <c r="AT783" i="1"/>
  <c r="AS783" i="1"/>
  <c r="AR783" i="1"/>
  <c r="AU782" i="1"/>
  <c r="AT782" i="1"/>
  <c r="AR782" i="1"/>
  <c r="AS782" i="1" s="1"/>
  <c r="AU781" i="1"/>
  <c r="AT781" i="1"/>
  <c r="AR781" i="1"/>
  <c r="AS781" i="1" s="1"/>
  <c r="AU780" i="1"/>
  <c r="AT780" i="1"/>
  <c r="AR780" i="1"/>
  <c r="AS780" i="1" s="1"/>
  <c r="AU779" i="1"/>
  <c r="AT779" i="1"/>
  <c r="AS779" i="1"/>
  <c r="AR779" i="1"/>
  <c r="AU778" i="1"/>
  <c r="AT778" i="1"/>
  <c r="AR778" i="1"/>
  <c r="AS778" i="1" s="1"/>
  <c r="AU777" i="1"/>
  <c r="AT777" i="1"/>
  <c r="AS777" i="1"/>
  <c r="AR777" i="1"/>
  <c r="AU776" i="1"/>
  <c r="AT776" i="1"/>
  <c r="AS776" i="1"/>
  <c r="AR776" i="1"/>
  <c r="AU775" i="1"/>
  <c r="AT775" i="1"/>
  <c r="AR775" i="1"/>
  <c r="AS775" i="1" s="1"/>
  <c r="AU774" i="1"/>
  <c r="AT774" i="1"/>
  <c r="AR774" i="1"/>
  <c r="AS774" i="1" s="1"/>
  <c r="AU773" i="1"/>
  <c r="AT773" i="1"/>
  <c r="AR773" i="1"/>
  <c r="AS773" i="1" s="1"/>
  <c r="AU772" i="1"/>
  <c r="AT772" i="1"/>
  <c r="AR772" i="1"/>
  <c r="AS772" i="1" s="1"/>
  <c r="AU771" i="1"/>
  <c r="AT771" i="1"/>
  <c r="AS771" i="1"/>
  <c r="AR771" i="1"/>
  <c r="AU770" i="1"/>
  <c r="AT770" i="1"/>
  <c r="AS770" i="1"/>
  <c r="AR770" i="1"/>
  <c r="AU769" i="1"/>
  <c r="AT769" i="1"/>
  <c r="AR769" i="1"/>
  <c r="AS769" i="1" s="1"/>
  <c r="AU768" i="1"/>
  <c r="AT768" i="1"/>
  <c r="AR768" i="1"/>
  <c r="AS768" i="1" s="1"/>
  <c r="AU767" i="1"/>
  <c r="AT767" i="1"/>
  <c r="AR767" i="1"/>
  <c r="AS767" i="1" s="1"/>
  <c r="AU766" i="1"/>
  <c r="AT766" i="1"/>
  <c r="AR766" i="1"/>
  <c r="AS766" i="1" s="1"/>
  <c r="AU765" i="1"/>
  <c r="AT765" i="1"/>
  <c r="AS765" i="1"/>
  <c r="AR765" i="1"/>
  <c r="AU764" i="1"/>
  <c r="AT764" i="1"/>
  <c r="AS764" i="1"/>
  <c r="AR764" i="1"/>
  <c r="AU763" i="1"/>
  <c r="AT763" i="1"/>
  <c r="AR763" i="1"/>
  <c r="AS763" i="1" s="1"/>
  <c r="AU762" i="1"/>
  <c r="AT762" i="1"/>
  <c r="AR762" i="1"/>
  <c r="AS762" i="1" s="1"/>
  <c r="AU761" i="1"/>
  <c r="AT761" i="1"/>
  <c r="AR761" i="1"/>
  <c r="AS761" i="1" s="1"/>
  <c r="AU760" i="1"/>
  <c r="AT760" i="1"/>
  <c r="AR760" i="1"/>
  <c r="AS760" i="1" s="1"/>
  <c r="AU759" i="1"/>
  <c r="AT759" i="1"/>
  <c r="AR759" i="1"/>
  <c r="AS759" i="1" s="1"/>
  <c r="AU758" i="1"/>
  <c r="AT758" i="1"/>
  <c r="AS758" i="1"/>
  <c r="AR758" i="1"/>
  <c r="AU757" i="1"/>
  <c r="AT757" i="1"/>
  <c r="AR757" i="1"/>
  <c r="AS757" i="1" s="1"/>
  <c r="AU756" i="1"/>
  <c r="AT756" i="1"/>
  <c r="AS756" i="1"/>
  <c r="AR756" i="1"/>
  <c r="AU755" i="1"/>
  <c r="AT755" i="1"/>
  <c r="AR755" i="1"/>
  <c r="AS755" i="1" s="1"/>
  <c r="AU754" i="1"/>
  <c r="AT754" i="1"/>
  <c r="AR754" i="1"/>
  <c r="AS754" i="1" s="1"/>
  <c r="AU753" i="1"/>
  <c r="AT753" i="1"/>
  <c r="AR753" i="1"/>
  <c r="AS753" i="1" s="1"/>
  <c r="AU752" i="1"/>
  <c r="AT752" i="1"/>
  <c r="AR752" i="1"/>
  <c r="AS752" i="1" s="1"/>
  <c r="AU751" i="1"/>
  <c r="AT751" i="1"/>
  <c r="AR751" i="1"/>
  <c r="AS751" i="1" s="1"/>
  <c r="AU750" i="1"/>
  <c r="AT750" i="1"/>
  <c r="AR750" i="1"/>
  <c r="AS750" i="1" s="1"/>
  <c r="AU749" i="1"/>
  <c r="AT749" i="1"/>
  <c r="AR749" i="1"/>
  <c r="AS749" i="1" s="1"/>
  <c r="AU748" i="1"/>
  <c r="AT748" i="1"/>
  <c r="AR748" i="1"/>
  <c r="AS748" i="1" s="1"/>
  <c r="AU747" i="1"/>
  <c r="AT747" i="1"/>
  <c r="AS747" i="1"/>
  <c r="AR747" i="1"/>
  <c r="AU746" i="1"/>
  <c r="AT746" i="1"/>
  <c r="AR746" i="1"/>
  <c r="AS746" i="1" s="1"/>
  <c r="AU745" i="1"/>
  <c r="AT745" i="1"/>
  <c r="AR745" i="1"/>
  <c r="AS745" i="1" s="1"/>
  <c r="AU744" i="1"/>
  <c r="AT744" i="1"/>
  <c r="AR744" i="1"/>
  <c r="AS744" i="1" s="1"/>
  <c r="AU743" i="1"/>
  <c r="AT743" i="1"/>
  <c r="AS743" i="1"/>
  <c r="AR743" i="1"/>
  <c r="AU742" i="1"/>
  <c r="AT742" i="1"/>
  <c r="AR742" i="1"/>
  <c r="AS742" i="1" s="1"/>
  <c r="AU741" i="1"/>
  <c r="AT741" i="1"/>
  <c r="AS741" i="1"/>
  <c r="AR741" i="1"/>
  <c r="AU740" i="1"/>
  <c r="AT740" i="1"/>
  <c r="AS740" i="1"/>
  <c r="AR740" i="1"/>
  <c r="AU739" i="1"/>
  <c r="AT739" i="1"/>
  <c r="AR739" i="1"/>
  <c r="AS739" i="1" s="1"/>
  <c r="AU738" i="1"/>
  <c r="AT738" i="1"/>
  <c r="AR738" i="1"/>
  <c r="AS738" i="1" s="1"/>
  <c r="AU737" i="1"/>
  <c r="AT737" i="1"/>
  <c r="AR737" i="1"/>
  <c r="AS737" i="1" s="1"/>
  <c r="AU736" i="1"/>
  <c r="AT736" i="1"/>
  <c r="AR736" i="1"/>
  <c r="AS736" i="1" s="1"/>
  <c r="AU735" i="1"/>
  <c r="AT735" i="1"/>
  <c r="AS735" i="1"/>
  <c r="AR735" i="1"/>
  <c r="AU734" i="1"/>
  <c r="AT734" i="1"/>
  <c r="AS734" i="1"/>
  <c r="AR734" i="1"/>
  <c r="AU733" i="1"/>
  <c r="AT733" i="1"/>
  <c r="AR733" i="1"/>
  <c r="AS733" i="1" s="1"/>
  <c r="AU732" i="1"/>
  <c r="AT732" i="1"/>
  <c r="AR732" i="1"/>
  <c r="AS732" i="1" s="1"/>
  <c r="AU731" i="1"/>
  <c r="AT731" i="1"/>
  <c r="AR731" i="1"/>
  <c r="AS731" i="1" s="1"/>
  <c r="AU730" i="1"/>
  <c r="AT730" i="1"/>
  <c r="AR730" i="1"/>
  <c r="AS730" i="1" s="1"/>
  <c r="AU729" i="1"/>
  <c r="AT729" i="1"/>
  <c r="AR729" i="1"/>
  <c r="AS729" i="1" s="1"/>
  <c r="AU728" i="1"/>
  <c r="AT728" i="1"/>
  <c r="AS728" i="1"/>
  <c r="AR728" i="1"/>
  <c r="AU727" i="1"/>
  <c r="AT727" i="1"/>
  <c r="AR727" i="1"/>
  <c r="AS727" i="1" s="1"/>
  <c r="AU726" i="1"/>
  <c r="AT726" i="1"/>
  <c r="AR726" i="1"/>
  <c r="AS726" i="1" s="1"/>
  <c r="AU725" i="1"/>
  <c r="AT725" i="1"/>
  <c r="AR725" i="1"/>
  <c r="AS725" i="1" s="1"/>
  <c r="AU724" i="1"/>
  <c r="AT724" i="1"/>
  <c r="AR724" i="1"/>
  <c r="AS724" i="1" s="1"/>
  <c r="AU723" i="1"/>
  <c r="AT723" i="1"/>
  <c r="AR723" i="1"/>
  <c r="AS723" i="1" s="1"/>
  <c r="AU722" i="1"/>
  <c r="AT722" i="1"/>
  <c r="AR722" i="1"/>
  <c r="AS722" i="1" s="1"/>
  <c r="AU721" i="1"/>
  <c r="AT721" i="1"/>
  <c r="AR721" i="1"/>
  <c r="AS721" i="1" s="1"/>
  <c r="AU720" i="1"/>
  <c r="AT720" i="1"/>
  <c r="AS720" i="1"/>
  <c r="AR720" i="1"/>
  <c r="AU719" i="1"/>
  <c r="AT719" i="1"/>
  <c r="AR719" i="1"/>
  <c r="AS719" i="1" s="1"/>
  <c r="AU718" i="1"/>
  <c r="AT718" i="1"/>
  <c r="AR718" i="1"/>
  <c r="AS718" i="1" s="1"/>
  <c r="AU717" i="1"/>
  <c r="AT717" i="1"/>
  <c r="AS717" i="1"/>
  <c r="AR717" i="1"/>
  <c r="AU716" i="1"/>
  <c r="AT716" i="1"/>
  <c r="AR716" i="1"/>
  <c r="AS716" i="1" s="1"/>
  <c r="AU715" i="1"/>
  <c r="AT715" i="1"/>
  <c r="AR715" i="1"/>
  <c r="AS715" i="1" s="1"/>
  <c r="AU714" i="1"/>
  <c r="AT714" i="1"/>
  <c r="AR714" i="1"/>
  <c r="AS714" i="1" s="1"/>
  <c r="AU713" i="1"/>
  <c r="AT713" i="1"/>
  <c r="AR713" i="1"/>
  <c r="AS713" i="1" s="1"/>
  <c r="AU712" i="1"/>
  <c r="AT712" i="1"/>
  <c r="AR712" i="1"/>
  <c r="AS712" i="1" s="1"/>
  <c r="AU711" i="1"/>
  <c r="AT711" i="1"/>
  <c r="AS711" i="1"/>
  <c r="AR711" i="1"/>
  <c r="AU710" i="1"/>
  <c r="AT710" i="1"/>
  <c r="AR710" i="1"/>
  <c r="AS710" i="1" s="1"/>
  <c r="AU709" i="1"/>
  <c r="AT709" i="1"/>
  <c r="AR709" i="1"/>
  <c r="AS709" i="1" s="1"/>
  <c r="AU708" i="1"/>
  <c r="AT708" i="1"/>
  <c r="AR708" i="1"/>
  <c r="AS708" i="1" s="1"/>
  <c r="AU707" i="1"/>
  <c r="AT707" i="1"/>
  <c r="AR707" i="1"/>
  <c r="AS707" i="1" s="1"/>
  <c r="AU706" i="1"/>
  <c r="AT706" i="1"/>
  <c r="AS706" i="1"/>
  <c r="AR706" i="1"/>
  <c r="AU705" i="1"/>
  <c r="AT705" i="1"/>
  <c r="AS705" i="1"/>
  <c r="AR705" i="1"/>
  <c r="AU704" i="1"/>
  <c r="AT704" i="1"/>
  <c r="AR704" i="1"/>
  <c r="AS704" i="1" s="1"/>
  <c r="AU703" i="1"/>
  <c r="AT703" i="1"/>
  <c r="AR703" i="1"/>
  <c r="AS703" i="1" s="1"/>
  <c r="AU702" i="1"/>
  <c r="AT702" i="1"/>
  <c r="AR702" i="1"/>
  <c r="AS702" i="1" s="1"/>
  <c r="AU701" i="1"/>
  <c r="AT701" i="1"/>
  <c r="AR701" i="1"/>
  <c r="AS701" i="1" s="1"/>
  <c r="AU700" i="1"/>
  <c r="AT700" i="1"/>
  <c r="AS700" i="1"/>
  <c r="AR700" i="1"/>
  <c r="AU699" i="1"/>
  <c r="AT699" i="1"/>
  <c r="AS699" i="1"/>
  <c r="AR699" i="1"/>
  <c r="AU698" i="1"/>
  <c r="AT698" i="1"/>
  <c r="AR698" i="1"/>
  <c r="AS698" i="1" s="1"/>
  <c r="AU697" i="1"/>
  <c r="AT697" i="1"/>
  <c r="AS697" i="1"/>
  <c r="AR697" i="1"/>
  <c r="AU696" i="1"/>
  <c r="AT696" i="1"/>
  <c r="AR696" i="1"/>
  <c r="AS696" i="1" s="1"/>
  <c r="AU695" i="1"/>
  <c r="AT695" i="1"/>
  <c r="AR695" i="1"/>
  <c r="AS695" i="1" s="1"/>
  <c r="AU694" i="1"/>
  <c r="AT694" i="1"/>
  <c r="AR694" i="1"/>
  <c r="AS694" i="1" s="1"/>
  <c r="AU693" i="1"/>
  <c r="AT693" i="1"/>
  <c r="AS693" i="1"/>
  <c r="AR693" i="1"/>
  <c r="AU692" i="1"/>
  <c r="AT692" i="1"/>
  <c r="AR692" i="1"/>
  <c r="AS692" i="1" s="1"/>
  <c r="AU691" i="1"/>
  <c r="AT691" i="1"/>
  <c r="AS691" i="1"/>
  <c r="AR691" i="1"/>
  <c r="AU690" i="1"/>
  <c r="AT690" i="1"/>
  <c r="AR690" i="1"/>
  <c r="AS690" i="1" s="1"/>
  <c r="AU689" i="1"/>
  <c r="AT689" i="1"/>
  <c r="AR689" i="1"/>
  <c r="AS689" i="1" s="1"/>
  <c r="AU688" i="1"/>
  <c r="AT688" i="1"/>
  <c r="AR688" i="1"/>
  <c r="AS688" i="1" s="1"/>
  <c r="AU687" i="1"/>
  <c r="AT687" i="1"/>
  <c r="AS687" i="1"/>
  <c r="AR687" i="1"/>
  <c r="AU686" i="1"/>
  <c r="AT686" i="1"/>
  <c r="AR686" i="1"/>
  <c r="AS686" i="1" s="1"/>
  <c r="AU685" i="1"/>
  <c r="AT685" i="1"/>
  <c r="AR685" i="1"/>
  <c r="AS685" i="1" s="1"/>
  <c r="AU684" i="1"/>
  <c r="AT684" i="1"/>
  <c r="AS684" i="1"/>
  <c r="AR684" i="1"/>
  <c r="AU683" i="1"/>
  <c r="AT683" i="1"/>
  <c r="AR683" i="1"/>
  <c r="AS683" i="1" s="1"/>
  <c r="AU682" i="1"/>
  <c r="AT682" i="1"/>
  <c r="AS682" i="1"/>
  <c r="AR682" i="1"/>
  <c r="AU681" i="1"/>
  <c r="AT681" i="1"/>
  <c r="AR681" i="1"/>
  <c r="AS681" i="1" s="1"/>
  <c r="AU680" i="1"/>
  <c r="AT680" i="1"/>
  <c r="AR680" i="1"/>
  <c r="AS680" i="1" s="1"/>
  <c r="AU679" i="1"/>
  <c r="AT679" i="1"/>
  <c r="AR679" i="1"/>
  <c r="AS679" i="1" s="1"/>
  <c r="AU678" i="1"/>
  <c r="AT678" i="1"/>
  <c r="AS678" i="1"/>
  <c r="AR678" i="1"/>
  <c r="AU677" i="1"/>
  <c r="AT677" i="1"/>
  <c r="AR677" i="1"/>
  <c r="AS677" i="1" s="1"/>
  <c r="AU676" i="1"/>
  <c r="AT676" i="1"/>
  <c r="AS676" i="1"/>
  <c r="AR676" i="1"/>
  <c r="AU675" i="1"/>
  <c r="AT675" i="1"/>
  <c r="AR675" i="1"/>
  <c r="AS675" i="1" s="1"/>
  <c r="AU674" i="1"/>
  <c r="AT674" i="1"/>
  <c r="AR674" i="1"/>
  <c r="AS674" i="1" s="1"/>
  <c r="AU673" i="1"/>
  <c r="AT673" i="1"/>
  <c r="AR673" i="1"/>
  <c r="AS673" i="1" s="1"/>
  <c r="AU672" i="1"/>
  <c r="AT672" i="1"/>
  <c r="AR672" i="1"/>
  <c r="AS672" i="1" s="1"/>
  <c r="AU671" i="1"/>
  <c r="AT671" i="1"/>
  <c r="AR671" i="1"/>
  <c r="AS671" i="1" s="1"/>
  <c r="AU670" i="1"/>
  <c r="AT670" i="1"/>
  <c r="AS670" i="1"/>
  <c r="AR670" i="1"/>
  <c r="AU669" i="1"/>
  <c r="AT669" i="1"/>
  <c r="AS669" i="1"/>
  <c r="AR669" i="1"/>
  <c r="AU668" i="1"/>
  <c r="AT668" i="1"/>
  <c r="AR668" i="1"/>
  <c r="AS668" i="1" s="1"/>
  <c r="AU667" i="1"/>
  <c r="AT667" i="1"/>
  <c r="AR667" i="1"/>
  <c r="AS667" i="1" s="1"/>
  <c r="AU666" i="1"/>
  <c r="AT666" i="1"/>
  <c r="AR666" i="1"/>
  <c r="AS666" i="1" s="1"/>
  <c r="AU665" i="1"/>
  <c r="AT665" i="1"/>
  <c r="AR665" i="1"/>
  <c r="AS665" i="1" s="1"/>
  <c r="AU664" i="1"/>
  <c r="AT664" i="1"/>
  <c r="AS664" i="1"/>
  <c r="AR664" i="1"/>
  <c r="AU663" i="1"/>
  <c r="AT663" i="1"/>
  <c r="AS663" i="1"/>
  <c r="AR663" i="1"/>
  <c r="AU662" i="1"/>
  <c r="AT662" i="1"/>
  <c r="AR662" i="1"/>
  <c r="AS662" i="1" s="1"/>
  <c r="AU661" i="1"/>
  <c r="AT661" i="1"/>
  <c r="AS661" i="1"/>
  <c r="AR661" i="1"/>
  <c r="AU660" i="1"/>
  <c r="AT660" i="1"/>
  <c r="AR660" i="1"/>
  <c r="AS660" i="1" s="1"/>
  <c r="AU659" i="1"/>
  <c r="AT659" i="1"/>
  <c r="AR659" i="1"/>
  <c r="AS659" i="1" s="1"/>
  <c r="AU658" i="1"/>
  <c r="AT658" i="1"/>
  <c r="AR658" i="1"/>
  <c r="AS658" i="1" s="1"/>
  <c r="AU657" i="1"/>
  <c r="AT657" i="1"/>
  <c r="AS657" i="1"/>
  <c r="AR657" i="1"/>
  <c r="AU656" i="1"/>
  <c r="AT656" i="1"/>
  <c r="AR656" i="1"/>
  <c r="AS656" i="1" s="1"/>
  <c r="AU655" i="1"/>
  <c r="AT655" i="1"/>
  <c r="AS655" i="1"/>
  <c r="AR655" i="1"/>
  <c r="AU654" i="1"/>
  <c r="AT654" i="1"/>
  <c r="AR654" i="1"/>
  <c r="AS654" i="1" s="1"/>
  <c r="AU653" i="1"/>
  <c r="AT653" i="1"/>
  <c r="AR653" i="1"/>
  <c r="AS653" i="1" s="1"/>
  <c r="AU652" i="1"/>
  <c r="AT652" i="1"/>
  <c r="AR652" i="1"/>
  <c r="AS652" i="1" s="1"/>
  <c r="AU651" i="1"/>
  <c r="AT651" i="1"/>
  <c r="AS651" i="1"/>
  <c r="AR651" i="1"/>
  <c r="AU650" i="1"/>
  <c r="AT650" i="1"/>
  <c r="AR650" i="1"/>
  <c r="AS650" i="1" s="1"/>
  <c r="AU649" i="1"/>
  <c r="AT649" i="1"/>
  <c r="AR649" i="1"/>
  <c r="AS649" i="1" s="1"/>
  <c r="AU648" i="1"/>
  <c r="AT648" i="1"/>
  <c r="AS648" i="1"/>
  <c r="AR648" i="1"/>
  <c r="AU647" i="1"/>
  <c r="AT647" i="1"/>
  <c r="AR647" i="1"/>
  <c r="AS647" i="1" s="1"/>
  <c r="AU646" i="1"/>
  <c r="AT646" i="1"/>
  <c r="AS646" i="1"/>
  <c r="AR646" i="1"/>
  <c r="AU645" i="1"/>
  <c r="AT645" i="1"/>
  <c r="AR645" i="1"/>
  <c r="AS645" i="1" s="1"/>
  <c r="AU644" i="1"/>
  <c r="AT644" i="1"/>
  <c r="AR644" i="1"/>
  <c r="AS644" i="1" s="1"/>
  <c r="AU643" i="1"/>
  <c r="AT643" i="1"/>
  <c r="AR643" i="1"/>
  <c r="AS643" i="1" s="1"/>
  <c r="AU642" i="1"/>
  <c r="AT642" i="1"/>
  <c r="AS642" i="1"/>
  <c r="AR642" i="1"/>
  <c r="AU641" i="1"/>
  <c r="AT641" i="1"/>
  <c r="AR641" i="1"/>
  <c r="AS641" i="1" s="1"/>
  <c r="AU640" i="1"/>
  <c r="AT640" i="1"/>
  <c r="AS640" i="1"/>
  <c r="AR640" i="1"/>
  <c r="AU639" i="1"/>
  <c r="AT639" i="1"/>
  <c r="AR639" i="1"/>
  <c r="AS639" i="1" s="1"/>
  <c r="AU638" i="1"/>
  <c r="AT638" i="1"/>
  <c r="AR638" i="1"/>
  <c r="AS638" i="1" s="1"/>
  <c r="AU637" i="1"/>
  <c r="AT637" i="1"/>
  <c r="AR637" i="1"/>
  <c r="AS637" i="1" s="1"/>
  <c r="AU636" i="1"/>
  <c r="AT636" i="1"/>
  <c r="AR636" i="1"/>
  <c r="AS636" i="1" s="1"/>
  <c r="AU635" i="1"/>
  <c r="AT635" i="1"/>
  <c r="AR635" i="1"/>
  <c r="AS635" i="1" s="1"/>
  <c r="AU634" i="1"/>
  <c r="AT634" i="1"/>
  <c r="AS634" i="1"/>
  <c r="AR634" i="1"/>
  <c r="AU633" i="1"/>
  <c r="AT633" i="1"/>
  <c r="AS633" i="1"/>
  <c r="AR633" i="1"/>
  <c r="AU632" i="1"/>
  <c r="AT632" i="1"/>
  <c r="AR632" i="1"/>
  <c r="AS632" i="1" s="1"/>
  <c r="AU631" i="1"/>
  <c r="AT631" i="1"/>
  <c r="AR631" i="1"/>
  <c r="AS631" i="1" s="1"/>
  <c r="AU630" i="1"/>
  <c r="AT630" i="1"/>
  <c r="AR630" i="1"/>
  <c r="AS630" i="1" s="1"/>
  <c r="AU629" i="1"/>
  <c r="AT629" i="1"/>
  <c r="AR629" i="1"/>
  <c r="AS629" i="1" s="1"/>
  <c r="AU628" i="1"/>
  <c r="AT628" i="1"/>
  <c r="AS628" i="1"/>
  <c r="AR628" i="1"/>
  <c r="AU627" i="1"/>
  <c r="AT627" i="1"/>
  <c r="AS627" i="1"/>
  <c r="AR627" i="1"/>
  <c r="AU626" i="1"/>
  <c r="AT626" i="1"/>
  <c r="AR626" i="1"/>
  <c r="AS626" i="1" s="1"/>
  <c r="AU625" i="1"/>
  <c r="AT625" i="1"/>
  <c r="AS625" i="1"/>
  <c r="AR625" i="1"/>
  <c r="AU624" i="1"/>
  <c r="AT624" i="1"/>
  <c r="AR624" i="1"/>
  <c r="AS624" i="1" s="1"/>
  <c r="AU623" i="1"/>
  <c r="AT623" i="1"/>
  <c r="AR623" i="1"/>
  <c r="AS623" i="1" s="1"/>
  <c r="AU622" i="1"/>
  <c r="AT622" i="1"/>
  <c r="AR622" i="1"/>
  <c r="AS622" i="1" s="1"/>
  <c r="AU621" i="1"/>
  <c r="AT621" i="1"/>
  <c r="AS621" i="1"/>
  <c r="AR621" i="1"/>
  <c r="AU620" i="1"/>
  <c r="AT620" i="1"/>
  <c r="AR620" i="1"/>
  <c r="AS620" i="1" s="1"/>
  <c r="AU619" i="1"/>
  <c r="AT619" i="1"/>
  <c r="AS619" i="1"/>
  <c r="AR619" i="1"/>
  <c r="AU618" i="1"/>
  <c r="AT618" i="1"/>
  <c r="AR618" i="1"/>
  <c r="AS618" i="1" s="1"/>
  <c r="AU617" i="1"/>
  <c r="AT617" i="1"/>
  <c r="AR617" i="1"/>
  <c r="AS617" i="1" s="1"/>
  <c r="AU616" i="1"/>
  <c r="AT616" i="1"/>
  <c r="AR616" i="1"/>
  <c r="AS616" i="1" s="1"/>
  <c r="AU615" i="1"/>
  <c r="AT615" i="1"/>
  <c r="AS615" i="1"/>
  <c r="AR615" i="1"/>
  <c r="AU614" i="1"/>
  <c r="AT614" i="1"/>
  <c r="AR614" i="1"/>
  <c r="AS614" i="1" s="1"/>
  <c r="AU613" i="1"/>
  <c r="AT613" i="1"/>
  <c r="AR613" i="1"/>
  <c r="AS613" i="1" s="1"/>
  <c r="AU612" i="1"/>
  <c r="AT612" i="1"/>
  <c r="AS612" i="1"/>
  <c r="AR612" i="1"/>
  <c r="AU611" i="1"/>
  <c r="AT611" i="1"/>
  <c r="AR611" i="1"/>
  <c r="AS611" i="1" s="1"/>
  <c r="AU610" i="1"/>
  <c r="AT610" i="1"/>
  <c r="AS610" i="1"/>
  <c r="AR610" i="1"/>
  <c r="AU609" i="1"/>
  <c r="AT609" i="1"/>
  <c r="AR609" i="1"/>
  <c r="AS609" i="1" s="1"/>
  <c r="AU608" i="1"/>
  <c r="AT608" i="1"/>
  <c r="AR608" i="1"/>
  <c r="AS608" i="1" s="1"/>
  <c r="AU607" i="1"/>
  <c r="AT607" i="1"/>
  <c r="AR607" i="1"/>
  <c r="AS607" i="1" s="1"/>
  <c r="AU606" i="1"/>
  <c r="AT606" i="1"/>
  <c r="AS606" i="1"/>
  <c r="AR606" i="1"/>
  <c r="AU605" i="1"/>
  <c r="AT605" i="1"/>
  <c r="AR605" i="1"/>
  <c r="AS605" i="1" s="1"/>
  <c r="AU604" i="1"/>
  <c r="AT604" i="1"/>
  <c r="AS604" i="1"/>
  <c r="AR604" i="1"/>
  <c r="AU603" i="1"/>
  <c r="AT603" i="1"/>
  <c r="AS603" i="1"/>
  <c r="AR603" i="1"/>
  <c r="AU602" i="1"/>
  <c r="AT602" i="1"/>
  <c r="AR602" i="1"/>
  <c r="AS602" i="1" s="1"/>
  <c r="AU601" i="1"/>
  <c r="AT601" i="1"/>
  <c r="AS601" i="1"/>
  <c r="AR601" i="1"/>
  <c r="AU600" i="1"/>
  <c r="AT600" i="1"/>
  <c r="AR600" i="1"/>
  <c r="AS600" i="1" s="1"/>
  <c r="AU599" i="1"/>
  <c r="AT599" i="1"/>
  <c r="AR599" i="1"/>
  <c r="AS599" i="1" s="1"/>
  <c r="AU598" i="1"/>
  <c r="AT598" i="1"/>
  <c r="AR598" i="1"/>
  <c r="AS598" i="1" s="1"/>
  <c r="AU597" i="1"/>
  <c r="AT597" i="1"/>
  <c r="AS597" i="1"/>
  <c r="AR597" i="1"/>
  <c r="AU596" i="1"/>
  <c r="AT596" i="1"/>
  <c r="AR596" i="1"/>
  <c r="AS596" i="1" s="1"/>
  <c r="AU595" i="1"/>
  <c r="AT595" i="1"/>
  <c r="AR595" i="1"/>
  <c r="AS595" i="1" s="1"/>
  <c r="AU594" i="1"/>
  <c r="AT594" i="1"/>
  <c r="AS594" i="1"/>
  <c r="AR594" i="1"/>
  <c r="AU593" i="1"/>
  <c r="AT593" i="1"/>
  <c r="AR593" i="1"/>
  <c r="AS593" i="1" s="1"/>
  <c r="AU592" i="1"/>
  <c r="AT592" i="1"/>
  <c r="AS592" i="1"/>
  <c r="AR592" i="1"/>
  <c r="AU591" i="1"/>
  <c r="AT591" i="1"/>
  <c r="AS591" i="1"/>
  <c r="AR591" i="1"/>
  <c r="AU590" i="1"/>
  <c r="AT590" i="1"/>
  <c r="AR590" i="1"/>
  <c r="AS590" i="1" s="1"/>
  <c r="AU589" i="1"/>
  <c r="AT589" i="1"/>
  <c r="AS589" i="1"/>
  <c r="AR589" i="1"/>
  <c r="AU588" i="1"/>
  <c r="AT588" i="1"/>
  <c r="AR588" i="1"/>
  <c r="AS588" i="1" s="1"/>
  <c r="AU587" i="1"/>
  <c r="AT587" i="1"/>
  <c r="AR587" i="1"/>
  <c r="AS587" i="1" s="1"/>
  <c r="AU586" i="1"/>
  <c r="AT586" i="1"/>
  <c r="AR586" i="1"/>
  <c r="AS586" i="1" s="1"/>
  <c r="AU585" i="1"/>
  <c r="AT585" i="1"/>
  <c r="AR585" i="1"/>
  <c r="AS585" i="1" s="1"/>
  <c r="AU584" i="1"/>
  <c r="AT584" i="1"/>
  <c r="AR584" i="1"/>
  <c r="AS584" i="1" s="1"/>
  <c r="AU583" i="1"/>
  <c r="AT583" i="1"/>
  <c r="AS583" i="1"/>
  <c r="AR583" i="1"/>
  <c r="AU582" i="1"/>
  <c r="AT582" i="1"/>
  <c r="AR582" i="1"/>
  <c r="AS582" i="1" s="1"/>
  <c r="AU581" i="1"/>
  <c r="AT581" i="1"/>
  <c r="AR581" i="1"/>
  <c r="AS581" i="1" s="1"/>
  <c r="AU580" i="1"/>
  <c r="AT580" i="1"/>
  <c r="AR580" i="1"/>
  <c r="AS580" i="1" s="1"/>
  <c r="AU579" i="1"/>
  <c r="AT579" i="1"/>
  <c r="AS579" i="1"/>
  <c r="AR579" i="1"/>
  <c r="AU578" i="1"/>
  <c r="AT578" i="1"/>
  <c r="AR578" i="1"/>
  <c r="AS578" i="1" s="1"/>
  <c r="AU577" i="1"/>
  <c r="AT577" i="1"/>
  <c r="AR577" i="1"/>
  <c r="AS577" i="1" s="1"/>
  <c r="AU576" i="1"/>
  <c r="AT576" i="1"/>
  <c r="AS576" i="1"/>
  <c r="AR576" i="1"/>
  <c r="AU575" i="1"/>
  <c r="AT575" i="1"/>
  <c r="AR575" i="1"/>
  <c r="AS575" i="1" s="1"/>
  <c r="AU574" i="1"/>
  <c r="AT574" i="1"/>
  <c r="AS574" i="1"/>
  <c r="AR574" i="1"/>
  <c r="AU573" i="1"/>
  <c r="AT573" i="1"/>
  <c r="AR573" i="1"/>
  <c r="AS573" i="1" s="1"/>
  <c r="AU572" i="1"/>
  <c r="AT572" i="1"/>
  <c r="AR572" i="1"/>
  <c r="AS572" i="1" s="1"/>
  <c r="AU571" i="1"/>
  <c r="AT571" i="1"/>
  <c r="AR571" i="1"/>
  <c r="AS571" i="1" s="1"/>
  <c r="AU570" i="1"/>
  <c r="AT570" i="1"/>
  <c r="AS570" i="1"/>
  <c r="AR570" i="1"/>
  <c r="AU569" i="1"/>
  <c r="AT569" i="1"/>
  <c r="AR569" i="1"/>
  <c r="AS569" i="1" s="1"/>
  <c r="AU568" i="1"/>
  <c r="AT568" i="1"/>
  <c r="AR568" i="1"/>
  <c r="AS568" i="1" s="1"/>
  <c r="AU567" i="1"/>
  <c r="AT567" i="1"/>
  <c r="AS567" i="1"/>
  <c r="AR567" i="1"/>
  <c r="AU566" i="1"/>
  <c r="AT566" i="1"/>
  <c r="AR566" i="1"/>
  <c r="AS566" i="1" s="1"/>
  <c r="AU565" i="1"/>
  <c r="AT565" i="1"/>
  <c r="AR565" i="1"/>
  <c r="AS565" i="1" s="1"/>
  <c r="AU564" i="1"/>
  <c r="AT564" i="1"/>
  <c r="AR564" i="1"/>
  <c r="AS564" i="1" s="1"/>
  <c r="AU563" i="1"/>
  <c r="AT563" i="1"/>
  <c r="AR563" i="1"/>
  <c r="AS563" i="1" s="1"/>
  <c r="AU562" i="1"/>
  <c r="AT562" i="1"/>
  <c r="AR562" i="1"/>
  <c r="AS562" i="1" s="1"/>
  <c r="AU561" i="1"/>
  <c r="AT561" i="1"/>
  <c r="AS561" i="1"/>
  <c r="AR561" i="1"/>
  <c r="AU560" i="1"/>
  <c r="AT560" i="1"/>
  <c r="AR560" i="1"/>
  <c r="AS560" i="1" s="1"/>
  <c r="AU559" i="1"/>
  <c r="AT559" i="1"/>
  <c r="AR559" i="1"/>
  <c r="AS559" i="1" s="1"/>
  <c r="AU558" i="1"/>
  <c r="AT558" i="1"/>
  <c r="AR558" i="1"/>
  <c r="AS558" i="1" s="1"/>
  <c r="AU557" i="1"/>
  <c r="AT557" i="1"/>
  <c r="AR557" i="1"/>
  <c r="AS557" i="1" s="1"/>
  <c r="AU556" i="1"/>
  <c r="AT556" i="1"/>
  <c r="AS556" i="1"/>
  <c r="AR556" i="1"/>
  <c r="AU555" i="1"/>
  <c r="AT555" i="1"/>
  <c r="AS555" i="1"/>
  <c r="AR555" i="1"/>
  <c r="AU554" i="1"/>
  <c r="AT554" i="1"/>
  <c r="AR554" i="1"/>
  <c r="AS554" i="1" s="1"/>
  <c r="AU553" i="1"/>
  <c r="AT553" i="1"/>
  <c r="AS553" i="1"/>
  <c r="AR553" i="1"/>
  <c r="AU552" i="1"/>
  <c r="AT552" i="1"/>
  <c r="AR552" i="1"/>
  <c r="AS552" i="1" s="1"/>
  <c r="AU551" i="1"/>
  <c r="AT551" i="1"/>
  <c r="AR551" i="1"/>
  <c r="AS551" i="1" s="1"/>
  <c r="AU550" i="1"/>
  <c r="AT550" i="1"/>
  <c r="AS550" i="1"/>
  <c r="AR550" i="1"/>
  <c r="AU549" i="1"/>
  <c r="AT549" i="1"/>
  <c r="AR549" i="1"/>
  <c r="AS549" i="1" s="1"/>
  <c r="AU548" i="1"/>
  <c r="AT548" i="1"/>
  <c r="AR548" i="1"/>
  <c r="AS548" i="1" s="1"/>
  <c r="AU547" i="1"/>
  <c r="AT547" i="1"/>
  <c r="AS547" i="1"/>
  <c r="AR547" i="1"/>
  <c r="AU546" i="1"/>
  <c r="AT546" i="1"/>
  <c r="AR546" i="1"/>
  <c r="AS546" i="1" s="1"/>
  <c r="AU545" i="1"/>
  <c r="AT545" i="1"/>
  <c r="AR545" i="1"/>
  <c r="AS545" i="1" s="1"/>
  <c r="AU544" i="1"/>
  <c r="AT544" i="1"/>
  <c r="AR544" i="1"/>
  <c r="AS544" i="1" s="1"/>
  <c r="AU543" i="1"/>
  <c r="AT543" i="1"/>
  <c r="AS543" i="1"/>
  <c r="AR543" i="1"/>
  <c r="AU542" i="1"/>
  <c r="AT542" i="1"/>
  <c r="AR542" i="1"/>
  <c r="AS542" i="1" s="1"/>
  <c r="AU541" i="1"/>
  <c r="AT541" i="1"/>
  <c r="AR541" i="1"/>
  <c r="AS541" i="1" s="1"/>
  <c r="AU540" i="1"/>
  <c r="AT540" i="1"/>
  <c r="AS540" i="1"/>
  <c r="AR540" i="1"/>
  <c r="AU539" i="1"/>
  <c r="AT539" i="1"/>
  <c r="AR539" i="1"/>
  <c r="AS539" i="1" s="1"/>
  <c r="AU538" i="1"/>
  <c r="AT538" i="1"/>
  <c r="AS538" i="1"/>
  <c r="AR538" i="1"/>
  <c r="AU537" i="1"/>
  <c r="AT537" i="1"/>
  <c r="AS537" i="1"/>
  <c r="AR537" i="1"/>
  <c r="AU536" i="1"/>
  <c r="AT536" i="1"/>
  <c r="AR536" i="1"/>
  <c r="AS536" i="1" s="1"/>
  <c r="AU535" i="1"/>
  <c r="AT535" i="1"/>
  <c r="AR535" i="1"/>
  <c r="AS535" i="1" s="1"/>
  <c r="AU534" i="1"/>
  <c r="AT534" i="1"/>
  <c r="AR534" i="1"/>
  <c r="AS534" i="1" s="1"/>
  <c r="AU533" i="1"/>
  <c r="AT533" i="1"/>
  <c r="AR533" i="1"/>
  <c r="AS533" i="1" s="1"/>
  <c r="AU532" i="1"/>
  <c r="AT532" i="1"/>
  <c r="AR532" i="1"/>
  <c r="AS532" i="1" s="1"/>
  <c r="AU531" i="1"/>
  <c r="AT531" i="1"/>
  <c r="AR531" i="1"/>
  <c r="AS531" i="1" s="1"/>
  <c r="AU530" i="1"/>
  <c r="AT530" i="1"/>
  <c r="AR530" i="1"/>
  <c r="AS530" i="1" s="1"/>
  <c r="AU529" i="1"/>
  <c r="AT529" i="1"/>
  <c r="AS529" i="1"/>
  <c r="AR529" i="1"/>
  <c r="AU528" i="1"/>
  <c r="AT528" i="1"/>
  <c r="AR528" i="1"/>
  <c r="AS528" i="1" s="1"/>
  <c r="AU527" i="1"/>
  <c r="AT527" i="1"/>
  <c r="AR527" i="1"/>
  <c r="AS527" i="1" s="1"/>
  <c r="AU526" i="1"/>
  <c r="AT526" i="1"/>
  <c r="AS526" i="1"/>
  <c r="AR526" i="1"/>
  <c r="AU525" i="1"/>
  <c r="AT525" i="1"/>
  <c r="AS525" i="1"/>
  <c r="AR525" i="1"/>
  <c r="AU524" i="1"/>
  <c r="AT524" i="1"/>
  <c r="AR524" i="1"/>
  <c r="AS524" i="1" s="1"/>
  <c r="AU523" i="1"/>
  <c r="AT523" i="1"/>
  <c r="AR523" i="1"/>
  <c r="AS523" i="1" s="1"/>
  <c r="AU522" i="1"/>
  <c r="AT522" i="1"/>
  <c r="AS522" i="1"/>
  <c r="AR522" i="1"/>
  <c r="AU521" i="1"/>
  <c r="AT521" i="1"/>
  <c r="AR521" i="1"/>
  <c r="AS521" i="1" s="1"/>
  <c r="AU520" i="1"/>
  <c r="AT520" i="1"/>
  <c r="AR520" i="1"/>
  <c r="AS520" i="1" s="1"/>
  <c r="AU519" i="1"/>
  <c r="AT519" i="1"/>
  <c r="AS519" i="1"/>
  <c r="AR519" i="1"/>
  <c r="AU518" i="1"/>
  <c r="AT518" i="1"/>
  <c r="AR518" i="1"/>
  <c r="AS518" i="1" s="1"/>
  <c r="AU517" i="1"/>
  <c r="AT517" i="1"/>
  <c r="AS517" i="1"/>
  <c r="AR517" i="1"/>
  <c r="AU516" i="1"/>
  <c r="AT516" i="1"/>
  <c r="AS516" i="1"/>
  <c r="AR516" i="1"/>
  <c r="AU515" i="1"/>
  <c r="AT515" i="1"/>
  <c r="AR515" i="1"/>
  <c r="AS515" i="1" s="1"/>
  <c r="AU514" i="1"/>
  <c r="AT514" i="1"/>
  <c r="AR514" i="1"/>
  <c r="AS514" i="1" s="1"/>
  <c r="AU513" i="1"/>
  <c r="AT513" i="1"/>
  <c r="AS513" i="1"/>
  <c r="AR513" i="1"/>
  <c r="AU512" i="1"/>
  <c r="AT512" i="1"/>
  <c r="AR512" i="1"/>
  <c r="AS512" i="1" s="1"/>
  <c r="AU511" i="1"/>
  <c r="AT511" i="1"/>
  <c r="AS511" i="1"/>
  <c r="AR511" i="1"/>
  <c r="AU510" i="1"/>
  <c r="AT510" i="1"/>
  <c r="AR510" i="1"/>
  <c r="AS510" i="1" s="1"/>
  <c r="AU509" i="1"/>
  <c r="AT509" i="1"/>
  <c r="AR509" i="1"/>
  <c r="AS509" i="1" s="1"/>
  <c r="AU508" i="1"/>
  <c r="AT508" i="1"/>
  <c r="AR508" i="1"/>
  <c r="AS508" i="1" s="1"/>
  <c r="AU507" i="1"/>
  <c r="AT507" i="1"/>
  <c r="AR507" i="1"/>
  <c r="AS507" i="1" s="1"/>
  <c r="AU506" i="1"/>
  <c r="AT506" i="1"/>
  <c r="AR506" i="1"/>
  <c r="AS506" i="1" s="1"/>
  <c r="AU505" i="1"/>
  <c r="AT505" i="1"/>
  <c r="AR505" i="1"/>
  <c r="AS505" i="1" s="1"/>
  <c r="AU504" i="1"/>
  <c r="AT504" i="1"/>
  <c r="AS504" i="1"/>
  <c r="AR504" i="1"/>
  <c r="AU503" i="1"/>
  <c r="AT503" i="1"/>
  <c r="AR503" i="1"/>
  <c r="AS503" i="1" s="1"/>
  <c r="AU502" i="1"/>
  <c r="AT502" i="1"/>
  <c r="AS502" i="1"/>
  <c r="AR502" i="1"/>
  <c r="AU501" i="1"/>
  <c r="AT501" i="1"/>
  <c r="AR501" i="1"/>
  <c r="AS501" i="1" s="1"/>
  <c r="AU500" i="1"/>
  <c r="AT500" i="1"/>
  <c r="AR500" i="1"/>
  <c r="AS500" i="1" s="1"/>
  <c r="AU499" i="1"/>
  <c r="AT499" i="1"/>
  <c r="AS499" i="1"/>
  <c r="AR499" i="1"/>
  <c r="AU498" i="1"/>
  <c r="AT498" i="1"/>
  <c r="AS498" i="1"/>
  <c r="AR498" i="1"/>
  <c r="AU497" i="1"/>
  <c r="AT497" i="1"/>
  <c r="AR497" i="1"/>
  <c r="AS497" i="1" s="1"/>
  <c r="AU496" i="1"/>
  <c r="AT496" i="1"/>
  <c r="AS496" i="1"/>
  <c r="AR496" i="1"/>
  <c r="AU495" i="1"/>
  <c r="AT495" i="1"/>
  <c r="AR495" i="1"/>
  <c r="AS495" i="1" s="1"/>
  <c r="AU494" i="1"/>
  <c r="AT494" i="1"/>
  <c r="AR494" i="1"/>
  <c r="AS494" i="1" s="1"/>
  <c r="AU493" i="1"/>
  <c r="AT493" i="1"/>
  <c r="AR493" i="1"/>
  <c r="AS493" i="1" s="1"/>
  <c r="AU492" i="1"/>
  <c r="AT492" i="1"/>
  <c r="AR492" i="1"/>
  <c r="AS492" i="1" s="1"/>
  <c r="AU491" i="1"/>
  <c r="AT491" i="1"/>
  <c r="AR491" i="1"/>
  <c r="AS491" i="1" s="1"/>
  <c r="AU490" i="1"/>
  <c r="AT490" i="1"/>
  <c r="AR490" i="1"/>
  <c r="AS490" i="1" s="1"/>
  <c r="AU489" i="1"/>
  <c r="AT489" i="1"/>
  <c r="AS489" i="1"/>
  <c r="AR489" i="1"/>
  <c r="AU488" i="1"/>
  <c r="AT488" i="1"/>
  <c r="AR488" i="1"/>
  <c r="AS488" i="1" s="1"/>
  <c r="AU487" i="1"/>
  <c r="AT487" i="1"/>
  <c r="AR487" i="1"/>
  <c r="AS487" i="1" s="1"/>
  <c r="AU486" i="1"/>
  <c r="AT486" i="1"/>
  <c r="AR486" i="1"/>
  <c r="AS486" i="1" s="1"/>
  <c r="AU485" i="1"/>
  <c r="AT485" i="1"/>
  <c r="AS485" i="1"/>
  <c r="AR485" i="1"/>
  <c r="AU484" i="1"/>
  <c r="AT484" i="1"/>
  <c r="AR484" i="1"/>
  <c r="AS484" i="1" s="1"/>
  <c r="AU483" i="1"/>
  <c r="AT483" i="1"/>
  <c r="AR483" i="1"/>
  <c r="AS483" i="1" s="1"/>
  <c r="AU482" i="1"/>
  <c r="AT482" i="1"/>
  <c r="AS482" i="1"/>
  <c r="AR482" i="1"/>
  <c r="AU481" i="1"/>
  <c r="AT481" i="1"/>
  <c r="AR481" i="1"/>
  <c r="AS481" i="1" s="1"/>
  <c r="AU480" i="1"/>
  <c r="AT480" i="1"/>
  <c r="AR480" i="1"/>
  <c r="AS480" i="1" s="1"/>
  <c r="AU479" i="1"/>
  <c r="AT479" i="1"/>
  <c r="AS479" i="1"/>
  <c r="AR479" i="1"/>
  <c r="AU478" i="1"/>
  <c r="AT478" i="1"/>
  <c r="AR478" i="1"/>
  <c r="AS478" i="1" s="1"/>
  <c r="AU477" i="1"/>
  <c r="AT477" i="1"/>
  <c r="AS477" i="1"/>
  <c r="AR477" i="1"/>
  <c r="AU476" i="1"/>
  <c r="AT476" i="1"/>
  <c r="AS476" i="1"/>
  <c r="AR476" i="1"/>
  <c r="AU475" i="1"/>
  <c r="AT475" i="1"/>
  <c r="AR475" i="1"/>
  <c r="AS475" i="1" s="1"/>
  <c r="AU474" i="1"/>
  <c r="AT474" i="1"/>
  <c r="AR474" i="1"/>
  <c r="AS474" i="1" s="1"/>
  <c r="AU473" i="1"/>
  <c r="AT473" i="1"/>
  <c r="AR473" i="1"/>
  <c r="AS473" i="1" s="1"/>
  <c r="AU472" i="1"/>
  <c r="AT472" i="1"/>
  <c r="AR472" i="1"/>
  <c r="AS472" i="1" s="1"/>
  <c r="AU471" i="1"/>
  <c r="AT471" i="1"/>
  <c r="AR471" i="1"/>
  <c r="AS471" i="1" s="1"/>
  <c r="AU470" i="1"/>
  <c r="AT470" i="1"/>
  <c r="AR470" i="1"/>
  <c r="AS470" i="1" s="1"/>
  <c r="AU469" i="1"/>
  <c r="AT469" i="1"/>
  <c r="AR469" i="1"/>
  <c r="AS469" i="1" s="1"/>
  <c r="AU468" i="1"/>
  <c r="AT468" i="1"/>
  <c r="AS468" i="1"/>
  <c r="AR468" i="1"/>
  <c r="AU467" i="1"/>
  <c r="AT467" i="1"/>
  <c r="AR467" i="1"/>
  <c r="AS467" i="1" s="1"/>
  <c r="AU466" i="1"/>
  <c r="AT466" i="1"/>
  <c r="AR466" i="1"/>
  <c r="AS466" i="1" s="1"/>
  <c r="AU465" i="1"/>
  <c r="AT465" i="1"/>
  <c r="AR465" i="1"/>
  <c r="AS465" i="1" s="1"/>
  <c r="AU464" i="1"/>
  <c r="AT464" i="1"/>
  <c r="AS464" i="1"/>
  <c r="AR464" i="1"/>
  <c r="AU463" i="1"/>
  <c r="AT463" i="1"/>
  <c r="AR463" i="1"/>
  <c r="AS463" i="1" s="1"/>
  <c r="AU462" i="1"/>
  <c r="AT462" i="1"/>
  <c r="AS462" i="1"/>
  <c r="AR462" i="1"/>
  <c r="AU461" i="1"/>
  <c r="AT461" i="1"/>
  <c r="AR461" i="1"/>
  <c r="AS461" i="1" s="1"/>
  <c r="AU460" i="1"/>
  <c r="AT460" i="1"/>
  <c r="AR460" i="1"/>
  <c r="AS460" i="1" s="1"/>
  <c r="AU459" i="1"/>
  <c r="AT459" i="1"/>
  <c r="AS459" i="1"/>
  <c r="AR459" i="1"/>
  <c r="AU458" i="1"/>
  <c r="AT458" i="1"/>
  <c r="AR458" i="1"/>
  <c r="AS458" i="1" s="1"/>
  <c r="AU457" i="1"/>
  <c r="AT457" i="1"/>
  <c r="AR457" i="1"/>
  <c r="AS457" i="1" s="1"/>
  <c r="AU456" i="1"/>
  <c r="AT456" i="1"/>
  <c r="AS456" i="1"/>
  <c r="AR456" i="1"/>
  <c r="AU455" i="1"/>
  <c r="AT455" i="1"/>
  <c r="AS455" i="1"/>
  <c r="AR455" i="1"/>
  <c r="AU454" i="1"/>
  <c r="AT454" i="1"/>
  <c r="AR454" i="1"/>
  <c r="AS454" i="1" s="1"/>
  <c r="AU453" i="1"/>
  <c r="AT453" i="1"/>
  <c r="AS453" i="1"/>
  <c r="AR453" i="1"/>
  <c r="AU452" i="1"/>
  <c r="AT452" i="1"/>
  <c r="AR452" i="1"/>
  <c r="AS452" i="1" s="1"/>
  <c r="AU451" i="1"/>
  <c r="AT451" i="1"/>
  <c r="AR451" i="1"/>
  <c r="AS451" i="1" s="1"/>
  <c r="AU450" i="1"/>
  <c r="AT450" i="1"/>
  <c r="AR450" i="1"/>
  <c r="AS450" i="1" s="1"/>
  <c r="AU449" i="1"/>
  <c r="AT449" i="1"/>
  <c r="AS449" i="1"/>
  <c r="AR449" i="1"/>
  <c r="AU448" i="1"/>
  <c r="AT448" i="1"/>
  <c r="AR448" i="1"/>
  <c r="AS448" i="1" s="1"/>
  <c r="AU447" i="1"/>
  <c r="AT447" i="1"/>
  <c r="AR447" i="1"/>
  <c r="AS447" i="1" s="1"/>
  <c r="AU446" i="1"/>
  <c r="AT446" i="1"/>
  <c r="AS446" i="1"/>
  <c r="AR446" i="1"/>
  <c r="AU445" i="1"/>
  <c r="AT445" i="1"/>
  <c r="AR445" i="1"/>
  <c r="AS445" i="1" s="1"/>
  <c r="AU444" i="1"/>
  <c r="AT444" i="1"/>
  <c r="AR444" i="1"/>
  <c r="AS444" i="1" s="1"/>
  <c r="AU443" i="1"/>
  <c r="AT443" i="1"/>
  <c r="AS443" i="1"/>
  <c r="AR443" i="1"/>
  <c r="AU442" i="1"/>
  <c r="AT442" i="1"/>
  <c r="AR442" i="1"/>
  <c r="AS442" i="1" s="1"/>
  <c r="AU441" i="1"/>
  <c r="AT441" i="1"/>
  <c r="AS441" i="1"/>
  <c r="AR441" i="1"/>
  <c r="AU440" i="1"/>
  <c r="AT440" i="1"/>
  <c r="AS440" i="1"/>
  <c r="AR440" i="1"/>
  <c r="AU439" i="1"/>
  <c r="AT439" i="1"/>
  <c r="AR439" i="1"/>
  <c r="AS439" i="1" s="1"/>
  <c r="AU438" i="1"/>
  <c r="AT438" i="1"/>
  <c r="AR438" i="1"/>
  <c r="AS438" i="1" s="1"/>
  <c r="AU437" i="1"/>
  <c r="AT437" i="1"/>
  <c r="AR437" i="1"/>
  <c r="AS437" i="1" s="1"/>
  <c r="AU436" i="1"/>
  <c r="AT436" i="1"/>
  <c r="AR436" i="1"/>
  <c r="AS436" i="1" s="1"/>
  <c r="AU435" i="1"/>
  <c r="AT435" i="1"/>
  <c r="AR435" i="1"/>
  <c r="AS435" i="1" s="1"/>
  <c r="AU434" i="1"/>
  <c r="AT434" i="1"/>
  <c r="AR434" i="1"/>
  <c r="AS434" i="1" s="1"/>
  <c r="AU433" i="1"/>
  <c r="AT433" i="1"/>
  <c r="AR433" i="1"/>
  <c r="AS433" i="1" s="1"/>
  <c r="AU432" i="1"/>
  <c r="AT432" i="1"/>
  <c r="AS432" i="1"/>
  <c r="AR432" i="1"/>
  <c r="AU431" i="1"/>
  <c r="AT431" i="1"/>
  <c r="AR431" i="1"/>
  <c r="AS431" i="1" s="1"/>
  <c r="AU430" i="1"/>
  <c r="AT430" i="1"/>
  <c r="AR430" i="1"/>
  <c r="AS430" i="1" s="1"/>
  <c r="AU429" i="1"/>
  <c r="AT429" i="1"/>
  <c r="AR429" i="1"/>
  <c r="AS429" i="1" s="1"/>
  <c r="AU428" i="1"/>
  <c r="AT428" i="1"/>
  <c r="AS428" i="1"/>
  <c r="AR428" i="1"/>
  <c r="AU427" i="1"/>
  <c r="AT427" i="1"/>
  <c r="AR427" i="1"/>
  <c r="AS427" i="1" s="1"/>
  <c r="AU426" i="1"/>
  <c r="AT426" i="1"/>
  <c r="AS426" i="1"/>
  <c r="AR426" i="1"/>
  <c r="AU425" i="1"/>
  <c r="AT425" i="1"/>
  <c r="AR425" i="1"/>
  <c r="AS425" i="1" s="1"/>
  <c r="AU424" i="1"/>
  <c r="AT424" i="1"/>
  <c r="AR424" i="1"/>
  <c r="AS424" i="1" s="1"/>
  <c r="AU423" i="1"/>
  <c r="AT423" i="1"/>
  <c r="AS423" i="1"/>
  <c r="AR423" i="1"/>
  <c r="AU422" i="1"/>
  <c r="AT422" i="1"/>
  <c r="AR422" i="1"/>
  <c r="AS422" i="1" s="1"/>
  <c r="AU421" i="1"/>
  <c r="AT421" i="1"/>
  <c r="AR421" i="1"/>
  <c r="AS421" i="1" s="1"/>
  <c r="AU420" i="1"/>
  <c r="AT420" i="1"/>
  <c r="AS420" i="1"/>
  <c r="AR420" i="1"/>
  <c r="AU419" i="1"/>
  <c r="AT419" i="1"/>
  <c r="AS419" i="1"/>
  <c r="AR419" i="1"/>
  <c r="AU418" i="1"/>
  <c r="AT418" i="1"/>
  <c r="AR418" i="1"/>
  <c r="AS418" i="1" s="1"/>
  <c r="AU417" i="1"/>
  <c r="AT417" i="1"/>
  <c r="AS417" i="1"/>
  <c r="AR417" i="1"/>
  <c r="AU416" i="1"/>
  <c r="AT416" i="1"/>
  <c r="AR416" i="1"/>
  <c r="AS416" i="1" s="1"/>
  <c r="AU415" i="1"/>
  <c r="AT415" i="1"/>
  <c r="AR415" i="1"/>
  <c r="AS415" i="1" s="1"/>
  <c r="AU414" i="1"/>
  <c r="AT414" i="1"/>
  <c r="AR414" i="1"/>
  <c r="AS414" i="1" s="1"/>
  <c r="AU413" i="1"/>
  <c r="AT413" i="1"/>
  <c r="AS413" i="1"/>
  <c r="AR413" i="1"/>
  <c r="AU412" i="1"/>
  <c r="AT412" i="1"/>
  <c r="AR412" i="1"/>
  <c r="AS412" i="1" s="1"/>
  <c r="AU411" i="1"/>
  <c r="AT411" i="1"/>
  <c r="AR411" i="1"/>
  <c r="AS411" i="1" s="1"/>
  <c r="AU410" i="1"/>
  <c r="AT410" i="1"/>
  <c r="AS410" i="1"/>
  <c r="AR410" i="1"/>
  <c r="AU409" i="1"/>
  <c r="AT409" i="1"/>
  <c r="AR409" i="1"/>
  <c r="AS409" i="1" s="1"/>
  <c r="AU408" i="1"/>
  <c r="AT408" i="1"/>
  <c r="AR408" i="1"/>
  <c r="AS408" i="1" s="1"/>
  <c r="AU407" i="1"/>
  <c r="AT407" i="1"/>
  <c r="AS407" i="1"/>
  <c r="AR407" i="1"/>
  <c r="AU406" i="1"/>
  <c r="AT406" i="1"/>
  <c r="AR406" i="1"/>
  <c r="AS406" i="1" s="1"/>
  <c r="AU405" i="1"/>
  <c r="AT405" i="1"/>
  <c r="AS405" i="1"/>
  <c r="AR405" i="1"/>
  <c r="AU404" i="1"/>
  <c r="AT404" i="1"/>
  <c r="AS404" i="1"/>
  <c r="AR404" i="1"/>
  <c r="AU403" i="1"/>
  <c r="AT403" i="1"/>
  <c r="AR403" i="1"/>
  <c r="AS403" i="1" s="1"/>
  <c r="AU402" i="1"/>
  <c r="AT402" i="1"/>
  <c r="AR402" i="1"/>
  <c r="AS402" i="1" s="1"/>
  <c r="AU401" i="1"/>
  <c r="AT401" i="1"/>
  <c r="AR401" i="1"/>
  <c r="AS401" i="1" s="1"/>
  <c r="AU400" i="1"/>
  <c r="AT400" i="1"/>
  <c r="AR400" i="1"/>
  <c r="AS400" i="1" s="1"/>
  <c r="AU399" i="1"/>
  <c r="AT399" i="1"/>
  <c r="AR399" i="1"/>
  <c r="AS399" i="1" s="1"/>
  <c r="AU398" i="1"/>
  <c r="AT398" i="1"/>
  <c r="AR398" i="1"/>
  <c r="AS398" i="1" s="1"/>
  <c r="AU397" i="1"/>
  <c r="AT397" i="1"/>
  <c r="AR397" i="1"/>
  <c r="AS397" i="1" s="1"/>
  <c r="AU396" i="1"/>
  <c r="AT396" i="1"/>
  <c r="AS396" i="1"/>
  <c r="AR396" i="1"/>
  <c r="AU395" i="1"/>
  <c r="AT395" i="1"/>
  <c r="AR395" i="1"/>
  <c r="AS395" i="1" s="1"/>
  <c r="AU394" i="1"/>
  <c r="AT394" i="1"/>
  <c r="AR394" i="1"/>
  <c r="AS394" i="1" s="1"/>
  <c r="AU393" i="1"/>
  <c r="AT393" i="1"/>
  <c r="AR393" i="1"/>
  <c r="AS393" i="1" s="1"/>
  <c r="AU392" i="1"/>
  <c r="AT392" i="1"/>
  <c r="AS392" i="1"/>
  <c r="AR392" i="1"/>
  <c r="AU391" i="1"/>
  <c r="AT391" i="1"/>
  <c r="AR391" i="1"/>
  <c r="AS391" i="1" s="1"/>
  <c r="AU390" i="1"/>
  <c r="AT390" i="1"/>
  <c r="AS390" i="1"/>
  <c r="AR390" i="1"/>
  <c r="AU389" i="1"/>
  <c r="AT389" i="1"/>
  <c r="AR389" i="1"/>
  <c r="AS389" i="1" s="1"/>
  <c r="AU388" i="1"/>
  <c r="AT388" i="1"/>
  <c r="AR388" i="1"/>
  <c r="AS388" i="1" s="1"/>
  <c r="AU387" i="1"/>
  <c r="AT387" i="1"/>
  <c r="AS387" i="1"/>
  <c r="AR387" i="1"/>
  <c r="AU386" i="1"/>
  <c r="AT386" i="1"/>
  <c r="AR386" i="1"/>
  <c r="AS386" i="1" s="1"/>
  <c r="AU385" i="1"/>
  <c r="AT385" i="1"/>
  <c r="AR385" i="1"/>
  <c r="AS385" i="1" s="1"/>
  <c r="AU384" i="1"/>
  <c r="AT384" i="1"/>
  <c r="AS384" i="1"/>
  <c r="AR384" i="1"/>
  <c r="AU383" i="1"/>
  <c r="AT383" i="1"/>
  <c r="AS383" i="1"/>
  <c r="AR383" i="1"/>
  <c r="AU382" i="1"/>
  <c r="AT382" i="1"/>
  <c r="AR382" i="1"/>
  <c r="AS382" i="1" s="1"/>
  <c r="AU381" i="1"/>
  <c r="AT381" i="1"/>
  <c r="AS381" i="1"/>
  <c r="AR381" i="1"/>
  <c r="AU380" i="1"/>
  <c r="AT380" i="1"/>
  <c r="AR380" i="1"/>
  <c r="AS380" i="1" s="1"/>
  <c r="AU379" i="1"/>
  <c r="AT379" i="1"/>
  <c r="AR379" i="1"/>
  <c r="AS379" i="1" s="1"/>
  <c r="AU378" i="1"/>
  <c r="AT378" i="1"/>
  <c r="AR378" i="1"/>
  <c r="AS378" i="1" s="1"/>
  <c r="AU377" i="1"/>
  <c r="AT377" i="1"/>
  <c r="AS377" i="1"/>
  <c r="AR377" i="1"/>
  <c r="AU376" i="1"/>
  <c r="AT376" i="1"/>
  <c r="AR376" i="1"/>
  <c r="AS376" i="1" s="1"/>
  <c r="AU375" i="1"/>
  <c r="AT375" i="1"/>
  <c r="AR375" i="1"/>
  <c r="AS375" i="1" s="1"/>
  <c r="AU374" i="1"/>
  <c r="AT374" i="1"/>
  <c r="AS374" i="1"/>
  <c r="AR374" i="1"/>
  <c r="AU373" i="1"/>
  <c r="AT373" i="1"/>
  <c r="AR373" i="1"/>
  <c r="AS373" i="1" s="1"/>
  <c r="AU372" i="1"/>
  <c r="AT372" i="1"/>
  <c r="AR372" i="1"/>
  <c r="AS372" i="1" s="1"/>
  <c r="AU371" i="1"/>
  <c r="AT371" i="1"/>
  <c r="AS371" i="1"/>
  <c r="AR371" i="1"/>
  <c r="AU370" i="1"/>
  <c r="AT370" i="1"/>
  <c r="AR370" i="1"/>
  <c r="AS370" i="1" s="1"/>
  <c r="AU369" i="1"/>
  <c r="AT369" i="1"/>
  <c r="AS369" i="1"/>
  <c r="AR369" i="1"/>
  <c r="AU368" i="1"/>
  <c r="AT368" i="1"/>
  <c r="AS368" i="1"/>
  <c r="AR368" i="1"/>
  <c r="AU367" i="1"/>
  <c r="AT367" i="1"/>
  <c r="AR367" i="1"/>
  <c r="AS367" i="1" s="1"/>
  <c r="AU366" i="1"/>
  <c r="AT366" i="1"/>
  <c r="AR366" i="1"/>
  <c r="AS366" i="1" s="1"/>
  <c r="AU365" i="1"/>
  <c r="AT365" i="1"/>
  <c r="AR365" i="1"/>
  <c r="AS365" i="1" s="1"/>
  <c r="AU364" i="1"/>
  <c r="AT364" i="1"/>
  <c r="AR364" i="1"/>
  <c r="AS364" i="1" s="1"/>
  <c r="AU363" i="1"/>
  <c r="AT363" i="1"/>
  <c r="AR363" i="1"/>
  <c r="AS363" i="1" s="1"/>
  <c r="AU362" i="1"/>
  <c r="AT362" i="1"/>
  <c r="AR362" i="1"/>
  <c r="AS362" i="1" s="1"/>
  <c r="AU361" i="1"/>
  <c r="AT361" i="1"/>
  <c r="AR361" i="1"/>
  <c r="AS361" i="1" s="1"/>
  <c r="AU360" i="1"/>
  <c r="AT360" i="1"/>
  <c r="AS360" i="1"/>
  <c r="AR360" i="1"/>
  <c r="AU359" i="1"/>
  <c r="AT359" i="1"/>
  <c r="AR359" i="1"/>
  <c r="AS359" i="1" s="1"/>
  <c r="AU358" i="1"/>
  <c r="AT358" i="1"/>
  <c r="AR358" i="1"/>
  <c r="AS358" i="1" s="1"/>
  <c r="AU357" i="1"/>
  <c r="AT357" i="1"/>
  <c r="AR357" i="1"/>
  <c r="AS357" i="1" s="1"/>
  <c r="AU356" i="1"/>
  <c r="AT356" i="1"/>
  <c r="AS356" i="1"/>
  <c r="AR356" i="1"/>
  <c r="AU355" i="1"/>
  <c r="AT355" i="1"/>
  <c r="AR355" i="1"/>
  <c r="AS355" i="1" s="1"/>
  <c r="AU354" i="1"/>
  <c r="AT354" i="1"/>
  <c r="AS354" i="1"/>
  <c r="AR354" i="1"/>
  <c r="AU353" i="1"/>
  <c r="AT353" i="1"/>
  <c r="AR353" i="1"/>
  <c r="AS353" i="1" s="1"/>
  <c r="AU352" i="1"/>
  <c r="AT352" i="1"/>
  <c r="AR352" i="1"/>
  <c r="AS352" i="1" s="1"/>
  <c r="AU351" i="1"/>
  <c r="AT351" i="1"/>
  <c r="AS351" i="1"/>
  <c r="AR351" i="1"/>
  <c r="AU350" i="1"/>
  <c r="AT350" i="1"/>
  <c r="AR350" i="1"/>
  <c r="AS350" i="1" s="1"/>
  <c r="AU349" i="1"/>
  <c r="AT349" i="1"/>
  <c r="AR349" i="1"/>
  <c r="AS349" i="1" s="1"/>
  <c r="AU348" i="1"/>
  <c r="AT348" i="1"/>
  <c r="AS348" i="1"/>
  <c r="AR348" i="1"/>
  <c r="AU347" i="1"/>
  <c r="AT347" i="1"/>
  <c r="AS347" i="1"/>
  <c r="AR347" i="1"/>
  <c r="AU346" i="1"/>
  <c r="AT346" i="1"/>
  <c r="AR346" i="1"/>
  <c r="AS346" i="1" s="1"/>
  <c r="AU345" i="1"/>
  <c r="AT345" i="1"/>
  <c r="AS345" i="1"/>
  <c r="AR345" i="1"/>
  <c r="AU344" i="1"/>
  <c r="AT344" i="1"/>
  <c r="AR344" i="1"/>
  <c r="AS344" i="1" s="1"/>
  <c r="AU343" i="1"/>
  <c r="AT343" i="1"/>
  <c r="AR343" i="1"/>
  <c r="AS343" i="1" s="1"/>
  <c r="AU342" i="1"/>
  <c r="AT342" i="1"/>
  <c r="AR342" i="1"/>
  <c r="AS342" i="1" s="1"/>
  <c r="AU341" i="1"/>
  <c r="AT341" i="1"/>
  <c r="AS341" i="1"/>
  <c r="AR341" i="1"/>
  <c r="AU340" i="1"/>
  <c r="AT340" i="1"/>
  <c r="AR340" i="1"/>
  <c r="AS340" i="1" s="1"/>
  <c r="AU339" i="1"/>
  <c r="AT339" i="1"/>
  <c r="AR339" i="1"/>
  <c r="AS339" i="1" s="1"/>
  <c r="AU338" i="1"/>
  <c r="AT338" i="1"/>
  <c r="AS338" i="1"/>
  <c r="AR338" i="1"/>
  <c r="AU337" i="1"/>
  <c r="AT337" i="1"/>
  <c r="AR337" i="1"/>
  <c r="AS337" i="1" s="1"/>
  <c r="AU336" i="1"/>
  <c r="AT336" i="1"/>
  <c r="AR336" i="1"/>
  <c r="AS336" i="1" s="1"/>
  <c r="AU335" i="1"/>
  <c r="AT335" i="1"/>
  <c r="AS335" i="1"/>
  <c r="AR335" i="1"/>
  <c r="AU334" i="1"/>
  <c r="AT334" i="1"/>
  <c r="AR334" i="1"/>
  <c r="AS334" i="1" s="1"/>
  <c r="AU333" i="1"/>
  <c r="AT333" i="1"/>
  <c r="AS333" i="1"/>
  <c r="AR333" i="1"/>
  <c r="AU332" i="1"/>
  <c r="AT332" i="1"/>
  <c r="AS332" i="1"/>
  <c r="AR332" i="1"/>
  <c r="AU331" i="1"/>
  <c r="AT331" i="1"/>
  <c r="AR331" i="1"/>
  <c r="AS331" i="1" s="1"/>
  <c r="AU330" i="1"/>
  <c r="AT330" i="1"/>
  <c r="AR330" i="1"/>
  <c r="AS330" i="1" s="1"/>
  <c r="AU329" i="1"/>
  <c r="AT329" i="1"/>
  <c r="AR329" i="1"/>
  <c r="AS329" i="1" s="1"/>
  <c r="AU328" i="1"/>
  <c r="AT328" i="1"/>
  <c r="AR328" i="1"/>
  <c r="AS328" i="1" s="1"/>
  <c r="AU327" i="1"/>
  <c r="AT327" i="1"/>
  <c r="AR327" i="1"/>
  <c r="AS327" i="1" s="1"/>
  <c r="AU326" i="1"/>
  <c r="AT326" i="1"/>
  <c r="AR326" i="1"/>
  <c r="AS326" i="1" s="1"/>
  <c r="AU325" i="1"/>
  <c r="AT325" i="1"/>
  <c r="AR325" i="1"/>
  <c r="AS325" i="1" s="1"/>
  <c r="AU324" i="1"/>
  <c r="AT324" i="1"/>
  <c r="AS324" i="1"/>
  <c r="AR324" i="1"/>
  <c r="AU323" i="1"/>
  <c r="AT323" i="1"/>
  <c r="AR323" i="1"/>
  <c r="AS323" i="1" s="1"/>
  <c r="AU322" i="1"/>
  <c r="AT322" i="1"/>
  <c r="AR322" i="1"/>
  <c r="AS322" i="1" s="1"/>
  <c r="AU321" i="1"/>
  <c r="AT321" i="1"/>
  <c r="AR321" i="1"/>
  <c r="AS321" i="1" s="1"/>
  <c r="AU320" i="1"/>
  <c r="AT320" i="1"/>
  <c r="AS320" i="1"/>
  <c r="AR320" i="1"/>
  <c r="AU319" i="1"/>
  <c r="AT319" i="1"/>
  <c r="AR319" i="1"/>
  <c r="AS319" i="1" s="1"/>
  <c r="AU318" i="1"/>
  <c r="AT318" i="1"/>
  <c r="AS318" i="1"/>
  <c r="AR318" i="1"/>
  <c r="AU317" i="1"/>
  <c r="AT317" i="1"/>
  <c r="AR317" i="1"/>
  <c r="AS317" i="1" s="1"/>
  <c r="AU316" i="1"/>
  <c r="AT316" i="1"/>
  <c r="AR316" i="1"/>
  <c r="AS316" i="1" s="1"/>
  <c r="AU315" i="1"/>
  <c r="AT315" i="1"/>
  <c r="AS315" i="1"/>
  <c r="AR315" i="1"/>
  <c r="AU314" i="1"/>
  <c r="AT314" i="1"/>
  <c r="AR314" i="1"/>
  <c r="AS314" i="1" s="1"/>
  <c r="AU313" i="1"/>
  <c r="AT313" i="1"/>
  <c r="AR313" i="1"/>
  <c r="AS313" i="1" s="1"/>
  <c r="AU312" i="1"/>
  <c r="AT312" i="1"/>
  <c r="AS312" i="1"/>
  <c r="AR312" i="1"/>
  <c r="AU311" i="1"/>
  <c r="AT311" i="1"/>
  <c r="AS311" i="1"/>
  <c r="AR311" i="1"/>
  <c r="AU310" i="1"/>
  <c r="AT310" i="1"/>
  <c r="AR310" i="1"/>
  <c r="AS310" i="1" s="1"/>
  <c r="AU309" i="1"/>
  <c r="AT309" i="1"/>
  <c r="AS309" i="1"/>
  <c r="AR309" i="1"/>
  <c r="AU308" i="1"/>
  <c r="AT308" i="1"/>
  <c r="AR308" i="1"/>
  <c r="AS308" i="1" s="1"/>
  <c r="AU307" i="1"/>
  <c r="AT307" i="1"/>
  <c r="AR307" i="1"/>
  <c r="AS307" i="1" s="1"/>
  <c r="AU306" i="1"/>
  <c r="AT306" i="1"/>
  <c r="AR306" i="1"/>
  <c r="AS306" i="1" s="1"/>
  <c r="AU305" i="1"/>
  <c r="AT305" i="1"/>
  <c r="AS305" i="1"/>
  <c r="AR305" i="1"/>
  <c r="AU304" i="1"/>
  <c r="AT304" i="1"/>
  <c r="AR304" i="1"/>
  <c r="AS304" i="1" s="1"/>
  <c r="AU303" i="1"/>
  <c r="AT303" i="1"/>
  <c r="AR303" i="1"/>
  <c r="AS303" i="1" s="1"/>
  <c r="AU302" i="1"/>
  <c r="AT302" i="1"/>
  <c r="AS302" i="1"/>
  <c r="AR302" i="1"/>
  <c r="AU301" i="1"/>
  <c r="AT301" i="1"/>
  <c r="AR301" i="1"/>
  <c r="AS301" i="1" s="1"/>
  <c r="AU300" i="1"/>
  <c r="AT300" i="1"/>
  <c r="AR300" i="1"/>
  <c r="AS300" i="1" s="1"/>
  <c r="AU299" i="1"/>
  <c r="AT299" i="1"/>
  <c r="AS299" i="1"/>
  <c r="AR299" i="1"/>
  <c r="AU298" i="1"/>
  <c r="AT298" i="1"/>
  <c r="AR298" i="1"/>
  <c r="AS298" i="1" s="1"/>
  <c r="AU297" i="1"/>
  <c r="AT297" i="1"/>
  <c r="AS297" i="1"/>
  <c r="AR297" i="1"/>
  <c r="AU296" i="1"/>
  <c r="AT296" i="1"/>
  <c r="AS296" i="1"/>
  <c r="AR296" i="1"/>
  <c r="AU295" i="1"/>
  <c r="AT295" i="1"/>
  <c r="AR295" i="1"/>
  <c r="AS295" i="1" s="1"/>
  <c r="AU294" i="1"/>
  <c r="AT294" i="1"/>
  <c r="AR294" i="1"/>
  <c r="AS294" i="1" s="1"/>
  <c r="AU293" i="1"/>
  <c r="AT293" i="1"/>
  <c r="AR293" i="1"/>
  <c r="AS293" i="1" s="1"/>
  <c r="AU292" i="1"/>
  <c r="AT292" i="1"/>
  <c r="AR292" i="1"/>
  <c r="AS292" i="1" s="1"/>
  <c r="AU291" i="1"/>
  <c r="AT291" i="1"/>
  <c r="AR291" i="1"/>
  <c r="AS291" i="1" s="1"/>
  <c r="AU290" i="1"/>
  <c r="AT290" i="1"/>
  <c r="AR290" i="1"/>
  <c r="AS290" i="1" s="1"/>
  <c r="AU289" i="1"/>
  <c r="AT289" i="1"/>
  <c r="AR289" i="1"/>
  <c r="AS289" i="1" s="1"/>
  <c r="AU288" i="1"/>
  <c r="AT288" i="1"/>
  <c r="AS288" i="1"/>
  <c r="AR288" i="1"/>
  <c r="AU287" i="1"/>
  <c r="AT287" i="1"/>
  <c r="AR287" i="1"/>
  <c r="AS287" i="1" s="1"/>
  <c r="AU286" i="1"/>
  <c r="AT286" i="1"/>
  <c r="AR286" i="1"/>
  <c r="AS286" i="1" s="1"/>
  <c r="AU285" i="1"/>
  <c r="AT285" i="1"/>
  <c r="AR285" i="1"/>
  <c r="AS285" i="1" s="1"/>
  <c r="AU284" i="1"/>
  <c r="AT284" i="1"/>
  <c r="AS284" i="1"/>
  <c r="AR284" i="1"/>
  <c r="AU283" i="1"/>
  <c r="AT283" i="1"/>
  <c r="AR283" i="1"/>
  <c r="AS283" i="1" s="1"/>
  <c r="AU282" i="1"/>
  <c r="AT282" i="1"/>
  <c r="AS282" i="1"/>
  <c r="AR282" i="1"/>
  <c r="AU281" i="1"/>
  <c r="AT281" i="1"/>
  <c r="AR281" i="1"/>
  <c r="AS281" i="1" s="1"/>
  <c r="AU280" i="1"/>
  <c r="AT280" i="1"/>
  <c r="AR280" i="1"/>
  <c r="AS280" i="1" s="1"/>
  <c r="AU279" i="1"/>
  <c r="AT279" i="1"/>
  <c r="AS279" i="1"/>
  <c r="AR279" i="1"/>
  <c r="AU278" i="1"/>
  <c r="AT278" i="1"/>
  <c r="AR278" i="1"/>
  <c r="AS278" i="1" s="1"/>
  <c r="AU277" i="1"/>
  <c r="AT277" i="1"/>
  <c r="AR277" i="1"/>
  <c r="AS277" i="1" s="1"/>
  <c r="AU276" i="1"/>
  <c r="AT276" i="1"/>
  <c r="AS276" i="1"/>
  <c r="AR276" i="1"/>
  <c r="AU275" i="1"/>
  <c r="AT275" i="1"/>
  <c r="AS275" i="1"/>
  <c r="AR275" i="1"/>
  <c r="AU274" i="1"/>
  <c r="AT274" i="1"/>
  <c r="AR274" i="1"/>
  <c r="AS274" i="1" s="1"/>
  <c r="AU273" i="1"/>
  <c r="AT273" i="1"/>
  <c r="AS273" i="1"/>
  <c r="AR273" i="1"/>
  <c r="AU272" i="1"/>
  <c r="AT272" i="1"/>
  <c r="AR272" i="1"/>
  <c r="AS272" i="1" s="1"/>
  <c r="AU271" i="1"/>
  <c r="AT271" i="1"/>
  <c r="AR271" i="1"/>
  <c r="AS271" i="1" s="1"/>
  <c r="AU270" i="1"/>
  <c r="AT270" i="1"/>
  <c r="AR270" i="1"/>
  <c r="AS270" i="1" s="1"/>
  <c r="AU269" i="1"/>
  <c r="AT269" i="1"/>
  <c r="AS269" i="1"/>
  <c r="AR269" i="1"/>
  <c r="AU268" i="1"/>
  <c r="AT268" i="1"/>
  <c r="AR268" i="1"/>
  <c r="AS268" i="1" s="1"/>
  <c r="AU267" i="1"/>
  <c r="AT267" i="1"/>
  <c r="AR267" i="1"/>
  <c r="AS267" i="1" s="1"/>
  <c r="AU266" i="1"/>
  <c r="AT266" i="1"/>
  <c r="AS266" i="1"/>
  <c r="AR266" i="1"/>
  <c r="AU265" i="1"/>
  <c r="AT265" i="1"/>
  <c r="AR265" i="1"/>
  <c r="AS265" i="1" s="1"/>
  <c r="AU264" i="1"/>
  <c r="AT264" i="1"/>
  <c r="AR264" i="1"/>
  <c r="AS264" i="1" s="1"/>
  <c r="AU263" i="1"/>
  <c r="AT263" i="1"/>
  <c r="AS263" i="1"/>
  <c r="AR263" i="1"/>
  <c r="AU262" i="1"/>
  <c r="AT262" i="1"/>
  <c r="AR262" i="1"/>
  <c r="AS262" i="1" s="1"/>
  <c r="AU261" i="1"/>
  <c r="AT261" i="1"/>
  <c r="AS261" i="1"/>
  <c r="AR261" i="1"/>
  <c r="AU260" i="1"/>
  <c r="AT260" i="1"/>
  <c r="AS260" i="1"/>
  <c r="AR260" i="1"/>
  <c r="AU259" i="1"/>
  <c r="AT259" i="1"/>
  <c r="AR259" i="1"/>
  <c r="AS259" i="1" s="1"/>
  <c r="AU258" i="1"/>
  <c r="AT258" i="1"/>
  <c r="AR258" i="1"/>
  <c r="AS258" i="1" s="1"/>
  <c r="AU257" i="1"/>
  <c r="AT257" i="1"/>
  <c r="AR257" i="1"/>
  <c r="AS257" i="1" s="1"/>
  <c r="AU256" i="1"/>
  <c r="AT256" i="1"/>
  <c r="AR256" i="1"/>
  <c r="AS256" i="1" s="1"/>
  <c r="AU255" i="1"/>
  <c r="AT255" i="1"/>
  <c r="AR255" i="1"/>
  <c r="AS255" i="1" s="1"/>
  <c r="AU254" i="1"/>
  <c r="AT254" i="1"/>
  <c r="AR254" i="1"/>
  <c r="AS254" i="1" s="1"/>
  <c r="AU253" i="1"/>
  <c r="AT253" i="1"/>
  <c r="AR253" i="1"/>
  <c r="AS253" i="1" s="1"/>
  <c r="AU252" i="1"/>
  <c r="AT252" i="1"/>
  <c r="AS252" i="1"/>
  <c r="AR252" i="1"/>
  <c r="AU251" i="1"/>
  <c r="AT251" i="1"/>
  <c r="AR251" i="1"/>
  <c r="AS251" i="1" s="1"/>
  <c r="AU250" i="1"/>
  <c r="AT250" i="1"/>
  <c r="AR250" i="1"/>
  <c r="AS250" i="1" s="1"/>
  <c r="AU249" i="1"/>
  <c r="AT249" i="1"/>
  <c r="AR249" i="1"/>
  <c r="AS249" i="1" s="1"/>
  <c r="AU248" i="1"/>
  <c r="AT248" i="1"/>
  <c r="AS248" i="1"/>
  <c r="AR248" i="1"/>
  <c r="AU247" i="1"/>
  <c r="AT247" i="1"/>
  <c r="AR247" i="1"/>
  <c r="AS247" i="1" s="1"/>
  <c r="AU246" i="1"/>
  <c r="AT246" i="1"/>
  <c r="AS246" i="1"/>
  <c r="AR246" i="1"/>
  <c r="AU245" i="1"/>
  <c r="AT245" i="1"/>
  <c r="AR245" i="1"/>
  <c r="AS245" i="1" s="1"/>
  <c r="AU244" i="1"/>
  <c r="AT244" i="1"/>
  <c r="AR244" i="1"/>
  <c r="AS244" i="1" s="1"/>
  <c r="AU243" i="1"/>
  <c r="AT243" i="1"/>
  <c r="AS243" i="1"/>
  <c r="AR243" i="1"/>
  <c r="AU242" i="1"/>
  <c r="AT242" i="1"/>
  <c r="AR242" i="1"/>
  <c r="AS242" i="1" s="1"/>
  <c r="AU241" i="1"/>
  <c r="AT241" i="1"/>
  <c r="AR241" i="1"/>
  <c r="AS241" i="1" s="1"/>
  <c r="AU240" i="1"/>
  <c r="AT240" i="1"/>
  <c r="AS240" i="1"/>
  <c r="AR240" i="1"/>
  <c r="AU239" i="1"/>
  <c r="AT239" i="1"/>
  <c r="AS239" i="1"/>
  <c r="AR239" i="1"/>
  <c r="AU238" i="1"/>
  <c r="AT238" i="1"/>
  <c r="AR238" i="1"/>
  <c r="AS238" i="1" s="1"/>
  <c r="AU237" i="1"/>
  <c r="AT237" i="1"/>
  <c r="AS237" i="1"/>
  <c r="AR237" i="1"/>
  <c r="AU236" i="1"/>
  <c r="AT236" i="1"/>
  <c r="AR236" i="1"/>
  <c r="AS236" i="1" s="1"/>
  <c r="AU235" i="1"/>
  <c r="AT235" i="1"/>
  <c r="AR235" i="1"/>
  <c r="AS235" i="1" s="1"/>
  <c r="AU234" i="1"/>
  <c r="AT234" i="1"/>
  <c r="AR234" i="1"/>
  <c r="AS234" i="1" s="1"/>
  <c r="AU233" i="1"/>
  <c r="AT233" i="1"/>
  <c r="AS233" i="1"/>
  <c r="AR233" i="1"/>
  <c r="AU232" i="1"/>
  <c r="AT232" i="1"/>
  <c r="AR232" i="1"/>
  <c r="AS232" i="1" s="1"/>
  <c r="AU231" i="1"/>
  <c r="AT231" i="1"/>
  <c r="AR231" i="1"/>
  <c r="AS231" i="1" s="1"/>
  <c r="AU230" i="1"/>
  <c r="AT230" i="1"/>
  <c r="AS230" i="1"/>
  <c r="AR230" i="1"/>
  <c r="AU229" i="1"/>
  <c r="AT229" i="1"/>
  <c r="AR229" i="1"/>
  <c r="AS229" i="1" s="1"/>
  <c r="AU228" i="1"/>
  <c r="AT228" i="1"/>
  <c r="AR228" i="1"/>
  <c r="AS228" i="1" s="1"/>
  <c r="AU227" i="1"/>
  <c r="AT227" i="1"/>
  <c r="AS227" i="1"/>
  <c r="AR227" i="1"/>
  <c r="AU226" i="1"/>
  <c r="AT226" i="1"/>
  <c r="AR226" i="1"/>
  <c r="AS226" i="1" s="1"/>
  <c r="AU225" i="1"/>
  <c r="AT225" i="1"/>
  <c r="AS225" i="1"/>
  <c r="AR225" i="1"/>
  <c r="AU224" i="1"/>
  <c r="AT224" i="1"/>
  <c r="AS224" i="1"/>
  <c r="AR224" i="1"/>
  <c r="AU223" i="1"/>
  <c r="AT223" i="1"/>
  <c r="AR223" i="1"/>
  <c r="AS223" i="1" s="1"/>
  <c r="AU222" i="1"/>
  <c r="AT222" i="1"/>
  <c r="AR222" i="1"/>
  <c r="AS222" i="1" s="1"/>
  <c r="AU221" i="1"/>
  <c r="AT221" i="1"/>
  <c r="AR221" i="1"/>
  <c r="AS221" i="1" s="1"/>
  <c r="AU220" i="1"/>
  <c r="AT220" i="1"/>
  <c r="AR220" i="1"/>
  <c r="AS220" i="1" s="1"/>
  <c r="AU219" i="1"/>
  <c r="AT219" i="1"/>
  <c r="AR219" i="1"/>
  <c r="AS219" i="1" s="1"/>
  <c r="AU218" i="1"/>
  <c r="AT218" i="1"/>
  <c r="AR218" i="1"/>
  <c r="AS218" i="1" s="1"/>
  <c r="AU217" i="1"/>
  <c r="AT217" i="1"/>
  <c r="AR217" i="1"/>
  <c r="AS217" i="1" s="1"/>
  <c r="AU216" i="1"/>
  <c r="AT216" i="1"/>
  <c r="AS216" i="1"/>
  <c r="AR216" i="1"/>
  <c r="AU215" i="1"/>
  <c r="AT215" i="1"/>
  <c r="AR215" i="1"/>
  <c r="AS215" i="1" s="1"/>
  <c r="AU214" i="1"/>
  <c r="AT214" i="1"/>
  <c r="AR214" i="1"/>
  <c r="AS214" i="1" s="1"/>
  <c r="AU213" i="1"/>
  <c r="AT213" i="1"/>
  <c r="AR213" i="1"/>
  <c r="AS213" i="1" s="1"/>
  <c r="AU212" i="1"/>
  <c r="AT212" i="1"/>
  <c r="AS212" i="1"/>
  <c r="AR212" i="1"/>
  <c r="AU211" i="1"/>
  <c r="AT211" i="1"/>
  <c r="AR211" i="1"/>
  <c r="AS211" i="1" s="1"/>
  <c r="AU210" i="1"/>
  <c r="AT210" i="1"/>
  <c r="AS210" i="1"/>
  <c r="AR210" i="1"/>
  <c r="AU209" i="1"/>
  <c r="AT209" i="1"/>
  <c r="AR209" i="1"/>
  <c r="AS209" i="1" s="1"/>
  <c r="AU208" i="1"/>
  <c r="AT208" i="1"/>
  <c r="AR208" i="1"/>
  <c r="AS208" i="1" s="1"/>
  <c r="AU207" i="1"/>
  <c r="AT207" i="1"/>
  <c r="AS207" i="1"/>
  <c r="AR207" i="1"/>
  <c r="AU206" i="1"/>
  <c r="AT206" i="1"/>
  <c r="AR206" i="1"/>
  <c r="AS206" i="1" s="1"/>
  <c r="AU205" i="1"/>
  <c r="AT205" i="1"/>
  <c r="AR205" i="1"/>
  <c r="AS205" i="1" s="1"/>
  <c r="AU204" i="1"/>
  <c r="AT204" i="1"/>
  <c r="AS204" i="1"/>
  <c r="AR204" i="1"/>
  <c r="AU203" i="1"/>
  <c r="AT203" i="1"/>
  <c r="AS203" i="1"/>
  <c r="AR203" i="1"/>
  <c r="AU202" i="1"/>
  <c r="AT202" i="1"/>
  <c r="AR202" i="1"/>
  <c r="AS202" i="1" s="1"/>
  <c r="AU201" i="1"/>
  <c r="AT201" i="1"/>
  <c r="AR201" i="1"/>
  <c r="AS201" i="1" s="1"/>
  <c r="AU200" i="1"/>
  <c r="AT200" i="1"/>
  <c r="AR200" i="1"/>
  <c r="AS200" i="1" s="1"/>
  <c r="AU199" i="1"/>
  <c r="AT199" i="1"/>
  <c r="AR199" i="1"/>
  <c r="AS199" i="1" s="1"/>
  <c r="AU198" i="1"/>
  <c r="AT198" i="1"/>
  <c r="AR198" i="1"/>
  <c r="AS198" i="1" s="1"/>
  <c r="AU197" i="1"/>
  <c r="AT197" i="1"/>
  <c r="AS197" i="1"/>
  <c r="AR197" i="1"/>
  <c r="AU196" i="1"/>
  <c r="AT196" i="1"/>
  <c r="AR196" i="1"/>
  <c r="AS196" i="1" s="1"/>
  <c r="AU195" i="1"/>
  <c r="AT195" i="1"/>
  <c r="AR195" i="1"/>
  <c r="AS195" i="1" s="1"/>
  <c r="AU194" i="1"/>
  <c r="AT194" i="1"/>
  <c r="AS194" i="1"/>
  <c r="AR194" i="1"/>
  <c r="AU193" i="1"/>
  <c r="AT193" i="1"/>
  <c r="AR193" i="1"/>
  <c r="AS193" i="1" s="1"/>
  <c r="AU192" i="1"/>
  <c r="AT192" i="1"/>
  <c r="AR192" i="1"/>
  <c r="AS192" i="1" s="1"/>
  <c r="AU191" i="1"/>
  <c r="AT191" i="1"/>
  <c r="AS191" i="1"/>
  <c r="AR191" i="1"/>
  <c r="AU190" i="1"/>
  <c r="AT190" i="1"/>
  <c r="AR190" i="1"/>
  <c r="AS190" i="1" s="1"/>
  <c r="AU189" i="1"/>
  <c r="AT189" i="1"/>
  <c r="AS189" i="1"/>
  <c r="AR189" i="1"/>
  <c r="AU188" i="1"/>
  <c r="AT188" i="1"/>
  <c r="AR188" i="1"/>
  <c r="AS188" i="1" s="1"/>
  <c r="AU187" i="1"/>
  <c r="AT187" i="1"/>
  <c r="AR187" i="1"/>
  <c r="AS187" i="1" s="1"/>
  <c r="AU186" i="1"/>
  <c r="AT186" i="1"/>
  <c r="AR186" i="1"/>
  <c r="AS186" i="1" s="1"/>
  <c r="AU185" i="1"/>
  <c r="AT185" i="1"/>
  <c r="AR185" i="1"/>
  <c r="AS185" i="1" s="1"/>
  <c r="AU184" i="1"/>
  <c r="AT184" i="1"/>
  <c r="AR184" i="1"/>
  <c r="AS184" i="1" s="1"/>
  <c r="AU183" i="1"/>
  <c r="AT183" i="1"/>
  <c r="AR183" i="1"/>
  <c r="AS183" i="1" s="1"/>
  <c r="AU182" i="1"/>
  <c r="AT182" i="1"/>
  <c r="AR182" i="1"/>
  <c r="AS182" i="1" s="1"/>
  <c r="AU181" i="1"/>
  <c r="AT181" i="1"/>
  <c r="AR181" i="1"/>
  <c r="AS181" i="1" s="1"/>
  <c r="AU180" i="1"/>
  <c r="AT180" i="1"/>
  <c r="AS180" i="1"/>
  <c r="AR180" i="1"/>
  <c r="AU179" i="1"/>
  <c r="AT179" i="1"/>
  <c r="AR179" i="1"/>
  <c r="AS179" i="1" s="1"/>
  <c r="AU178" i="1"/>
  <c r="AT178" i="1"/>
  <c r="AR178" i="1"/>
  <c r="AS178" i="1" s="1"/>
  <c r="AU177" i="1"/>
  <c r="AT177" i="1"/>
  <c r="AR177" i="1"/>
  <c r="AS177" i="1" s="1"/>
  <c r="AU176" i="1"/>
  <c r="AT176" i="1"/>
  <c r="AS176" i="1"/>
  <c r="AR176" i="1"/>
  <c r="AU175" i="1"/>
  <c r="AT175" i="1"/>
  <c r="AR175" i="1"/>
  <c r="AS175" i="1" s="1"/>
  <c r="AU174" i="1"/>
  <c r="AT174" i="1"/>
  <c r="AS174" i="1"/>
  <c r="AR174" i="1"/>
  <c r="AU173" i="1"/>
  <c r="AT173" i="1"/>
  <c r="AR173" i="1"/>
  <c r="AS173" i="1" s="1"/>
  <c r="AU172" i="1"/>
  <c r="AT172" i="1"/>
  <c r="AR172" i="1"/>
  <c r="AS172" i="1" s="1"/>
  <c r="AU171" i="1"/>
  <c r="AT171" i="1"/>
  <c r="AS171" i="1"/>
  <c r="AR171" i="1"/>
  <c r="AU170" i="1"/>
  <c r="AT170" i="1"/>
  <c r="AR170" i="1"/>
  <c r="AS170" i="1" s="1"/>
  <c r="AU169" i="1"/>
  <c r="AT169" i="1"/>
  <c r="AR169" i="1"/>
  <c r="AS169" i="1" s="1"/>
  <c r="AU168" i="1"/>
  <c r="AT168" i="1"/>
  <c r="AS168" i="1"/>
  <c r="AR168" i="1"/>
  <c r="AU167" i="1"/>
  <c r="AT167" i="1"/>
  <c r="AS167" i="1"/>
  <c r="AR167" i="1"/>
  <c r="AU166" i="1"/>
  <c r="AT166" i="1"/>
  <c r="AR166" i="1"/>
  <c r="AS166" i="1" s="1"/>
  <c r="AU165" i="1"/>
  <c r="AT165" i="1"/>
  <c r="AR165" i="1"/>
  <c r="AS165" i="1" s="1"/>
  <c r="AU164" i="1"/>
  <c r="AT164" i="1"/>
  <c r="AR164" i="1"/>
  <c r="AS164" i="1" s="1"/>
  <c r="AU163" i="1"/>
  <c r="AT163" i="1"/>
  <c r="AR163" i="1"/>
  <c r="AS163" i="1" s="1"/>
  <c r="AU162" i="1"/>
  <c r="AT162" i="1"/>
  <c r="AR162" i="1"/>
  <c r="AS162" i="1" s="1"/>
  <c r="AU161" i="1"/>
  <c r="AT161" i="1"/>
  <c r="AS161" i="1"/>
  <c r="AR161" i="1"/>
  <c r="AU160" i="1"/>
  <c r="AT160" i="1"/>
  <c r="AR160" i="1"/>
  <c r="AS160" i="1" s="1"/>
  <c r="AU159" i="1"/>
  <c r="AT159" i="1"/>
  <c r="AR159" i="1"/>
  <c r="AS159" i="1" s="1"/>
  <c r="AU158" i="1"/>
  <c r="AT158" i="1"/>
  <c r="AS158" i="1"/>
  <c r="AR158" i="1"/>
  <c r="AU157" i="1"/>
  <c r="AT157" i="1"/>
  <c r="AR157" i="1"/>
  <c r="AS157" i="1" s="1"/>
  <c r="AU156" i="1"/>
  <c r="AT156" i="1"/>
  <c r="AR156" i="1"/>
  <c r="AS156" i="1" s="1"/>
  <c r="AU155" i="1"/>
  <c r="AT155" i="1"/>
  <c r="AS155" i="1"/>
  <c r="AR155" i="1"/>
  <c r="AU154" i="1"/>
  <c r="AT154" i="1"/>
  <c r="AR154" i="1"/>
  <c r="AS154" i="1" s="1"/>
  <c r="AU153" i="1"/>
  <c r="AT153" i="1"/>
  <c r="AS153" i="1"/>
  <c r="AR153" i="1"/>
  <c r="AU152" i="1"/>
  <c r="AT152" i="1"/>
  <c r="AR152" i="1"/>
  <c r="AS152" i="1" s="1"/>
  <c r="AU151" i="1"/>
  <c r="AT151" i="1"/>
  <c r="AR151" i="1"/>
  <c r="AS151" i="1" s="1"/>
  <c r="AU150" i="1"/>
  <c r="AT150" i="1"/>
  <c r="AR150" i="1"/>
  <c r="AS150" i="1" s="1"/>
  <c r="AU149" i="1"/>
  <c r="AT149" i="1"/>
  <c r="AR149" i="1"/>
  <c r="AS149" i="1" s="1"/>
  <c r="AU148" i="1"/>
  <c r="AT148" i="1"/>
  <c r="AR148" i="1"/>
  <c r="AS148" i="1" s="1"/>
  <c r="AU147" i="1"/>
  <c r="AT147" i="1"/>
  <c r="AR147" i="1"/>
  <c r="AS147" i="1" s="1"/>
  <c r="AU146" i="1"/>
  <c r="AT146" i="1"/>
  <c r="AR146" i="1"/>
  <c r="AS146" i="1" s="1"/>
  <c r="AU145" i="1"/>
  <c r="AT145" i="1"/>
  <c r="AR145" i="1"/>
  <c r="AS145" i="1" s="1"/>
  <c r="AU144" i="1"/>
  <c r="AT144" i="1"/>
  <c r="AS144" i="1"/>
  <c r="AR144" i="1"/>
  <c r="AU143" i="1"/>
  <c r="AT143" i="1"/>
  <c r="AR143" i="1"/>
  <c r="AS143" i="1" s="1"/>
  <c r="AU142" i="1"/>
  <c r="AT142" i="1"/>
  <c r="AR142" i="1"/>
  <c r="AS142" i="1" s="1"/>
  <c r="AU141" i="1"/>
  <c r="AT141" i="1"/>
  <c r="AR141" i="1"/>
  <c r="AS141" i="1" s="1"/>
  <c r="AU140" i="1"/>
  <c r="AT140" i="1"/>
  <c r="AS140" i="1"/>
  <c r="AR140" i="1"/>
  <c r="AU139" i="1"/>
  <c r="AT139" i="1"/>
  <c r="AR139" i="1"/>
  <c r="AS139" i="1" s="1"/>
  <c r="AU138" i="1"/>
  <c r="AT138" i="1"/>
  <c r="AS138" i="1"/>
  <c r="AR138" i="1"/>
  <c r="AU137" i="1"/>
  <c r="AT137" i="1"/>
  <c r="AR137" i="1"/>
  <c r="AS137" i="1" s="1"/>
  <c r="AU136" i="1"/>
  <c r="AT136" i="1"/>
  <c r="AR136" i="1"/>
  <c r="AS136" i="1" s="1"/>
  <c r="AU135" i="1"/>
  <c r="AT135" i="1"/>
  <c r="AS135" i="1"/>
  <c r="AR135" i="1"/>
  <c r="AU134" i="1"/>
  <c r="AT134" i="1"/>
  <c r="AR134" i="1"/>
  <c r="AS134" i="1" s="1"/>
  <c r="AU133" i="1"/>
  <c r="AT133" i="1"/>
  <c r="AR133" i="1"/>
  <c r="AS133" i="1" s="1"/>
  <c r="AU132" i="1"/>
  <c r="AT132" i="1"/>
  <c r="AS132" i="1"/>
  <c r="AR132" i="1"/>
  <c r="AU131" i="1"/>
  <c r="AT131" i="1"/>
  <c r="AS131" i="1"/>
  <c r="AR131" i="1"/>
  <c r="AU130" i="1"/>
  <c r="AT130" i="1"/>
  <c r="AR130" i="1"/>
  <c r="AS130" i="1" s="1"/>
  <c r="AU129" i="1"/>
  <c r="AT129" i="1"/>
  <c r="AR129" i="1"/>
  <c r="AS129" i="1" s="1"/>
  <c r="AU128" i="1"/>
  <c r="AT128" i="1"/>
  <c r="AR128" i="1"/>
  <c r="AS128" i="1" s="1"/>
  <c r="AU127" i="1"/>
  <c r="AT127" i="1"/>
  <c r="AR127" i="1"/>
  <c r="AS127" i="1" s="1"/>
  <c r="AU126" i="1"/>
  <c r="AT126" i="1"/>
  <c r="AR126" i="1"/>
  <c r="AS126" i="1" s="1"/>
  <c r="AU125" i="1"/>
  <c r="AT125" i="1"/>
  <c r="AS125" i="1"/>
  <c r="AR125" i="1"/>
  <c r="AU124" i="1"/>
  <c r="AT124" i="1"/>
  <c r="AR124" i="1"/>
  <c r="AS124" i="1" s="1"/>
  <c r="AU123" i="1"/>
  <c r="AT123" i="1"/>
  <c r="AR123" i="1"/>
  <c r="AS123" i="1" s="1"/>
  <c r="AU122" i="1"/>
  <c r="AT122" i="1"/>
  <c r="AS122" i="1"/>
  <c r="AR122" i="1"/>
  <c r="AU121" i="1"/>
  <c r="AT121" i="1"/>
  <c r="AR121" i="1"/>
  <c r="AS121" i="1" s="1"/>
  <c r="AU120" i="1"/>
  <c r="AT120" i="1"/>
  <c r="AR120" i="1"/>
  <c r="AS120" i="1" s="1"/>
  <c r="AU119" i="1"/>
  <c r="AT119" i="1"/>
  <c r="AS119" i="1"/>
  <c r="AR119" i="1"/>
  <c r="AU118" i="1"/>
  <c r="AT118" i="1"/>
  <c r="AR118" i="1"/>
  <c r="AS118" i="1" s="1"/>
  <c r="AU117" i="1"/>
  <c r="AT117" i="1"/>
  <c r="AS117" i="1"/>
  <c r="AR117" i="1"/>
  <c r="AU116" i="1"/>
  <c r="AT116" i="1"/>
  <c r="AR116" i="1"/>
  <c r="AS116" i="1" s="1"/>
  <c r="AU115" i="1"/>
  <c r="AT115" i="1"/>
  <c r="AR115" i="1"/>
  <c r="AS115" i="1" s="1"/>
  <c r="AU114" i="1"/>
  <c r="AT114" i="1"/>
  <c r="AR114" i="1"/>
  <c r="AS114" i="1" s="1"/>
  <c r="AU113" i="1"/>
  <c r="AT113" i="1"/>
  <c r="AR113" i="1"/>
  <c r="AS113" i="1" s="1"/>
  <c r="AU112" i="1"/>
  <c r="AT112" i="1"/>
  <c r="AR112" i="1"/>
  <c r="AS112" i="1" s="1"/>
  <c r="AU111" i="1"/>
  <c r="AT111" i="1"/>
  <c r="AR111" i="1"/>
  <c r="AS111" i="1" s="1"/>
  <c r="AU110" i="1"/>
  <c r="AT110" i="1"/>
  <c r="AR110" i="1"/>
  <c r="AS110" i="1" s="1"/>
  <c r="AU109" i="1"/>
  <c r="AT109" i="1"/>
  <c r="AR109" i="1"/>
  <c r="AS109" i="1" s="1"/>
  <c r="AU108" i="1"/>
  <c r="AT108" i="1"/>
  <c r="AS108" i="1"/>
  <c r="AR108" i="1"/>
  <c r="AU107" i="1"/>
  <c r="AT107" i="1"/>
  <c r="AR107" i="1"/>
  <c r="AS107" i="1" s="1"/>
  <c r="AU106" i="1"/>
  <c r="AT106" i="1"/>
  <c r="AR106" i="1"/>
  <c r="AS106" i="1" s="1"/>
  <c r="AU105" i="1"/>
  <c r="AT105" i="1"/>
  <c r="AR105" i="1"/>
  <c r="AS105" i="1" s="1"/>
  <c r="AU104" i="1"/>
  <c r="AT104" i="1"/>
  <c r="AS104" i="1"/>
  <c r="AR104" i="1"/>
  <c r="AU103" i="1"/>
  <c r="AT103" i="1"/>
  <c r="AR103" i="1"/>
  <c r="AS103" i="1" s="1"/>
  <c r="AU102" i="1"/>
  <c r="AT102" i="1"/>
  <c r="AS102" i="1"/>
  <c r="AR102" i="1"/>
  <c r="AU101" i="1"/>
  <c r="AT101" i="1"/>
  <c r="AR101" i="1"/>
  <c r="AS101" i="1" s="1"/>
  <c r="AU100" i="1"/>
  <c r="AT100" i="1"/>
  <c r="AR100" i="1"/>
  <c r="AS100" i="1" s="1"/>
  <c r="AU99" i="1"/>
  <c r="AT99" i="1"/>
  <c r="AS99" i="1"/>
  <c r="AR99" i="1"/>
  <c r="AU98" i="1"/>
  <c r="AT98" i="1"/>
  <c r="AR98" i="1"/>
  <c r="AS98" i="1" s="1"/>
  <c r="AU97" i="1"/>
  <c r="AT97" i="1"/>
  <c r="AR97" i="1"/>
  <c r="AS97" i="1" s="1"/>
  <c r="AU96" i="1"/>
  <c r="AT96" i="1"/>
  <c r="AS96" i="1"/>
  <c r="AR96" i="1"/>
  <c r="AU95" i="1"/>
  <c r="AT95" i="1"/>
  <c r="AS95" i="1"/>
  <c r="AR95" i="1"/>
  <c r="AU94" i="1"/>
  <c r="AT94" i="1"/>
  <c r="AR94" i="1"/>
  <c r="AS94" i="1" s="1"/>
  <c r="AU93" i="1"/>
  <c r="AT93" i="1"/>
  <c r="AR93" i="1"/>
  <c r="AS93" i="1" s="1"/>
  <c r="AU92" i="1"/>
  <c r="AT92" i="1"/>
  <c r="AR92" i="1"/>
  <c r="AS92" i="1" s="1"/>
  <c r="AU91" i="1"/>
  <c r="AT91" i="1"/>
  <c r="AR91" i="1"/>
  <c r="AS91" i="1" s="1"/>
  <c r="AU90" i="1"/>
  <c r="AT90" i="1"/>
  <c r="AR90" i="1"/>
  <c r="AS90" i="1" s="1"/>
  <c r="AU89" i="1"/>
  <c r="AT89" i="1"/>
  <c r="AS89" i="1"/>
  <c r="AR89" i="1"/>
  <c r="AU88" i="1"/>
  <c r="AT88" i="1"/>
  <c r="AR88" i="1"/>
  <c r="AS88" i="1" s="1"/>
  <c r="AU87" i="1"/>
  <c r="AT87" i="1"/>
  <c r="AR87" i="1"/>
  <c r="AS87" i="1" s="1"/>
  <c r="AU86" i="1"/>
  <c r="AT86" i="1"/>
  <c r="AS86" i="1"/>
  <c r="AR86" i="1"/>
  <c r="AU85" i="1"/>
  <c r="AT85" i="1"/>
  <c r="AR85" i="1"/>
  <c r="AS85" i="1" s="1"/>
  <c r="AU84" i="1"/>
  <c r="AT84" i="1"/>
  <c r="AR84" i="1"/>
  <c r="AS84" i="1" s="1"/>
  <c r="AU83" i="1"/>
  <c r="AT83" i="1"/>
  <c r="AS83" i="1"/>
  <c r="AR83" i="1"/>
  <c r="AU82" i="1"/>
  <c r="AT82" i="1"/>
  <c r="AR82" i="1"/>
  <c r="AS82" i="1" s="1"/>
  <c r="AU81" i="1"/>
  <c r="AT81" i="1"/>
  <c r="AS81" i="1"/>
  <c r="AR81" i="1"/>
  <c r="AU80" i="1"/>
  <c r="AT80" i="1"/>
  <c r="AR80" i="1"/>
  <c r="AS80" i="1" s="1"/>
  <c r="AU79" i="1"/>
  <c r="AT79" i="1"/>
  <c r="AR79" i="1"/>
  <c r="AS79" i="1" s="1"/>
  <c r="AU78" i="1"/>
  <c r="AT78" i="1"/>
  <c r="AR78" i="1"/>
  <c r="AS78" i="1" s="1"/>
  <c r="AU77" i="1"/>
  <c r="AT77" i="1"/>
  <c r="AR77" i="1"/>
  <c r="AS77" i="1" s="1"/>
  <c r="AU76" i="1"/>
  <c r="AT76" i="1"/>
  <c r="AR76" i="1"/>
  <c r="AS76" i="1" s="1"/>
  <c r="AU75" i="1"/>
  <c r="AT75" i="1"/>
  <c r="AR75" i="1"/>
  <c r="AS75" i="1" s="1"/>
  <c r="AU74" i="1"/>
  <c r="AT74" i="1"/>
  <c r="AR74" i="1"/>
  <c r="AS74" i="1" s="1"/>
  <c r="AU73" i="1"/>
  <c r="AT73" i="1"/>
  <c r="AR73" i="1"/>
  <c r="AS73" i="1" s="1"/>
  <c r="AU72" i="1"/>
  <c r="AT72" i="1"/>
  <c r="AR72" i="1"/>
  <c r="AS72" i="1" s="1"/>
  <c r="AU71" i="1"/>
  <c r="AT71" i="1"/>
  <c r="AR71" i="1"/>
  <c r="AS71" i="1" s="1"/>
  <c r="AU70" i="1"/>
  <c r="AT70" i="1"/>
  <c r="AR70" i="1"/>
  <c r="AS70" i="1" s="1"/>
  <c r="AU69" i="1"/>
  <c r="AT69" i="1"/>
  <c r="AR69" i="1"/>
  <c r="AS69" i="1" s="1"/>
  <c r="AU68" i="1"/>
  <c r="AT68" i="1"/>
  <c r="AS68" i="1"/>
  <c r="AR68" i="1"/>
  <c r="AU67" i="1"/>
  <c r="AT67" i="1"/>
  <c r="AR67" i="1"/>
  <c r="AS67" i="1" s="1"/>
  <c r="AU66" i="1"/>
  <c r="AT66" i="1"/>
  <c r="AS66" i="1"/>
  <c r="AR66" i="1"/>
  <c r="AU65" i="1"/>
  <c r="AT65" i="1"/>
  <c r="AS65" i="1"/>
  <c r="AR65" i="1"/>
  <c r="AU64" i="1"/>
  <c r="AT64" i="1"/>
  <c r="AR64" i="1"/>
  <c r="AS64" i="1" s="1"/>
  <c r="AU63" i="1"/>
  <c r="AT63" i="1"/>
  <c r="AS63" i="1"/>
  <c r="AR63" i="1"/>
  <c r="AU62" i="1"/>
  <c r="AT62" i="1"/>
  <c r="AR62" i="1"/>
  <c r="AS62" i="1" s="1"/>
  <c r="AU61" i="1"/>
  <c r="AT61" i="1"/>
  <c r="AR61" i="1"/>
  <c r="AS61" i="1" s="1"/>
  <c r="AU60" i="1"/>
  <c r="AT60" i="1"/>
  <c r="AS60" i="1"/>
  <c r="AR60" i="1"/>
  <c r="AU59" i="1"/>
  <c r="AT59" i="1"/>
  <c r="AR59" i="1"/>
  <c r="AS59" i="1" s="1"/>
  <c r="AU58" i="1"/>
  <c r="AT58" i="1"/>
  <c r="AR58" i="1"/>
  <c r="AS58" i="1" s="1"/>
  <c r="AU57" i="1"/>
  <c r="AT57" i="1"/>
  <c r="AR57" i="1"/>
  <c r="AS57" i="1" s="1"/>
  <c r="AU56" i="1"/>
  <c r="AT56" i="1"/>
  <c r="AR56" i="1"/>
  <c r="AS56" i="1" s="1"/>
  <c r="AU55" i="1"/>
  <c r="AT55" i="1"/>
  <c r="AR55" i="1"/>
  <c r="AS55" i="1" s="1"/>
  <c r="AU54" i="1"/>
  <c r="AT54" i="1"/>
  <c r="AR54" i="1"/>
  <c r="AS54" i="1" s="1"/>
  <c r="AU53" i="1"/>
  <c r="AT53" i="1"/>
  <c r="AS53" i="1"/>
  <c r="AR53" i="1"/>
  <c r="AU52" i="1"/>
  <c r="AT52" i="1"/>
  <c r="AR52" i="1"/>
  <c r="AS52" i="1" s="1"/>
  <c r="AU51" i="1"/>
  <c r="AT51" i="1"/>
  <c r="AR51" i="1"/>
  <c r="AS51" i="1" s="1"/>
  <c r="AU50" i="1"/>
  <c r="AT50" i="1"/>
  <c r="AS50" i="1"/>
  <c r="AR50" i="1"/>
  <c r="AU49" i="1"/>
  <c r="AT49" i="1"/>
  <c r="AR49" i="1"/>
  <c r="AS49" i="1" s="1"/>
  <c r="AU48" i="1"/>
  <c r="AT48" i="1"/>
  <c r="AR48" i="1"/>
  <c r="AS48" i="1" s="1"/>
  <c r="AU47" i="1"/>
  <c r="AT47" i="1"/>
  <c r="AS47" i="1"/>
  <c r="AR47" i="1"/>
  <c r="AU46" i="1"/>
  <c r="AT46" i="1"/>
  <c r="AR46" i="1"/>
  <c r="AS46" i="1" s="1"/>
  <c r="AU45" i="1"/>
  <c r="AT45" i="1"/>
  <c r="AS45" i="1"/>
  <c r="AR45" i="1"/>
  <c r="AU44" i="1"/>
  <c r="AT44" i="1"/>
  <c r="AR44" i="1"/>
  <c r="AS44" i="1" s="1"/>
  <c r="AU43" i="1"/>
  <c r="AT43" i="1"/>
  <c r="AR43" i="1"/>
  <c r="AS43" i="1" s="1"/>
  <c r="AU42" i="1"/>
  <c r="AT42" i="1"/>
  <c r="AR42" i="1"/>
  <c r="AS42" i="1" s="1"/>
  <c r="AU41" i="1"/>
  <c r="AT41" i="1"/>
  <c r="AR41" i="1"/>
  <c r="AS41" i="1" s="1"/>
  <c r="AU40" i="1"/>
  <c r="AT40" i="1"/>
  <c r="AR40" i="1"/>
  <c r="AS40" i="1" s="1"/>
  <c r="AU39" i="1"/>
  <c r="AT39" i="1"/>
  <c r="AR39" i="1"/>
  <c r="AS39" i="1" s="1"/>
  <c r="AU38" i="1"/>
  <c r="AT38" i="1"/>
  <c r="AR38" i="1"/>
  <c r="AS38" i="1" s="1"/>
  <c r="AU37" i="1"/>
  <c r="AT37" i="1"/>
  <c r="AR37" i="1"/>
  <c r="AS37" i="1" s="1"/>
  <c r="AU36" i="1"/>
  <c r="AT36" i="1"/>
  <c r="AR36" i="1"/>
  <c r="AS36" i="1" s="1"/>
  <c r="AU35" i="1"/>
  <c r="AT35" i="1"/>
  <c r="AR35" i="1"/>
  <c r="AS35" i="1" s="1"/>
  <c r="AU34" i="1"/>
  <c r="AT34" i="1"/>
  <c r="AR34" i="1"/>
  <c r="AS34" i="1" s="1"/>
  <c r="AU33" i="1"/>
  <c r="AT33" i="1"/>
  <c r="AR33" i="1"/>
  <c r="AS33" i="1" s="1"/>
  <c r="AU32" i="1"/>
  <c r="AT32" i="1"/>
  <c r="AS32" i="1"/>
  <c r="AR32" i="1"/>
  <c r="AU31" i="1"/>
  <c r="AT31" i="1"/>
  <c r="AR31" i="1"/>
  <c r="AS31" i="1" s="1"/>
  <c r="AU30" i="1"/>
  <c r="AT30" i="1"/>
  <c r="AR30" i="1"/>
  <c r="AS30" i="1" s="1"/>
  <c r="AU29" i="1"/>
  <c r="AT29" i="1"/>
  <c r="AS29" i="1"/>
  <c r="AR29" i="1"/>
  <c r="AU28" i="1"/>
  <c r="AT28" i="1"/>
  <c r="AR28" i="1"/>
  <c r="AS28" i="1" s="1"/>
  <c r="AU27" i="1"/>
  <c r="AT27" i="1"/>
  <c r="AR27" i="1"/>
  <c r="AS27" i="1" s="1"/>
  <c r="AU26" i="1"/>
  <c r="AT26" i="1"/>
  <c r="AS26" i="1"/>
  <c r="AR26" i="1"/>
  <c r="AU25" i="1"/>
  <c r="AT25" i="1"/>
  <c r="AR25" i="1"/>
  <c r="AS25" i="1" s="1"/>
  <c r="AU24" i="1"/>
  <c r="AT24" i="1"/>
  <c r="AR24" i="1"/>
  <c r="AS24" i="1" s="1"/>
  <c r="AU23" i="1"/>
  <c r="AT23" i="1"/>
  <c r="AS23" i="1"/>
  <c r="AR23" i="1"/>
  <c r="AU22" i="1"/>
  <c r="AT22" i="1"/>
  <c r="AR22" i="1"/>
  <c r="AS22" i="1" s="1"/>
  <c r="AU21" i="1"/>
  <c r="AT21" i="1"/>
  <c r="AR21" i="1"/>
  <c r="AS21" i="1" s="1"/>
  <c r="AU20" i="1"/>
  <c r="AT20" i="1"/>
  <c r="AS20" i="1"/>
  <c r="AR20" i="1"/>
  <c r="AU19" i="1"/>
  <c r="AT19" i="1"/>
  <c r="AR19" i="1"/>
  <c r="AS19" i="1" s="1"/>
  <c r="AU18" i="1"/>
  <c r="AT18" i="1"/>
  <c r="AR18" i="1"/>
  <c r="AS18" i="1" s="1"/>
  <c r="AU17" i="1"/>
  <c r="AT17" i="1"/>
  <c r="AS17" i="1"/>
  <c r="AR17" i="1"/>
  <c r="AU16" i="1"/>
  <c r="AT16" i="1"/>
  <c r="AR16" i="1"/>
  <c r="AS16" i="1" s="1"/>
  <c r="AU15" i="1"/>
  <c r="AT15" i="1"/>
  <c r="AR15" i="1"/>
  <c r="AS15" i="1" s="1"/>
  <c r="AU14" i="1"/>
  <c r="AT14" i="1"/>
  <c r="AS14" i="1"/>
  <c r="AR14" i="1"/>
  <c r="AU13" i="1"/>
  <c r="AT13" i="1"/>
  <c r="AR13" i="1"/>
  <c r="AS13" i="1" s="1"/>
  <c r="AU12" i="1"/>
  <c r="AT12" i="1"/>
  <c r="AR12" i="1"/>
  <c r="AS12" i="1" s="1"/>
  <c r="AU11" i="1"/>
  <c r="AT11" i="1"/>
  <c r="AS11" i="1"/>
  <c r="AR11" i="1"/>
  <c r="AU10" i="1"/>
  <c r="AT10" i="1"/>
  <c r="AR10" i="1"/>
  <c r="AS10" i="1" s="1"/>
  <c r="AU9" i="1"/>
  <c r="AT9" i="1"/>
  <c r="AR9" i="1"/>
  <c r="AS9" i="1" s="1"/>
  <c r="AU8" i="1"/>
  <c r="AT8" i="1"/>
  <c r="AS8" i="1"/>
  <c r="AR8" i="1"/>
  <c r="AU7" i="1"/>
  <c r="AT7" i="1"/>
  <c r="AR7" i="1"/>
  <c r="AS7" i="1" s="1"/>
  <c r="AU6" i="1"/>
  <c r="AT6" i="1"/>
  <c r="AR6" i="1"/>
  <c r="AS6" i="1" s="1"/>
  <c r="AU5" i="1"/>
  <c r="AT5" i="1"/>
  <c r="AS5" i="1"/>
  <c r="AR5" i="1"/>
  <c r="AU4" i="1"/>
  <c r="AT4" i="1"/>
  <c r="AR4" i="1"/>
  <c r="AS4" i="1" s="1"/>
  <c r="AU3" i="1"/>
  <c r="AT3" i="1"/>
  <c r="AR3" i="1"/>
  <c r="AS3" i="1" s="1"/>
  <c r="AU2" i="1"/>
  <c r="AT2" i="1"/>
  <c r="AS2" i="1"/>
  <c r="AR2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</author>
  </authors>
  <commentList>
    <comment ref="AI299" authorId="0" shapeId="0" xr:uid="{43A96A6A-4111-4FA9-9E7D-FA1E120C1903}">
      <text>
        <r>
          <rPr>
            <b/>
            <sz val="9"/>
            <color indexed="81"/>
            <rFont val="Tahoma"/>
            <charset val="1"/>
          </rPr>
          <t>Ce:</t>
        </r>
        <r>
          <rPr>
            <sz val="9"/>
            <color indexed="81"/>
            <rFont val="Tahoma"/>
            <charset val="1"/>
          </rPr>
          <t xml:space="preserve">
Reférés</t>
        </r>
      </text>
    </comment>
  </commentList>
</comments>
</file>

<file path=xl/sharedStrings.xml><?xml version="1.0" encoding="utf-8"?>
<sst xmlns="http://schemas.openxmlformats.org/spreadsheetml/2006/main" count="36079" uniqueCount="2750">
  <si>
    <t>N° ID</t>
  </si>
  <si>
    <t>Epiweek date notification</t>
  </si>
  <si>
    <t>Epiweek date symptoms</t>
  </si>
  <si>
    <t>Names and Surnames</t>
  </si>
  <si>
    <t>Phone number</t>
  </si>
  <si>
    <t>Age (year)</t>
  </si>
  <si>
    <t>Sex</t>
  </si>
  <si>
    <t>Profession</t>
  </si>
  <si>
    <t>Village/Quarter</t>
  </si>
  <si>
    <t>Health area of origin</t>
  </si>
  <si>
    <t>Health district of origin</t>
  </si>
  <si>
    <t>Health area notifying</t>
  </si>
  <si>
    <t>Health district notifying</t>
  </si>
  <si>
    <t>Diarrhoea (Oui/Non)</t>
  </si>
  <si>
    <t>Vomitting (Oui/Non)</t>
  </si>
  <si>
    <t>State of Dehydratation (1:Mild, 2:Moderate, severe:3)</t>
  </si>
  <si>
    <t>Date of onset of symptoms</t>
  </si>
  <si>
    <t>Date of consultation</t>
  </si>
  <si>
    <t>Date of notification</t>
  </si>
  <si>
    <t>Hospitalisation (Oui/Non)</t>
  </si>
  <si>
    <t>Date of hospitalisation</t>
  </si>
  <si>
    <t>Site of case management</t>
  </si>
  <si>
    <t>Treatment ORS (Oui/No)</t>
  </si>
  <si>
    <t>Treatment Antibiotic (Oui/No)</t>
  </si>
  <si>
    <t>Treatment  IV liquid (Oui/No)</t>
  </si>
  <si>
    <t>Treatment  Zinc (Oui/No)</t>
  </si>
  <si>
    <t>Date of sample collection</t>
  </si>
  <si>
    <t>Result of RDT</t>
  </si>
  <si>
    <t>Culture (Oui/No)</t>
  </si>
  <si>
    <t>Result of culture</t>
  </si>
  <si>
    <t>Date of discharge</t>
  </si>
  <si>
    <t>Outcome (2=Healed, 3=Dead)</t>
  </si>
  <si>
    <t>Observations (Facteur de risque : 1=eau; 2=assainissemExtreme-Nordt; 3= hygiène; 4= autres saison, surpeuplemExtreme-Nordt, déplacemExtreme-Nordt,,,,)</t>
  </si>
  <si>
    <t>Region</t>
  </si>
  <si>
    <r>
      <t xml:space="preserve">Devenir </t>
    </r>
    <r>
      <rPr>
        <sz val="9"/>
        <rFont val="Arial"/>
        <family val="2"/>
      </rPr>
      <t>(0 = en cours de traitemen;
1 = guéri,
2 = décès hospitalier/CTC/site d'hospitalisation,
3 = décès en communauté,
4 = décès, site inconnu
9 = inconnu)</t>
    </r>
  </si>
  <si>
    <t>Date  de décès</t>
  </si>
  <si>
    <t>Statut vaccinal</t>
  </si>
  <si>
    <t>Culture serogroup (O1/
O139/NEG/En Attente/N/A/
INCONNU)</t>
  </si>
  <si>
    <t>CMR-CHO-NO-0001</t>
  </si>
  <si>
    <t>FANTA BOUMA</t>
  </si>
  <si>
    <t>F</t>
  </si>
  <si>
    <t>CULTIVATRICE</t>
  </si>
  <si>
    <t>RAM2</t>
  </si>
  <si>
    <t>BANAYE</t>
  </si>
  <si>
    <t>PITOA</t>
  </si>
  <si>
    <t>OUI</t>
  </si>
  <si>
    <t>Oui</t>
  </si>
  <si>
    <t>29/06/2026</t>
  </si>
  <si>
    <t>POS</t>
  </si>
  <si>
    <t>NO</t>
  </si>
  <si>
    <t>1  ET  2</t>
  </si>
  <si>
    <t>Nord</t>
  </si>
  <si>
    <t>Information manquante</t>
  </si>
  <si>
    <t>CMR-CHO-OU-0001</t>
  </si>
  <si>
    <t>KUM MAXWEL</t>
  </si>
  <si>
    <t>M</t>
  </si>
  <si>
    <t>ELEVE</t>
  </si>
  <si>
    <t>BALExtreme-NordG</t>
  </si>
  <si>
    <t>TYO</t>
  </si>
  <si>
    <t>MIFI</t>
  </si>
  <si>
    <t>DJELExtreme-NordG</t>
  </si>
  <si>
    <t>HD BAFOUSSAM</t>
  </si>
  <si>
    <t>NEG</t>
  </si>
  <si>
    <t>2  ET  2</t>
  </si>
  <si>
    <t>OUEST</t>
  </si>
  <si>
    <t>CMR-CHO-NO-0002</t>
  </si>
  <si>
    <t>AYENG LUC</t>
  </si>
  <si>
    <t>CSI BANAYE</t>
  </si>
  <si>
    <t>Negatif</t>
  </si>
  <si>
    <t>CMR-CHO-EXT-0001</t>
  </si>
  <si>
    <t>CULTIVATEUR</t>
  </si>
  <si>
    <t>SAGME</t>
  </si>
  <si>
    <t>FOTOKOL</t>
  </si>
  <si>
    <t>CTC</t>
  </si>
  <si>
    <t>NON</t>
  </si>
  <si>
    <t>Extreme-Nord</t>
  </si>
  <si>
    <t>CMR-CHO-EXT-0002</t>
  </si>
  <si>
    <t>MENAGERE</t>
  </si>
  <si>
    <t>CMR-CHO-EXT-0003</t>
  </si>
  <si>
    <t>PECHEUR</t>
  </si>
  <si>
    <t>GAMBARU</t>
  </si>
  <si>
    <t>NGALA</t>
  </si>
  <si>
    <t>CMR-CHO-EXT-0004</t>
  </si>
  <si>
    <t>CSI SAGME</t>
  </si>
  <si>
    <t>CMR-CHO-EXT-0005</t>
  </si>
  <si>
    <t>ENFANT</t>
  </si>
  <si>
    <t>INCONNU</t>
  </si>
  <si>
    <t>CMR-CHO-EXT-0006</t>
  </si>
  <si>
    <t>CMR-CHO-EXT-0007</t>
  </si>
  <si>
    <t>CMR-CHO-EXT-0008</t>
  </si>
  <si>
    <t>CMR-CHO-EXT-0009</t>
  </si>
  <si>
    <t>CMR-CHO-EXT-0010</t>
  </si>
  <si>
    <t>CMR-CHO-EXT-0011</t>
  </si>
  <si>
    <t>CMR-CHO-EXT-0012</t>
  </si>
  <si>
    <t>CMR-CHO-EXT-0013</t>
  </si>
  <si>
    <t>CMR-CHO-EXT-0014</t>
  </si>
  <si>
    <t>O1</t>
  </si>
  <si>
    <t>CMR-CHO-EXT-0015</t>
  </si>
  <si>
    <t>N/A</t>
  </si>
  <si>
    <t>CMR-CHO-EXT-0016</t>
  </si>
  <si>
    <t>CMR-CHO-EXT-0017</t>
  </si>
  <si>
    <t>ELEVEUR</t>
  </si>
  <si>
    <t>CMR-CHO-EXT-0018</t>
  </si>
  <si>
    <t>CMR-CHO-EXT-0019</t>
  </si>
  <si>
    <t>CMR-CHO-EXT-0020</t>
  </si>
  <si>
    <t>CMR-CHO-EXT-0021</t>
  </si>
  <si>
    <t>MAGADI</t>
  </si>
  <si>
    <t>CMR-CHO-EXT-0022</t>
  </si>
  <si>
    <t>GOLMO KOTOKO</t>
  </si>
  <si>
    <t>CMR-CHO-EXT-0023</t>
  </si>
  <si>
    <t>Blama: Mahamat</t>
  </si>
  <si>
    <t>Enfant</t>
  </si>
  <si>
    <t>Garno</t>
  </si>
  <si>
    <t>sagmé</t>
  </si>
  <si>
    <t>fotokol</t>
  </si>
  <si>
    <t>makary</t>
  </si>
  <si>
    <t>MAKARY</t>
  </si>
  <si>
    <t>oui</t>
  </si>
  <si>
    <t>HD Makary</t>
  </si>
  <si>
    <t>CMR-CHO-EXT-0024</t>
  </si>
  <si>
    <t>lama: Mahamat</t>
  </si>
  <si>
    <t>CMR-CHO-EXT-0025</t>
  </si>
  <si>
    <t>BLAMA MAKKA</t>
  </si>
  <si>
    <t>BALGARAM</t>
  </si>
  <si>
    <t>MADA</t>
  </si>
  <si>
    <t>CMR-CHO-EXT-0026</t>
  </si>
  <si>
    <t>BLAMA MOUSSA</t>
  </si>
  <si>
    <t>GORE</t>
  </si>
  <si>
    <t>NAGA</t>
  </si>
  <si>
    <t>CMR-CHO-EXT-0027</t>
  </si>
  <si>
    <t>CMR-CHO-EXT-0028</t>
  </si>
  <si>
    <t>BLAMA DJIBRINE</t>
  </si>
  <si>
    <t>NDAGALDJI</t>
  </si>
  <si>
    <t>NGOUMA</t>
  </si>
  <si>
    <t>CMR-CHO-EXT-0029</t>
  </si>
  <si>
    <t>BLAMA MAHAMAT</t>
  </si>
  <si>
    <t>Menagere</t>
  </si>
  <si>
    <t>Sagmé</t>
  </si>
  <si>
    <t>CMR-CHO-EXT-0030</t>
  </si>
  <si>
    <t>BIAMO 1</t>
  </si>
  <si>
    <t>BIAMO</t>
  </si>
  <si>
    <t>CSI BIAMO</t>
  </si>
  <si>
    <t>CMR-CHO-EXT-0031</t>
  </si>
  <si>
    <t>RAS</t>
  </si>
  <si>
    <t>BOURMARI</t>
  </si>
  <si>
    <t>AMCHIDE</t>
  </si>
  <si>
    <t>KOLOFATA</t>
  </si>
  <si>
    <t>BANKI</t>
  </si>
  <si>
    <t>CMR-CHO-EXT-0032</t>
  </si>
  <si>
    <t>BLAMAT MAHAMAT</t>
  </si>
  <si>
    <t>Non</t>
  </si>
  <si>
    <t>CMR-CHO-EXT-0033</t>
  </si>
  <si>
    <t>CMR-CHO-EXT-0034</t>
  </si>
  <si>
    <t>CMR-CHO-EXT-0035</t>
  </si>
  <si>
    <t>CMR-CHO-EXT-0036</t>
  </si>
  <si>
    <t>CMR-CHO-EXT-0037</t>
  </si>
  <si>
    <t>BLAMA HALLA</t>
  </si>
  <si>
    <t>CMR-CHO-EXT-0038</t>
  </si>
  <si>
    <t>BLAMA BARKA</t>
  </si>
  <si>
    <t>ABASSOUNI3</t>
  </si>
  <si>
    <t>CMR-CHO-EXT-0039</t>
  </si>
  <si>
    <t>CMR-CHO-EXT-0040</t>
  </si>
  <si>
    <t>CMR-CHO-EXT-0041</t>
  </si>
  <si>
    <t>CMR-CHO-EXT-0042</t>
  </si>
  <si>
    <t>CULVATEUR</t>
  </si>
  <si>
    <t>CMR-CHO-EXT-0043</t>
  </si>
  <si>
    <t>BARGARAM</t>
  </si>
  <si>
    <t>CSI BARGARAM</t>
  </si>
  <si>
    <t>CMR-CHO-EXT-0044</t>
  </si>
  <si>
    <t>CMR-CHO-EXT-0045</t>
  </si>
  <si>
    <t>CMR-CHO-EXT-0046</t>
  </si>
  <si>
    <t>CMR-CHO-EXT-0047</t>
  </si>
  <si>
    <t>GORE TALGOUTOUN</t>
  </si>
  <si>
    <t>TCHIKA</t>
  </si>
  <si>
    <t>HILE ALIFA</t>
  </si>
  <si>
    <t>CMA HILE ALIFA</t>
  </si>
  <si>
    <t>CMR-CHO-EXT-0048</t>
  </si>
  <si>
    <t>CMR-CHO-EXT-0049</t>
  </si>
  <si>
    <t>GORE ALGUDUN</t>
  </si>
  <si>
    <t>CMR-CHO-EXT-0050</t>
  </si>
  <si>
    <t>CMR-CHO-EXT-0051</t>
  </si>
  <si>
    <t>CMR-CHO-EXT-0052</t>
  </si>
  <si>
    <t>CMR-CHO-EXT-0053</t>
  </si>
  <si>
    <t>CMR-CHO-EXT-0054</t>
  </si>
  <si>
    <t>CMR-CHO-EXT-0055</t>
  </si>
  <si>
    <t>CMR-CHO-EXT-0056</t>
  </si>
  <si>
    <t>CMR-CHO-EXT-0057</t>
  </si>
  <si>
    <t>CMR-CHO-EXT-0058</t>
  </si>
  <si>
    <t>CMR-CHO-EXT-0059</t>
  </si>
  <si>
    <t>CMR-CHO-EXT-0060</t>
  </si>
  <si>
    <t>CMR-CHO-EXT-0061</t>
  </si>
  <si>
    <t>CMR-CHO-EXT-0062</t>
  </si>
  <si>
    <t>CMR-CHO-EXT-0063</t>
  </si>
  <si>
    <t>CMR-CHO-EXT-0064</t>
  </si>
  <si>
    <t>CMR-CHO-EXT-0065</t>
  </si>
  <si>
    <t>CMR-CHO-EXT-0066</t>
  </si>
  <si>
    <t>CMR-CHO-EXT-0067</t>
  </si>
  <si>
    <t>CMR-CHO-EXT-0068</t>
  </si>
  <si>
    <t>CMR-CHO-EXT-0069</t>
  </si>
  <si>
    <t>CMR-CHO-EXT-0070</t>
  </si>
  <si>
    <t>CMR-CHO-EXT-0071</t>
  </si>
  <si>
    <t>CMR-CHO-EXT-0072</t>
  </si>
  <si>
    <t>CMR-CHO-EXT-0073</t>
  </si>
  <si>
    <t>CMR-CHO-EXT-0074</t>
  </si>
  <si>
    <t>CMR-CHO-EXT-0075</t>
  </si>
  <si>
    <t>CMR-CHO-EXT-0076</t>
  </si>
  <si>
    <t>CMR-CHO-EXT-0077</t>
  </si>
  <si>
    <t>CMR-CHO-EXT-0078</t>
  </si>
  <si>
    <t>CMR-CHO-EXT-0079</t>
  </si>
  <si>
    <t>CMR-CHO-EXT-0080</t>
  </si>
  <si>
    <t>CMR-CHO-EXT-0081</t>
  </si>
  <si>
    <t>OO</t>
  </si>
  <si>
    <t>CMR-CHO-EXT-0082</t>
  </si>
  <si>
    <t>CMR-CHO-EXT-0083</t>
  </si>
  <si>
    <t>CMR-CHO-EXT-0084</t>
  </si>
  <si>
    <t>CMR-CHO-EXT-0085</t>
  </si>
  <si>
    <t>CMR-CHO-EXT-0086</t>
  </si>
  <si>
    <t>CMR-CHO-EXT-0087</t>
  </si>
  <si>
    <t>CMR-CHO-EXT-0088</t>
  </si>
  <si>
    <t>CMR-CHO-EXT-0089</t>
  </si>
  <si>
    <t>CMR-CHO-EXT-0090</t>
  </si>
  <si>
    <t>CMR-CHO-EXT-0091</t>
  </si>
  <si>
    <t>CMR-CHO-EXT-0092</t>
  </si>
  <si>
    <t>CMR-CHO-EXT-0093</t>
  </si>
  <si>
    <t>CMR-CHO-EXT-0094</t>
  </si>
  <si>
    <t>CMR-CHO-EXT-0095</t>
  </si>
  <si>
    <t>CMR-CHO-EXT-0096</t>
  </si>
  <si>
    <t>CMR-CHO-EXT-0097</t>
  </si>
  <si>
    <t>CMR-CHO-EXT-0098</t>
  </si>
  <si>
    <t>CMR-CHO-EXT-0099</t>
  </si>
  <si>
    <t>CMR-CHO-EXT-0100</t>
  </si>
  <si>
    <t>CMR-CHO-EXT-0101</t>
  </si>
  <si>
    <t>CMR-CHO-EXT-0102</t>
  </si>
  <si>
    <t>CMR-CHO-EXT-0103</t>
  </si>
  <si>
    <t>CHAHACK</t>
  </si>
  <si>
    <t>CMR-CHO-EXT-0104</t>
  </si>
  <si>
    <t>CMR-CHO-EXT-0105</t>
  </si>
  <si>
    <t>CMR-CHO-EXT-0106</t>
  </si>
  <si>
    <t>ABASSOUINI 2</t>
  </si>
  <si>
    <t>CMR-CHO-EXT-0107</t>
  </si>
  <si>
    <t>CMR-CHO-EXT-0108</t>
  </si>
  <si>
    <t>CMR-CHO-EXT-0109</t>
  </si>
  <si>
    <t>CMR-CHO-EXT-0110</t>
  </si>
  <si>
    <t>CMR-CHO-EXT-0111</t>
  </si>
  <si>
    <t>CMR-CHO-EXT-0112</t>
  </si>
  <si>
    <t>CMR-CHO-EXT-0113</t>
  </si>
  <si>
    <t>CMR-CHO-EXT-0114</t>
  </si>
  <si>
    <t>CMR-CHO-EXT-0115</t>
  </si>
  <si>
    <t>CMR-CHO-EXT-0116</t>
  </si>
  <si>
    <t>CMR-CHO-EXT-0117</t>
  </si>
  <si>
    <t>CMR-CHO-EXT-0118</t>
  </si>
  <si>
    <t>CMR-CHO-EXT-0119</t>
  </si>
  <si>
    <t>CMR-CHO-EXT-0120</t>
  </si>
  <si>
    <t>CMR-CHO-EXT-0121</t>
  </si>
  <si>
    <t>CMR-CHO-EXT-0122</t>
  </si>
  <si>
    <t>CMR-CHO-EXT-0123</t>
  </si>
  <si>
    <t>CMR-CHO-EXT-0124</t>
  </si>
  <si>
    <t>CMR-CHO-EXT-0125</t>
  </si>
  <si>
    <t>CMR-CHO-EXT-0126</t>
  </si>
  <si>
    <t>CMR-CHO-EXT-0127</t>
  </si>
  <si>
    <t>CMR-CHO-EXT-0128</t>
  </si>
  <si>
    <t>CMR-CHO-EXT-0129</t>
  </si>
  <si>
    <t>CMR-CHO-EXT-0130</t>
  </si>
  <si>
    <t>CMR-CHO-EXT-0131</t>
  </si>
  <si>
    <t>CMR-CHO-EXT-0132</t>
  </si>
  <si>
    <t>CMR-CHO-EXT-0133</t>
  </si>
  <si>
    <t>CMR-CHO-EXT-0134</t>
  </si>
  <si>
    <t>TERBOU</t>
  </si>
  <si>
    <t>CMR-CHO-EXT-0135</t>
  </si>
  <si>
    <t>ABASSOUNI</t>
  </si>
  <si>
    <t>CMR-CHO-EXT-0136</t>
  </si>
  <si>
    <t>HILE ALIFA 2</t>
  </si>
  <si>
    <t>CMR-CHO-EXT-0137</t>
  </si>
  <si>
    <t>CMR-CHO-EXT-0138</t>
  </si>
  <si>
    <t>CMR-CHO-EXT-0139</t>
  </si>
  <si>
    <t>CMR-CHO-EXT-0140</t>
  </si>
  <si>
    <t>GORE TCHANDJI</t>
  </si>
  <si>
    <t>CMR-CHO-EXT-0141</t>
  </si>
  <si>
    <t>CMR-CHO-EXT-0142</t>
  </si>
  <si>
    <t>ABBASSOUNI 1</t>
  </si>
  <si>
    <t>CMR-CHO-EXT-0143</t>
  </si>
  <si>
    <t>CMR-CHO-EXT-0144</t>
  </si>
  <si>
    <t>CMR-CHO-EXT-0145</t>
  </si>
  <si>
    <t>CMR-CHO-EXT-0146</t>
  </si>
  <si>
    <t>CMR-CHO-EXT-0147</t>
  </si>
  <si>
    <t>CMR-CHO-EXT-0148</t>
  </si>
  <si>
    <t>CMR-CHO-EXT-0149</t>
  </si>
  <si>
    <t>CMR-CHO-EXT-0150</t>
  </si>
  <si>
    <t>CMR-CHO-EXT-0151</t>
  </si>
  <si>
    <t>CMR-CHO-EXT-0152</t>
  </si>
  <si>
    <t>CMR-CHO-EXT-0153</t>
  </si>
  <si>
    <t>CMR-CHO-EXT-0154</t>
  </si>
  <si>
    <t>CMR-CHO-EXT-0155</t>
  </si>
  <si>
    <t>CMR-CHO-EXT-0156</t>
  </si>
  <si>
    <t>CMR-CHO-EXT-0157</t>
  </si>
  <si>
    <t>CMR-CHO-EXT-0158</t>
  </si>
  <si>
    <t>CMR-CHO-EXT-0159</t>
  </si>
  <si>
    <t>CMR-CHO-EXT-0160</t>
  </si>
  <si>
    <t>CMR-CHO-EXT-0161</t>
  </si>
  <si>
    <t>CMR-CHO-EXT-0162</t>
  </si>
  <si>
    <t>CMR-CHO-EXT-0163</t>
  </si>
  <si>
    <t>CMR-CHO-EXT-0164</t>
  </si>
  <si>
    <t>CMR-CHO-EXT-0165</t>
  </si>
  <si>
    <t>CMR-CHO-EXT-0166</t>
  </si>
  <si>
    <t>CMR-CHO-EXT-0167</t>
  </si>
  <si>
    <t>CMR-CHO-EXT-0168</t>
  </si>
  <si>
    <t>CMR-CHO-EXT-0169</t>
  </si>
  <si>
    <t>CMR-CHO-EXT-0170</t>
  </si>
  <si>
    <t>CMR-CHO-EXT-0171</t>
  </si>
  <si>
    <t>CMR-CHO-EXT-0172</t>
  </si>
  <si>
    <t>CMR-CHO-EXT-0173</t>
  </si>
  <si>
    <t>KARENA</t>
  </si>
  <si>
    <t>CMR-CHO-EXT-0174</t>
  </si>
  <si>
    <t>CMR-CHO-EXT-0175</t>
  </si>
  <si>
    <t>CMR-CHO-EXT-0176</t>
  </si>
  <si>
    <t>GORE  ALGUDUN</t>
  </si>
  <si>
    <t>CMR-CHO-EXT-0177</t>
  </si>
  <si>
    <t>CMR-CHO-EXT-0178</t>
  </si>
  <si>
    <t>CMR-CHO-EXT-0179</t>
  </si>
  <si>
    <t>CMR-CHO-EXT-0180</t>
  </si>
  <si>
    <t>CMR-CHO-EXT-0181</t>
  </si>
  <si>
    <t>CMR-CHO-EXT-0182</t>
  </si>
  <si>
    <t>CMR-CHO-EXT-0183</t>
  </si>
  <si>
    <t>CMR-CHO-EXT-0184</t>
  </si>
  <si>
    <t>CMR-CHO-EXT-0185</t>
  </si>
  <si>
    <t>CMR-CHO-EXT-0186</t>
  </si>
  <si>
    <t>CMR-CHO-EXT-0187</t>
  </si>
  <si>
    <t>CMR-CHO-EXT-0188</t>
  </si>
  <si>
    <t>CMR-CHO-EXT-0189</t>
  </si>
  <si>
    <t>CMR-CHO-EXT-0190</t>
  </si>
  <si>
    <t>CMR-CHO-EXT-0191</t>
  </si>
  <si>
    <t>CMR-CHO-EXT-0192</t>
  </si>
  <si>
    <t>ABANKOURI</t>
  </si>
  <si>
    <t>CMR-CHO-EXT-0193</t>
  </si>
  <si>
    <t>CMR-CHO-EXT-0194</t>
  </si>
  <si>
    <t>CMR-CHO-EXT-0195</t>
  </si>
  <si>
    <t>CMR-CHO-EXT-0196</t>
  </si>
  <si>
    <t>CMR-CHO-EXT-0197</t>
  </si>
  <si>
    <t>CMR-CHO-EXT-0198</t>
  </si>
  <si>
    <t>CMR-CHO-EXT-0199</t>
  </si>
  <si>
    <t>CMR-CHO-EXT-0200</t>
  </si>
  <si>
    <t>CMR-CHO-EXT-0201</t>
  </si>
  <si>
    <t>CMR-CHO-EXT-0202</t>
  </si>
  <si>
    <t>CTC FOTOKOL</t>
  </si>
  <si>
    <t>CMR-CHO-EXT-0203</t>
  </si>
  <si>
    <t>CHABOUTE</t>
  </si>
  <si>
    <t>CMR-CHO-EXT-0204</t>
  </si>
  <si>
    <t>CMR-CHO-EXT-0205</t>
  </si>
  <si>
    <t>CMR-CHO-EXT-0206</t>
  </si>
  <si>
    <t>CMR-CHO-EXT-0207</t>
  </si>
  <si>
    <t>CMR-CHO-EXT-0208</t>
  </si>
  <si>
    <t>CMR-CHO-EXT-0209</t>
  </si>
  <si>
    <t>CMR-CHO-EXT-0210</t>
  </si>
  <si>
    <t>CONTRACTUEL D'ADMI</t>
  </si>
  <si>
    <t>TCHIKKA</t>
  </si>
  <si>
    <t>MAKAMBARA</t>
  </si>
  <si>
    <t>CMR-CHO-EXT-0211</t>
  </si>
  <si>
    <t>CMR-CHO-EXT-0212</t>
  </si>
  <si>
    <t>CMR-CHO-EXT-0213</t>
  </si>
  <si>
    <t>Ngouma</t>
  </si>
  <si>
    <t>CSI NGOUMA</t>
  </si>
  <si>
    <t>CMR-CHO-EXT-0214</t>
  </si>
  <si>
    <t>BLAMA SOUNGUI</t>
  </si>
  <si>
    <t>GOLMO</t>
  </si>
  <si>
    <t>CMR-CHO-EXT-0215</t>
  </si>
  <si>
    <t>BLAMA ELI</t>
  </si>
  <si>
    <t>MANAWADJI</t>
  </si>
  <si>
    <t>CMR-CHO-EXT-0216</t>
  </si>
  <si>
    <t>BIAMO 2</t>
  </si>
  <si>
    <t>CMR-CHO-EXT-0217</t>
  </si>
  <si>
    <t>BLAMA ABKAR</t>
  </si>
  <si>
    <t>BOUNGOUR</t>
  </si>
  <si>
    <t>CMR-CHO-EXT-0218</t>
  </si>
  <si>
    <t>CMR-CHO-EXT-0219</t>
  </si>
  <si>
    <t>ABASSOUINI 1</t>
  </si>
  <si>
    <t>CMR-CHO-EXT-0220</t>
  </si>
  <si>
    <t/>
  </si>
  <si>
    <t>CMR-CHO-EXT-0221</t>
  </si>
  <si>
    <t>CMR-CHO-EXT-0222</t>
  </si>
  <si>
    <t>CMR-CHO-EXT-0223</t>
  </si>
  <si>
    <t>CMR-CHO-EXT-0224</t>
  </si>
  <si>
    <t>CMR-CHO-EXT-0225</t>
  </si>
  <si>
    <t>CMR-CHO-EXT-0226</t>
  </si>
  <si>
    <t>CMR-CHO-EXT-0227</t>
  </si>
  <si>
    <t>CMR-CHO-EXT-0228</t>
  </si>
  <si>
    <t>CMR-CHO-EXT-0229</t>
  </si>
  <si>
    <t>CMR-CHO-EXT-0230</t>
  </si>
  <si>
    <t>Hilé Alifa</t>
  </si>
  <si>
    <t>CMR-CHO-EXT-0231</t>
  </si>
  <si>
    <t>CMR-CHO-EXT-0232</t>
  </si>
  <si>
    <t>CMR-CHO-EXT-0233</t>
  </si>
  <si>
    <t>CMR-CHO-EXT-0234</t>
  </si>
  <si>
    <t>CMR-CHO-EXT-0235</t>
  </si>
  <si>
    <t>CMR-CHO-EXT-0236</t>
  </si>
  <si>
    <t>CMR-CHO-EXT-0237</t>
  </si>
  <si>
    <t>CMR-CHO-EXT-0238</t>
  </si>
  <si>
    <t>CMR-CHO-EXT-0239</t>
  </si>
  <si>
    <t>CMR-CHO-EXT-0240</t>
  </si>
  <si>
    <t>CMR-CHO-EXT-0241</t>
  </si>
  <si>
    <t>CMR-CHO-EXT-0242</t>
  </si>
  <si>
    <t>DJOUBOUNIBA</t>
  </si>
  <si>
    <t>DARAK</t>
  </si>
  <si>
    <t>CMR-CHO-EXT-0243</t>
  </si>
  <si>
    <t>CMR-CHO-EXT-0244</t>
  </si>
  <si>
    <t>CMR-CHO-EXT-0245</t>
  </si>
  <si>
    <t>CMR-CHO-EXT-0246</t>
  </si>
  <si>
    <t>CMR-CHO-EXT-0247</t>
  </si>
  <si>
    <t>DOLE BADA</t>
  </si>
  <si>
    <t>CMR-CHO-EXT-0248</t>
  </si>
  <si>
    <t>CMR-CHO-EXT-0249</t>
  </si>
  <si>
    <t>CMR-CHO-EXT-0250</t>
  </si>
  <si>
    <t>CMR-CHO-EXT-0251</t>
  </si>
  <si>
    <t>CMR-CHO-EXT-0252</t>
  </si>
  <si>
    <t>CMR-CHO-EXT-0253</t>
  </si>
  <si>
    <t>CMR-CHO-EXT-0254</t>
  </si>
  <si>
    <t>CMR-CHO-EXT-0255</t>
  </si>
  <si>
    <t>CMR-CHO-EXT-0256</t>
  </si>
  <si>
    <t>CMR-CHO-EXT-0257</t>
  </si>
  <si>
    <t>CMR-CHO-EXT-0258</t>
  </si>
  <si>
    <t>CMR-CHO-EXT-0259</t>
  </si>
  <si>
    <t>CMR-CHO-EXT-0260</t>
  </si>
  <si>
    <t>CMR-CHO-EXT-0261</t>
  </si>
  <si>
    <t>CMR-CHO-EXT-0262</t>
  </si>
  <si>
    <t>CMR-CHO-EXT-0263</t>
  </si>
  <si>
    <t>CMR-CHO-EXT-0264</t>
  </si>
  <si>
    <t>CMR-CHO-EXT-0265</t>
  </si>
  <si>
    <t>CMR-CHO-EXT-0266</t>
  </si>
  <si>
    <t>CMR-CHO-EXT-0267</t>
  </si>
  <si>
    <t>CMR-CHO-EXT-0268</t>
  </si>
  <si>
    <t>ABASSOUNI 1</t>
  </si>
  <si>
    <t>CMR-CHO-EXT-0269</t>
  </si>
  <si>
    <t>CMR-CHO-EXT-0270</t>
  </si>
  <si>
    <t>CMR-CHO-EXT-0271</t>
  </si>
  <si>
    <t>CMR-CHO-EXT-0272</t>
  </si>
  <si>
    <t>CMR-CHO-EXT-0273</t>
  </si>
  <si>
    <t>CMR-CHO-EXT-0274</t>
  </si>
  <si>
    <t>CMR-CHO-EXT-0275</t>
  </si>
  <si>
    <t>CMR-CHO-EXT-0276</t>
  </si>
  <si>
    <t>CMR-CHO-EXT-0277</t>
  </si>
  <si>
    <t>CMR-CHO-EXT-0278</t>
  </si>
  <si>
    <t>CMR-CHO-EXT-0279</t>
  </si>
  <si>
    <t>CMR-CHO-EXT-0280</t>
  </si>
  <si>
    <t>CMR-CHO-EXT-0281</t>
  </si>
  <si>
    <t>CMR-CHO-EXT-0282</t>
  </si>
  <si>
    <t>CMR-CHO-EXT-0283</t>
  </si>
  <si>
    <t>CMR-CHO-EXT-0284</t>
  </si>
  <si>
    <t>CMR-CHO-EXT-0285</t>
  </si>
  <si>
    <t>CMR-CHO-EXT-0286</t>
  </si>
  <si>
    <t>CMR-CHO-EXT-0287</t>
  </si>
  <si>
    <t>CMR-CHO-EXT-0288</t>
  </si>
  <si>
    <t>CMR-CHO-EXT-0289</t>
  </si>
  <si>
    <t>CMR-CHO-EXT-0290</t>
  </si>
  <si>
    <t>CMR-CHO-EXT-0291</t>
  </si>
  <si>
    <t>DOUGOI</t>
  </si>
  <si>
    <t>MAROUA 3</t>
  </si>
  <si>
    <t>CSI DOUGOI</t>
  </si>
  <si>
    <t>CMR-CHO-EXT-0292</t>
  </si>
  <si>
    <t>Cultivateur</t>
  </si>
  <si>
    <t>DJAMBALBAR</t>
  </si>
  <si>
    <t>PAGUI</t>
  </si>
  <si>
    <t>KOUSSERI</t>
  </si>
  <si>
    <t>CMR-CHO-EXT-0293</t>
  </si>
  <si>
    <t>HRA KOUSSERI</t>
  </si>
  <si>
    <t>CMR-CHO-EXT-0294</t>
  </si>
  <si>
    <t>CSPC MADAGASCAR</t>
  </si>
  <si>
    <t>CMR-CHO-EXT-0295</t>
  </si>
  <si>
    <t>CMR-CHO-EXT-0296</t>
  </si>
  <si>
    <t>CMR-CHO-EXT-0297</t>
  </si>
  <si>
    <t xml:space="preserve">Eleve </t>
  </si>
  <si>
    <t>CMR-CHO-EXT-0298</t>
  </si>
  <si>
    <t>Eléve</t>
  </si>
  <si>
    <t>CMR-CHO-EXT-0299</t>
  </si>
  <si>
    <t>BLAMA ABDOU</t>
  </si>
  <si>
    <t>CMR-CHO-EXT-0300</t>
  </si>
  <si>
    <t>CMR-CHO-EXT-0301</t>
  </si>
  <si>
    <t>BLAMA MADJI</t>
  </si>
  <si>
    <t>CMR-CHO-EXT-0302</t>
  </si>
  <si>
    <t>DORE LIMANE</t>
  </si>
  <si>
    <t>CMR-CHO-EXT-0303</t>
  </si>
  <si>
    <t>CMR-CHO-EXT-0304</t>
  </si>
  <si>
    <t>CMR-CHO-EXT-0305</t>
  </si>
  <si>
    <t>CMR-CHO-EXT-0306</t>
  </si>
  <si>
    <t>CMR-CHO-EXT-0307</t>
  </si>
  <si>
    <t>CMR-CHO-EXT-0308</t>
  </si>
  <si>
    <t>CMR-CHO-EXT-0309</t>
  </si>
  <si>
    <t>HILE ALIFA1</t>
  </si>
  <si>
    <t>CMR-CHO-EXT-0310</t>
  </si>
  <si>
    <t>CMR-CHO-EXT-0311</t>
  </si>
  <si>
    <t>CMR-CHO-EXT-0312</t>
  </si>
  <si>
    <t>CMR-CHO-EXT-0313</t>
  </si>
  <si>
    <t>CMR-CHO-EXT-0314</t>
  </si>
  <si>
    <t>CMR-CHO-EXT-0315</t>
  </si>
  <si>
    <t>CMR-CHO-EXT-0316</t>
  </si>
  <si>
    <t>CMR-CHO-EXT-0317</t>
  </si>
  <si>
    <t>CMR-CHO-EXT-0318</t>
  </si>
  <si>
    <t>NOMADE</t>
  </si>
  <si>
    <t>CMR-CHO-EXT-0319</t>
  </si>
  <si>
    <t>CMR-CHO-EXT-0320</t>
  </si>
  <si>
    <t>CMR-CHO-EXT-0321</t>
  </si>
  <si>
    <t>CMR-CHO-EXT-0322</t>
  </si>
  <si>
    <t>CMR-CHO-EXT-0323</t>
  </si>
  <si>
    <t>CMR-CHO-EXT-0324</t>
  </si>
  <si>
    <t>CMR-CHO-EXT-0325</t>
  </si>
  <si>
    <t>CMR-CHO-EXT-0326</t>
  </si>
  <si>
    <t>CMR-CHO-EXT-0327</t>
  </si>
  <si>
    <t>ABASSOUNI II</t>
  </si>
  <si>
    <t>CMR-CHO-EXT-0328</t>
  </si>
  <si>
    <t>ABASSOUNI I</t>
  </si>
  <si>
    <t>CMR-CHO-EXT-0329</t>
  </si>
  <si>
    <t>CMR-CHO-EXT-0330</t>
  </si>
  <si>
    <t>CMR-CHO-EXT-0331</t>
  </si>
  <si>
    <t>CMR-CHO-EXT-0332</t>
  </si>
  <si>
    <t>S/C BOUKAR</t>
  </si>
  <si>
    <t>CMR-CHO-EXT-0333</t>
  </si>
  <si>
    <t>CMR-CHO-EXT-0334</t>
  </si>
  <si>
    <t>CMR-CHO-EXT-0335</t>
  </si>
  <si>
    <t>CMR-CHO-EXT-0336</t>
  </si>
  <si>
    <t>CMR-CHO-EXT-0337</t>
  </si>
  <si>
    <t>CMR-CHO-EXT-0338</t>
  </si>
  <si>
    <t>CMR-CHO-EXT-0339</t>
  </si>
  <si>
    <t>CMR-CHO-EXT-0340</t>
  </si>
  <si>
    <t>SANS PROF</t>
  </si>
  <si>
    <t>CMR-CHO-EXT-0341</t>
  </si>
  <si>
    <t>CMR-CHO-EXT-0342</t>
  </si>
  <si>
    <t>CMR-CHO-EXT-0343</t>
  </si>
  <si>
    <t>CMR-CHO-EXT-0344</t>
  </si>
  <si>
    <t>CMR-CHO-EXT-0345</t>
  </si>
  <si>
    <t>CMR-CHO-EXT-0346</t>
  </si>
  <si>
    <t>CMR-CHO-EXT-0347</t>
  </si>
  <si>
    <t>CMR-CHO-EXT-0348</t>
  </si>
  <si>
    <t>CMR-CHO-EXT-0349</t>
  </si>
  <si>
    <t>CMR-CHO-EXT-0350</t>
  </si>
  <si>
    <t>CMR-CHO-EXT-0351</t>
  </si>
  <si>
    <t>CMR-CHO-EXT-0352</t>
  </si>
  <si>
    <t>CMR-CHO-EXT-0353</t>
  </si>
  <si>
    <t>CMR-CHO-EXT-0354</t>
  </si>
  <si>
    <t>CMR-CHO-EXT-0355</t>
  </si>
  <si>
    <t>CMR-CHO-EXT-0356</t>
  </si>
  <si>
    <t>CMR-CHO-EXT-0357</t>
  </si>
  <si>
    <t>BLAMA  BOUKAR</t>
  </si>
  <si>
    <t>CMR-CHO-EXT-0358</t>
  </si>
  <si>
    <t>CMR-CHO-EXT-0359</t>
  </si>
  <si>
    <t>CMR-CHO-EXT-0360</t>
  </si>
  <si>
    <t>CMR-CHO-EXT-0361</t>
  </si>
  <si>
    <t>CMR-CHO-EXT-0362</t>
  </si>
  <si>
    <t>CMR-CHO-EXT-0363</t>
  </si>
  <si>
    <t>CMR-CHO-EXT-0364</t>
  </si>
  <si>
    <t>CMR-CHO-EXT-0365</t>
  </si>
  <si>
    <t>CMR-CHO-EXT-0366</t>
  </si>
  <si>
    <t>O1 OGAWA</t>
  </si>
  <si>
    <t>CMR-CHO-EXT-0367</t>
  </si>
  <si>
    <t>CMR-CHO-EXT-0368</t>
  </si>
  <si>
    <t>CMR-CHO-EXT-0369</t>
  </si>
  <si>
    <t>MADAGASCAR</t>
  </si>
  <si>
    <t>CMR-CHO-EXT-0370</t>
  </si>
  <si>
    <t>CMR-CHO-EXT-0371</t>
  </si>
  <si>
    <t>CMR-CHO-EXT-0372</t>
  </si>
  <si>
    <t>CMR-CHO-EXT-0373</t>
  </si>
  <si>
    <t>MECANICIEN</t>
  </si>
  <si>
    <t>KOULKADA</t>
  </si>
  <si>
    <t>MADANA</t>
  </si>
  <si>
    <t>CMR-CHO-EXT-0374</t>
  </si>
  <si>
    <t>CHAUFFEUR</t>
  </si>
  <si>
    <t>LACKA</t>
  </si>
  <si>
    <t>CMR-CHO-EXT-0375</t>
  </si>
  <si>
    <t>CMR-CHO-EXT-0376</t>
  </si>
  <si>
    <t>CMR-CHO-EXT-0377</t>
  </si>
  <si>
    <t>GAROUA</t>
  </si>
  <si>
    <t>PARPAR</t>
  </si>
  <si>
    <t>CMR-CHO-EXT-0378</t>
  </si>
  <si>
    <t xml:space="preserve">RESTAURATRICE </t>
  </si>
  <si>
    <t>WALLY</t>
  </si>
  <si>
    <t>CMR-CHO-EXT-0379</t>
  </si>
  <si>
    <t>HAOUSSA 4</t>
  </si>
  <si>
    <t>CMA DARAK</t>
  </si>
  <si>
    <t>CMR-CHO-EXT-0380</t>
  </si>
  <si>
    <t>HAOUSSA 1</t>
  </si>
  <si>
    <t>CMR-CHO-EXT-0381</t>
  </si>
  <si>
    <t>CMR-CHO-EXT-0382</t>
  </si>
  <si>
    <t>CMR-CHO-EXT-0383</t>
  </si>
  <si>
    <t>CMR-CHO-EXT-0384</t>
  </si>
  <si>
    <t>CMR-CHO-EXT-0385</t>
  </si>
  <si>
    <t>CMR-CHO-EXT-0386</t>
  </si>
  <si>
    <t>CMR-CHO-EXT-0387</t>
  </si>
  <si>
    <t>CMR-CHO-EXT-0388</t>
  </si>
  <si>
    <t>CMR-CHO-EXT-0389</t>
  </si>
  <si>
    <t>CMR-CHO-EXT-0390</t>
  </si>
  <si>
    <t>SAMAKA</t>
  </si>
  <si>
    <t>CMR-CHO-EXT-0391</t>
  </si>
  <si>
    <t>CMR-CHO-EXT-0392</t>
  </si>
  <si>
    <t>CMR-CHO-EXT-0393</t>
  </si>
  <si>
    <t>CMR-CHO-EXT-0394</t>
  </si>
  <si>
    <t>CMR-CHO-EXT-0395</t>
  </si>
  <si>
    <t>CMR-CHO-EXT-0396</t>
  </si>
  <si>
    <t>CMR-CHO-EXT-0397</t>
  </si>
  <si>
    <t>CMR-CHO-EXT-0398</t>
  </si>
  <si>
    <t>CMR-CHO-EXT-0399</t>
  </si>
  <si>
    <t>CMR-CHO-EXT-0400</t>
  </si>
  <si>
    <t>CMR-CHO-EXT-0401</t>
  </si>
  <si>
    <t>CMR-CHO-EXT-0402</t>
  </si>
  <si>
    <t>CMR-CHO-EXT-0403</t>
  </si>
  <si>
    <t>CMR-CHO-EXT-0404</t>
  </si>
  <si>
    <t>CMR-CHO-EXT-0405</t>
  </si>
  <si>
    <t>CMR-CHO-EXT-0406</t>
  </si>
  <si>
    <t>CMR-CHO-EXT-0407</t>
  </si>
  <si>
    <t>FAMARE</t>
  </si>
  <si>
    <t>CMR-CHO-EXT-0408</t>
  </si>
  <si>
    <t>CMR-CHO-EXT-0409</t>
  </si>
  <si>
    <t>CMR-CHO-EXT-0410</t>
  </si>
  <si>
    <t>CMR-CHO-EXT-0411</t>
  </si>
  <si>
    <t>CMR-CHO-EXT-0412</t>
  </si>
  <si>
    <t>CMR-CHO-EXT-0413</t>
  </si>
  <si>
    <t>CMR-CHO-EXT-0414</t>
  </si>
  <si>
    <t>CMR-CHO-EXT-0415</t>
  </si>
  <si>
    <t>CMR-CHO-EXT-0416</t>
  </si>
  <si>
    <t>CMR-CHO-EXT-0417</t>
  </si>
  <si>
    <t>CMR-CHO-EXT-0418</t>
  </si>
  <si>
    <t>CMR-CHO-EXT-0419</t>
  </si>
  <si>
    <t>CMR-CHO-EXT-0420</t>
  </si>
  <si>
    <t>CMR-CHO-EXT-0421</t>
  </si>
  <si>
    <t>CMR-CHO-EXT-0422</t>
  </si>
  <si>
    <t>CMR-CHO-EXT-0423</t>
  </si>
  <si>
    <t>CMR-CHO-EXT-0424</t>
  </si>
  <si>
    <t>BLANGAFE</t>
  </si>
  <si>
    <t>BELGUEDE</t>
  </si>
  <si>
    <t>CMR-CHO-EXT-0425</t>
  </si>
  <si>
    <t>CMR-CHO-EXT-0426</t>
  </si>
  <si>
    <t>CMR-CHO-EXT-0427</t>
  </si>
  <si>
    <t>CMR-CHO-EXT-0428</t>
  </si>
  <si>
    <t>MAINANA</t>
  </si>
  <si>
    <t>CMR-CHO-EXT-0429</t>
  </si>
  <si>
    <t>CMR-CHO-EXT-0430</t>
  </si>
  <si>
    <t>CMR-CHO-EXT-0431</t>
  </si>
  <si>
    <t>CMR-CHO-EXT-0432</t>
  </si>
  <si>
    <t>BABOU</t>
  </si>
  <si>
    <t>HILE-HAOUSSA</t>
  </si>
  <si>
    <t>CMR-CHO-EXT-0433</t>
  </si>
  <si>
    <t>TRAVAUX</t>
  </si>
  <si>
    <t>CMR-CHO-EXT-0434</t>
  </si>
  <si>
    <t>CMR-CHO-EXT-0435</t>
  </si>
  <si>
    <t>LAFIA DREDRE</t>
  </si>
  <si>
    <t>CSI DE MAKARY</t>
  </si>
  <si>
    <t>CMR-CHO-EXT-0436</t>
  </si>
  <si>
    <t>BLAMA OUSMAN 14</t>
  </si>
  <si>
    <t>Adolescent</t>
  </si>
  <si>
    <t>MAKARY MODO</t>
  </si>
  <si>
    <t>CMR-CHO-EXT-0437</t>
  </si>
  <si>
    <t>BL BARKA</t>
  </si>
  <si>
    <t>CMR-CHO-EXT-0438</t>
  </si>
  <si>
    <t>BL CHEICK</t>
  </si>
  <si>
    <t>CMR-CHO-EXT-0439</t>
  </si>
  <si>
    <t>BL RAMAT</t>
  </si>
  <si>
    <t>MAKARY DOR</t>
  </si>
  <si>
    <t>CMR-CHO-EXT-0440</t>
  </si>
  <si>
    <t xml:space="preserve">blama Hemat </t>
  </si>
  <si>
    <t xml:space="preserve">enfant </t>
  </si>
  <si>
    <t xml:space="preserve">Ndeggo </t>
  </si>
  <si>
    <t xml:space="preserve">NGOUMA </t>
  </si>
  <si>
    <t xml:space="preserve">Makary </t>
  </si>
  <si>
    <t>Amchilga</t>
  </si>
  <si>
    <t>0ui</t>
  </si>
  <si>
    <t xml:space="preserve">0ui </t>
  </si>
  <si>
    <t xml:space="preserve">CSI Amchilga </t>
  </si>
  <si>
    <t xml:space="preserve">Oui </t>
  </si>
  <si>
    <t xml:space="preserve">non </t>
  </si>
  <si>
    <t>CMR-CHO-EXT-0441</t>
  </si>
  <si>
    <t xml:space="preserve">ndeggo </t>
  </si>
  <si>
    <t xml:space="preserve">CSI AMCHILGA </t>
  </si>
  <si>
    <t>non</t>
  </si>
  <si>
    <t>CMR-CHO-EXT-0442</t>
  </si>
  <si>
    <t xml:space="preserve">NDEGGO </t>
  </si>
  <si>
    <t xml:space="preserve">MAKARY </t>
  </si>
  <si>
    <t>CMR-CHO-EXT-0443</t>
  </si>
  <si>
    <t xml:space="preserve">adolescent </t>
  </si>
  <si>
    <t>CMR-CHO-EXT-0444</t>
  </si>
  <si>
    <t xml:space="preserve">oui </t>
  </si>
  <si>
    <t xml:space="preserve">ouï </t>
  </si>
  <si>
    <t>CMR-CHO-EXT-0445</t>
  </si>
  <si>
    <t xml:space="preserve">Adolescent </t>
  </si>
  <si>
    <t>CMR-CHO-EXT-0446</t>
  </si>
  <si>
    <t xml:space="preserve">cultivateur </t>
  </si>
  <si>
    <t>CMR-CHO-EXT-0447</t>
  </si>
  <si>
    <t xml:space="preserve">ménagère </t>
  </si>
  <si>
    <t>CMR-CHO-EXT-0448</t>
  </si>
  <si>
    <t>CMR-CHO-EXT-0449</t>
  </si>
  <si>
    <t>CMR-CHO-EXT-0450</t>
  </si>
  <si>
    <t>CMR-CHO-EXT-0451</t>
  </si>
  <si>
    <t>CMR-CHO-EXT-0452</t>
  </si>
  <si>
    <t>CMR-CHO-EXT-0453</t>
  </si>
  <si>
    <t>CMR-CHO-EXT-0454</t>
  </si>
  <si>
    <t>CMR-CHO-EXT-0455</t>
  </si>
  <si>
    <t>CMR-CHO-EXT-0456</t>
  </si>
  <si>
    <t>CMR-CHO-EXT-0457</t>
  </si>
  <si>
    <t>CMR-CHO-EXT-0458</t>
  </si>
  <si>
    <t>CMR-CHO-EXT-0459</t>
  </si>
  <si>
    <t>CMR-CHO-EXT-0460</t>
  </si>
  <si>
    <t>CMR-CHO-EXT-0461</t>
  </si>
  <si>
    <t>CMR-CHO-EXT-0462</t>
  </si>
  <si>
    <t>CMR-CHO-EXT-0463</t>
  </si>
  <si>
    <t>CMR-CHO-EXT-0464</t>
  </si>
  <si>
    <t>CMR-CHO-EXT-0465</t>
  </si>
  <si>
    <t>CMR-CHO-EXT-0466</t>
  </si>
  <si>
    <t>ADOLECENT</t>
  </si>
  <si>
    <t>CMR-CHO-EXT-0467</t>
  </si>
  <si>
    <t>CMR-CHO-EXT-0468</t>
  </si>
  <si>
    <t>CMR-CHO-EXT-0469</t>
  </si>
  <si>
    <t>ADOLESCENT</t>
  </si>
  <si>
    <t>CMR-CHO-EXT-0470</t>
  </si>
  <si>
    <t>CMR-CHO-EXT-0471</t>
  </si>
  <si>
    <t>CMR-CHO-EXT-0472</t>
  </si>
  <si>
    <t>CMR-CHO-EXT-0473</t>
  </si>
  <si>
    <t>CMR-CHO-EXT-0474</t>
  </si>
  <si>
    <t>CMR-CHO-EXT-0475</t>
  </si>
  <si>
    <t>CMR-CHO-EXT-0476</t>
  </si>
  <si>
    <t>CMR-CHO-EXT-0477</t>
  </si>
  <si>
    <t>CMR-CHO-EXT-0478</t>
  </si>
  <si>
    <t>CMR-CHO-EXT-0479</t>
  </si>
  <si>
    <t>CMR-CHO-EXT-0480</t>
  </si>
  <si>
    <t>CMR-CHO-EXT-0481</t>
  </si>
  <si>
    <t>CMR-CHO-EXT-0482</t>
  </si>
  <si>
    <t>CMR-CHO-EXT-0483</t>
  </si>
  <si>
    <t>CMR-CHO-EXT-0484</t>
  </si>
  <si>
    <t>CMR-CHO-EXT-0485</t>
  </si>
  <si>
    <t>CMR-CHO-EXT-0486</t>
  </si>
  <si>
    <t>CMR-CHO-EXT-0487</t>
  </si>
  <si>
    <t>CMR-CHO-EXT-0488</t>
  </si>
  <si>
    <t>CMR-CHO-EXT-0489</t>
  </si>
  <si>
    <t>CMR-CHO-EXT-0490</t>
  </si>
  <si>
    <t>CAMP DEGA</t>
  </si>
  <si>
    <t>CMR-CHO-EXT-0491</t>
  </si>
  <si>
    <t>CMR-CHO-EXT-0492</t>
  </si>
  <si>
    <t>SOUERAM</t>
  </si>
  <si>
    <t>CMR-CHO-EXT-0493</t>
  </si>
  <si>
    <t>CMR-CHO-EXT-0494</t>
  </si>
  <si>
    <t>CMR-CHO-EXT-0495</t>
  </si>
  <si>
    <t>CMR-CHO-EXT-0496</t>
  </si>
  <si>
    <t>CMR-CHO-EXT-0497</t>
  </si>
  <si>
    <t>YABOGO</t>
  </si>
  <si>
    <t>CMR-CHO-EXT-0498</t>
  </si>
  <si>
    <t>GANCE</t>
  </si>
  <si>
    <t>KOLOFATA 2</t>
  </si>
  <si>
    <t>KOLOFATA2</t>
  </si>
  <si>
    <t>HD KOLOFATA</t>
  </si>
  <si>
    <t>CMR-CHO-EXT-0499</t>
  </si>
  <si>
    <t xml:space="preserve">YEME </t>
  </si>
  <si>
    <t>KOSSA</t>
  </si>
  <si>
    <t>MORA</t>
  </si>
  <si>
    <t>CSI KOSSA</t>
  </si>
  <si>
    <t>CMR-CHO-EXT-0500</t>
  </si>
  <si>
    <t>GUEDEROU</t>
  </si>
  <si>
    <t>CMR-CHO-EXT-0501</t>
  </si>
  <si>
    <t>MAGRARI</t>
  </si>
  <si>
    <t>LIMANI</t>
  </si>
  <si>
    <t>CSPP LIMANI</t>
  </si>
  <si>
    <t>CMR-CHO-EXT-0502</t>
  </si>
  <si>
    <t>CMR-CHO-EXT-0503</t>
  </si>
  <si>
    <t>AGENT COMMUNAL</t>
  </si>
  <si>
    <t>NDJAMENA</t>
  </si>
  <si>
    <t>CMR-CHO-EXT-0504</t>
  </si>
  <si>
    <t>CMR-CHO-EXT-0505</t>
  </si>
  <si>
    <t xml:space="preserve">blama idrissa </t>
  </si>
  <si>
    <t>CMR-CHO-EXT-0506</t>
  </si>
  <si>
    <t>CMR-CHO-EXT-0507</t>
  </si>
  <si>
    <t>CMR-CHO-EXT-0508</t>
  </si>
  <si>
    <t>CMR-CHO-EXT-0509</t>
  </si>
  <si>
    <t>CMR-CHO-EXT-0510</t>
  </si>
  <si>
    <t>CMR-CHO-EXT-0511</t>
  </si>
  <si>
    <t>CMR-CHO-EXT-0512</t>
  </si>
  <si>
    <t>CMR-CHO-EXT-0513</t>
  </si>
  <si>
    <t>CMR-CHO-EXT-0514</t>
  </si>
  <si>
    <t>CMR-CHO-EXT-0515</t>
  </si>
  <si>
    <t>CMR-CHO-EXT-0516</t>
  </si>
  <si>
    <t>CMR-CHO-EXT-0517</t>
  </si>
  <si>
    <t>CMR-CHO-EXT-0518</t>
  </si>
  <si>
    <t>BL ALH ABAKA</t>
  </si>
  <si>
    <t>CMR-CHO-EXT-0519</t>
  </si>
  <si>
    <t>BL ABANDOUMO</t>
  </si>
  <si>
    <t>KRENAWA</t>
  </si>
  <si>
    <t>WOULKY</t>
  </si>
  <si>
    <t>CMR-CHO-EXT-0520</t>
  </si>
  <si>
    <t>CMR-CHO-EXT-0521</t>
  </si>
  <si>
    <t>CMR-CHO-EXT-0522</t>
  </si>
  <si>
    <t>CMR-CHO-EXT-0523</t>
  </si>
  <si>
    <t>CMR-CHO-EXT-0524</t>
  </si>
  <si>
    <t>CMR-CHO-EXT-0525</t>
  </si>
  <si>
    <t>CMR-CHO-EXT-0526</t>
  </si>
  <si>
    <t>CMR-CHO-EXT-0527</t>
  </si>
  <si>
    <t>GARBA</t>
  </si>
  <si>
    <t>DOLE NAGA</t>
  </si>
  <si>
    <t>CMR-CHO-EXT-0528</t>
  </si>
  <si>
    <t>VENDEUR</t>
  </si>
  <si>
    <t>GARGA RABI</t>
  </si>
  <si>
    <t>HILE HAOUSSA</t>
  </si>
  <si>
    <t>BODO</t>
  </si>
  <si>
    <t>CSI BODO</t>
  </si>
  <si>
    <t>CMR-CHO-EXT-0529</t>
  </si>
  <si>
    <t>CMR-CHO-EXT-0530</t>
  </si>
  <si>
    <t>CMR-CHO-EXT-0531</t>
  </si>
  <si>
    <t>CMR-CHO-EXT-0532</t>
  </si>
  <si>
    <t>CMR-CHO-EXT-0533</t>
  </si>
  <si>
    <t>CMR-CHO-EXT-0534</t>
  </si>
  <si>
    <t>CMR-CHO-EXT-0535</t>
  </si>
  <si>
    <t>CMR-CHO-EXT-0536</t>
  </si>
  <si>
    <t>SOUARGUE</t>
  </si>
  <si>
    <t>CMR-CHO-EXT-0537</t>
  </si>
  <si>
    <t>CMR-CHO-EXT-0538</t>
  </si>
  <si>
    <t>CMR-CHO-EXT-0539</t>
  </si>
  <si>
    <t>CMR-CHO-EXT-0540</t>
  </si>
  <si>
    <t>CMR-CHO-EXT-0541</t>
  </si>
  <si>
    <t>CMR-CHO-EXT-0542</t>
  </si>
  <si>
    <t>CMR-CHO-EXT-0543</t>
  </si>
  <si>
    <t>CMR-CHO-EXT-0544</t>
  </si>
  <si>
    <t>CMR-CHO-EXT-0545</t>
  </si>
  <si>
    <t>NDEGO</t>
  </si>
  <si>
    <t>CMR-CHO-EXT-0546</t>
  </si>
  <si>
    <t>CMR-CHO-EXT-0547</t>
  </si>
  <si>
    <t>CMR-CHO-EXT-0548</t>
  </si>
  <si>
    <t>CMR-CHO-EXT-0549</t>
  </si>
  <si>
    <t xml:space="preserve">BLAMA HALLA </t>
  </si>
  <si>
    <t>CMR-CHO-EXT-0550</t>
  </si>
  <si>
    <t>CMR-CHO-EXT-0551</t>
  </si>
  <si>
    <t>CMR-CHO-EXT-0552</t>
  </si>
  <si>
    <t>CMR-CHO-EXT-0553</t>
  </si>
  <si>
    <t>MADJINA</t>
  </si>
  <si>
    <t>CMR-CHO-EXT-0554</t>
  </si>
  <si>
    <t>CMR-CHO-EXT-0555</t>
  </si>
  <si>
    <t>CMR-CHO-EXT-0556</t>
  </si>
  <si>
    <t>ADOLESC</t>
  </si>
  <si>
    <t>CMR-CHO-EXT-0557</t>
  </si>
  <si>
    <t>ADOLESCENTE</t>
  </si>
  <si>
    <t>CMR-CHO-EXT-0558</t>
  </si>
  <si>
    <t>TCHAKARMARI</t>
  </si>
  <si>
    <t>CMR-CHO-EXT-0559</t>
  </si>
  <si>
    <t>CMR-CHO-EXT-0560</t>
  </si>
  <si>
    <t>CMR-CHO-EXT-0561</t>
  </si>
  <si>
    <t>CMR-CHO-EXT-0562</t>
  </si>
  <si>
    <t>CMR-CHO-EXT-0563</t>
  </si>
  <si>
    <t>CMR-CHO-EXT-0564</t>
  </si>
  <si>
    <t>CMR-CHO-EXT-0565</t>
  </si>
  <si>
    <t>CMR-CHO-EXT-0566</t>
  </si>
  <si>
    <t>CMR-CHO-EXT-0567</t>
  </si>
  <si>
    <t>PERS AGEE</t>
  </si>
  <si>
    <t>CMR-CHO-EXT-0568</t>
  </si>
  <si>
    <t>CMR-CHO-EXT-0569</t>
  </si>
  <si>
    <t>YEME -/madjina</t>
  </si>
  <si>
    <t>CMR-CHO-EXT-0570</t>
  </si>
  <si>
    <t>CMR-CHO-EXT-0571</t>
  </si>
  <si>
    <t>CMR-CHO-EXT-0572</t>
  </si>
  <si>
    <t>CMR-CHO-EXT-0573</t>
  </si>
  <si>
    <t>CMR-CHO-EXT-0574</t>
  </si>
  <si>
    <t>CMR-CHO-EXT-0575</t>
  </si>
  <si>
    <t>TOLKOMARI</t>
  </si>
  <si>
    <t>HD MORA</t>
  </si>
  <si>
    <t>CMR-CHO-EXT-0576</t>
  </si>
  <si>
    <t>HARDE</t>
  </si>
  <si>
    <t>DOMAYO 2</t>
  </si>
  <si>
    <t>MAROUA 1</t>
  </si>
  <si>
    <t>HR MAROUA</t>
  </si>
  <si>
    <t>CMR-CHO-EXT-0577</t>
  </si>
  <si>
    <t>CMR-CHO-EXT-0578</t>
  </si>
  <si>
    <t>CMR-CHO-EXT-0579</t>
  </si>
  <si>
    <t>CMR-CHO-EXT-0580</t>
  </si>
  <si>
    <t>DJAKANA</t>
  </si>
  <si>
    <t>CMR-CHO-EXT-0581</t>
  </si>
  <si>
    <t>CMR-CHO-EXT-0582</t>
  </si>
  <si>
    <t>CMR-CHO-EXT-0583</t>
  </si>
  <si>
    <t>CMR-CHO-EXT-0584</t>
  </si>
  <si>
    <t>CMR-CHO-EXT-0585</t>
  </si>
  <si>
    <t>SANS EMPLOI</t>
  </si>
  <si>
    <t>CMR-CHO-EXT-0586</t>
  </si>
  <si>
    <t>MACON</t>
  </si>
  <si>
    <t>CMR-CHO-EXT-0587</t>
  </si>
  <si>
    <t>CMR-CHO-EXT-0588</t>
  </si>
  <si>
    <t>KROUANG</t>
  </si>
  <si>
    <t>CMR-CHO-EXT-0589</t>
  </si>
  <si>
    <t>KALAKAFRA</t>
  </si>
  <si>
    <t>CMR-CHO-EXT-0590</t>
  </si>
  <si>
    <t>CMR-CHO-EXT-0591</t>
  </si>
  <si>
    <t>CMR-CHO-EXT-0592</t>
  </si>
  <si>
    <t>CMR-CHO-EXT-0593</t>
  </si>
  <si>
    <t>CMR-CHO-EXT-0594</t>
  </si>
  <si>
    <t>CMR-CHO-EXT-0595</t>
  </si>
  <si>
    <t>CMR-CHO-EXT-0596</t>
  </si>
  <si>
    <t>INFIRMIER</t>
  </si>
  <si>
    <t>RESIDENTIEL</t>
  </si>
  <si>
    <t>CMR-CHO-EXT-0597</t>
  </si>
  <si>
    <t>BLAMA</t>
  </si>
  <si>
    <t>KROUANG1</t>
  </si>
  <si>
    <t>CMR-CHO-EXT-0598</t>
  </si>
  <si>
    <t>CMR-CHO-EXT-0599</t>
  </si>
  <si>
    <t>CMR-CHO-EXT-0600</t>
  </si>
  <si>
    <t>CMR-CHO-EXT-0601</t>
  </si>
  <si>
    <t>GARAGISTE</t>
  </si>
  <si>
    <t>GARIKARIA</t>
  </si>
  <si>
    <t>CMR-CHO-EXT-0602</t>
  </si>
  <si>
    <t>CMR-CHO-EXT-0603</t>
  </si>
  <si>
    <t>CHOLOBA</t>
  </si>
  <si>
    <t>CMR-CHO-EXT-0604</t>
  </si>
  <si>
    <t>CMR-CHO-EXT-0605</t>
  </si>
  <si>
    <t xml:space="preserve">Menagère </t>
  </si>
  <si>
    <t>Talkomari</t>
  </si>
  <si>
    <t>TALKOMARI</t>
  </si>
  <si>
    <t>KOURGUI</t>
  </si>
  <si>
    <t>CSI KOURGUI</t>
  </si>
  <si>
    <t>CMR-CHO-EXT-0606</t>
  </si>
  <si>
    <t>Double IDP</t>
  </si>
  <si>
    <t xml:space="preserve">MAGDEME </t>
  </si>
  <si>
    <t>Mora</t>
  </si>
  <si>
    <t>MAGDEME</t>
  </si>
  <si>
    <t>CMR-CHO-EXT-0607</t>
  </si>
  <si>
    <t>KODOGO 2</t>
  </si>
  <si>
    <t>CMR-CHO-EXT-0608</t>
  </si>
  <si>
    <t>ALAYA</t>
  </si>
  <si>
    <t>AMCHEDIRE</t>
  </si>
  <si>
    <t>CMR-CHO-EXT-0609</t>
  </si>
  <si>
    <t>CMR-CHO-EXT-0610</t>
  </si>
  <si>
    <t>CMR-CHO-EXT-0611</t>
  </si>
  <si>
    <t>KODOGO</t>
  </si>
  <si>
    <t>CMR-CHO-EXT-0612</t>
  </si>
  <si>
    <t>CMR-CHO-EXT-0613</t>
  </si>
  <si>
    <t>HARAZAYE</t>
  </si>
  <si>
    <t>CMR-CHO-EXT-0614</t>
  </si>
  <si>
    <t>CMR-CHO-EXT-0615</t>
  </si>
  <si>
    <t>CMR-CHO-EXT-0616</t>
  </si>
  <si>
    <t>HILE ALIFA2</t>
  </si>
  <si>
    <t>CMR-CHO-EXT-0617</t>
  </si>
  <si>
    <t xml:space="preserve">GORE </t>
  </si>
  <si>
    <t>CMR-CHO-EXT-0618</t>
  </si>
  <si>
    <t>CMR-CHO-EXT-0619</t>
  </si>
  <si>
    <t>CMR-CHO-EXT-0620</t>
  </si>
  <si>
    <t>CMR-CHO-EXT-0621</t>
  </si>
  <si>
    <t>CMR-CHO-EXT-0622</t>
  </si>
  <si>
    <t>CMR-CHO-EXT-0623</t>
  </si>
  <si>
    <t>CMR-CHO-EXT-0624</t>
  </si>
  <si>
    <t>CMR-CHO-EXT-0625</t>
  </si>
  <si>
    <t>BARGARAM II</t>
  </si>
  <si>
    <t>CMR-CHO-EXT-0626</t>
  </si>
  <si>
    <t>CMR-CHO-EXT-0627</t>
  </si>
  <si>
    <t>CMR-CHO-EXT-0628</t>
  </si>
  <si>
    <t>CMR-CHO-EXT-0629</t>
  </si>
  <si>
    <t>CMR-CHO-EXT-0630</t>
  </si>
  <si>
    <t>ABASSOUNI III</t>
  </si>
  <si>
    <t>CMR-CHO-EXT-0631</t>
  </si>
  <si>
    <t>CMR-CHO-EXT-0632</t>
  </si>
  <si>
    <t>CMR-CHO-EXT-0633</t>
  </si>
  <si>
    <t>BARGARAM I</t>
  </si>
  <si>
    <t>CMR-CHO-EXT-0634</t>
  </si>
  <si>
    <t>CMR-CHO-EXT-0635</t>
  </si>
  <si>
    <t>CMR-CHO-EXT-0636</t>
  </si>
  <si>
    <t>CMR-CHO-EXT-0637</t>
  </si>
  <si>
    <t>CMR-CHO-EXT-0638</t>
  </si>
  <si>
    <t>CMR-CHO-EXT-0639</t>
  </si>
  <si>
    <t>CMR-CHO-EXT-0640</t>
  </si>
  <si>
    <t>CMR-CHO-EXT-0641</t>
  </si>
  <si>
    <t>CMR-CHO-EXT-0642</t>
  </si>
  <si>
    <t>CMR-CHO-EXT-0643</t>
  </si>
  <si>
    <t>CMR-CHO-EXT-0644</t>
  </si>
  <si>
    <t>CMR-CHO-EXT-0645</t>
  </si>
  <si>
    <t>CMR-CHO-EXT-0646</t>
  </si>
  <si>
    <t>CMR-CHO-EXT-0647</t>
  </si>
  <si>
    <t>CMR-CHO-EXT-0648</t>
  </si>
  <si>
    <t>CMR-CHO-EXT-0649</t>
  </si>
  <si>
    <t>CMR-CHO-EXT-0650</t>
  </si>
  <si>
    <t>CMR-CHO-EXT-0651</t>
  </si>
  <si>
    <t>CMR-CHO-EXT-0652</t>
  </si>
  <si>
    <t>CMR-CHO-EXT-0653</t>
  </si>
  <si>
    <t>CMR-CHO-EXT-0654</t>
  </si>
  <si>
    <t>CMR-CHO-EXT-0655</t>
  </si>
  <si>
    <t>CMR-CHO-EXT-0656</t>
  </si>
  <si>
    <t>CMR-CHO-EXT-0657</t>
  </si>
  <si>
    <t>CMR-CHO-EXT-0658</t>
  </si>
  <si>
    <t>CMR-CHO-EXT-0659</t>
  </si>
  <si>
    <t>CMR-CHO-EXT-0660</t>
  </si>
  <si>
    <t>CMR-CHO-EXT-0661</t>
  </si>
  <si>
    <t>CMR-CHO-EXT-0662</t>
  </si>
  <si>
    <t>CMR-CHO-EXT-0663</t>
  </si>
  <si>
    <t>CMR-CHO-EXT-0664</t>
  </si>
  <si>
    <t>CMR-CHO-EXT-0665</t>
  </si>
  <si>
    <t>CMR-CHO-EXT-0666</t>
  </si>
  <si>
    <t>CMR-CHO-EXT-0667</t>
  </si>
  <si>
    <t>CMR-CHO-EXT-0668</t>
  </si>
  <si>
    <t>CMR-CHO-EXT-0669</t>
  </si>
  <si>
    <t>CMR-CHO-EXT-0670</t>
  </si>
  <si>
    <t>CMR-CHO-EXT-0671</t>
  </si>
  <si>
    <t>CMR-CHO-EXT-0672</t>
  </si>
  <si>
    <t>KOFIA</t>
  </si>
  <si>
    <t>CSI KOFIA</t>
  </si>
  <si>
    <t>CMR-CHO-EXT-0673</t>
  </si>
  <si>
    <t>CMR-CHO-EXT-0674</t>
  </si>
  <si>
    <t>CMR-CHO-EXT-0675</t>
  </si>
  <si>
    <t>CMR-CHO-EXT-0676</t>
  </si>
  <si>
    <t>CMR-CHO-EXT-0677</t>
  </si>
  <si>
    <t>CMR-CHO-EXT-0678</t>
  </si>
  <si>
    <t>CMR-CHO-EXT-0679</t>
  </si>
  <si>
    <t>CMR-CHO-EXT-0680</t>
  </si>
  <si>
    <t>CMR-CHO-EXT-0681</t>
  </si>
  <si>
    <t>HAOUSSA 3</t>
  </si>
  <si>
    <t>CMR-CHO-EXT-0682</t>
  </si>
  <si>
    <t>CMR-CHO-EXT-0683</t>
  </si>
  <si>
    <t>CMR-CHO-EXT-0684</t>
  </si>
  <si>
    <t>CMR-CHO-EXT-0685</t>
  </si>
  <si>
    <t>CMR-CHO-EXT-0686</t>
  </si>
  <si>
    <t>CMR-CHO-EXT-0687</t>
  </si>
  <si>
    <t>CMR-CHO-EXT-0688</t>
  </si>
  <si>
    <t>CMR-CHO-EXT-0689</t>
  </si>
  <si>
    <t>Qtier Ss Prefecture</t>
  </si>
  <si>
    <t>CMR-CHO-EXT-0690</t>
  </si>
  <si>
    <t>BLANGOUA BACH</t>
  </si>
  <si>
    <t>BLANGOUA</t>
  </si>
  <si>
    <t>CMA BLANGOUA</t>
  </si>
  <si>
    <t>CMR-CHO-EXT-0691</t>
  </si>
  <si>
    <t>ARDEBE MASSA</t>
  </si>
  <si>
    <t>CMR-CHO-EXT-0692</t>
  </si>
  <si>
    <t>CMR-CHO-EXT-0693</t>
  </si>
  <si>
    <t>CMR-CHO-EXT-0694</t>
  </si>
  <si>
    <t>CMR-CHO-EXT-0695</t>
  </si>
  <si>
    <t>CMR-CHO-EXT-0696</t>
  </si>
  <si>
    <t>CMR-CHO-EXT-0697</t>
  </si>
  <si>
    <t>CMR-CHO-EXT-0698</t>
  </si>
  <si>
    <t>CMR-CHO-EXT-0699</t>
  </si>
  <si>
    <t>CMR-CHO-EXT-0700</t>
  </si>
  <si>
    <t>CMR-CHO-EXT-0701</t>
  </si>
  <si>
    <t>CMR-CHO-EXT-0702</t>
  </si>
  <si>
    <t>CMR-CHO-EXT-0703</t>
  </si>
  <si>
    <t>CMR-CHO-EXT-0704</t>
  </si>
  <si>
    <t>CMR-CHO-EXT-0705</t>
  </si>
  <si>
    <t>CMR-CHO-EXT-0706</t>
  </si>
  <si>
    <t>CMR-CHO-EXT-0707</t>
  </si>
  <si>
    <t>CMR-CHO-EXT-0708</t>
  </si>
  <si>
    <t>CMR-CHO-EXT-0709</t>
  </si>
  <si>
    <t>CMR-CHO-EXT-0710</t>
  </si>
  <si>
    <t>CMR-CHO-EXT-0711</t>
  </si>
  <si>
    <t>CMR-CHO-EXT-0712</t>
  </si>
  <si>
    <t>CMR-CHO-EXT-0713</t>
  </si>
  <si>
    <t>CMR-CHO-EXT-0714</t>
  </si>
  <si>
    <t>CMR-CHO-EXT-0715</t>
  </si>
  <si>
    <t>CMR-CHO-EXT-0716</t>
  </si>
  <si>
    <t>CMR-CHO-EXT-0717</t>
  </si>
  <si>
    <t>CMR-CHO-EXT-0718</t>
  </si>
  <si>
    <t>CMR-CHO-EXT-0719</t>
  </si>
  <si>
    <t>KASSA/TOLKOMARI</t>
  </si>
  <si>
    <t>PODOKO NORD</t>
  </si>
  <si>
    <t>CSI PODOKO</t>
  </si>
  <si>
    <t>CMR-CHO-EXT-0720</t>
  </si>
  <si>
    <t>CMR-CHO-EXT-0721</t>
  </si>
  <si>
    <t>SATOMI</t>
  </si>
  <si>
    <t>CMR-CHO-EXT-0722</t>
  </si>
  <si>
    <t>CMR-CHO-EXT-0723</t>
  </si>
  <si>
    <t>CSI TOLKOMARI</t>
  </si>
  <si>
    <t>CMR-CHO-EXT-0724</t>
  </si>
  <si>
    <t>CMR-CHO-EXT-0725</t>
  </si>
  <si>
    <t>CMR-CHO-EXT-0726</t>
  </si>
  <si>
    <t>CMR-CHO-EXT-0727</t>
  </si>
  <si>
    <t>CMR-CHO-EXT-0728</t>
  </si>
  <si>
    <t>CMR-CHO-EXT-0729</t>
  </si>
  <si>
    <t>CMR-CHO-EXT-0730</t>
  </si>
  <si>
    <t>CMR-CHO-EXT-0731</t>
  </si>
  <si>
    <t>CMR-CHO-EXT-0732</t>
  </si>
  <si>
    <t>CMR-CHO-EXT-0733</t>
  </si>
  <si>
    <t>CMR-CHO-EXT-0734</t>
  </si>
  <si>
    <t>CMR-CHO-EXT-0735</t>
  </si>
  <si>
    <t>CMR-CHO-EXT-0736</t>
  </si>
  <si>
    <t>NOURISSON</t>
  </si>
  <si>
    <t>CMR-CHO-EXT-0737</t>
  </si>
  <si>
    <t>CMR-CHO-EXT-0738</t>
  </si>
  <si>
    <t>CMR-CHO-EXT-0739</t>
  </si>
  <si>
    <t>S4B18C4L2</t>
  </si>
  <si>
    <t>MINAWAO</t>
  </si>
  <si>
    <t>MOKOLO</t>
  </si>
  <si>
    <t>HRA MOKOLO</t>
  </si>
  <si>
    <t>CMR-CHO-EXT-0740</t>
  </si>
  <si>
    <t>S4B18C4L1</t>
  </si>
  <si>
    <t>CMR-CHO-EXT-0741</t>
  </si>
  <si>
    <t>S3B17C2L8</t>
  </si>
  <si>
    <t>CMR-CHO-EXT-0742</t>
  </si>
  <si>
    <t>S3B3C9L2</t>
  </si>
  <si>
    <t>CMR-CHO-EXT-0743</t>
  </si>
  <si>
    <t>ZAKALO</t>
  </si>
  <si>
    <t>CMR-CHO-EXT-0744</t>
  </si>
  <si>
    <t>CSI MADANA</t>
  </si>
  <si>
    <t>CMR-CHO-EXT-0745</t>
  </si>
  <si>
    <t>NA</t>
  </si>
  <si>
    <t>CMR-CHO-EXT-0746</t>
  </si>
  <si>
    <t>CMR-CHO-EXT-0747</t>
  </si>
  <si>
    <t>CMR-CHO-EXT-0748</t>
  </si>
  <si>
    <t>CMR-CHO-EXT-0749</t>
  </si>
  <si>
    <t>CMR-CHO-EXT-0750</t>
  </si>
  <si>
    <t>CMR-CHO-EXT-0751</t>
  </si>
  <si>
    <t>CMR-CHO-EXT-0752</t>
  </si>
  <si>
    <t>CMR-CHO-EXT-0753</t>
  </si>
  <si>
    <t>CMR-CHO-EXT-0754</t>
  </si>
  <si>
    <t>CMR-CHO-EXT-0755</t>
  </si>
  <si>
    <t>S1B4C4L3</t>
  </si>
  <si>
    <t>CMA MINAWAO</t>
  </si>
  <si>
    <t>CMR-CHO-EXT-0756</t>
  </si>
  <si>
    <t>S1B11C1L10</t>
  </si>
  <si>
    <t>CMR-CHO-EXT-0757</t>
  </si>
  <si>
    <t>S4B12C12L16</t>
  </si>
  <si>
    <t>CMR-CHO-EXT-0758</t>
  </si>
  <si>
    <t>S4B9C6L3</t>
  </si>
  <si>
    <t>CMR-CHO-EXT-0759</t>
  </si>
  <si>
    <t>S4B3C2L4</t>
  </si>
  <si>
    <t>CMR-CHO-EXT-0760</t>
  </si>
  <si>
    <t>S3B3C6L6</t>
  </si>
  <si>
    <t>CMR-CHO-EXT-0761</t>
  </si>
  <si>
    <t>S3B20C8L2</t>
  </si>
  <si>
    <t>CMR-CHO-EXT-0762</t>
  </si>
  <si>
    <t>S3B15C5L5</t>
  </si>
  <si>
    <t>CMR-CHO-EXT-0763</t>
  </si>
  <si>
    <t>S2B15C5L5</t>
  </si>
  <si>
    <t>CMR-CHO-EXT-0764</t>
  </si>
  <si>
    <t>S3B15C8L5</t>
  </si>
  <si>
    <t>CMR-CHO-EXT-0765</t>
  </si>
  <si>
    <t>S3B15C1L7</t>
  </si>
  <si>
    <t>CMR-CHO-EXT-0766</t>
  </si>
  <si>
    <t>S3B17C5L8</t>
  </si>
  <si>
    <t>CMR-CHO-EXT-0767</t>
  </si>
  <si>
    <t>COMMERCANT</t>
  </si>
  <si>
    <t>S4B9C5L5</t>
  </si>
  <si>
    <t>ISOLEMENT CMA</t>
  </si>
  <si>
    <t>CMR-CHO-EXT-0768</t>
  </si>
  <si>
    <t>MAYO LOUTI</t>
  </si>
  <si>
    <t>EN ATTENTE</t>
  </si>
  <si>
    <t>CMR-CHO-EXT-0769</t>
  </si>
  <si>
    <t>S4B20C6L9</t>
  </si>
  <si>
    <t>CMR-CHO-EXT-0770</t>
  </si>
  <si>
    <t>SBCL</t>
  </si>
  <si>
    <t>CMR-CHO-EXT-0771</t>
  </si>
  <si>
    <t>S4B23C9L7</t>
  </si>
  <si>
    <t>CMR-CHO-EXT-0772</t>
  </si>
  <si>
    <t>S4B20C12L7</t>
  </si>
  <si>
    <t>CMR-CHO-EXT-0773</t>
  </si>
  <si>
    <t>S4B15C5L7</t>
  </si>
  <si>
    <t>CMR-CHO-EXT-0774</t>
  </si>
  <si>
    <t>S2B7C7L10</t>
  </si>
  <si>
    <t>CMR-CHO-EXT-0775</t>
  </si>
  <si>
    <t>S3B5C4L9</t>
  </si>
  <si>
    <t>CMR-CHO-EXT-0776</t>
  </si>
  <si>
    <t>GADALA</t>
  </si>
  <si>
    <t>CMR-CHO-EXT-0777</t>
  </si>
  <si>
    <t>CMR-CHO-EXT-0778</t>
  </si>
  <si>
    <t>CMR-CHO-EXT-0779</t>
  </si>
  <si>
    <t>CMR-CHO-EXT-0780</t>
  </si>
  <si>
    <t>CMR-CHO-EXT-0781</t>
  </si>
  <si>
    <t>CMR-CHO-EXT-0782</t>
  </si>
  <si>
    <t>CMR-CHO-EXT-0783</t>
  </si>
  <si>
    <t>CMR-CHO-EXT-0784</t>
  </si>
  <si>
    <t>BLANGOUA 9</t>
  </si>
  <si>
    <t>CMR-CHO-EXT-0785</t>
  </si>
  <si>
    <t>BLANGOUA 5</t>
  </si>
  <si>
    <t>CMR-CHO-EXT-0786</t>
  </si>
  <si>
    <t>MANDINA</t>
  </si>
  <si>
    <t>CMR-CHO-EXT-0787</t>
  </si>
  <si>
    <t>CMR-CHO-EXT-0788</t>
  </si>
  <si>
    <t>CMR-CHO-EXT-0789</t>
  </si>
  <si>
    <t>CMR-CHO-EXT-0790</t>
  </si>
  <si>
    <t>CMR-CHO-EXT-0791</t>
  </si>
  <si>
    <t>MASSA-MOUSGOUM</t>
  </si>
  <si>
    <t>CMR-CHO-EXT-0792</t>
  </si>
  <si>
    <t>CMR-CHO-EXT-0793</t>
  </si>
  <si>
    <t>CMR-CHO-EXT-0794</t>
  </si>
  <si>
    <t>CMR-CHO-EXT-0795</t>
  </si>
  <si>
    <t>CMR-CHO-EXT-0796</t>
  </si>
  <si>
    <t>CMR-CHO-EXT-0797</t>
  </si>
  <si>
    <t>CMR-CHO-EXT-0798</t>
  </si>
  <si>
    <t>CMR-CHO-EXT-0799</t>
  </si>
  <si>
    <t>CMR-CHO-EXT-0800</t>
  </si>
  <si>
    <t>CMR-CHO-EXT-0801</t>
  </si>
  <si>
    <t>CMR-CHO-EXT-0802</t>
  </si>
  <si>
    <t>CMR-CHO-EXT-0803</t>
  </si>
  <si>
    <t>CMR-CHO-EXT-0804</t>
  </si>
  <si>
    <t>CMR-CHO-EXT-0805</t>
  </si>
  <si>
    <t>CMR-CHO-EXT-0806</t>
  </si>
  <si>
    <t>CMR-CHO-EXT-0807</t>
  </si>
  <si>
    <t>CMR-CHO-EXT-0808</t>
  </si>
  <si>
    <t>CMR-CHO-EXT-0809</t>
  </si>
  <si>
    <t>CMR-CHO-EXT-0810</t>
  </si>
  <si>
    <t>CMR-CHO-EXT-0811</t>
  </si>
  <si>
    <t>CMR-CHO-EXT-0812</t>
  </si>
  <si>
    <t>CMR-CHO-EXT-0813</t>
  </si>
  <si>
    <t>CMR-CHO-EXT-0814</t>
  </si>
  <si>
    <t>CMR-CHO-EXT-0815</t>
  </si>
  <si>
    <t>CMR-CHO-EXT-0816</t>
  </si>
  <si>
    <t>CMR-CHO-EXT-0817</t>
  </si>
  <si>
    <t>CMR-CHO-EXT-0818</t>
  </si>
  <si>
    <t>CMR-CHO-EXT-0819</t>
  </si>
  <si>
    <t>HILE ALIFA 1</t>
  </si>
  <si>
    <t>CMR-CHO-EXT-0820</t>
  </si>
  <si>
    <t>CMR-CHO-EXT-0821</t>
  </si>
  <si>
    <t>CMR-CHO-EXT-0822</t>
  </si>
  <si>
    <t>CMR-CHO-EXT-0823</t>
  </si>
  <si>
    <t>CMR-CHO-EXT-0824</t>
  </si>
  <si>
    <t>CMR-CHO-EXT-0825</t>
  </si>
  <si>
    <t>CMR-CHO-EXT-0826</t>
  </si>
  <si>
    <t xml:space="preserve">ENFANT </t>
  </si>
  <si>
    <t>CMR-CHO-EXT-0827</t>
  </si>
  <si>
    <t>CMR-CHO-EXT-0828</t>
  </si>
  <si>
    <t>CMR-CHO-EXT-0829</t>
  </si>
  <si>
    <t>CMR-CHO-EXT-0830</t>
  </si>
  <si>
    <t>CMR-CHO-EXT-0831</t>
  </si>
  <si>
    <t>BLABLINE</t>
  </si>
  <si>
    <t>CMR-CHO-EXT-0832</t>
  </si>
  <si>
    <t>CMR-CHO-EXT-0833</t>
  </si>
  <si>
    <t>CMR-CHO-EXT-0834</t>
  </si>
  <si>
    <t>OURODOLE 2</t>
  </si>
  <si>
    <t>CMA AMCHIDE</t>
  </si>
  <si>
    <t>CMR-CHO-EXT-0835</t>
  </si>
  <si>
    <t>GANCE MARCHE</t>
  </si>
  <si>
    <t>CMR-CHO-EXT-0836</t>
  </si>
  <si>
    <t>CMR-CHO-EXT-0837</t>
  </si>
  <si>
    <t>CMR-CHO-EXT-0838</t>
  </si>
  <si>
    <t>CMR-CHO-EXT-0839</t>
  </si>
  <si>
    <t>Kofia</t>
  </si>
  <si>
    <t>CMR-CHO-EXT-0840</t>
  </si>
  <si>
    <t>CMR-CHO-EXT-0841</t>
  </si>
  <si>
    <t>CMR-CHO-EXT-0842</t>
  </si>
  <si>
    <t>CMR-CHO-EXT-0843</t>
  </si>
  <si>
    <t>CMR-CHO-EXT-0844</t>
  </si>
  <si>
    <t>CMR-CHO-EXT-0845</t>
  </si>
  <si>
    <t>CMR-CHO-EXT-0846</t>
  </si>
  <si>
    <t>CMR-CHO-EXT-0847</t>
  </si>
  <si>
    <t>CMR-CHO-EXT-0848</t>
  </si>
  <si>
    <t>CMR-CHO-EXT-0849</t>
  </si>
  <si>
    <t>CMR-CHO-EXT-0850</t>
  </si>
  <si>
    <t>CMR-CHO-EXT-0851</t>
  </si>
  <si>
    <t>CMR-CHO-EXT-0852</t>
  </si>
  <si>
    <t>CMR-CHO-EXT-0853</t>
  </si>
  <si>
    <t>CMR-CHO-EXT-0854</t>
  </si>
  <si>
    <t>CMR-CHO-EXT-0855</t>
  </si>
  <si>
    <t>CMR-CHO-EXT-0856</t>
  </si>
  <si>
    <t>CMR-CHO-EXT-0857</t>
  </si>
  <si>
    <t>CMR-CHO-EXT-0858</t>
  </si>
  <si>
    <t>CMR-CHO-EXT-0859</t>
  </si>
  <si>
    <t>BIRNI GONI</t>
  </si>
  <si>
    <t>CMR-CHO-EXT-0860</t>
  </si>
  <si>
    <t>CMR-CHO-EXT-0861</t>
  </si>
  <si>
    <t>CMR-CHO-EXT-0862</t>
  </si>
  <si>
    <t>CMR-CHO-EXT-0863</t>
  </si>
  <si>
    <t>CMR-CHO-EXT-0864</t>
  </si>
  <si>
    <t>CMR-CHO-EXT-0865</t>
  </si>
  <si>
    <t>CMR-CHO-EXT-0866</t>
  </si>
  <si>
    <t>CMR-CHO-EXT-0867</t>
  </si>
  <si>
    <t>CMR-CHO-EXT-0868</t>
  </si>
  <si>
    <t>CMR-CHO-EXT-0869</t>
  </si>
  <si>
    <t>CMR-CHO-EXT-0870</t>
  </si>
  <si>
    <t>CMR-CHO-EXT-0871</t>
  </si>
  <si>
    <t>CMR-CHO-EXT-0872</t>
  </si>
  <si>
    <t>FADJA</t>
  </si>
  <si>
    <t>CMR-CHO-EXT-0873</t>
  </si>
  <si>
    <t>CMR-CHO-EXT-0874</t>
  </si>
  <si>
    <t>CMR-CHO-EXT-0875</t>
  </si>
  <si>
    <t>CMR-CHO-EXT-0876</t>
  </si>
  <si>
    <t>CMR-CHO-EXT-0877</t>
  </si>
  <si>
    <t>CMR-CHO-EXT-0878</t>
  </si>
  <si>
    <t>CMR-CHO-EXT-0879</t>
  </si>
  <si>
    <t>CMR-CHO-EXT-0880</t>
  </si>
  <si>
    <t>CMR-CHO-EXT-0881</t>
  </si>
  <si>
    <t>CMR-CHO-EXT-0882</t>
  </si>
  <si>
    <t>CMR-CHO-EXT-0883</t>
  </si>
  <si>
    <t>CMR-CHO-EXT-0884</t>
  </si>
  <si>
    <t>CMR-CHO-EXT-0885</t>
  </si>
  <si>
    <t>CMR-CHO-EXT-0886</t>
  </si>
  <si>
    <t>DORE LIFANE</t>
  </si>
  <si>
    <t>CMR-CHO-EXT-0887</t>
  </si>
  <si>
    <t>CMR-CHO-EXT-0888</t>
  </si>
  <si>
    <t>CMR-CHO-EXT-0889</t>
  </si>
  <si>
    <t>CMR-CHO-EXT-0890</t>
  </si>
  <si>
    <t>CMR-CHO-EXT-0891</t>
  </si>
  <si>
    <t>CMR-CHO-EXT-0892</t>
  </si>
  <si>
    <t>CMR-CHO-EXT-0893</t>
  </si>
  <si>
    <t>CMR-CHO-EXT-0894</t>
  </si>
  <si>
    <t>CMR-CHO-EXT-0895</t>
  </si>
  <si>
    <t>CMR-CHO-EXT-0896</t>
  </si>
  <si>
    <t>CMR-CHO-EXT-0897</t>
  </si>
  <si>
    <t>MILITAIRE</t>
  </si>
  <si>
    <t>CMR-CHO-EXT-0898</t>
  </si>
  <si>
    <t>CMR-CHO-EXT-0899</t>
  </si>
  <si>
    <t>CMR-CHO-EXT-0900</t>
  </si>
  <si>
    <t>CMR-CHO-EXT-0901</t>
  </si>
  <si>
    <t>CMR-CHO-EXT-0902</t>
  </si>
  <si>
    <t>KOUNDJARA</t>
  </si>
  <si>
    <t>CMR-CHO-EXT-0903</t>
  </si>
  <si>
    <t>CMR-CHO-EXT-0904</t>
  </si>
  <si>
    <t>CMR-CHO-EXT-0905</t>
  </si>
  <si>
    <t>CMR-CHO-EXT-0906</t>
  </si>
  <si>
    <t>CMR-CHO-EXT-0907</t>
  </si>
  <si>
    <t>CMR-CHO-EXT-0908</t>
  </si>
  <si>
    <t>CMR-CHO-EXT-0909</t>
  </si>
  <si>
    <t>CMR-CHO-EXT-0910</t>
  </si>
  <si>
    <t>CMR-CHO-EXT-0911</t>
  </si>
  <si>
    <t>CMR-CHO-EXT-0912</t>
  </si>
  <si>
    <t>CMR-CHO-EXT-0913</t>
  </si>
  <si>
    <t>CMR-CHO-EXT-0914</t>
  </si>
  <si>
    <t>CMR-CHO-EXT-0915</t>
  </si>
  <si>
    <t>CMR-CHO-EXT-0916</t>
  </si>
  <si>
    <t>CMR-CHO-EXT-0917</t>
  </si>
  <si>
    <t>CMR-CHO-EXT-0918</t>
  </si>
  <si>
    <t>CMR-CHO-EXT-0919</t>
  </si>
  <si>
    <t>CMR-CHO-EXT-0920</t>
  </si>
  <si>
    <t>CMR-CHO-EXT-0921</t>
  </si>
  <si>
    <t>CMR-CHO-EXT-0922</t>
  </si>
  <si>
    <t>CMR-CHO-EXT-0923</t>
  </si>
  <si>
    <t>CMR-CHO-EXT-0924</t>
  </si>
  <si>
    <t>CMR-CHO-EXT-0925</t>
  </si>
  <si>
    <t>CMR-CHO-EXT-0926</t>
  </si>
  <si>
    <t>S1B4C5L7</t>
  </si>
  <si>
    <t>CMR-CHO-EXT-0927</t>
  </si>
  <si>
    <t>S3B9C3L1</t>
  </si>
  <si>
    <t>CMR-CHO-EXT-0928</t>
  </si>
  <si>
    <t>CMR-CHO-EXT-0929</t>
  </si>
  <si>
    <t>S4B20C9L7</t>
  </si>
  <si>
    <t>CMR-CHO-EXT-0930</t>
  </si>
  <si>
    <t>S3B19C3L4</t>
  </si>
  <si>
    <t>CMR-CHO-EXT-0931</t>
  </si>
  <si>
    <t>S2B5C2L5</t>
  </si>
  <si>
    <t>CMR-CHO-EXT-0932</t>
  </si>
  <si>
    <t>S3B20C1L2</t>
  </si>
  <si>
    <t>CMR-CHO-EXT-0933</t>
  </si>
  <si>
    <t>CMR-CHO-EXT-0934</t>
  </si>
  <si>
    <t>S3B16C3L6</t>
  </si>
  <si>
    <t>CMR-CHO-EXT-0935</t>
  </si>
  <si>
    <t>S3B17C5L7</t>
  </si>
  <si>
    <t>CMR-CHO-EXT-0936</t>
  </si>
  <si>
    <t>GAWAR</t>
  </si>
  <si>
    <t>CMR-CHO-EXT-0937</t>
  </si>
  <si>
    <t>S4B20C10L5</t>
  </si>
  <si>
    <t>CMR-CHO-EXT-0938</t>
  </si>
  <si>
    <t>S1B10C6L</t>
  </si>
  <si>
    <t>CMR-CHO-EXT-0939</t>
  </si>
  <si>
    <t>S4B19C1L4</t>
  </si>
  <si>
    <t>CMR-CHO-EXT-0940</t>
  </si>
  <si>
    <t>UTC MINAWAO</t>
  </si>
  <si>
    <t>CMR-CHO-EXT-0941</t>
  </si>
  <si>
    <t>C/S</t>
  </si>
  <si>
    <t>CMR-CHO-EXT-0942</t>
  </si>
  <si>
    <t>S4B20C13L8</t>
  </si>
  <si>
    <t>CMR-CHO-EXT-0943</t>
  </si>
  <si>
    <t>MAYOU LOUTI</t>
  </si>
  <si>
    <t>CMR-CHO-EXT-0944</t>
  </si>
  <si>
    <t>S3B14C4L4</t>
  </si>
  <si>
    <t>CMR-CHO-EXT-0945</t>
  </si>
  <si>
    <t>S1B12C7L14</t>
  </si>
  <si>
    <t>CMR-CHO-EXT-0946</t>
  </si>
  <si>
    <t>S4B20C3L12</t>
  </si>
  <si>
    <t>CMR-CHO-EXT-0947</t>
  </si>
  <si>
    <t>S4B15C12L8</t>
  </si>
  <si>
    <t>CMR-CHO-EXT-0948</t>
  </si>
  <si>
    <t>S3B17C4L2</t>
  </si>
  <si>
    <t>CMR-CHO-EXT-0949</t>
  </si>
  <si>
    <t>CMR-CHO-EXT-0950</t>
  </si>
  <si>
    <t>S4B20C5L7</t>
  </si>
  <si>
    <t>CMR-CHO-EXT-0951</t>
  </si>
  <si>
    <t>S4B23C8L7</t>
  </si>
  <si>
    <t>CMR-CHO-EXT-0952</t>
  </si>
  <si>
    <t>AISSA ABADA</t>
  </si>
  <si>
    <t>AISSA HARDE</t>
  </si>
  <si>
    <t>CSI AISSA HARDE</t>
  </si>
  <si>
    <t>CMR-CHO-EXT-0953</t>
  </si>
  <si>
    <t>CMR-CHO-EXT-0954</t>
  </si>
  <si>
    <t>CMR-CHO-EXT-0955</t>
  </si>
  <si>
    <t>MENEGER</t>
  </si>
  <si>
    <t>CMR-CHO-EXT-0956</t>
  </si>
  <si>
    <t>CMR-CHO-EXT-0957</t>
  </si>
  <si>
    <t>CMR-CHO-EXT-0958</t>
  </si>
  <si>
    <t>CMR-CHO-EXT-0959</t>
  </si>
  <si>
    <t>CMR-CHO-EXT-0960</t>
  </si>
  <si>
    <t>CMR-CHO-EXT-0961</t>
  </si>
  <si>
    <t>CMR-CHO-EXT-0962</t>
  </si>
  <si>
    <t>CMR-CHO-EXT-0963</t>
  </si>
  <si>
    <t>CMR-CHO-EXT-0964</t>
  </si>
  <si>
    <t>CMR-CHO-EXT-0965</t>
  </si>
  <si>
    <t>CMR-CHO-EXT-0966</t>
  </si>
  <si>
    <t>CMR-CHO-EXT-0967</t>
  </si>
  <si>
    <t>CMR-CHO-EXT-0968</t>
  </si>
  <si>
    <t>CMR-CHO-EXT-0969</t>
  </si>
  <si>
    <t>CMR-CHO-EXT-0970</t>
  </si>
  <si>
    <t>CULT</t>
  </si>
  <si>
    <t>CMR-CHO-EXT-0971</t>
  </si>
  <si>
    <t>TCHAKRAMARI</t>
  </si>
  <si>
    <t>CMR-CHO-EXT-0972</t>
  </si>
  <si>
    <t>CMR-CHO-EXT-0973</t>
  </si>
  <si>
    <t>CMR-CHO-EXT-0974</t>
  </si>
  <si>
    <t>CMR-CHO-EXT-0975</t>
  </si>
  <si>
    <t>CMR-CHO-EXT-0976</t>
  </si>
  <si>
    <t>CMR-CHO-EXT-0977</t>
  </si>
  <si>
    <t>TALA MOKOLO</t>
  </si>
  <si>
    <t>CMR-CHO-EXT-0978</t>
  </si>
  <si>
    <t>m</t>
  </si>
  <si>
    <t xml:space="preserve">homeka </t>
  </si>
  <si>
    <t xml:space="preserve">bounderi </t>
  </si>
  <si>
    <t xml:space="preserve">CSI de bounderi </t>
  </si>
  <si>
    <t>CMR-CHO-EXT-0979</t>
  </si>
  <si>
    <t>f</t>
  </si>
  <si>
    <t xml:space="preserve">menagere </t>
  </si>
  <si>
    <t>homeka</t>
  </si>
  <si>
    <t>CMR-CHO-EXT-0980</t>
  </si>
  <si>
    <t>CMR-CHO-EXT-0981</t>
  </si>
  <si>
    <t>CMR-CHO-EXT-0982</t>
  </si>
  <si>
    <t>CMR-CHO-EXT-0983</t>
  </si>
  <si>
    <t>CMR-CHO-EXT-0984</t>
  </si>
  <si>
    <t xml:space="preserve">adolescents </t>
  </si>
  <si>
    <t>CMR-CHO-EXT-0985</t>
  </si>
  <si>
    <t>enfants</t>
  </si>
  <si>
    <t>CMR-CHO-EXT-0986</t>
  </si>
  <si>
    <t>CMR-CHO-EXT-0987</t>
  </si>
  <si>
    <t>CMR-CHO-EXT-0988</t>
  </si>
  <si>
    <t xml:space="preserve">enfants </t>
  </si>
  <si>
    <t>CMR-CHO-EXT-0989</t>
  </si>
  <si>
    <t>DOULO</t>
  </si>
  <si>
    <t>CMR-CHO-EXT-0990</t>
  </si>
  <si>
    <t>CMR-CHO-EXT-0991</t>
  </si>
  <si>
    <t>CMR-CHO-EXT-0992</t>
  </si>
  <si>
    <t>BIDEINE</t>
  </si>
  <si>
    <t>CMR-CHO-EXT-0993</t>
  </si>
  <si>
    <t>CMR-CHO-EXT-0994</t>
  </si>
  <si>
    <t>CMR-CHO-EXT-0995</t>
  </si>
  <si>
    <t>CMR-CHO-EXT-0996</t>
  </si>
  <si>
    <t>CMR-CHO-EXT-0997</t>
  </si>
  <si>
    <t>CMR-CHO-EXT-0998</t>
  </si>
  <si>
    <t>HH</t>
  </si>
  <si>
    <t>CMR-CHO-EXT-0999</t>
  </si>
  <si>
    <t>CMR-CHO-EXT-1000</t>
  </si>
  <si>
    <t>CMR-CHO-EXT-1001</t>
  </si>
  <si>
    <t>TAXIMAN</t>
  </si>
  <si>
    <t>HILEHAOUSSA</t>
  </si>
  <si>
    <t>CMR-CHO-EXT-1002</t>
  </si>
  <si>
    <t>BOURGOUMA</t>
  </si>
  <si>
    <t>MADIAKO</t>
  </si>
  <si>
    <t>CMR-CHO-EXT-1003</t>
  </si>
  <si>
    <t>HARAZAI</t>
  </si>
  <si>
    <t>CMR-CHO-EXT-1004</t>
  </si>
  <si>
    <t>CMR-CHO-EXT-1005</t>
  </si>
  <si>
    <t>CMR-CHO-EXT-1006</t>
  </si>
  <si>
    <t>GABAG</t>
  </si>
  <si>
    <t>CMR-CHO-EXT-1007</t>
  </si>
  <si>
    <t>charbonier</t>
  </si>
  <si>
    <t>honkol</t>
  </si>
  <si>
    <t>Madiako</t>
  </si>
  <si>
    <t>Kousseri</t>
  </si>
  <si>
    <t>CMA logone birni</t>
  </si>
  <si>
    <t>CMR-CHO-EXT-1008</t>
  </si>
  <si>
    <t>HILE-HAOUSSA KOUSSERI</t>
  </si>
  <si>
    <t>CMR-CHO-EXT-1009</t>
  </si>
  <si>
    <t>KROUNG II</t>
  </si>
  <si>
    <t>CMR-CHO-EXT-1010</t>
  </si>
  <si>
    <t>NGUELI</t>
  </si>
  <si>
    <t>CMR-CHO-EXT-1011</t>
  </si>
  <si>
    <t>CMR-CHO-EXT-1012</t>
  </si>
  <si>
    <t>CMR-CHO-EXT-1013</t>
  </si>
  <si>
    <t>CMR-CHO-EXT-1014</t>
  </si>
  <si>
    <t>CMR-CHO-EXT-1015</t>
  </si>
  <si>
    <t>CMR-CHO-EXT-1016</t>
  </si>
  <si>
    <t>CMR-CHO-EXT-1017</t>
  </si>
  <si>
    <t>CMR-CHO-EXT-1018</t>
  </si>
  <si>
    <t>CMR-CHO-EXT-1019</t>
  </si>
  <si>
    <t>CMR-CHO-EXT-1020</t>
  </si>
  <si>
    <t>CMR-CHO-EXT-1021</t>
  </si>
  <si>
    <t>S3B16C1L7</t>
  </si>
  <si>
    <t>CMR-CHO-EXT-1022</t>
  </si>
  <si>
    <t>S1B8C2L1</t>
  </si>
  <si>
    <t>CMR-CHO-EXT-1023</t>
  </si>
  <si>
    <t>S3B18C6L4</t>
  </si>
  <si>
    <t>CMR-CHO-EXT-1024</t>
  </si>
  <si>
    <t>S4B14C6L4</t>
  </si>
  <si>
    <t>CMR-CHO-EXT-1025</t>
  </si>
  <si>
    <t>S4B2C3L13</t>
  </si>
  <si>
    <t>CMR-CHO-EXT-1026</t>
  </si>
  <si>
    <t>CMR-CHO-EXT-1027</t>
  </si>
  <si>
    <t>S3B22C6L9</t>
  </si>
  <si>
    <t>CMR-CHO-EXT-1028</t>
  </si>
  <si>
    <t>LOUGUERE MAKI</t>
  </si>
  <si>
    <t>HINA</t>
  </si>
  <si>
    <t>UPC GADALA</t>
  </si>
  <si>
    <t>CMR-CHO-EXT-1029</t>
  </si>
  <si>
    <t>BL DJIBRINE</t>
  </si>
  <si>
    <t>CMR-CHO-EXT-1030</t>
  </si>
  <si>
    <t>CMR-CHO-EXT-1031</t>
  </si>
  <si>
    <t>CMR-CHO-EXT-1032</t>
  </si>
  <si>
    <t>CMR-CHO-EXT-1033</t>
  </si>
  <si>
    <t>CMR-CHO-EXT-1034</t>
  </si>
  <si>
    <t>BL TANNE</t>
  </si>
  <si>
    <t>NGONDRO</t>
  </si>
  <si>
    <t>CMR-CHO-EXT-1035</t>
  </si>
  <si>
    <t>CRENAWA</t>
  </si>
  <si>
    <t>CMR-CHO-EXT-1036</t>
  </si>
  <si>
    <t>CMR-CHO-EXT-1037</t>
  </si>
  <si>
    <t>CMR-CHO-EXT-1038</t>
  </si>
  <si>
    <t>CMR-CHO-EXT-1039</t>
  </si>
  <si>
    <t>CMR-CHO-EXT-1040</t>
  </si>
  <si>
    <t>CMR-CHO-EXT-1041</t>
  </si>
  <si>
    <t>CMR-CHO-EXT-1042</t>
  </si>
  <si>
    <t>menagee</t>
  </si>
  <si>
    <t>kronoya</t>
  </si>
  <si>
    <t>woulky</t>
  </si>
  <si>
    <t>Makary</t>
  </si>
  <si>
    <t>CSI WOULKY</t>
  </si>
  <si>
    <t>CMR-CHO-EXT-1043</t>
  </si>
  <si>
    <t>enfant</t>
  </si>
  <si>
    <t>kro'oya</t>
  </si>
  <si>
    <t>CMR-CHO-EXT-1044</t>
  </si>
  <si>
    <t>e'fant</t>
  </si>
  <si>
    <t>CMR-CHO-EXT-1045</t>
  </si>
  <si>
    <t>CMR-CHO-EXT-1046</t>
  </si>
  <si>
    <t>menagere</t>
  </si>
  <si>
    <t>CMR-CHO-EXT-1047</t>
  </si>
  <si>
    <t>ménagère</t>
  </si>
  <si>
    <t>CMR-CHO-EXT-1048</t>
  </si>
  <si>
    <t xml:space="preserve">BLAMA OUMAR </t>
  </si>
  <si>
    <t xml:space="preserve">ndeggo AMBIGUELLA </t>
  </si>
  <si>
    <t xml:space="preserve">POS </t>
  </si>
  <si>
    <t>CMR-CHO-EXT-1049</t>
  </si>
  <si>
    <t xml:space="preserve">BLAMA ABDOU </t>
  </si>
  <si>
    <t xml:space="preserve">DJADJAYA </t>
  </si>
  <si>
    <t xml:space="preserve">Amchilga </t>
  </si>
  <si>
    <t>CMR-CHO-EXT-1050</t>
  </si>
  <si>
    <t>CMR-CHO-EXT-1051</t>
  </si>
  <si>
    <t xml:space="preserve">BLAMA OUSMAN </t>
  </si>
  <si>
    <t>CMR-CHO-EXT-1052</t>
  </si>
  <si>
    <t>CMR-CHO-EXT-1053</t>
  </si>
  <si>
    <t>DJADJAYA</t>
  </si>
  <si>
    <t>AMCHILGA</t>
  </si>
  <si>
    <t>CSI AMCHILGA</t>
  </si>
  <si>
    <t xml:space="preserve"> NON</t>
  </si>
  <si>
    <t>CMR-CHO-EXT-1054</t>
  </si>
  <si>
    <t>CMR-CHO-EXT-1055</t>
  </si>
  <si>
    <t>CMR-CHO-EXT-1056</t>
  </si>
  <si>
    <t>CMR-CHO-EXT-1057</t>
  </si>
  <si>
    <t>CMR-CHO-EXT-1058</t>
  </si>
  <si>
    <t>ADNLESCENT</t>
  </si>
  <si>
    <t>CMR-CHO-EXT-1059</t>
  </si>
  <si>
    <t>CMR-CHO-EXT-1060</t>
  </si>
  <si>
    <t>ADMLESCENT</t>
  </si>
  <si>
    <t>CMR-CHO-EXT-1061</t>
  </si>
  <si>
    <t>CMR-CHO-EXT-1062</t>
  </si>
  <si>
    <t xml:space="preserve">BLAMA ABAKAR </t>
  </si>
  <si>
    <t xml:space="preserve">ABARI </t>
  </si>
  <si>
    <t>CMR-CHO-EXT-1063</t>
  </si>
  <si>
    <t>BLAMA ADOUM</t>
  </si>
  <si>
    <t>CMR-CHO-EXT-1064</t>
  </si>
  <si>
    <t>CMR-CHO-EXT-1065</t>
  </si>
  <si>
    <t>CMR-CHO-EXT-1066</t>
  </si>
  <si>
    <t>CMR-CHO-EXT-1067</t>
  </si>
  <si>
    <t>CHEIK ADJIT</t>
  </si>
  <si>
    <t>CMR-CHO-EXT-1068</t>
  </si>
  <si>
    <t>CMR-CHO-EXT-1069</t>
  </si>
  <si>
    <t>CMR-CHO-EXT-1070</t>
  </si>
  <si>
    <t>BL DOUROUCH</t>
  </si>
  <si>
    <t>CMR-CHO-EXT-1071</t>
  </si>
  <si>
    <t>BL LIMAN</t>
  </si>
  <si>
    <t>CMR-CHO-EXT-1072</t>
  </si>
  <si>
    <t>BL MAHAMAT</t>
  </si>
  <si>
    <t>NAIRA</t>
  </si>
  <si>
    <t>BOMBOYO</t>
  </si>
  <si>
    <t>CMR-CHO-EXT-1073</t>
  </si>
  <si>
    <t>CMR-CHO-EXT-1074</t>
  </si>
  <si>
    <t>BL TAHIR</t>
  </si>
  <si>
    <t>KINABARI</t>
  </si>
  <si>
    <t>CMR-CHO-EXT-1075</t>
  </si>
  <si>
    <t>BL BACHIR</t>
  </si>
  <si>
    <t>CMR-CHO-EXT-1076</t>
  </si>
  <si>
    <t>BL ABDOU</t>
  </si>
  <si>
    <t>CMR-CHO-EXT-1077</t>
  </si>
  <si>
    <t>BL ABICHO</t>
  </si>
  <si>
    <t>LAFIA</t>
  </si>
  <si>
    <t>CMR-CHO-EXT-1078</t>
  </si>
  <si>
    <t>CMR-CHO-EXT-1079</t>
  </si>
  <si>
    <t>BL ACHAM</t>
  </si>
  <si>
    <t>TETEWA</t>
  </si>
  <si>
    <t>TCHAD</t>
  </si>
  <si>
    <t>CMR-CHO-EXT-1080</t>
  </si>
  <si>
    <t>INCONU</t>
  </si>
  <si>
    <t>CMR-CHO-EXT-1081</t>
  </si>
  <si>
    <t>CMR-CHO-EXT-1082</t>
  </si>
  <si>
    <t>MENEGERE</t>
  </si>
  <si>
    <t>CMR-CHO-EXT-1083</t>
  </si>
  <si>
    <t>CMR-CHO-EXT-1084</t>
  </si>
  <si>
    <t>CMR-CHO-EXT-1085</t>
  </si>
  <si>
    <t>CMR-CHO-EXT-1086</t>
  </si>
  <si>
    <t>CMR-CHO-EXT-1087</t>
  </si>
  <si>
    <t>HIDJELIDJE</t>
  </si>
  <si>
    <t>CMR-CHO-EXT-1088</t>
  </si>
  <si>
    <t>BARMA</t>
  </si>
  <si>
    <t>CMR-CHO-EXT-1089</t>
  </si>
  <si>
    <t>CMR-CHO-EXT-1090</t>
  </si>
  <si>
    <t>IGAGOUA</t>
  </si>
  <si>
    <t>CMR-CHO-EXT-1091</t>
  </si>
  <si>
    <t>GOMBEGE</t>
  </si>
  <si>
    <t>CMR-CHO-EXT-1092</t>
  </si>
  <si>
    <t>CMR-CHO-EXT-1093</t>
  </si>
  <si>
    <t>CMR-CHO-EXT-1094</t>
  </si>
  <si>
    <t xml:space="preserve">inconnu </t>
  </si>
  <si>
    <t>CMR-CHO-EXT-1095</t>
  </si>
  <si>
    <t>adolescent</t>
  </si>
  <si>
    <t>CMR-CHO-EXT-1096</t>
  </si>
  <si>
    <t>CMR-CHO-EXT-1097</t>
  </si>
  <si>
    <t>CMR-CHO-EXT-1098</t>
  </si>
  <si>
    <t>CMR-CHO-EXT-1099</t>
  </si>
  <si>
    <t>CMR-CHO-EXT-1100</t>
  </si>
  <si>
    <t>CMR-CHO-EXT-1101</t>
  </si>
  <si>
    <t>CMR-CHO-EXT-1102</t>
  </si>
  <si>
    <t xml:space="preserve">Double </t>
  </si>
  <si>
    <t>CSI MAGDEME</t>
  </si>
  <si>
    <t>CMR-CHO-EXT-1103</t>
  </si>
  <si>
    <t xml:space="preserve">Tchakarmari </t>
  </si>
  <si>
    <t xml:space="preserve">Magdeme </t>
  </si>
  <si>
    <t>CMR-CHO-EXT-1104</t>
  </si>
  <si>
    <t>CMR-CHO-EXT-1105</t>
  </si>
  <si>
    <t xml:space="preserve">Double IDP </t>
  </si>
  <si>
    <t>CMR-CHO-EXT-1106</t>
  </si>
  <si>
    <t>Talla Guiziga</t>
  </si>
  <si>
    <t>INC</t>
  </si>
  <si>
    <t>CMR-CHO-EXT-1107</t>
  </si>
  <si>
    <t>Talla Kola</t>
  </si>
  <si>
    <t>CMR-CHO-EXT-1108</t>
  </si>
  <si>
    <t>Travailleur Social</t>
  </si>
  <si>
    <t>CMR-CHO-EXT-1109</t>
  </si>
  <si>
    <t>CMR-CHO-EXT-1110</t>
  </si>
  <si>
    <t>AÏSSA CAMP</t>
  </si>
  <si>
    <t>CMR-CHO-EXT-1111</t>
  </si>
  <si>
    <t>GOLMO ARABE</t>
  </si>
  <si>
    <t>CMR-CHO-EXT-1112</t>
  </si>
  <si>
    <t>CMR-CHO-EXT-1113</t>
  </si>
  <si>
    <t>CMR-CHO-EXT-1114</t>
  </si>
  <si>
    <t>CMR-CHO-EXT-1115</t>
  </si>
  <si>
    <t>CMR-CHO-EXT-1116</t>
  </si>
  <si>
    <t>CMR-CHO-EXT-1117</t>
  </si>
  <si>
    <t>CMR-CHO-EXT-1118</t>
  </si>
  <si>
    <t>CMR-CHO-EXT-1119</t>
  </si>
  <si>
    <t>KALOUE</t>
  </si>
  <si>
    <t>CMR-CHO-EXT-1120</t>
  </si>
  <si>
    <t>CMR-CHO-EXT-1121</t>
  </si>
  <si>
    <t>MBLAME</t>
  </si>
  <si>
    <t>CMR-CHO-EXT-1122</t>
  </si>
  <si>
    <t>CMR-CHO-EXT-1123</t>
  </si>
  <si>
    <t>CMR-CHO-EXT-1124</t>
  </si>
  <si>
    <t>SEMRY</t>
  </si>
  <si>
    <t>CMR-CHO-EXT-1125</t>
  </si>
  <si>
    <t>GARDIEN</t>
  </si>
  <si>
    <t xml:space="preserve">RESIDENTIEL </t>
  </si>
  <si>
    <t>CMR-CHO-EXT-1126</t>
  </si>
  <si>
    <t>ZAOUYA</t>
  </si>
  <si>
    <t>CMR-CHO-EXT-1127</t>
  </si>
  <si>
    <t xml:space="preserve">ELEVE </t>
  </si>
  <si>
    <t>CMR-CHO-EXT-1128</t>
  </si>
  <si>
    <t>SANS PROFESSION</t>
  </si>
  <si>
    <t>CMR-CHO-EXT-1129</t>
  </si>
  <si>
    <t>KARWAYE</t>
  </si>
  <si>
    <t>CMR-CHO-EXT-1130</t>
  </si>
  <si>
    <t>TAMRAI</t>
  </si>
  <si>
    <t>CMR-CHO-EXT-1131</t>
  </si>
  <si>
    <t>CMR-CHO-EXT-1132</t>
  </si>
  <si>
    <t>CMR-CHO-EXT-1133</t>
  </si>
  <si>
    <t>CMR-CHO-EXT-1134</t>
  </si>
  <si>
    <t>CMR-CHO-EXT-1135</t>
  </si>
  <si>
    <t>CMR-CHO-EXT-1136</t>
  </si>
  <si>
    <t>CMR-CHO-EXT-1137</t>
  </si>
  <si>
    <t>WAGLAN</t>
  </si>
  <si>
    <t>CSI MADA</t>
  </si>
  <si>
    <t>CMR-CHO-EXT-1138</t>
  </si>
  <si>
    <t>CMR-CHO-EXT-1139</t>
  </si>
  <si>
    <t>MADAICK</t>
  </si>
  <si>
    <t>CMR-CHO-EXT-1140</t>
  </si>
  <si>
    <t>CMR-CHO-EXT-1141</t>
  </si>
  <si>
    <t>CMR-CHO-EXT-1142</t>
  </si>
  <si>
    <t>CMR-CHO-EXT-1143</t>
  </si>
  <si>
    <t>CMR-CHO-EXT-1144</t>
  </si>
  <si>
    <t>CMR-CHO-EXT-1145</t>
  </si>
  <si>
    <t>CMR-CHO-EXT-1146</t>
  </si>
  <si>
    <t>CMR-CHO-EXT-1147</t>
  </si>
  <si>
    <t>CMR-CHO-EXT-1148</t>
  </si>
  <si>
    <t>MADAIK</t>
  </si>
  <si>
    <t>CMR-CHO-EXT-1149</t>
  </si>
  <si>
    <t>CMR-CHO-EXT-1150</t>
  </si>
  <si>
    <t>CMR-CHO-EXT-1151</t>
  </si>
  <si>
    <t>CMR-CHO-EXT-1152</t>
  </si>
  <si>
    <t>CMR-CHO-EXT-1153</t>
  </si>
  <si>
    <t>CMR-CHO-EXT-1154</t>
  </si>
  <si>
    <t>CMR-CHO-EXT-1155</t>
  </si>
  <si>
    <t>CMR-CHO-EXT-1156</t>
  </si>
  <si>
    <t>CMR-CHO-EXT-1157</t>
  </si>
  <si>
    <t>CMR-CHO-EXT-1158</t>
  </si>
  <si>
    <t>CMR-CHO-EXT-1159</t>
  </si>
  <si>
    <t>CMR-CHO-EXT-1160</t>
  </si>
  <si>
    <t>CMR-CHO-EXT-1161</t>
  </si>
  <si>
    <t xml:space="preserve">BLARAM </t>
  </si>
  <si>
    <t>BLARAM</t>
  </si>
  <si>
    <t>CSI BLARAM</t>
  </si>
  <si>
    <t>CMR-CHO-EXT-1162</t>
  </si>
  <si>
    <t>S3B24C2L4</t>
  </si>
  <si>
    <t>CMR-CHO-EXT-1163</t>
  </si>
  <si>
    <t>CMR-CHO-EXT-1164</t>
  </si>
  <si>
    <t>S1B14C4L10</t>
  </si>
  <si>
    <t>CMR-CHO-EXT-1165</t>
  </si>
  <si>
    <t>S1B14C9L10</t>
  </si>
  <si>
    <t>CMR-CHO-EXT-1166</t>
  </si>
  <si>
    <t>S1BCL</t>
  </si>
  <si>
    <t>CMR-CHO-EXT-1167</t>
  </si>
  <si>
    <t>S3B14C12L7</t>
  </si>
  <si>
    <t>CMR-CHO-EXT-1168</t>
  </si>
  <si>
    <t>S2B7C15L2</t>
  </si>
  <si>
    <t>CMR-CHO-EXT-1169</t>
  </si>
  <si>
    <t>CMR-CHO-EXT-1170</t>
  </si>
  <si>
    <t xml:space="preserve">Homeka </t>
  </si>
  <si>
    <t>mora</t>
  </si>
  <si>
    <t xml:space="preserve">Inconnu </t>
  </si>
  <si>
    <t>CMR-CHO-EXT-1171</t>
  </si>
  <si>
    <t>CMR-CHO-EXT-1172</t>
  </si>
  <si>
    <t>CMR-CHO-EXT-1173</t>
  </si>
  <si>
    <t>CMR-CHO-EXT-1174</t>
  </si>
  <si>
    <t>CMR-CHO-EXT-1175</t>
  </si>
  <si>
    <t>CMR-CHO-EXT-1176</t>
  </si>
  <si>
    <t xml:space="preserve">Kangueleri </t>
  </si>
  <si>
    <t>CMR-CHO-EXT-1177</t>
  </si>
  <si>
    <t>CMR-CHO-EXT-1178</t>
  </si>
  <si>
    <t xml:space="preserve">mora </t>
  </si>
  <si>
    <t>CMR-CHO-EXT-1179</t>
  </si>
  <si>
    <t>CMR-CHO-EXT-1180</t>
  </si>
  <si>
    <t>CMR-CHO-EXT-1181</t>
  </si>
  <si>
    <t>CMR-CHO-EXT-1182</t>
  </si>
  <si>
    <t xml:space="preserve">KASSA </t>
  </si>
  <si>
    <t xml:space="preserve">NON </t>
  </si>
  <si>
    <t>CMR-CHO-EXT-1183</t>
  </si>
  <si>
    <t>CMR-CHO-EXT-1184</t>
  </si>
  <si>
    <t>CMR-CHO-EXT-1185</t>
  </si>
  <si>
    <t>CMR-CHO-EXT-1186</t>
  </si>
  <si>
    <t>CMR-CHO-EXT-1187</t>
  </si>
  <si>
    <t>CMR-CHO-EXT-1188</t>
  </si>
  <si>
    <t>CMR-CHO-EXT-1189</t>
  </si>
  <si>
    <t>CMR-CHO-EXT-1190</t>
  </si>
  <si>
    <t>CMR-CHO-EXT-1191</t>
  </si>
  <si>
    <t>CMR-CHO-EXT-1192</t>
  </si>
  <si>
    <t>CMR-CHO-EXT-1193</t>
  </si>
  <si>
    <t>CMR-CHO-EXT-1194</t>
  </si>
  <si>
    <t>CMR-CHO-EXT-1195</t>
  </si>
  <si>
    <t>CMR-CHO-EXT-1196</t>
  </si>
  <si>
    <t>S1B11C12L4</t>
  </si>
  <si>
    <t>CMR-CHO-EXT-1197</t>
  </si>
  <si>
    <t>S3B22C4L9</t>
  </si>
  <si>
    <t>CMR-CHO-EXT-1198</t>
  </si>
  <si>
    <t>S1B8C12L2</t>
  </si>
  <si>
    <t>CMR-CHO-EXT-1199</t>
  </si>
  <si>
    <t>S2B2C1L2</t>
  </si>
  <si>
    <t>CMR-CHO-EXT-1200</t>
  </si>
  <si>
    <t>CMR-CHO-EXT-1201</t>
  </si>
  <si>
    <t>S3B2C3L2</t>
  </si>
  <si>
    <t>CMR-CHO-EXT-1202</t>
  </si>
  <si>
    <t>S1B8C2L2</t>
  </si>
  <si>
    <t>CMR-CHO-EXT-1203</t>
  </si>
  <si>
    <t>S4B10C8L4</t>
  </si>
  <si>
    <t>CMR-CHO-EXT-1204</t>
  </si>
  <si>
    <t>S3B22C12L9</t>
  </si>
  <si>
    <t>CMR-CHO-EXT-1205</t>
  </si>
  <si>
    <t>S2B8C8L77</t>
  </si>
  <si>
    <t>CMR-CHO-EXT-1206</t>
  </si>
  <si>
    <t>CMR-CHO-EXT-1207</t>
  </si>
  <si>
    <t>S2B12C1L4</t>
  </si>
  <si>
    <t>CMR-CHO-EXT-1208</t>
  </si>
  <si>
    <t>DOUALARE</t>
  </si>
  <si>
    <t>MAROUA 2</t>
  </si>
  <si>
    <t>HRM</t>
  </si>
  <si>
    <t>CMR-CHO-EXT-1209</t>
  </si>
  <si>
    <t>CMR-CHO-EXT-1210</t>
  </si>
  <si>
    <t>CMR-CHO-EXT-1211</t>
  </si>
  <si>
    <t>CMR-CHO-EXT-1212</t>
  </si>
  <si>
    <t>GARDOUMBA</t>
  </si>
  <si>
    <t>CMR-CHO-EXT-1213</t>
  </si>
  <si>
    <t>S3B24C12L4</t>
  </si>
  <si>
    <t>CMR-CHO-EXT-1214</t>
  </si>
  <si>
    <t>Mozogo 3</t>
  </si>
  <si>
    <t>Mozogo</t>
  </si>
  <si>
    <t>MOZOGO</t>
  </si>
  <si>
    <t>CMR-CHO-EXT-1215</t>
  </si>
  <si>
    <t>Enseignant</t>
  </si>
  <si>
    <t>CMR-CHO-EXT-1216</t>
  </si>
  <si>
    <t>CMR-CHO-EXT-1217</t>
  </si>
  <si>
    <t>KOLOFATA 1</t>
  </si>
  <si>
    <t>CMR-CHO-EXT-1218</t>
  </si>
  <si>
    <t>CMR-CHO-EXT-1219</t>
  </si>
  <si>
    <t>CMR-CHO-EXT-1220</t>
  </si>
  <si>
    <t>CMR-CHO-EXT-1221</t>
  </si>
  <si>
    <t>CMR-CHO-EXT-1222</t>
  </si>
  <si>
    <t>CMR-CHO-EXT-1223</t>
  </si>
  <si>
    <t>CMR-CHO-EXT-1224</t>
  </si>
  <si>
    <t>CMR-CHO-EXT-1225</t>
  </si>
  <si>
    <t>CMR-CHO-EXT-1226</t>
  </si>
  <si>
    <t>CMR-CHO-EXT-1227</t>
  </si>
  <si>
    <t>CMR-CHO-EXT-1228</t>
  </si>
  <si>
    <t>CMR-CHO-EXT-1229</t>
  </si>
  <si>
    <t>CMR-CHO-EXT-1230</t>
  </si>
  <si>
    <t>CMR-CHO-EXT-1231</t>
  </si>
  <si>
    <t>CMR-CHO-EXT-1232</t>
  </si>
  <si>
    <t>CMR-CHO-EXT-1233</t>
  </si>
  <si>
    <t>CMR-CHO-EXT-1234</t>
  </si>
  <si>
    <t>CMR-CHO-EXT-1235</t>
  </si>
  <si>
    <t>CMR-CHO-EXT-1236</t>
  </si>
  <si>
    <t>CMR-CHO-EXT-1237</t>
  </si>
  <si>
    <t>CMR-CHO-EXT-1238</t>
  </si>
  <si>
    <t>AMCHIDé</t>
  </si>
  <si>
    <t>CMR-CHO-EXT-1239</t>
  </si>
  <si>
    <t>KOLOFATA 25</t>
  </si>
  <si>
    <t>CMR-CHO-EXT-1240</t>
  </si>
  <si>
    <t>KOLOFATA 26</t>
  </si>
  <si>
    <t>CMR-CHO-EXT-1241</t>
  </si>
  <si>
    <t>KOLOFATA 27</t>
  </si>
  <si>
    <t>CMR-CHO-EXT-1242</t>
  </si>
  <si>
    <t>KOLOFATA 28</t>
  </si>
  <si>
    <t>CMR-CHO-EXT-1243</t>
  </si>
  <si>
    <t>CMR-CHO-EXT-1244</t>
  </si>
  <si>
    <t>CMR-CHO-EXT-1245</t>
  </si>
  <si>
    <t>CMR-CHO-EXT-1246</t>
  </si>
  <si>
    <t>CMR-CHO-EXT-1247</t>
  </si>
  <si>
    <t>CMR-CHO-EXT-1248</t>
  </si>
  <si>
    <t>CMR-CHO-EXT-1249</t>
  </si>
  <si>
    <t>CMR-CHO-EXT-1250</t>
  </si>
  <si>
    <t>CMR-CHO-EXT-1251</t>
  </si>
  <si>
    <t>CMR-CHO-EXT-1252</t>
  </si>
  <si>
    <t>CMR-CHO-EXT-1253</t>
  </si>
  <si>
    <t xml:space="preserve">ENFANTS </t>
  </si>
  <si>
    <t xml:space="preserve">TOLKOMARI </t>
  </si>
  <si>
    <t xml:space="preserve">CSI TOLKOMARI </t>
  </si>
  <si>
    <t>CMR-CHO-EXT-1254</t>
  </si>
  <si>
    <t xml:space="preserve">MÉNAGÈRE </t>
  </si>
  <si>
    <t>CMR-CHO-EXT-1255</t>
  </si>
  <si>
    <t xml:space="preserve">SATOMI </t>
  </si>
  <si>
    <t>CMR-CHO-EXT-1256</t>
  </si>
  <si>
    <t>CMR-CHO-EXT-1257</t>
  </si>
  <si>
    <t>CMR-CHO-EXT-1258</t>
  </si>
  <si>
    <t>CMR-CHO-EXT-1259</t>
  </si>
  <si>
    <t xml:space="preserve">CULTIVATEUR </t>
  </si>
  <si>
    <t>CMR-CHO-EXT-1260</t>
  </si>
  <si>
    <t xml:space="preserve">OUI </t>
  </si>
  <si>
    <t>CMR-CHO-EXT-1261</t>
  </si>
  <si>
    <t>CMR-CHO-EXT-1262</t>
  </si>
  <si>
    <t>CMR-CHO-EXT-1263</t>
  </si>
  <si>
    <t>CMR-CHO-EXT-1264</t>
  </si>
  <si>
    <t>CMR-CHO-EXT-1265</t>
  </si>
  <si>
    <t xml:space="preserve">KOLOFATA </t>
  </si>
  <si>
    <t>CMR-CHO-EXT-1266</t>
  </si>
  <si>
    <t>OUi</t>
  </si>
  <si>
    <t>CMR-CHO-EXT-1267</t>
  </si>
  <si>
    <t>CMR-CHO-EXT-1268</t>
  </si>
  <si>
    <t>CMR-CHO-EXT-1269</t>
  </si>
  <si>
    <t>SOUS PREFECTURE</t>
  </si>
  <si>
    <t>CMR-CHO-EXT-1270</t>
  </si>
  <si>
    <t>HAOUSSA1</t>
  </si>
  <si>
    <t>DARA</t>
  </si>
  <si>
    <t>CMR-CHO-EXT-1271</t>
  </si>
  <si>
    <t>MARCHE</t>
  </si>
  <si>
    <t>CMR-CHO-EXT-1272</t>
  </si>
  <si>
    <t>HAOUSSA2</t>
  </si>
  <si>
    <t xml:space="preserve">DARAK </t>
  </si>
  <si>
    <t>CMR-CHO-EXT-1273</t>
  </si>
  <si>
    <t>CMR-CHO-EXT-1274</t>
  </si>
  <si>
    <t>CMR-CHO-EXT-1275</t>
  </si>
  <si>
    <t>CMR-CHO-EXT-1276</t>
  </si>
  <si>
    <t>CMR-CHO-EXT-1277</t>
  </si>
  <si>
    <t>CMR-CHO-EXT-1278</t>
  </si>
  <si>
    <t>CMR-CHO-EXT-1279</t>
  </si>
  <si>
    <t>CMR-CHO-EXT-1280</t>
  </si>
  <si>
    <t>BIAMO 3</t>
  </si>
  <si>
    <t>CMR-CHO-EXT-1281</t>
  </si>
  <si>
    <t>MENAGER</t>
  </si>
  <si>
    <t>CMR-CHO-EXT-1282</t>
  </si>
  <si>
    <t>CMR-CHO-EXT-1283</t>
  </si>
  <si>
    <t>CMR-CHO-EXT-1284</t>
  </si>
  <si>
    <t>CMR-CHO-EXT-1285</t>
  </si>
  <si>
    <t>CMR-CHO-EXT-1286</t>
  </si>
  <si>
    <t>CMR-CHO-EXT-1287</t>
  </si>
  <si>
    <t>ABOUNA ABAICHO</t>
  </si>
  <si>
    <t>CMR-CHO-EXT-1288</t>
  </si>
  <si>
    <t>MAHAMAT ABANA</t>
  </si>
  <si>
    <t>CMR-CHO-EXT-1289</t>
  </si>
  <si>
    <t>CMR-CHO-EXT-1290</t>
  </si>
  <si>
    <t>CMR-CHO-EXT-1291</t>
  </si>
  <si>
    <t>CMR-CHO-EXT-1292</t>
  </si>
  <si>
    <t>BL MAKKA</t>
  </si>
  <si>
    <t>CMR-CHO-EXT-1293</t>
  </si>
  <si>
    <t>CMR-CHO-EXT-1294</t>
  </si>
  <si>
    <t>CMR-CHO-EXT-1295</t>
  </si>
  <si>
    <t>CMR-CHO-EXT-1296</t>
  </si>
  <si>
    <t>CMR-CHO-EXT-1297</t>
  </si>
  <si>
    <t>ABICHO MOUSSA</t>
  </si>
  <si>
    <t>CMR-CHO-EXT-1298</t>
  </si>
  <si>
    <t>CMR-CHO-EXT-1299</t>
  </si>
  <si>
    <t>CMR-CHO-EXT-1300</t>
  </si>
  <si>
    <t>CMR-CHO-EXT-1301</t>
  </si>
  <si>
    <t>CMR-CHO-EXT-1302</t>
  </si>
  <si>
    <t>CMR-CHO-EXT-1303</t>
  </si>
  <si>
    <t>CMR-CHO-EXT-1304</t>
  </si>
  <si>
    <t>CMR-CHO-EXT-1305</t>
  </si>
  <si>
    <t>CMR-CHO-EXT-1306</t>
  </si>
  <si>
    <t>CMR-CHO-EXT-1307</t>
  </si>
  <si>
    <t>CMR-CHO-EXT-1308</t>
  </si>
  <si>
    <t>blama syaka</t>
  </si>
  <si>
    <t xml:space="preserve">DANCHACK </t>
  </si>
  <si>
    <t>CMR-CHO-EXT-1309</t>
  </si>
  <si>
    <t xml:space="preserve">blama Moustapha </t>
  </si>
  <si>
    <t xml:space="preserve">Balma </t>
  </si>
  <si>
    <t>CMR-CHO-EXT-1310</t>
  </si>
  <si>
    <t xml:space="preserve">Ménagère </t>
  </si>
  <si>
    <t xml:space="preserve">MADANA </t>
  </si>
  <si>
    <t xml:space="preserve">KOUSSERI </t>
  </si>
  <si>
    <t xml:space="preserve">CSI MADANA </t>
  </si>
  <si>
    <t>CMR-CHO-EXT-1311</t>
  </si>
  <si>
    <t xml:space="preserve">INCONNU </t>
  </si>
  <si>
    <t>CMR-CHO-EXT-1312</t>
  </si>
  <si>
    <t>CMR-CHO-EXT-1313</t>
  </si>
  <si>
    <t>CMR-CHO-EXT-1314</t>
  </si>
  <si>
    <t>CMR-CHO-EXT-1315</t>
  </si>
  <si>
    <t>MOWOCK</t>
  </si>
  <si>
    <t>N</t>
  </si>
  <si>
    <t>CMR-CHO-EXT-1316</t>
  </si>
  <si>
    <t>Menagère</t>
  </si>
  <si>
    <t>Pourtamai MOFOU</t>
  </si>
  <si>
    <t>Massakal</t>
  </si>
  <si>
    <t>Gazawa</t>
  </si>
  <si>
    <t>CSI Massakal</t>
  </si>
  <si>
    <t>CMR-CHO-EXT-1317</t>
  </si>
  <si>
    <t>Elève</t>
  </si>
  <si>
    <t>CMR-CHO-EXT-1318</t>
  </si>
  <si>
    <t>SP</t>
  </si>
  <si>
    <t>CSI MEFTEK</t>
  </si>
  <si>
    <t>Inconnu</t>
  </si>
  <si>
    <t>CMR-CHO-EXT-1319</t>
  </si>
  <si>
    <t>Ménagère</t>
  </si>
  <si>
    <t>CMR-CHO-EXT-1320</t>
  </si>
  <si>
    <t>Employer du bureau ELECAM</t>
  </si>
  <si>
    <t>CMR-CHO-EXT-1321</t>
  </si>
  <si>
    <t>CMR-CHO-EXT-1322</t>
  </si>
  <si>
    <t>CMR-CHO-EXT-1323</t>
  </si>
  <si>
    <t>CMR-CHO-EXT-1324</t>
  </si>
  <si>
    <t>CMR-CHO-EXT-1325</t>
  </si>
  <si>
    <t>CMR-CHO-EXT-1326</t>
  </si>
  <si>
    <t>CMR-CHO-EXT-1327</t>
  </si>
  <si>
    <t>CMR-CHO-EXT-1328</t>
  </si>
  <si>
    <t>CMR-CHO-EXT-1329</t>
  </si>
  <si>
    <t>CMR-CHO-EXT-1330</t>
  </si>
  <si>
    <t>CMR-CHO-EXT-1331</t>
  </si>
  <si>
    <t>CMR-CHO-EXT-1332</t>
  </si>
  <si>
    <t>CMR-CHO-EXT-1333</t>
  </si>
  <si>
    <t>CMR-CHO-EXT-1334</t>
  </si>
  <si>
    <t>CMR-CHO-EXT-1335</t>
  </si>
  <si>
    <t>CMR-CHO-EXT-1336</t>
  </si>
  <si>
    <t>CMR-CHO-EXT-1337</t>
  </si>
  <si>
    <t>CMR-CHO-EXT-1338</t>
  </si>
  <si>
    <t>CMR-CHO-EXT-1339</t>
  </si>
  <si>
    <t>CMR-CHO-EXT-1340</t>
  </si>
  <si>
    <t>CMR-CHO-EXT-1341</t>
  </si>
  <si>
    <t>NDJABOUNIBA</t>
  </si>
  <si>
    <t>CMR-CHO-EXT-1342</t>
  </si>
  <si>
    <t>POLICIER</t>
  </si>
  <si>
    <t>CMR-CHO-EXT-1343</t>
  </si>
  <si>
    <t>Ganćé</t>
  </si>
  <si>
    <t>CMR-CHO-EXT-1344</t>
  </si>
  <si>
    <t>Bamé</t>
  </si>
  <si>
    <t>CMR-CHO-EXT-1345</t>
  </si>
  <si>
    <t>Guidi</t>
  </si>
  <si>
    <t>CMR-CHO-EXT-1346</t>
  </si>
  <si>
    <t>SERA</t>
  </si>
  <si>
    <t>CMR-CHO-EXT-1347</t>
  </si>
  <si>
    <t>Élève</t>
  </si>
  <si>
    <t>CMR-CHO-EXT-1348</t>
  </si>
  <si>
    <t>CMR-CHO-EXT-1349</t>
  </si>
  <si>
    <t>CMR-CHO-EXT-1350</t>
  </si>
  <si>
    <t>Kolofata-Douane</t>
  </si>
  <si>
    <t>CMR-CHO-EXT-1351</t>
  </si>
  <si>
    <t>K-Douane</t>
  </si>
  <si>
    <t>CMR-CHO-EXT-1352</t>
  </si>
  <si>
    <t>Ndaba</t>
  </si>
  <si>
    <t>CMR-CHO-EXT-1353</t>
  </si>
  <si>
    <t>Douane</t>
  </si>
  <si>
    <t>CMR-CHO-EXT-1354</t>
  </si>
  <si>
    <t>K-Tribune</t>
  </si>
  <si>
    <t>CMR-CHO-EXT-1355</t>
  </si>
  <si>
    <t>Goudi</t>
  </si>
  <si>
    <t>CMR-CHO-EXT-1356</t>
  </si>
  <si>
    <t>CMR-CHO-EXT-1357</t>
  </si>
  <si>
    <t>CMR-CHO-EXT-1358</t>
  </si>
  <si>
    <t>CMR-CHO-EXT-1359</t>
  </si>
  <si>
    <t>CMR-CHO-EXT-1360</t>
  </si>
  <si>
    <t>CMR-CHO-EXT-1361</t>
  </si>
  <si>
    <t>CMR-CHO-EXT-1362</t>
  </si>
  <si>
    <t>CMR-CHO-EXT-1363</t>
  </si>
  <si>
    <t>CMR-CHO-EXT-1364</t>
  </si>
  <si>
    <t>CMR-CHO-EXT-1365</t>
  </si>
  <si>
    <t>CMR-CHO-EXT-1366</t>
  </si>
  <si>
    <t>CMR-CHO-EXT-1367</t>
  </si>
  <si>
    <t>CMR-CHO-EXT-1368</t>
  </si>
  <si>
    <t>CMR-CHO-EXT-1369</t>
  </si>
  <si>
    <t>CMR-CHO-EXT-1370</t>
  </si>
  <si>
    <t>CMR-CHO-EXT-1371</t>
  </si>
  <si>
    <t>CMR-CHO-EXT-1372</t>
  </si>
  <si>
    <t>CMR-CHO-EXT-1373</t>
  </si>
  <si>
    <t>Kolofata Latin</t>
  </si>
  <si>
    <t>CMR-CHO-EXT-1374</t>
  </si>
  <si>
    <t>Kolofata Lahin</t>
  </si>
  <si>
    <t>CMR-CHO-EXT-1375</t>
  </si>
  <si>
    <t>Kolofata Guidi</t>
  </si>
  <si>
    <t>CMR-CHO-EXT-1376</t>
  </si>
  <si>
    <t>CMR-CHO-EXT-1377</t>
  </si>
  <si>
    <t>CMR-CHO-EXT-1378</t>
  </si>
  <si>
    <t>Tribune</t>
  </si>
  <si>
    <t>CMR-CHO-EXT-1379</t>
  </si>
  <si>
    <t>CMR-CHO-EXT-1380</t>
  </si>
  <si>
    <t>CMR-CHO-EXT-1381</t>
  </si>
  <si>
    <t>CMR-CHO-EXT-1382</t>
  </si>
  <si>
    <t>CMR-CHO-EXT-1383</t>
  </si>
  <si>
    <t>CMR-CHO-EXT-1384</t>
  </si>
  <si>
    <t>Kolofata Douane</t>
  </si>
  <si>
    <t>CMR-CHO-EXT-1385</t>
  </si>
  <si>
    <t>Kolofata Ndaba</t>
  </si>
  <si>
    <t>CMR-CHO-EXT-1386</t>
  </si>
  <si>
    <t>CMR-CHO-EXT-1387</t>
  </si>
  <si>
    <t>Kolofata</t>
  </si>
  <si>
    <t>CMR-CHO-EXT-1388</t>
  </si>
  <si>
    <t>MANGALME</t>
  </si>
  <si>
    <t>CMR-CHO-EXT-1389</t>
  </si>
  <si>
    <t>CMR-CHO-EXT-1390</t>
  </si>
  <si>
    <t>CMR-CHO-EXT-1391</t>
  </si>
  <si>
    <t>NGOUMATI</t>
  </si>
  <si>
    <t>CMR-CHO-EXT-1392</t>
  </si>
  <si>
    <t>CMR-CHO-EXT-1393</t>
  </si>
  <si>
    <t>ABOUNUA ABAICHO</t>
  </si>
  <si>
    <t>CMR-CHO-EXT-1394</t>
  </si>
  <si>
    <t>CMR-CHO-EXT-1395</t>
  </si>
  <si>
    <t>CMR-CHO-EXT-1396</t>
  </si>
  <si>
    <t>CMR-CHO-EXT-1397</t>
  </si>
  <si>
    <t>CMR-CHO-EXT-1398</t>
  </si>
  <si>
    <t>CMR-CHO-EXT-1399</t>
  </si>
  <si>
    <t>CMR-CHO-EXT-1400</t>
  </si>
  <si>
    <t>CMR-CHO-EXT-1401</t>
  </si>
  <si>
    <t>CMR-CHO-EXT-1402</t>
  </si>
  <si>
    <t>MAGALA DJOURGOUL</t>
  </si>
  <si>
    <t>CMR-CHO-EXT-1403</t>
  </si>
  <si>
    <t>MAYEL IBBE</t>
  </si>
  <si>
    <t>LOPERE 1</t>
  </si>
  <si>
    <t>BAMARE</t>
  </si>
  <si>
    <t>CMR-CHO-EXT-1404</t>
  </si>
  <si>
    <t>CMR-CHO-EXT-1405</t>
  </si>
  <si>
    <t>CMR-CHO-EXT-1406</t>
  </si>
  <si>
    <t>CMR-CHO-EXT-1407</t>
  </si>
  <si>
    <t>FOUNANGUE</t>
  </si>
  <si>
    <t>LOPERE 2</t>
  </si>
  <si>
    <t>CMR-CHO-EXT-1408</t>
  </si>
  <si>
    <t>ZOKOK</t>
  </si>
  <si>
    <t>CSI ZOKOK</t>
  </si>
  <si>
    <t>CMR-CHO-EXT-1409</t>
  </si>
  <si>
    <t>KODEK</t>
  </si>
  <si>
    <t>CMR-CHO-EXT-1410</t>
  </si>
  <si>
    <t>DEBROUILLARD</t>
  </si>
  <si>
    <t>LOPERE</t>
  </si>
  <si>
    <t>MAROUA II</t>
  </si>
  <si>
    <t>CMR-CHO-EXT-1411</t>
  </si>
  <si>
    <t>DJOUDANDOU</t>
  </si>
  <si>
    <t>CMR-CHO-EXT-1412</t>
  </si>
  <si>
    <t>CMR-CHO-EXT-1413</t>
  </si>
  <si>
    <t>CMR-CHO-EXT-1414</t>
  </si>
  <si>
    <t>CMR-CHO-EXT-1415</t>
  </si>
  <si>
    <t xml:space="preserve">DOUALARE </t>
  </si>
  <si>
    <t>CMA DOUALARE</t>
  </si>
  <si>
    <t>CMR-CHO-EXT-1416</t>
  </si>
  <si>
    <t xml:space="preserve">CMA DOUALARE </t>
  </si>
  <si>
    <t>CMR-CHO-EXT-1417</t>
  </si>
  <si>
    <t>CMR-CHO-EXT-1418</t>
  </si>
  <si>
    <t>MAL YAOUBA</t>
  </si>
  <si>
    <t>CMR-CHO-EXT-1419</t>
  </si>
  <si>
    <t>CMR-CHO-EXT-1420</t>
  </si>
  <si>
    <t>WALDE SARKI</t>
  </si>
  <si>
    <t>CMR-CHO-EXT-1421</t>
  </si>
  <si>
    <t>CMR-CHO-EXT-1422</t>
  </si>
  <si>
    <t>CMR-CHO-EXT-1423</t>
  </si>
  <si>
    <t>CMR-CHO-EXT-1424</t>
  </si>
  <si>
    <t xml:space="preserve">BAPPAGNO </t>
  </si>
  <si>
    <t>CMR-CHO-EXT-1425</t>
  </si>
  <si>
    <t>CMR-CHO-EXT-1426</t>
  </si>
  <si>
    <t>CMR-CHO-EXT-1427</t>
  </si>
  <si>
    <t>CMR-CHO-EXT-1428</t>
  </si>
  <si>
    <t>Louguéo</t>
  </si>
  <si>
    <t>lopéré</t>
  </si>
  <si>
    <t>Maroua 2</t>
  </si>
  <si>
    <t>founangué</t>
  </si>
  <si>
    <t>CMA FOUNANGUE</t>
  </si>
  <si>
    <t>CMR-CHO-EXT-1429</t>
  </si>
  <si>
    <t>CMR-CHO-EXT-1430</t>
  </si>
  <si>
    <t>CMR-CHO-EXT-1431</t>
  </si>
  <si>
    <t>MAROUA I</t>
  </si>
  <si>
    <t>CMR-CHO-EXT-1432</t>
  </si>
  <si>
    <t>DOMAYO</t>
  </si>
  <si>
    <t>CMR-CHO-EXT-1433</t>
  </si>
  <si>
    <t>CMR-CHO-EXT-1434</t>
  </si>
  <si>
    <t>CMR-CHO-EXT-1435</t>
  </si>
  <si>
    <t>CMR-CHO-EXT-1436</t>
  </si>
  <si>
    <t>DIGUIRWO</t>
  </si>
  <si>
    <t>CMR-CHO-EXT-1437</t>
  </si>
  <si>
    <t>KAKATARE/LOUGUEO</t>
  </si>
  <si>
    <t>CMR-CHO-EXT-1438</t>
  </si>
  <si>
    <t>CMR-CHO-EXT-1439</t>
  </si>
  <si>
    <t>CMR-CHO-EXT-1440</t>
  </si>
  <si>
    <t>MOTOTAXIMAN</t>
  </si>
  <si>
    <t>CMR-CHO-EXT-1441</t>
  </si>
  <si>
    <t xml:space="preserve">Kodek </t>
  </si>
  <si>
    <t xml:space="preserve">MAROUA 3 </t>
  </si>
  <si>
    <t>kodek</t>
  </si>
  <si>
    <t>Djarengol kodek</t>
  </si>
  <si>
    <t>CMR-CHO-EXT-1442</t>
  </si>
  <si>
    <t>MAROUA-2</t>
  </si>
  <si>
    <t>DJARENGOL KODEK</t>
  </si>
  <si>
    <t>CSPP DJARENGOL KODEK</t>
  </si>
  <si>
    <t>CMR-CHO-EXT-1443</t>
  </si>
  <si>
    <t>CMR-CHO-EXT-1444</t>
  </si>
  <si>
    <t>KODEK GUIZIGARE</t>
  </si>
  <si>
    <t>CMA KODEK</t>
  </si>
  <si>
    <t>MAROUA-3</t>
  </si>
  <si>
    <t>CMR-CHO-EXT-1445</t>
  </si>
  <si>
    <t>DJALINGO</t>
  </si>
  <si>
    <t>DJAENGOL KODEK</t>
  </si>
  <si>
    <t>CMR-CHO-EXT-1446</t>
  </si>
  <si>
    <t>IBBA</t>
  </si>
  <si>
    <t>BALAZA</t>
  </si>
  <si>
    <t>CMR-CHO-EXT-1447</t>
  </si>
  <si>
    <t>CMR-CHO-EXT-1448</t>
  </si>
  <si>
    <t>CMR-CHO-EXT-1449</t>
  </si>
  <si>
    <t>S2B18C11L16</t>
  </si>
  <si>
    <t>CMR-CHO-EXT-1450</t>
  </si>
  <si>
    <t>S4B8C7L2</t>
  </si>
  <si>
    <t>CMR-CHO-EXT-1451</t>
  </si>
  <si>
    <t>S3B3C2L12</t>
  </si>
  <si>
    <t>CMR-CHO-EXT-1452</t>
  </si>
  <si>
    <t>S3B15C7L9</t>
  </si>
  <si>
    <t>CMR-CHO-EXT-1453</t>
  </si>
  <si>
    <t>S3B24C10L9</t>
  </si>
  <si>
    <t>CMR-CHO-EXT-1454</t>
  </si>
  <si>
    <t>S1B14C9L11</t>
  </si>
  <si>
    <t>CMR-CHO-EXT-1455</t>
  </si>
  <si>
    <t>S3B12C24L4</t>
  </si>
  <si>
    <t>CMR-CHO-EXT-1456</t>
  </si>
  <si>
    <t>CMR-CHO-EXT-1457</t>
  </si>
  <si>
    <t>S3B4C8L11</t>
  </si>
  <si>
    <t>CMR-CHO-EXT-1458</t>
  </si>
  <si>
    <t>S3B8C7L7</t>
  </si>
  <si>
    <t>CMR-CHO-EXT-1459</t>
  </si>
  <si>
    <t>CMR-CHO-EXT-1460</t>
  </si>
  <si>
    <t>CMR-CHO-EXT-1461</t>
  </si>
  <si>
    <t>HODANGO</t>
  </si>
  <si>
    <t>CMR-CHO-EXT-1462</t>
  </si>
  <si>
    <t>S2B17C19L1</t>
  </si>
  <si>
    <t>CMR-CHO-EXT-1463</t>
  </si>
  <si>
    <t>S1B11C12L1</t>
  </si>
  <si>
    <t>CMR-CHO-EXT-1464</t>
  </si>
  <si>
    <t>CMR-CHO-EXT-1465</t>
  </si>
  <si>
    <t>S2B11C11L11</t>
  </si>
  <si>
    <t>CMR-CHO-EXT-1466</t>
  </si>
  <si>
    <t>CMR-CHO-EXT-1467</t>
  </si>
  <si>
    <t>CMR-CHO-EXT-1468</t>
  </si>
  <si>
    <t>KANGALERI</t>
  </si>
  <si>
    <t>BOUNDERI</t>
  </si>
  <si>
    <t>CMR-CHO-EXT-1469</t>
  </si>
  <si>
    <t>DJABIA</t>
  </si>
  <si>
    <t>CMR-CHO-EXT-1470</t>
  </si>
  <si>
    <t>CMR-CHO-EXT-1471</t>
  </si>
  <si>
    <t>CMR-CHO-EXT-1472</t>
  </si>
  <si>
    <t>CMR-CHO-EXT-1473</t>
  </si>
  <si>
    <t>CMR-CHO-EXT-1474</t>
  </si>
  <si>
    <t>CMR-CHO-EXT-1475</t>
  </si>
  <si>
    <t>CMR-CHO-EXT-1476</t>
  </si>
  <si>
    <t>CMR-CHO-EXT-1477</t>
  </si>
  <si>
    <t>CMR-CHO-EXT-1478</t>
  </si>
  <si>
    <t>CMR-CHO-EXT-1479</t>
  </si>
  <si>
    <t>CMR-CHO-EXT-1480</t>
  </si>
  <si>
    <t>CMR-CHO-EXT-1481</t>
  </si>
  <si>
    <t>CMR-CHO-EXT-1482</t>
  </si>
  <si>
    <t>AÏSSA-VAME</t>
  </si>
  <si>
    <t>CMR-CHO-EXT-1483</t>
  </si>
  <si>
    <t>AISSA MISSION</t>
  </si>
  <si>
    <t>CMR-CHO-EXT-1484</t>
  </si>
  <si>
    <t>CMR-CHO-EXT-1485</t>
  </si>
  <si>
    <t>CMR-CHO-EXT-1486</t>
  </si>
  <si>
    <t>CMR-CHO-EXT-1487</t>
  </si>
  <si>
    <t>CMR-CHO-EXT-1488</t>
  </si>
  <si>
    <t>CMR-CHO-EXT-1489</t>
  </si>
  <si>
    <t>CMR-CHO-EXT-1490</t>
  </si>
  <si>
    <t>CEFMA</t>
  </si>
  <si>
    <t>CMR-CHO-EXT-1491</t>
  </si>
  <si>
    <t>CMR-CHO-EXT-1492</t>
  </si>
  <si>
    <t>CMR-CHO-EXT-1493</t>
  </si>
  <si>
    <t>KIRDI MORA</t>
  </si>
  <si>
    <t>CMR-CHO-EXT-1494</t>
  </si>
  <si>
    <t xml:space="preserve">HD MORA </t>
  </si>
  <si>
    <t>CMR-CHO-EXT-1495</t>
  </si>
  <si>
    <t>CMR-CHO-EXT-1496</t>
  </si>
  <si>
    <t>CMR-CHO-EXT-1497</t>
  </si>
  <si>
    <t>CMR-CHO-EXT-1498</t>
  </si>
  <si>
    <t>CMR-CHO-EXT-1499</t>
  </si>
  <si>
    <t>ETUDIANT</t>
  </si>
  <si>
    <t>C. Protestant</t>
  </si>
  <si>
    <t>CMR-CHO-EXT-1500</t>
  </si>
  <si>
    <t>O. DOLE</t>
  </si>
  <si>
    <t>CMR-CHO-EXT-1501</t>
  </si>
  <si>
    <t>CMR-CHO-EXT-1502</t>
  </si>
  <si>
    <t>CMR-CHO-EXT-1503</t>
  </si>
  <si>
    <t>CMR-CHO-EXT-1504</t>
  </si>
  <si>
    <t xml:space="preserve">csi de bounderi </t>
  </si>
  <si>
    <t>CMR-CHO-EXT-1505</t>
  </si>
  <si>
    <t>CMR-CHO-EXT-1506</t>
  </si>
  <si>
    <t>CMR-CHO-EXT-1507</t>
  </si>
  <si>
    <t>CMR-CHO-EXT-1508</t>
  </si>
  <si>
    <t xml:space="preserve">MAKOULAHE </t>
  </si>
  <si>
    <t>PODOKO - NORD</t>
  </si>
  <si>
    <t xml:space="preserve">MORA </t>
  </si>
  <si>
    <t xml:space="preserve">GODIGONG </t>
  </si>
  <si>
    <t xml:space="preserve">CSPP Godigong </t>
  </si>
  <si>
    <t>CMR-CHO-EXT-1509</t>
  </si>
  <si>
    <t>CMR-CHO-EXT-1510</t>
  </si>
  <si>
    <t>CMR-CHO-EXT-1511</t>
  </si>
  <si>
    <t>CMR-CHO-EXT-1512</t>
  </si>
  <si>
    <t>CMR-CHO-EXT-1513</t>
  </si>
  <si>
    <t>CMR-CHO-EXT-1514</t>
  </si>
  <si>
    <t>CMR-CHO-EXT-1515</t>
  </si>
  <si>
    <t>CMR-CHO-EXT-1516</t>
  </si>
  <si>
    <t>CMR-CHO-EXT-1517</t>
  </si>
  <si>
    <t>CMR-CHO-EXT-1518</t>
  </si>
  <si>
    <t>CMR-CHO-EXT-1519</t>
  </si>
  <si>
    <t>Koumewol MOFOU</t>
  </si>
  <si>
    <t>CMR-CHO-EXT-1520</t>
  </si>
  <si>
    <t>CMR-CHO-EXT-1521</t>
  </si>
  <si>
    <t>?EG</t>
  </si>
  <si>
    <t>CMR-CHO-EXT-1522</t>
  </si>
  <si>
    <t>CMR-CHO-EXT-1523</t>
  </si>
  <si>
    <t>CMR-CHO-EXT-1524</t>
  </si>
  <si>
    <t>CMR-CHO-EXT-1525</t>
  </si>
  <si>
    <t>CMR-CHO-EXT-1526</t>
  </si>
  <si>
    <t>CMR-CHO-EXT-1527</t>
  </si>
  <si>
    <t>CMR-CHO-EXT-1528</t>
  </si>
  <si>
    <t>CMR-CHO-EXT-1529</t>
  </si>
  <si>
    <t>CMR-CHO-EXT-1530</t>
  </si>
  <si>
    <t>S4B11C2L6</t>
  </si>
  <si>
    <t>CMR-CHO-EXT-1531</t>
  </si>
  <si>
    <t>CMR-CHO-EXT-1532</t>
  </si>
  <si>
    <t>CMR-CHO-EXT-1533</t>
  </si>
  <si>
    <t>S3B9C7L1</t>
  </si>
  <si>
    <t>CMR-CHO-EXT-1534</t>
  </si>
  <si>
    <t>S1B6C5L1</t>
  </si>
  <si>
    <t>CMR-CHO-EXT-1535</t>
  </si>
  <si>
    <t>S4B17C3L5</t>
  </si>
  <si>
    <t>CMR-CHO-EXT-1536</t>
  </si>
  <si>
    <t>CMR-CHO-EXT-1537</t>
  </si>
  <si>
    <t>CMR-CHO-EXT-1538</t>
  </si>
  <si>
    <t>CMR-CHO-EXT-1539</t>
  </si>
  <si>
    <t>CMR-CHO-EXT-1540</t>
  </si>
  <si>
    <t>CMR-CHO-EXT-1541</t>
  </si>
  <si>
    <t>CMR-CHO-EXT-1542</t>
  </si>
  <si>
    <t>S2B5C13L5</t>
  </si>
  <si>
    <t>CMR-CHO-EXT-1543</t>
  </si>
  <si>
    <t>S4B20C4L7</t>
  </si>
  <si>
    <t>CMR-CHO-EXT-1544</t>
  </si>
  <si>
    <t>CMR-CHO-EXT-1545</t>
  </si>
  <si>
    <t>S2B11C19L15</t>
  </si>
  <si>
    <t>CMR-CHO-EXT-1546</t>
  </si>
  <si>
    <t>S4B22C1L12</t>
  </si>
  <si>
    <t>CMR-CHO-EXT-1547</t>
  </si>
  <si>
    <t>S3B18C12L7</t>
  </si>
  <si>
    <t>CMR-CHO-EXT-1548</t>
  </si>
  <si>
    <t>S3B18C12L1</t>
  </si>
  <si>
    <t>CMR-CHO-EXT-1549</t>
  </si>
  <si>
    <t>S2B11C19L5</t>
  </si>
  <si>
    <t>CMR-CHO-EXT-1550</t>
  </si>
  <si>
    <t>S2B9C8L8</t>
  </si>
  <si>
    <t>CMR-CHO-EXT-1551</t>
  </si>
  <si>
    <t>S2B11C11L3</t>
  </si>
  <si>
    <t>CMR-CHO-EXT-1552</t>
  </si>
  <si>
    <t>S2B11C19L9</t>
  </si>
  <si>
    <t>CMR-CHO-EXT-1553</t>
  </si>
  <si>
    <t>S2B12C16L17</t>
  </si>
  <si>
    <t>CMR-CHO-EXT-1554</t>
  </si>
  <si>
    <t>S2B11C15L1</t>
  </si>
  <si>
    <t>CMR-CHO-EXT-1555</t>
  </si>
  <si>
    <t>S2B12C16L1</t>
  </si>
  <si>
    <t>CMR-CHO-EXT-1556</t>
  </si>
  <si>
    <t>S2B8C1L4</t>
  </si>
  <si>
    <t>CMR-CHO-EXT-1557</t>
  </si>
  <si>
    <t>KONGOLA</t>
  </si>
  <si>
    <t>CMR-CHO-EXT-1558</t>
  </si>
  <si>
    <t>POSTIF</t>
  </si>
  <si>
    <t>CMR-CHO-EXT-1559</t>
  </si>
  <si>
    <t>OURO LOPE</t>
  </si>
  <si>
    <t>CMR-CHO-EXT-1560</t>
  </si>
  <si>
    <t>LOUGA</t>
  </si>
  <si>
    <t>CMR-CHO-EXT-1561</t>
  </si>
  <si>
    <t>CMR-CHO-EXT-1562</t>
  </si>
  <si>
    <t>CMR-CHO-EXT-1563</t>
  </si>
  <si>
    <t>GAZAWA</t>
  </si>
  <si>
    <t>CMR-CHO-EXT-1564</t>
  </si>
  <si>
    <t>CMR-CHO-EXT-1565</t>
  </si>
  <si>
    <t>CMR-CHO-EXT-1566</t>
  </si>
  <si>
    <t>POSITF</t>
  </si>
  <si>
    <t>CMR-CHO-EXT-1567</t>
  </si>
  <si>
    <t>DJAORO</t>
  </si>
  <si>
    <t>CMR-CHO-EXT-1568</t>
  </si>
  <si>
    <t>FASSAO</t>
  </si>
  <si>
    <t>CMR-CHO-EXT-1569</t>
  </si>
  <si>
    <t>CMR-CHO-EXT-1570</t>
  </si>
  <si>
    <t>CMR-CHO-EXT-1571</t>
  </si>
  <si>
    <t>MAROUARE MOUFOU</t>
  </si>
  <si>
    <t>CMR-CHO-EXT-1572</t>
  </si>
  <si>
    <t>CMR-CHO-EXT-1573</t>
  </si>
  <si>
    <t>CMR-CHO-EXT-1574</t>
  </si>
  <si>
    <t>ARTISANAT</t>
  </si>
  <si>
    <t>CMR-CHO-EXT-1575</t>
  </si>
  <si>
    <t>CMR-CHO-EXT-1576</t>
  </si>
  <si>
    <t>MASSINIKA</t>
  </si>
  <si>
    <t>CMR-CHO-EXT-1577</t>
  </si>
  <si>
    <t xml:space="preserve">SOUS MANGUIER </t>
  </si>
  <si>
    <t>CMR-CHO-EXT-1578</t>
  </si>
  <si>
    <t>CMR-CHO-EXT-1579</t>
  </si>
  <si>
    <t>CMR-CHO-EXT-1580</t>
  </si>
  <si>
    <t>CMR-CHO-EXT-1581</t>
  </si>
  <si>
    <t>CMR-CHO-EXT-1582</t>
  </si>
  <si>
    <t>CMR-CHO-EXT-1583</t>
  </si>
  <si>
    <t>MOYO LIBI</t>
  </si>
  <si>
    <t>CMR-CHO-EXT-1584</t>
  </si>
  <si>
    <t>DOUBOUWANTA</t>
  </si>
  <si>
    <t>BOUDOUM</t>
  </si>
  <si>
    <t>CMR-CHO-EXT-1585</t>
  </si>
  <si>
    <t>CMR-CHO-EXT-1586</t>
  </si>
  <si>
    <t>CMR-CHO-EXT-1587</t>
  </si>
  <si>
    <t>CMR-CHO-EXT-1588</t>
  </si>
  <si>
    <t>S2B11C18L16</t>
  </si>
  <si>
    <t>CMR-CHO-EXT-1589</t>
  </si>
  <si>
    <t>GAWAR OURO LAWAN</t>
  </si>
  <si>
    <t>CMR-CHO-EXT-1590</t>
  </si>
  <si>
    <t>CMR-CHO-EXT-1591</t>
  </si>
  <si>
    <t>S3B18C9L6</t>
  </si>
  <si>
    <t>CMR-CHO-EXT-1592</t>
  </si>
  <si>
    <t>S2B11C19L18</t>
  </si>
  <si>
    <t>CMR-CHO-EXT-1593</t>
  </si>
  <si>
    <t>S2B12C18L10</t>
  </si>
  <si>
    <t>CMR-CHO-EXT-1594</t>
  </si>
  <si>
    <t>S3B9C8L4</t>
  </si>
  <si>
    <t>CMR-CHO-EXT-1595</t>
  </si>
  <si>
    <t>S3B18C8L5</t>
  </si>
  <si>
    <t>CMR-CHO-EXT-1596</t>
  </si>
  <si>
    <t>S2B13C12L5</t>
  </si>
  <si>
    <t>CMR-CHO-EXT-1597</t>
  </si>
  <si>
    <t>S2B11C9L2</t>
  </si>
  <si>
    <t>CMR-CHO-EXT-1598</t>
  </si>
  <si>
    <t>S3B19C6L4</t>
  </si>
  <si>
    <t>CMR-CHO-EXT-1599</t>
  </si>
  <si>
    <t>S2B12C15L1</t>
  </si>
  <si>
    <t>CMR-CHO-EXT-1600</t>
  </si>
  <si>
    <t>S2B11C13L18</t>
  </si>
  <si>
    <t>CMR-CHO-EXT-1601</t>
  </si>
  <si>
    <t>S2B11C2L1</t>
  </si>
  <si>
    <t>CMR-CHO-EXT-1602</t>
  </si>
  <si>
    <t>CMR-CHO-EXT-1603</t>
  </si>
  <si>
    <t>S2B12C5L17</t>
  </si>
  <si>
    <t>CMR-CHO-EXT-1604</t>
  </si>
  <si>
    <t>S2B8C4LL4</t>
  </si>
  <si>
    <t>CMR-CHO-EXT-1605</t>
  </si>
  <si>
    <t>S2B12C16L4</t>
  </si>
  <si>
    <t>CMR-CHO-EXT-1606</t>
  </si>
  <si>
    <t>CMR-CHO-EXT-1607</t>
  </si>
  <si>
    <t>S2B18C10L19</t>
  </si>
  <si>
    <t>CMR-CHO-EXT-1608</t>
  </si>
  <si>
    <t>CMR-CHO-EXT-1609</t>
  </si>
  <si>
    <t>S2B12C15L17</t>
  </si>
  <si>
    <t>CMR-CHO-EXT-1610</t>
  </si>
  <si>
    <t>S2B14C1L8</t>
  </si>
  <si>
    <t>CMR-CHO-EXT-1611</t>
  </si>
  <si>
    <t>S3B21C3L1</t>
  </si>
  <si>
    <t>CMR-CHO-EXT-1612</t>
  </si>
  <si>
    <t>S2B19C13L17</t>
  </si>
  <si>
    <t>CMR-CHO-EXT-1613</t>
  </si>
  <si>
    <t>S2B11C3L6</t>
  </si>
  <si>
    <t>CMR-CHO-EXT-1614</t>
  </si>
  <si>
    <t>S3B2C17L11</t>
  </si>
  <si>
    <t>CMR-CHO-EXT-1615</t>
  </si>
  <si>
    <t>S4B6C7L3</t>
  </si>
  <si>
    <t>CMR-CHO-EXT-1616</t>
  </si>
  <si>
    <t>S3B3C15L4</t>
  </si>
  <si>
    <t>CMR-CHO-EXT-1617</t>
  </si>
  <si>
    <t>S2B19C15L2</t>
  </si>
  <si>
    <t>CMR-CHO-EXT-1618</t>
  </si>
  <si>
    <t>S3B20C11L10</t>
  </si>
  <si>
    <t>CMR-CHO-EXT-1619</t>
  </si>
  <si>
    <t>S4B5C7L5</t>
  </si>
  <si>
    <t>CMR-CHO-EXT-1620</t>
  </si>
  <si>
    <t>S2B14C2L10</t>
  </si>
  <si>
    <t>CMR-CHO-EXT-1621</t>
  </si>
  <si>
    <t>S3B26C9L6</t>
  </si>
  <si>
    <t>CMR-CHO-EXT-1622</t>
  </si>
  <si>
    <t>Founangué aoudi</t>
  </si>
  <si>
    <t>Founangué</t>
  </si>
  <si>
    <t>CMR-CHO-EXT-1623</t>
  </si>
  <si>
    <t>KAKATARE</t>
  </si>
  <si>
    <t>CMR-CHO-EXT-1624</t>
  </si>
  <si>
    <t xml:space="preserve">DJOUDANDOU </t>
  </si>
  <si>
    <t>CMR-CHO-EXT-1625</t>
  </si>
  <si>
    <t>MAROUARE 2</t>
  </si>
  <si>
    <t>CMR-CHO-EXT-1626</t>
  </si>
  <si>
    <t xml:space="preserve">Mayel Ibbe </t>
  </si>
  <si>
    <t xml:space="preserve">Doualare </t>
  </si>
  <si>
    <t xml:space="preserve">Maroua 2 </t>
  </si>
  <si>
    <t xml:space="preserve">Lopere 1 </t>
  </si>
  <si>
    <t>C</t>
  </si>
  <si>
    <t>CMR-CHO-EXT-1627</t>
  </si>
  <si>
    <t>CMR-CHO-EXT-1628</t>
  </si>
  <si>
    <t>CMR-CHO-EXT-1629</t>
  </si>
  <si>
    <t>Doualare</t>
  </si>
  <si>
    <t>CMR-CHO-EXT-1630</t>
  </si>
  <si>
    <t xml:space="preserve">Laide </t>
  </si>
  <si>
    <t>B</t>
  </si>
  <si>
    <t>CMR-CHO-EXT-1631</t>
  </si>
  <si>
    <t>CMR-CHO-EXT-1632</t>
  </si>
  <si>
    <t>CMR-CHO-EXT-1633</t>
  </si>
  <si>
    <t>CMR-CHO-EXT-1634</t>
  </si>
  <si>
    <t>/</t>
  </si>
  <si>
    <t>CMR-CHO-EXT-1635</t>
  </si>
  <si>
    <t>CMR-CHO-EXT-1636</t>
  </si>
  <si>
    <t>POUSSEUR</t>
  </si>
  <si>
    <t>CMR-CHO-EXT-1637</t>
  </si>
  <si>
    <t>CMR-CHO-EXT-1638</t>
  </si>
  <si>
    <t>CMR-CHO-EXT-1639</t>
  </si>
  <si>
    <t>CMR-CHO-EXT-1640</t>
  </si>
  <si>
    <t xml:space="preserve">MAROUARE MOUFOU </t>
  </si>
  <si>
    <t>CMR-CHO-EXT-1641</t>
  </si>
  <si>
    <t>CMR-CHO-EXT-1642</t>
  </si>
  <si>
    <t>LAINDE</t>
  </si>
  <si>
    <t>CMR-CHO-EXT-1643</t>
  </si>
  <si>
    <t>L</t>
  </si>
  <si>
    <t>LOUGUEO</t>
  </si>
  <si>
    <t>CMR-CHO-EXT-1644</t>
  </si>
  <si>
    <t>AS DOUGOI</t>
  </si>
  <si>
    <t>N0N</t>
  </si>
  <si>
    <t>CMR-CHO-EXT-1645</t>
  </si>
  <si>
    <t>DJARENGOL ALIOUM</t>
  </si>
  <si>
    <t>AS DJARENGOL-KODEK</t>
  </si>
  <si>
    <t>CSPP DJARENGOL-KODEK</t>
  </si>
  <si>
    <t>CMR-CHO-EXT-1646</t>
  </si>
  <si>
    <t>BALAM</t>
  </si>
  <si>
    <t>AS BIRIO</t>
  </si>
  <si>
    <t>CMR-CHO-EXT-1647</t>
  </si>
  <si>
    <t>LOUGGUEO</t>
  </si>
  <si>
    <t>CMR-CHO-EXT-1648</t>
  </si>
  <si>
    <t>CMR-CHO-EXT-1649</t>
  </si>
  <si>
    <t>CMR-CHO-EXT-1650</t>
  </si>
  <si>
    <t>CMR-CHO-EXT-1651</t>
  </si>
  <si>
    <t>CMR-CHO-EXT-1652</t>
  </si>
  <si>
    <t>DOURSOUNGO</t>
  </si>
  <si>
    <t>CMR-CHO-EXT-1653</t>
  </si>
  <si>
    <t>AS DOUALARE</t>
  </si>
  <si>
    <t>CMR-CHO-EXT-1654</t>
  </si>
  <si>
    <t>BOUCHER</t>
  </si>
  <si>
    <t>AS KODEK</t>
  </si>
  <si>
    <t>CMR-CHO-EXT-1655</t>
  </si>
  <si>
    <t xml:space="preserve">Maroua 3 </t>
  </si>
  <si>
    <t>CMR-CHO-EXT-1656</t>
  </si>
  <si>
    <t>CMR-CHO-EXT-1657</t>
  </si>
  <si>
    <t>CMR-CHO-EXT-1658</t>
  </si>
  <si>
    <t>CMR-CHO-EXT-1659</t>
  </si>
  <si>
    <t>CMR-CHO-EXT-1660</t>
  </si>
  <si>
    <t>CMR-CHO-EXT-1661</t>
  </si>
  <si>
    <t>CMR-CHO-EXT-1662</t>
  </si>
  <si>
    <t>CMR-CHO-EXT-1663</t>
  </si>
  <si>
    <t>BOUKAR</t>
  </si>
  <si>
    <t>GOURA THINGORI</t>
  </si>
  <si>
    <t>CMR-CHO-EXT-1664</t>
  </si>
  <si>
    <t>CMR-CHO-EXT-1665</t>
  </si>
  <si>
    <t>CMR-CHO-EXT-1666</t>
  </si>
  <si>
    <t>CMR-CHO-EXT-1667</t>
  </si>
  <si>
    <t>GRELIE</t>
  </si>
  <si>
    <t>CMR-CHO-EXT-1668</t>
  </si>
  <si>
    <t>CMR-CHO-EXT-1669</t>
  </si>
  <si>
    <t>CMR-CHO-EXT-1670</t>
  </si>
  <si>
    <t>CMR-CHO-EXT-1671</t>
  </si>
  <si>
    <t>CMR-CHO-EXT-1672</t>
  </si>
  <si>
    <t>BI1MO 1</t>
  </si>
  <si>
    <t>CMR-CHO-EXT-1673</t>
  </si>
  <si>
    <t>CMR-CHO-EXT-1674</t>
  </si>
  <si>
    <t>CMR-CHO-EXT-1675</t>
  </si>
  <si>
    <t>CMR-CHO-EXT-1676</t>
  </si>
  <si>
    <t>CMR-CHO-EXT-1677</t>
  </si>
  <si>
    <t>CMR-CHO-EXT-1678</t>
  </si>
  <si>
    <t>CMR-CHO-EXT-1679</t>
  </si>
  <si>
    <t>CMR-CHO-EXT-1680</t>
  </si>
  <si>
    <t>CMR-CHO-EXT-1681</t>
  </si>
  <si>
    <t>Kolofata Tribune</t>
  </si>
  <si>
    <t>CMR-CHO-EXT-1682</t>
  </si>
  <si>
    <t>CMR-CHO-EXT-1683</t>
  </si>
  <si>
    <t>CMR-CHO-EXT-1684</t>
  </si>
  <si>
    <t>CMR-CHO-EXT-1685</t>
  </si>
  <si>
    <t>CMR-CHO-EXT-1686</t>
  </si>
  <si>
    <t>Kolofata Bame</t>
  </si>
  <si>
    <t>CMR-CHO-EXT-1687</t>
  </si>
  <si>
    <t>CMR-CHO-EXT-1688</t>
  </si>
  <si>
    <t>Broware</t>
  </si>
  <si>
    <t>CMR-CHO-EXT-1689</t>
  </si>
  <si>
    <t>CMR-CHO-EXT-1690</t>
  </si>
  <si>
    <t>CMR-CHO-EXT-1691</t>
  </si>
  <si>
    <t>CMR-CHO-EXT-1692</t>
  </si>
  <si>
    <t>CMR-CHO-EXT-1693</t>
  </si>
  <si>
    <t>CMR-CHO-EXT-1694</t>
  </si>
  <si>
    <t>CMR-CHO-EXT-1695</t>
  </si>
  <si>
    <t>CMR-CHO-EXT-1696</t>
  </si>
  <si>
    <t>CMR-CHO-EXT-1697</t>
  </si>
  <si>
    <t>CMR-CHO-EXT-1698</t>
  </si>
  <si>
    <t>CMR-CHO-EXT-1699</t>
  </si>
  <si>
    <t>CMR-CHO-EXT-1700</t>
  </si>
  <si>
    <t>CMR-CHO-EXT-1701</t>
  </si>
  <si>
    <t>CMR-CHO-EXT-1702</t>
  </si>
  <si>
    <t>CMR-CHO-EXT-1703</t>
  </si>
  <si>
    <t>CMR-CHO-EXT-1704</t>
  </si>
  <si>
    <t>CMR-CHO-EXT-1705</t>
  </si>
  <si>
    <t>CMR-CHO-EXT-1706</t>
  </si>
  <si>
    <t>CMR-CHO-EXT-1707</t>
  </si>
  <si>
    <t>CMR-CHO-EXT-1708</t>
  </si>
  <si>
    <t>CMR-CHO-EXT-1709</t>
  </si>
  <si>
    <t>CMR-CHO-EXT-1710</t>
  </si>
  <si>
    <t>Kolofata NDABA</t>
  </si>
  <si>
    <t>CMR-CHO-EXT-1711</t>
  </si>
  <si>
    <t>Gance</t>
  </si>
  <si>
    <t>CMR-CHO-EXT-1712</t>
  </si>
  <si>
    <t>CMR-CHO-EXT-1713</t>
  </si>
  <si>
    <t>CMR-CHO-EXT-1714</t>
  </si>
  <si>
    <t>CMR-CHO-EXT-1715</t>
  </si>
  <si>
    <t>CMR-CHO-EXT-1716</t>
  </si>
  <si>
    <t>CMR-CHO-EXT-1717</t>
  </si>
  <si>
    <t>CMR-CHO-EXT-1718</t>
  </si>
  <si>
    <t>CMR-CHO-EXT-1719</t>
  </si>
  <si>
    <t>kol. Guidi</t>
  </si>
  <si>
    <t>CMR-CHO-EXT-1720</t>
  </si>
  <si>
    <t>Camp Ndaba</t>
  </si>
  <si>
    <t>CMR-CHO-EXT-1721</t>
  </si>
  <si>
    <t>CMR-CHO-EXT-1722</t>
  </si>
  <si>
    <t>CMR-CHO-EXT-1723</t>
  </si>
  <si>
    <t>Kolo-Bouri</t>
  </si>
  <si>
    <t>CMR-CHO-EXT-1724</t>
  </si>
  <si>
    <t>Kolo-Tribune</t>
  </si>
  <si>
    <t>CMR-CHO-EXT-1725</t>
  </si>
  <si>
    <t>CMR-CHO-EXT-1726</t>
  </si>
  <si>
    <t>CMR-CHO-EXT-1727</t>
  </si>
  <si>
    <t>Kolo-latin</t>
  </si>
  <si>
    <t>CMR-CHO-EXT-1728</t>
  </si>
  <si>
    <t>Adulte</t>
  </si>
  <si>
    <t>Kol Ndaba</t>
  </si>
  <si>
    <t>CMR-CHO-EXT-1729</t>
  </si>
  <si>
    <t>CMR-CHO-EXT-1730</t>
  </si>
  <si>
    <t>CMR-CHO-EXT-1731</t>
  </si>
  <si>
    <t>CMR-CHO-EXT-1732</t>
  </si>
  <si>
    <t>CMR-CHO-EXT-1733</t>
  </si>
  <si>
    <t>CMR-CHO-EXT-1734</t>
  </si>
  <si>
    <t>CMR-CHO-EXT-1735</t>
  </si>
  <si>
    <t>CMR-CHO-EXT-1736</t>
  </si>
  <si>
    <t>CMR-CHO-EXT-1737</t>
  </si>
  <si>
    <t>Guidi-</t>
  </si>
  <si>
    <t>CMR-CHO-EXT-1738</t>
  </si>
  <si>
    <t>CMR-CHO-EXT-1739</t>
  </si>
  <si>
    <t>CMR-CHO-EXT-1740</t>
  </si>
  <si>
    <t>Guidis</t>
  </si>
  <si>
    <t>CMR-CHO-EXT-1741</t>
  </si>
  <si>
    <t>Latin</t>
  </si>
  <si>
    <t>CMR-CHO-EXT-1742</t>
  </si>
  <si>
    <t>CMR-CHO-EXT-1743</t>
  </si>
  <si>
    <t>CMR-CHO-EXT-1744</t>
  </si>
  <si>
    <t>CMR-CHO-EXT-1745</t>
  </si>
  <si>
    <t>CMR-CHO-EXT-1746</t>
  </si>
  <si>
    <t>CMR-CHO-EXT-1747</t>
  </si>
  <si>
    <t>CMR-CHO-EXT-1748</t>
  </si>
  <si>
    <t>CMR-CHO-EXT-1749</t>
  </si>
  <si>
    <t>CMR-CHO-EXT-1750</t>
  </si>
  <si>
    <t>CMR-CHO-EXT-1751</t>
  </si>
  <si>
    <t>CMR-CHO-EXT-1752</t>
  </si>
  <si>
    <t>CMR-CHO-EXT-1753</t>
  </si>
  <si>
    <t>CMR-CHO-EXT-1754</t>
  </si>
  <si>
    <t>CMR-CHO-EXT-1755</t>
  </si>
  <si>
    <t>CMR-CHO-EXT-1756</t>
  </si>
  <si>
    <t>NDABA</t>
  </si>
  <si>
    <t>CMR-CHO-EXT-1757</t>
  </si>
  <si>
    <t>CMR-CHO-EXT-1758</t>
  </si>
  <si>
    <t>CMR-CHO-EXT-1759</t>
  </si>
  <si>
    <t>CMR-CHO-EXT-1760</t>
  </si>
  <si>
    <t>CMR-CHO-EXT-1761</t>
  </si>
  <si>
    <t>BaME</t>
  </si>
  <si>
    <t>CMR-CHO-EXT-1762</t>
  </si>
  <si>
    <t>CMR-CHO-EXT-1763</t>
  </si>
  <si>
    <t>CMR-CHO-EXT-1764</t>
  </si>
  <si>
    <t>Gancé</t>
  </si>
  <si>
    <t>CMR-CHO-EXT-1765</t>
  </si>
  <si>
    <t>CMR-CHO-EXT-1766</t>
  </si>
  <si>
    <t>CMR-CHO-EXT-1767</t>
  </si>
  <si>
    <t>CMR-CHO-EXT-1768</t>
  </si>
  <si>
    <t>CMR-CHO-EXT-1769</t>
  </si>
  <si>
    <t>CMR-CHO-EXT-1770</t>
  </si>
  <si>
    <t>CMR-CHO-EXT-1771</t>
  </si>
  <si>
    <t>CMR-CHO-EXT-1772</t>
  </si>
  <si>
    <t>CMR-CHO-EXT-1773</t>
  </si>
  <si>
    <t>CMR-CHO-EXT-1774</t>
  </si>
  <si>
    <t>CMR-CHO-EXT-1775</t>
  </si>
  <si>
    <t>CMR-CHO-EXT-1776</t>
  </si>
  <si>
    <t>CMR-CHO-EXT-1777</t>
  </si>
  <si>
    <t>CMR-CHO-EXT-1778</t>
  </si>
  <si>
    <t>Kolo Tribune</t>
  </si>
  <si>
    <t>CMR-CHO-EXT-1779</t>
  </si>
  <si>
    <t>CMR-CHO-EXT-1780</t>
  </si>
  <si>
    <t>CMR-CHO-EXT-1781</t>
  </si>
  <si>
    <t>Cultivateur / Transport</t>
  </si>
  <si>
    <t>K-Ndaba</t>
  </si>
  <si>
    <t>CMR-CHO-EXT-1782</t>
  </si>
  <si>
    <t>CMR-CHO-EXT-1783</t>
  </si>
  <si>
    <t>CMR-CHO-EXT-1784</t>
  </si>
  <si>
    <t>CMR-CHO-EXT-1785</t>
  </si>
  <si>
    <t>CMR-CHO-EXT-1786</t>
  </si>
  <si>
    <t>CMR-CHO-EXT-1787</t>
  </si>
  <si>
    <t>CMR-CHO-EXT-1788</t>
  </si>
  <si>
    <t>CMR-CHO-EXT-1789</t>
  </si>
  <si>
    <t>CMR-CHO-EXT-1790</t>
  </si>
  <si>
    <t>Ko-Tribune</t>
  </si>
  <si>
    <t>CMR-CHO-EXT-1791</t>
  </si>
  <si>
    <t>CMR-CHO-EXT-1792</t>
  </si>
  <si>
    <t>CMR-CHO-EXT-1793</t>
  </si>
  <si>
    <t>CMR-CHO-EXT-1794</t>
  </si>
  <si>
    <t>Ko-tribune</t>
  </si>
  <si>
    <t>CMR-CHO-EXT-1795</t>
  </si>
  <si>
    <t>CMR-CHO-EXT-1796</t>
  </si>
  <si>
    <t>Apt (Adulte)</t>
  </si>
  <si>
    <t>CMR-CHO-EXT-1797</t>
  </si>
  <si>
    <t>CMR-CHO-EXT-1798</t>
  </si>
  <si>
    <t>CMR-CHO-EXT-1799</t>
  </si>
  <si>
    <t>Lelade</t>
  </si>
  <si>
    <t>CMR-CHO-EXT-1800</t>
  </si>
  <si>
    <t>Ndabba</t>
  </si>
  <si>
    <t>CMR-CHO-EXT-1801</t>
  </si>
  <si>
    <t>CMR-CHO-EXT-1802</t>
  </si>
  <si>
    <t>Apt</t>
  </si>
  <si>
    <t>Camp Kordo</t>
  </si>
  <si>
    <t>CMR-CHO-EXT-1803</t>
  </si>
  <si>
    <t>CMR-CHO-EXT-1804</t>
  </si>
  <si>
    <t>CMR-CHO-EXT-1805</t>
  </si>
  <si>
    <t>Kordo</t>
  </si>
  <si>
    <t>CMR-CHO-EXT-1806</t>
  </si>
  <si>
    <t>CMR-CHO-EXT-1807</t>
  </si>
  <si>
    <t>CMR-CHO-EXT-1808</t>
  </si>
  <si>
    <t>Gance BIA</t>
  </si>
  <si>
    <t>CMR-CHO-EXT-1809</t>
  </si>
  <si>
    <t>CMR-CHO-EXT-1810</t>
  </si>
  <si>
    <t>CMR-CHO-EXT-1811</t>
  </si>
  <si>
    <t xml:space="preserve"> Tribune</t>
  </si>
  <si>
    <t>CMR-CHO-EXT-1812</t>
  </si>
  <si>
    <t>Madagascara</t>
  </si>
  <si>
    <t>CMR-CHO-EXT-1813</t>
  </si>
  <si>
    <t xml:space="preserve"> Campement</t>
  </si>
  <si>
    <t>CMR-CHO-EXT-1814</t>
  </si>
  <si>
    <t>CMR-CHO-EXT-1815</t>
  </si>
  <si>
    <t>Bani Mbanari</t>
  </si>
  <si>
    <t>CMR-CHO-EXT-1816</t>
  </si>
  <si>
    <t>CMR-CHO-EXT-1817</t>
  </si>
  <si>
    <t>Cheripouri</t>
  </si>
  <si>
    <t>CMR-CHO-EXT-1818</t>
  </si>
  <si>
    <t>CMR-CHO-EXT-1819</t>
  </si>
  <si>
    <t>CSI BOUNDERI</t>
  </si>
  <si>
    <t>CMR-CHO-EXT-1820</t>
  </si>
  <si>
    <t>CMR-CHO-EXT-1821</t>
  </si>
  <si>
    <t>CMR-CHO-EXT-1822</t>
  </si>
  <si>
    <t>CMR-CHO-EXT-1823</t>
  </si>
  <si>
    <t>CMR-CHO-EXT-1824</t>
  </si>
  <si>
    <t>CMR-CHO-EXT-1825</t>
  </si>
  <si>
    <t>CMR-CHO-EXT-1826</t>
  </si>
  <si>
    <t>CMR-CHO-EXT-1827</t>
  </si>
  <si>
    <t>CMR-CHO-EXT-1828</t>
  </si>
  <si>
    <t>CMR-CHO-EXT-1829</t>
  </si>
  <si>
    <t>CMR-CHO-EXT-1830</t>
  </si>
  <si>
    <t>Magdeme IDP</t>
  </si>
  <si>
    <t>CMR-CHO-EXT-1831</t>
  </si>
  <si>
    <t>CMR-CHO-EXT-1832</t>
  </si>
  <si>
    <t>DOUBLE IDP</t>
  </si>
  <si>
    <t>CMR-CHO-EXT-1833</t>
  </si>
  <si>
    <t>CMR-CHO-EXT-1834</t>
  </si>
  <si>
    <t>Berger</t>
  </si>
  <si>
    <t>Tchakarmari IDP</t>
  </si>
  <si>
    <t>CMR-CHO-EXT-1835</t>
  </si>
  <si>
    <t>CMR-CHO-EXT-1836</t>
  </si>
  <si>
    <t>WALADE</t>
  </si>
  <si>
    <t>CMR-CHO-EXT-1837</t>
  </si>
  <si>
    <t>GALBI</t>
  </si>
  <si>
    <t>CMR-CHO-EXT-1838</t>
  </si>
  <si>
    <t>SCHULZENTRUM</t>
  </si>
  <si>
    <t>CMR-CHO-EXT-1839</t>
  </si>
  <si>
    <t>AMTCHALI</t>
  </si>
  <si>
    <t>OU</t>
  </si>
  <si>
    <t>CMR-CHO-EXT-1840</t>
  </si>
  <si>
    <t>CMR-CHO-EXT-1841</t>
  </si>
  <si>
    <t>CMR-CHO-EXT-1842</t>
  </si>
  <si>
    <t>CMR-CHO-EXT-1843</t>
  </si>
  <si>
    <t>CMR-CHO-EXT-1844</t>
  </si>
  <si>
    <t>CMR-CHO-EXT-1845</t>
  </si>
  <si>
    <t>CMR-CHO-EXT-1846</t>
  </si>
  <si>
    <t>CMR-CHO-EXT-1847</t>
  </si>
  <si>
    <t xml:space="preserve">homeka 
homeka </t>
  </si>
  <si>
    <t>CMR-CHO-EXT-1848</t>
  </si>
  <si>
    <t>CMR-CHO-EXT-1849</t>
  </si>
  <si>
    <t>CMR-CHO-EXT-1850</t>
  </si>
  <si>
    <t>CMR-CHO-EXT-1851</t>
  </si>
  <si>
    <t>CMR-CHO-EXT-1852</t>
  </si>
  <si>
    <t>CMR-CHO-EXT-1853</t>
  </si>
  <si>
    <t>CMR-CHO-EXT-1854</t>
  </si>
  <si>
    <t xml:space="preserve">KOURGUI </t>
  </si>
  <si>
    <t>CMR-CHO-EXT-1855</t>
  </si>
  <si>
    <t>CMR-CHO-EXT-1856</t>
  </si>
  <si>
    <t xml:space="preserve">AMTCHALI </t>
  </si>
  <si>
    <t>CMR-CHO-EXT-1857</t>
  </si>
  <si>
    <t>Inc</t>
  </si>
  <si>
    <t>CMR-CHO-EXT-1858</t>
  </si>
  <si>
    <t>Talla KOLA</t>
  </si>
  <si>
    <t>CMR-CHO-EXT-1859</t>
  </si>
  <si>
    <t>Baba Simon</t>
  </si>
  <si>
    <t>CMR-CHO-EXT-1860</t>
  </si>
  <si>
    <t>O DOLE</t>
  </si>
  <si>
    <t>CMR-CHO-EXT-1861</t>
  </si>
  <si>
    <t>CMR-CHO-EXT-1862</t>
  </si>
  <si>
    <t>CMR-CHO-EXT-1863</t>
  </si>
  <si>
    <t>CMR-CHO-EXT-1864</t>
  </si>
  <si>
    <t>CMR-CHO-EXT-1865</t>
  </si>
  <si>
    <t>CMR-CHO-EXT-1866</t>
  </si>
  <si>
    <t>CMR-CHO-EXT-1867</t>
  </si>
  <si>
    <t>KOUGUI</t>
  </si>
  <si>
    <t>CMR-CHO-EXT-1868</t>
  </si>
  <si>
    <t>BOURDALA</t>
  </si>
  <si>
    <t>CMR-CHO-EXT-1869</t>
  </si>
  <si>
    <t>GUEBEDE</t>
  </si>
  <si>
    <t>DJOUNDE</t>
  </si>
  <si>
    <t>MEME</t>
  </si>
  <si>
    <t>CSI MEME</t>
  </si>
  <si>
    <t>CMR-CHO-EXT-1870</t>
  </si>
  <si>
    <t>CMR-CHO-EXT-1871</t>
  </si>
  <si>
    <t>Camp Père</t>
  </si>
  <si>
    <t>CMR-CHO-EXT-1872</t>
  </si>
  <si>
    <t>DOUDOU BOUBA</t>
  </si>
  <si>
    <t>Camp chinois</t>
  </si>
  <si>
    <t>Kollere</t>
  </si>
  <si>
    <t>Garoua 1</t>
  </si>
  <si>
    <t>Contact</t>
  </si>
  <si>
    <t>risk factors/ Source d'eau (OUI, NON, INCONNU)</t>
  </si>
  <si>
    <t>risk factors/usage des latrines (Toilettes) (OUI, NON, INCONNU)</t>
  </si>
  <si>
    <t>risk factors/Nombre de personnes dans le ménage</t>
  </si>
  <si>
    <t>risk factors/Notion de voyage (OUI, NON, INCONNU)</t>
  </si>
  <si>
    <t>DS_origine</t>
  </si>
  <si>
    <t>AS_origine</t>
  </si>
  <si>
    <t>case status
1 = active case;
2 = case recovered;
3 = case dead</t>
  </si>
  <si>
    <t>case status
1 = actif
2 = sorti</t>
  </si>
  <si>
    <t>FORAGE</t>
  </si>
  <si>
    <t xml:space="preserve">OUI / NON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</si>
</sst>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;@"/>
    <numFmt numFmtId="165" formatCode="dd/mm/yy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9"/>
      <name val="Arial"/>
      <family val="2"/>
    </font>
    <font>
      <sz val="11"/>
      <color theme="1"/>
      <name val="Aptos Narrow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 wrapText="1"/>
    </xf>
    <xf numFmtId="1" fontId="2" fillId="2" borderId="0" xfId="0" applyNumberFormat="1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top" wrapText="1"/>
    </xf>
    <xf numFmtId="14" fontId="1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14" fontId="4" fillId="3" borderId="0" xfId="0" applyNumberFormat="1" applyFont="1" applyFill="1" applyAlignment="1">
      <alignment horizontal="right" vertical="top"/>
    </xf>
    <xf numFmtId="14" fontId="0" fillId="0" borderId="0" xfId="0" applyNumberFormat="1" applyAlignment="1">
      <alignment horizontal="right" vertical="top"/>
    </xf>
    <xf numFmtId="14" fontId="4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vertical="top"/>
    </xf>
    <xf numFmtId="0" fontId="2" fillId="0" borderId="0" xfId="0" applyFont="1"/>
    <xf numFmtId="0" fontId="1" fillId="2" borderId="1" xfId="0" applyFont="1" applyFill="1" applyBorder="1" applyAlignment="1">
      <alignment vertical="top" wrapText="1"/>
    </xf>
    <xf numFmtId="0" fontId="2" fillId="4" borderId="0" xfId="0" applyFont="1" applyFill="1"/>
    <xf numFmtId="0" fontId="1" fillId="5" borderId="1" xfId="0" applyFont="1" applyFill="1" applyBorder="1" applyAlignment="1">
      <alignment vertical="top"/>
    </xf>
    <xf numFmtId="0" fontId="2" fillId="0" borderId="0" xfId="0" applyFont="1" applyAlignment="1">
      <alignment vertical="center"/>
    </xf>
    <xf numFmtId="0" fontId="1" fillId="5" borderId="0" xfId="0" applyFont="1" applyFill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URVEILLANCE/PRESENTATION%20SIMR/cholera/LL_cholera_national%20290224.xlsx" TargetMode="External"/><Relationship Id="rId2" Type="http://schemas.openxmlformats.org/officeDocument/2006/relationships/externalLinkPath" Target="file:///C:\Users\manuella\Desktop\SDLEP%202026\SURVEILLANCE\PRESENTATION%20SIMR\cholera\LL_cholera_national%20290224.xlsx" TargetMode="External"/><Relationship Id="rId1" Type="http://schemas.openxmlformats.org/officeDocument/2006/relationships/externalLinkPath" Target="/Users/manuella/Desktop/SDLEP%202026/SURVEILLANCE/PRESENTATION%20SIMR/cholera/LL_cholera_national%20290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L"/>
      <sheetName val="LL_LABO"/>
      <sheetName val="Synthese"/>
      <sheetName val="Sheet1"/>
      <sheetName val="Sheet2"/>
      <sheetName val="POP"/>
      <sheetName val="Epicurve"/>
      <sheetName val="Age_sex"/>
      <sheetName val="Deshydratation"/>
      <sheetName val="Statut VAcc"/>
      <sheetName val="prison YDE"/>
      <sheetName val="Tombel"/>
      <sheetName val="prison DOUL"/>
      <sheetName val="Deces"/>
      <sheetName val="Courbe reg"/>
      <sheetName val="Prévalance"/>
    </sheetNames>
    <sheetDataSet>
      <sheetData sheetId="0"/>
      <sheetData sheetId="1"/>
      <sheetData sheetId="2"/>
      <sheetData sheetId="3"/>
      <sheetData sheetId="4"/>
      <sheetData sheetId="5">
        <row r="1">
          <cell r="F1" t="str">
            <v>DS de notification</v>
          </cell>
          <cell r="G1" t="str">
            <v>Région</v>
          </cell>
          <cell r="H1" t="str">
            <v>Age</v>
          </cell>
          <cell r="I1" t="str">
            <v>Sexe</v>
          </cell>
          <cell r="J1" t="str">
            <v>Résultat</v>
          </cell>
        </row>
        <row r="2">
          <cell r="F2" t="str">
            <v xml:space="preserve">Sangmelima </v>
          </cell>
          <cell r="G2" t="str">
            <v>Sud</v>
          </cell>
          <cell r="H2">
            <v>23</v>
          </cell>
          <cell r="I2" t="str">
            <v>M</v>
          </cell>
          <cell r="J2" t="str">
            <v xml:space="preserve">Positif </v>
          </cell>
        </row>
        <row r="3">
          <cell r="F3" t="str">
            <v>LIMBE</v>
          </cell>
          <cell r="G3" t="str">
            <v>Sud-Ouest</v>
          </cell>
          <cell r="H3">
            <v>20</v>
          </cell>
          <cell r="I3" t="str">
            <v>F</v>
          </cell>
          <cell r="J3" t="str">
            <v>POSITIF</v>
          </cell>
        </row>
        <row r="4">
          <cell r="F4" t="str">
            <v>NEW_BELL</v>
          </cell>
          <cell r="G4" t="str">
            <v>Littoral</v>
          </cell>
          <cell r="H4">
            <v>23</v>
          </cell>
          <cell r="I4" t="str">
            <v>M</v>
          </cell>
          <cell r="J4" t="str">
            <v>POSITIF</v>
          </cell>
        </row>
        <row r="5">
          <cell r="F5" t="str">
            <v>BOKO</v>
          </cell>
          <cell r="G5" t="str">
            <v>Littoral</v>
          </cell>
          <cell r="H5">
            <v>21</v>
          </cell>
          <cell r="I5" t="str">
            <v>M</v>
          </cell>
          <cell r="J5" t="str">
            <v>POSITIF</v>
          </cell>
        </row>
        <row r="6">
          <cell r="F6" t="str">
            <v>NEW_BELL</v>
          </cell>
          <cell r="G6" t="str">
            <v>Littoral</v>
          </cell>
          <cell r="H6">
            <v>34</v>
          </cell>
          <cell r="I6" t="str">
            <v>M</v>
          </cell>
          <cell r="J6" t="str">
            <v>POSITIF</v>
          </cell>
        </row>
        <row r="7">
          <cell r="F7" t="str">
            <v>CITE_DES_PALMIERS</v>
          </cell>
          <cell r="G7" t="str">
            <v>Littoral</v>
          </cell>
          <cell r="H7">
            <v>22</v>
          </cell>
          <cell r="I7" t="str">
            <v>M</v>
          </cell>
          <cell r="J7" t="str">
            <v>POSITIF</v>
          </cell>
        </row>
        <row r="8">
          <cell r="F8" t="str">
            <v>DEIDO</v>
          </cell>
          <cell r="G8" t="str">
            <v>LITTORAL</v>
          </cell>
          <cell r="H8">
            <v>20</v>
          </cell>
          <cell r="I8" t="str">
            <v>M</v>
          </cell>
          <cell r="J8" t="str">
            <v>POSITIF</v>
          </cell>
        </row>
        <row r="9">
          <cell r="F9" t="str">
            <v>PITOA</v>
          </cell>
          <cell r="G9" t="str">
            <v>Nord</v>
          </cell>
          <cell r="H9">
            <v>19</v>
          </cell>
          <cell r="I9" t="str">
            <v>M</v>
          </cell>
          <cell r="J9" t="str">
            <v>POSITIF</v>
          </cell>
        </row>
        <row r="10">
          <cell r="F10" t="str">
            <v>NEW_BELL</v>
          </cell>
          <cell r="G10" t="str">
            <v>LITTORAL</v>
          </cell>
          <cell r="H10">
            <v>18</v>
          </cell>
          <cell r="I10" t="str">
            <v>F</v>
          </cell>
          <cell r="J10" t="str">
            <v>POSITIF</v>
          </cell>
        </row>
        <row r="11">
          <cell r="F11" t="str">
            <v>NYLON</v>
          </cell>
          <cell r="G11" t="str">
            <v>Littoral</v>
          </cell>
          <cell r="H11">
            <v>35</v>
          </cell>
          <cell r="I11" t="str">
            <v>M</v>
          </cell>
          <cell r="J11" t="str">
            <v>POSITIF</v>
          </cell>
        </row>
        <row r="12">
          <cell r="F12" t="str">
            <v>PITOA</v>
          </cell>
          <cell r="G12" t="str">
            <v>Nord</v>
          </cell>
          <cell r="H12">
            <v>3</v>
          </cell>
          <cell r="I12" t="str">
            <v>M</v>
          </cell>
          <cell r="J12" t="str">
            <v>POSITIF</v>
          </cell>
        </row>
        <row r="13">
          <cell r="F13" t="str">
            <v>CITE_DES_PALMIERS</v>
          </cell>
          <cell r="G13" t="str">
            <v>Littoral</v>
          </cell>
          <cell r="H13">
            <v>20</v>
          </cell>
          <cell r="I13" t="str">
            <v>M</v>
          </cell>
          <cell r="J13" t="str">
            <v>POSITIF</v>
          </cell>
        </row>
        <row r="14">
          <cell r="F14" t="str">
            <v>LIMBE</v>
          </cell>
          <cell r="G14" t="str">
            <v>Sud-Ouest</v>
          </cell>
          <cell r="H14">
            <v>43</v>
          </cell>
          <cell r="I14" t="str">
            <v>M</v>
          </cell>
          <cell r="J14" t="str">
            <v>POSITIF</v>
          </cell>
        </row>
        <row r="15">
          <cell r="F15" t="str">
            <v>LIMBE</v>
          </cell>
          <cell r="G15" t="str">
            <v>Sud-Ouest</v>
          </cell>
          <cell r="H15">
            <v>23</v>
          </cell>
          <cell r="I15" t="str">
            <v>F</v>
          </cell>
          <cell r="J15" t="str">
            <v>POSITIF</v>
          </cell>
        </row>
        <row r="16">
          <cell r="F16" t="str">
            <v>LIMBE</v>
          </cell>
          <cell r="G16" t="str">
            <v>Sud-Ouest</v>
          </cell>
          <cell r="H16">
            <v>22</v>
          </cell>
          <cell r="I16" t="str">
            <v>M</v>
          </cell>
          <cell r="J16" t="str">
            <v>POSITIF</v>
          </cell>
        </row>
        <row r="17">
          <cell r="F17" t="str">
            <v>BUEA</v>
          </cell>
          <cell r="G17" t="str">
            <v>Sud-Ouest</v>
          </cell>
          <cell r="H17">
            <v>45</v>
          </cell>
          <cell r="I17" t="str">
            <v>F</v>
          </cell>
          <cell r="J17" t="str">
            <v>POSITIF</v>
          </cell>
        </row>
        <row r="18">
          <cell r="F18" t="str">
            <v>LIMBE</v>
          </cell>
          <cell r="G18" t="str">
            <v>Sud-Ouest</v>
          </cell>
          <cell r="H18">
            <v>16</v>
          </cell>
          <cell r="I18" t="str">
            <v>M</v>
          </cell>
          <cell r="J18" t="str">
            <v>POSITIF</v>
          </cell>
        </row>
        <row r="19">
          <cell r="F19" t="str">
            <v>LIMBE</v>
          </cell>
          <cell r="G19" t="str">
            <v>Sud-Ouest</v>
          </cell>
          <cell r="H19">
            <v>30</v>
          </cell>
          <cell r="I19" t="str">
            <v>F</v>
          </cell>
          <cell r="J19" t="str">
            <v>POSITIF</v>
          </cell>
        </row>
        <row r="20">
          <cell r="F20" t="str">
            <v>LIMBE</v>
          </cell>
          <cell r="G20" t="str">
            <v>Sud-Ouest</v>
          </cell>
          <cell r="H20">
            <v>45</v>
          </cell>
          <cell r="I20" t="str">
            <v>F</v>
          </cell>
          <cell r="J20" t="str">
            <v>POSITIF</v>
          </cell>
        </row>
        <row r="21">
          <cell r="F21" t="str">
            <v>Bakassi</v>
          </cell>
          <cell r="G21" t="str">
            <v>Sud-Ouest</v>
          </cell>
          <cell r="H21">
            <v>2</v>
          </cell>
          <cell r="I21" t="str">
            <v>F</v>
          </cell>
          <cell r="J21" t="str">
            <v>POSITIF</v>
          </cell>
        </row>
        <row r="22">
          <cell r="F22" t="str">
            <v>LIMBE</v>
          </cell>
          <cell r="G22" t="str">
            <v>Sud-Ouest</v>
          </cell>
          <cell r="H22">
            <v>30</v>
          </cell>
          <cell r="I22" t="str">
            <v>F</v>
          </cell>
          <cell r="J22" t="str">
            <v>POSITIF</v>
          </cell>
        </row>
        <row r="23">
          <cell r="F23" t="str">
            <v>BUEA</v>
          </cell>
          <cell r="G23" t="str">
            <v>Sud-Ouest</v>
          </cell>
          <cell r="H23">
            <v>4</v>
          </cell>
          <cell r="I23" t="str">
            <v>M</v>
          </cell>
          <cell r="J23" t="str">
            <v>POSITIF</v>
          </cell>
        </row>
        <row r="24">
          <cell r="F24" t="str">
            <v xml:space="preserve">Tiko </v>
          </cell>
          <cell r="G24" t="str">
            <v>Sud-Ouest</v>
          </cell>
          <cell r="H24">
            <v>9</v>
          </cell>
          <cell r="I24" t="str">
            <v>M</v>
          </cell>
          <cell r="J24" t="str">
            <v>POSITIF</v>
          </cell>
        </row>
        <row r="25">
          <cell r="F25" t="str">
            <v>NEW_BELL</v>
          </cell>
          <cell r="G25" t="str">
            <v>LITTORAL</v>
          </cell>
          <cell r="I25" t="str">
            <v>M</v>
          </cell>
          <cell r="J25" t="str">
            <v>POSITIF</v>
          </cell>
        </row>
        <row r="26">
          <cell r="F26" t="str">
            <v>NEW_BELL</v>
          </cell>
          <cell r="G26" t="str">
            <v>Littoral</v>
          </cell>
          <cell r="H26">
            <v>23</v>
          </cell>
          <cell r="I26" t="str">
            <v>M</v>
          </cell>
          <cell r="J26" t="str">
            <v>POSITIF</v>
          </cell>
        </row>
        <row r="27">
          <cell r="F27" t="str">
            <v>LIMBE</v>
          </cell>
          <cell r="G27" t="str">
            <v>Sud-Ouest</v>
          </cell>
          <cell r="H27">
            <v>13</v>
          </cell>
          <cell r="I27" t="str">
            <v>M</v>
          </cell>
          <cell r="J27" t="str">
            <v>POSITIF</v>
          </cell>
        </row>
        <row r="28">
          <cell r="F28" t="str">
            <v>DEIDO</v>
          </cell>
          <cell r="G28" t="str">
            <v>LITTORAL</v>
          </cell>
          <cell r="H28">
            <v>23</v>
          </cell>
          <cell r="I28" t="str">
            <v>M</v>
          </cell>
          <cell r="J28" t="str">
            <v>POSITIF</v>
          </cell>
        </row>
        <row r="29">
          <cell r="F29" t="str">
            <v>BOKO</v>
          </cell>
          <cell r="G29" t="str">
            <v>Littoral</v>
          </cell>
          <cell r="H29">
            <v>1.7</v>
          </cell>
          <cell r="I29" t="str">
            <v>M</v>
          </cell>
          <cell r="J29" t="str">
            <v>POSITIF</v>
          </cell>
        </row>
        <row r="30">
          <cell r="F30" t="str">
            <v>Bakassi</v>
          </cell>
          <cell r="G30" t="str">
            <v>Sud-Ouest</v>
          </cell>
          <cell r="H30">
            <v>35</v>
          </cell>
          <cell r="I30" t="str">
            <v>M</v>
          </cell>
          <cell r="J30" t="str">
            <v>POSITIF</v>
          </cell>
        </row>
        <row r="31">
          <cell r="F31" t="str">
            <v xml:space="preserve">Tiko </v>
          </cell>
          <cell r="G31" t="str">
            <v>Sud-Ouest</v>
          </cell>
          <cell r="H31">
            <v>17</v>
          </cell>
          <cell r="I31" t="str">
            <v>M</v>
          </cell>
          <cell r="J31" t="str">
            <v>POSITIF</v>
          </cell>
        </row>
        <row r="32">
          <cell r="F32" t="str">
            <v>MOKOLO</v>
          </cell>
          <cell r="G32" t="str">
            <v>Extreme-Nord</v>
          </cell>
          <cell r="H32">
            <v>7</v>
          </cell>
          <cell r="I32" t="str">
            <v>F</v>
          </cell>
          <cell r="J32" t="str">
            <v>POSITIF</v>
          </cell>
        </row>
        <row r="33">
          <cell r="F33" t="str">
            <v>LIMBE</v>
          </cell>
          <cell r="G33" t="str">
            <v>Sud-Ouest</v>
          </cell>
          <cell r="H33">
            <v>13</v>
          </cell>
          <cell r="I33" t="str">
            <v>F</v>
          </cell>
          <cell r="J33" t="str">
            <v>POSITIF</v>
          </cell>
        </row>
        <row r="34">
          <cell r="F34" t="str">
            <v xml:space="preserve">Tiko </v>
          </cell>
          <cell r="G34" t="str">
            <v>Sud-Ouest</v>
          </cell>
          <cell r="H34">
            <v>65</v>
          </cell>
          <cell r="I34" t="str">
            <v>F</v>
          </cell>
          <cell r="J34" t="str">
            <v>POSITIF</v>
          </cell>
        </row>
        <row r="35">
          <cell r="F35" t="str">
            <v>MBANGA</v>
          </cell>
          <cell r="G35" t="str">
            <v>LITTORAL</v>
          </cell>
          <cell r="H35">
            <v>30</v>
          </cell>
          <cell r="I35" t="str">
            <v>M</v>
          </cell>
          <cell r="J35" t="str">
            <v>POSITIF</v>
          </cell>
        </row>
        <row r="36">
          <cell r="F36" t="str">
            <v>LIMBE</v>
          </cell>
          <cell r="G36" t="str">
            <v>Sud-Ouest</v>
          </cell>
          <cell r="H36">
            <v>22</v>
          </cell>
          <cell r="I36" t="str">
            <v>F</v>
          </cell>
          <cell r="J36" t="str">
            <v>POSITIF</v>
          </cell>
        </row>
        <row r="37">
          <cell r="F37" t="str">
            <v xml:space="preserve">Tiko </v>
          </cell>
          <cell r="G37" t="str">
            <v>Sud-Ouest</v>
          </cell>
          <cell r="H37">
            <v>80</v>
          </cell>
          <cell r="I37" t="str">
            <v>F</v>
          </cell>
          <cell r="J37" t="str">
            <v>POSITIF</v>
          </cell>
        </row>
        <row r="38">
          <cell r="F38" t="str">
            <v>JAPOMA</v>
          </cell>
          <cell r="G38" t="str">
            <v>Littoral</v>
          </cell>
          <cell r="H38">
            <v>52</v>
          </cell>
          <cell r="I38" t="str">
            <v>M</v>
          </cell>
          <cell r="J38" t="str">
            <v>POSITIF</v>
          </cell>
        </row>
        <row r="39">
          <cell r="F39" t="str">
            <v>BUEA</v>
          </cell>
          <cell r="G39" t="str">
            <v>Sud-Ouest</v>
          </cell>
          <cell r="H39">
            <v>28</v>
          </cell>
          <cell r="I39" t="str">
            <v>M</v>
          </cell>
          <cell r="J39" t="str">
            <v>POSITIF</v>
          </cell>
        </row>
        <row r="40">
          <cell r="F40" t="str">
            <v>MORA</v>
          </cell>
          <cell r="G40" t="str">
            <v>Extreme-Nord</v>
          </cell>
          <cell r="H40">
            <v>22</v>
          </cell>
          <cell r="I40" t="str">
            <v>F</v>
          </cell>
          <cell r="J40" t="str">
            <v>POSITIF</v>
          </cell>
        </row>
        <row r="41">
          <cell r="F41" t="str">
            <v>MORA</v>
          </cell>
          <cell r="G41" t="str">
            <v>Extreme-Nord</v>
          </cell>
          <cell r="H41">
            <v>22</v>
          </cell>
          <cell r="I41" t="str">
            <v>F</v>
          </cell>
          <cell r="J41" t="str">
            <v>POSITIF</v>
          </cell>
        </row>
        <row r="42">
          <cell r="F42" t="str">
            <v>MORA</v>
          </cell>
          <cell r="G42" t="str">
            <v>Extreme-Nord</v>
          </cell>
          <cell r="H42">
            <v>27</v>
          </cell>
          <cell r="I42" t="str">
            <v>F</v>
          </cell>
          <cell r="J42" t="str">
            <v>POSITIF</v>
          </cell>
        </row>
        <row r="43">
          <cell r="F43" t="str">
            <v xml:space="preserve">Tiko </v>
          </cell>
          <cell r="G43" t="str">
            <v>Sud-Ouest</v>
          </cell>
          <cell r="H43">
            <v>10</v>
          </cell>
          <cell r="I43" t="str">
            <v>M</v>
          </cell>
          <cell r="J43" t="str">
            <v>POSITIF</v>
          </cell>
        </row>
        <row r="44">
          <cell r="F44" t="str">
            <v>Ekondo Titi</v>
          </cell>
          <cell r="G44" t="str">
            <v>Sud-Ouest</v>
          </cell>
          <cell r="H44">
            <v>50</v>
          </cell>
          <cell r="I44" t="str">
            <v>M</v>
          </cell>
          <cell r="J44" t="str">
            <v>POSITIF</v>
          </cell>
        </row>
        <row r="45">
          <cell r="F45" t="str">
            <v>BONASSAMA</v>
          </cell>
          <cell r="G45" t="str">
            <v>Littoral</v>
          </cell>
          <cell r="H45">
            <v>42</v>
          </cell>
          <cell r="I45" t="str">
            <v>M</v>
          </cell>
          <cell r="J45" t="str">
            <v>POSITIF</v>
          </cell>
        </row>
        <row r="46">
          <cell r="F46" t="str">
            <v>LIMBE</v>
          </cell>
          <cell r="G46" t="str">
            <v>Sud-Ouest</v>
          </cell>
          <cell r="H46">
            <v>25</v>
          </cell>
          <cell r="I46" t="str">
            <v>M</v>
          </cell>
          <cell r="J46" t="str">
            <v>POSITIF</v>
          </cell>
        </row>
        <row r="47">
          <cell r="F47" t="str">
            <v>BUEA</v>
          </cell>
          <cell r="G47" t="str">
            <v>Sud-Ouest</v>
          </cell>
          <cell r="H47">
            <v>34</v>
          </cell>
          <cell r="I47" t="str">
            <v>F</v>
          </cell>
          <cell r="J47" t="str">
            <v>POSITIF</v>
          </cell>
        </row>
        <row r="48">
          <cell r="F48" t="str">
            <v>LIMBE</v>
          </cell>
          <cell r="G48" t="str">
            <v>Sud-Ouest</v>
          </cell>
          <cell r="H48">
            <v>15</v>
          </cell>
          <cell r="I48" t="str">
            <v>M</v>
          </cell>
          <cell r="J48" t="str">
            <v>POSITIF</v>
          </cell>
        </row>
        <row r="49">
          <cell r="F49" t="str">
            <v xml:space="preserve">Tiko </v>
          </cell>
          <cell r="G49" t="str">
            <v>Sud-Ouest</v>
          </cell>
          <cell r="H49">
            <v>7</v>
          </cell>
          <cell r="I49" t="str">
            <v>F</v>
          </cell>
          <cell r="J49" t="str">
            <v>POSITIF</v>
          </cell>
        </row>
        <row r="50">
          <cell r="F50" t="str">
            <v>NEW_BELL</v>
          </cell>
          <cell r="G50" t="str">
            <v>LITTORAL</v>
          </cell>
          <cell r="H50">
            <v>27</v>
          </cell>
          <cell r="I50" t="str">
            <v>M</v>
          </cell>
          <cell r="J50" t="str">
            <v>POSITIF</v>
          </cell>
        </row>
        <row r="51">
          <cell r="F51" t="str">
            <v>NYLON</v>
          </cell>
          <cell r="G51" t="str">
            <v>Littoral</v>
          </cell>
          <cell r="H51">
            <v>35</v>
          </cell>
          <cell r="I51" t="str">
            <v>M</v>
          </cell>
          <cell r="J51" t="str">
            <v>POSITIF</v>
          </cell>
        </row>
        <row r="52">
          <cell r="F52" t="str">
            <v>NYLON</v>
          </cell>
          <cell r="G52" t="str">
            <v>Littoral</v>
          </cell>
          <cell r="H52">
            <v>20</v>
          </cell>
          <cell r="I52" t="str">
            <v>M</v>
          </cell>
          <cell r="J52" t="str">
            <v>POSITIF</v>
          </cell>
        </row>
        <row r="53">
          <cell r="F53" t="str">
            <v>LIMBE</v>
          </cell>
          <cell r="G53" t="str">
            <v>Sud-Ouest</v>
          </cell>
          <cell r="H53">
            <v>29</v>
          </cell>
          <cell r="I53" t="str">
            <v>M</v>
          </cell>
          <cell r="J53" t="str">
            <v>POSITIF</v>
          </cell>
        </row>
        <row r="54">
          <cell r="F54" t="str">
            <v>LIMBE</v>
          </cell>
          <cell r="G54" t="str">
            <v>Sud-Ouest</v>
          </cell>
          <cell r="H54">
            <v>70</v>
          </cell>
          <cell r="I54" t="str">
            <v>M</v>
          </cell>
          <cell r="J54" t="str">
            <v>POSITIF</v>
          </cell>
        </row>
        <row r="55">
          <cell r="F55" t="str">
            <v>DEIDO</v>
          </cell>
          <cell r="G55" t="str">
            <v>LITTORAL</v>
          </cell>
          <cell r="H55">
            <v>18</v>
          </cell>
          <cell r="I55" t="str">
            <v>F</v>
          </cell>
          <cell r="J55" t="str">
            <v>POSITIF</v>
          </cell>
        </row>
        <row r="56">
          <cell r="F56" t="str">
            <v>NYLON</v>
          </cell>
          <cell r="G56" t="str">
            <v>LITTORAL</v>
          </cell>
          <cell r="H56">
            <v>15</v>
          </cell>
          <cell r="I56" t="str">
            <v>F</v>
          </cell>
          <cell r="J56" t="str">
            <v>POSITIF</v>
          </cell>
        </row>
        <row r="57">
          <cell r="F57" t="str">
            <v>LIMBE</v>
          </cell>
          <cell r="G57" t="str">
            <v>Sud-Ouest</v>
          </cell>
          <cell r="H57">
            <v>55</v>
          </cell>
          <cell r="I57" t="str">
            <v>F</v>
          </cell>
          <cell r="J57" t="str">
            <v>POSITIF</v>
          </cell>
        </row>
        <row r="58">
          <cell r="F58" t="str">
            <v>LIMBE</v>
          </cell>
          <cell r="G58" t="str">
            <v>Sud-Ouest</v>
          </cell>
          <cell r="H58">
            <v>27</v>
          </cell>
          <cell r="I58" t="str">
            <v>F</v>
          </cell>
          <cell r="J58" t="str">
            <v>POSITIF</v>
          </cell>
        </row>
        <row r="59">
          <cell r="F59" t="str">
            <v>BONASSAMA</v>
          </cell>
          <cell r="G59" t="str">
            <v>Littoral</v>
          </cell>
          <cell r="H59">
            <v>2</v>
          </cell>
          <cell r="I59" t="str">
            <v>M</v>
          </cell>
          <cell r="J59" t="str">
            <v>POSITIF</v>
          </cell>
        </row>
        <row r="60">
          <cell r="F60" t="str">
            <v>JAPOMA</v>
          </cell>
          <cell r="G60" t="str">
            <v>Littoral</v>
          </cell>
          <cell r="H60">
            <v>4</v>
          </cell>
          <cell r="I60" t="str">
            <v>M</v>
          </cell>
          <cell r="J60" t="str">
            <v>POSITIF</v>
          </cell>
        </row>
        <row r="61">
          <cell r="F61" t="str">
            <v>LIMBE</v>
          </cell>
          <cell r="G61" t="str">
            <v>Sud-Ouest</v>
          </cell>
          <cell r="H61">
            <v>26</v>
          </cell>
          <cell r="I61" t="str">
            <v>M</v>
          </cell>
          <cell r="J61" t="str">
            <v>POSITIF</v>
          </cell>
        </row>
        <row r="62">
          <cell r="F62" t="str">
            <v>LIMBE</v>
          </cell>
          <cell r="G62" t="str">
            <v>Sud-Ouest</v>
          </cell>
          <cell r="H62">
            <v>17</v>
          </cell>
          <cell r="I62" t="str">
            <v>M</v>
          </cell>
          <cell r="J62" t="str">
            <v>POSITIF</v>
          </cell>
        </row>
        <row r="63">
          <cell r="F63" t="str">
            <v>LIMBE</v>
          </cell>
          <cell r="G63" t="str">
            <v>Sud-Ouest</v>
          </cell>
          <cell r="H63">
            <v>37</v>
          </cell>
          <cell r="I63" t="str">
            <v>F</v>
          </cell>
          <cell r="J63" t="str">
            <v>POSITIF</v>
          </cell>
        </row>
        <row r="64">
          <cell r="F64" t="str">
            <v>JAPOMA</v>
          </cell>
          <cell r="G64" t="str">
            <v>LITTORAL</v>
          </cell>
          <cell r="H64">
            <v>4</v>
          </cell>
          <cell r="I64" t="str">
            <v>F</v>
          </cell>
          <cell r="J64" t="str">
            <v>POSITIF</v>
          </cell>
        </row>
        <row r="65">
          <cell r="F65" t="str">
            <v>NJOMBE_PENJA</v>
          </cell>
          <cell r="G65" t="str">
            <v>Littoral</v>
          </cell>
          <cell r="H65">
            <v>27</v>
          </cell>
          <cell r="I65" t="str">
            <v>F</v>
          </cell>
          <cell r="J65" t="str">
            <v>POSITIF</v>
          </cell>
        </row>
        <row r="66">
          <cell r="F66" t="str">
            <v>BUEA</v>
          </cell>
          <cell r="G66" t="str">
            <v>Sud-Ouest</v>
          </cell>
          <cell r="H66">
            <v>47</v>
          </cell>
          <cell r="I66" t="str">
            <v>M</v>
          </cell>
          <cell r="J66" t="str">
            <v>POSITIF</v>
          </cell>
        </row>
        <row r="67">
          <cell r="F67" t="str">
            <v>LIMBE</v>
          </cell>
          <cell r="G67" t="str">
            <v>Sud-Ouest</v>
          </cell>
          <cell r="H67">
            <v>1</v>
          </cell>
          <cell r="I67" t="str">
            <v>M</v>
          </cell>
          <cell r="J67" t="str">
            <v>POSITIF</v>
          </cell>
        </row>
        <row r="68">
          <cell r="F68" t="str">
            <v>Bakassi</v>
          </cell>
          <cell r="G68" t="str">
            <v>Sud-Ouest</v>
          </cell>
          <cell r="H68">
            <v>50</v>
          </cell>
          <cell r="I68" t="str">
            <v>F</v>
          </cell>
          <cell r="J68" t="str">
            <v>POSITIF</v>
          </cell>
        </row>
        <row r="69">
          <cell r="F69" t="str">
            <v>Bakassi</v>
          </cell>
          <cell r="G69" t="str">
            <v>Sud-Ouest</v>
          </cell>
          <cell r="H69">
            <v>40</v>
          </cell>
          <cell r="I69" t="str">
            <v>F</v>
          </cell>
          <cell r="J69" t="str">
            <v>POSITIF</v>
          </cell>
        </row>
        <row r="70">
          <cell r="F70" t="str">
            <v>LIMBE</v>
          </cell>
          <cell r="G70" t="str">
            <v>Sud-Ouest</v>
          </cell>
          <cell r="H70">
            <v>37</v>
          </cell>
          <cell r="I70" t="str">
            <v>M</v>
          </cell>
          <cell r="J70" t="str">
            <v>POSITIF</v>
          </cell>
        </row>
        <row r="71">
          <cell r="F71" t="str">
            <v>LIMBE</v>
          </cell>
          <cell r="G71" t="str">
            <v>Sud-Ouest</v>
          </cell>
          <cell r="H71">
            <v>31</v>
          </cell>
          <cell r="I71" t="str">
            <v>M</v>
          </cell>
          <cell r="J71" t="str">
            <v>POSITIF</v>
          </cell>
        </row>
        <row r="72">
          <cell r="F72" t="str">
            <v>LIMBE</v>
          </cell>
          <cell r="G72" t="str">
            <v>Sud-Ouest</v>
          </cell>
          <cell r="H72">
            <v>21</v>
          </cell>
          <cell r="I72" t="str">
            <v>M</v>
          </cell>
          <cell r="J72" t="str">
            <v>POSITIF</v>
          </cell>
        </row>
        <row r="73">
          <cell r="F73" t="str">
            <v>DEIDO</v>
          </cell>
          <cell r="G73" t="str">
            <v>Littoral</v>
          </cell>
          <cell r="H73">
            <v>48</v>
          </cell>
          <cell r="I73" t="str">
            <v>M</v>
          </cell>
          <cell r="J73" t="str">
            <v>POSITIF</v>
          </cell>
        </row>
        <row r="74">
          <cell r="F74" t="str">
            <v>LIMBE</v>
          </cell>
          <cell r="G74" t="str">
            <v>Sud-Ouest</v>
          </cell>
          <cell r="H74">
            <v>23</v>
          </cell>
          <cell r="I74" t="str">
            <v>F</v>
          </cell>
          <cell r="J74" t="str">
            <v>POSITIF</v>
          </cell>
        </row>
        <row r="75">
          <cell r="F75" t="str">
            <v>LIMBE</v>
          </cell>
          <cell r="G75" t="str">
            <v>Sud-Ouest</v>
          </cell>
          <cell r="H75">
            <v>40</v>
          </cell>
          <cell r="I75" t="str">
            <v>F</v>
          </cell>
          <cell r="J75" t="str">
            <v>POSITIF</v>
          </cell>
        </row>
        <row r="76">
          <cell r="F76" t="str">
            <v>LIMBE</v>
          </cell>
          <cell r="G76" t="str">
            <v>Sud-Ouest</v>
          </cell>
          <cell r="H76">
            <v>25</v>
          </cell>
          <cell r="I76" t="str">
            <v>M</v>
          </cell>
          <cell r="J76" t="str">
            <v>POSITIF</v>
          </cell>
        </row>
        <row r="77">
          <cell r="F77" t="str">
            <v>DEIDO</v>
          </cell>
          <cell r="G77" t="str">
            <v>Littoral</v>
          </cell>
          <cell r="H77">
            <v>6</v>
          </cell>
          <cell r="I77" t="str">
            <v>M</v>
          </cell>
          <cell r="J77" t="str">
            <v>POSITIF</v>
          </cell>
        </row>
        <row r="78">
          <cell r="F78" t="str">
            <v>LIMBE</v>
          </cell>
          <cell r="G78" t="str">
            <v>Sud-Ouest</v>
          </cell>
          <cell r="H78">
            <v>38</v>
          </cell>
          <cell r="I78" t="str">
            <v>M</v>
          </cell>
          <cell r="J78" t="str">
            <v>POSITIF</v>
          </cell>
        </row>
        <row r="79">
          <cell r="F79" t="str">
            <v>BUEA</v>
          </cell>
          <cell r="G79" t="str">
            <v>Sud-Ouest</v>
          </cell>
          <cell r="H79">
            <v>40</v>
          </cell>
          <cell r="I79" t="str">
            <v>M</v>
          </cell>
          <cell r="J79" t="str">
            <v>POSITIF</v>
          </cell>
        </row>
        <row r="80">
          <cell r="F80" t="str">
            <v>CITE_DES_PALMIERS</v>
          </cell>
          <cell r="G80" t="str">
            <v>LITTORAL</v>
          </cell>
          <cell r="I80" t="str">
            <v>M</v>
          </cell>
          <cell r="J80" t="str">
            <v>POSITIF</v>
          </cell>
        </row>
        <row r="81">
          <cell r="F81" t="str">
            <v>LIMBE</v>
          </cell>
          <cell r="G81" t="str">
            <v>Sud-Ouest</v>
          </cell>
          <cell r="H81">
            <v>63</v>
          </cell>
          <cell r="I81" t="str">
            <v>F</v>
          </cell>
          <cell r="J81" t="str">
            <v>POSITIF</v>
          </cell>
        </row>
        <row r="82">
          <cell r="F82" t="str">
            <v>LIMBE</v>
          </cell>
          <cell r="G82" t="str">
            <v>Sud-Ouest</v>
          </cell>
          <cell r="H82">
            <v>11</v>
          </cell>
          <cell r="I82" t="str">
            <v>M</v>
          </cell>
          <cell r="J82" t="str">
            <v>POSITIF</v>
          </cell>
        </row>
        <row r="83">
          <cell r="F83" t="str">
            <v>LIMBE</v>
          </cell>
          <cell r="G83" t="str">
            <v>Sud-Ouest</v>
          </cell>
          <cell r="H83">
            <v>44</v>
          </cell>
          <cell r="I83" t="str">
            <v>M</v>
          </cell>
          <cell r="J83" t="str">
            <v>POSITIF</v>
          </cell>
        </row>
        <row r="84">
          <cell r="F84" t="str">
            <v xml:space="preserve">Tiko </v>
          </cell>
          <cell r="G84" t="str">
            <v>Sud-Ouest</v>
          </cell>
          <cell r="H84">
            <v>20</v>
          </cell>
          <cell r="I84" t="str">
            <v>M</v>
          </cell>
          <cell r="J84" t="str">
            <v>POSITIF</v>
          </cell>
        </row>
        <row r="85">
          <cell r="F85" t="str">
            <v>LIMBE</v>
          </cell>
          <cell r="G85" t="str">
            <v>Sud-Ouest</v>
          </cell>
          <cell r="H85">
            <v>26</v>
          </cell>
          <cell r="I85" t="str">
            <v>F</v>
          </cell>
          <cell r="J85" t="str">
            <v>POSITIF</v>
          </cell>
        </row>
        <row r="86">
          <cell r="F86" t="str">
            <v xml:space="preserve">Tiko </v>
          </cell>
          <cell r="G86" t="str">
            <v>Sud-Ouest</v>
          </cell>
          <cell r="H86">
            <v>5</v>
          </cell>
          <cell r="I86" t="str">
            <v>F</v>
          </cell>
          <cell r="J86" t="str">
            <v>POSITIF</v>
          </cell>
        </row>
        <row r="87">
          <cell r="F87" t="str">
            <v>LIMBE</v>
          </cell>
          <cell r="G87" t="str">
            <v>Sud-Ouest</v>
          </cell>
          <cell r="H87">
            <v>3</v>
          </cell>
          <cell r="I87" t="str">
            <v>F</v>
          </cell>
          <cell r="J87" t="str">
            <v>POSITIF</v>
          </cell>
        </row>
        <row r="88">
          <cell r="F88" t="str">
            <v>Mbonge</v>
          </cell>
          <cell r="G88" t="str">
            <v>Sud-Ouest</v>
          </cell>
          <cell r="H88">
            <v>40</v>
          </cell>
          <cell r="I88" t="str">
            <v>F</v>
          </cell>
          <cell r="J88" t="str">
            <v>POSITIF</v>
          </cell>
        </row>
        <row r="89">
          <cell r="F89" t="str">
            <v>LIMBE</v>
          </cell>
          <cell r="G89" t="str">
            <v>Sud-Ouest</v>
          </cell>
          <cell r="H89">
            <v>61</v>
          </cell>
          <cell r="I89" t="str">
            <v>F</v>
          </cell>
          <cell r="J89" t="str">
            <v>POSITIF</v>
          </cell>
        </row>
        <row r="90">
          <cell r="F90" t="str">
            <v>LIMBE</v>
          </cell>
          <cell r="G90" t="str">
            <v>Sud-Ouest</v>
          </cell>
          <cell r="H90">
            <v>47</v>
          </cell>
          <cell r="I90" t="str">
            <v>M</v>
          </cell>
          <cell r="J90" t="str">
            <v>POSITIF</v>
          </cell>
        </row>
        <row r="91">
          <cell r="F91" t="str">
            <v>LIMBE</v>
          </cell>
          <cell r="G91" t="str">
            <v>Sud-Ouest</v>
          </cell>
          <cell r="H91">
            <v>22</v>
          </cell>
          <cell r="I91" t="str">
            <v>F</v>
          </cell>
          <cell r="J91" t="str">
            <v>POSITIF</v>
          </cell>
        </row>
        <row r="92">
          <cell r="F92" t="str">
            <v>MOKOLO</v>
          </cell>
          <cell r="G92" t="str">
            <v>Extreme-Nord</v>
          </cell>
          <cell r="H92">
            <v>4</v>
          </cell>
          <cell r="I92" t="str">
            <v>F</v>
          </cell>
          <cell r="J92" t="str">
            <v>POSITIF</v>
          </cell>
        </row>
        <row r="93">
          <cell r="F93" t="str">
            <v>Bakassi</v>
          </cell>
          <cell r="G93" t="str">
            <v>Sud-Ouest</v>
          </cell>
          <cell r="H93">
            <v>30</v>
          </cell>
          <cell r="I93" t="str">
            <v>F</v>
          </cell>
          <cell r="J93" t="str">
            <v>POSITIF</v>
          </cell>
        </row>
        <row r="94">
          <cell r="F94" t="str">
            <v>LIMBE</v>
          </cell>
          <cell r="G94" t="str">
            <v>Sud-Ouest</v>
          </cell>
          <cell r="H94">
            <v>11</v>
          </cell>
          <cell r="I94" t="str">
            <v>M</v>
          </cell>
          <cell r="J94" t="str">
            <v>POSITIF</v>
          </cell>
        </row>
        <row r="95">
          <cell r="F95" t="str">
            <v>LIMBE</v>
          </cell>
          <cell r="G95" t="str">
            <v>Sud-Ouest</v>
          </cell>
          <cell r="H95">
            <v>39</v>
          </cell>
          <cell r="I95" t="str">
            <v>M</v>
          </cell>
          <cell r="J95" t="str">
            <v>POSITIF</v>
          </cell>
        </row>
        <row r="96">
          <cell r="F96" t="str">
            <v>LIMBE</v>
          </cell>
          <cell r="G96" t="str">
            <v>Sud-Ouest</v>
          </cell>
          <cell r="H96">
            <v>28</v>
          </cell>
          <cell r="I96" t="str">
            <v>M</v>
          </cell>
          <cell r="J96" t="str">
            <v>POSITIF</v>
          </cell>
        </row>
        <row r="97">
          <cell r="F97" t="str">
            <v>BUEA</v>
          </cell>
          <cell r="G97" t="str">
            <v>Sud-Ouest</v>
          </cell>
          <cell r="H97">
            <v>0.2</v>
          </cell>
          <cell r="I97" t="str">
            <v>M</v>
          </cell>
          <cell r="J97" t="str">
            <v>POSITIF</v>
          </cell>
        </row>
        <row r="98">
          <cell r="F98" t="str">
            <v>BUEA</v>
          </cell>
          <cell r="G98" t="str">
            <v>Sud-Ouest</v>
          </cell>
          <cell r="H98">
            <v>18</v>
          </cell>
          <cell r="I98" t="str">
            <v>F</v>
          </cell>
          <cell r="J98" t="str">
            <v>POSITIF</v>
          </cell>
        </row>
        <row r="99">
          <cell r="F99" t="str">
            <v>DEIDO</v>
          </cell>
          <cell r="G99" t="str">
            <v>Littoral</v>
          </cell>
          <cell r="H99">
            <v>11</v>
          </cell>
          <cell r="I99" t="str">
            <v>F</v>
          </cell>
          <cell r="J99" t="str">
            <v>POSITIF</v>
          </cell>
        </row>
        <row r="100">
          <cell r="F100" t="str">
            <v>BUEA</v>
          </cell>
          <cell r="G100" t="str">
            <v>Sud-Ouest</v>
          </cell>
          <cell r="H100">
            <v>9</v>
          </cell>
          <cell r="I100" t="str">
            <v>F</v>
          </cell>
          <cell r="J100" t="str">
            <v>POSITIF</v>
          </cell>
        </row>
        <row r="101">
          <cell r="F101" t="str">
            <v>BUEA</v>
          </cell>
          <cell r="G101" t="str">
            <v>Sud-Ouest</v>
          </cell>
          <cell r="H101">
            <v>9</v>
          </cell>
          <cell r="I101" t="str">
            <v>F</v>
          </cell>
          <cell r="J101" t="str">
            <v>POSITIF</v>
          </cell>
        </row>
        <row r="102">
          <cell r="F102" t="str">
            <v>LIMBE</v>
          </cell>
          <cell r="G102" t="str">
            <v>Sud-Ouest</v>
          </cell>
          <cell r="H102">
            <v>23</v>
          </cell>
          <cell r="I102" t="str">
            <v>M</v>
          </cell>
          <cell r="J102" t="str">
            <v>POSITIF</v>
          </cell>
        </row>
        <row r="103">
          <cell r="F103" t="str">
            <v xml:space="preserve">Tiko </v>
          </cell>
          <cell r="G103" t="str">
            <v>Sud-Ouest</v>
          </cell>
          <cell r="H103">
            <v>41</v>
          </cell>
          <cell r="I103" t="str">
            <v>M</v>
          </cell>
          <cell r="J103" t="str">
            <v>POSITIF</v>
          </cell>
        </row>
        <row r="104">
          <cell r="F104" t="str">
            <v>LIMBE</v>
          </cell>
          <cell r="G104" t="str">
            <v>Sud-Ouest</v>
          </cell>
          <cell r="H104">
            <v>39</v>
          </cell>
          <cell r="I104" t="str">
            <v>M</v>
          </cell>
          <cell r="J104" t="str">
            <v>POSITIF</v>
          </cell>
        </row>
        <row r="105">
          <cell r="F105" t="str">
            <v>LIMBE</v>
          </cell>
          <cell r="G105" t="str">
            <v>Sud-Ouest</v>
          </cell>
          <cell r="H105">
            <v>22</v>
          </cell>
          <cell r="I105" t="str">
            <v>M</v>
          </cell>
          <cell r="J105" t="str">
            <v>POSITIF</v>
          </cell>
        </row>
        <row r="106">
          <cell r="F106" t="str">
            <v>BUEA</v>
          </cell>
          <cell r="G106" t="str">
            <v>Sud-Ouest</v>
          </cell>
          <cell r="H106">
            <v>26</v>
          </cell>
          <cell r="I106" t="str">
            <v>M</v>
          </cell>
          <cell r="J106" t="str">
            <v>POSITIF</v>
          </cell>
        </row>
        <row r="107">
          <cell r="F107" t="str">
            <v>BUEA</v>
          </cell>
          <cell r="G107" t="str">
            <v>Sud-Ouest</v>
          </cell>
          <cell r="H107">
            <v>62</v>
          </cell>
          <cell r="I107" t="str">
            <v>M</v>
          </cell>
          <cell r="J107" t="str">
            <v>POSITIF</v>
          </cell>
        </row>
        <row r="108">
          <cell r="F108" t="str">
            <v>BANGUE</v>
          </cell>
          <cell r="G108" t="str">
            <v>Littoral</v>
          </cell>
          <cell r="H108">
            <v>69</v>
          </cell>
          <cell r="I108" t="str">
            <v>F</v>
          </cell>
          <cell r="J108" t="str">
            <v>POSITIF</v>
          </cell>
        </row>
        <row r="109">
          <cell r="F109" t="str">
            <v>BUEA</v>
          </cell>
          <cell r="G109" t="str">
            <v>Sud-Ouest</v>
          </cell>
          <cell r="H109">
            <v>7</v>
          </cell>
          <cell r="I109" t="str">
            <v>M</v>
          </cell>
          <cell r="J109" t="str">
            <v>POSITIF</v>
          </cell>
        </row>
        <row r="110">
          <cell r="F110" t="str">
            <v>LIMBE</v>
          </cell>
          <cell r="G110" t="str">
            <v>Sud-Ouest</v>
          </cell>
          <cell r="H110">
            <v>22</v>
          </cell>
          <cell r="I110" t="str">
            <v>M</v>
          </cell>
          <cell r="J110" t="str">
            <v>POSITIF</v>
          </cell>
        </row>
        <row r="111">
          <cell r="F111" t="str">
            <v>LIMBE</v>
          </cell>
          <cell r="G111" t="str">
            <v>Sud-Ouest</v>
          </cell>
          <cell r="H111">
            <v>28</v>
          </cell>
          <cell r="I111" t="str">
            <v>M</v>
          </cell>
          <cell r="J111" t="str">
            <v>POSITIF</v>
          </cell>
        </row>
        <row r="112">
          <cell r="F112" t="str">
            <v>LIMBE</v>
          </cell>
          <cell r="G112" t="str">
            <v>Sud-Ouest</v>
          </cell>
          <cell r="H112">
            <v>2</v>
          </cell>
          <cell r="I112" t="str">
            <v>F</v>
          </cell>
          <cell r="J112" t="str">
            <v>POSITIF</v>
          </cell>
        </row>
        <row r="113">
          <cell r="F113" t="str">
            <v>LIMBE</v>
          </cell>
          <cell r="G113" t="str">
            <v>Sud-Ouest</v>
          </cell>
          <cell r="H113">
            <v>47</v>
          </cell>
          <cell r="I113" t="str">
            <v>F</v>
          </cell>
          <cell r="J113" t="str">
            <v>POSITIF</v>
          </cell>
        </row>
        <row r="114">
          <cell r="F114" t="str">
            <v>NEW_BELL</v>
          </cell>
          <cell r="G114" t="str">
            <v>Littoral</v>
          </cell>
          <cell r="H114">
            <v>31</v>
          </cell>
          <cell r="I114" t="str">
            <v>M</v>
          </cell>
          <cell r="J114" t="str">
            <v>POSITIF</v>
          </cell>
        </row>
        <row r="115">
          <cell r="F115" t="str">
            <v>DEIDO</v>
          </cell>
          <cell r="G115" t="str">
            <v>Littoral</v>
          </cell>
          <cell r="H115">
            <v>10</v>
          </cell>
          <cell r="I115" t="str">
            <v>M</v>
          </cell>
          <cell r="J115" t="str">
            <v>POSITIF</v>
          </cell>
        </row>
        <row r="116">
          <cell r="F116" t="str">
            <v>BUEA</v>
          </cell>
          <cell r="G116" t="str">
            <v>Sud-Ouest</v>
          </cell>
          <cell r="H116">
            <v>37</v>
          </cell>
          <cell r="I116" t="str">
            <v>M</v>
          </cell>
          <cell r="J116" t="str">
            <v>POSITIF</v>
          </cell>
        </row>
        <row r="117">
          <cell r="F117" t="str">
            <v xml:space="preserve">Tiko </v>
          </cell>
          <cell r="G117" t="str">
            <v>Sud-Ouest</v>
          </cell>
          <cell r="H117">
            <v>5</v>
          </cell>
          <cell r="I117" t="str">
            <v>M</v>
          </cell>
          <cell r="J117" t="str">
            <v>POSITIF</v>
          </cell>
        </row>
        <row r="118">
          <cell r="F118" t="str">
            <v xml:space="preserve">Tiko </v>
          </cell>
          <cell r="G118" t="str">
            <v>Sud-Ouest</v>
          </cell>
          <cell r="H118">
            <v>31</v>
          </cell>
          <cell r="I118" t="str">
            <v>M</v>
          </cell>
          <cell r="J118" t="str">
            <v>POSITIF</v>
          </cell>
        </row>
        <row r="119">
          <cell r="F119" t="str">
            <v>MAMFE</v>
          </cell>
          <cell r="G119" t="str">
            <v>Sud-Ouest</v>
          </cell>
          <cell r="H119">
            <v>34</v>
          </cell>
          <cell r="I119" t="str">
            <v>M</v>
          </cell>
          <cell r="J119" t="str">
            <v>POSITIF</v>
          </cell>
        </row>
        <row r="120">
          <cell r="F120" t="str">
            <v>BUEA</v>
          </cell>
          <cell r="G120" t="str">
            <v>Sud-Ouest</v>
          </cell>
          <cell r="H120">
            <v>37</v>
          </cell>
          <cell r="I120" t="str">
            <v>M</v>
          </cell>
          <cell r="J120" t="str">
            <v>POSITIF</v>
          </cell>
        </row>
        <row r="121">
          <cell r="F121" t="str">
            <v>LIMBE</v>
          </cell>
          <cell r="G121" t="str">
            <v>Sud-Ouest</v>
          </cell>
          <cell r="H121">
            <v>24</v>
          </cell>
          <cell r="I121" t="str">
            <v>M</v>
          </cell>
          <cell r="J121" t="str">
            <v>POSITIF</v>
          </cell>
        </row>
        <row r="122">
          <cell r="F122" t="str">
            <v>LIMBE</v>
          </cell>
          <cell r="G122" t="str">
            <v>Sud-Ouest</v>
          </cell>
          <cell r="H122">
            <v>22</v>
          </cell>
          <cell r="I122" t="str">
            <v>M</v>
          </cell>
          <cell r="J122" t="str">
            <v>POSITIF</v>
          </cell>
        </row>
        <row r="123">
          <cell r="F123" t="str">
            <v>BUEA</v>
          </cell>
          <cell r="G123" t="str">
            <v>Sud-Ouest</v>
          </cell>
          <cell r="H123">
            <v>11</v>
          </cell>
          <cell r="I123" t="str">
            <v>F</v>
          </cell>
          <cell r="J123" t="str">
            <v>POSITIF</v>
          </cell>
        </row>
        <row r="124">
          <cell r="F124" t="str">
            <v>LIMBE</v>
          </cell>
          <cell r="G124" t="str">
            <v>Sud-Ouest</v>
          </cell>
          <cell r="H124">
            <v>3</v>
          </cell>
          <cell r="I124" t="str">
            <v>M</v>
          </cell>
          <cell r="J124" t="str">
            <v>POSITIF</v>
          </cell>
        </row>
        <row r="125">
          <cell r="F125" t="str">
            <v>LOGBABA</v>
          </cell>
          <cell r="G125" t="str">
            <v>Littoral</v>
          </cell>
          <cell r="H125">
            <v>40</v>
          </cell>
          <cell r="I125" t="str">
            <v>F</v>
          </cell>
          <cell r="J125" t="str">
            <v>POSITIF</v>
          </cell>
        </row>
        <row r="126">
          <cell r="F126" t="str">
            <v>LOGBABA</v>
          </cell>
          <cell r="G126" t="str">
            <v>Littoral</v>
          </cell>
          <cell r="H126">
            <v>40</v>
          </cell>
          <cell r="I126" t="str">
            <v>F</v>
          </cell>
          <cell r="J126" t="str">
            <v>POSITIF</v>
          </cell>
        </row>
        <row r="127">
          <cell r="F127" t="str">
            <v>Limbe</v>
          </cell>
          <cell r="G127" t="str">
            <v>Sud-Ouest</v>
          </cell>
          <cell r="H127">
            <v>47</v>
          </cell>
          <cell r="I127" t="str">
            <v>F</v>
          </cell>
          <cell r="J127" t="str">
            <v>POSITIF</v>
          </cell>
        </row>
        <row r="128">
          <cell r="F128" t="str">
            <v>FOTOKOL</v>
          </cell>
          <cell r="G128" t="str">
            <v>Extreme-Nord</v>
          </cell>
          <cell r="H128">
            <v>8</v>
          </cell>
          <cell r="I128" t="str">
            <v>M</v>
          </cell>
          <cell r="J128" t="str">
            <v>POSITIF</v>
          </cell>
        </row>
        <row r="129">
          <cell r="F129" t="str">
            <v>Bakassi</v>
          </cell>
          <cell r="G129" t="str">
            <v>Sud-Ouest</v>
          </cell>
          <cell r="H129">
            <v>12</v>
          </cell>
          <cell r="I129" t="str">
            <v>M</v>
          </cell>
          <cell r="J129" t="str">
            <v>POSITIF</v>
          </cell>
        </row>
        <row r="130">
          <cell r="F130" t="str">
            <v>BUEA</v>
          </cell>
          <cell r="G130" t="str">
            <v>Sud-Ouest</v>
          </cell>
          <cell r="H130">
            <v>35</v>
          </cell>
          <cell r="I130" t="str">
            <v>M</v>
          </cell>
          <cell r="J130" t="str">
            <v>POSITIF</v>
          </cell>
        </row>
        <row r="131">
          <cell r="F131" t="str">
            <v>LIMBE</v>
          </cell>
          <cell r="G131" t="str">
            <v>Sud-Ouest</v>
          </cell>
          <cell r="H131">
            <v>34</v>
          </cell>
          <cell r="I131" t="str">
            <v>M</v>
          </cell>
          <cell r="J131" t="str">
            <v>POSITIF</v>
          </cell>
        </row>
        <row r="132">
          <cell r="F132" t="str">
            <v>Limbe</v>
          </cell>
          <cell r="G132" t="str">
            <v>Sud-Ouest</v>
          </cell>
          <cell r="H132">
            <v>58</v>
          </cell>
          <cell r="I132" t="str">
            <v>M</v>
          </cell>
          <cell r="J132" t="str">
            <v>POSITIF</v>
          </cell>
        </row>
        <row r="133">
          <cell r="F133" t="str">
            <v>LIMBE</v>
          </cell>
          <cell r="G133" t="str">
            <v>Sud-Ouest</v>
          </cell>
          <cell r="H133">
            <v>45</v>
          </cell>
          <cell r="I133" t="str">
            <v>M</v>
          </cell>
          <cell r="J133" t="str">
            <v>POSITIF</v>
          </cell>
        </row>
        <row r="134">
          <cell r="F134" t="str">
            <v xml:space="preserve">Tiko </v>
          </cell>
          <cell r="G134" t="str">
            <v>Sud-Ouest</v>
          </cell>
          <cell r="H134">
            <v>18</v>
          </cell>
          <cell r="I134" t="str">
            <v>F</v>
          </cell>
          <cell r="J134" t="str">
            <v>POSITIF</v>
          </cell>
        </row>
        <row r="135">
          <cell r="F135" t="str">
            <v>LIMBE</v>
          </cell>
          <cell r="G135" t="str">
            <v>Sud-Ouest</v>
          </cell>
          <cell r="H135">
            <v>47</v>
          </cell>
          <cell r="I135" t="str">
            <v>F</v>
          </cell>
          <cell r="J135" t="str">
            <v>POSITIF</v>
          </cell>
        </row>
        <row r="136">
          <cell r="F136" t="str">
            <v xml:space="preserve">Tiko </v>
          </cell>
          <cell r="G136" t="str">
            <v>Sud-Ouest</v>
          </cell>
          <cell r="H136">
            <v>38</v>
          </cell>
          <cell r="I136" t="str">
            <v>M</v>
          </cell>
          <cell r="J136" t="str">
            <v>POSITIF</v>
          </cell>
        </row>
        <row r="137">
          <cell r="F137" t="str">
            <v>LIMBE</v>
          </cell>
          <cell r="G137" t="str">
            <v>Sud-Ouest</v>
          </cell>
          <cell r="H137">
            <v>2</v>
          </cell>
          <cell r="I137" t="str">
            <v>F</v>
          </cell>
          <cell r="J137" t="str">
            <v>POSITIF</v>
          </cell>
        </row>
        <row r="138">
          <cell r="F138" t="str">
            <v>NJOMBE_PENJA</v>
          </cell>
          <cell r="G138" t="str">
            <v>Littoral</v>
          </cell>
          <cell r="H138">
            <v>26</v>
          </cell>
          <cell r="I138" t="str">
            <v>F</v>
          </cell>
          <cell r="J138" t="str">
            <v>POSITIF</v>
          </cell>
        </row>
        <row r="139">
          <cell r="F139" t="str">
            <v>MAMFE</v>
          </cell>
          <cell r="G139" t="str">
            <v>Sud-Ouest</v>
          </cell>
          <cell r="H139">
            <v>43</v>
          </cell>
          <cell r="I139" t="str">
            <v>F</v>
          </cell>
          <cell r="J139" t="str">
            <v>POSITIF</v>
          </cell>
        </row>
        <row r="140">
          <cell r="F140" t="str">
            <v>LIMBE</v>
          </cell>
          <cell r="G140" t="str">
            <v>Sud-Ouest</v>
          </cell>
          <cell r="H140">
            <v>40</v>
          </cell>
          <cell r="I140" t="str">
            <v>M</v>
          </cell>
          <cell r="J140" t="str">
            <v>POSITIF</v>
          </cell>
        </row>
        <row r="141">
          <cell r="F141" t="str">
            <v>BUEA</v>
          </cell>
          <cell r="G141" t="str">
            <v>Sud-Ouest</v>
          </cell>
          <cell r="H141">
            <v>28</v>
          </cell>
          <cell r="I141" t="str">
            <v>M</v>
          </cell>
          <cell r="J141" t="str">
            <v>POSITIF</v>
          </cell>
        </row>
        <row r="142">
          <cell r="F142" t="str">
            <v>LIMBE</v>
          </cell>
          <cell r="G142" t="str">
            <v>Sud-Ouest</v>
          </cell>
          <cell r="H142">
            <v>24</v>
          </cell>
          <cell r="I142" t="str">
            <v>F</v>
          </cell>
          <cell r="J142" t="str">
            <v>POSITIF</v>
          </cell>
        </row>
        <row r="143">
          <cell r="F143" t="str">
            <v>KUMBA NORTH</v>
          </cell>
          <cell r="G143" t="str">
            <v>Sud-Ouest</v>
          </cell>
          <cell r="H143">
            <v>54</v>
          </cell>
          <cell r="I143" t="str">
            <v>M</v>
          </cell>
          <cell r="J143" t="str">
            <v>POSITIF</v>
          </cell>
        </row>
        <row r="144">
          <cell r="F144" t="str">
            <v>FOTOKOL</v>
          </cell>
          <cell r="G144" t="str">
            <v>Extreme-Nord</v>
          </cell>
          <cell r="H144">
            <v>0.8</v>
          </cell>
          <cell r="I144" t="str">
            <v>M</v>
          </cell>
          <cell r="J144" t="str">
            <v>POSITIF</v>
          </cell>
        </row>
        <row r="145">
          <cell r="F145" t="str">
            <v>NEW_BELL</v>
          </cell>
          <cell r="G145" t="str">
            <v>Littoral</v>
          </cell>
          <cell r="H145">
            <v>23</v>
          </cell>
          <cell r="I145" t="str">
            <v>M</v>
          </cell>
          <cell r="J145" t="str">
            <v>POSITIF</v>
          </cell>
        </row>
        <row r="146">
          <cell r="F146" t="str">
            <v>MORA</v>
          </cell>
          <cell r="G146" t="str">
            <v>Extreme-Nord</v>
          </cell>
          <cell r="H146">
            <v>12</v>
          </cell>
          <cell r="I146" t="str">
            <v>M</v>
          </cell>
          <cell r="J146" t="str">
            <v>POSITIF</v>
          </cell>
        </row>
        <row r="147">
          <cell r="F147" t="str">
            <v>LIMBE</v>
          </cell>
          <cell r="G147" t="str">
            <v>Sud-Ouest</v>
          </cell>
          <cell r="H147">
            <v>52</v>
          </cell>
          <cell r="I147" t="str">
            <v>F</v>
          </cell>
          <cell r="J147" t="str">
            <v>POSITIF</v>
          </cell>
        </row>
        <row r="148">
          <cell r="F148" t="str">
            <v>Ekondo Titi</v>
          </cell>
          <cell r="G148" t="str">
            <v>Sud-Ouest</v>
          </cell>
          <cell r="H148">
            <v>4</v>
          </cell>
          <cell r="I148" t="str">
            <v>M</v>
          </cell>
          <cell r="J148" t="str">
            <v>POSITIF</v>
          </cell>
        </row>
        <row r="149">
          <cell r="F149" t="str">
            <v xml:space="preserve">Tiko </v>
          </cell>
          <cell r="G149" t="str">
            <v>Sud-Ouest</v>
          </cell>
          <cell r="H149">
            <v>60</v>
          </cell>
          <cell r="I149" t="str">
            <v>F</v>
          </cell>
          <cell r="J149" t="str">
            <v>POSITIF</v>
          </cell>
        </row>
        <row r="150">
          <cell r="F150" t="str">
            <v>NJOMBE_PENJA</v>
          </cell>
          <cell r="G150" t="str">
            <v>Littoral</v>
          </cell>
          <cell r="H150">
            <v>26</v>
          </cell>
          <cell r="I150" t="str">
            <v>F</v>
          </cell>
          <cell r="J150" t="str">
            <v>POSITIF</v>
          </cell>
        </row>
        <row r="151">
          <cell r="F151" t="str">
            <v>LOGBABA</v>
          </cell>
          <cell r="G151" t="str">
            <v>Littoral</v>
          </cell>
          <cell r="H151">
            <v>46</v>
          </cell>
          <cell r="I151" t="str">
            <v>F</v>
          </cell>
          <cell r="J151" t="str">
            <v>POSITIF</v>
          </cell>
        </row>
        <row r="152">
          <cell r="F152" t="str">
            <v>LIMBE</v>
          </cell>
          <cell r="G152" t="str">
            <v>Sud-Ouest</v>
          </cell>
          <cell r="H152">
            <v>22</v>
          </cell>
          <cell r="I152" t="str">
            <v>F</v>
          </cell>
          <cell r="J152" t="str">
            <v>POSITIF</v>
          </cell>
        </row>
        <row r="153">
          <cell r="F153" t="str">
            <v>LIMBE</v>
          </cell>
          <cell r="G153" t="str">
            <v>Sud-Ouest</v>
          </cell>
          <cell r="H153">
            <v>49</v>
          </cell>
          <cell r="I153" t="str">
            <v>M</v>
          </cell>
          <cell r="J153" t="str">
            <v>POSITIF</v>
          </cell>
        </row>
        <row r="154">
          <cell r="F154" t="str">
            <v xml:space="preserve">Tiko </v>
          </cell>
          <cell r="G154" t="str">
            <v>Sud-Ouest</v>
          </cell>
          <cell r="H154">
            <v>3</v>
          </cell>
          <cell r="I154" t="str">
            <v>F</v>
          </cell>
          <cell r="J154" t="str">
            <v>POSITIF</v>
          </cell>
        </row>
        <row r="155">
          <cell r="F155" t="str">
            <v>LIMBE</v>
          </cell>
          <cell r="G155" t="str">
            <v>Sud-Ouest</v>
          </cell>
          <cell r="H155">
            <v>27</v>
          </cell>
          <cell r="I155" t="str">
            <v>F</v>
          </cell>
          <cell r="J155" t="str">
            <v>POSITIF</v>
          </cell>
        </row>
        <row r="156">
          <cell r="F156" t="str">
            <v>BOKO</v>
          </cell>
          <cell r="G156" t="str">
            <v>Littoral</v>
          </cell>
          <cell r="H156">
            <v>28</v>
          </cell>
          <cell r="I156" t="str">
            <v>F</v>
          </cell>
          <cell r="J156" t="str">
            <v>POSITIF</v>
          </cell>
        </row>
        <row r="157">
          <cell r="F157" t="str">
            <v xml:space="preserve">Tiko </v>
          </cell>
          <cell r="G157" t="str">
            <v>Sud-Ouest</v>
          </cell>
          <cell r="H157">
            <v>24</v>
          </cell>
          <cell r="I157" t="str">
            <v>M</v>
          </cell>
          <cell r="J157" t="str">
            <v>POSITIF</v>
          </cell>
        </row>
        <row r="158">
          <cell r="F158" t="str">
            <v>BUEA</v>
          </cell>
          <cell r="G158" t="str">
            <v>Sud-Ouest</v>
          </cell>
          <cell r="H158">
            <v>15</v>
          </cell>
          <cell r="I158" t="str">
            <v>F</v>
          </cell>
          <cell r="J158" t="str">
            <v>POSITIF</v>
          </cell>
        </row>
        <row r="159">
          <cell r="F159" t="str">
            <v>DEIDO</v>
          </cell>
          <cell r="G159" t="str">
            <v>LITTORAL</v>
          </cell>
          <cell r="H159">
            <v>20</v>
          </cell>
          <cell r="I159" t="str">
            <v>M</v>
          </cell>
          <cell r="J159" t="str">
            <v>POSITIF</v>
          </cell>
        </row>
        <row r="160">
          <cell r="F160" t="str">
            <v>BONASSAMA</v>
          </cell>
          <cell r="G160" t="str">
            <v>Littoral</v>
          </cell>
          <cell r="H160">
            <v>40</v>
          </cell>
          <cell r="I160" t="str">
            <v>M</v>
          </cell>
          <cell r="J160" t="str">
            <v>POSITIF</v>
          </cell>
        </row>
        <row r="161">
          <cell r="F161" t="str">
            <v>DEIDO</v>
          </cell>
          <cell r="G161" t="str">
            <v>LITTORAL</v>
          </cell>
          <cell r="H161">
            <v>26</v>
          </cell>
          <cell r="I161" t="str">
            <v>F</v>
          </cell>
          <cell r="J161" t="str">
            <v>POSITIF</v>
          </cell>
        </row>
        <row r="162">
          <cell r="F162" t="str">
            <v>BOKO</v>
          </cell>
          <cell r="G162" t="str">
            <v>Littoral</v>
          </cell>
          <cell r="H162">
            <v>29</v>
          </cell>
          <cell r="I162" t="str">
            <v>M</v>
          </cell>
          <cell r="J162" t="str">
            <v>POSITIF</v>
          </cell>
        </row>
        <row r="163">
          <cell r="F163" t="str">
            <v>CITE_DES_PALMIERS</v>
          </cell>
          <cell r="G163" t="str">
            <v>Littoral</v>
          </cell>
          <cell r="H163">
            <v>47</v>
          </cell>
          <cell r="I163" t="str">
            <v>F</v>
          </cell>
          <cell r="J163" t="str">
            <v>POSITIF</v>
          </cell>
        </row>
        <row r="164">
          <cell r="F164" t="str">
            <v>Limbe</v>
          </cell>
          <cell r="G164" t="str">
            <v>Sud-Ouest</v>
          </cell>
          <cell r="H164">
            <v>28</v>
          </cell>
          <cell r="I164" t="str">
            <v>M</v>
          </cell>
          <cell r="J164" t="str">
            <v>POSITIF</v>
          </cell>
        </row>
        <row r="165">
          <cell r="F165" t="str">
            <v>LIMBE</v>
          </cell>
          <cell r="G165" t="str">
            <v>Sud-Ouest</v>
          </cell>
          <cell r="H165">
            <v>34</v>
          </cell>
          <cell r="I165" t="str">
            <v>M</v>
          </cell>
          <cell r="J165" t="str">
            <v>POSITIF</v>
          </cell>
        </row>
        <row r="166">
          <cell r="F166" t="str">
            <v>LIMBE</v>
          </cell>
          <cell r="G166" t="str">
            <v>Sud-Ouest</v>
          </cell>
          <cell r="H166">
            <v>10</v>
          </cell>
          <cell r="I166" t="str">
            <v>F</v>
          </cell>
          <cell r="J166" t="str">
            <v>POSITIF</v>
          </cell>
        </row>
        <row r="167">
          <cell r="F167" t="str">
            <v>Limbe</v>
          </cell>
          <cell r="G167" t="str">
            <v>Sud-Ouest</v>
          </cell>
          <cell r="H167">
            <v>2</v>
          </cell>
          <cell r="I167" t="str">
            <v>M</v>
          </cell>
          <cell r="J167" t="str">
            <v>POSITIF</v>
          </cell>
        </row>
        <row r="168">
          <cell r="F168" t="str">
            <v xml:space="preserve">Tiko </v>
          </cell>
          <cell r="G168" t="str">
            <v>Sud-Ouest</v>
          </cell>
          <cell r="H168">
            <v>40</v>
          </cell>
          <cell r="I168" t="str">
            <v>F</v>
          </cell>
          <cell r="J168" t="str">
            <v>POSITIF</v>
          </cell>
        </row>
        <row r="169">
          <cell r="F169" t="str">
            <v>BUEA</v>
          </cell>
          <cell r="G169" t="str">
            <v>Sud-Ouest</v>
          </cell>
          <cell r="H169">
            <v>36</v>
          </cell>
          <cell r="I169" t="str">
            <v>M</v>
          </cell>
          <cell r="J169" t="str">
            <v>POSITIF</v>
          </cell>
        </row>
        <row r="170">
          <cell r="F170" t="str">
            <v xml:space="preserve">Tiko </v>
          </cell>
          <cell r="G170" t="str">
            <v>Sud-Ouest</v>
          </cell>
          <cell r="H170">
            <v>10</v>
          </cell>
          <cell r="I170" t="str">
            <v>F</v>
          </cell>
          <cell r="J170" t="str">
            <v>POSITIF</v>
          </cell>
        </row>
        <row r="171">
          <cell r="F171" t="str">
            <v>LIMBE</v>
          </cell>
          <cell r="G171" t="str">
            <v>Sud-Ouest</v>
          </cell>
          <cell r="H171">
            <v>27</v>
          </cell>
          <cell r="I171" t="str">
            <v>M</v>
          </cell>
          <cell r="J171" t="str">
            <v>POSITIF</v>
          </cell>
        </row>
        <row r="172">
          <cell r="F172" t="str">
            <v xml:space="preserve">Tiko </v>
          </cell>
          <cell r="G172" t="str">
            <v>Sud-Ouest</v>
          </cell>
          <cell r="H172">
            <v>2</v>
          </cell>
          <cell r="I172" t="str">
            <v>M</v>
          </cell>
          <cell r="J172" t="str">
            <v>POSITIF</v>
          </cell>
        </row>
        <row r="173">
          <cell r="F173" t="str">
            <v>Ekondo Titi</v>
          </cell>
          <cell r="G173" t="str">
            <v>Sud-Ouest</v>
          </cell>
          <cell r="H173">
            <v>13</v>
          </cell>
          <cell r="I173" t="str">
            <v>M</v>
          </cell>
          <cell r="J173" t="str">
            <v>POSITIF</v>
          </cell>
        </row>
        <row r="174">
          <cell r="F174" t="str">
            <v>BONASSAMA</v>
          </cell>
          <cell r="G174" t="str">
            <v>Littoral</v>
          </cell>
          <cell r="H174">
            <v>36</v>
          </cell>
          <cell r="I174" t="str">
            <v>M</v>
          </cell>
          <cell r="J174" t="str">
            <v>POSITIF</v>
          </cell>
        </row>
        <row r="175">
          <cell r="F175" t="str">
            <v>LIMBE</v>
          </cell>
          <cell r="G175" t="str">
            <v>Sud-Ouest</v>
          </cell>
          <cell r="H175">
            <v>87</v>
          </cell>
          <cell r="I175" t="str">
            <v>F</v>
          </cell>
          <cell r="J175" t="str">
            <v>POSITIF</v>
          </cell>
        </row>
        <row r="176">
          <cell r="F176" t="str">
            <v>Limbe</v>
          </cell>
          <cell r="G176" t="str">
            <v>Sud-Ouest</v>
          </cell>
          <cell r="H176">
            <v>6</v>
          </cell>
          <cell r="I176" t="str">
            <v>F</v>
          </cell>
          <cell r="J176" t="str">
            <v>POSITIF</v>
          </cell>
        </row>
        <row r="177">
          <cell r="F177" t="str">
            <v>LIMBE</v>
          </cell>
          <cell r="G177" t="str">
            <v>Sud-Ouest</v>
          </cell>
          <cell r="H177">
            <v>32</v>
          </cell>
          <cell r="I177" t="str">
            <v>F</v>
          </cell>
          <cell r="J177" t="str">
            <v>POSITIF</v>
          </cell>
        </row>
        <row r="178">
          <cell r="F178" t="str">
            <v>LIMBE</v>
          </cell>
          <cell r="G178" t="str">
            <v>Sud-Ouest</v>
          </cell>
          <cell r="H178">
            <v>8</v>
          </cell>
          <cell r="I178" t="str">
            <v>F</v>
          </cell>
          <cell r="J178" t="str">
            <v>POSITIF</v>
          </cell>
        </row>
        <row r="179">
          <cell r="F179" t="str">
            <v>NEW_BELL</v>
          </cell>
          <cell r="G179" t="str">
            <v>Littoral</v>
          </cell>
          <cell r="H179">
            <v>11</v>
          </cell>
          <cell r="I179" t="str">
            <v>M</v>
          </cell>
          <cell r="J179" t="str">
            <v>POSITIF</v>
          </cell>
        </row>
        <row r="180">
          <cell r="F180" t="str">
            <v>MORA</v>
          </cell>
          <cell r="G180" t="str">
            <v>Extreme-Nord</v>
          </cell>
          <cell r="H180">
            <v>30</v>
          </cell>
          <cell r="I180" t="str">
            <v>F</v>
          </cell>
          <cell r="J180" t="str">
            <v>POSITIF</v>
          </cell>
        </row>
        <row r="181">
          <cell r="F181" t="str">
            <v>LIMBE</v>
          </cell>
          <cell r="G181" t="str">
            <v>Sud-Ouest</v>
          </cell>
          <cell r="H181">
            <v>52</v>
          </cell>
          <cell r="I181" t="str">
            <v>M</v>
          </cell>
          <cell r="J181" t="str">
            <v>POSITIF</v>
          </cell>
        </row>
        <row r="182">
          <cell r="F182" t="str">
            <v>LIMBE</v>
          </cell>
          <cell r="G182" t="str">
            <v>Sud-Ouest</v>
          </cell>
          <cell r="H182">
            <v>50</v>
          </cell>
          <cell r="I182" t="str">
            <v>F</v>
          </cell>
          <cell r="J182" t="str">
            <v>POSITIF</v>
          </cell>
        </row>
        <row r="183">
          <cell r="F183" t="str">
            <v>KUMBA SOUTH</v>
          </cell>
          <cell r="G183" t="str">
            <v>Sud-Ouest</v>
          </cell>
          <cell r="H183">
            <v>9</v>
          </cell>
          <cell r="I183" t="str">
            <v>F</v>
          </cell>
          <cell r="J183" t="str">
            <v>POSITIF</v>
          </cell>
        </row>
        <row r="184">
          <cell r="F184" t="str">
            <v xml:space="preserve">Tiko </v>
          </cell>
          <cell r="G184" t="str">
            <v>Sud-Ouest</v>
          </cell>
          <cell r="H184">
            <v>11</v>
          </cell>
          <cell r="I184" t="str">
            <v>F</v>
          </cell>
          <cell r="J184" t="str">
            <v>POSITIF</v>
          </cell>
        </row>
        <row r="185">
          <cell r="F185" t="str">
            <v>NEW_BELL</v>
          </cell>
          <cell r="G185" t="str">
            <v>Littoral</v>
          </cell>
          <cell r="H185">
            <v>53</v>
          </cell>
          <cell r="I185" t="str">
            <v>F</v>
          </cell>
          <cell r="J185" t="str">
            <v>POSITIF</v>
          </cell>
        </row>
        <row r="186">
          <cell r="F186" t="str">
            <v>LIMBE</v>
          </cell>
          <cell r="G186" t="str">
            <v>Sud-Ouest</v>
          </cell>
          <cell r="H186">
            <v>8</v>
          </cell>
          <cell r="I186" t="str">
            <v>F</v>
          </cell>
          <cell r="J186" t="str">
            <v>POSITIF</v>
          </cell>
        </row>
        <row r="187">
          <cell r="F187" t="str">
            <v>LIMBE</v>
          </cell>
          <cell r="G187" t="str">
            <v>Sud-Ouest</v>
          </cell>
          <cell r="H187">
            <v>19</v>
          </cell>
          <cell r="I187" t="str">
            <v>F</v>
          </cell>
          <cell r="J187" t="str">
            <v>POSITIF</v>
          </cell>
        </row>
        <row r="188">
          <cell r="F188" t="str">
            <v>LIMBE</v>
          </cell>
          <cell r="G188" t="str">
            <v>Sud-Ouest</v>
          </cell>
          <cell r="H188">
            <v>45</v>
          </cell>
          <cell r="I188" t="str">
            <v>F</v>
          </cell>
          <cell r="J188" t="str">
            <v>POSITIF</v>
          </cell>
        </row>
        <row r="189">
          <cell r="F189" t="str">
            <v>Ekondo Titi</v>
          </cell>
          <cell r="G189" t="str">
            <v>Sud-Ouest</v>
          </cell>
          <cell r="H189">
            <v>30</v>
          </cell>
          <cell r="I189" t="str">
            <v>F</v>
          </cell>
          <cell r="J189" t="str">
            <v>POSITIF</v>
          </cell>
        </row>
        <row r="190">
          <cell r="F190" t="str">
            <v>Ekondo Titi</v>
          </cell>
          <cell r="G190" t="str">
            <v>Sud-Ouest</v>
          </cell>
          <cell r="H190">
            <v>17</v>
          </cell>
          <cell r="I190" t="str">
            <v>F</v>
          </cell>
          <cell r="J190" t="str">
            <v>POSITIF</v>
          </cell>
        </row>
        <row r="191">
          <cell r="F191" t="str">
            <v>LIMBE</v>
          </cell>
          <cell r="G191" t="str">
            <v>Sud-Ouest</v>
          </cell>
          <cell r="H191">
            <v>22</v>
          </cell>
          <cell r="I191" t="str">
            <v>M</v>
          </cell>
          <cell r="J191" t="str">
            <v>POSITIF</v>
          </cell>
        </row>
        <row r="192">
          <cell r="F192" t="str">
            <v>BUEA</v>
          </cell>
          <cell r="G192" t="str">
            <v>Sud-Ouest</v>
          </cell>
          <cell r="H192">
            <v>52</v>
          </cell>
          <cell r="I192" t="str">
            <v>F</v>
          </cell>
          <cell r="J192" t="str">
            <v>POSITIF</v>
          </cell>
        </row>
        <row r="193">
          <cell r="F193" t="str">
            <v>LIMBE</v>
          </cell>
          <cell r="G193" t="str">
            <v>Sud-Ouest</v>
          </cell>
          <cell r="H193">
            <v>35</v>
          </cell>
          <cell r="I193" t="str">
            <v>M</v>
          </cell>
          <cell r="J193" t="str">
            <v>POSITIF</v>
          </cell>
        </row>
        <row r="194">
          <cell r="F194" t="str">
            <v>MORA</v>
          </cell>
          <cell r="G194" t="str">
            <v>Extreme-Nord</v>
          </cell>
          <cell r="H194">
            <v>41</v>
          </cell>
          <cell r="I194" t="str">
            <v>F</v>
          </cell>
          <cell r="J194" t="str">
            <v>POSITIF</v>
          </cell>
        </row>
        <row r="195">
          <cell r="F195" t="str">
            <v>KUMBA SOUTH</v>
          </cell>
          <cell r="G195" t="str">
            <v>Sud-Ouest</v>
          </cell>
          <cell r="H195">
            <v>2</v>
          </cell>
          <cell r="I195" t="str">
            <v>M</v>
          </cell>
          <cell r="J195" t="str">
            <v>POSITIF</v>
          </cell>
        </row>
        <row r="196">
          <cell r="F196" t="str">
            <v>BUEA</v>
          </cell>
          <cell r="G196" t="str">
            <v>Sud-Ouest</v>
          </cell>
          <cell r="H196">
            <v>19</v>
          </cell>
          <cell r="I196" t="str">
            <v>M</v>
          </cell>
          <cell r="J196" t="str">
            <v>POSITIF</v>
          </cell>
        </row>
        <row r="197">
          <cell r="F197" t="str">
            <v xml:space="preserve">Tiko </v>
          </cell>
          <cell r="G197" t="str">
            <v>Sud-Ouest</v>
          </cell>
          <cell r="H197">
            <v>48</v>
          </cell>
          <cell r="I197" t="str">
            <v>F</v>
          </cell>
          <cell r="J197" t="str">
            <v>POSITIF</v>
          </cell>
        </row>
        <row r="198">
          <cell r="F198" t="str">
            <v>LIMBE</v>
          </cell>
          <cell r="G198" t="str">
            <v>Sud-Ouest</v>
          </cell>
          <cell r="H198">
            <v>21</v>
          </cell>
          <cell r="I198" t="str">
            <v>F</v>
          </cell>
          <cell r="J198" t="str">
            <v>POSITIF</v>
          </cell>
        </row>
        <row r="199">
          <cell r="F199" t="str">
            <v>Bakassi</v>
          </cell>
          <cell r="G199" t="str">
            <v>Sud-Ouest</v>
          </cell>
          <cell r="H199">
            <v>30</v>
          </cell>
          <cell r="I199" t="str">
            <v>M</v>
          </cell>
          <cell r="J199" t="str">
            <v>POSITIF</v>
          </cell>
        </row>
        <row r="200">
          <cell r="F200" t="str">
            <v>LIMBE</v>
          </cell>
          <cell r="G200" t="str">
            <v>Sud-Ouest</v>
          </cell>
          <cell r="H200">
            <v>23</v>
          </cell>
          <cell r="I200" t="str">
            <v>M</v>
          </cell>
          <cell r="J200" t="str">
            <v>POSITIF</v>
          </cell>
        </row>
        <row r="201">
          <cell r="F201" t="str">
            <v>LIMBE</v>
          </cell>
          <cell r="G201" t="str">
            <v>Sud-Ouest</v>
          </cell>
          <cell r="H201">
            <v>12</v>
          </cell>
          <cell r="I201" t="str">
            <v>F</v>
          </cell>
          <cell r="J201" t="str">
            <v>POSITIF</v>
          </cell>
        </row>
        <row r="202">
          <cell r="F202" t="str">
            <v>LIMBE</v>
          </cell>
          <cell r="G202" t="str">
            <v>Sud-Ouest</v>
          </cell>
          <cell r="H202">
            <v>11</v>
          </cell>
          <cell r="I202" t="str">
            <v>F</v>
          </cell>
          <cell r="J202" t="str">
            <v>POSITIF</v>
          </cell>
        </row>
        <row r="203">
          <cell r="F203" t="str">
            <v>Bakassi</v>
          </cell>
          <cell r="G203" t="str">
            <v>Sud-Ouest</v>
          </cell>
          <cell r="H203">
            <v>20</v>
          </cell>
          <cell r="I203" t="str">
            <v>M</v>
          </cell>
          <cell r="J203" t="str">
            <v>POSITIF</v>
          </cell>
        </row>
        <row r="204">
          <cell r="F204" t="str">
            <v>FOTOKOL</v>
          </cell>
          <cell r="G204" t="str">
            <v>Extreme-Nord</v>
          </cell>
          <cell r="H204">
            <v>10</v>
          </cell>
          <cell r="I204" t="str">
            <v>F</v>
          </cell>
          <cell r="J204" t="str">
            <v>POSITIF</v>
          </cell>
        </row>
        <row r="205">
          <cell r="F205" t="str">
            <v xml:space="preserve">Tiko </v>
          </cell>
          <cell r="G205" t="str">
            <v>Sud-Ouest</v>
          </cell>
          <cell r="H205">
            <v>27</v>
          </cell>
          <cell r="I205" t="str">
            <v>M</v>
          </cell>
          <cell r="J205" t="str">
            <v>POSITIF</v>
          </cell>
        </row>
        <row r="206">
          <cell r="F206" t="str">
            <v>BUEA</v>
          </cell>
          <cell r="G206" t="str">
            <v>Sud-Ouest</v>
          </cell>
          <cell r="H206">
            <v>12</v>
          </cell>
          <cell r="I206" t="str">
            <v>F</v>
          </cell>
          <cell r="J206" t="str">
            <v>POSITIF</v>
          </cell>
        </row>
        <row r="207">
          <cell r="F207" t="str">
            <v>BUEA</v>
          </cell>
          <cell r="G207" t="str">
            <v>Sud-Ouest</v>
          </cell>
          <cell r="H207">
            <v>64</v>
          </cell>
          <cell r="I207" t="str">
            <v>F</v>
          </cell>
          <cell r="J207" t="str">
            <v>POSITIF</v>
          </cell>
        </row>
        <row r="208">
          <cell r="F208" t="str">
            <v>LIMBE</v>
          </cell>
          <cell r="G208" t="str">
            <v>Sud-Ouest</v>
          </cell>
          <cell r="H208">
            <v>70</v>
          </cell>
          <cell r="I208" t="str">
            <v>F</v>
          </cell>
          <cell r="J208" t="str">
            <v>POSITIF</v>
          </cell>
        </row>
        <row r="209">
          <cell r="F209" t="str">
            <v xml:space="preserve">Tiko </v>
          </cell>
          <cell r="G209" t="str">
            <v>Sud-Ouest</v>
          </cell>
          <cell r="H209">
            <v>28</v>
          </cell>
          <cell r="I209" t="str">
            <v>F</v>
          </cell>
          <cell r="J209" t="str">
            <v>POSITIF</v>
          </cell>
        </row>
        <row r="210">
          <cell r="F210" t="str">
            <v xml:space="preserve">Tiko </v>
          </cell>
          <cell r="G210" t="str">
            <v>Sud-Ouest</v>
          </cell>
          <cell r="H210">
            <v>4</v>
          </cell>
          <cell r="I210" t="str">
            <v>F</v>
          </cell>
          <cell r="J210" t="str">
            <v>POSITIF</v>
          </cell>
        </row>
        <row r="211">
          <cell r="F211" t="str">
            <v xml:space="preserve">Tiko </v>
          </cell>
          <cell r="G211" t="str">
            <v>Sud-Ouest</v>
          </cell>
          <cell r="H211">
            <v>4</v>
          </cell>
          <cell r="I211" t="str">
            <v>F</v>
          </cell>
          <cell r="J211" t="str">
            <v>POSITIF</v>
          </cell>
        </row>
        <row r="212">
          <cell r="F212" t="str">
            <v>LIMBE</v>
          </cell>
          <cell r="G212" t="str">
            <v>Sud-Ouest</v>
          </cell>
          <cell r="H212">
            <v>23</v>
          </cell>
          <cell r="I212" t="str">
            <v>F</v>
          </cell>
          <cell r="J212" t="str">
            <v>POSITIF</v>
          </cell>
        </row>
        <row r="213">
          <cell r="F213" t="str">
            <v>BUEA</v>
          </cell>
          <cell r="G213" t="str">
            <v>Sud-Ouest</v>
          </cell>
          <cell r="H213">
            <v>12</v>
          </cell>
          <cell r="I213" t="str">
            <v>F</v>
          </cell>
          <cell r="J213" t="str">
            <v>POSITIF</v>
          </cell>
        </row>
        <row r="214">
          <cell r="F214" t="str">
            <v>BUEA</v>
          </cell>
          <cell r="G214" t="str">
            <v>Sud-Ouest</v>
          </cell>
          <cell r="H214">
            <v>60</v>
          </cell>
          <cell r="I214" t="str">
            <v>F</v>
          </cell>
          <cell r="J214" t="str">
            <v>POSITIF</v>
          </cell>
        </row>
        <row r="215">
          <cell r="F215" t="str">
            <v>LIMBE</v>
          </cell>
          <cell r="G215" t="str">
            <v>Sud-Ouest</v>
          </cell>
          <cell r="H215">
            <v>2</v>
          </cell>
          <cell r="I215" t="str">
            <v>F</v>
          </cell>
          <cell r="J215" t="str">
            <v>POSITIF</v>
          </cell>
        </row>
        <row r="216">
          <cell r="F216" t="str">
            <v>LIMBE</v>
          </cell>
          <cell r="G216" t="str">
            <v>Sud-Ouest</v>
          </cell>
          <cell r="H216">
            <v>16</v>
          </cell>
          <cell r="I216" t="str">
            <v>M</v>
          </cell>
          <cell r="J216" t="str">
            <v>POSITIF</v>
          </cell>
        </row>
        <row r="217">
          <cell r="F217" t="str">
            <v>BOKO</v>
          </cell>
          <cell r="G217" t="str">
            <v>Littoral</v>
          </cell>
          <cell r="H217">
            <v>16</v>
          </cell>
          <cell r="I217" t="str">
            <v>F</v>
          </cell>
          <cell r="J217" t="str">
            <v>POSITIF</v>
          </cell>
        </row>
        <row r="218">
          <cell r="F218" t="str">
            <v>BUEA</v>
          </cell>
          <cell r="G218" t="str">
            <v>Sud-Ouest</v>
          </cell>
          <cell r="H218">
            <v>43</v>
          </cell>
          <cell r="I218" t="str">
            <v>M</v>
          </cell>
          <cell r="J218" t="str">
            <v>POSITIF</v>
          </cell>
        </row>
        <row r="219">
          <cell r="F219" t="str">
            <v>BUEA</v>
          </cell>
          <cell r="G219" t="str">
            <v>Sud-Ouest</v>
          </cell>
          <cell r="H219">
            <v>22</v>
          </cell>
          <cell r="I219" t="str">
            <v>M</v>
          </cell>
          <cell r="J219" t="str">
            <v>POSITIF</v>
          </cell>
        </row>
        <row r="220">
          <cell r="F220" t="str">
            <v>BUEA</v>
          </cell>
          <cell r="G220" t="str">
            <v>Sud-Ouest</v>
          </cell>
          <cell r="H220">
            <v>7</v>
          </cell>
          <cell r="I220" t="str">
            <v>M</v>
          </cell>
          <cell r="J220" t="str">
            <v>POSITIF</v>
          </cell>
        </row>
        <row r="221">
          <cell r="F221" t="str">
            <v>LIMBE</v>
          </cell>
          <cell r="G221" t="str">
            <v>Sud-Ouest</v>
          </cell>
          <cell r="H221">
            <v>35</v>
          </cell>
          <cell r="I221" t="str">
            <v>F</v>
          </cell>
          <cell r="J221" t="str">
            <v>POSITIF</v>
          </cell>
        </row>
        <row r="222">
          <cell r="F222" t="str">
            <v xml:space="preserve">Tiko </v>
          </cell>
          <cell r="G222" t="str">
            <v>Sud-Ouest</v>
          </cell>
          <cell r="H222">
            <v>1</v>
          </cell>
          <cell r="I222" t="str">
            <v>F</v>
          </cell>
          <cell r="J222" t="str">
            <v>POSITIF</v>
          </cell>
        </row>
        <row r="223">
          <cell r="F223" t="str">
            <v>DEIDO</v>
          </cell>
          <cell r="G223" t="str">
            <v>Littoral</v>
          </cell>
          <cell r="H223">
            <v>35</v>
          </cell>
          <cell r="I223" t="str">
            <v>M</v>
          </cell>
          <cell r="J223" t="str">
            <v>POSITIF</v>
          </cell>
        </row>
        <row r="224">
          <cell r="F224" t="str">
            <v>LIMBE</v>
          </cell>
          <cell r="G224" t="str">
            <v>Sud-Ouest</v>
          </cell>
          <cell r="H224">
            <v>18</v>
          </cell>
          <cell r="I224" t="str">
            <v>F</v>
          </cell>
          <cell r="J224" t="str">
            <v>POSITIF</v>
          </cell>
        </row>
        <row r="225">
          <cell r="F225" t="str">
            <v>BUEA</v>
          </cell>
          <cell r="G225" t="str">
            <v>Sud-Ouest</v>
          </cell>
          <cell r="H225">
            <v>20</v>
          </cell>
          <cell r="I225" t="str">
            <v>M</v>
          </cell>
          <cell r="J225" t="str">
            <v>POSITIF</v>
          </cell>
        </row>
        <row r="226">
          <cell r="F226" t="str">
            <v>LIMBE</v>
          </cell>
          <cell r="G226" t="str">
            <v>Sud-Ouest</v>
          </cell>
          <cell r="H226">
            <v>25</v>
          </cell>
          <cell r="I226" t="str">
            <v>F</v>
          </cell>
          <cell r="J226" t="str">
            <v>POSITIF</v>
          </cell>
        </row>
        <row r="227">
          <cell r="F227" t="str">
            <v>BANGUE</v>
          </cell>
          <cell r="G227" t="str">
            <v>LITTORAL</v>
          </cell>
          <cell r="H227">
            <v>20</v>
          </cell>
          <cell r="I227" t="str">
            <v>F</v>
          </cell>
          <cell r="J227" t="str">
            <v>POSITIF</v>
          </cell>
        </row>
        <row r="228">
          <cell r="F228" t="str">
            <v xml:space="preserve">Tiko </v>
          </cell>
          <cell r="G228" t="str">
            <v>Sud-Ouest</v>
          </cell>
          <cell r="H228">
            <v>1</v>
          </cell>
          <cell r="I228" t="str">
            <v>M</v>
          </cell>
          <cell r="J228" t="str">
            <v>POSITIF</v>
          </cell>
        </row>
        <row r="229">
          <cell r="F229" t="str">
            <v>LIMBE</v>
          </cell>
          <cell r="G229" t="str">
            <v>Sud-Ouest</v>
          </cell>
          <cell r="H229">
            <v>41</v>
          </cell>
          <cell r="I229" t="str">
            <v>M</v>
          </cell>
          <cell r="J229" t="str">
            <v>POSITIF</v>
          </cell>
        </row>
        <row r="230">
          <cell r="F230" t="str">
            <v xml:space="preserve">Tiko </v>
          </cell>
          <cell r="G230" t="str">
            <v>Sud-Ouest</v>
          </cell>
          <cell r="H230">
            <v>42</v>
          </cell>
          <cell r="I230" t="str">
            <v>F</v>
          </cell>
          <cell r="J230" t="str">
            <v>POSITIF</v>
          </cell>
        </row>
        <row r="231">
          <cell r="F231" t="str">
            <v>BUEA</v>
          </cell>
          <cell r="G231" t="str">
            <v>Sud-Ouest</v>
          </cell>
          <cell r="H231">
            <v>16</v>
          </cell>
          <cell r="I231" t="str">
            <v>F</v>
          </cell>
          <cell r="J231" t="str">
            <v>POSITIF</v>
          </cell>
        </row>
        <row r="232">
          <cell r="F232" t="str">
            <v>LIMBE</v>
          </cell>
          <cell r="G232" t="str">
            <v>Sud-Ouest</v>
          </cell>
          <cell r="H232">
            <v>1</v>
          </cell>
          <cell r="I232" t="str">
            <v>F</v>
          </cell>
          <cell r="J232" t="str">
            <v>POSITIF</v>
          </cell>
        </row>
        <row r="233">
          <cell r="F233" t="str">
            <v>Bakassi</v>
          </cell>
          <cell r="G233" t="str">
            <v>Sud-Ouest</v>
          </cell>
          <cell r="H233">
            <v>42</v>
          </cell>
          <cell r="I233" t="str">
            <v>F</v>
          </cell>
          <cell r="J233" t="str">
            <v>POSITIF</v>
          </cell>
        </row>
        <row r="234">
          <cell r="F234" t="str">
            <v xml:space="preserve">Tiko </v>
          </cell>
          <cell r="G234" t="str">
            <v>Sud-Ouest</v>
          </cell>
          <cell r="H234">
            <v>26</v>
          </cell>
          <cell r="I234" t="str">
            <v>F</v>
          </cell>
          <cell r="J234" t="str">
            <v>POSITIF</v>
          </cell>
        </row>
        <row r="235">
          <cell r="F235" t="str">
            <v>LIMBE</v>
          </cell>
          <cell r="G235" t="str">
            <v>Sud-Ouest</v>
          </cell>
          <cell r="H235">
            <v>33</v>
          </cell>
          <cell r="I235" t="str">
            <v>F</v>
          </cell>
          <cell r="J235" t="str">
            <v>POSITIF</v>
          </cell>
        </row>
        <row r="236">
          <cell r="F236" t="str">
            <v>BUEA</v>
          </cell>
          <cell r="G236" t="str">
            <v>Sud-Ouest</v>
          </cell>
          <cell r="H236">
            <v>23</v>
          </cell>
          <cell r="I236" t="str">
            <v>M</v>
          </cell>
          <cell r="J236" t="str">
            <v>POSITIF</v>
          </cell>
        </row>
        <row r="237">
          <cell r="F237" t="str">
            <v>Bakassi</v>
          </cell>
          <cell r="G237" t="str">
            <v>Sud-Ouest</v>
          </cell>
          <cell r="H237">
            <v>22</v>
          </cell>
          <cell r="I237" t="str">
            <v>F</v>
          </cell>
          <cell r="J237" t="str">
            <v>POSITIF</v>
          </cell>
        </row>
        <row r="238">
          <cell r="F238" t="str">
            <v>LIMBE</v>
          </cell>
          <cell r="G238" t="str">
            <v>Sud-Ouest</v>
          </cell>
          <cell r="H238">
            <v>20</v>
          </cell>
          <cell r="I238" t="str">
            <v>F</v>
          </cell>
          <cell r="J238" t="str">
            <v>POSITIF</v>
          </cell>
        </row>
        <row r="239">
          <cell r="F239" t="str">
            <v xml:space="preserve">Tiko </v>
          </cell>
          <cell r="G239" t="str">
            <v>Sud-Ouest</v>
          </cell>
          <cell r="H239">
            <v>3</v>
          </cell>
          <cell r="I239" t="str">
            <v>M</v>
          </cell>
          <cell r="J239" t="str">
            <v>POSITIF</v>
          </cell>
        </row>
        <row r="240">
          <cell r="F240" t="str">
            <v xml:space="preserve">Tiko </v>
          </cell>
          <cell r="G240" t="str">
            <v>Sud-Ouest</v>
          </cell>
          <cell r="H240">
            <v>3</v>
          </cell>
          <cell r="I240" t="str">
            <v>M</v>
          </cell>
          <cell r="J240" t="str">
            <v>POSITIF</v>
          </cell>
        </row>
        <row r="241">
          <cell r="F241" t="str">
            <v>LIMBE</v>
          </cell>
          <cell r="G241" t="str">
            <v>Sud-Ouest</v>
          </cell>
          <cell r="H241">
            <v>49</v>
          </cell>
          <cell r="I241" t="str">
            <v>F</v>
          </cell>
          <cell r="J241" t="str">
            <v>POSITIF</v>
          </cell>
        </row>
        <row r="242">
          <cell r="F242" t="str">
            <v xml:space="preserve">Tiko </v>
          </cell>
          <cell r="G242" t="str">
            <v>Sud-Ouest</v>
          </cell>
          <cell r="H242">
            <v>15</v>
          </cell>
          <cell r="I242" t="str">
            <v>F</v>
          </cell>
          <cell r="J242" t="str">
            <v>POSITIF</v>
          </cell>
        </row>
        <row r="243">
          <cell r="F243" t="str">
            <v>LIMBE</v>
          </cell>
          <cell r="G243" t="str">
            <v>Sud-Ouest</v>
          </cell>
          <cell r="H243">
            <v>29</v>
          </cell>
          <cell r="I243" t="str">
            <v>F</v>
          </cell>
          <cell r="J243" t="str">
            <v>POSITIF</v>
          </cell>
        </row>
        <row r="244">
          <cell r="F244" t="str">
            <v>BUEA</v>
          </cell>
          <cell r="G244" t="str">
            <v>Sud-Ouest</v>
          </cell>
          <cell r="H244">
            <v>35</v>
          </cell>
          <cell r="I244" t="str">
            <v>M</v>
          </cell>
          <cell r="J244" t="str">
            <v>POSITIF</v>
          </cell>
        </row>
        <row r="245">
          <cell r="F245" t="str">
            <v>LIMBE</v>
          </cell>
          <cell r="G245" t="str">
            <v>Sud-Ouest</v>
          </cell>
          <cell r="H245">
            <v>21</v>
          </cell>
          <cell r="I245" t="str">
            <v>F</v>
          </cell>
          <cell r="J245" t="str">
            <v>POSITIF</v>
          </cell>
        </row>
        <row r="246">
          <cell r="F246" t="str">
            <v>LIMBE</v>
          </cell>
          <cell r="G246" t="str">
            <v>Sud-Ouest</v>
          </cell>
          <cell r="H246">
            <v>62</v>
          </cell>
          <cell r="I246" t="str">
            <v>M</v>
          </cell>
          <cell r="J246" t="str">
            <v>POSITIF</v>
          </cell>
        </row>
        <row r="247">
          <cell r="F247" t="str">
            <v xml:space="preserve">Tiko </v>
          </cell>
          <cell r="G247" t="str">
            <v>Sud-Ouest</v>
          </cell>
          <cell r="H247">
            <v>33</v>
          </cell>
          <cell r="I247" t="str">
            <v>F</v>
          </cell>
          <cell r="J247" t="str">
            <v>POSITIF</v>
          </cell>
        </row>
        <row r="248">
          <cell r="F248" t="str">
            <v>LIMBE</v>
          </cell>
          <cell r="G248" t="str">
            <v>Sud-Ouest</v>
          </cell>
          <cell r="H248">
            <v>28</v>
          </cell>
          <cell r="I248" t="str">
            <v>M</v>
          </cell>
          <cell r="J248" t="str">
            <v>POSITIF</v>
          </cell>
        </row>
        <row r="249">
          <cell r="F249" t="str">
            <v>BUEA</v>
          </cell>
          <cell r="G249" t="str">
            <v>Sud-Ouest</v>
          </cell>
          <cell r="H249">
            <v>32</v>
          </cell>
          <cell r="I249" t="str">
            <v>F</v>
          </cell>
          <cell r="J249" t="str">
            <v>POSITIF</v>
          </cell>
        </row>
        <row r="250">
          <cell r="F250" t="str">
            <v>NEW_BELL</v>
          </cell>
          <cell r="G250" t="str">
            <v>Littoral</v>
          </cell>
          <cell r="H250">
            <v>25</v>
          </cell>
          <cell r="I250" t="str">
            <v>F</v>
          </cell>
          <cell r="J250" t="str">
            <v>POSITIF</v>
          </cell>
        </row>
        <row r="251">
          <cell r="F251" t="str">
            <v>BUEA</v>
          </cell>
          <cell r="G251" t="str">
            <v>Sud-Ouest</v>
          </cell>
          <cell r="H251">
            <v>4</v>
          </cell>
          <cell r="I251" t="str">
            <v>F</v>
          </cell>
          <cell r="J251" t="str">
            <v>POSITIF</v>
          </cell>
        </row>
        <row r="252">
          <cell r="F252" t="str">
            <v>MBANGA</v>
          </cell>
          <cell r="G252" t="str">
            <v>Littoral</v>
          </cell>
          <cell r="H252">
            <v>30</v>
          </cell>
          <cell r="I252" t="str">
            <v>M</v>
          </cell>
          <cell r="J252" t="str">
            <v>POSITIF</v>
          </cell>
        </row>
        <row r="253">
          <cell r="F253" t="str">
            <v xml:space="preserve">Tiko </v>
          </cell>
          <cell r="G253" t="str">
            <v>Sud-Ouest</v>
          </cell>
          <cell r="H253">
            <v>13</v>
          </cell>
          <cell r="I253" t="str">
            <v>F</v>
          </cell>
          <cell r="J253" t="str">
            <v>POSITIF</v>
          </cell>
        </row>
        <row r="254">
          <cell r="F254" t="str">
            <v>DEIDO</v>
          </cell>
          <cell r="G254" t="str">
            <v>LITTORAL</v>
          </cell>
          <cell r="I254" t="str">
            <v>M</v>
          </cell>
          <cell r="J254" t="str">
            <v>POSITIF</v>
          </cell>
        </row>
        <row r="255">
          <cell r="F255" t="str">
            <v>LIMBE</v>
          </cell>
          <cell r="G255" t="str">
            <v>Sud-Ouest</v>
          </cell>
          <cell r="H255">
            <v>21</v>
          </cell>
          <cell r="I255" t="str">
            <v>M</v>
          </cell>
          <cell r="J255" t="str">
            <v>POSITIF</v>
          </cell>
        </row>
        <row r="256">
          <cell r="F256" t="str">
            <v>KUMBA SOUTH</v>
          </cell>
          <cell r="G256" t="str">
            <v>Sud-Ouest</v>
          </cell>
          <cell r="H256">
            <v>1</v>
          </cell>
          <cell r="I256" t="str">
            <v>M</v>
          </cell>
          <cell r="J256" t="str">
            <v>POSITIF</v>
          </cell>
        </row>
        <row r="257">
          <cell r="F257" t="str">
            <v>BUEA</v>
          </cell>
          <cell r="G257" t="str">
            <v>Sud-Ouest</v>
          </cell>
          <cell r="H257">
            <v>28</v>
          </cell>
          <cell r="I257" t="str">
            <v>M</v>
          </cell>
          <cell r="J257" t="str">
            <v>POSITIF</v>
          </cell>
        </row>
        <row r="258">
          <cell r="F258" t="str">
            <v>LIMBE</v>
          </cell>
          <cell r="G258" t="str">
            <v>Sud-Ouest</v>
          </cell>
          <cell r="H258">
            <v>22</v>
          </cell>
          <cell r="I258" t="str">
            <v>M</v>
          </cell>
          <cell r="J258" t="str">
            <v>POSITIF</v>
          </cell>
        </row>
        <row r="259">
          <cell r="F259" t="str">
            <v>KUMBA SOUTH</v>
          </cell>
          <cell r="G259" t="str">
            <v>Sud-Ouest</v>
          </cell>
          <cell r="H259">
            <v>22</v>
          </cell>
          <cell r="I259" t="str">
            <v>F</v>
          </cell>
          <cell r="J259" t="str">
            <v>POSITIF</v>
          </cell>
        </row>
        <row r="260">
          <cell r="F260" t="str">
            <v>LIMBE</v>
          </cell>
          <cell r="G260" t="str">
            <v>Sud-Ouest</v>
          </cell>
          <cell r="H260">
            <v>30</v>
          </cell>
          <cell r="I260" t="str">
            <v>F</v>
          </cell>
          <cell r="J260" t="str">
            <v>POSITIF</v>
          </cell>
        </row>
        <row r="261">
          <cell r="F261" t="str">
            <v>BUEA</v>
          </cell>
          <cell r="G261" t="str">
            <v>Sud-Ouest</v>
          </cell>
          <cell r="H261">
            <v>13</v>
          </cell>
          <cell r="I261" t="str">
            <v>F</v>
          </cell>
          <cell r="J261" t="str">
            <v>POSITIF</v>
          </cell>
        </row>
        <row r="262">
          <cell r="F262" t="str">
            <v>LIMBE</v>
          </cell>
          <cell r="G262" t="str">
            <v>Sud-Ouest</v>
          </cell>
          <cell r="H262">
            <v>47</v>
          </cell>
          <cell r="I262" t="str">
            <v>M</v>
          </cell>
          <cell r="J262" t="str">
            <v>POSITIF</v>
          </cell>
        </row>
        <row r="263">
          <cell r="F263" t="str">
            <v>KUMBA SOUTH</v>
          </cell>
          <cell r="G263" t="str">
            <v>Sud-Ouest</v>
          </cell>
          <cell r="H263">
            <v>1</v>
          </cell>
          <cell r="I263" t="str">
            <v>M</v>
          </cell>
          <cell r="J263" t="str">
            <v>POSITIF</v>
          </cell>
        </row>
        <row r="264">
          <cell r="F264" t="str">
            <v>LIMBE</v>
          </cell>
          <cell r="G264" t="str">
            <v>Sud-Ouest</v>
          </cell>
          <cell r="H264">
            <v>48</v>
          </cell>
          <cell r="I264" t="str">
            <v>F</v>
          </cell>
          <cell r="J264" t="str">
            <v>POSITIF</v>
          </cell>
        </row>
        <row r="265">
          <cell r="F265" t="str">
            <v>BOKO</v>
          </cell>
          <cell r="G265" t="str">
            <v>Littoral</v>
          </cell>
          <cell r="H265">
            <v>45</v>
          </cell>
          <cell r="I265" t="str">
            <v>F</v>
          </cell>
          <cell r="J265" t="str">
            <v>POSITIF</v>
          </cell>
        </row>
        <row r="266">
          <cell r="F266" t="str">
            <v xml:space="preserve">Tiko </v>
          </cell>
          <cell r="G266" t="str">
            <v>Sud-Ouest</v>
          </cell>
          <cell r="H266">
            <v>17</v>
          </cell>
          <cell r="I266" t="str">
            <v>F</v>
          </cell>
          <cell r="J266" t="str">
            <v>POSITIF</v>
          </cell>
        </row>
        <row r="267">
          <cell r="F267" t="str">
            <v>LIMBE</v>
          </cell>
          <cell r="G267" t="str">
            <v>Sud-Ouest</v>
          </cell>
          <cell r="H267">
            <v>45</v>
          </cell>
          <cell r="I267" t="str">
            <v>M</v>
          </cell>
          <cell r="J267" t="str">
            <v>POSITIF</v>
          </cell>
        </row>
        <row r="268">
          <cell r="F268" t="str">
            <v>LIMBE</v>
          </cell>
          <cell r="G268" t="str">
            <v>Sud-Ouest</v>
          </cell>
          <cell r="H268">
            <v>8</v>
          </cell>
          <cell r="I268" t="str">
            <v>M</v>
          </cell>
          <cell r="J268" t="str">
            <v>POSITIF</v>
          </cell>
        </row>
        <row r="269">
          <cell r="F269" t="str">
            <v>CITE_DES_PALMIERS</v>
          </cell>
          <cell r="G269" t="str">
            <v>Littoral</v>
          </cell>
          <cell r="H269">
            <v>39</v>
          </cell>
          <cell r="I269" t="str">
            <v>F</v>
          </cell>
          <cell r="J269" t="str">
            <v>POSITIF</v>
          </cell>
        </row>
        <row r="270">
          <cell r="F270" t="str">
            <v>MIFI</v>
          </cell>
          <cell r="G270" t="str">
            <v>Ouest</v>
          </cell>
          <cell r="H270">
            <v>24</v>
          </cell>
          <cell r="I270" t="str">
            <v>F</v>
          </cell>
          <cell r="J270" t="str">
            <v>POSITIF</v>
          </cell>
        </row>
        <row r="271">
          <cell r="F271" t="str">
            <v>BUEA</v>
          </cell>
          <cell r="G271" t="str">
            <v>Sud-Ouest</v>
          </cell>
          <cell r="H271">
            <v>19</v>
          </cell>
          <cell r="I271" t="str">
            <v>M</v>
          </cell>
          <cell r="J271" t="str">
            <v>POSITIF</v>
          </cell>
        </row>
        <row r="272">
          <cell r="F272" t="str">
            <v>Ekondo Titi</v>
          </cell>
          <cell r="G272" t="str">
            <v>Sud-Ouest</v>
          </cell>
          <cell r="H272">
            <v>31</v>
          </cell>
          <cell r="I272" t="str">
            <v>M</v>
          </cell>
          <cell r="J272" t="str">
            <v>POSITIF</v>
          </cell>
        </row>
        <row r="273">
          <cell r="F273" t="str">
            <v>NJOMBE_PENJA</v>
          </cell>
          <cell r="G273" t="str">
            <v>Littoral</v>
          </cell>
          <cell r="H273">
            <v>28</v>
          </cell>
          <cell r="I273" t="str">
            <v>F</v>
          </cell>
          <cell r="J273" t="str">
            <v>POSITIF</v>
          </cell>
        </row>
        <row r="274">
          <cell r="F274" t="str">
            <v>NEW_BELL</v>
          </cell>
          <cell r="G274" t="str">
            <v>Littoral</v>
          </cell>
          <cell r="H274">
            <v>41</v>
          </cell>
          <cell r="I274" t="str">
            <v>F</v>
          </cell>
          <cell r="J274" t="str">
            <v>POSITIF</v>
          </cell>
        </row>
        <row r="275">
          <cell r="F275" t="str">
            <v>MIFI</v>
          </cell>
          <cell r="G275" t="str">
            <v>Ouest</v>
          </cell>
          <cell r="H275">
            <v>29</v>
          </cell>
          <cell r="I275" t="str">
            <v>F</v>
          </cell>
          <cell r="J275" t="str">
            <v>POSITIF</v>
          </cell>
        </row>
        <row r="276">
          <cell r="F276" t="str">
            <v>JAPOMA</v>
          </cell>
          <cell r="G276" t="str">
            <v>Littoral</v>
          </cell>
          <cell r="H276">
            <v>37</v>
          </cell>
          <cell r="I276" t="str">
            <v>M</v>
          </cell>
          <cell r="J276" t="str">
            <v>POSITIF</v>
          </cell>
        </row>
        <row r="277">
          <cell r="F277" t="str">
            <v>LIMBE</v>
          </cell>
          <cell r="G277" t="str">
            <v>Sud-Ouest</v>
          </cell>
          <cell r="H277">
            <v>55</v>
          </cell>
          <cell r="I277" t="str">
            <v>M</v>
          </cell>
          <cell r="J277" t="str">
            <v>POSITIF</v>
          </cell>
        </row>
        <row r="278">
          <cell r="F278" t="str">
            <v>Ekondo Titi</v>
          </cell>
          <cell r="G278" t="str">
            <v>Sud-Ouest</v>
          </cell>
          <cell r="H278">
            <v>12</v>
          </cell>
          <cell r="I278" t="str">
            <v>M</v>
          </cell>
          <cell r="J278" t="str">
            <v>POSITIF</v>
          </cell>
        </row>
        <row r="279">
          <cell r="F279" t="str">
            <v>Ekondo Titi</v>
          </cell>
          <cell r="G279" t="str">
            <v>Sud-Ouest</v>
          </cell>
          <cell r="H279">
            <v>28</v>
          </cell>
          <cell r="I279" t="str">
            <v>M</v>
          </cell>
          <cell r="J279" t="str">
            <v>POSITIF</v>
          </cell>
        </row>
        <row r="280">
          <cell r="F280" t="str">
            <v>Ekondo Titi</v>
          </cell>
          <cell r="G280" t="str">
            <v>Sud-Ouest</v>
          </cell>
          <cell r="H280">
            <v>28</v>
          </cell>
          <cell r="I280" t="str">
            <v>M</v>
          </cell>
          <cell r="J280" t="str">
            <v>POSITIF</v>
          </cell>
        </row>
        <row r="281">
          <cell r="F281" t="str">
            <v>Ekondo Titi</v>
          </cell>
          <cell r="G281" t="str">
            <v>Sud-Ouest</v>
          </cell>
          <cell r="H281">
            <v>43</v>
          </cell>
          <cell r="I281" t="str">
            <v>M</v>
          </cell>
          <cell r="J281" t="str">
            <v>POSITIF</v>
          </cell>
        </row>
        <row r="282">
          <cell r="F282" t="str">
            <v>BUEA</v>
          </cell>
          <cell r="G282" t="str">
            <v>Sud-Ouest</v>
          </cell>
          <cell r="H282">
            <v>30</v>
          </cell>
          <cell r="I282" t="str">
            <v>F</v>
          </cell>
          <cell r="J282" t="str">
            <v>POSITIF</v>
          </cell>
        </row>
        <row r="283">
          <cell r="F283" t="str">
            <v>LIMBE</v>
          </cell>
          <cell r="G283" t="str">
            <v>Sud-Ouest</v>
          </cell>
          <cell r="H283">
            <v>22</v>
          </cell>
          <cell r="I283" t="str">
            <v>M</v>
          </cell>
          <cell r="J283" t="str">
            <v>POSITIF</v>
          </cell>
        </row>
        <row r="284">
          <cell r="F284" t="str">
            <v>DEIDO</v>
          </cell>
          <cell r="G284" t="str">
            <v>LITTORAL</v>
          </cell>
          <cell r="H284">
            <v>36</v>
          </cell>
          <cell r="I284" t="str">
            <v>M</v>
          </cell>
          <cell r="J284" t="str">
            <v>POSITIF</v>
          </cell>
        </row>
        <row r="285">
          <cell r="F285" t="str">
            <v>NJOMBE_PENJA</v>
          </cell>
          <cell r="G285" t="str">
            <v>Littoral</v>
          </cell>
          <cell r="H285">
            <v>11</v>
          </cell>
          <cell r="I285" t="str">
            <v>F</v>
          </cell>
          <cell r="J285" t="str">
            <v>POSITIF</v>
          </cell>
        </row>
        <row r="286">
          <cell r="F286" t="str">
            <v xml:space="preserve">Tiko </v>
          </cell>
          <cell r="G286" t="str">
            <v>Sud-Ouest</v>
          </cell>
          <cell r="H286">
            <v>25</v>
          </cell>
          <cell r="I286" t="str">
            <v>M</v>
          </cell>
          <cell r="J286" t="str">
            <v>POSITIF</v>
          </cell>
        </row>
        <row r="287">
          <cell r="F287" t="str">
            <v>BOKO</v>
          </cell>
          <cell r="G287" t="str">
            <v>Littoral</v>
          </cell>
          <cell r="H287">
            <v>78</v>
          </cell>
          <cell r="I287" t="str">
            <v>M</v>
          </cell>
          <cell r="J287" t="str">
            <v>POSITIF</v>
          </cell>
        </row>
        <row r="288">
          <cell r="F288" t="str">
            <v>DEIDO</v>
          </cell>
          <cell r="G288" t="str">
            <v>Littoral</v>
          </cell>
          <cell r="H288">
            <v>38</v>
          </cell>
          <cell r="I288" t="str">
            <v>F</v>
          </cell>
          <cell r="J288" t="str">
            <v>POSITIF</v>
          </cell>
        </row>
        <row r="289">
          <cell r="F289" t="str">
            <v>CITE_DES_PALMIERS</v>
          </cell>
          <cell r="G289" t="str">
            <v>Littoral</v>
          </cell>
          <cell r="H289">
            <v>12</v>
          </cell>
          <cell r="I289" t="str">
            <v>M</v>
          </cell>
          <cell r="J289" t="str">
            <v>POSITIF</v>
          </cell>
        </row>
        <row r="290">
          <cell r="F290" t="str">
            <v>JAPOMA</v>
          </cell>
          <cell r="G290" t="str">
            <v>Littoral</v>
          </cell>
          <cell r="H290">
            <v>7</v>
          </cell>
          <cell r="I290" t="str">
            <v>M</v>
          </cell>
          <cell r="J290" t="str">
            <v>POSITIF</v>
          </cell>
        </row>
        <row r="291">
          <cell r="F291" t="str">
            <v>DEIDO</v>
          </cell>
          <cell r="G291" t="str">
            <v>LITTORAL</v>
          </cell>
          <cell r="I291" t="str">
            <v>M</v>
          </cell>
          <cell r="J291" t="str">
            <v>POSITIF</v>
          </cell>
        </row>
        <row r="292">
          <cell r="F292" t="str">
            <v>KUMBA SOUTH</v>
          </cell>
          <cell r="G292" t="str">
            <v>Sud-Ouest</v>
          </cell>
          <cell r="H292">
            <v>27</v>
          </cell>
          <cell r="I292" t="str">
            <v>F</v>
          </cell>
          <cell r="J292" t="str">
            <v>POSITIF</v>
          </cell>
        </row>
        <row r="293">
          <cell r="F293" t="str">
            <v>LIMBE</v>
          </cell>
          <cell r="G293" t="str">
            <v>Sud-Ouest</v>
          </cell>
          <cell r="H293">
            <v>45</v>
          </cell>
          <cell r="I293" t="str">
            <v>M</v>
          </cell>
          <cell r="J293" t="str">
            <v>POSITIF</v>
          </cell>
        </row>
        <row r="294">
          <cell r="F294" t="str">
            <v>LIMBE</v>
          </cell>
          <cell r="G294" t="str">
            <v>Sud-Ouest</v>
          </cell>
          <cell r="H294">
            <v>51</v>
          </cell>
          <cell r="I294" t="str">
            <v>M</v>
          </cell>
          <cell r="J294" t="str">
            <v>POSITIF</v>
          </cell>
        </row>
        <row r="295">
          <cell r="F295" t="str">
            <v>LIMBE</v>
          </cell>
          <cell r="G295" t="str">
            <v>Sud-Ouest</v>
          </cell>
          <cell r="H295">
            <v>14</v>
          </cell>
          <cell r="I295" t="str">
            <v>M</v>
          </cell>
          <cell r="J295" t="str">
            <v>POSITIF</v>
          </cell>
        </row>
        <row r="296">
          <cell r="F296" t="str">
            <v>LIMBE</v>
          </cell>
          <cell r="G296" t="str">
            <v>Sud-Ouest</v>
          </cell>
          <cell r="H296">
            <v>21</v>
          </cell>
          <cell r="I296" t="str">
            <v>F</v>
          </cell>
          <cell r="J296" t="str">
            <v>POSITIF</v>
          </cell>
        </row>
        <row r="297">
          <cell r="F297" t="str">
            <v>LIMBE</v>
          </cell>
          <cell r="G297" t="str">
            <v>Sud-Ouest</v>
          </cell>
          <cell r="H297">
            <v>22</v>
          </cell>
          <cell r="I297" t="str">
            <v>M</v>
          </cell>
          <cell r="J297" t="str">
            <v>POSITIF</v>
          </cell>
        </row>
        <row r="298">
          <cell r="F298" t="str">
            <v>LIMBE</v>
          </cell>
          <cell r="G298" t="str">
            <v>Sud-Ouest</v>
          </cell>
          <cell r="H298">
            <v>22</v>
          </cell>
          <cell r="I298" t="str">
            <v>M</v>
          </cell>
          <cell r="J298" t="str">
            <v>POSITIF</v>
          </cell>
        </row>
        <row r="299">
          <cell r="F299" t="str">
            <v>LIMBE</v>
          </cell>
          <cell r="G299" t="str">
            <v>Sud-Ouest</v>
          </cell>
          <cell r="H299">
            <v>16</v>
          </cell>
          <cell r="I299" t="str">
            <v>F</v>
          </cell>
          <cell r="J299" t="str">
            <v>POSITIF</v>
          </cell>
        </row>
        <row r="300">
          <cell r="F300" t="str">
            <v>MANOKA</v>
          </cell>
          <cell r="G300" t="str">
            <v>LITTORAL</v>
          </cell>
          <cell r="I300" t="str">
            <v>M</v>
          </cell>
          <cell r="J300" t="str">
            <v>POSITIF</v>
          </cell>
        </row>
        <row r="301">
          <cell r="F301" t="str">
            <v>LIMBE</v>
          </cell>
          <cell r="G301" t="str">
            <v>Sud-Ouest</v>
          </cell>
          <cell r="H301">
            <v>3</v>
          </cell>
          <cell r="I301" t="str">
            <v>M</v>
          </cell>
          <cell r="J301" t="str">
            <v>POSITIF</v>
          </cell>
        </row>
        <row r="302">
          <cell r="F302" t="str">
            <v>LIMBE</v>
          </cell>
          <cell r="G302" t="str">
            <v>Sud-Ouest</v>
          </cell>
          <cell r="H302">
            <v>1</v>
          </cell>
          <cell r="I302" t="str">
            <v>M</v>
          </cell>
          <cell r="J302" t="str">
            <v>POSITIF</v>
          </cell>
        </row>
        <row r="303">
          <cell r="F303" t="str">
            <v>Ekondo Titi</v>
          </cell>
          <cell r="G303" t="str">
            <v>Sud-Ouest</v>
          </cell>
          <cell r="H303">
            <v>38</v>
          </cell>
          <cell r="I303" t="str">
            <v>M</v>
          </cell>
          <cell r="J303" t="str">
            <v>POSITIF</v>
          </cell>
        </row>
        <row r="304">
          <cell r="F304" t="str">
            <v>NEW_BELL</v>
          </cell>
          <cell r="G304" t="str">
            <v>Littoral</v>
          </cell>
          <cell r="H304">
            <v>2</v>
          </cell>
          <cell r="I304" t="str">
            <v>M</v>
          </cell>
          <cell r="J304" t="str">
            <v>POSITIF</v>
          </cell>
        </row>
        <row r="305">
          <cell r="F305" t="str">
            <v>NEW_BELL</v>
          </cell>
          <cell r="G305" t="str">
            <v>Littoral</v>
          </cell>
          <cell r="H305">
            <v>24</v>
          </cell>
          <cell r="I305" t="str">
            <v>M</v>
          </cell>
          <cell r="J305" t="str">
            <v>POSITIF</v>
          </cell>
        </row>
        <row r="306">
          <cell r="F306" t="str">
            <v>LIMBE</v>
          </cell>
          <cell r="G306" t="str">
            <v>Sud-Ouest</v>
          </cell>
          <cell r="H306">
            <v>31</v>
          </cell>
          <cell r="I306" t="str">
            <v>M</v>
          </cell>
          <cell r="J306" t="str">
            <v>POSITIF</v>
          </cell>
        </row>
        <row r="307">
          <cell r="F307" t="str">
            <v>BONASSAMA</v>
          </cell>
          <cell r="G307" t="str">
            <v>Littoral</v>
          </cell>
          <cell r="H307">
            <v>48</v>
          </cell>
          <cell r="I307" t="str">
            <v>M</v>
          </cell>
          <cell r="J307" t="str">
            <v>POSITIF</v>
          </cell>
        </row>
        <row r="308">
          <cell r="F308" t="str">
            <v>LIMBE</v>
          </cell>
          <cell r="G308" t="str">
            <v>Sud-Ouest</v>
          </cell>
          <cell r="H308">
            <v>27</v>
          </cell>
          <cell r="I308" t="str">
            <v>M</v>
          </cell>
          <cell r="J308" t="str">
            <v>POSITIF</v>
          </cell>
        </row>
        <row r="309">
          <cell r="F309" t="str">
            <v>LIMBE</v>
          </cell>
          <cell r="G309" t="str">
            <v>Sud-Ouest</v>
          </cell>
          <cell r="H309">
            <v>22</v>
          </cell>
          <cell r="I309" t="str">
            <v>M</v>
          </cell>
          <cell r="J309" t="str">
            <v>POSITIF</v>
          </cell>
        </row>
        <row r="310">
          <cell r="F310" t="str">
            <v>JAPOMA</v>
          </cell>
          <cell r="G310" t="str">
            <v>Littoral</v>
          </cell>
          <cell r="H310">
            <v>21</v>
          </cell>
          <cell r="I310" t="str">
            <v>F</v>
          </cell>
          <cell r="J310" t="str">
            <v>POSITIF</v>
          </cell>
        </row>
        <row r="311">
          <cell r="F311" t="str">
            <v>MUYUKA</v>
          </cell>
          <cell r="G311" t="str">
            <v>Sud-Ouest</v>
          </cell>
          <cell r="H311">
            <v>66</v>
          </cell>
          <cell r="I311" t="str">
            <v>M</v>
          </cell>
          <cell r="J311" t="str">
            <v>POSITIF</v>
          </cell>
        </row>
        <row r="312">
          <cell r="F312" t="str">
            <v>LIMBE</v>
          </cell>
          <cell r="G312" t="str">
            <v>Sud-Ouest</v>
          </cell>
          <cell r="H312">
            <v>53</v>
          </cell>
          <cell r="I312" t="str">
            <v>F</v>
          </cell>
          <cell r="J312" t="str">
            <v>POSITIF</v>
          </cell>
        </row>
        <row r="313">
          <cell r="F313" t="str">
            <v>BONASSAMA</v>
          </cell>
          <cell r="G313" t="str">
            <v>Littoral</v>
          </cell>
          <cell r="H313">
            <v>47</v>
          </cell>
          <cell r="I313" t="str">
            <v>F</v>
          </cell>
          <cell r="J313" t="str">
            <v>POSITIF</v>
          </cell>
        </row>
        <row r="314">
          <cell r="F314" t="str">
            <v>NJOMBE_PENJA</v>
          </cell>
          <cell r="G314" t="str">
            <v>Littoral</v>
          </cell>
          <cell r="H314">
            <v>16</v>
          </cell>
          <cell r="I314" t="str">
            <v>F</v>
          </cell>
          <cell r="J314" t="str">
            <v>POSITIF</v>
          </cell>
        </row>
        <row r="315">
          <cell r="F315" t="str">
            <v>LIMBE</v>
          </cell>
          <cell r="G315" t="str">
            <v>Sud-Ouest</v>
          </cell>
          <cell r="H315">
            <v>10</v>
          </cell>
          <cell r="I315" t="str">
            <v>F</v>
          </cell>
          <cell r="J315" t="str">
            <v>POSITIF</v>
          </cell>
        </row>
        <row r="316">
          <cell r="F316" t="str">
            <v xml:space="preserve">Tiko </v>
          </cell>
          <cell r="G316" t="str">
            <v>Sud-Ouest</v>
          </cell>
          <cell r="H316">
            <v>26</v>
          </cell>
          <cell r="I316" t="str">
            <v>F</v>
          </cell>
          <cell r="J316" t="str">
            <v>POSITIF</v>
          </cell>
        </row>
        <row r="317">
          <cell r="F317" t="str">
            <v>KUMBA SOUTH</v>
          </cell>
          <cell r="G317" t="str">
            <v>Sud-Ouest</v>
          </cell>
          <cell r="H317">
            <v>1</v>
          </cell>
          <cell r="I317" t="str">
            <v>M</v>
          </cell>
          <cell r="J317" t="str">
            <v>POSITIF</v>
          </cell>
        </row>
        <row r="318">
          <cell r="F318" t="str">
            <v>LIMBE</v>
          </cell>
          <cell r="G318" t="str">
            <v>Sud-Ouest</v>
          </cell>
          <cell r="H318">
            <v>60</v>
          </cell>
          <cell r="I318" t="str">
            <v>F</v>
          </cell>
          <cell r="J318" t="str">
            <v>POSITIF</v>
          </cell>
        </row>
        <row r="319">
          <cell r="F319" t="str">
            <v>LIMBE</v>
          </cell>
          <cell r="G319" t="str">
            <v>Sud-Ouest</v>
          </cell>
          <cell r="H319">
            <v>68</v>
          </cell>
          <cell r="I319" t="str">
            <v>M</v>
          </cell>
          <cell r="J319" t="str">
            <v>POSITIF</v>
          </cell>
        </row>
        <row r="320">
          <cell r="F320" t="str">
            <v xml:space="preserve">Tiko </v>
          </cell>
          <cell r="G320" t="str">
            <v>Sud-Ouest</v>
          </cell>
          <cell r="H320">
            <v>70</v>
          </cell>
          <cell r="I320" t="str">
            <v>M</v>
          </cell>
          <cell r="J320" t="str">
            <v>POSITIF</v>
          </cell>
        </row>
        <row r="321">
          <cell r="F321" t="str">
            <v>BUEA</v>
          </cell>
          <cell r="G321" t="str">
            <v>Sud-Ouest</v>
          </cell>
          <cell r="H321">
            <v>18</v>
          </cell>
          <cell r="I321" t="str">
            <v>F</v>
          </cell>
          <cell r="J321" t="str">
            <v>POSITIF</v>
          </cell>
        </row>
        <row r="322">
          <cell r="F322" t="str">
            <v>Bakassi</v>
          </cell>
          <cell r="G322" t="str">
            <v>Sud-Ouest</v>
          </cell>
          <cell r="H322">
            <v>24</v>
          </cell>
          <cell r="I322" t="str">
            <v>M</v>
          </cell>
          <cell r="J322" t="str">
            <v>POSITIF</v>
          </cell>
        </row>
        <row r="323">
          <cell r="F323" t="str">
            <v>BUEA</v>
          </cell>
          <cell r="G323" t="str">
            <v>Sud-Ouest</v>
          </cell>
          <cell r="H323">
            <v>40</v>
          </cell>
          <cell r="I323" t="str">
            <v>M</v>
          </cell>
          <cell r="J323" t="str">
            <v>POSITIF</v>
          </cell>
        </row>
        <row r="324">
          <cell r="F324" t="str">
            <v>BUEA</v>
          </cell>
          <cell r="G324" t="str">
            <v>Sud-Ouest</v>
          </cell>
          <cell r="H324">
            <v>72</v>
          </cell>
          <cell r="I324" t="str">
            <v>M</v>
          </cell>
          <cell r="J324" t="str">
            <v>POSITIF</v>
          </cell>
        </row>
        <row r="325">
          <cell r="F325" t="str">
            <v>BONASSAMA</v>
          </cell>
          <cell r="G325" t="str">
            <v>Littoral</v>
          </cell>
          <cell r="H325">
            <v>68</v>
          </cell>
          <cell r="I325" t="str">
            <v>M</v>
          </cell>
          <cell r="J325" t="str">
            <v>POSITIF</v>
          </cell>
        </row>
        <row r="326">
          <cell r="F326" t="str">
            <v>LIMBE</v>
          </cell>
          <cell r="G326" t="str">
            <v>Sud-Ouest</v>
          </cell>
          <cell r="H326">
            <v>24</v>
          </cell>
          <cell r="I326" t="str">
            <v>F</v>
          </cell>
          <cell r="J326" t="str">
            <v>POSITIF</v>
          </cell>
        </row>
        <row r="327">
          <cell r="F327" t="str">
            <v>BONASSAMA</v>
          </cell>
          <cell r="G327" t="str">
            <v>Littoral</v>
          </cell>
          <cell r="H327">
            <v>20</v>
          </cell>
          <cell r="I327" t="str">
            <v>F</v>
          </cell>
          <cell r="J327" t="str">
            <v>POSITIF</v>
          </cell>
        </row>
        <row r="328">
          <cell r="F328" t="str">
            <v>BUEA</v>
          </cell>
          <cell r="G328" t="str">
            <v>Sud-Ouest</v>
          </cell>
          <cell r="H328">
            <v>22</v>
          </cell>
          <cell r="I328" t="str">
            <v>M</v>
          </cell>
          <cell r="J328" t="str">
            <v>POSITIF</v>
          </cell>
        </row>
        <row r="329">
          <cell r="F329" t="str">
            <v>KUMBA SOUTH</v>
          </cell>
          <cell r="G329" t="str">
            <v>Sud-Ouest</v>
          </cell>
          <cell r="H329">
            <v>38</v>
          </cell>
          <cell r="I329" t="str">
            <v>F</v>
          </cell>
          <cell r="J329" t="str">
            <v>POSITIF</v>
          </cell>
        </row>
        <row r="330">
          <cell r="F330" t="str">
            <v>BUEA</v>
          </cell>
          <cell r="G330" t="str">
            <v>Sud-Ouest</v>
          </cell>
          <cell r="H330">
            <v>10</v>
          </cell>
          <cell r="I330" t="str">
            <v>M</v>
          </cell>
          <cell r="J330" t="str">
            <v>POSITIF</v>
          </cell>
        </row>
        <row r="331">
          <cell r="F331" t="str">
            <v>LIMBE</v>
          </cell>
          <cell r="G331" t="str">
            <v>Sud-Ouest</v>
          </cell>
          <cell r="H331">
            <v>33</v>
          </cell>
          <cell r="I331" t="str">
            <v>M</v>
          </cell>
          <cell r="J331" t="str">
            <v>POSITIF</v>
          </cell>
        </row>
        <row r="332">
          <cell r="F332" t="str">
            <v>LIMBE</v>
          </cell>
          <cell r="G332" t="str">
            <v>Sud-Ouest</v>
          </cell>
          <cell r="H332">
            <v>34</v>
          </cell>
          <cell r="I332" t="str">
            <v>M</v>
          </cell>
          <cell r="J332" t="str">
            <v>POSITIF</v>
          </cell>
        </row>
        <row r="333">
          <cell r="F333" t="str">
            <v>DEIDO</v>
          </cell>
          <cell r="G333" t="str">
            <v>Littoral</v>
          </cell>
          <cell r="H333">
            <v>38</v>
          </cell>
          <cell r="I333" t="str">
            <v>F</v>
          </cell>
          <cell r="J333" t="str">
            <v>POSITIF</v>
          </cell>
        </row>
        <row r="334">
          <cell r="F334" t="str">
            <v>DEIDO</v>
          </cell>
          <cell r="G334" t="str">
            <v>Littoral</v>
          </cell>
          <cell r="H334">
            <v>41</v>
          </cell>
          <cell r="I334" t="str">
            <v>F</v>
          </cell>
          <cell r="J334" t="str">
            <v>POSITIF</v>
          </cell>
        </row>
        <row r="335">
          <cell r="F335" t="str">
            <v>DEIDO</v>
          </cell>
          <cell r="G335" t="str">
            <v>LITTORAL</v>
          </cell>
          <cell r="H335">
            <v>41</v>
          </cell>
          <cell r="I335" t="str">
            <v>M</v>
          </cell>
          <cell r="J335" t="str">
            <v>POSITIF</v>
          </cell>
        </row>
        <row r="336">
          <cell r="F336" t="str">
            <v>DEIDO</v>
          </cell>
          <cell r="G336" t="str">
            <v>Littoral</v>
          </cell>
          <cell r="H336">
            <v>20</v>
          </cell>
          <cell r="I336" t="str">
            <v>M</v>
          </cell>
          <cell r="J336" t="str">
            <v>POSITIF</v>
          </cell>
        </row>
        <row r="337">
          <cell r="F337" t="str">
            <v>BUEA</v>
          </cell>
          <cell r="G337" t="str">
            <v>Sud-Ouest</v>
          </cell>
          <cell r="H337">
            <v>16</v>
          </cell>
          <cell r="I337" t="str">
            <v>M</v>
          </cell>
          <cell r="J337" t="str">
            <v>POSITIF</v>
          </cell>
        </row>
        <row r="338">
          <cell r="F338" t="str">
            <v>LIMBE</v>
          </cell>
          <cell r="G338" t="str">
            <v>Sud-Ouest</v>
          </cell>
          <cell r="H338">
            <v>16</v>
          </cell>
          <cell r="I338" t="str">
            <v>M</v>
          </cell>
          <cell r="J338" t="str">
            <v>POSITIF</v>
          </cell>
        </row>
        <row r="339">
          <cell r="F339" t="str">
            <v>LIMBE</v>
          </cell>
          <cell r="G339" t="str">
            <v>Sud-Ouest</v>
          </cell>
          <cell r="H339">
            <v>49</v>
          </cell>
          <cell r="I339" t="str">
            <v>M</v>
          </cell>
          <cell r="J339" t="str">
            <v>POSITIF</v>
          </cell>
        </row>
        <row r="340">
          <cell r="F340" t="str">
            <v xml:space="preserve">Tiko </v>
          </cell>
          <cell r="G340" t="str">
            <v>Sud-Ouest</v>
          </cell>
          <cell r="H340">
            <v>28</v>
          </cell>
          <cell r="I340" t="str">
            <v>M</v>
          </cell>
          <cell r="J340" t="str">
            <v>POSITIF</v>
          </cell>
        </row>
        <row r="341">
          <cell r="F341" t="str">
            <v>Muyuka</v>
          </cell>
          <cell r="G341" t="str">
            <v>Sud-Ouest</v>
          </cell>
          <cell r="H341">
            <v>9</v>
          </cell>
          <cell r="I341" t="str">
            <v>F</v>
          </cell>
          <cell r="J341" t="str">
            <v>POSITIF</v>
          </cell>
        </row>
        <row r="342">
          <cell r="F342" t="str">
            <v>BUEA</v>
          </cell>
          <cell r="G342" t="str">
            <v>Sud-Ouest</v>
          </cell>
          <cell r="H342">
            <v>24</v>
          </cell>
          <cell r="I342" t="str">
            <v>F</v>
          </cell>
          <cell r="J342" t="str">
            <v>POSITIF</v>
          </cell>
        </row>
        <row r="343">
          <cell r="F343" t="str">
            <v>LIMBE</v>
          </cell>
          <cell r="G343" t="str">
            <v>Sud-Ouest</v>
          </cell>
          <cell r="H343">
            <v>22</v>
          </cell>
          <cell r="I343" t="str">
            <v>F</v>
          </cell>
          <cell r="J343" t="str">
            <v>POSITIF</v>
          </cell>
        </row>
        <row r="344">
          <cell r="F344" t="str">
            <v>NYLON</v>
          </cell>
          <cell r="G344" t="str">
            <v>Littoral</v>
          </cell>
          <cell r="H344">
            <v>12</v>
          </cell>
          <cell r="I344" t="str">
            <v>M</v>
          </cell>
          <cell r="J344" t="str">
            <v>POSITIF</v>
          </cell>
        </row>
        <row r="345">
          <cell r="F345" t="str">
            <v>LIMBE</v>
          </cell>
          <cell r="G345" t="str">
            <v>Sud-Ouest</v>
          </cell>
          <cell r="H345">
            <v>31</v>
          </cell>
          <cell r="I345" t="str">
            <v>M</v>
          </cell>
          <cell r="J345" t="str">
            <v>POSITIF</v>
          </cell>
        </row>
        <row r="346">
          <cell r="F346" t="str">
            <v>BONASSAMA</v>
          </cell>
          <cell r="G346" t="str">
            <v>Littoral</v>
          </cell>
          <cell r="H346">
            <v>7</v>
          </cell>
          <cell r="I346" t="str">
            <v>M</v>
          </cell>
          <cell r="J346" t="str">
            <v>POSITIF</v>
          </cell>
        </row>
        <row r="347">
          <cell r="F347" t="str">
            <v>BUEA</v>
          </cell>
          <cell r="G347" t="str">
            <v>Sud-Ouest</v>
          </cell>
          <cell r="H347">
            <v>70</v>
          </cell>
          <cell r="I347" t="str">
            <v>F</v>
          </cell>
          <cell r="J347" t="str">
            <v>POSITIF</v>
          </cell>
        </row>
        <row r="348">
          <cell r="F348" t="str">
            <v>LIMBE</v>
          </cell>
          <cell r="G348" t="str">
            <v>Sud-Ouest</v>
          </cell>
          <cell r="H348">
            <v>30</v>
          </cell>
          <cell r="I348" t="str">
            <v>M</v>
          </cell>
          <cell r="J348" t="str">
            <v>POSITIF</v>
          </cell>
        </row>
        <row r="349">
          <cell r="F349" t="str">
            <v xml:space="preserve">Tiko </v>
          </cell>
          <cell r="G349" t="str">
            <v>Sud-Ouest</v>
          </cell>
          <cell r="H349">
            <v>2</v>
          </cell>
          <cell r="I349" t="str">
            <v>M</v>
          </cell>
          <cell r="J349" t="str">
            <v>POSITIF</v>
          </cell>
        </row>
        <row r="350">
          <cell r="F350" t="str">
            <v xml:space="preserve">Tiko </v>
          </cell>
          <cell r="G350" t="str">
            <v>Sud-Ouest</v>
          </cell>
          <cell r="H350">
            <v>27</v>
          </cell>
          <cell r="I350" t="str">
            <v>M</v>
          </cell>
          <cell r="J350" t="str">
            <v>POSITIF</v>
          </cell>
        </row>
        <row r="351">
          <cell r="F351" t="str">
            <v xml:space="preserve">Tiko </v>
          </cell>
          <cell r="G351" t="str">
            <v>Sud-Ouest</v>
          </cell>
          <cell r="H351">
            <v>60</v>
          </cell>
          <cell r="I351" t="str">
            <v>M</v>
          </cell>
          <cell r="J351" t="str">
            <v>POSITIF</v>
          </cell>
        </row>
        <row r="352">
          <cell r="F352" t="str">
            <v>LIMBE</v>
          </cell>
          <cell r="G352" t="str">
            <v>Sud-Ouest</v>
          </cell>
          <cell r="H352">
            <v>73</v>
          </cell>
          <cell r="I352" t="str">
            <v>M</v>
          </cell>
          <cell r="J352" t="str">
            <v>POSITIF</v>
          </cell>
        </row>
        <row r="353">
          <cell r="F353" t="str">
            <v>LIMBE</v>
          </cell>
          <cell r="G353" t="str">
            <v>Sud-Ouest</v>
          </cell>
          <cell r="H353">
            <v>27</v>
          </cell>
          <cell r="I353" t="str">
            <v>M</v>
          </cell>
          <cell r="J353" t="str">
            <v>POSITIF</v>
          </cell>
        </row>
        <row r="354">
          <cell r="F354" t="str">
            <v xml:space="preserve">Tiko </v>
          </cell>
          <cell r="G354" t="str">
            <v>Sud-Ouest</v>
          </cell>
          <cell r="H354">
            <v>43</v>
          </cell>
          <cell r="I354" t="str">
            <v>M</v>
          </cell>
          <cell r="J354" t="str">
            <v>POSITIF</v>
          </cell>
        </row>
        <row r="355">
          <cell r="F355" t="str">
            <v xml:space="preserve">Tiko </v>
          </cell>
          <cell r="G355" t="str">
            <v>Sud-Ouest</v>
          </cell>
          <cell r="H355">
            <v>43</v>
          </cell>
          <cell r="I355" t="str">
            <v>M</v>
          </cell>
          <cell r="J355" t="str">
            <v>POSITIF</v>
          </cell>
        </row>
        <row r="356">
          <cell r="F356" t="str">
            <v>DEIDO</v>
          </cell>
          <cell r="G356" t="str">
            <v>LITTORAL</v>
          </cell>
          <cell r="I356" t="str">
            <v>F</v>
          </cell>
          <cell r="J356" t="str">
            <v>POSITIF</v>
          </cell>
        </row>
        <row r="357">
          <cell r="F357" t="str">
            <v>BANGUE</v>
          </cell>
          <cell r="G357" t="str">
            <v>Littoral</v>
          </cell>
          <cell r="H357">
            <v>41</v>
          </cell>
          <cell r="I357" t="str">
            <v>M</v>
          </cell>
          <cell r="J357" t="str">
            <v>POSITIF</v>
          </cell>
        </row>
        <row r="358">
          <cell r="F358" t="str">
            <v>BANGUE</v>
          </cell>
          <cell r="G358" t="str">
            <v>LITTORAL</v>
          </cell>
          <cell r="H358">
            <v>41</v>
          </cell>
          <cell r="I358" t="str">
            <v>M</v>
          </cell>
          <cell r="J358" t="str">
            <v>POSITIF</v>
          </cell>
        </row>
        <row r="359">
          <cell r="F359" t="str">
            <v xml:space="preserve">Tiko </v>
          </cell>
          <cell r="G359" t="str">
            <v>Sud-Ouest</v>
          </cell>
          <cell r="H359">
            <v>42</v>
          </cell>
          <cell r="I359" t="str">
            <v>M</v>
          </cell>
          <cell r="J359" t="str">
            <v>POSITIF</v>
          </cell>
        </row>
        <row r="360">
          <cell r="F360" t="str">
            <v>BUEA</v>
          </cell>
          <cell r="G360" t="str">
            <v>Sud-Ouest</v>
          </cell>
          <cell r="H360">
            <v>27</v>
          </cell>
          <cell r="I360" t="str">
            <v>M</v>
          </cell>
          <cell r="J360" t="str">
            <v>POSITIF</v>
          </cell>
        </row>
        <row r="361">
          <cell r="F361" t="str">
            <v>LIMBE</v>
          </cell>
          <cell r="G361" t="str">
            <v>Sud-Ouest</v>
          </cell>
          <cell r="H361">
            <v>34</v>
          </cell>
          <cell r="I361" t="str">
            <v>F</v>
          </cell>
          <cell r="J361" t="str">
            <v>POSITIF</v>
          </cell>
        </row>
        <row r="362">
          <cell r="F362" t="str">
            <v xml:space="preserve">Tiko </v>
          </cell>
          <cell r="G362" t="str">
            <v>Sud-Ouest</v>
          </cell>
          <cell r="H362">
            <v>11</v>
          </cell>
          <cell r="I362" t="str">
            <v>M</v>
          </cell>
          <cell r="J362" t="str">
            <v>POSITIF</v>
          </cell>
        </row>
        <row r="363">
          <cell r="F363" t="str">
            <v>NEW_BELL</v>
          </cell>
          <cell r="G363" t="str">
            <v>Littoral</v>
          </cell>
          <cell r="H363">
            <v>18</v>
          </cell>
          <cell r="I363" t="str">
            <v>M</v>
          </cell>
          <cell r="J363" t="str">
            <v>POSITIF</v>
          </cell>
        </row>
        <row r="364">
          <cell r="F364" t="str">
            <v>LIMBE</v>
          </cell>
          <cell r="G364" t="str">
            <v>Sud-Ouest</v>
          </cell>
          <cell r="H364">
            <v>40</v>
          </cell>
          <cell r="I364" t="str">
            <v>F</v>
          </cell>
          <cell r="J364" t="str">
            <v>POSITIF</v>
          </cell>
        </row>
        <row r="365">
          <cell r="F365" t="str">
            <v>MBANGA</v>
          </cell>
          <cell r="G365" t="str">
            <v>Littoral</v>
          </cell>
          <cell r="H365">
            <v>40</v>
          </cell>
          <cell r="I365" t="str">
            <v>F</v>
          </cell>
          <cell r="J365" t="str">
            <v>POSITIF</v>
          </cell>
        </row>
        <row r="366">
          <cell r="F366" t="str">
            <v>Bakassi</v>
          </cell>
          <cell r="G366" t="str">
            <v>Sud-Ouest</v>
          </cell>
          <cell r="H366">
            <v>80</v>
          </cell>
          <cell r="I366" t="str">
            <v>M</v>
          </cell>
          <cell r="J366" t="str">
            <v>POSITIF</v>
          </cell>
        </row>
        <row r="367">
          <cell r="F367" t="str">
            <v>LIMBE</v>
          </cell>
          <cell r="G367" t="str">
            <v>Sud-Ouest</v>
          </cell>
          <cell r="H367">
            <v>22</v>
          </cell>
          <cell r="I367" t="str">
            <v>M</v>
          </cell>
          <cell r="J367" t="str">
            <v>POSITIF</v>
          </cell>
        </row>
        <row r="368">
          <cell r="F368" t="str">
            <v>NEW_BELL</v>
          </cell>
          <cell r="G368" t="str">
            <v>Littoral</v>
          </cell>
          <cell r="H368">
            <v>22</v>
          </cell>
          <cell r="I368" t="str">
            <v>M</v>
          </cell>
          <cell r="J368" t="str">
            <v>POSITIF</v>
          </cell>
        </row>
        <row r="369">
          <cell r="F369" t="str">
            <v>BUEA</v>
          </cell>
          <cell r="G369" t="str">
            <v>Sud-Ouest</v>
          </cell>
          <cell r="H369">
            <v>1</v>
          </cell>
          <cell r="I369" t="str">
            <v>M</v>
          </cell>
          <cell r="J369" t="str">
            <v>POSITIF</v>
          </cell>
        </row>
        <row r="370">
          <cell r="F370" t="str">
            <v>DEIDO</v>
          </cell>
          <cell r="G370" t="str">
            <v>Littoral</v>
          </cell>
          <cell r="H370">
            <v>40</v>
          </cell>
          <cell r="I370" t="str">
            <v>M</v>
          </cell>
          <cell r="J370" t="str">
            <v>POSITIF</v>
          </cell>
        </row>
        <row r="371">
          <cell r="F371" t="str">
            <v>LIMBE</v>
          </cell>
          <cell r="G371" t="str">
            <v>Sud-Ouest</v>
          </cell>
          <cell r="H371">
            <v>22</v>
          </cell>
          <cell r="I371" t="str">
            <v>F</v>
          </cell>
          <cell r="J371" t="str">
            <v>POSITIF</v>
          </cell>
        </row>
        <row r="372">
          <cell r="F372" t="str">
            <v>NEW_BELL</v>
          </cell>
          <cell r="G372" t="str">
            <v>Littoral</v>
          </cell>
          <cell r="H372">
            <v>4</v>
          </cell>
          <cell r="I372" t="str">
            <v>F</v>
          </cell>
          <cell r="J372" t="str">
            <v>POSITIF</v>
          </cell>
        </row>
        <row r="373">
          <cell r="F373" t="str">
            <v>NEW_BELL</v>
          </cell>
          <cell r="G373" t="str">
            <v>Littoral</v>
          </cell>
          <cell r="H373">
            <v>46</v>
          </cell>
          <cell r="I373" t="str">
            <v>M</v>
          </cell>
          <cell r="J373" t="str">
            <v>POSITIF</v>
          </cell>
        </row>
        <row r="374">
          <cell r="F374" t="str">
            <v>NEW_BELL</v>
          </cell>
          <cell r="G374" t="str">
            <v>Littoral</v>
          </cell>
          <cell r="H374">
            <v>36</v>
          </cell>
          <cell r="I374" t="str">
            <v>M</v>
          </cell>
          <cell r="J374" t="str">
            <v>POSITIF</v>
          </cell>
        </row>
        <row r="375">
          <cell r="F375" t="str">
            <v>NYLON</v>
          </cell>
          <cell r="G375" t="str">
            <v>LITTORAL</v>
          </cell>
          <cell r="H375">
            <v>22</v>
          </cell>
          <cell r="I375" t="str">
            <v>F</v>
          </cell>
          <cell r="J375" t="str">
            <v>POSITIF</v>
          </cell>
        </row>
        <row r="376">
          <cell r="F376" t="str">
            <v>CITE_DES_PALMIERS</v>
          </cell>
          <cell r="G376" t="str">
            <v>Littoral</v>
          </cell>
          <cell r="H376">
            <v>33</v>
          </cell>
          <cell r="I376" t="str">
            <v>F</v>
          </cell>
          <cell r="J376" t="str">
            <v>POSITIF</v>
          </cell>
        </row>
        <row r="377">
          <cell r="F377" t="str">
            <v>DEIDO</v>
          </cell>
          <cell r="G377" t="str">
            <v>LITTORAL</v>
          </cell>
          <cell r="H377">
            <v>13</v>
          </cell>
          <cell r="I377" t="str">
            <v>F</v>
          </cell>
          <cell r="J377" t="str">
            <v>POSITIF</v>
          </cell>
        </row>
        <row r="378">
          <cell r="F378" t="str">
            <v>NYLON</v>
          </cell>
          <cell r="G378" t="str">
            <v>Littoral</v>
          </cell>
          <cell r="H378">
            <v>23</v>
          </cell>
          <cell r="I378" t="str">
            <v>F</v>
          </cell>
          <cell r="J378" t="str">
            <v>POSITIF</v>
          </cell>
        </row>
        <row r="379">
          <cell r="F379" t="str">
            <v>BUEA</v>
          </cell>
          <cell r="G379" t="str">
            <v>Sud-Ouest</v>
          </cell>
          <cell r="H379">
            <v>31</v>
          </cell>
          <cell r="I379" t="str">
            <v>M</v>
          </cell>
          <cell r="J379" t="str">
            <v>POSITIF</v>
          </cell>
        </row>
        <row r="380">
          <cell r="F380" t="str">
            <v>LIMBE</v>
          </cell>
          <cell r="G380" t="str">
            <v>Sud-Ouest</v>
          </cell>
          <cell r="H380">
            <v>20</v>
          </cell>
          <cell r="I380" t="str">
            <v>F</v>
          </cell>
          <cell r="J380" t="str">
            <v>POSITIF</v>
          </cell>
        </row>
        <row r="381">
          <cell r="F381" t="str">
            <v>BUEA</v>
          </cell>
          <cell r="G381" t="str">
            <v>Sud-Ouest</v>
          </cell>
          <cell r="H381">
            <v>48</v>
          </cell>
          <cell r="I381" t="str">
            <v>F</v>
          </cell>
          <cell r="J381" t="str">
            <v>POSITIF</v>
          </cell>
        </row>
        <row r="382">
          <cell r="F382" t="str">
            <v>LOGBABA</v>
          </cell>
          <cell r="G382" t="str">
            <v>Littoral</v>
          </cell>
          <cell r="H382">
            <v>13</v>
          </cell>
          <cell r="I382" t="str">
            <v>F</v>
          </cell>
          <cell r="J382" t="str">
            <v>POSITIF</v>
          </cell>
        </row>
        <row r="383">
          <cell r="F383" t="str">
            <v>Limbe</v>
          </cell>
          <cell r="G383" t="str">
            <v>Sud-Ouest</v>
          </cell>
          <cell r="H383">
            <v>24</v>
          </cell>
          <cell r="I383" t="str">
            <v>M</v>
          </cell>
          <cell r="J383" t="str">
            <v>POSITIF</v>
          </cell>
        </row>
        <row r="384">
          <cell r="F384" t="str">
            <v>MORA</v>
          </cell>
          <cell r="G384" t="str">
            <v>Extreme-Nord</v>
          </cell>
          <cell r="H384">
            <v>25</v>
          </cell>
          <cell r="I384" t="str">
            <v>M</v>
          </cell>
          <cell r="J384" t="str">
            <v>POSITIF</v>
          </cell>
        </row>
        <row r="385">
          <cell r="F385" t="str">
            <v>Bakassi</v>
          </cell>
          <cell r="G385" t="str">
            <v>Sud-Ouest</v>
          </cell>
          <cell r="H385">
            <v>4</v>
          </cell>
          <cell r="I385" t="str">
            <v>M</v>
          </cell>
          <cell r="J385" t="str">
            <v>POSITIF</v>
          </cell>
        </row>
        <row r="386">
          <cell r="F386" t="str">
            <v>BUEA</v>
          </cell>
          <cell r="G386" t="str">
            <v>Sud-Ouest</v>
          </cell>
          <cell r="H386">
            <v>22</v>
          </cell>
          <cell r="I386" t="str">
            <v>M</v>
          </cell>
          <cell r="J386" t="str">
            <v>POSITIF</v>
          </cell>
        </row>
        <row r="387">
          <cell r="F387" t="str">
            <v>Bakassi</v>
          </cell>
          <cell r="G387" t="str">
            <v>Sud-Ouest</v>
          </cell>
          <cell r="H387">
            <v>20</v>
          </cell>
          <cell r="I387" t="str">
            <v>M</v>
          </cell>
          <cell r="J387" t="str">
            <v>POSITIF</v>
          </cell>
        </row>
        <row r="388">
          <cell r="F388" t="str">
            <v>JAPOMA</v>
          </cell>
          <cell r="G388" t="str">
            <v>Littoral</v>
          </cell>
          <cell r="H388">
            <v>39</v>
          </cell>
          <cell r="I388" t="str">
            <v>M</v>
          </cell>
          <cell r="J388" t="str">
            <v>POSITIF</v>
          </cell>
        </row>
        <row r="389">
          <cell r="F389" t="str">
            <v>DEIDO</v>
          </cell>
          <cell r="G389" t="str">
            <v>LITTORAL</v>
          </cell>
          <cell r="H389">
            <v>20</v>
          </cell>
          <cell r="I389" t="str">
            <v>F</v>
          </cell>
          <cell r="J389" t="str">
            <v>POSITIF</v>
          </cell>
        </row>
        <row r="390">
          <cell r="F390" t="str">
            <v>BUEA</v>
          </cell>
          <cell r="G390" t="str">
            <v>Sud-Ouest</v>
          </cell>
          <cell r="H390">
            <v>19</v>
          </cell>
          <cell r="I390" t="str">
            <v>F</v>
          </cell>
          <cell r="J390" t="str">
            <v>POSITIF</v>
          </cell>
        </row>
        <row r="391">
          <cell r="F391" t="str">
            <v>LIMBE</v>
          </cell>
          <cell r="G391" t="str">
            <v>Sud-Ouest</v>
          </cell>
          <cell r="H391">
            <v>21</v>
          </cell>
          <cell r="I391" t="str">
            <v>M</v>
          </cell>
          <cell r="J391" t="str">
            <v>POSITIF</v>
          </cell>
        </row>
        <row r="392">
          <cell r="F392" t="str">
            <v>LIMBE</v>
          </cell>
          <cell r="G392" t="str">
            <v>Sud-Ouest</v>
          </cell>
          <cell r="H392">
            <v>25</v>
          </cell>
          <cell r="I392" t="str">
            <v>M</v>
          </cell>
          <cell r="J392" t="str">
            <v>POSITIF</v>
          </cell>
        </row>
        <row r="393">
          <cell r="F393" t="str">
            <v>DEIDO</v>
          </cell>
          <cell r="G393" t="str">
            <v>Littoral</v>
          </cell>
          <cell r="H393">
            <v>20</v>
          </cell>
          <cell r="I393" t="str">
            <v>M</v>
          </cell>
          <cell r="J393" t="str">
            <v>POSITIF</v>
          </cell>
        </row>
        <row r="394">
          <cell r="F394" t="str">
            <v>DEIDO</v>
          </cell>
          <cell r="G394" t="str">
            <v>LITTORAL</v>
          </cell>
          <cell r="H394">
            <v>70</v>
          </cell>
          <cell r="I394" t="str">
            <v>F</v>
          </cell>
          <cell r="J394" t="str">
            <v>POSITIF</v>
          </cell>
        </row>
        <row r="395">
          <cell r="F395" t="str">
            <v>CITE_DES_PALMIERS</v>
          </cell>
          <cell r="G395" t="str">
            <v>LITTORAL</v>
          </cell>
          <cell r="H395">
            <v>21</v>
          </cell>
          <cell r="I395" t="str">
            <v>M</v>
          </cell>
          <cell r="J395" t="str">
            <v>POSITIF</v>
          </cell>
        </row>
        <row r="396">
          <cell r="F396" t="str">
            <v>CITE_DES_PALMIERS</v>
          </cell>
          <cell r="G396" t="str">
            <v>Littoral</v>
          </cell>
          <cell r="H396">
            <v>21</v>
          </cell>
          <cell r="I396" t="str">
            <v>M</v>
          </cell>
          <cell r="J396" t="str">
            <v>POSITIF</v>
          </cell>
        </row>
        <row r="397">
          <cell r="F397" t="str">
            <v>BONASSAMA</v>
          </cell>
          <cell r="G397" t="str">
            <v>Littoral</v>
          </cell>
          <cell r="H397">
            <v>73</v>
          </cell>
          <cell r="I397" t="str">
            <v>F</v>
          </cell>
          <cell r="J397" t="str">
            <v>POSITIF</v>
          </cell>
        </row>
        <row r="398">
          <cell r="F398" t="str">
            <v>LIMBE</v>
          </cell>
          <cell r="G398" t="str">
            <v>Sud-Ouest</v>
          </cell>
          <cell r="H398">
            <v>60</v>
          </cell>
          <cell r="I398" t="str">
            <v>F</v>
          </cell>
          <cell r="J398" t="str">
            <v>POSITIF</v>
          </cell>
        </row>
        <row r="399">
          <cell r="F399" t="str">
            <v>BOKO</v>
          </cell>
          <cell r="G399" t="str">
            <v>Littoral</v>
          </cell>
          <cell r="H399">
            <v>28</v>
          </cell>
          <cell r="I399" t="str">
            <v>F</v>
          </cell>
          <cell r="J399" t="str">
            <v>POSITIF</v>
          </cell>
        </row>
        <row r="400">
          <cell r="F400" t="str">
            <v xml:space="preserve">Tiko </v>
          </cell>
          <cell r="G400" t="str">
            <v>Sud-Ouest</v>
          </cell>
          <cell r="H400">
            <v>2</v>
          </cell>
          <cell r="I400" t="str">
            <v>F</v>
          </cell>
          <cell r="J400" t="str">
            <v>POSITIF</v>
          </cell>
        </row>
        <row r="401">
          <cell r="F401" t="str">
            <v>LIMBE</v>
          </cell>
          <cell r="G401" t="str">
            <v>Sud-Ouest</v>
          </cell>
          <cell r="H401">
            <v>23</v>
          </cell>
          <cell r="I401" t="str">
            <v>F</v>
          </cell>
          <cell r="J401" t="str">
            <v>POSITIF</v>
          </cell>
        </row>
        <row r="402">
          <cell r="F402" t="str">
            <v>LIMBE</v>
          </cell>
          <cell r="G402" t="str">
            <v>Sud-Ouest</v>
          </cell>
          <cell r="H402">
            <v>38</v>
          </cell>
          <cell r="I402" t="str">
            <v>F</v>
          </cell>
          <cell r="J402" t="str">
            <v>POSITIF</v>
          </cell>
        </row>
        <row r="403">
          <cell r="F403" t="str">
            <v>LIMBE</v>
          </cell>
          <cell r="G403" t="str">
            <v>Sud-Ouest</v>
          </cell>
          <cell r="H403">
            <v>37</v>
          </cell>
          <cell r="I403" t="str">
            <v>M</v>
          </cell>
          <cell r="J403" t="str">
            <v>POSITIF</v>
          </cell>
        </row>
        <row r="404">
          <cell r="F404" t="str">
            <v>LOUM</v>
          </cell>
          <cell r="G404" t="str">
            <v>Littoral</v>
          </cell>
          <cell r="H404">
            <v>22</v>
          </cell>
          <cell r="I404" t="str">
            <v>F</v>
          </cell>
          <cell r="J404" t="str">
            <v>POSITIF</v>
          </cell>
        </row>
        <row r="405">
          <cell r="F405" t="str">
            <v>LIMBE</v>
          </cell>
          <cell r="G405" t="str">
            <v>Sud-Ouest</v>
          </cell>
          <cell r="H405">
            <v>22</v>
          </cell>
          <cell r="I405" t="str">
            <v>F</v>
          </cell>
          <cell r="J405" t="str">
            <v>POSITIF</v>
          </cell>
        </row>
        <row r="406">
          <cell r="F406" t="str">
            <v>BANGUE</v>
          </cell>
          <cell r="G406" t="str">
            <v>Littoral</v>
          </cell>
          <cell r="H406">
            <v>20</v>
          </cell>
          <cell r="I406" t="str">
            <v>F</v>
          </cell>
          <cell r="J406" t="str">
            <v>POSITIF</v>
          </cell>
        </row>
        <row r="407">
          <cell r="F407" t="str">
            <v>BUEA</v>
          </cell>
          <cell r="G407" t="str">
            <v>Sud-Ouest</v>
          </cell>
          <cell r="H407">
            <v>63</v>
          </cell>
          <cell r="I407" t="str">
            <v>F</v>
          </cell>
          <cell r="J407" t="str">
            <v>POSITIF</v>
          </cell>
        </row>
        <row r="408">
          <cell r="F408" t="str">
            <v>BUEA</v>
          </cell>
          <cell r="G408" t="str">
            <v>Sud-Ouest</v>
          </cell>
          <cell r="H408">
            <v>22</v>
          </cell>
          <cell r="I408" t="str">
            <v>M</v>
          </cell>
          <cell r="J408" t="str">
            <v>POSITIF</v>
          </cell>
        </row>
        <row r="409">
          <cell r="F409" t="str">
            <v>BANGUE</v>
          </cell>
          <cell r="G409" t="str">
            <v>Littoral</v>
          </cell>
          <cell r="H409">
            <v>31</v>
          </cell>
          <cell r="I409" t="str">
            <v>M</v>
          </cell>
          <cell r="J409" t="str">
            <v>POSITIF</v>
          </cell>
        </row>
        <row r="410">
          <cell r="F410" t="str">
            <v>NEW_BELL</v>
          </cell>
          <cell r="G410" t="str">
            <v>Littoral</v>
          </cell>
          <cell r="H410">
            <v>24</v>
          </cell>
          <cell r="I410" t="str">
            <v>M</v>
          </cell>
          <cell r="J410" t="str">
            <v>POSITIF</v>
          </cell>
        </row>
        <row r="411">
          <cell r="F411" t="str">
            <v>BUEA</v>
          </cell>
          <cell r="G411" t="str">
            <v>Sud-Ouest</v>
          </cell>
          <cell r="H411">
            <v>33</v>
          </cell>
          <cell r="I411" t="str">
            <v>M</v>
          </cell>
          <cell r="J411" t="str">
            <v>POSITIF</v>
          </cell>
        </row>
        <row r="412">
          <cell r="F412" t="str">
            <v>LIMBE</v>
          </cell>
          <cell r="G412" t="str">
            <v>Sud-Ouest</v>
          </cell>
          <cell r="H412">
            <v>36</v>
          </cell>
          <cell r="I412" t="str">
            <v>F</v>
          </cell>
          <cell r="J412" t="str">
            <v>POSITIF</v>
          </cell>
        </row>
        <row r="413">
          <cell r="F413" t="str">
            <v>LOGBABA</v>
          </cell>
          <cell r="G413" t="str">
            <v>LITTORAL</v>
          </cell>
          <cell r="H413">
            <v>27</v>
          </cell>
          <cell r="I413" t="str">
            <v>F</v>
          </cell>
          <cell r="J413" t="str">
            <v>POSITIF</v>
          </cell>
        </row>
        <row r="414">
          <cell r="F414" t="str">
            <v>NEW_BELL</v>
          </cell>
          <cell r="G414" t="str">
            <v>Littoral</v>
          </cell>
          <cell r="H414">
            <v>32</v>
          </cell>
          <cell r="I414" t="str">
            <v>M</v>
          </cell>
          <cell r="J414" t="str">
            <v>POSITIF</v>
          </cell>
        </row>
        <row r="415">
          <cell r="F415" t="str">
            <v>LIMBE</v>
          </cell>
          <cell r="G415" t="str">
            <v>Sud-Ouest</v>
          </cell>
          <cell r="H415">
            <v>34</v>
          </cell>
          <cell r="I415" t="str">
            <v>M</v>
          </cell>
          <cell r="J415" t="str">
            <v>POSITIF</v>
          </cell>
        </row>
        <row r="416">
          <cell r="F416" t="str">
            <v>LIMBE</v>
          </cell>
          <cell r="G416" t="str">
            <v>Sud-Ouest</v>
          </cell>
          <cell r="H416">
            <v>26</v>
          </cell>
          <cell r="I416" t="str">
            <v>M</v>
          </cell>
          <cell r="J416" t="str">
            <v>POSITIF</v>
          </cell>
        </row>
        <row r="417">
          <cell r="F417" t="str">
            <v>LIMBE</v>
          </cell>
          <cell r="G417" t="str">
            <v>Sud-Ouest</v>
          </cell>
          <cell r="H417">
            <v>39</v>
          </cell>
          <cell r="I417" t="str">
            <v>M</v>
          </cell>
          <cell r="J417" t="str">
            <v>POSITIF</v>
          </cell>
        </row>
        <row r="418">
          <cell r="F418" t="str">
            <v>Bakassi</v>
          </cell>
          <cell r="G418" t="str">
            <v>Sud-Ouest</v>
          </cell>
          <cell r="H418">
            <v>40</v>
          </cell>
          <cell r="I418" t="str">
            <v>M</v>
          </cell>
          <cell r="J418" t="str">
            <v>POSITIF</v>
          </cell>
        </row>
        <row r="419">
          <cell r="F419" t="str">
            <v>Ekondo Titi</v>
          </cell>
          <cell r="G419" t="str">
            <v>Sud-Ouest</v>
          </cell>
          <cell r="H419">
            <v>19</v>
          </cell>
          <cell r="I419" t="str">
            <v>M</v>
          </cell>
          <cell r="J419" t="str">
            <v>POSITIF</v>
          </cell>
        </row>
        <row r="420">
          <cell r="F420" t="str">
            <v>LIMBE</v>
          </cell>
          <cell r="G420" t="str">
            <v>Sud-Ouest</v>
          </cell>
          <cell r="H420">
            <v>10</v>
          </cell>
          <cell r="I420" t="str">
            <v>M</v>
          </cell>
          <cell r="J420" t="str">
            <v>POSITIF</v>
          </cell>
        </row>
        <row r="421">
          <cell r="F421" t="str">
            <v>KUMBA NORTH</v>
          </cell>
          <cell r="G421" t="str">
            <v>Sud-Ouest</v>
          </cell>
          <cell r="H421">
            <v>39</v>
          </cell>
          <cell r="I421" t="str">
            <v>F</v>
          </cell>
          <cell r="J421" t="str">
            <v>POSITIF</v>
          </cell>
        </row>
        <row r="422">
          <cell r="F422" t="str">
            <v>LIMBE</v>
          </cell>
          <cell r="G422" t="str">
            <v>Sud-Ouest</v>
          </cell>
          <cell r="H422">
            <v>29</v>
          </cell>
          <cell r="I422" t="str">
            <v>M</v>
          </cell>
          <cell r="J422" t="str">
            <v>POSITIF</v>
          </cell>
        </row>
        <row r="423">
          <cell r="F423" t="str">
            <v xml:space="preserve">Tiko </v>
          </cell>
          <cell r="G423" t="str">
            <v>Sud-Ouest</v>
          </cell>
          <cell r="H423">
            <v>57</v>
          </cell>
          <cell r="I423" t="str">
            <v>F</v>
          </cell>
          <cell r="J423" t="str">
            <v>POSITIF</v>
          </cell>
        </row>
        <row r="424">
          <cell r="F424" t="str">
            <v>BUEA</v>
          </cell>
          <cell r="G424" t="str">
            <v>Sud-Ouest</v>
          </cell>
          <cell r="H424">
            <v>23</v>
          </cell>
          <cell r="I424" t="str">
            <v>M</v>
          </cell>
          <cell r="J424" t="str">
            <v>POSITIF</v>
          </cell>
        </row>
        <row r="425">
          <cell r="F425" t="str">
            <v>LIMBE</v>
          </cell>
          <cell r="G425" t="str">
            <v>Sud-Ouest</v>
          </cell>
          <cell r="H425">
            <v>25</v>
          </cell>
          <cell r="I425" t="str">
            <v>F</v>
          </cell>
          <cell r="J425" t="str">
            <v>POSITIF</v>
          </cell>
        </row>
        <row r="426">
          <cell r="F426" t="str">
            <v xml:space="preserve">Tiko </v>
          </cell>
          <cell r="G426" t="str">
            <v>Sud-Ouest</v>
          </cell>
          <cell r="H426">
            <v>14</v>
          </cell>
          <cell r="I426" t="str">
            <v>M</v>
          </cell>
          <cell r="J426" t="str">
            <v>POSITIF</v>
          </cell>
        </row>
        <row r="427">
          <cell r="F427" t="str">
            <v>KUMBA SOUTH</v>
          </cell>
          <cell r="G427" t="str">
            <v>Sud-Ouest</v>
          </cell>
          <cell r="H427">
            <v>1</v>
          </cell>
          <cell r="I427" t="str">
            <v>F</v>
          </cell>
          <cell r="J427" t="str">
            <v>POSITIF</v>
          </cell>
        </row>
        <row r="428">
          <cell r="F428" t="str">
            <v>BUEA</v>
          </cell>
          <cell r="G428" t="str">
            <v>Sud-Ouest</v>
          </cell>
          <cell r="H428">
            <v>20</v>
          </cell>
          <cell r="I428" t="str">
            <v>M</v>
          </cell>
          <cell r="J428" t="str">
            <v>POSITIF</v>
          </cell>
        </row>
        <row r="429">
          <cell r="F429" t="str">
            <v>LIMBE</v>
          </cell>
          <cell r="G429" t="str">
            <v>Sud-Ouest</v>
          </cell>
          <cell r="H429">
            <v>38</v>
          </cell>
          <cell r="I429" t="str">
            <v>F</v>
          </cell>
          <cell r="J429" t="str">
            <v>POSITIF</v>
          </cell>
        </row>
        <row r="430">
          <cell r="F430" t="str">
            <v>BUEA</v>
          </cell>
          <cell r="G430" t="str">
            <v>Sud-Ouest</v>
          </cell>
          <cell r="H430">
            <v>23</v>
          </cell>
          <cell r="I430" t="str">
            <v>M</v>
          </cell>
          <cell r="J430" t="str">
            <v>POSITIF</v>
          </cell>
        </row>
        <row r="431">
          <cell r="F431" t="str">
            <v xml:space="preserve">Tiko </v>
          </cell>
          <cell r="G431" t="str">
            <v>Sud-Ouest</v>
          </cell>
          <cell r="H431">
            <v>16</v>
          </cell>
          <cell r="I431" t="str">
            <v>F</v>
          </cell>
          <cell r="J431" t="str">
            <v>POSITIF</v>
          </cell>
        </row>
        <row r="432">
          <cell r="F432" t="str">
            <v>NYLON</v>
          </cell>
          <cell r="G432" t="str">
            <v>Littoral</v>
          </cell>
          <cell r="H432">
            <v>52</v>
          </cell>
          <cell r="I432" t="str">
            <v>M</v>
          </cell>
          <cell r="J432" t="str">
            <v>POSITIF</v>
          </cell>
        </row>
        <row r="433">
          <cell r="F433" t="str">
            <v>LIMBE</v>
          </cell>
          <cell r="G433" t="str">
            <v>Sud-Ouest</v>
          </cell>
          <cell r="H433">
            <v>47</v>
          </cell>
          <cell r="I433" t="str">
            <v>F</v>
          </cell>
          <cell r="J433" t="str">
            <v>POSITIF</v>
          </cell>
        </row>
        <row r="434">
          <cell r="F434" t="str">
            <v>LIMBE</v>
          </cell>
          <cell r="G434" t="str">
            <v>Sud-Ouest</v>
          </cell>
          <cell r="H434">
            <v>21</v>
          </cell>
          <cell r="I434" t="str">
            <v>F</v>
          </cell>
          <cell r="J434" t="str">
            <v>POSITIF</v>
          </cell>
        </row>
        <row r="435">
          <cell r="F435" t="str">
            <v>NEW_BELL</v>
          </cell>
          <cell r="G435" t="str">
            <v>Littoral</v>
          </cell>
          <cell r="H435">
            <v>18</v>
          </cell>
          <cell r="I435" t="str">
            <v>M</v>
          </cell>
          <cell r="J435" t="str">
            <v>POSITIF</v>
          </cell>
        </row>
        <row r="436">
          <cell r="F436" t="str">
            <v>CITE_DES_PALMIERS</v>
          </cell>
          <cell r="G436" t="str">
            <v>Littoral</v>
          </cell>
          <cell r="H436">
            <v>39</v>
          </cell>
          <cell r="I436" t="str">
            <v>M</v>
          </cell>
          <cell r="J436" t="str">
            <v>POSITIF</v>
          </cell>
        </row>
        <row r="437">
          <cell r="F437" t="str">
            <v>LIMBE</v>
          </cell>
          <cell r="G437" t="str">
            <v>Sud-Ouest</v>
          </cell>
          <cell r="H437">
            <v>28</v>
          </cell>
          <cell r="I437" t="str">
            <v>M</v>
          </cell>
          <cell r="J437" t="str">
            <v>POSITIF</v>
          </cell>
        </row>
        <row r="438">
          <cell r="F438" t="str">
            <v>DEIDO</v>
          </cell>
          <cell r="G438" t="str">
            <v>LITTORAL</v>
          </cell>
          <cell r="I438" t="str">
            <v>F</v>
          </cell>
          <cell r="J438" t="str">
            <v>POSITIF</v>
          </cell>
        </row>
        <row r="439">
          <cell r="F439" t="str">
            <v>DEIDO</v>
          </cell>
          <cell r="G439" t="str">
            <v>Littoral</v>
          </cell>
          <cell r="H439">
            <v>19</v>
          </cell>
          <cell r="I439" t="str">
            <v>M</v>
          </cell>
          <cell r="J439" t="str">
            <v>POSITIF</v>
          </cell>
        </row>
        <row r="440">
          <cell r="F440" t="str">
            <v>DEIDO</v>
          </cell>
          <cell r="G440" t="str">
            <v>LITTORAL</v>
          </cell>
          <cell r="I440" t="str">
            <v>F</v>
          </cell>
          <cell r="J440" t="str">
            <v>POSITIF</v>
          </cell>
        </row>
        <row r="441">
          <cell r="F441" t="str">
            <v>DEIDO</v>
          </cell>
          <cell r="G441" t="str">
            <v>LITTORAL</v>
          </cell>
          <cell r="I441" t="str">
            <v>F</v>
          </cell>
          <cell r="J441" t="str">
            <v>POSITIF</v>
          </cell>
        </row>
        <row r="442">
          <cell r="F442" t="str">
            <v>LIMBE</v>
          </cell>
          <cell r="G442" t="str">
            <v>Sud-Ouest</v>
          </cell>
          <cell r="H442">
            <v>27</v>
          </cell>
          <cell r="I442" t="str">
            <v>M</v>
          </cell>
          <cell r="J442" t="str">
            <v>POSITIF</v>
          </cell>
        </row>
        <row r="443">
          <cell r="F443" t="str">
            <v>JAPOMA</v>
          </cell>
          <cell r="G443" t="str">
            <v>Littoral</v>
          </cell>
          <cell r="H443">
            <v>42</v>
          </cell>
          <cell r="I443" t="str">
            <v>M</v>
          </cell>
          <cell r="J443" t="str">
            <v>POSITIF</v>
          </cell>
        </row>
        <row r="444">
          <cell r="F444" t="str">
            <v>LIMBE</v>
          </cell>
          <cell r="G444" t="str">
            <v>Sud-Ouest</v>
          </cell>
          <cell r="H444">
            <v>23</v>
          </cell>
          <cell r="I444" t="str">
            <v>F</v>
          </cell>
          <cell r="J444" t="str">
            <v>POSITIF</v>
          </cell>
        </row>
        <row r="445">
          <cell r="F445" t="str">
            <v>BONASSAMA</v>
          </cell>
          <cell r="G445" t="str">
            <v>Littoral</v>
          </cell>
          <cell r="H445">
            <v>12</v>
          </cell>
          <cell r="I445" t="str">
            <v>F</v>
          </cell>
          <cell r="J445" t="str">
            <v>POSITIF</v>
          </cell>
        </row>
        <row r="446">
          <cell r="F446" t="str">
            <v>LIMBE</v>
          </cell>
          <cell r="G446" t="str">
            <v>Sud-Ouest</v>
          </cell>
          <cell r="H446">
            <v>50</v>
          </cell>
          <cell r="I446" t="str">
            <v>F</v>
          </cell>
          <cell r="J446" t="str">
            <v>POSITIF</v>
          </cell>
        </row>
        <row r="447">
          <cell r="F447" t="str">
            <v>DEIDO</v>
          </cell>
          <cell r="G447" t="str">
            <v>LITTORAL</v>
          </cell>
          <cell r="H447">
            <v>35</v>
          </cell>
          <cell r="I447" t="str">
            <v>M</v>
          </cell>
          <cell r="J447" t="str">
            <v>POSITIF</v>
          </cell>
        </row>
        <row r="448">
          <cell r="F448" t="str">
            <v>NEW_BELL</v>
          </cell>
          <cell r="G448" t="str">
            <v>Littoral</v>
          </cell>
          <cell r="H448">
            <v>3</v>
          </cell>
          <cell r="I448" t="str">
            <v>M</v>
          </cell>
          <cell r="J448" t="str">
            <v>POSITIF</v>
          </cell>
        </row>
        <row r="449">
          <cell r="F449" t="str">
            <v>LIMBE</v>
          </cell>
          <cell r="G449" t="str">
            <v>Sud-Ouest</v>
          </cell>
          <cell r="H449">
            <v>15</v>
          </cell>
          <cell r="I449" t="str">
            <v>F</v>
          </cell>
          <cell r="J449" t="str">
            <v>POSITIF</v>
          </cell>
        </row>
        <row r="450">
          <cell r="F450" t="str">
            <v>LOGBABA</v>
          </cell>
          <cell r="G450" t="str">
            <v>LITTORAL</v>
          </cell>
          <cell r="H450">
            <v>11</v>
          </cell>
          <cell r="I450" t="str">
            <v>M</v>
          </cell>
          <cell r="J450" t="str">
            <v>POSITIF</v>
          </cell>
        </row>
        <row r="451">
          <cell r="F451" t="str">
            <v>LOGBABA</v>
          </cell>
          <cell r="G451" t="str">
            <v>Littoral</v>
          </cell>
          <cell r="H451">
            <v>11</v>
          </cell>
          <cell r="I451" t="str">
            <v>M</v>
          </cell>
          <cell r="J451" t="str">
            <v>POSITIF</v>
          </cell>
        </row>
        <row r="452">
          <cell r="F452" t="str">
            <v>PITOA</v>
          </cell>
          <cell r="G452" t="str">
            <v>Nord</v>
          </cell>
          <cell r="H452">
            <v>9</v>
          </cell>
          <cell r="I452" t="str">
            <v>F</v>
          </cell>
          <cell r="J452" t="str">
            <v>POSITIF</v>
          </cell>
        </row>
        <row r="453">
          <cell r="F453" t="str">
            <v>KUMBA SOUTH</v>
          </cell>
          <cell r="G453" t="str">
            <v>Sud-Ouest</v>
          </cell>
          <cell r="H453">
            <v>1</v>
          </cell>
          <cell r="I453" t="str">
            <v>M</v>
          </cell>
          <cell r="J453" t="str">
            <v>POSITIF</v>
          </cell>
        </row>
        <row r="454">
          <cell r="F454" t="str">
            <v>LOGBABA</v>
          </cell>
          <cell r="G454" t="str">
            <v>Littoral</v>
          </cell>
          <cell r="H454">
            <v>32</v>
          </cell>
          <cell r="I454" t="str">
            <v>M</v>
          </cell>
          <cell r="J454" t="str">
            <v>POSITIF</v>
          </cell>
        </row>
        <row r="455">
          <cell r="F455" t="str">
            <v>NEW_BELL</v>
          </cell>
          <cell r="G455" t="str">
            <v>Littoral</v>
          </cell>
          <cell r="H455">
            <v>32</v>
          </cell>
          <cell r="I455" t="str">
            <v>M</v>
          </cell>
          <cell r="J455" t="str">
            <v>POSITIF</v>
          </cell>
        </row>
        <row r="456">
          <cell r="F456" t="str">
            <v>NEW_BELL</v>
          </cell>
          <cell r="G456" t="str">
            <v>Littoral</v>
          </cell>
          <cell r="H456">
            <v>24</v>
          </cell>
          <cell r="I456" t="str">
            <v>M</v>
          </cell>
          <cell r="J456" t="str">
            <v>POSITIF</v>
          </cell>
        </row>
        <row r="457">
          <cell r="F457" t="str">
            <v>KUMBA SOUTH</v>
          </cell>
          <cell r="G457" t="str">
            <v>Sud-Ouest</v>
          </cell>
          <cell r="H457">
            <v>48</v>
          </cell>
          <cell r="I457" t="str">
            <v>M</v>
          </cell>
          <cell r="J457" t="str">
            <v>POSITIF</v>
          </cell>
        </row>
        <row r="458">
          <cell r="F458" t="str">
            <v>LIMBE</v>
          </cell>
          <cell r="G458" t="str">
            <v>Sud-Ouest</v>
          </cell>
          <cell r="H458">
            <v>8</v>
          </cell>
          <cell r="I458" t="str">
            <v>M</v>
          </cell>
          <cell r="J458" t="str">
            <v>POSITIF</v>
          </cell>
        </row>
        <row r="459">
          <cell r="F459" t="str">
            <v>BUEA</v>
          </cell>
          <cell r="G459" t="str">
            <v>Sud-Ouest</v>
          </cell>
          <cell r="H459">
            <v>25</v>
          </cell>
          <cell r="I459" t="str">
            <v>F</v>
          </cell>
          <cell r="J459" t="str">
            <v>POSITIF</v>
          </cell>
        </row>
        <row r="460">
          <cell r="F460" t="str">
            <v>DEIDO</v>
          </cell>
          <cell r="G460" t="str">
            <v>Littoral</v>
          </cell>
          <cell r="H460">
            <v>47</v>
          </cell>
          <cell r="I460" t="str">
            <v>M</v>
          </cell>
          <cell r="J460" t="str">
            <v>POSITIF</v>
          </cell>
        </row>
        <row r="461">
          <cell r="F461" t="str">
            <v>BANGUE</v>
          </cell>
          <cell r="G461" t="str">
            <v>Littoral</v>
          </cell>
          <cell r="H461">
            <v>25</v>
          </cell>
          <cell r="I461" t="str">
            <v>M</v>
          </cell>
          <cell r="J461" t="str">
            <v>POSITIF</v>
          </cell>
        </row>
        <row r="462">
          <cell r="F462" t="str">
            <v>PITOA</v>
          </cell>
          <cell r="G462" t="str">
            <v>Nord</v>
          </cell>
          <cell r="H462">
            <v>18</v>
          </cell>
          <cell r="I462" t="str">
            <v>M</v>
          </cell>
          <cell r="J462" t="str">
            <v>POSITIF</v>
          </cell>
        </row>
        <row r="463">
          <cell r="F463" t="str">
            <v>LIMBE</v>
          </cell>
          <cell r="G463" t="str">
            <v>Sud-Ouest</v>
          </cell>
          <cell r="H463">
            <v>43</v>
          </cell>
          <cell r="I463" t="str">
            <v>F</v>
          </cell>
          <cell r="J463" t="str">
            <v>POSITIF</v>
          </cell>
        </row>
        <row r="464">
          <cell r="F464" t="str">
            <v>DEIDO</v>
          </cell>
          <cell r="G464" t="str">
            <v>Littoral</v>
          </cell>
          <cell r="H464">
            <v>30</v>
          </cell>
          <cell r="I464" t="str">
            <v>M</v>
          </cell>
          <cell r="J464" t="str">
            <v>POSITIF</v>
          </cell>
        </row>
        <row r="465">
          <cell r="F465" t="str">
            <v>NEW_BELL</v>
          </cell>
          <cell r="G465" t="str">
            <v>LITTORAL</v>
          </cell>
          <cell r="H465">
            <v>1</v>
          </cell>
          <cell r="I465" t="str">
            <v>F</v>
          </cell>
          <cell r="J465" t="str">
            <v>POSITIF</v>
          </cell>
        </row>
        <row r="466">
          <cell r="F466" t="str">
            <v>DEIDO</v>
          </cell>
          <cell r="G466" t="str">
            <v>LITTORAL</v>
          </cell>
          <cell r="H466">
            <v>18</v>
          </cell>
          <cell r="I466" t="str">
            <v>F</v>
          </cell>
          <cell r="J466" t="str">
            <v>POSITIF</v>
          </cell>
        </row>
        <row r="467">
          <cell r="F467" t="str">
            <v>NEW_BELL</v>
          </cell>
          <cell r="G467" t="str">
            <v>LITTORAL</v>
          </cell>
          <cell r="H467">
            <v>22</v>
          </cell>
          <cell r="I467" t="str">
            <v>M</v>
          </cell>
          <cell r="J467" t="str">
            <v>POSITIF</v>
          </cell>
        </row>
        <row r="468">
          <cell r="F468" t="str">
            <v>NEW_BELL</v>
          </cell>
          <cell r="G468" t="str">
            <v>Littoral</v>
          </cell>
          <cell r="H468">
            <v>22</v>
          </cell>
          <cell r="I468" t="str">
            <v>F</v>
          </cell>
          <cell r="J468" t="str">
            <v>POSITIF</v>
          </cell>
        </row>
        <row r="469">
          <cell r="F469" t="str">
            <v>DEIDO</v>
          </cell>
          <cell r="G469" t="str">
            <v>LITTORAL</v>
          </cell>
          <cell r="H469">
            <v>40</v>
          </cell>
          <cell r="I469" t="str">
            <v>F</v>
          </cell>
          <cell r="J469" t="str">
            <v>POSITIF</v>
          </cell>
        </row>
        <row r="470">
          <cell r="F470" t="str">
            <v>BONASSAMA</v>
          </cell>
          <cell r="G470" t="str">
            <v>Littoral</v>
          </cell>
          <cell r="H470">
            <v>1</v>
          </cell>
          <cell r="I470" t="str">
            <v>F</v>
          </cell>
          <cell r="J470" t="str">
            <v>POSITIF</v>
          </cell>
        </row>
        <row r="471">
          <cell r="F471" t="str">
            <v>CITE_DES_PALMIERS</v>
          </cell>
          <cell r="G471" t="str">
            <v>Littoral</v>
          </cell>
          <cell r="H471">
            <v>21</v>
          </cell>
          <cell r="I471" t="str">
            <v>M</v>
          </cell>
          <cell r="J471" t="str">
            <v>POSITIF</v>
          </cell>
        </row>
        <row r="472">
          <cell r="F472" t="str">
            <v xml:space="preserve">Tiko </v>
          </cell>
          <cell r="G472" t="str">
            <v>Sud-Ouest</v>
          </cell>
          <cell r="H472">
            <v>17</v>
          </cell>
          <cell r="I472" t="str">
            <v>M</v>
          </cell>
          <cell r="J472" t="str">
            <v>POSITIF</v>
          </cell>
        </row>
        <row r="473">
          <cell r="F473" t="str">
            <v>BUEA</v>
          </cell>
          <cell r="G473" t="str">
            <v>Sud-Ouest</v>
          </cell>
          <cell r="H473">
            <v>21</v>
          </cell>
          <cell r="I473" t="str">
            <v>M</v>
          </cell>
          <cell r="J473" t="str">
            <v>POSITIF</v>
          </cell>
        </row>
        <row r="474">
          <cell r="F474" t="str">
            <v>LIMBE</v>
          </cell>
          <cell r="G474" t="str">
            <v>Sud-Ouest</v>
          </cell>
          <cell r="H474">
            <v>34</v>
          </cell>
          <cell r="I474" t="str">
            <v>M</v>
          </cell>
          <cell r="J474" t="str">
            <v>POSITIF</v>
          </cell>
        </row>
        <row r="475">
          <cell r="F475" t="str">
            <v>LIMBE</v>
          </cell>
          <cell r="G475" t="str">
            <v>Sud-Ouest</v>
          </cell>
          <cell r="H475">
            <v>24</v>
          </cell>
          <cell r="I475" t="str">
            <v>M</v>
          </cell>
          <cell r="J475" t="str">
            <v>POSITIF</v>
          </cell>
        </row>
        <row r="476">
          <cell r="F476" t="str">
            <v>Ekondo Titi</v>
          </cell>
          <cell r="G476" t="str">
            <v>Sud-Ouest</v>
          </cell>
          <cell r="H476">
            <v>21</v>
          </cell>
          <cell r="I476" t="str">
            <v>F</v>
          </cell>
          <cell r="J476" t="str">
            <v>POSITIF</v>
          </cell>
        </row>
        <row r="477">
          <cell r="F477" t="str">
            <v>Ekondo Titi</v>
          </cell>
          <cell r="G477" t="str">
            <v>Sud-Ouest</v>
          </cell>
          <cell r="H477">
            <v>11</v>
          </cell>
          <cell r="I477" t="str">
            <v>F</v>
          </cell>
          <cell r="J477" t="str">
            <v>POSITIF</v>
          </cell>
        </row>
        <row r="478">
          <cell r="F478" t="str">
            <v>Ekondo Titi</v>
          </cell>
          <cell r="G478" t="str">
            <v>Sud-Ouest</v>
          </cell>
          <cell r="H478">
            <v>11</v>
          </cell>
          <cell r="I478" t="str">
            <v>F</v>
          </cell>
          <cell r="J478" t="str">
            <v>POSITIF</v>
          </cell>
        </row>
        <row r="479">
          <cell r="F479" t="str">
            <v>Ekondo Titi</v>
          </cell>
          <cell r="G479" t="str">
            <v>Sud-Ouest</v>
          </cell>
          <cell r="H479">
            <v>25</v>
          </cell>
          <cell r="I479" t="str">
            <v>F</v>
          </cell>
          <cell r="J479" t="str">
            <v>POSITIF</v>
          </cell>
        </row>
        <row r="480">
          <cell r="F480" t="str">
            <v>LIMBE</v>
          </cell>
          <cell r="G480" t="str">
            <v>Sud-Ouest</v>
          </cell>
          <cell r="H480">
            <v>29</v>
          </cell>
          <cell r="I480" t="str">
            <v>F</v>
          </cell>
          <cell r="J480" t="str">
            <v>POSITIF</v>
          </cell>
        </row>
        <row r="481">
          <cell r="F481" t="str">
            <v>LIMBE</v>
          </cell>
          <cell r="G481" t="str">
            <v>Sud-Ouest</v>
          </cell>
          <cell r="H481">
            <v>15</v>
          </cell>
          <cell r="I481" t="str">
            <v>F</v>
          </cell>
          <cell r="J481" t="str">
            <v>POSITIF</v>
          </cell>
        </row>
        <row r="482">
          <cell r="F482" t="str">
            <v>LIMBE</v>
          </cell>
          <cell r="G482" t="str">
            <v>Sud-Ouest</v>
          </cell>
          <cell r="H482">
            <v>31</v>
          </cell>
          <cell r="I482" t="str">
            <v>F</v>
          </cell>
          <cell r="J482" t="str">
            <v>POSITIF</v>
          </cell>
        </row>
        <row r="483">
          <cell r="F483" t="str">
            <v>Ekondo Titi</v>
          </cell>
          <cell r="G483" t="str">
            <v>Sud-Ouest</v>
          </cell>
          <cell r="H483">
            <v>12</v>
          </cell>
          <cell r="I483" t="str">
            <v>F</v>
          </cell>
          <cell r="J483" t="str">
            <v>POSITIF</v>
          </cell>
        </row>
        <row r="484">
          <cell r="F484" t="str">
            <v>Bakassi</v>
          </cell>
          <cell r="G484" t="str">
            <v>Sud-Ouest</v>
          </cell>
          <cell r="H484">
            <v>6</v>
          </cell>
          <cell r="I484" t="str">
            <v>F</v>
          </cell>
          <cell r="J484" t="str">
            <v>POSITIF</v>
          </cell>
        </row>
        <row r="485">
          <cell r="F485" t="str">
            <v>Bakassi</v>
          </cell>
          <cell r="G485" t="str">
            <v>Sud-Ouest</v>
          </cell>
          <cell r="H485">
            <v>13</v>
          </cell>
          <cell r="I485" t="str">
            <v>F</v>
          </cell>
          <cell r="J485" t="str">
            <v>POSITIF</v>
          </cell>
        </row>
        <row r="486">
          <cell r="F486" t="str">
            <v>LIMBE</v>
          </cell>
          <cell r="G486" t="str">
            <v>Sud-Ouest</v>
          </cell>
          <cell r="H486">
            <v>3</v>
          </cell>
          <cell r="I486" t="str">
            <v>F</v>
          </cell>
          <cell r="J486" t="str">
            <v>POSITIF</v>
          </cell>
        </row>
        <row r="487">
          <cell r="F487" t="str">
            <v>Ekondo Titi</v>
          </cell>
          <cell r="G487" t="str">
            <v>Sud-Ouest</v>
          </cell>
          <cell r="H487">
            <v>25</v>
          </cell>
          <cell r="I487" t="str">
            <v>F</v>
          </cell>
          <cell r="J487" t="str">
            <v>POSITIF</v>
          </cell>
        </row>
        <row r="488">
          <cell r="F488" t="str">
            <v>Ekondo Titi</v>
          </cell>
          <cell r="G488" t="str">
            <v>Sud-Ouest</v>
          </cell>
          <cell r="H488">
            <v>20</v>
          </cell>
          <cell r="I488" t="str">
            <v>F</v>
          </cell>
          <cell r="J488" t="str">
            <v>POSITIF</v>
          </cell>
        </row>
        <row r="489">
          <cell r="F489" t="str">
            <v>Ekondo Titi</v>
          </cell>
          <cell r="G489" t="str">
            <v>Sud-Ouest</v>
          </cell>
          <cell r="H489">
            <v>70</v>
          </cell>
          <cell r="I489" t="str">
            <v>M</v>
          </cell>
          <cell r="J489" t="str">
            <v>POSITIF</v>
          </cell>
        </row>
        <row r="490">
          <cell r="F490" t="str">
            <v>BUEA</v>
          </cell>
          <cell r="G490" t="str">
            <v>Sud-Ouest</v>
          </cell>
          <cell r="H490">
            <v>5</v>
          </cell>
          <cell r="I490" t="str">
            <v>F</v>
          </cell>
          <cell r="J490" t="str">
            <v>POSITIF</v>
          </cell>
        </row>
        <row r="491">
          <cell r="F491" t="str">
            <v xml:space="preserve">Tiko </v>
          </cell>
          <cell r="G491" t="str">
            <v>Sud-Ouest</v>
          </cell>
          <cell r="H491">
            <v>21</v>
          </cell>
          <cell r="I491" t="str">
            <v>M</v>
          </cell>
          <cell r="J491" t="str">
            <v>POSITIF</v>
          </cell>
        </row>
        <row r="492">
          <cell r="F492" t="str">
            <v>BUEA</v>
          </cell>
          <cell r="G492" t="str">
            <v>Sud-Ouest</v>
          </cell>
          <cell r="H492">
            <v>28</v>
          </cell>
          <cell r="I492" t="str">
            <v>M</v>
          </cell>
          <cell r="J492" t="str">
            <v>POSITIF</v>
          </cell>
        </row>
        <row r="493">
          <cell r="F493" t="str">
            <v>LIMBE</v>
          </cell>
          <cell r="G493" t="str">
            <v>Sud-Ouest</v>
          </cell>
          <cell r="H493">
            <v>28</v>
          </cell>
          <cell r="I493" t="str">
            <v>M</v>
          </cell>
          <cell r="J493" t="str">
            <v>POSITIF</v>
          </cell>
        </row>
        <row r="494">
          <cell r="F494" t="str">
            <v>BUEA</v>
          </cell>
          <cell r="G494" t="str">
            <v>Sud-Ouest</v>
          </cell>
          <cell r="H494">
            <v>23</v>
          </cell>
          <cell r="I494" t="str">
            <v>M</v>
          </cell>
          <cell r="J494" t="str">
            <v>POSITIF</v>
          </cell>
        </row>
        <row r="495">
          <cell r="F495" t="str">
            <v>LIMBE</v>
          </cell>
          <cell r="G495" t="str">
            <v>Sud-Ouest</v>
          </cell>
          <cell r="H495">
            <v>11</v>
          </cell>
          <cell r="I495" t="str">
            <v>M</v>
          </cell>
          <cell r="J495" t="str">
            <v>POSITIF</v>
          </cell>
        </row>
        <row r="496">
          <cell r="F496" t="str">
            <v>LOUM</v>
          </cell>
          <cell r="G496" t="str">
            <v>Littoral</v>
          </cell>
          <cell r="H496">
            <v>35</v>
          </cell>
          <cell r="I496" t="str">
            <v>F</v>
          </cell>
          <cell r="J496" t="str">
            <v>POSITIF</v>
          </cell>
        </row>
        <row r="497">
          <cell r="F497" t="str">
            <v>CITE_DES_PALMIERS</v>
          </cell>
          <cell r="G497" t="str">
            <v>Littoral</v>
          </cell>
          <cell r="H497">
            <v>57</v>
          </cell>
          <cell r="I497" t="str">
            <v>M</v>
          </cell>
          <cell r="J497" t="str">
            <v>POSITIF</v>
          </cell>
        </row>
        <row r="498">
          <cell r="F498" t="str">
            <v xml:space="preserve">Tiko </v>
          </cell>
          <cell r="G498" t="str">
            <v>Sud-Ouest</v>
          </cell>
          <cell r="H498">
            <v>28</v>
          </cell>
          <cell r="I498" t="str">
            <v>M</v>
          </cell>
          <cell r="J498" t="str">
            <v>POSITIF</v>
          </cell>
        </row>
        <row r="499">
          <cell r="F499" t="str">
            <v>BOKO</v>
          </cell>
          <cell r="G499" t="str">
            <v>Littoral</v>
          </cell>
          <cell r="H499">
            <v>3.5</v>
          </cell>
          <cell r="I499" t="str">
            <v>F</v>
          </cell>
          <cell r="J499" t="str">
            <v>POSITIF</v>
          </cell>
        </row>
        <row r="500">
          <cell r="F500" t="str">
            <v xml:space="preserve">Tiko </v>
          </cell>
          <cell r="G500" t="str">
            <v>Sud-Ouest</v>
          </cell>
          <cell r="H500">
            <v>29</v>
          </cell>
          <cell r="I500" t="str">
            <v>F</v>
          </cell>
          <cell r="J500" t="str">
            <v>POSITIF</v>
          </cell>
        </row>
        <row r="501">
          <cell r="F501" t="str">
            <v>LIMBE</v>
          </cell>
          <cell r="G501" t="str">
            <v>Sud-Ouest</v>
          </cell>
          <cell r="H501">
            <v>32</v>
          </cell>
          <cell r="I501" t="str">
            <v>M</v>
          </cell>
          <cell r="J501" t="str">
            <v>POSITIF</v>
          </cell>
        </row>
        <row r="502">
          <cell r="F502" t="str">
            <v>LIMBE</v>
          </cell>
          <cell r="G502" t="str">
            <v>Sud-Ouest</v>
          </cell>
          <cell r="H502">
            <v>15</v>
          </cell>
          <cell r="I502" t="str">
            <v>F</v>
          </cell>
          <cell r="J502" t="str">
            <v>POSITIF</v>
          </cell>
        </row>
        <row r="503">
          <cell r="F503" t="str">
            <v>Limbe</v>
          </cell>
          <cell r="G503" t="str">
            <v>Sud-Ouest</v>
          </cell>
          <cell r="H503">
            <v>7</v>
          </cell>
          <cell r="I503" t="str">
            <v>M</v>
          </cell>
          <cell r="J503" t="str">
            <v>POSITIF</v>
          </cell>
        </row>
        <row r="504">
          <cell r="F504" t="str">
            <v>LIMBE</v>
          </cell>
          <cell r="G504" t="str">
            <v>Sud-Ouest</v>
          </cell>
          <cell r="H504">
            <v>34</v>
          </cell>
          <cell r="I504" t="str">
            <v>M</v>
          </cell>
          <cell r="J504" t="str">
            <v>POSITIF</v>
          </cell>
        </row>
        <row r="505">
          <cell r="F505" t="str">
            <v>NEW_BELL</v>
          </cell>
          <cell r="G505" t="str">
            <v>Littoral</v>
          </cell>
          <cell r="H505">
            <v>46</v>
          </cell>
          <cell r="I505" t="str">
            <v>M</v>
          </cell>
          <cell r="J505" t="str">
            <v>POSITIF</v>
          </cell>
        </row>
        <row r="506">
          <cell r="F506" t="str">
            <v>LIMBE</v>
          </cell>
          <cell r="G506" t="str">
            <v>Sud-Ouest</v>
          </cell>
          <cell r="H506">
            <v>23</v>
          </cell>
          <cell r="I506" t="str">
            <v>F</v>
          </cell>
          <cell r="J506" t="str">
            <v>POSITIF</v>
          </cell>
        </row>
        <row r="507">
          <cell r="F507" t="str">
            <v>BUEA</v>
          </cell>
          <cell r="G507" t="str">
            <v>Sud-Ouest</v>
          </cell>
          <cell r="H507">
            <v>22</v>
          </cell>
          <cell r="I507" t="str">
            <v>M</v>
          </cell>
          <cell r="J507" t="str">
            <v>POSITIF</v>
          </cell>
        </row>
        <row r="508">
          <cell r="F508" t="str">
            <v>BUEA</v>
          </cell>
          <cell r="G508" t="str">
            <v>Sud-Ouest</v>
          </cell>
          <cell r="H508">
            <v>26</v>
          </cell>
          <cell r="I508" t="str">
            <v>M</v>
          </cell>
          <cell r="J508" t="str">
            <v>POSITIF</v>
          </cell>
        </row>
        <row r="509">
          <cell r="F509" t="str">
            <v>NEW_BELL</v>
          </cell>
          <cell r="G509" t="str">
            <v>Littoral</v>
          </cell>
          <cell r="H509">
            <v>30</v>
          </cell>
          <cell r="I509" t="str">
            <v>M</v>
          </cell>
          <cell r="J509" t="str">
            <v>POSITIF</v>
          </cell>
        </row>
        <row r="510">
          <cell r="F510" t="str">
            <v>NJOMBE_PENJA</v>
          </cell>
          <cell r="G510" t="str">
            <v>Littoral</v>
          </cell>
          <cell r="H510">
            <v>28</v>
          </cell>
          <cell r="I510" t="str">
            <v>F</v>
          </cell>
          <cell r="J510" t="str">
            <v>POSITIF</v>
          </cell>
        </row>
        <row r="511">
          <cell r="F511" t="str">
            <v>MBANGA</v>
          </cell>
          <cell r="G511" t="str">
            <v>Littoral</v>
          </cell>
          <cell r="H511">
            <v>27</v>
          </cell>
          <cell r="I511" t="str">
            <v>F</v>
          </cell>
          <cell r="J511" t="str">
            <v>POSITIF</v>
          </cell>
        </row>
        <row r="512">
          <cell r="F512" t="str">
            <v>LIMBE</v>
          </cell>
          <cell r="G512" t="str">
            <v>Sud-Ouest</v>
          </cell>
          <cell r="H512">
            <v>10</v>
          </cell>
          <cell r="I512" t="str">
            <v>M</v>
          </cell>
          <cell r="J512" t="str">
            <v>POSITIF</v>
          </cell>
        </row>
        <row r="513">
          <cell r="F513" t="str">
            <v>MBONGE</v>
          </cell>
          <cell r="G513" t="str">
            <v>Sud-Ouest</v>
          </cell>
          <cell r="H513">
            <v>61</v>
          </cell>
          <cell r="I513" t="str">
            <v>F</v>
          </cell>
          <cell r="J513" t="str">
            <v>POSITIF</v>
          </cell>
        </row>
        <row r="514">
          <cell r="F514" t="str">
            <v>LIMBE</v>
          </cell>
          <cell r="G514" t="str">
            <v>Sud-Ouest</v>
          </cell>
          <cell r="H514">
            <v>8</v>
          </cell>
          <cell r="I514" t="str">
            <v>M</v>
          </cell>
          <cell r="J514" t="str">
            <v>POSITIF</v>
          </cell>
        </row>
        <row r="515">
          <cell r="F515" t="str">
            <v>LIMBE</v>
          </cell>
          <cell r="G515" t="str">
            <v>Sud-Ouest</v>
          </cell>
          <cell r="H515">
            <v>26</v>
          </cell>
          <cell r="I515" t="str">
            <v>M</v>
          </cell>
          <cell r="J515" t="str">
            <v>POSITIF</v>
          </cell>
        </row>
        <row r="516">
          <cell r="F516" t="str">
            <v>JAPOMA</v>
          </cell>
          <cell r="G516" t="str">
            <v>Littoral</v>
          </cell>
          <cell r="H516">
            <v>20</v>
          </cell>
          <cell r="I516" t="str">
            <v>M</v>
          </cell>
          <cell r="J516" t="str">
            <v>POSITIF</v>
          </cell>
        </row>
        <row r="517">
          <cell r="F517" t="str">
            <v>BONASSAMA</v>
          </cell>
          <cell r="G517" t="str">
            <v>Littoral</v>
          </cell>
          <cell r="H517">
            <v>52</v>
          </cell>
          <cell r="I517" t="str">
            <v>M</v>
          </cell>
          <cell r="J517" t="str">
            <v>POSITIF</v>
          </cell>
        </row>
        <row r="518">
          <cell r="F518" t="str">
            <v>CITE_DES_PALMIERS</v>
          </cell>
          <cell r="G518" t="str">
            <v>Littoral</v>
          </cell>
          <cell r="H518">
            <v>27</v>
          </cell>
          <cell r="I518" t="str">
            <v>M</v>
          </cell>
          <cell r="J518" t="str">
            <v>POSITIF</v>
          </cell>
        </row>
        <row r="519">
          <cell r="F519" t="str">
            <v>LOGBABA</v>
          </cell>
          <cell r="G519" t="str">
            <v>Littoral</v>
          </cell>
          <cell r="H519">
            <v>25</v>
          </cell>
          <cell r="I519" t="str">
            <v>M</v>
          </cell>
          <cell r="J519" t="str">
            <v>POSITIF</v>
          </cell>
        </row>
        <row r="520">
          <cell r="F520" t="str">
            <v xml:space="preserve">Tiko </v>
          </cell>
          <cell r="G520" t="str">
            <v>Sud-Ouest</v>
          </cell>
          <cell r="H520">
            <v>24</v>
          </cell>
          <cell r="I520" t="str">
            <v>F</v>
          </cell>
          <cell r="J520" t="str">
            <v>POSITIF</v>
          </cell>
        </row>
        <row r="521">
          <cell r="F521" t="str">
            <v>LIMBE</v>
          </cell>
          <cell r="G521" t="str">
            <v>Sud-Ouest</v>
          </cell>
          <cell r="H521">
            <v>27</v>
          </cell>
          <cell r="I521" t="str">
            <v>M</v>
          </cell>
          <cell r="J521" t="str">
            <v>POSITIF</v>
          </cell>
        </row>
        <row r="522">
          <cell r="F522" t="str">
            <v>LIMBE</v>
          </cell>
          <cell r="G522" t="str">
            <v>Sud-Ouest</v>
          </cell>
          <cell r="H522">
            <v>5</v>
          </cell>
          <cell r="I522" t="str">
            <v>F</v>
          </cell>
          <cell r="J522" t="str">
            <v>POSITIF</v>
          </cell>
        </row>
        <row r="523">
          <cell r="F523" t="str">
            <v>LIMBE</v>
          </cell>
          <cell r="G523" t="str">
            <v>Sud-Ouest</v>
          </cell>
          <cell r="H523">
            <v>25</v>
          </cell>
          <cell r="I523" t="str">
            <v>M</v>
          </cell>
          <cell r="J523" t="str">
            <v>POSITIF</v>
          </cell>
        </row>
        <row r="524">
          <cell r="F524" t="str">
            <v>LIMBE</v>
          </cell>
          <cell r="G524" t="str">
            <v>Sud-Ouest</v>
          </cell>
          <cell r="H524">
            <v>9</v>
          </cell>
          <cell r="I524" t="str">
            <v>F</v>
          </cell>
          <cell r="J524" t="str">
            <v>POSITIF</v>
          </cell>
        </row>
        <row r="525">
          <cell r="F525" t="str">
            <v>LIMBE</v>
          </cell>
          <cell r="G525" t="str">
            <v>Sud-Ouest</v>
          </cell>
          <cell r="H525">
            <v>9</v>
          </cell>
          <cell r="I525" t="str">
            <v>F</v>
          </cell>
          <cell r="J525" t="str">
            <v>POSITIF</v>
          </cell>
        </row>
        <row r="526">
          <cell r="F526" t="str">
            <v>LIMBE</v>
          </cell>
          <cell r="G526" t="str">
            <v>Sud-Ouest</v>
          </cell>
          <cell r="H526">
            <v>33</v>
          </cell>
          <cell r="I526" t="str">
            <v>F</v>
          </cell>
          <cell r="J526" t="str">
            <v>POSITIF</v>
          </cell>
        </row>
        <row r="527">
          <cell r="F527" t="str">
            <v>LIMBE</v>
          </cell>
          <cell r="G527" t="str">
            <v>Sud-Ouest</v>
          </cell>
          <cell r="H527">
            <v>13</v>
          </cell>
          <cell r="I527" t="str">
            <v>F</v>
          </cell>
          <cell r="J527" t="str">
            <v>POSITIF</v>
          </cell>
        </row>
        <row r="528">
          <cell r="F528" t="str">
            <v xml:space="preserve">Tiko </v>
          </cell>
          <cell r="G528" t="str">
            <v>Sud-Ouest</v>
          </cell>
          <cell r="H528">
            <v>2</v>
          </cell>
          <cell r="I528" t="str">
            <v>M</v>
          </cell>
          <cell r="J528" t="str">
            <v>POSITIF</v>
          </cell>
        </row>
        <row r="529">
          <cell r="F529" t="str">
            <v xml:space="preserve">Tiko </v>
          </cell>
          <cell r="G529" t="str">
            <v>Sud-Ouest</v>
          </cell>
          <cell r="H529">
            <v>12</v>
          </cell>
          <cell r="I529" t="str">
            <v>M</v>
          </cell>
          <cell r="J529" t="str">
            <v>POSITIF</v>
          </cell>
        </row>
        <row r="530">
          <cell r="F530" t="str">
            <v>LIMBE</v>
          </cell>
          <cell r="G530" t="str">
            <v>Sud-Ouest</v>
          </cell>
          <cell r="H530">
            <v>28</v>
          </cell>
          <cell r="I530" t="str">
            <v>M</v>
          </cell>
          <cell r="J530" t="str">
            <v>POSITIF</v>
          </cell>
        </row>
        <row r="531">
          <cell r="F531" t="str">
            <v xml:space="preserve">Tiko </v>
          </cell>
          <cell r="G531" t="str">
            <v>Sud-Ouest</v>
          </cell>
          <cell r="H531">
            <v>18</v>
          </cell>
          <cell r="I531" t="str">
            <v>F</v>
          </cell>
          <cell r="J531" t="str">
            <v>POSITIF</v>
          </cell>
        </row>
        <row r="532">
          <cell r="F532" t="str">
            <v xml:space="preserve">Tiko </v>
          </cell>
          <cell r="G532" t="str">
            <v>Sud-Ouest</v>
          </cell>
          <cell r="H532">
            <v>32</v>
          </cell>
          <cell r="I532" t="str">
            <v>M</v>
          </cell>
          <cell r="J532" t="str">
            <v>POSITIF</v>
          </cell>
        </row>
        <row r="533">
          <cell r="F533" t="str">
            <v>Ekondo Titi</v>
          </cell>
          <cell r="G533" t="str">
            <v>Sud-Ouest</v>
          </cell>
          <cell r="H533">
            <v>5</v>
          </cell>
          <cell r="I533" t="str">
            <v>F</v>
          </cell>
          <cell r="J533" t="str">
            <v>POSITIF</v>
          </cell>
        </row>
        <row r="534">
          <cell r="F534" t="str">
            <v>Ekondo Titi</v>
          </cell>
          <cell r="G534" t="str">
            <v>Sud-Ouest</v>
          </cell>
          <cell r="H534">
            <v>11</v>
          </cell>
          <cell r="I534" t="str">
            <v>M</v>
          </cell>
          <cell r="J534" t="str">
            <v>POSITIF</v>
          </cell>
        </row>
        <row r="535">
          <cell r="F535" t="str">
            <v>LIMBE</v>
          </cell>
          <cell r="G535" t="str">
            <v>Sud-Ouest</v>
          </cell>
          <cell r="H535">
            <v>29</v>
          </cell>
          <cell r="I535" t="str">
            <v>M</v>
          </cell>
          <cell r="J535" t="str">
            <v>POSITIF</v>
          </cell>
        </row>
        <row r="536">
          <cell r="F536" t="str">
            <v>Ekondo Titi</v>
          </cell>
          <cell r="G536" t="str">
            <v>Sud-Ouest</v>
          </cell>
          <cell r="H536">
            <v>17</v>
          </cell>
          <cell r="I536" t="str">
            <v>F</v>
          </cell>
          <cell r="J536" t="str">
            <v>POSITIF</v>
          </cell>
        </row>
        <row r="537">
          <cell r="F537" t="str">
            <v>NYLON</v>
          </cell>
          <cell r="G537" t="str">
            <v>Littoral</v>
          </cell>
          <cell r="H537">
            <v>33</v>
          </cell>
          <cell r="I537" t="str">
            <v>M</v>
          </cell>
          <cell r="J537" t="str">
            <v>POSITIF</v>
          </cell>
        </row>
        <row r="538">
          <cell r="F538" t="str">
            <v>MELONG</v>
          </cell>
          <cell r="G538" t="str">
            <v>Littoral</v>
          </cell>
          <cell r="H538">
            <v>33</v>
          </cell>
          <cell r="I538" t="str">
            <v>M</v>
          </cell>
          <cell r="J538" t="str">
            <v>POSITIF</v>
          </cell>
        </row>
        <row r="539">
          <cell r="F539" t="str">
            <v>Ekondo Titi</v>
          </cell>
          <cell r="G539" t="str">
            <v>Sud-Ouest</v>
          </cell>
          <cell r="H539">
            <v>25</v>
          </cell>
          <cell r="I539" t="str">
            <v>M</v>
          </cell>
          <cell r="J539" t="str">
            <v>POSITIF</v>
          </cell>
        </row>
        <row r="540">
          <cell r="F540" t="str">
            <v>LIMBE</v>
          </cell>
          <cell r="G540" t="str">
            <v>Sud-Ouest</v>
          </cell>
          <cell r="H540">
            <v>24</v>
          </cell>
          <cell r="I540" t="str">
            <v>F</v>
          </cell>
          <cell r="J540" t="str">
            <v>POSITIF</v>
          </cell>
        </row>
        <row r="541">
          <cell r="F541" t="str">
            <v>LIMBE</v>
          </cell>
          <cell r="G541" t="str">
            <v>Sud-Ouest</v>
          </cell>
          <cell r="H541">
            <v>2</v>
          </cell>
          <cell r="I541" t="str">
            <v>M</v>
          </cell>
          <cell r="J541" t="str">
            <v>POSITIF</v>
          </cell>
        </row>
        <row r="542">
          <cell r="F542" t="str">
            <v>LIMBE</v>
          </cell>
          <cell r="G542" t="str">
            <v>Sud-Ouest</v>
          </cell>
          <cell r="H542">
            <v>46</v>
          </cell>
          <cell r="I542" t="str">
            <v>F</v>
          </cell>
          <cell r="J542" t="str">
            <v>POSITIF</v>
          </cell>
        </row>
        <row r="543">
          <cell r="F543" t="str">
            <v>LIMBE</v>
          </cell>
          <cell r="G543" t="str">
            <v>Sud-Ouest</v>
          </cell>
          <cell r="H543">
            <v>42</v>
          </cell>
          <cell r="I543" t="str">
            <v>F</v>
          </cell>
          <cell r="J543" t="str">
            <v>POSITIF</v>
          </cell>
        </row>
        <row r="544">
          <cell r="F544" t="str">
            <v>LIMBE</v>
          </cell>
          <cell r="G544" t="str">
            <v>Sud-Ouest</v>
          </cell>
          <cell r="H544">
            <v>35</v>
          </cell>
          <cell r="I544" t="str">
            <v>F</v>
          </cell>
          <cell r="J544" t="str">
            <v>POSITIF</v>
          </cell>
        </row>
        <row r="545">
          <cell r="F545" t="str">
            <v>LIMBE</v>
          </cell>
          <cell r="G545" t="str">
            <v>Sud-Ouest</v>
          </cell>
          <cell r="H545">
            <v>58</v>
          </cell>
          <cell r="I545" t="str">
            <v>F</v>
          </cell>
          <cell r="J545" t="str">
            <v>POSITIF</v>
          </cell>
        </row>
        <row r="546">
          <cell r="F546" t="str">
            <v>LIMBE</v>
          </cell>
          <cell r="G546" t="str">
            <v>Sud-Ouest</v>
          </cell>
          <cell r="H546">
            <v>68</v>
          </cell>
          <cell r="I546" t="str">
            <v>F</v>
          </cell>
          <cell r="J546" t="str">
            <v>POSITIF</v>
          </cell>
        </row>
        <row r="547">
          <cell r="F547" t="str">
            <v xml:space="preserve">Tiko </v>
          </cell>
          <cell r="G547" t="str">
            <v>Sud-Ouest</v>
          </cell>
          <cell r="H547">
            <v>37</v>
          </cell>
          <cell r="I547" t="str">
            <v>F</v>
          </cell>
          <cell r="J547" t="str">
            <v>POSITIF</v>
          </cell>
        </row>
        <row r="548">
          <cell r="F548" t="str">
            <v>BOKO</v>
          </cell>
          <cell r="G548" t="str">
            <v>Littoral</v>
          </cell>
          <cell r="H548">
            <v>6</v>
          </cell>
          <cell r="I548" t="str">
            <v>M</v>
          </cell>
          <cell r="J548" t="str">
            <v>POSITIF</v>
          </cell>
        </row>
        <row r="549">
          <cell r="F549" t="str">
            <v>BONASSAMA</v>
          </cell>
          <cell r="G549" t="str">
            <v>Littoral</v>
          </cell>
          <cell r="H549">
            <v>44</v>
          </cell>
          <cell r="I549" t="str">
            <v>M</v>
          </cell>
          <cell r="J549" t="str">
            <v>POSITIF</v>
          </cell>
        </row>
        <row r="550">
          <cell r="F550" t="str">
            <v>LIMBE</v>
          </cell>
          <cell r="G550" t="str">
            <v>Sud-Ouest</v>
          </cell>
          <cell r="H550">
            <v>37</v>
          </cell>
          <cell r="I550" t="str">
            <v>F</v>
          </cell>
          <cell r="J550" t="str">
            <v>POSITIF</v>
          </cell>
        </row>
        <row r="551">
          <cell r="F551" t="str">
            <v>JAPOMA</v>
          </cell>
          <cell r="G551" t="str">
            <v>LITTORAL</v>
          </cell>
          <cell r="H551">
            <v>44</v>
          </cell>
          <cell r="I551" t="str">
            <v>M</v>
          </cell>
          <cell r="J551" t="str">
            <v>POSITIF</v>
          </cell>
        </row>
        <row r="552">
          <cell r="F552" t="str">
            <v xml:space="preserve">Tiko </v>
          </cell>
          <cell r="G552" t="str">
            <v>Sud-Ouest</v>
          </cell>
          <cell r="H552">
            <v>6</v>
          </cell>
          <cell r="I552" t="str">
            <v>F</v>
          </cell>
          <cell r="J552" t="str">
            <v>POSITIF</v>
          </cell>
        </row>
        <row r="553">
          <cell r="F553" t="str">
            <v>LIMBE</v>
          </cell>
          <cell r="G553" t="str">
            <v>Sud-Ouest</v>
          </cell>
          <cell r="H553">
            <v>17</v>
          </cell>
          <cell r="I553" t="str">
            <v>F</v>
          </cell>
          <cell r="J553" t="str">
            <v>POSITIF</v>
          </cell>
        </row>
        <row r="554">
          <cell r="F554" t="str">
            <v>BUEA</v>
          </cell>
          <cell r="G554" t="str">
            <v>Sud-Ouest</v>
          </cell>
          <cell r="H554">
            <v>38</v>
          </cell>
          <cell r="I554" t="str">
            <v>M</v>
          </cell>
          <cell r="J554" t="str">
            <v>POSITIF</v>
          </cell>
        </row>
        <row r="555">
          <cell r="F555" t="str">
            <v>LIMBE</v>
          </cell>
          <cell r="G555" t="str">
            <v>Sud-Ouest</v>
          </cell>
          <cell r="H555">
            <v>39</v>
          </cell>
          <cell r="I555" t="str">
            <v>M</v>
          </cell>
          <cell r="J555" t="str">
            <v>POSITIF</v>
          </cell>
        </row>
        <row r="556">
          <cell r="F556" t="str">
            <v>Bakassi</v>
          </cell>
          <cell r="G556" t="str">
            <v>Sud-Ouest</v>
          </cell>
          <cell r="H556">
            <v>30</v>
          </cell>
          <cell r="I556" t="str">
            <v>M</v>
          </cell>
          <cell r="J556" t="str">
            <v>POSITIF</v>
          </cell>
        </row>
        <row r="557">
          <cell r="F557" t="str">
            <v>LIMBE</v>
          </cell>
          <cell r="G557" t="str">
            <v>Sud-Ouest</v>
          </cell>
          <cell r="H557">
            <v>15</v>
          </cell>
          <cell r="I557" t="str">
            <v>M</v>
          </cell>
          <cell r="J557" t="str">
            <v>POSITIF</v>
          </cell>
        </row>
        <row r="558">
          <cell r="F558" t="str">
            <v>LIMBE</v>
          </cell>
          <cell r="G558" t="str">
            <v>Sud-Ouest</v>
          </cell>
          <cell r="H558">
            <v>22</v>
          </cell>
          <cell r="I558" t="str">
            <v>M</v>
          </cell>
          <cell r="J558" t="str">
            <v>POSITIF</v>
          </cell>
        </row>
        <row r="559">
          <cell r="F559" t="str">
            <v>LIMBE</v>
          </cell>
          <cell r="G559" t="str">
            <v>Sud-Ouest</v>
          </cell>
          <cell r="H559">
            <v>23</v>
          </cell>
          <cell r="I559" t="str">
            <v>F</v>
          </cell>
          <cell r="J559" t="str">
            <v>POSITIF</v>
          </cell>
        </row>
        <row r="560">
          <cell r="F560" t="str">
            <v>LIMBE</v>
          </cell>
          <cell r="G560" t="str">
            <v>Sud-Ouest</v>
          </cell>
          <cell r="H560">
            <v>37</v>
          </cell>
          <cell r="I560" t="str">
            <v>F</v>
          </cell>
          <cell r="J560" t="str">
            <v>POSITIF</v>
          </cell>
        </row>
        <row r="561">
          <cell r="F561" t="str">
            <v>BUEA</v>
          </cell>
          <cell r="G561" t="str">
            <v>Sud-Ouest</v>
          </cell>
          <cell r="H561">
            <v>4</v>
          </cell>
          <cell r="I561" t="str">
            <v>F</v>
          </cell>
          <cell r="J561" t="str">
            <v>POSITIF</v>
          </cell>
        </row>
        <row r="562">
          <cell r="F562" t="str">
            <v xml:space="preserve">Tiko </v>
          </cell>
          <cell r="G562" t="str">
            <v>Sud-Ouest</v>
          </cell>
          <cell r="H562">
            <v>13</v>
          </cell>
          <cell r="I562" t="str">
            <v>M</v>
          </cell>
          <cell r="J562" t="str">
            <v>POSITIF</v>
          </cell>
        </row>
        <row r="563">
          <cell r="F563" t="str">
            <v>LIMBE</v>
          </cell>
          <cell r="G563" t="str">
            <v>Sud-Ouest</v>
          </cell>
          <cell r="H563">
            <v>29</v>
          </cell>
          <cell r="I563" t="str">
            <v>M</v>
          </cell>
          <cell r="J563" t="str">
            <v>POSITIF</v>
          </cell>
        </row>
        <row r="564">
          <cell r="F564" t="str">
            <v>BUEA</v>
          </cell>
          <cell r="G564" t="str">
            <v>Sud-Ouest</v>
          </cell>
          <cell r="H564">
            <v>50</v>
          </cell>
          <cell r="I564" t="str">
            <v>M</v>
          </cell>
          <cell r="J564" t="str">
            <v>POSITIF</v>
          </cell>
        </row>
        <row r="565">
          <cell r="F565" t="str">
            <v>BUEA</v>
          </cell>
          <cell r="G565" t="str">
            <v>Sud-Ouest</v>
          </cell>
          <cell r="H565">
            <v>41</v>
          </cell>
          <cell r="I565" t="str">
            <v>M</v>
          </cell>
          <cell r="J565" t="str">
            <v>POSITIF</v>
          </cell>
        </row>
        <row r="566">
          <cell r="F566" t="str">
            <v>BUEA</v>
          </cell>
          <cell r="G566" t="str">
            <v>Sud-Ouest</v>
          </cell>
          <cell r="H566">
            <v>22</v>
          </cell>
          <cell r="I566" t="str">
            <v>M</v>
          </cell>
          <cell r="J566" t="str">
            <v>POSITIF</v>
          </cell>
        </row>
        <row r="567">
          <cell r="F567" t="str">
            <v>LIMBE</v>
          </cell>
          <cell r="G567" t="str">
            <v>Sud-Ouest</v>
          </cell>
          <cell r="H567">
            <v>8</v>
          </cell>
          <cell r="I567" t="str">
            <v>F</v>
          </cell>
          <cell r="J567" t="str">
            <v>POSITIF</v>
          </cell>
        </row>
        <row r="568">
          <cell r="F568" t="str">
            <v>LIMBE</v>
          </cell>
          <cell r="G568" t="str">
            <v>Sud-Ouest</v>
          </cell>
          <cell r="H568">
            <v>21</v>
          </cell>
          <cell r="I568" t="str">
            <v>M</v>
          </cell>
          <cell r="J568" t="str">
            <v>POSITIF</v>
          </cell>
        </row>
        <row r="569">
          <cell r="F569" t="str">
            <v>BUEA</v>
          </cell>
          <cell r="G569" t="str">
            <v>Sud-Ouest</v>
          </cell>
          <cell r="H569">
            <v>20</v>
          </cell>
          <cell r="I569" t="str">
            <v>F</v>
          </cell>
          <cell r="J569" t="str">
            <v>POSITIF</v>
          </cell>
        </row>
        <row r="570">
          <cell r="F570" t="str">
            <v>LIMBE</v>
          </cell>
          <cell r="G570" t="str">
            <v>Sud-Ouest</v>
          </cell>
          <cell r="H570">
            <v>9</v>
          </cell>
          <cell r="I570" t="str">
            <v>M</v>
          </cell>
          <cell r="J570" t="str">
            <v>POSITIF</v>
          </cell>
        </row>
        <row r="571">
          <cell r="F571" t="str">
            <v>LIMBE</v>
          </cell>
          <cell r="G571" t="str">
            <v>Sud-Ouest</v>
          </cell>
          <cell r="H571">
            <v>40</v>
          </cell>
          <cell r="I571" t="str">
            <v>M</v>
          </cell>
          <cell r="J571" t="str">
            <v>POSITIF</v>
          </cell>
        </row>
        <row r="572">
          <cell r="F572" t="str">
            <v>BONASSAMA</v>
          </cell>
          <cell r="G572" t="str">
            <v>Littoral</v>
          </cell>
          <cell r="H572">
            <v>1</v>
          </cell>
          <cell r="I572" t="str">
            <v>F</v>
          </cell>
          <cell r="J572" t="str">
            <v>POSITIF</v>
          </cell>
        </row>
        <row r="573">
          <cell r="F573" t="str">
            <v>KUMBA SOUTH</v>
          </cell>
          <cell r="G573" t="str">
            <v>Sud-Ouest</v>
          </cell>
          <cell r="H573">
            <v>10</v>
          </cell>
          <cell r="I573" t="str">
            <v>M</v>
          </cell>
          <cell r="J573" t="str">
            <v>POSITIF</v>
          </cell>
        </row>
        <row r="574">
          <cell r="F574" t="str">
            <v>LIMBE</v>
          </cell>
          <cell r="G574" t="str">
            <v>Sud-Ouest</v>
          </cell>
          <cell r="H574">
            <v>40</v>
          </cell>
          <cell r="I574" t="str">
            <v>M</v>
          </cell>
          <cell r="J574" t="str">
            <v>POSITIF</v>
          </cell>
        </row>
        <row r="575">
          <cell r="F575" t="str">
            <v>NYLON</v>
          </cell>
          <cell r="G575" t="str">
            <v>LITTORAL</v>
          </cell>
          <cell r="H575">
            <v>13</v>
          </cell>
          <cell r="I575" t="str">
            <v>M</v>
          </cell>
          <cell r="J575" t="str">
            <v>POSITIF</v>
          </cell>
        </row>
        <row r="576">
          <cell r="F576" t="str">
            <v>BONASSAMA</v>
          </cell>
          <cell r="G576" t="str">
            <v>Littoral</v>
          </cell>
          <cell r="H576">
            <v>38</v>
          </cell>
          <cell r="I576" t="str">
            <v>M</v>
          </cell>
          <cell r="J576" t="str">
            <v>POSITIF</v>
          </cell>
        </row>
        <row r="577">
          <cell r="F577" t="str">
            <v>NYLON</v>
          </cell>
          <cell r="G577" t="str">
            <v>LITTORAL</v>
          </cell>
          <cell r="H577">
            <v>34</v>
          </cell>
          <cell r="I577" t="str">
            <v>F</v>
          </cell>
          <cell r="J577" t="str">
            <v>POSITIF</v>
          </cell>
        </row>
        <row r="578">
          <cell r="F578" t="str">
            <v>LIMBE</v>
          </cell>
          <cell r="G578" t="str">
            <v>Sud-Ouest</v>
          </cell>
          <cell r="H578">
            <v>35</v>
          </cell>
          <cell r="I578" t="str">
            <v>M</v>
          </cell>
          <cell r="J578" t="str">
            <v>POSITIF</v>
          </cell>
        </row>
        <row r="579">
          <cell r="F579" t="str">
            <v>LIMBE</v>
          </cell>
          <cell r="G579" t="str">
            <v>Sud-Ouest</v>
          </cell>
          <cell r="H579">
            <v>50</v>
          </cell>
          <cell r="I579" t="str">
            <v>M</v>
          </cell>
          <cell r="J579" t="str">
            <v>POSITIF</v>
          </cell>
        </row>
        <row r="580">
          <cell r="F580" t="str">
            <v>BOKO</v>
          </cell>
          <cell r="G580" t="str">
            <v>Littoral</v>
          </cell>
          <cell r="H580">
            <v>46</v>
          </cell>
          <cell r="I580" t="str">
            <v>M</v>
          </cell>
          <cell r="J580" t="str">
            <v>POSITIF</v>
          </cell>
        </row>
        <row r="581">
          <cell r="F581" t="str">
            <v>NJOMBE_PENJA</v>
          </cell>
          <cell r="G581" t="str">
            <v>Littoral</v>
          </cell>
          <cell r="H581">
            <v>1</v>
          </cell>
          <cell r="I581" t="str">
            <v>M</v>
          </cell>
          <cell r="J581" t="str">
            <v>POSITIF</v>
          </cell>
        </row>
        <row r="582">
          <cell r="F582" t="str">
            <v>BOKO</v>
          </cell>
          <cell r="G582" t="str">
            <v>Littoral</v>
          </cell>
          <cell r="H582">
            <v>36</v>
          </cell>
          <cell r="I582" t="str">
            <v>M</v>
          </cell>
          <cell r="J582" t="str">
            <v>POSITIF</v>
          </cell>
        </row>
        <row r="583">
          <cell r="F583" t="str">
            <v>BANGUE</v>
          </cell>
          <cell r="G583" t="str">
            <v>Littoral</v>
          </cell>
          <cell r="H583">
            <v>45</v>
          </cell>
          <cell r="I583" t="str">
            <v>M</v>
          </cell>
          <cell r="J583" t="str">
            <v>POSITIF</v>
          </cell>
        </row>
        <row r="584">
          <cell r="F584" t="str">
            <v>LIMBE</v>
          </cell>
          <cell r="G584" t="str">
            <v>Sud-Ouest</v>
          </cell>
          <cell r="H584">
            <v>38</v>
          </cell>
          <cell r="I584" t="str">
            <v>M</v>
          </cell>
          <cell r="J584" t="str">
            <v>POSITIF</v>
          </cell>
        </row>
        <row r="585">
          <cell r="F585" t="str">
            <v>BUEA</v>
          </cell>
          <cell r="G585" t="str">
            <v>Sud-Ouest</v>
          </cell>
          <cell r="H585">
            <v>54</v>
          </cell>
          <cell r="I585" t="str">
            <v>M</v>
          </cell>
          <cell r="J585" t="str">
            <v>POSITIF</v>
          </cell>
        </row>
        <row r="586">
          <cell r="F586" t="str">
            <v>BUEA</v>
          </cell>
          <cell r="G586" t="str">
            <v>Sud-Ouest</v>
          </cell>
          <cell r="H586">
            <v>26</v>
          </cell>
          <cell r="I586" t="str">
            <v>M</v>
          </cell>
          <cell r="J586" t="str">
            <v>POSITIF</v>
          </cell>
        </row>
        <row r="587">
          <cell r="F587" t="str">
            <v>LIMBE</v>
          </cell>
          <cell r="G587" t="str">
            <v>Sud-Ouest</v>
          </cell>
          <cell r="H587">
            <v>25</v>
          </cell>
          <cell r="I587" t="str">
            <v>M</v>
          </cell>
          <cell r="J587" t="str">
            <v>POSITIF</v>
          </cell>
        </row>
        <row r="588">
          <cell r="F588" t="str">
            <v>NJOMBE_PENJA</v>
          </cell>
          <cell r="G588" t="str">
            <v>Littoral</v>
          </cell>
          <cell r="H588">
            <v>33</v>
          </cell>
          <cell r="I588" t="str">
            <v>F</v>
          </cell>
          <cell r="J588" t="str">
            <v>POSITIF</v>
          </cell>
        </row>
        <row r="589">
          <cell r="F589" t="str">
            <v>NYLON</v>
          </cell>
          <cell r="G589" t="str">
            <v>Littoral</v>
          </cell>
          <cell r="H589">
            <v>28</v>
          </cell>
          <cell r="I589" t="str">
            <v>M</v>
          </cell>
          <cell r="J589" t="str">
            <v>POSITIF</v>
          </cell>
        </row>
        <row r="590">
          <cell r="F590" t="str">
            <v>Ekondo Titi</v>
          </cell>
          <cell r="G590" t="str">
            <v>Sud-Ouest</v>
          </cell>
          <cell r="H590">
            <v>21</v>
          </cell>
          <cell r="I590" t="str">
            <v>F</v>
          </cell>
          <cell r="J590" t="str">
            <v>POSITIF</v>
          </cell>
        </row>
        <row r="591">
          <cell r="F591" t="str">
            <v>NYLON</v>
          </cell>
          <cell r="G591" t="str">
            <v>LITTORAL</v>
          </cell>
          <cell r="H591">
            <v>31</v>
          </cell>
          <cell r="I591" t="str">
            <v>M</v>
          </cell>
          <cell r="J591" t="str">
            <v>POSITIF</v>
          </cell>
        </row>
        <row r="592">
          <cell r="F592" t="str">
            <v>BANGUE</v>
          </cell>
          <cell r="G592" t="str">
            <v>Littoral</v>
          </cell>
          <cell r="H592">
            <v>63</v>
          </cell>
          <cell r="I592" t="str">
            <v>M</v>
          </cell>
          <cell r="J592" t="str">
            <v>POSITIF</v>
          </cell>
        </row>
        <row r="593">
          <cell r="F593" t="str">
            <v>BUEA</v>
          </cell>
          <cell r="G593" t="str">
            <v>Sud-Ouest</v>
          </cell>
          <cell r="H593">
            <v>13</v>
          </cell>
          <cell r="I593" t="str">
            <v>M</v>
          </cell>
          <cell r="J593" t="str">
            <v>POSITIF</v>
          </cell>
        </row>
        <row r="594">
          <cell r="F594" t="str">
            <v>LIMBE</v>
          </cell>
          <cell r="G594" t="str">
            <v>Sud-Ouest</v>
          </cell>
          <cell r="H594">
            <v>21</v>
          </cell>
          <cell r="I594" t="str">
            <v>M</v>
          </cell>
          <cell r="J594" t="str">
            <v>POSITIF</v>
          </cell>
        </row>
        <row r="595">
          <cell r="F595" t="str">
            <v>LIMBE</v>
          </cell>
          <cell r="G595" t="str">
            <v>Sud-Ouest</v>
          </cell>
          <cell r="H595">
            <v>60</v>
          </cell>
          <cell r="I595" t="str">
            <v>F</v>
          </cell>
          <cell r="J595" t="str">
            <v>POSITIF</v>
          </cell>
        </row>
        <row r="596">
          <cell r="F596" t="str">
            <v xml:space="preserve">Tiko </v>
          </cell>
          <cell r="G596" t="str">
            <v>Sud-Ouest</v>
          </cell>
          <cell r="H596">
            <v>19</v>
          </cell>
          <cell r="I596" t="str">
            <v>F</v>
          </cell>
          <cell r="J596" t="str">
            <v>POSITIF</v>
          </cell>
        </row>
        <row r="597">
          <cell r="F597" t="str">
            <v>Bakassi</v>
          </cell>
          <cell r="G597" t="str">
            <v>Sud-Ouest</v>
          </cell>
          <cell r="H597">
            <v>20</v>
          </cell>
          <cell r="I597" t="str">
            <v>M</v>
          </cell>
          <cell r="J597" t="str">
            <v>POSITIF</v>
          </cell>
        </row>
        <row r="598">
          <cell r="F598" t="str">
            <v>LIMBE</v>
          </cell>
          <cell r="G598" t="str">
            <v>Sud-Ouest</v>
          </cell>
          <cell r="H598">
            <v>2</v>
          </cell>
          <cell r="I598" t="str">
            <v>M</v>
          </cell>
          <cell r="J598" t="str">
            <v>POSITIF</v>
          </cell>
        </row>
        <row r="599">
          <cell r="F599" t="str">
            <v>Bakassi</v>
          </cell>
          <cell r="G599" t="str">
            <v>Sud-Ouest</v>
          </cell>
          <cell r="H599">
            <v>3</v>
          </cell>
          <cell r="I599" t="str">
            <v>F</v>
          </cell>
          <cell r="J599" t="str">
            <v>POSITIF</v>
          </cell>
        </row>
        <row r="600">
          <cell r="F600" t="str">
            <v>LIMBE</v>
          </cell>
          <cell r="G600" t="str">
            <v>Sud-Ouest</v>
          </cell>
          <cell r="H600">
            <v>80</v>
          </cell>
          <cell r="I600" t="str">
            <v>F</v>
          </cell>
          <cell r="J600" t="str">
            <v>POSITIF</v>
          </cell>
        </row>
        <row r="601">
          <cell r="F601" t="str">
            <v>BUEA</v>
          </cell>
          <cell r="G601" t="str">
            <v>Sud-Ouest</v>
          </cell>
          <cell r="I601" t="str">
            <v>F</v>
          </cell>
          <cell r="J601" t="str">
            <v>POSITIF</v>
          </cell>
        </row>
        <row r="602">
          <cell r="F602" t="str">
            <v>LIMBE</v>
          </cell>
          <cell r="G602" t="str">
            <v>Sud-Ouest</v>
          </cell>
          <cell r="I602" t="str">
            <v>F</v>
          </cell>
          <cell r="J602" t="str">
            <v>POSITIF</v>
          </cell>
        </row>
        <row r="603">
          <cell r="F603" t="str">
            <v>BUEA</v>
          </cell>
          <cell r="G603" t="str">
            <v>Sud-Ouest</v>
          </cell>
          <cell r="H603">
            <v>24</v>
          </cell>
          <cell r="I603" t="str">
            <v>F</v>
          </cell>
          <cell r="J603" t="str">
            <v>POSITIF</v>
          </cell>
        </row>
        <row r="604">
          <cell r="F604" t="str">
            <v>LIMBE</v>
          </cell>
          <cell r="G604" t="str">
            <v>Sud-Ouest</v>
          </cell>
          <cell r="H604">
            <v>41</v>
          </cell>
          <cell r="I604" t="str">
            <v>F</v>
          </cell>
          <cell r="J604" t="str">
            <v>POSITIF</v>
          </cell>
        </row>
        <row r="605">
          <cell r="F605" t="str">
            <v>LIMBE</v>
          </cell>
          <cell r="G605" t="str">
            <v>Sud-Ouest</v>
          </cell>
          <cell r="H605">
            <v>13</v>
          </cell>
          <cell r="I605" t="str">
            <v>M</v>
          </cell>
          <cell r="J605" t="str">
            <v>POSITIF</v>
          </cell>
        </row>
        <row r="606">
          <cell r="F606" t="str">
            <v>LIMBE</v>
          </cell>
          <cell r="G606" t="str">
            <v>Sud-Ouest</v>
          </cell>
          <cell r="H606">
            <v>25</v>
          </cell>
          <cell r="I606" t="str">
            <v>F</v>
          </cell>
          <cell r="J606" t="str">
            <v>POSITIF</v>
          </cell>
        </row>
        <row r="607">
          <cell r="F607" t="str">
            <v>LIMBE</v>
          </cell>
          <cell r="G607" t="str">
            <v>Sud-Ouest</v>
          </cell>
          <cell r="H607">
            <v>29</v>
          </cell>
          <cell r="I607" t="str">
            <v>F</v>
          </cell>
          <cell r="J607" t="str">
            <v>POSITIF</v>
          </cell>
        </row>
        <row r="608">
          <cell r="F608" t="str">
            <v>NEW_BELL</v>
          </cell>
          <cell r="G608" t="str">
            <v>Littoral</v>
          </cell>
          <cell r="H608">
            <v>32</v>
          </cell>
          <cell r="I608" t="str">
            <v>M</v>
          </cell>
          <cell r="J608" t="str">
            <v>POSITIF</v>
          </cell>
        </row>
        <row r="609">
          <cell r="F609" t="str">
            <v>LIMBE</v>
          </cell>
          <cell r="G609" t="str">
            <v>Sud-Ouest</v>
          </cell>
          <cell r="H609">
            <v>16</v>
          </cell>
          <cell r="I609" t="str">
            <v>F</v>
          </cell>
          <cell r="J609" t="str">
            <v>POSITIF</v>
          </cell>
        </row>
        <row r="610">
          <cell r="F610" t="str">
            <v>Ekondo Titi</v>
          </cell>
          <cell r="G610" t="str">
            <v>Sud-Ouest</v>
          </cell>
          <cell r="H610">
            <v>21</v>
          </cell>
          <cell r="I610" t="str">
            <v>M</v>
          </cell>
          <cell r="J610" t="str">
            <v>POSITIF</v>
          </cell>
        </row>
        <row r="611">
          <cell r="F611" t="str">
            <v>LIMBE</v>
          </cell>
          <cell r="G611" t="str">
            <v>Sud-Ouest</v>
          </cell>
          <cell r="H611">
            <v>1</v>
          </cell>
          <cell r="I611" t="str">
            <v>M</v>
          </cell>
          <cell r="J611" t="str">
            <v>POSITIF</v>
          </cell>
        </row>
        <row r="612">
          <cell r="F612" t="str">
            <v>LIMBE</v>
          </cell>
          <cell r="G612" t="str">
            <v>Sud-Ouest</v>
          </cell>
          <cell r="H612">
            <v>26</v>
          </cell>
          <cell r="I612" t="str">
            <v>F</v>
          </cell>
          <cell r="J612" t="str">
            <v>POSITIF</v>
          </cell>
        </row>
        <row r="613">
          <cell r="F613" t="str">
            <v xml:space="preserve">Tiko </v>
          </cell>
          <cell r="G613" t="str">
            <v>Sud-Ouest</v>
          </cell>
          <cell r="H613">
            <v>42</v>
          </cell>
          <cell r="I613" t="str">
            <v>F</v>
          </cell>
          <cell r="J613" t="str">
            <v>POSITIF</v>
          </cell>
        </row>
        <row r="614">
          <cell r="F614" t="str">
            <v>LIMBE</v>
          </cell>
          <cell r="G614" t="str">
            <v>Sud-Ouest</v>
          </cell>
          <cell r="H614">
            <v>37</v>
          </cell>
          <cell r="I614" t="str">
            <v>M</v>
          </cell>
          <cell r="J614" t="str">
            <v>POSITIF</v>
          </cell>
        </row>
        <row r="615">
          <cell r="F615" t="str">
            <v>LIMBE</v>
          </cell>
          <cell r="G615" t="str">
            <v>Sud-Ouest</v>
          </cell>
          <cell r="H615">
            <v>70</v>
          </cell>
          <cell r="I615" t="str">
            <v>M</v>
          </cell>
          <cell r="J615" t="str">
            <v>POSITIF</v>
          </cell>
        </row>
        <row r="616">
          <cell r="F616" t="str">
            <v>NJOMBE_PENJA</v>
          </cell>
          <cell r="G616" t="str">
            <v>Littoral</v>
          </cell>
          <cell r="H616">
            <v>28</v>
          </cell>
          <cell r="I616" t="str">
            <v>M</v>
          </cell>
          <cell r="J616" t="str">
            <v>POSITIF</v>
          </cell>
        </row>
        <row r="617">
          <cell r="F617" t="str">
            <v>LIMBE</v>
          </cell>
          <cell r="G617" t="str">
            <v>Sud-Ouest</v>
          </cell>
          <cell r="H617">
            <v>10</v>
          </cell>
          <cell r="I617" t="str">
            <v>M</v>
          </cell>
          <cell r="J617" t="str">
            <v>POSITIF</v>
          </cell>
        </row>
        <row r="618">
          <cell r="F618" t="str">
            <v>LIMBE</v>
          </cell>
          <cell r="G618" t="str">
            <v>Sud-Ouest</v>
          </cell>
          <cell r="H618">
            <v>20</v>
          </cell>
          <cell r="I618" t="str">
            <v>M</v>
          </cell>
          <cell r="J618" t="str">
            <v>POSITIF</v>
          </cell>
        </row>
        <row r="619">
          <cell r="F619" t="str">
            <v>LIMBE</v>
          </cell>
          <cell r="G619" t="str">
            <v>Sud-Ouest</v>
          </cell>
          <cell r="H619">
            <v>25</v>
          </cell>
          <cell r="I619" t="str">
            <v>M</v>
          </cell>
          <cell r="J619" t="str">
            <v>POSITIF</v>
          </cell>
        </row>
        <row r="620">
          <cell r="F620" t="str">
            <v xml:space="preserve">Tiko </v>
          </cell>
          <cell r="G620" t="str">
            <v>Sud-Ouest</v>
          </cell>
          <cell r="H620">
            <v>52</v>
          </cell>
          <cell r="I620" t="str">
            <v>M</v>
          </cell>
          <cell r="J620" t="str">
            <v>POSITIF</v>
          </cell>
        </row>
        <row r="621">
          <cell r="F621" t="str">
            <v>BUEA</v>
          </cell>
          <cell r="G621" t="str">
            <v>Sud-Ouest</v>
          </cell>
          <cell r="H621">
            <v>19</v>
          </cell>
          <cell r="I621" t="str">
            <v>M</v>
          </cell>
          <cell r="J621" t="str">
            <v>POSITIF</v>
          </cell>
        </row>
        <row r="622">
          <cell r="F622" t="str">
            <v>BUEA</v>
          </cell>
          <cell r="G622" t="str">
            <v>Sud-Ouest</v>
          </cell>
          <cell r="H622">
            <v>57</v>
          </cell>
          <cell r="I622" t="str">
            <v>F</v>
          </cell>
          <cell r="J622" t="str">
            <v>POSITIF</v>
          </cell>
        </row>
        <row r="623">
          <cell r="F623" t="str">
            <v>BUEA</v>
          </cell>
          <cell r="G623" t="str">
            <v>Sud-Ouest</v>
          </cell>
          <cell r="H623">
            <v>32</v>
          </cell>
          <cell r="I623" t="str">
            <v>F</v>
          </cell>
          <cell r="J623" t="str">
            <v>POSITIF</v>
          </cell>
        </row>
        <row r="624">
          <cell r="F624" t="str">
            <v>LIMBE</v>
          </cell>
          <cell r="G624" t="str">
            <v>Sud-Ouest</v>
          </cell>
          <cell r="H624">
            <v>1</v>
          </cell>
          <cell r="I624" t="str">
            <v>F</v>
          </cell>
          <cell r="J624" t="str">
            <v>POSITIF</v>
          </cell>
        </row>
        <row r="625">
          <cell r="F625" t="str">
            <v>LIMBE</v>
          </cell>
          <cell r="G625" t="str">
            <v>Sud-Ouest</v>
          </cell>
          <cell r="H625">
            <v>29</v>
          </cell>
          <cell r="I625" t="str">
            <v>M</v>
          </cell>
          <cell r="J625" t="str">
            <v>POSITIF</v>
          </cell>
        </row>
        <row r="626">
          <cell r="F626" t="str">
            <v>LIMBE</v>
          </cell>
          <cell r="G626" t="str">
            <v>Sud-Ouest</v>
          </cell>
          <cell r="H626">
            <v>6</v>
          </cell>
          <cell r="I626" t="str">
            <v>F</v>
          </cell>
          <cell r="J626" t="str">
            <v>POSITIF</v>
          </cell>
        </row>
        <row r="627">
          <cell r="F627" t="str">
            <v>LOGBABA</v>
          </cell>
          <cell r="G627" t="str">
            <v>LITTORAL</v>
          </cell>
          <cell r="H627">
            <v>42</v>
          </cell>
          <cell r="I627" t="str">
            <v>M</v>
          </cell>
          <cell r="J627" t="str">
            <v>POSITIF</v>
          </cell>
        </row>
        <row r="628">
          <cell r="F628" t="str">
            <v>Bakassi</v>
          </cell>
          <cell r="G628" t="str">
            <v>Sud-Ouest</v>
          </cell>
          <cell r="H628">
            <v>18</v>
          </cell>
          <cell r="I628" t="str">
            <v>M</v>
          </cell>
          <cell r="J628" t="str">
            <v>POSITIF</v>
          </cell>
        </row>
        <row r="629">
          <cell r="F629" t="str">
            <v>BUEA</v>
          </cell>
          <cell r="G629" t="str">
            <v>Sud-Ouest</v>
          </cell>
          <cell r="H629">
            <v>34</v>
          </cell>
          <cell r="I629" t="str">
            <v>M</v>
          </cell>
          <cell r="J629" t="str">
            <v>POSITIF</v>
          </cell>
        </row>
        <row r="630">
          <cell r="F630" t="str">
            <v>NEW_BELL</v>
          </cell>
          <cell r="G630" t="str">
            <v>Littoral</v>
          </cell>
          <cell r="H630">
            <v>22</v>
          </cell>
          <cell r="I630" t="str">
            <v>M</v>
          </cell>
          <cell r="J630" t="str">
            <v>POSITIF</v>
          </cell>
        </row>
        <row r="631">
          <cell r="F631" t="str">
            <v>BOKO</v>
          </cell>
          <cell r="G631" t="str">
            <v>Littoral</v>
          </cell>
          <cell r="H631">
            <v>32</v>
          </cell>
          <cell r="I631" t="str">
            <v>M</v>
          </cell>
          <cell r="J631" t="str">
            <v>POSITIF</v>
          </cell>
        </row>
        <row r="632">
          <cell r="F632" t="str">
            <v xml:space="preserve">Tiko </v>
          </cell>
          <cell r="G632" t="str">
            <v>Sud-Ouest</v>
          </cell>
          <cell r="H632">
            <v>80</v>
          </cell>
          <cell r="I632" t="str">
            <v>F</v>
          </cell>
          <cell r="J632" t="str">
            <v>POSITIF</v>
          </cell>
        </row>
        <row r="633">
          <cell r="F633" t="str">
            <v>NEW_BELL</v>
          </cell>
          <cell r="G633" t="str">
            <v>Littoral</v>
          </cell>
          <cell r="H633">
            <v>12</v>
          </cell>
          <cell r="I633" t="str">
            <v>F</v>
          </cell>
          <cell r="J633" t="str">
            <v>POSITIF</v>
          </cell>
        </row>
        <row r="634">
          <cell r="F634" t="str">
            <v>LIMBE</v>
          </cell>
          <cell r="G634" t="str">
            <v>Sud-Ouest</v>
          </cell>
          <cell r="H634">
            <v>34</v>
          </cell>
          <cell r="I634" t="str">
            <v>M</v>
          </cell>
          <cell r="J634" t="str">
            <v>POSITIF</v>
          </cell>
        </row>
        <row r="635">
          <cell r="F635" t="str">
            <v>DEIDO</v>
          </cell>
          <cell r="G635" t="str">
            <v>Littoral</v>
          </cell>
          <cell r="H635">
            <v>40</v>
          </cell>
          <cell r="I635" t="str">
            <v>M</v>
          </cell>
          <cell r="J635" t="str">
            <v>POSITIF</v>
          </cell>
        </row>
        <row r="636">
          <cell r="F636" t="str">
            <v>LIMBE</v>
          </cell>
          <cell r="G636" t="str">
            <v>Sud-Ouest</v>
          </cell>
          <cell r="H636">
            <v>37</v>
          </cell>
          <cell r="I636" t="str">
            <v>M</v>
          </cell>
          <cell r="J636" t="str">
            <v>POSITIF</v>
          </cell>
        </row>
        <row r="637">
          <cell r="F637" t="str">
            <v>NEW_BELL</v>
          </cell>
          <cell r="G637" t="str">
            <v>Littoral</v>
          </cell>
          <cell r="H637">
            <v>22</v>
          </cell>
          <cell r="I637" t="str">
            <v>M</v>
          </cell>
          <cell r="J637" t="str">
            <v>POSITIF</v>
          </cell>
        </row>
        <row r="638">
          <cell r="F638" t="str">
            <v>Ekondo Titi</v>
          </cell>
          <cell r="G638" t="str">
            <v>Sud-Ouest</v>
          </cell>
          <cell r="H638">
            <v>2</v>
          </cell>
          <cell r="I638" t="str">
            <v>M</v>
          </cell>
          <cell r="J638" t="str">
            <v>POSITIF</v>
          </cell>
        </row>
        <row r="639">
          <cell r="F639" t="str">
            <v>Bakassi</v>
          </cell>
          <cell r="G639" t="str">
            <v>Sud-Ouest</v>
          </cell>
          <cell r="H639">
            <v>20</v>
          </cell>
          <cell r="I639" t="str">
            <v>M</v>
          </cell>
          <cell r="J639" t="str">
            <v>POSITIF</v>
          </cell>
        </row>
        <row r="640">
          <cell r="F640" t="str">
            <v>LIMBE</v>
          </cell>
          <cell r="G640" t="str">
            <v>Sud-Ouest</v>
          </cell>
          <cell r="H640">
            <v>4</v>
          </cell>
          <cell r="I640" t="str">
            <v>M</v>
          </cell>
          <cell r="J640" t="str">
            <v>POSITIF</v>
          </cell>
        </row>
        <row r="641">
          <cell r="F641" t="str">
            <v>LIMBE</v>
          </cell>
          <cell r="G641" t="str">
            <v>Sud-Ouest</v>
          </cell>
          <cell r="H641">
            <v>61</v>
          </cell>
          <cell r="I641" t="str">
            <v>M</v>
          </cell>
          <cell r="J641" t="str">
            <v>POSITIF</v>
          </cell>
        </row>
        <row r="642">
          <cell r="F642" t="str">
            <v>Ekondo Titi</v>
          </cell>
          <cell r="G642" t="str">
            <v>Sud-Ouest</v>
          </cell>
          <cell r="H642">
            <v>19</v>
          </cell>
          <cell r="I642" t="str">
            <v>M</v>
          </cell>
          <cell r="J642" t="str">
            <v>POSITIF</v>
          </cell>
        </row>
        <row r="643">
          <cell r="F643" t="str">
            <v>LIMBE</v>
          </cell>
          <cell r="G643" t="str">
            <v>Sud-Ouest</v>
          </cell>
          <cell r="H643">
            <v>12</v>
          </cell>
          <cell r="I643" t="str">
            <v>M</v>
          </cell>
          <cell r="J643" t="str">
            <v>POSITIF</v>
          </cell>
        </row>
        <row r="644">
          <cell r="F644" t="str">
            <v>LIMBE</v>
          </cell>
          <cell r="G644" t="str">
            <v>Sud-Ouest</v>
          </cell>
          <cell r="H644">
            <v>12</v>
          </cell>
          <cell r="I644" t="str">
            <v>F</v>
          </cell>
          <cell r="J644" t="str">
            <v>POSITIF</v>
          </cell>
        </row>
        <row r="645">
          <cell r="F645" t="str">
            <v>LIMBE</v>
          </cell>
          <cell r="G645" t="str">
            <v>Sud-Ouest</v>
          </cell>
          <cell r="H645">
            <v>3</v>
          </cell>
          <cell r="I645" t="str">
            <v>F</v>
          </cell>
          <cell r="J645" t="str">
            <v>POSITIF</v>
          </cell>
        </row>
        <row r="646">
          <cell r="F646" t="str">
            <v>BUEA</v>
          </cell>
          <cell r="G646" t="str">
            <v>Sud-Ouest</v>
          </cell>
          <cell r="H646">
            <v>17</v>
          </cell>
          <cell r="I646" t="str">
            <v>M</v>
          </cell>
          <cell r="J646" t="str">
            <v>POSITIF</v>
          </cell>
        </row>
        <row r="647">
          <cell r="F647" t="str">
            <v>Ekondo Titi</v>
          </cell>
          <cell r="G647" t="str">
            <v>Sud-Ouest</v>
          </cell>
          <cell r="H647">
            <v>23</v>
          </cell>
          <cell r="I647" t="str">
            <v>M</v>
          </cell>
          <cell r="J647" t="str">
            <v>POSITIF</v>
          </cell>
        </row>
        <row r="648">
          <cell r="F648" t="str">
            <v>Ekondo Titi</v>
          </cell>
          <cell r="G648" t="str">
            <v>Sud-Ouest</v>
          </cell>
          <cell r="H648">
            <v>23</v>
          </cell>
          <cell r="I648" t="str">
            <v>M</v>
          </cell>
          <cell r="J648" t="str">
            <v>POSITIF</v>
          </cell>
        </row>
        <row r="649">
          <cell r="F649" t="str">
            <v>LIMBE</v>
          </cell>
          <cell r="G649" t="str">
            <v>Sud-Ouest</v>
          </cell>
          <cell r="H649">
            <v>33</v>
          </cell>
          <cell r="I649" t="str">
            <v>F</v>
          </cell>
          <cell r="J649" t="str">
            <v>POSITIF</v>
          </cell>
        </row>
        <row r="650">
          <cell r="F650" t="str">
            <v>LIMBE</v>
          </cell>
          <cell r="G650" t="str">
            <v>Sud-Ouest</v>
          </cell>
          <cell r="H650">
            <v>1</v>
          </cell>
          <cell r="I650" t="str">
            <v>M</v>
          </cell>
          <cell r="J650" t="str">
            <v>POSITIF</v>
          </cell>
        </row>
        <row r="651">
          <cell r="F651" t="str">
            <v>Ekondo Titi</v>
          </cell>
          <cell r="G651" t="str">
            <v>Sud-Ouest</v>
          </cell>
          <cell r="H651">
            <v>22</v>
          </cell>
          <cell r="I651" t="str">
            <v>M</v>
          </cell>
          <cell r="J651" t="str">
            <v>POSITIF</v>
          </cell>
        </row>
        <row r="652">
          <cell r="F652" t="str">
            <v>LIMBE</v>
          </cell>
          <cell r="G652" t="str">
            <v>Sud-Ouest</v>
          </cell>
          <cell r="H652">
            <v>3</v>
          </cell>
          <cell r="I652" t="str">
            <v>F</v>
          </cell>
          <cell r="J652" t="str">
            <v>POSITIF</v>
          </cell>
        </row>
        <row r="653">
          <cell r="F653" t="str">
            <v>JAPOMA</v>
          </cell>
          <cell r="G653" t="str">
            <v>Littoral</v>
          </cell>
          <cell r="H653">
            <v>40</v>
          </cell>
          <cell r="I653" t="str">
            <v>F</v>
          </cell>
          <cell r="J653" t="str">
            <v>POSITIF</v>
          </cell>
        </row>
        <row r="654">
          <cell r="F654" t="str">
            <v>LOUM</v>
          </cell>
          <cell r="G654" t="str">
            <v>Littoral</v>
          </cell>
          <cell r="H654">
            <v>38</v>
          </cell>
          <cell r="I654" t="str">
            <v>M</v>
          </cell>
          <cell r="J654" t="str">
            <v>POSITIF</v>
          </cell>
        </row>
        <row r="655">
          <cell r="F655" t="str">
            <v>NJOMBE_PENJA</v>
          </cell>
          <cell r="G655" t="str">
            <v>Littoral</v>
          </cell>
          <cell r="H655">
            <v>32</v>
          </cell>
          <cell r="I655" t="str">
            <v>M</v>
          </cell>
          <cell r="J655" t="str">
            <v>POSITIF</v>
          </cell>
        </row>
        <row r="656">
          <cell r="F656" t="str">
            <v>BANGUE</v>
          </cell>
          <cell r="G656" t="str">
            <v>Littoral</v>
          </cell>
          <cell r="H656">
            <v>47</v>
          </cell>
          <cell r="I656" t="str">
            <v>M</v>
          </cell>
          <cell r="J656" t="str">
            <v>POSITIF</v>
          </cell>
        </row>
        <row r="657">
          <cell r="F657" t="str">
            <v>NYLON</v>
          </cell>
          <cell r="G657" t="str">
            <v>LITTORAL</v>
          </cell>
          <cell r="H657">
            <v>39</v>
          </cell>
          <cell r="I657" t="str">
            <v>F</v>
          </cell>
          <cell r="J657" t="str">
            <v>POSITIF</v>
          </cell>
        </row>
        <row r="658">
          <cell r="F658" t="str">
            <v>BOKO</v>
          </cell>
          <cell r="G658" t="str">
            <v>Littoral</v>
          </cell>
          <cell r="H658">
            <v>39</v>
          </cell>
          <cell r="I658" t="str">
            <v>F</v>
          </cell>
          <cell r="J658" t="str">
            <v>POSITIF</v>
          </cell>
        </row>
        <row r="659">
          <cell r="F659" t="str">
            <v>Bakassi</v>
          </cell>
          <cell r="G659" t="str">
            <v>Sud-Ouest</v>
          </cell>
          <cell r="H659">
            <v>10</v>
          </cell>
          <cell r="I659" t="str">
            <v>M</v>
          </cell>
          <cell r="J659" t="str">
            <v>POSITIF</v>
          </cell>
        </row>
        <row r="660">
          <cell r="F660" t="str">
            <v>Bakassi</v>
          </cell>
          <cell r="G660" t="str">
            <v>Sud-Ouest</v>
          </cell>
          <cell r="H660">
            <v>13</v>
          </cell>
          <cell r="I660" t="str">
            <v>M</v>
          </cell>
          <cell r="J660" t="str">
            <v>POSITIF</v>
          </cell>
        </row>
        <row r="661">
          <cell r="F661" t="str">
            <v>Bakassi</v>
          </cell>
          <cell r="G661" t="str">
            <v>Sud-Ouest</v>
          </cell>
          <cell r="H661">
            <v>18</v>
          </cell>
          <cell r="I661" t="str">
            <v>M</v>
          </cell>
          <cell r="J661" t="str">
            <v>POSITIF</v>
          </cell>
        </row>
        <row r="662">
          <cell r="F662" t="str">
            <v xml:space="preserve">Tiko </v>
          </cell>
          <cell r="G662" t="str">
            <v>Sud-Ouest</v>
          </cell>
          <cell r="H662">
            <v>10</v>
          </cell>
          <cell r="I662" t="str">
            <v>M</v>
          </cell>
          <cell r="J662" t="str">
            <v>POSITIF</v>
          </cell>
        </row>
        <row r="663">
          <cell r="F663" t="str">
            <v>Bakassi</v>
          </cell>
          <cell r="G663" t="str">
            <v>Sud-Ouest</v>
          </cell>
          <cell r="H663">
            <v>15</v>
          </cell>
          <cell r="I663" t="str">
            <v>M</v>
          </cell>
          <cell r="J663" t="str">
            <v>POSITIF</v>
          </cell>
        </row>
        <row r="664">
          <cell r="F664" t="str">
            <v>Bakassi</v>
          </cell>
          <cell r="G664" t="str">
            <v>Sud-Ouest</v>
          </cell>
          <cell r="H664">
            <v>2</v>
          </cell>
          <cell r="I664" t="str">
            <v>M</v>
          </cell>
          <cell r="J664" t="str">
            <v>POSITIF</v>
          </cell>
        </row>
        <row r="665">
          <cell r="F665" t="str">
            <v>BANGUE</v>
          </cell>
          <cell r="G665" t="str">
            <v>LITTORAL</v>
          </cell>
          <cell r="I665" t="str">
            <v>F</v>
          </cell>
          <cell r="J665" t="str">
            <v>POSITIF</v>
          </cell>
        </row>
        <row r="666">
          <cell r="F666" t="str">
            <v>Bakassi</v>
          </cell>
          <cell r="G666" t="str">
            <v>Sud-Ouest</v>
          </cell>
          <cell r="H666">
            <v>3</v>
          </cell>
          <cell r="I666" t="str">
            <v>M</v>
          </cell>
          <cell r="J666" t="str">
            <v>POSITIF</v>
          </cell>
        </row>
        <row r="667">
          <cell r="F667" t="str">
            <v>BOKO</v>
          </cell>
          <cell r="G667" t="str">
            <v>Littoral</v>
          </cell>
          <cell r="H667">
            <v>17</v>
          </cell>
          <cell r="I667" t="str">
            <v>M</v>
          </cell>
          <cell r="J667" t="str">
            <v>POSITIF</v>
          </cell>
        </row>
        <row r="668">
          <cell r="F668" t="str">
            <v>BONASSAMA</v>
          </cell>
          <cell r="G668" t="str">
            <v>Littoral</v>
          </cell>
          <cell r="H668">
            <v>35</v>
          </cell>
          <cell r="I668" t="str">
            <v>M</v>
          </cell>
          <cell r="J668" t="str">
            <v>POSITIF</v>
          </cell>
        </row>
        <row r="669">
          <cell r="F669" t="str">
            <v>BOKO</v>
          </cell>
          <cell r="G669" t="str">
            <v>Littoral</v>
          </cell>
          <cell r="H669">
            <v>51</v>
          </cell>
          <cell r="I669" t="str">
            <v>M</v>
          </cell>
          <cell r="J669" t="str">
            <v>POSITIF</v>
          </cell>
        </row>
        <row r="670">
          <cell r="F670" t="str">
            <v>LIMBE</v>
          </cell>
          <cell r="G670" t="str">
            <v>Sud-Ouest</v>
          </cell>
          <cell r="H670">
            <v>35</v>
          </cell>
          <cell r="I670" t="str">
            <v>M</v>
          </cell>
          <cell r="J670" t="str">
            <v>POSITIF</v>
          </cell>
        </row>
        <row r="671">
          <cell r="F671" t="str">
            <v>NEW_BELL</v>
          </cell>
          <cell r="G671" t="str">
            <v>Littoral</v>
          </cell>
          <cell r="H671">
            <v>2</v>
          </cell>
          <cell r="I671" t="str">
            <v>F</v>
          </cell>
          <cell r="J671" t="str">
            <v>POSITIF</v>
          </cell>
        </row>
        <row r="672">
          <cell r="F672" t="str">
            <v>NJOMBE_PENJA</v>
          </cell>
          <cell r="G672" t="str">
            <v>Littoral</v>
          </cell>
          <cell r="H672">
            <v>80</v>
          </cell>
          <cell r="I672" t="str">
            <v>M</v>
          </cell>
          <cell r="J672" t="str">
            <v>POSITIF</v>
          </cell>
        </row>
        <row r="673">
          <cell r="F673" t="str">
            <v>DEIDO</v>
          </cell>
          <cell r="G673" t="str">
            <v>Littoral</v>
          </cell>
          <cell r="H673">
            <v>39</v>
          </cell>
          <cell r="I673" t="str">
            <v>F</v>
          </cell>
          <cell r="J673" t="str">
            <v>POSITIF</v>
          </cell>
        </row>
        <row r="674">
          <cell r="F674" t="str">
            <v>BONASSAMA</v>
          </cell>
          <cell r="G674" t="str">
            <v>Littoral</v>
          </cell>
          <cell r="H674">
            <v>47</v>
          </cell>
          <cell r="I674" t="str">
            <v>M</v>
          </cell>
          <cell r="J674" t="str">
            <v>POSITIF</v>
          </cell>
        </row>
        <row r="675">
          <cell r="F675" t="str">
            <v>BUEA</v>
          </cell>
          <cell r="G675" t="str">
            <v>Sud-Ouest</v>
          </cell>
          <cell r="H675">
            <v>21</v>
          </cell>
          <cell r="I675" t="str">
            <v>F</v>
          </cell>
          <cell r="J675" t="str">
            <v>POSITIF</v>
          </cell>
        </row>
        <row r="676">
          <cell r="F676" t="str">
            <v>NJOMBE_PENJA</v>
          </cell>
          <cell r="G676" t="str">
            <v>Littoral</v>
          </cell>
          <cell r="H676">
            <v>31</v>
          </cell>
          <cell r="I676" t="str">
            <v>F</v>
          </cell>
          <cell r="J676" t="str">
            <v>POSITIF</v>
          </cell>
        </row>
        <row r="677">
          <cell r="F677" t="str">
            <v>BUEA</v>
          </cell>
          <cell r="G677" t="str">
            <v>Sud-Ouest</v>
          </cell>
          <cell r="H677">
            <v>26</v>
          </cell>
          <cell r="I677" t="str">
            <v>M</v>
          </cell>
          <cell r="J677" t="str">
            <v>POSITIF</v>
          </cell>
        </row>
        <row r="678">
          <cell r="F678" t="str">
            <v xml:space="preserve">Tiko </v>
          </cell>
          <cell r="G678" t="str">
            <v>Sud-Ouest</v>
          </cell>
          <cell r="H678">
            <v>29</v>
          </cell>
          <cell r="I678" t="str">
            <v>M</v>
          </cell>
          <cell r="J678" t="str">
            <v>POSITIF</v>
          </cell>
        </row>
        <row r="679">
          <cell r="F679" t="str">
            <v>LIMBE</v>
          </cell>
          <cell r="G679" t="str">
            <v>Sud-Ouest</v>
          </cell>
          <cell r="H679">
            <v>36</v>
          </cell>
          <cell r="I679" t="str">
            <v>M</v>
          </cell>
          <cell r="J679" t="str">
            <v>POSITIF</v>
          </cell>
        </row>
        <row r="680">
          <cell r="F680" t="str">
            <v>DEIDO</v>
          </cell>
          <cell r="G680" t="str">
            <v>Littoral</v>
          </cell>
          <cell r="H680">
            <v>53</v>
          </cell>
          <cell r="I680" t="str">
            <v>M</v>
          </cell>
          <cell r="J680" t="str">
            <v>POSITIF</v>
          </cell>
        </row>
        <row r="681">
          <cell r="F681" t="str">
            <v>LIMBE</v>
          </cell>
          <cell r="G681" t="str">
            <v>Sud-Ouest</v>
          </cell>
          <cell r="H681">
            <v>17</v>
          </cell>
          <cell r="I681" t="str">
            <v>M</v>
          </cell>
          <cell r="J681" t="str">
            <v>POSITIF</v>
          </cell>
        </row>
        <row r="682">
          <cell r="F682" t="str">
            <v>Bakassi</v>
          </cell>
          <cell r="G682" t="str">
            <v>Sud-Ouest</v>
          </cell>
          <cell r="H682">
            <v>13</v>
          </cell>
          <cell r="I682" t="str">
            <v>M</v>
          </cell>
          <cell r="J682" t="str">
            <v>POSITIF</v>
          </cell>
        </row>
        <row r="683">
          <cell r="F683" t="str">
            <v>Ekondo Titi</v>
          </cell>
          <cell r="G683" t="str">
            <v>Sud-Ouest</v>
          </cell>
          <cell r="H683">
            <v>7</v>
          </cell>
          <cell r="I683" t="str">
            <v>F</v>
          </cell>
          <cell r="J683" t="str">
            <v>POSITIF</v>
          </cell>
        </row>
        <row r="684">
          <cell r="F684" t="str">
            <v>LIMBE</v>
          </cell>
          <cell r="G684" t="str">
            <v>Sud-Ouest</v>
          </cell>
          <cell r="H684">
            <v>1</v>
          </cell>
          <cell r="I684" t="str">
            <v>F</v>
          </cell>
          <cell r="J684" t="str">
            <v>POSITIF</v>
          </cell>
        </row>
        <row r="685">
          <cell r="F685" t="str">
            <v xml:space="preserve">Tiko </v>
          </cell>
          <cell r="G685" t="str">
            <v>Sud-Ouest</v>
          </cell>
          <cell r="H685">
            <v>14</v>
          </cell>
          <cell r="I685" t="str">
            <v>M</v>
          </cell>
          <cell r="J685" t="str">
            <v>POSITIF</v>
          </cell>
        </row>
        <row r="686">
          <cell r="F686" t="str">
            <v xml:space="preserve">Tiko </v>
          </cell>
          <cell r="G686" t="str">
            <v>Sud-Ouest</v>
          </cell>
          <cell r="H686">
            <v>2</v>
          </cell>
          <cell r="I686" t="str">
            <v>F</v>
          </cell>
          <cell r="J686" t="str">
            <v>POSITIF</v>
          </cell>
        </row>
        <row r="687">
          <cell r="F687" t="str">
            <v>LIMBE</v>
          </cell>
          <cell r="G687" t="str">
            <v>Sud-Ouest</v>
          </cell>
          <cell r="H687">
            <v>1</v>
          </cell>
          <cell r="I687" t="str">
            <v>F</v>
          </cell>
          <cell r="J687" t="str">
            <v>POSITIF</v>
          </cell>
        </row>
        <row r="688">
          <cell r="F688" t="str">
            <v>CITE_DES_PALMIERS</v>
          </cell>
          <cell r="G688" t="str">
            <v>LITTORAL</v>
          </cell>
          <cell r="H688">
            <v>19</v>
          </cell>
          <cell r="I688" t="str">
            <v>M</v>
          </cell>
          <cell r="J688" t="str">
            <v>POSITIF</v>
          </cell>
        </row>
        <row r="689">
          <cell r="F689" t="str">
            <v>NJOMBE_PENJA</v>
          </cell>
          <cell r="G689" t="str">
            <v>Littoral</v>
          </cell>
          <cell r="H689">
            <v>30</v>
          </cell>
          <cell r="I689" t="str">
            <v>M</v>
          </cell>
          <cell r="J689" t="str">
            <v>POSITIF</v>
          </cell>
        </row>
        <row r="690">
          <cell r="F690" t="str">
            <v>NJOMBE_PENJA</v>
          </cell>
          <cell r="G690" t="str">
            <v>Littoral</v>
          </cell>
          <cell r="H690">
            <v>63</v>
          </cell>
          <cell r="I690" t="str">
            <v>F</v>
          </cell>
          <cell r="J690" t="str">
            <v>POSITIF</v>
          </cell>
        </row>
        <row r="691">
          <cell r="F691" t="str">
            <v>LIMBE</v>
          </cell>
          <cell r="G691" t="str">
            <v>Sud-Ouest</v>
          </cell>
          <cell r="H691">
            <v>46</v>
          </cell>
          <cell r="I691" t="str">
            <v>F</v>
          </cell>
          <cell r="J691" t="str">
            <v>POSITIF</v>
          </cell>
        </row>
        <row r="692">
          <cell r="F692" t="str">
            <v>BUEA</v>
          </cell>
          <cell r="G692" t="str">
            <v>Sud-Ouest</v>
          </cell>
          <cell r="H692">
            <v>6</v>
          </cell>
          <cell r="I692" t="str">
            <v>M</v>
          </cell>
          <cell r="J692" t="str">
            <v>POSITIF</v>
          </cell>
        </row>
        <row r="693">
          <cell r="F693" t="str">
            <v>BANGUE</v>
          </cell>
          <cell r="G693" t="str">
            <v>Littoral</v>
          </cell>
          <cell r="H693">
            <v>59</v>
          </cell>
          <cell r="I693" t="str">
            <v>M</v>
          </cell>
          <cell r="J693" t="str">
            <v>POSITIF</v>
          </cell>
        </row>
        <row r="694">
          <cell r="F694" t="str">
            <v>CITE_DES_PALMIERS</v>
          </cell>
          <cell r="G694" t="str">
            <v>LITTORAL</v>
          </cell>
          <cell r="H694">
            <v>47</v>
          </cell>
          <cell r="I694" t="str">
            <v>M</v>
          </cell>
          <cell r="J694" t="str">
            <v>POSITIF</v>
          </cell>
        </row>
        <row r="695">
          <cell r="F695" t="str">
            <v>DEIDO</v>
          </cell>
          <cell r="G695" t="str">
            <v>LITTORAL</v>
          </cell>
          <cell r="H695">
            <v>31</v>
          </cell>
          <cell r="I695" t="str">
            <v>M</v>
          </cell>
          <cell r="J695" t="str">
            <v>POSITIF</v>
          </cell>
        </row>
        <row r="696">
          <cell r="F696" t="str">
            <v xml:space="preserve">Tiko </v>
          </cell>
          <cell r="G696" t="str">
            <v>Sud-Ouest</v>
          </cell>
          <cell r="H696">
            <v>95</v>
          </cell>
          <cell r="I696" t="str">
            <v>F</v>
          </cell>
          <cell r="J696" t="str">
            <v>POSITIF</v>
          </cell>
        </row>
        <row r="697">
          <cell r="F697" t="str">
            <v>NEW_BELL</v>
          </cell>
          <cell r="G697" t="str">
            <v>Littoral</v>
          </cell>
          <cell r="H697">
            <v>16</v>
          </cell>
          <cell r="I697" t="str">
            <v>M</v>
          </cell>
          <cell r="J697" t="str">
            <v>POSITIF</v>
          </cell>
        </row>
        <row r="698">
          <cell r="F698" t="str">
            <v>CITE_DES_PALMIERS</v>
          </cell>
          <cell r="G698" t="str">
            <v>Littoral</v>
          </cell>
          <cell r="H698">
            <v>8</v>
          </cell>
          <cell r="I698" t="str">
            <v>F</v>
          </cell>
          <cell r="J698" t="str">
            <v>POSITIF</v>
          </cell>
        </row>
        <row r="699">
          <cell r="F699" t="str">
            <v>NJOMBE_PENJA</v>
          </cell>
          <cell r="G699" t="str">
            <v>Littoral</v>
          </cell>
          <cell r="H699">
            <v>48</v>
          </cell>
          <cell r="I699" t="str">
            <v>F</v>
          </cell>
          <cell r="J699" t="str">
            <v>POSITIF</v>
          </cell>
        </row>
        <row r="700">
          <cell r="F700" t="str">
            <v>LIMBE</v>
          </cell>
          <cell r="G700" t="str">
            <v>Sud-Ouest</v>
          </cell>
          <cell r="H700">
            <v>6</v>
          </cell>
          <cell r="I700" t="str">
            <v>F</v>
          </cell>
          <cell r="J700" t="str">
            <v>POSITIF</v>
          </cell>
        </row>
        <row r="701">
          <cell r="F701" t="str">
            <v>LIMBE</v>
          </cell>
          <cell r="G701" t="str">
            <v>Sud-Ouest</v>
          </cell>
          <cell r="H701">
            <v>27</v>
          </cell>
          <cell r="I701" t="str">
            <v>F</v>
          </cell>
          <cell r="J701" t="str">
            <v>POSITIF</v>
          </cell>
        </row>
        <row r="702">
          <cell r="F702" t="str">
            <v>LIMBE</v>
          </cell>
          <cell r="G702" t="str">
            <v>Sud-Ouest</v>
          </cell>
          <cell r="H702">
            <v>40</v>
          </cell>
          <cell r="I702" t="str">
            <v>M</v>
          </cell>
          <cell r="J702" t="str">
            <v>POSITIF</v>
          </cell>
        </row>
        <row r="703">
          <cell r="F703" t="str">
            <v>CITE_DES_PALMIERS</v>
          </cell>
          <cell r="G703" t="str">
            <v>Littoral</v>
          </cell>
          <cell r="H703">
            <v>47</v>
          </cell>
          <cell r="I703" t="str">
            <v>M</v>
          </cell>
          <cell r="J703" t="str">
            <v>POSITIF</v>
          </cell>
        </row>
        <row r="704">
          <cell r="F704" t="str">
            <v>LIMBE</v>
          </cell>
          <cell r="G704" t="str">
            <v>Sud-Ouest</v>
          </cell>
          <cell r="H704">
            <v>20</v>
          </cell>
          <cell r="I704" t="str">
            <v>M</v>
          </cell>
          <cell r="J704" t="str">
            <v>POSITIF</v>
          </cell>
        </row>
        <row r="705">
          <cell r="F705" t="str">
            <v>DEIDO</v>
          </cell>
          <cell r="G705" t="str">
            <v>Littoral</v>
          </cell>
          <cell r="H705">
            <v>10</v>
          </cell>
          <cell r="I705" t="str">
            <v>M</v>
          </cell>
          <cell r="J705" t="str">
            <v>POSITIF</v>
          </cell>
        </row>
        <row r="706">
          <cell r="F706" t="str">
            <v>BUEA</v>
          </cell>
          <cell r="G706" t="str">
            <v>Sud-Ouest</v>
          </cell>
          <cell r="H706">
            <v>41</v>
          </cell>
          <cell r="I706" t="str">
            <v>M</v>
          </cell>
          <cell r="J706" t="str">
            <v>POSITIF</v>
          </cell>
        </row>
        <row r="707">
          <cell r="F707" t="str">
            <v>NEW_BELL</v>
          </cell>
          <cell r="G707" t="str">
            <v>Littoral</v>
          </cell>
          <cell r="H707">
            <v>30</v>
          </cell>
          <cell r="I707" t="str">
            <v>M</v>
          </cell>
          <cell r="J707" t="str">
            <v>POSITIF</v>
          </cell>
        </row>
        <row r="708">
          <cell r="F708" t="str">
            <v>NEW_BELL</v>
          </cell>
          <cell r="G708" t="str">
            <v>Littoral</v>
          </cell>
          <cell r="H708">
            <v>22</v>
          </cell>
          <cell r="I708" t="str">
            <v>M</v>
          </cell>
          <cell r="J708" t="str">
            <v>POSITIF</v>
          </cell>
        </row>
        <row r="709">
          <cell r="F709" t="str">
            <v>BONASSAMA</v>
          </cell>
          <cell r="G709" t="str">
            <v>Littoral</v>
          </cell>
          <cell r="H709">
            <v>24</v>
          </cell>
          <cell r="I709" t="str">
            <v>F</v>
          </cell>
          <cell r="J709" t="str">
            <v>POSITIF</v>
          </cell>
        </row>
        <row r="710">
          <cell r="F710" t="str">
            <v>DEIDO</v>
          </cell>
          <cell r="G710" t="str">
            <v>Littoral</v>
          </cell>
          <cell r="H710">
            <v>42</v>
          </cell>
          <cell r="I710" t="str">
            <v>M</v>
          </cell>
          <cell r="J710" t="str">
            <v>POSITIF</v>
          </cell>
        </row>
        <row r="711">
          <cell r="F711" t="str">
            <v>NJOMBE_PENJA</v>
          </cell>
          <cell r="G711" t="str">
            <v>Littoral</v>
          </cell>
          <cell r="H711">
            <v>16</v>
          </cell>
          <cell r="I711" t="str">
            <v>M</v>
          </cell>
          <cell r="J711" t="str">
            <v>POSITIF</v>
          </cell>
        </row>
        <row r="712">
          <cell r="F712" t="str">
            <v>NJOMBE_PENJA</v>
          </cell>
          <cell r="G712" t="str">
            <v>Littoral</v>
          </cell>
          <cell r="H712">
            <v>17</v>
          </cell>
          <cell r="I712" t="str">
            <v>M</v>
          </cell>
          <cell r="J712" t="str">
            <v>POSITIF</v>
          </cell>
        </row>
        <row r="713">
          <cell r="F713" t="str">
            <v>NEW_BELL</v>
          </cell>
          <cell r="G713" t="str">
            <v>Littoral</v>
          </cell>
          <cell r="H713">
            <v>25</v>
          </cell>
          <cell r="I713" t="str">
            <v>M</v>
          </cell>
          <cell r="J713" t="str">
            <v>POSITIF</v>
          </cell>
        </row>
        <row r="714">
          <cell r="F714" t="str">
            <v>NYLON</v>
          </cell>
          <cell r="G714" t="str">
            <v>Littoral</v>
          </cell>
          <cell r="H714">
            <v>21</v>
          </cell>
          <cell r="I714" t="str">
            <v>F</v>
          </cell>
          <cell r="J714" t="str">
            <v>POSITIF</v>
          </cell>
        </row>
        <row r="715">
          <cell r="F715" t="str">
            <v>NYLON</v>
          </cell>
          <cell r="G715" t="str">
            <v>Littoral</v>
          </cell>
          <cell r="H715">
            <v>59</v>
          </cell>
          <cell r="I715" t="str">
            <v>M</v>
          </cell>
          <cell r="J715" t="str">
            <v>POSITIF</v>
          </cell>
        </row>
        <row r="716">
          <cell r="F716" t="str">
            <v>NYLON</v>
          </cell>
          <cell r="G716" t="str">
            <v>LITTORAL</v>
          </cell>
          <cell r="H716">
            <v>21</v>
          </cell>
          <cell r="I716" t="str">
            <v>F</v>
          </cell>
          <cell r="J716" t="str">
            <v>POSITIF</v>
          </cell>
        </row>
        <row r="717">
          <cell r="F717" t="str">
            <v>NJOMBE_PENJA</v>
          </cell>
          <cell r="G717" t="str">
            <v>Littoral</v>
          </cell>
          <cell r="H717">
            <v>37</v>
          </cell>
          <cell r="I717" t="str">
            <v>M</v>
          </cell>
          <cell r="J717" t="str">
            <v>POSITIF</v>
          </cell>
        </row>
        <row r="718">
          <cell r="F718" t="str">
            <v>PITOA</v>
          </cell>
          <cell r="G718" t="str">
            <v>Nord</v>
          </cell>
          <cell r="H718">
            <v>22</v>
          </cell>
          <cell r="I718" t="str">
            <v>F</v>
          </cell>
          <cell r="J718" t="str">
            <v>POSITIF</v>
          </cell>
        </row>
        <row r="719">
          <cell r="F719" t="str">
            <v>NYLON</v>
          </cell>
          <cell r="G719" t="str">
            <v>Littoral</v>
          </cell>
          <cell r="H719">
            <v>9</v>
          </cell>
          <cell r="I719" t="str">
            <v>F</v>
          </cell>
          <cell r="J719" t="str">
            <v>POSITIF</v>
          </cell>
        </row>
        <row r="720">
          <cell r="F720" t="str">
            <v>LIMBE</v>
          </cell>
          <cell r="G720" t="str">
            <v>Sud-Ouest</v>
          </cell>
          <cell r="H720">
            <v>28</v>
          </cell>
          <cell r="I720" t="str">
            <v>M</v>
          </cell>
          <cell r="J720" t="str">
            <v>POSITIF</v>
          </cell>
        </row>
        <row r="721">
          <cell r="F721" t="str">
            <v>BOKO</v>
          </cell>
          <cell r="G721" t="str">
            <v>Littoral</v>
          </cell>
          <cell r="H721">
            <v>21</v>
          </cell>
          <cell r="I721" t="str">
            <v>F</v>
          </cell>
          <cell r="J721" t="str">
            <v>POSITIF</v>
          </cell>
        </row>
        <row r="722">
          <cell r="F722" t="str">
            <v>MELONG</v>
          </cell>
          <cell r="G722" t="str">
            <v>LITTORAL</v>
          </cell>
          <cell r="H722">
            <v>47</v>
          </cell>
          <cell r="I722" t="str">
            <v>F</v>
          </cell>
          <cell r="J722" t="str">
            <v>POSITIF</v>
          </cell>
        </row>
        <row r="723">
          <cell r="F723" t="str">
            <v>NJOMBE_PENJA</v>
          </cell>
          <cell r="G723" t="str">
            <v>Littoral</v>
          </cell>
          <cell r="H723">
            <v>15</v>
          </cell>
          <cell r="I723" t="str">
            <v>M</v>
          </cell>
          <cell r="J723" t="str">
            <v>POSITIF</v>
          </cell>
        </row>
        <row r="724">
          <cell r="F724" t="str">
            <v>BANGUE</v>
          </cell>
          <cell r="G724" t="str">
            <v>Littoral</v>
          </cell>
          <cell r="H724">
            <v>31</v>
          </cell>
          <cell r="I724" t="str">
            <v>F</v>
          </cell>
          <cell r="J724" t="str">
            <v>POSITIF</v>
          </cell>
        </row>
        <row r="725">
          <cell r="F725" t="str">
            <v>MELONG</v>
          </cell>
          <cell r="G725" t="str">
            <v>Littoral</v>
          </cell>
          <cell r="H725">
            <v>47</v>
          </cell>
          <cell r="I725" t="str">
            <v>F</v>
          </cell>
          <cell r="J725" t="str">
            <v>POSITIF</v>
          </cell>
        </row>
        <row r="726">
          <cell r="F726" t="str">
            <v>DEIDO</v>
          </cell>
          <cell r="G726" t="str">
            <v>Littoral</v>
          </cell>
          <cell r="H726">
            <v>24</v>
          </cell>
          <cell r="I726" t="str">
            <v>F</v>
          </cell>
          <cell r="J726" t="str">
            <v>POSITIF</v>
          </cell>
        </row>
        <row r="727">
          <cell r="F727" t="str">
            <v>CITE_DES_PALMIERS</v>
          </cell>
          <cell r="G727" t="str">
            <v>Littoral</v>
          </cell>
          <cell r="H727">
            <v>46</v>
          </cell>
          <cell r="I727" t="str">
            <v>M</v>
          </cell>
          <cell r="J727" t="str">
            <v>POSITIF</v>
          </cell>
        </row>
        <row r="728">
          <cell r="F728" t="str">
            <v>NJOMBE_PENJA</v>
          </cell>
          <cell r="G728" t="str">
            <v>Littoral</v>
          </cell>
          <cell r="H728">
            <v>10</v>
          </cell>
          <cell r="I728" t="str">
            <v>M</v>
          </cell>
          <cell r="J728" t="str">
            <v>POSITIF</v>
          </cell>
        </row>
        <row r="729">
          <cell r="F729" t="str">
            <v>NYLON</v>
          </cell>
          <cell r="G729" t="str">
            <v>Littoral</v>
          </cell>
          <cell r="H729">
            <v>53</v>
          </cell>
          <cell r="I729" t="str">
            <v>F</v>
          </cell>
          <cell r="J729" t="str">
            <v>POSITIF</v>
          </cell>
        </row>
        <row r="730">
          <cell r="F730" t="str">
            <v>NYLON</v>
          </cell>
          <cell r="G730" t="str">
            <v>Littoral</v>
          </cell>
          <cell r="H730">
            <v>21</v>
          </cell>
          <cell r="I730" t="str">
            <v>F</v>
          </cell>
          <cell r="J730" t="str">
            <v>POSITIF</v>
          </cell>
        </row>
        <row r="731">
          <cell r="F731" t="str">
            <v>NYLON</v>
          </cell>
          <cell r="G731" t="str">
            <v>Littoral</v>
          </cell>
          <cell r="H731">
            <v>60</v>
          </cell>
          <cell r="I731" t="str">
            <v>F</v>
          </cell>
          <cell r="J731" t="str">
            <v>POSITIF</v>
          </cell>
        </row>
        <row r="732">
          <cell r="F732" t="str">
            <v>LIMBE</v>
          </cell>
          <cell r="G732" t="str">
            <v>Sud-Ouest</v>
          </cell>
          <cell r="H732">
            <v>9</v>
          </cell>
          <cell r="I732" t="str">
            <v>M</v>
          </cell>
          <cell r="J732" t="str">
            <v>POSITIF</v>
          </cell>
        </row>
        <row r="733">
          <cell r="F733" t="str">
            <v>LIMBE</v>
          </cell>
          <cell r="G733" t="str">
            <v>Sud-Ouest</v>
          </cell>
          <cell r="H733">
            <v>27</v>
          </cell>
          <cell r="I733" t="str">
            <v>F</v>
          </cell>
          <cell r="J733" t="str">
            <v>POSITIF</v>
          </cell>
        </row>
        <row r="734">
          <cell r="F734" t="str">
            <v>DEIDO</v>
          </cell>
          <cell r="G734" t="str">
            <v>Littoral</v>
          </cell>
          <cell r="H734">
            <v>21</v>
          </cell>
          <cell r="I734" t="str">
            <v>M</v>
          </cell>
          <cell r="J734" t="str">
            <v>POSITIF</v>
          </cell>
        </row>
        <row r="735">
          <cell r="F735" t="str">
            <v>LOGBABA</v>
          </cell>
          <cell r="G735" t="str">
            <v>Littoral</v>
          </cell>
          <cell r="H735">
            <v>32</v>
          </cell>
          <cell r="I735" t="str">
            <v>M</v>
          </cell>
          <cell r="J735" t="str">
            <v>POSITIF</v>
          </cell>
        </row>
        <row r="736">
          <cell r="F736" t="str">
            <v>NEW_BELL</v>
          </cell>
          <cell r="G736" t="str">
            <v>Littoral</v>
          </cell>
          <cell r="H736">
            <v>52</v>
          </cell>
          <cell r="I736" t="str">
            <v>F</v>
          </cell>
          <cell r="J736" t="str">
            <v>POSITIF</v>
          </cell>
        </row>
        <row r="737">
          <cell r="F737" t="str">
            <v>DEIDO</v>
          </cell>
          <cell r="G737" t="str">
            <v>Littoral</v>
          </cell>
          <cell r="H737">
            <v>70</v>
          </cell>
          <cell r="I737" t="str">
            <v>M</v>
          </cell>
          <cell r="J737" t="str">
            <v>POSITIF</v>
          </cell>
        </row>
        <row r="738">
          <cell r="F738" t="str">
            <v>NEW_BELL</v>
          </cell>
          <cell r="G738" t="str">
            <v>Littoral</v>
          </cell>
          <cell r="H738">
            <v>39</v>
          </cell>
          <cell r="I738" t="str">
            <v>M</v>
          </cell>
          <cell r="J738" t="str">
            <v>POSITIF</v>
          </cell>
        </row>
        <row r="739">
          <cell r="F739" t="str">
            <v>JAPOMA</v>
          </cell>
          <cell r="G739" t="str">
            <v>Littoral</v>
          </cell>
          <cell r="H739">
            <v>34</v>
          </cell>
          <cell r="I739" t="str">
            <v>M</v>
          </cell>
          <cell r="J739" t="str">
            <v>POSITIF</v>
          </cell>
        </row>
        <row r="740">
          <cell r="F740" t="str">
            <v>NEW_BELL</v>
          </cell>
          <cell r="G740" t="str">
            <v>Littoral</v>
          </cell>
          <cell r="H740">
            <v>39</v>
          </cell>
          <cell r="I740" t="str">
            <v>F</v>
          </cell>
          <cell r="J740" t="str">
            <v>POSITIF</v>
          </cell>
        </row>
        <row r="741">
          <cell r="F741" t="str">
            <v>BONASSAMA</v>
          </cell>
          <cell r="G741" t="str">
            <v>Littoral</v>
          </cell>
          <cell r="H741">
            <v>37</v>
          </cell>
          <cell r="I741" t="str">
            <v>M</v>
          </cell>
          <cell r="J741" t="str">
            <v>POSITIF</v>
          </cell>
        </row>
        <row r="742">
          <cell r="F742" t="str">
            <v>BANGUE</v>
          </cell>
          <cell r="G742" t="str">
            <v>Littoral</v>
          </cell>
          <cell r="H742">
            <v>24</v>
          </cell>
          <cell r="I742" t="str">
            <v>M</v>
          </cell>
          <cell r="J742" t="str">
            <v>POSITIF</v>
          </cell>
        </row>
        <row r="743">
          <cell r="F743" t="str">
            <v>JAPOMA</v>
          </cell>
          <cell r="G743" t="str">
            <v>Littoral</v>
          </cell>
          <cell r="H743">
            <v>18</v>
          </cell>
          <cell r="I743" t="str">
            <v>F</v>
          </cell>
          <cell r="J743" t="str">
            <v>POSITIF</v>
          </cell>
        </row>
        <row r="744">
          <cell r="F744" t="str">
            <v>DEIDO</v>
          </cell>
          <cell r="G744" t="str">
            <v>Littoral</v>
          </cell>
          <cell r="H744">
            <v>20</v>
          </cell>
          <cell r="I744" t="str">
            <v>M</v>
          </cell>
          <cell r="J744" t="str">
            <v>POSITIF</v>
          </cell>
        </row>
        <row r="745">
          <cell r="F745" t="str">
            <v>NJOMBE_PENJA</v>
          </cell>
          <cell r="G745" t="str">
            <v>Littoral</v>
          </cell>
          <cell r="H745">
            <v>13</v>
          </cell>
          <cell r="I745" t="str">
            <v>M</v>
          </cell>
          <cell r="J745" t="str">
            <v>POSITIF</v>
          </cell>
        </row>
        <row r="746">
          <cell r="F746" t="str">
            <v>NEW_BELL</v>
          </cell>
          <cell r="G746" t="str">
            <v>Littoral</v>
          </cell>
          <cell r="H746">
            <v>7</v>
          </cell>
          <cell r="I746" t="str">
            <v>M</v>
          </cell>
          <cell r="J746" t="str">
            <v>POSITIF</v>
          </cell>
        </row>
        <row r="747">
          <cell r="F747" t="str">
            <v>NYLON</v>
          </cell>
          <cell r="G747" t="str">
            <v>Littoral</v>
          </cell>
          <cell r="H747">
            <v>21</v>
          </cell>
          <cell r="I747" t="str">
            <v>M</v>
          </cell>
          <cell r="J747" t="str">
            <v>POSITIF</v>
          </cell>
        </row>
        <row r="748">
          <cell r="F748" t="str">
            <v>LOGBABA</v>
          </cell>
          <cell r="G748" t="str">
            <v>LITTORAL</v>
          </cell>
          <cell r="H748">
            <v>21</v>
          </cell>
          <cell r="I748" t="str">
            <v>M</v>
          </cell>
          <cell r="J748" t="str">
            <v>POSITIF</v>
          </cell>
        </row>
        <row r="749">
          <cell r="F749" t="str">
            <v>DEIDO</v>
          </cell>
          <cell r="G749" t="str">
            <v>LITTORAL</v>
          </cell>
          <cell r="H749">
            <v>45</v>
          </cell>
          <cell r="I749" t="str">
            <v>M</v>
          </cell>
          <cell r="J749" t="str">
            <v>POSITIF</v>
          </cell>
        </row>
        <row r="750">
          <cell r="F750" t="str">
            <v>NYLON</v>
          </cell>
          <cell r="G750" t="str">
            <v>Littoral</v>
          </cell>
          <cell r="H750">
            <v>22</v>
          </cell>
          <cell r="I750" t="str">
            <v>F</v>
          </cell>
          <cell r="J750" t="str">
            <v>POSITIF</v>
          </cell>
        </row>
        <row r="751">
          <cell r="F751" t="str">
            <v>BONASSAMA</v>
          </cell>
          <cell r="G751" t="str">
            <v>Littoral</v>
          </cell>
          <cell r="H751">
            <v>30</v>
          </cell>
          <cell r="I751" t="str">
            <v>F</v>
          </cell>
          <cell r="J751" t="str">
            <v>POSITIF</v>
          </cell>
        </row>
        <row r="752">
          <cell r="F752" t="str">
            <v>DEIDO</v>
          </cell>
          <cell r="G752" t="str">
            <v>Littoral</v>
          </cell>
          <cell r="H752">
            <v>44</v>
          </cell>
          <cell r="I752" t="str">
            <v>F</v>
          </cell>
          <cell r="J752" t="str">
            <v>POSITIF</v>
          </cell>
        </row>
        <row r="753">
          <cell r="F753" t="str">
            <v>BANGUE</v>
          </cell>
          <cell r="G753" t="str">
            <v>Littoral</v>
          </cell>
          <cell r="H753">
            <v>16</v>
          </cell>
          <cell r="I753" t="str">
            <v>M</v>
          </cell>
          <cell r="J753" t="str">
            <v>POSITIF</v>
          </cell>
        </row>
        <row r="754">
          <cell r="F754" t="str">
            <v>LOGBABA</v>
          </cell>
          <cell r="G754" t="str">
            <v>Littoral</v>
          </cell>
          <cell r="H754">
            <v>40</v>
          </cell>
          <cell r="I754" t="str">
            <v>F</v>
          </cell>
          <cell r="J754" t="str">
            <v>POSITIF</v>
          </cell>
        </row>
        <row r="755">
          <cell r="F755" t="str">
            <v>NYLON</v>
          </cell>
          <cell r="G755" t="str">
            <v>Littoral</v>
          </cell>
          <cell r="H755">
            <v>31</v>
          </cell>
          <cell r="I755" t="str">
            <v>M</v>
          </cell>
          <cell r="J755" t="str">
            <v>POSITIF</v>
          </cell>
        </row>
        <row r="756">
          <cell r="F756" t="str">
            <v>BANGUE</v>
          </cell>
          <cell r="G756" t="str">
            <v>Littoral</v>
          </cell>
          <cell r="H756">
            <v>25</v>
          </cell>
          <cell r="I756" t="str">
            <v>F</v>
          </cell>
          <cell r="J756" t="str">
            <v>POSITIF</v>
          </cell>
        </row>
        <row r="757">
          <cell r="F757" t="str">
            <v>BOKO</v>
          </cell>
          <cell r="G757" t="str">
            <v>Littoral</v>
          </cell>
          <cell r="H757">
            <v>50</v>
          </cell>
          <cell r="I757" t="str">
            <v>M</v>
          </cell>
          <cell r="J757" t="str">
            <v>POSITIF</v>
          </cell>
        </row>
        <row r="758">
          <cell r="F758" t="str">
            <v>BANGUE</v>
          </cell>
          <cell r="G758" t="str">
            <v>LITTORAL</v>
          </cell>
          <cell r="H758">
            <v>31</v>
          </cell>
          <cell r="I758" t="str">
            <v>F</v>
          </cell>
          <cell r="J758" t="str">
            <v>POSITIF</v>
          </cell>
        </row>
        <row r="759">
          <cell r="F759" t="str">
            <v>LOGBABA</v>
          </cell>
          <cell r="G759" t="str">
            <v>LITTORAL</v>
          </cell>
          <cell r="H759">
            <v>27</v>
          </cell>
          <cell r="I759" t="str">
            <v>M</v>
          </cell>
          <cell r="J759" t="str">
            <v>POSITIF</v>
          </cell>
        </row>
        <row r="760">
          <cell r="F760" t="str">
            <v>BANGUE</v>
          </cell>
          <cell r="G760" t="str">
            <v>LITTORAL</v>
          </cell>
          <cell r="H760">
            <v>8</v>
          </cell>
          <cell r="I760" t="str">
            <v>F</v>
          </cell>
          <cell r="J760" t="str">
            <v>POSITIF</v>
          </cell>
        </row>
        <row r="761">
          <cell r="F761" t="str">
            <v>BONASSAMA</v>
          </cell>
          <cell r="G761" t="str">
            <v>Littoral</v>
          </cell>
          <cell r="H761">
            <v>30</v>
          </cell>
          <cell r="I761" t="str">
            <v>M</v>
          </cell>
          <cell r="J761" t="str">
            <v>POSITIF</v>
          </cell>
        </row>
        <row r="762">
          <cell r="F762" t="str">
            <v>BANGUE</v>
          </cell>
          <cell r="G762" t="str">
            <v>Littoral</v>
          </cell>
          <cell r="H762">
            <v>8</v>
          </cell>
          <cell r="I762" t="str">
            <v>M</v>
          </cell>
          <cell r="J762" t="str">
            <v>POSITIF</v>
          </cell>
        </row>
        <row r="763">
          <cell r="F763" t="str">
            <v>CITE_DES_PALMIERS</v>
          </cell>
          <cell r="G763" t="str">
            <v>Littoral</v>
          </cell>
          <cell r="H763">
            <v>17</v>
          </cell>
          <cell r="I763" t="str">
            <v>F</v>
          </cell>
          <cell r="J763" t="str">
            <v>POSITIF</v>
          </cell>
        </row>
        <row r="764">
          <cell r="F764" t="str">
            <v>CITE_DES_PALMIERS</v>
          </cell>
          <cell r="G764" t="str">
            <v>LITTORAL</v>
          </cell>
          <cell r="H764">
            <v>38</v>
          </cell>
          <cell r="I764" t="str">
            <v>M</v>
          </cell>
          <cell r="J764" t="str">
            <v>POSITIF</v>
          </cell>
        </row>
        <row r="765">
          <cell r="F765" t="str">
            <v>CITE_DES_PALMIERS</v>
          </cell>
          <cell r="G765" t="str">
            <v>Littoral</v>
          </cell>
          <cell r="H765">
            <v>42</v>
          </cell>
          <cell r="I765" t="str">
            <v>M</v>
          </cell>
          <cell r="J765" t="str">
            <v>POSITIF</v>
          </cell>
        </row>
        <row r="766">
          <cell r="F766" t="str">
            <v>NJOMBE_PENJA</v>
          </cell>
          <cell r="G766" t="str">
            <v>Littoral</v>
          </cell>
          <cell r="H766">
            <v>32</v>
          </cell>
          <cell r="I766" t="str">
            <v>M</v>
          </cell>
          <cell r="J766" t="str">
            <v>POSITIF</v>
          </cell>
        </row>
        <row r="767">
          <cell r="F767" t="str">
            <v>DEIDO</v>
          </cell>
          <cell r="G767" t="str">
            <v>Littoral</v>
          </cell>
          <cell r="H767">
            <v>8</v>
          </cell>
          <cell r="I767" t="str">
            <v>F</v>
          </cell>
          <cell r="J767" t="str">
            <v>POSITIF</v>
          </cell>
        </row>
        <row r="768">
          <cell r="F768" t="str">
            <v>BANGUE</v>
          </cell>
          <cell r="G768" t="str">
            <v>Littoral</v>
          </cell>
          <cell r="H768">
            <v>30</v>
          </cell>
          <cell r="I768" t="str">
            <v>M</v>
          </cell>
          <cell r="J768" t="str">
            <v>POSITIF</v>
          </cell>
        </row>
        <row r="769">
          <cell r="F769" t="str">
            <v>CITE_DES_PALMIERS</v>
          </cell>
          <cell r="G769" t="str">
            <v>Littoral</v>
          </cell>
          <cell r="H769">
            <v>30</v>
          </cell>
          <cell r="I769" t="str">
            <v>M</v>
          </cell>
          <cell r="J769" t="str">
            <v>POSITIF</v>
          </cell>
        </row>
        <row r="770">
          <cell r="F770" t="str">
            <v>NYLON</v>
          </cell>
          <cell r="G770" t="str">
            <v>Littoral</v>
          </cell>
          <cell r="H770">
            <v>42</v>
          </cell>
          <cell r="I770" t="str">
            <v>M</v>
          </cell>
          <cell r="J770" t="str">
            <v>POSITIF</v>
          </cell>
        </row>
        <row r="771">
          <cell r="F771" t="str">
            <v>NYLON</v>
          </cell>
          <cell r="G771" t="str">
            <v>Littoral</v>
          </cell>
          <cell r="H771">
            <v>17</v>
          </cell>
          <cell r="I771" t="str">
            <v>F</v>
          </cell>
          <cell r="J771" t="str">
            <v>POSITIF</v>
          </cell>
        </row>
        <row r="772">
          <cell r="F772" t="str">
            <v>BOKO</v>
          </cell>
          <cell r="G772" t="str">
            <v>Littoral</v>
          </cell>
          <cell r="H772">
            <v>39</v>
          </cell>
          <cell r="I772" t="str">
            <v>F</v>
          </cell>
          <cell r="J772" t="str">
            <v>POSITIF</v>
          </cell>
        </row>
        <row r="773">
          <cell r="F773" t="str">
            <v>NYLON</v>
          </cell>
          <cell r="G773" t="str">
            <v>Littoral</v>
          </cell>
          <cell r="H773">
            <v>37</v>
          </cell>
          <cell r="I773" t="str">
            <v>M</v>
          </cell>
          <cell r="J773" t="str">
            <v>POSITIF</v>
          </cell>
        </row>
        <row r="774">
          <cell r="F774" t="str">
            <v>NYLON</v>
          </cell>
          <cell r="G774" t="str">
            <v>Littoral</v>
          </cell>
          <cell r="H774">
            <v>12</v>
          </cell>
          <cell r="I774" t="str">
            <v>F</v>
          </cell>
          <cell r="J774" t="str">
            <v>POSITIF</v>
          </cell>
        </row>
        <row r="775">
          <cell r="F775" t="str">
            <v>NEW_BELL</v>
          </cell>
          <cell r="G775" t="str">
            <v>LITTORAL</v>
          </cell>
          <cell r="H775">
            <v>6</v>
          </cell>
          <cell r="I775" t="str">
            <v>M</v>
          </cell>
          <cell r="J775" t="str">
            <v>POSITIF</v>
          </cell>
        </row>
        <row r="776">
          <cell r="F776" t="str">
            <v>CITE_DES_PALMIERS</v>
          </cell>
          <cell r="G776" t="str">
            <v>Littoral</v>
          </cell>
          <cell r="H776">
            <v>23</v>
          </cell>
          <cell r="I776" t="str">
            <v>M</v>
          </cell>
          <cell r="J776" t="str">
            <v>POSITIF</v>
          </cell>
        </row>
        <row r="777">
          <cell r="F777" t="str">
            <v>LOGBABA</v>
          </cell>
          <cell r="G777" t="str">
            <v>Littoral</v>
          </cell>
          <cell r="H777">
            <v>42</v>
          </cell>
          <cell r="I777" t="str">
            <v>M</v>
          </cell>
          <cell r="J777" t="str">
            <v>POSITIF</v>
          </cell>
        </row>
        <row r="778">
          <cell r="F778" t="str">
            <v>CITE_DES_PALMIERS</v>
          </cell>
          <cell r="G778" t="str">
            <v>Littoral</v>
          </cell>
          <cell r="H778">
            <v>29</v>
          </cell>
          <cell r="I778" t="str">
            <v>M</v>
          </cell>
          <cell r="J778" t="str">
            <v>POSITIF</v>
          </cell>
        </row>
        <row r="779">
          <cell r="F779" t="str">
            <v>BANGUE</v>
          </cell>
          <cell r="G779" t="str">
            <v>Littoral</v>
          </cell>
          <cell r="H779">
            <v>35</v>
          </cell>
          <cell r="I779" t="str">
            <v>M</v>
          </cell>
          <cell r="J779" t="str">
            <v>POSITIF</v>
          </cell>
        </row>
        <row r="780">
          <cell r="F780" t="str">
            <v>BONASSAMA</v>
          </cell>
          <cell r="G780" t="str">
            <v>Littoral</v>
          </cell>
          <cell r="H780">
            <v>60</v>
          </cell>
          <cell r="I780" t="str">
            <v>F</v>
          </cell>
          <cell r="J780" t="str">
            <v>POSITIF</v>
          </cell>
        </row>
        <row r="781">
          <cell r="F781" t="str">
            <v>DEIDO</v>
          </cell>
          <cell r="G781" t="str">
            <v>LITTORAL</v>
          </cell>
          <cell r="I781" t="str">
            <v>M</v>
          </cell>
          <cell r="J781" t="str">
            <v>POSITIF</v>
          </cell>
        </row>
        <row r="782">
          <cell r="F782" t="str">
            <v>BANGUE</v>
          </cell>
          <cell r="G782" t="str">
            <v>LITTORAL</v>
          </cell>
          <cell r="H782">
            <v>19</v>
          </cell>
          <cell r="I782" t="str">
            <v>F</v>
          </cell>
          <cell r="J782" t="str">
            <v>POSITIF</v>
          </cell>
        </row>
        <row r="783">
          <cell r="F783" t="str">
            <v>Abong Mbang</v>
          </cell>
          <cell r="G783" t="str">
            <v>Est</v>
          </cell>
          <cell r="H783">
            <v>42</v>
          </cell>
          <cell r="I783" t="str">
            <v>M</v>
          </cell>
          <cell r="J783" t="str">
            <v>POSITIF</v>
          </cell>
        </row>
        <row r="784">
          <cell r="F784" t="str">
            <v>DEIDO</v>
          </cell>
          <cell r="G784" t="str">
            <v>LITTORAL</v>
          </cell>
          <cell r="H784">
            <v>34</v>
          </cell>
          <cell r="I784" t="str">
            <v>M</v>
          </cell>
          <cell r="J784" t="str">
            <v>POSITIF</v>
          </cell>
        </row>
        <row r="785">
          <cell r="F785" t="str">
            <v>CITE_DES_PALMIERS</v>
          </cell>
          <cell r="G785" t="str">
            <v>LITTORAL</v>
          </cell>
          <cell r="H785">
            <v>40</v>
          </cell>
          <cell r="I785" t="str">
            <v>M</v>
          </cell>
          <cell r="J785" t="str">
            <v>POSITIF</v>
          </cell>
        </row>
        <row r="786">
          <cell r="F786" t="str">
            <v>CITE_DES_PALMIERS</v>
          </cell>
          <cell r="G786" t="str">
            <v>LITTORAL</v>
          </cell>
          <cell r="H786">
            <v>56</v>
          </cell>
          <cell r="I786" t="str">
            <v>F</v>
          </cell>
          <cell r="J786" t="str">
            <v>POSITIF</v>
          </cell>
        </row>
        <row r="787">
          <cell r="F787" t="str">
            <v>MBANGA</v>
          </cell>
          <cell r="G787" t="str">
            <v>Littoral</v>
          </cell>
          <cell r="H787">
            <v>8</v>
          </cell>
          <cell r="I787" t="str">
            <v>F</v>
          </cell>
          <cell r="J787" t="str">
            <v>POSITIF</v>
          </cell>
        </row>
        <row r="788">
          <cell r="F788" t="str">
            <v>DEIDO</v>
          </cell>
          <cell r="G788" t="str">
            <v>LITTORAL</v>
          </cell>
          <cell r="H788">
            <v>42</v>
          </cell>
          <cell r="I788" t="str">
            <v>M</v>
          </cell>
          <cell r="J788" t="str">
            <v>POSITIF</v>
          </cell>
        </row>
        <row r="789">
          <cell r="F789" t="str">
            <v>NEW_BELL</v>
          </cell>
          <cell r="G789" t="str">
            <v>Littoral</v>
          </cell>
          <cell r="H789">
            <v>42</v>
          </cell>
          <cell r="I789" t="str">
            <v>M</v>
          </cell>
          <cell r="J789" t="str">
            <v>POSITIF</v>
          </cell>
        </row>
        <row r="790">
          <cell r="F790" t="str">
            <v>DEIDO</v>
          </cell>
          <cell r="G790" t="str">
            <v>LITTORAL</v>
          </cell>
          <cell r="H790">
            <v>65</v>
          </cell>
          <cell r="I790" t="str">
            <v>M</v>
          </cell>
          <cell r="J790" t="str">
            <v>POSITIF</v>
          </cell>
        </row>
        <row r="791">
          <cell r="F791" t="str">
            <v>DEIDO</v>
          </cell>
          <cell r="G791" t="str">
            <v>LITTORAL</v>
          </cell>
          <cell r="H791">
            <v>41</v>
          </cell>
          <cell r="I791" t="str">
            <v>M</v>
          </cell>
          <cell r="J791" t="str">
            <v>POSITIF</v>
          </cell>
        </row>
        <row r="792">
          <cell r="F792" t="str">
            <v>DEIDO</v>
          </cell>
          <cell r="G792" t="str">
            <v>Littoral</v>
          </cell>
          <cell r="H792">
            <v>42</v>
          </cell>
          <cell r="I792" t="str">
            <v>M</v>
          </cell>
          <cell r="J792" t="str">
            <v>POSITIF</v>
          </cell>
        </row>
        <row r="793">
          <cell r="F793" t="str">
            <v>DEIDO</v>
          </cell>
          <cell r="G793" t="str">
            <v>LITTORAL</v>
          </cell>
          <cell r="H793">
            <v>43</v>
          </cell>
          <cell r="I793" t="str">
            <v>F</v>
          </cell>
          <cell r="J793" t="str">
            <v>POSITIF</v>
          </cell>
        </row>
        <row r="794">
          <cell r="F794" t="str">
            <v>NEW_BELL</v>
          </cell>
          <cell r="G794" t="str">
            <v>Littoral</v>
          </cell>
          <cell r="H794">
            <v>52</v>
          </cell>
          <cell r="I794" t="str">
            <v>M</v>
          </cell>
          <cell r="J794" t="str">
            <v>POSITIF</v>
          </cell>
        </row>
        <row r="795">
          <cell r="F795" t="str">
            <v>BANGUE</v>
          </cell>
          <cell r="G795" t="str">
            <v>LITTORAL</v>
          </cell>
          <cell r="H795">
            <v>24</v>
          </cell>
          <cell r="I795" t="str">
            <v>F</v>
          </cell>
          <cell r="J795" t="str">
            <v>POSITIF</v>
          </cell>
        </row>
        <row r="796">
          <cell r="F796" t="str">
            <v>LOGBABA</v>
          </cell>
          <cell r="G796" t="str">
            <v>LITTORAL</v>
          </cell>
          <cell r="H796">
            <v>40</v>
          </cell>
          <cell r="I796" t="str">
            <v>F</v>
          </cell>
          <cell r="J796" t="str">
            <v>POSITIF</v>
          </cell>
        </row>
        <row r="797">
          <cell r="F797" t="str">
            <v>NEW_BELL</v>
          </cell>
          <cell r="G797" t="str">
            <v>Littoral</v>
          </cell>
          <cell r="H797">
            <v>6</v>
          </cell>
          <cell r="I797" t="str">
            <v>F</v>
          </cell>
          <cell r="J797" t="str">
            <v>POSITIF</v>
          </cell>
        </row>
        <row r="798">
          <cell r="F798" t="str">
            <v>LOUM</v>
          </cell>
          <cell r="G798" t="str">
            <v>LITTORAL</v>
          </cell>
          <cell r="H798">
            <v>20</v>
          </cell>
          <cell r="I798" t="str">
            <v>M</v>
          </cell>
          <cell r="J798" t="str">
            <v>POSITIF</v>
          </cell>
        </row>
        <row r="799">
          <cell r="F799" t="str">
            <v>DEIDO</v>
          </cell>
          <cell r="G799" t="str">
            <v>LITTORAL</v>
          </cell>
          <cell r="H799">
            <v>22</v>
          </cell>
          <cell r="I799" t="str">
            <v>M</v>
          </cell>
          <cell r="J799" t="str">
            <v>POSITIF</v>
          </cell>
        </row>
        <row r="800">
          <cell r="F800" t="str">
            <v>DEIDO</v>
          </cell>
          <cell r="G800" t="str">
            <v>Littoral</v>
          </cell>
          <cell r="H800">
            <v>39</v>
          </cell>
          <cell r="I800" t="str">
            <v>M</v>
          </cell>
          <cell r="J800" t="str">
            <v>POSITIF</v>
          </cell>
        </row>
        <row r="801">
          <cell r="F801" t="str">
            <v>NYLON</v>
          </cell>
          <cell r="G801" t="str">
            <v>Littoral</v>
          </cell>
          <cell r="H801">
            <v>23</v>
          </cell>
          <cell r="I801" t="str">
            <v>F</v>
          </cell>
          <cell r="J801" t="str">
            <v>POSITIF</v>
          </cell>
        </row>
        <row r="802">
          <cell r="F802" t="str">
            <v>NYLON</v>
          </cell>
          <cell r="G802" t="str">
            <v>Littoral</v>
          </cell>
          <cell r="H802">
            <v>23</v>
          </cell>
          <cell r="I802" t="str">
            <v>F</v>
          </cell>
          <cell r="J802" t="str">
            <v>POSITIF</v>
          </cell>
        </row>
        <row r="803">
          <cell r="F803" t="str">
            <v>MBANGA</v>
          </cell>
          <cell r="G803" t="str">
            <v>Littoral</v>
          </cell>
          <cell r="H803">
            <v>16</v>
          </cell>
          <cell r="I803" t="str">
            <v>F</v>
          </cell>
          <cell r="J803" t="str">
            <v>POSITIF</v>
          </cell>
        </row>
        <row r="804">
          <cell r="F804" t="str">
            <v>NEW_BELL</v>
          </cell>
          <cell r="G804" t="str">
            <v>Littoral</v>
          </cell>
          <cell r="H804">
            <v>26</v>
          </cell>
          <cell r="I804" t="str">
            <v>F</v>
          </cell>
          <cell r="J804" t="str">
            <v>POSITIF</v>
          </cell>
        </row>
        <row r="805">
          <cell r="F805" t="str">
            <v>DEIDO</v>
          </cell>
          <cell r="G805" t="str">
            <v>Littoral</v>
          </cell>
          <cell r="H805">
            <v>18</v>
          </cell>
          <cell r="I805" t="str">
            <v>M</v>
          </cell>
          <cell r="J805" t="str">
            <v>POSITIF</v>
          </cell>
        </row>
        <row r="806">
          <cell r="F806" t="str">
            <v>DEIDO</v>
          </cell>
          <cell r="G806" t="str">
            <v>LITTORAL</v>
          </cell>
          <cell r="H806">
            <v>45</v>
          </cell>
          <cell r="I806" t="str">
            <v>M</v>
          </cell>
          <cell r="J806" t="str">
            <v>POSITIF</v>
          </cell>
        </row>
        <row r="807">
          <cell r="F807" t="str">
            <v>MELONG</v>
          </cell>
          <cell r="G807" t="str">
            <v>Littoral</v>
          </cell>
          <cell r="H807">
            <v>58</v>
          </cell>
          <cell r="I807" t="str">
            <v>F</v>
          </cell>
          <cell r="J807" t="str">
            <v>POSITIF</v>
          </cell>
        </row>
        <row r="808">
          <cell r="F808" t="str">
            <v>NYLON</v>
          </cell>
          <cell r="G808" t="str">
            <v>Littoral</v>
          </cell>
          <cell r="H808">
            <v>6</v>
          </cell>
          <cell r="I808" t="str">
            <v>M</v>
          </cell>
          <cell r="J808" t="str">
            <v>POSITIF</v>
          </cell>
        </row>
        <row r="809">
          <cell r="F809" t="str">
            <v>DEIDO</v>
          </cell>
          <cell r="G809" t="str">
            <v>Littoral</v>
          </cell>
          <cell r="H809">
            <v>39</v>
          </cell>
          <cell r="I809" t="str">
            <v>M</v>
          </cell>
          <cell r="J809" t="str">
            <v>POSITIF</v>
          </cell>
        </row>
        <row r="810">
          <cell r="F810" t="str">
            <v>NEW_BELL</v>
          </cell>
          <cell r="G810" t="str">
            <v>Littoral</v>
          </cell>
          <cell r="H810">
            <v>4</v>
          </cell>
          <cell r="I810" t="str">
            <v>M</v>
          </cell>
          <cell r="J810" t="str">
            <v>POSITIF</v>
          </cell>
        </row>
        <row r="811">
          <cell r="F811" t="str">
            <v>LOGBABA</v>
          </cell>
          <cell r="G811" t="str">
            <v>Littoral</v>
          </cell>
          <cell r="H811">
            <v>22</v>
          </cell>
          <cell r="I811" t="str">
            <v>M</v>
          </cell>
          <cell r="J811" t="str">
            <v>POSITIF</v>
          </cell>
        </row>
        <row r="812">
          <cell r="F812" t="str">
            <v>DEIDO</v>
          </cell>
          <cell r="G812" t="str">
            <v>LITTORAL</v>
          </cell>
          <cell r="H812">
            <v>64</v>
          </cell>
          <cell r="I812" t="str">
            <v>F</v>
          </cell>
          <cell r="J812" t="str">
            <v>POSITIF</v>
          </cell>
        </row>
        <row r="813">
          <cell r="F813" t="str">
            <v>LIMBE</v>
          </cell>
          <cell r="G813" t="str">
            <v>Sud-Ouest</v>
          </cell>
          <cell r="H813">
            <v>41</v>
          </cell>
          <cell r="I813" t="str">
            <v>F</v>
          </cell>
          <cell r="J813" t="str">
            <v>POSITIF</v>
          </cell>
        </row>
        <row r="814">
          <cell r="F814" t="str">
            <v>DIBOMBARI</v>
          </cell>
          <cell r="G814" t="str">
            <v>Littoral</v>
          </cell>
          <cell r="H814">
            <v>27</v>
          </cell>
          <cell r="I814" t="str">
            <v>M</v>
          </cell>
          <cell r="J814" t="str">
            <v>POSITIF</v>
          </cell>
        </row>
        <row r="815">
          <cell r="F815" t="str">
            <v>LOGBABA</v>
          </cell>
          <cell r="G815" t="str">
            <v>Littoral</v>
          </cell>
          <cell r="H815">
            <v>15</v>
          </cell>
          <cell r="I815" t="str">
            <v>M</v>
          </cell>
          <cell r="J815" t="str">
            <v>POSITIF</v>
          </cell>
        </row>
        <row r="816">
          <cell r="F816" t="str">
            <v>BUEA</v>
          </cell>
          <cell r="G816" t="str">
            <v>Sud-Ouest</v>
          </cell>
          <cell r="H816">
            <v>22</v>
          </cell>
          <cell r="I816" t="str">
            <v>F</v>
          </cell>
          <cell r="J816" t="str">
            <v>POSITIF</v>
          </cell>
        </row>
        <row r="817">
          <cell r="F817" t="str">
            <v>CITE_DES_PALMIERS</v>
          </cell>
          <cell r="G817" t="str">
            <v>Littoral</v>
          </cell>
          <cell r="H817">
            <v>29</v>
          </cell>
          <cell r="I817" t="str">
            <v>F</v>
          </cell>
          <cell r="J817" t="str">
            <v>POSITIF</v>
          </cell>
        </row>
        <row r="818">
          <cell r="F818" t="str">
            <v>Muyuka</v>
          </cell>
          <cell r="G818" t="str">
            <v>Sud-Ouest</v>
          </cell>
          <cell r="H818">
            <v>29</v>
          </cell>
          <cell r="I818" t="str">
            <v>F</v>
          </cell>
          <cell r="J818" t="str">
            <v>POSITIF</v>
          </cell>
        </row>
        <row r="819">
          <cell r="F819" t="str">
            <v>DEIDO</v>
          </cell>
          <cell r="G819" t="str">
            <v>LITTORAL</v>
          </cell>
          <cell r="H819">
            <v>30</v>
          </cell>
          <cell r="I819" t="str">
            <v>M</v>
          </cell>
          <cell r="J819" t="str">
            <v>POSITIF</v>
          </cell>
        </row>
        <row r="820">
          <cell r="F820" t="str">
            <v>MELONG</v>
          </cell>
          <cell r="G820" t="str">
            <v>Littoral</v>
          </cell>
          <cell r="H820">
            <v>39</v>
          </cell>
          <cell r="I820" t="str">
            <v>M</v>
          </cell>
          <cell r="J820" t="str">
            <v>POSITIF</v>
          </cell>
        </row>
        <row r="821">
          <cell r="F821" t="str">
            <v>NYLON</v>
          </cell>
          <cell r="G821" t="str">
            <v>Littoral</v>
          </cell>
          <cell r="H821">
            <v>20</v>
          </cell>
          <cell r="I821" t="str">
            <v>F</v>
          </cell>
          <cell r="J821" t="str">
            <v>POSITIF</v>
          </cell>
        </row>
        <row r="822">
          <cell r="F822" t="str">
            <v>DEIDO</v>
          </cell>
          <cell r="G822" t="str">
            <v>Littoral</v>
          </cell>
          <cell r="H822">
            <v>12</v>
          </cell>
          <cell r="I822" t="str">
            <v>M</v>
          </cell>
          <cell r="J822" t="str">
            <v>POSITIF</v>
          </cell>
        </row>
        <row r="823">
          <cell r="F823" t="str">
            <v>DEIDO</v>
          </cell>
          <cell r="G823" t="str">
            <v>Littoral</v>
          </cell>
          <cell r="H823">
            <v>48</v>
          </cell>
          <cell r="I823" t="str">
            <v>F</v>
          </cell>
          <cell r="J823" t="str">
            <v>POSITIF</v>
          </cell>
        </row>
        <row r="824">
          <cell r="F824" t="str">
            <v>JAPOMA</v>
          </cell>
          <cell r="G824" t="str">
            <v>LITTORAL</v>
          </cell>
          <cell r="H824">
            <v>30</v>
          </cell>
          <cell r="I824" t="str">
            <v>M</v>
          </cell>
          <cell r="J824" t="str">
            <v>POSITIF</v>
          </cell>
        </row>
        <row r="825">
          <cell r="F825" t="str">
            <v>DEIDO</v>
          </cell>
          <cell r="G825" t="str">
            <v>Littoral</v>
          </cell>
          <cell r="H825">
            <v>41</v>
          </cell>
          <cell r="I825" t="str">
            <v>m</v>
          </cell>
          <cell r="J825" t="str">
            <v>POSITIF</v>
          </cell>
        </row>
        <row r="826">
          <cell r="F826" t="str">
            <v>DEIDO</v>
          </cell>
          <cell r="G826" t="str">
            <v>LITTORAL</v>
          </cell>
          <cell r="H826">
            <v>37</v>
          </cell>
          <cell r="I826" t="str">
            <v>M</v>
          </cell>
          <cell r="J826" t="str">
            <v>POSITIF</v>
          </cell>
        </row>
        <row r="827">
          <cell r="F827" t="str">
            <v>DEIDO</v>
          </cell>
          <cell r="G827" t="str">
            <v>LITTORAL</v>
          </cell>
          <cell r="H827">
            <v>25</v>
          </cell>
          <cell r="I827" t="str">
            <v>M</v>
          </cell>
          <cell r="J827" t="str">
            <v>POSITIF</v>
          </cell>
        </row>
        <row r="828">
          <cell r="F828" t="str">
            <v>DEIDO</v>
          </cell>
          <cell r="G828" t="str">
            <v>LITTORAL</v>
          </cell>
          <cell r="H828">
            <v>74</v>
          </cell>
          <cell r="I828" t="str">
            <v>F</v>
          </cell>
          <cell r="J828" t="str">
            <v>POSITIF</v>
          </cell>
        </row>
        <row r="829">
          <cell r="F829" t="str">
            <v>NEW_BELL</v>
          </cell>
          <cell r="G829" t="str">
            <v>Littoral</v>
          </cell>
          <cell r="H829">
            <v>74</v>
          </cell>
          <cell r="I829" t="str">
            <v>F</v>
          </cell>
          <cell r="J829" t="str">
            <v>POSITIF</v>
          </cell>
        </row>
        <row r="830">
          <cell r="F830" t="str">
            <v>NYLON</v>
          </cell>
          <cell r="G830" t="str">
            <v>LITTORAL</v>
          </cell>
          <cell r="H830">
            <v>48</v>
          </cell>
          <cell r="I830" t="str">
            <v>F</v>
          </cell>
          <cell r="J830" t="str">
            <v>POSITIF</v>
          </cell>
        </row>
        <row r="831">
          <cell r="F831" t="str">
            <v>JAPOMA</v>
          </cell>
          <cell r="G831" t="str">
            <v>Littoral</v>
          </cell>
          <cell r="H831">
            <v>48</v>
          </cell>
          <cell r="I831" t="str">
            <v>M</v>
          </cell>
          <cell r="J831" t="str">
            <v>POSITIF</v>
          </cell>
        </row>
        <row r="832">
          <cell r="F832" t="str">
            <v>JAPOMA</v>
          </cell>
          <cell r="G832" t="str">
            <v>Littoral</v>
          </cell>
          <cell r="H832">
            <v>38</v>
          </cell>
          <cell r="I832" t="str">
            <v>F</v>
          </cell>
          <cell r="J832" t="str">
            <v>POSITIF</v>
          </cell>
        </row>
        <row r="833">
          <cell r="F833" t="str">
            <v>BANGUE</v>
          </cell>
          <cell r="G833" t="str">
            <v>LITTORAL</v>
          </cell>
          <cell r="H833">
            <v>50</v>
          </cell>
          <cell r="I833" t="str">
            <v>F</v>
          </cell>
          <cell r="J833" t="str">
            <v>POSITIF</v>
          </cell>
        </row>
        <row r="834">
          <cell r="F834" t="str">
            <v>CITE_DES_PALMIERS</v>
          </cell>
          <cell r="G834" t="str">
            <v>Littoral</v>
          </cell>
          <cell r="H834">
            <v>3</v>
          </cell>
          <cell r="I834" t="str">
            <v>M</v>
          </cell>
          <cell r="J834" t="str">
            <v>POSITIF</v>
          </cell>
        </row>
        <row r="835">
          <cell r="F835" t="str">
            <v>PITOA</v>
          </cell>
          <cell r="G835" t="str">
            <v>Nord</v>
          </cell>
          <cell r="H835">
            <v>7</v>
          </cell>
          <cell r="I835" t="str">
            <v>F</v>
          </cell>
          <cell r="J835" t="str">
            <v>POSITIF</v>
          </cell>
        </row>
        <row r="836">
          <cell r="F836" t="str">
            <v>LOGBABA</v>
          </cell>
          <cell r="G836" t="str">
            <v>Littoral</v>
          </cell>
          <cell r="H836">
            <v>18</v>
          </cell>
          <cell r="I836" t="str">
            <v>F</v>
          </cell>
          <cell r="J836" t="str">
            <v>POSITIF</v>
          </cell>
        </row>
        <row r="837">
          <cell r="F837" t="str">
            <v>DEIDO</v>
          </cell>
          <cell r="G837" t="str">
            <v>LITTORAL</v>
          </cell>
          <cell r="H837">
            <v>25</v>
          </cell>
          <cell r="I837" t="str">
            <v>M</v>
          </cell>
          <cell r="J837" t="str">
            <v>POSITIF</v>
          </cell>
        </row>
        <row r="838">
          <cell r="F838" t="str">
            <v>BONASSAMA</v>
          </cell>
          <cell r="G838" t="str">
            <v>Littoral</v>
          </cell>
          <cell r="H838">
            <v>7</v>
          </cell>
          <cell r="I838" t="str">
            <v>M</v>
          </cell>
          <cell r="J838" t="str">
            <v>POSITIF</v>
          </cell>
        </row>
        <row r="839">
          <cell r="F839" t="str">
            <v>BONASSAMA</v>
          </cell>
          <cell r="G839" t="str">
            <v>Littoral</v>
          </cell>
          <cell r="H839">
            <v>20</v>
          </cell>
          <cell r="I839" t="str">
            <v>F</v>
          </cell>
          <cell r="J839" t="str">
            <v>POSITIF</v>
          </cell>
        </row>
        <row r="840">
          <cell r="F840" t="str">
            <v>Doume</v>
          </cell>
          <cell r="G840" t="str">
            <v>Est</v>
          </cell>
          <cell r="H840">
            <v>23</v>
          </cell>
          <cell r="I840" t="str">
            <v>F</v>
          </cell>
          <cell r="J840" t="str">
            <v>POSITIF</v>
          </cell>
        </row>
        <row r="841">
          <cell r="F841" t="str">
            <v>NEW_BELL</v>
          </cell>
          <cell r="G841" t="str">
            <v>Littoral</v>
          </cell>
          <cell r="H841">
            <v>22</v>
          </cell>
          <cell r="I841" t="str">
            <v>M</v>
          </cell>
          <cell r="J841" t="str">
            <v>POSITIF</v>
          </cell>
        </row>
        <row r="842">
          <cell r="F842" t="str">
            <v>NEW_BELL</v>
          </cell>
          <cell r="G842" t="str">
            <v>Littoral</v>
          </cell>
          <cell r="H842">
            <v>22</v>
          </cell>
          <cell r="I842" t="str">
            <v>M</v>
          </cell>
          <cell r="J842" t="str">
            <v>POSITIF</v>
          </cell>
        </row>
        <row r="843">
          <cell r="F843" t="str">
            <v>NYLON</v>
          </cell>
          <cell r="G843" t="str">
            <v>LITTORAL</v>
          </cell>
          <cell r="H843">
            <v>9</v>
          </cell>
          <cell r="I843" t="str">
            <v>M</v>
          </cell>
          <cell r="J843" t="str">
            <v>POSITIF</v>
          </cell>
        </row>
        <row r="844">
          <cell r="F844" t="str">
            <v>NYLON</v>
          </cell>
          <cell r="G844" t="str">
            <v>Littoral</v>
          </cell>
          <cell r="H844">
            <v>20</v>
          </cell>
          <cell r="I844" t="str">
            <v>M</v>
          </cell>
          <cell r="J844" t="str">
            <v>POSITIF</v>
          </cell>
        </row>
        <row r="845">
          <cell r="F845" t="str">
            <v>NEW_BELL</v>
          </cell>
          <cell r="G845" t="str">
            <v>Littoral</v>
          </cell>
          <cell r="H845">
            <v>20</v>
          </cell>
          <cell r="I845" t="str">
            <v>M</v>
          </cell>
          <cell r="J845" t="str">
            <v>POSITIF</v>
          </cell>
        </row>
        <row r="846">
          <cell r="F846" t="str">
            <v>NYLON</v>
          </cell>
          <cell r="G846" t="str">
            <v>LITTORAL</v>
          </cell>
          <cell r="H846">
            <v>70</v>
          </cell>
          <cell r="I846" t="str">
            <v>M</v>
          </cell>
          <cell r="J846" t="str">
            <v>POSITIF</v>
          </cell>
        </row>
        <row r="847">
          <cell r="F847" t="str">
            <v xml:space="preserve">DSCHANG </v>
          </cell>
          <cell r="G847" t="str">
            <v>OUEST</v>
          </cell>
          <cell r="H847">
            <v>25</v>
          </cell>
          <cell r="I847" t="str">
            <v>F</v>
          </cell>
          <cell r="J847" t="str">
            <v>POSITIF</v>
          </cell>
        </row>
        <row r="848">
          <cell r="F848" t="str">
            <v>DEIDO</v>
          </cell>
          <cell r="G848" t="str">
            <v>Littoral</v>
          </cell>
          <cell r="H848">
            <v>10</v>
          </cell>
          <cell r="I848" t="str">
            <v>M</v>
          </cell>
          <cell r="J848" t="str">
            <v>POSITIF</v>
          </cell>
        </row>
        <row r="849">
          <cell r="F849" t="str">
            <v>NEW_BELL</v>
          </cell>
          <cell r="G849" t="str">
            <v>LITTORAL</v>
          </cell>
          <cell r="H849">
            <v>33</v>
          </cell>
          <cell r="I849" t="str">
            <v>M</v>
          </cell>
          <cell r="J849" t="str">
            <v>POSITIF</v>
          </cell>
        </row>
        <row r="850">
          <cell r="F850" t="str">
            <v>DEIDO</v>
          </cell>
          <cell r="G850" t="str">
            <v>LITTORAL</v>
          </cell>
          <cell r="H850">
            <v>49</v>
          </cell>
          <cell r="I850" t="str">
            <v>F</v>
          </cell>
          <cell r="J850" t="str">
            <v>POSITIF</v>
          </cell>
        </row>
        <row r="851">
          <cell r="F851" t="str">
            <v>JAPOMA</v>
          </cell>
          <cell r="G851" t="str">
            <v>Littoral</v>
          </cell>
          <cell r="H851">
            <v>3</v>
          </cell>
          <cell r="I851" t="str">
            <v>F</v>
          </cell>
          <cell r="J851" t="str">
            <v>POSITIF</v>
          </cell>
        </row>
        <row r="852">
          <cell r="F852" t="str">
            <v>BANGUE</v>
          </cell>
          <cell r="G852" t="str">
            <v>Littoral</v>
          </cell>
          <cell r="H852">
            <v>9</v>
          </cell>
          <cell r="I852" t="str">
            <v>M</v>
          </cell>
          <cell r="J852" t="str">
            <v>POSITIF</v>
          </cell>
        </row>
        <row r="853">
          <cell r="F853" t="str">
            <v>DEIDO</v>
          </cell>
          <cell r="G853" t="str">
            <v>Littoral</v>
          </cell>
          <cell r="H853">
            <v>13</v>
          </cell>
          <cell r="I853" t="str">
            <v>F</v>
          </cell>
          <cell r="J853" t="str">
            <v>POSITIF</v>
          </cell>
        </row>
        <row r="854">
          <cell r="F854" t="str">
            <v>LOGBABA</v>
          </cell>
          <cell r="G854" t="str">
            <v>Littoral</v>
          </cell>
          <cell r="H854">
            <v>53</v>
          </cell>
          <cell r="I854" t="str">
            <v>M</v>
          </cell>
          <cell r="J854" t="str">
            <v>POSITIF</v>
          </cell>
        </row>
        <row r="855">
          <cell r="F855" t="str">
            <v>BONASSAMA</v>
          </cell>
          <cell r="G855" t="str">
            <v>Sud-Ouest</v>
          </cell>
          <cell r="H855">
            <v>35</v>
          </cell>
          <cell r="I855" t="str">
            <v>F</v>
          </cell>
          <cell r="J855" t="str">
            <v>POSITIF</v>
          </cell>
        </row>
        <row r="856">
          <cell r="F856" t="str">
            <v>JAPOMA</v>
          </cell>
          <cell r="G856" t="str">
            <v>Littoral</v>
          </cell>
          <cell r="H856">
            <v>32</v>
          </cell>
          <cell r="I856" t="str">
            <v>M</v>
          </cell>
          <cell r="J856" t="str">
            <v>POSITIF</v>
          </cell>
        </row>
        <row r="857">
          <cell r="F857" t="str">
            <v>BANGUE</v>
          </cell>
          <cell r="G857" t="str">
            <v>Littoral</v>
          </cell>
          <cell r="H857">
            <v>45</v>
          </cell>
          <cell r="I857" t="str">
            <v>M</v>
          </cell>
          <cell r="J857" t="str">
            <v>POSITIF</v>
          </cell>
        </row>
        <row r="858">
          <cell r="F858" t="str">
            <v>BANGUE</v>
          </cell>
          <cell r="G858" t="str">
            <v>Littoral</v>
          </cell>
          <cell r="H858">
            <v>16</v>
          </cell>
          <cell r="I858" t="str">
            <v>M</v>
          </cell>
          <cell r="J858" t="str">
            <v>POSITIF</v>
          </cell>
        </row>
        <row r="859">
          <cell r="F859" t="str">
            <v>DEIDO</v>
          </cell>
          <cell r="G859" t="str">
            <v>Littoral</v>
          </cell>
          <cell r="H859">
            <v>49</v>
          </cell>
          <cell r="I859" t="str">
            <v>M</v>
          </cell>
          <cell r="J859" t="str">
            <v>POSITIF</v>
          </cell>
        </row>
        <row r="860">
          <cell r="F860" t="str">
            <v>DEIDO</v>
          </cell>
          <cell r="G860" t="str">
            <v>Littoral</v>
          </cell>
          <cell r="H860">
            <v>14</v>
          </cell>
          <cell r="I860" t="str">
            <v>M</v>
          </cell>
          <cell r="J860" t="str">
            <v>POSITIF</v>
          </cell>
        </row>
        <row r="861">
          <cell r="F861" t="str">
            <v>CITE_DES_PALMIERS</v>
          </cell>
          <cell r="G861" t="str">
            <v>Littoral</v>
          </cell>
          <cell r="H861">
            <v>37</v>
          </cell>
          <cell r="I861" t="str">
            <v>M</v>
          </cell>
          <cell r="J861" t="str">
            <v>POSITIF</v>
          </cell>
        </row>
        <row r="862">
          <cell r="F862" t="str">
            <v>NYLON</v>
          </cell>
          <cell r="G862" t="str">
            <v>Littoral</v>
          </cell>
          <cell r="H862">
            <v>9</v>
          </cell>
          <cell r="I862" t="str">
            <v>F</v>
          </cell>
          <cell r="J862" t="str">
            <v>POSITIF</v>
          </cell>
        </row>
        <row r="863">
          <cell r="F863" t="str">
            <v>BANGUE</v>
          </cell>
          <cell r="G863" t="str">
            <v>LITTORAL</v>
          </cell>
          <cell r="H863">
            <v>32</v>
          </cell>
          <cell r="I863" t="str">
            <v>M</v>
          </cell>
          <cell r="J863" t="str">
            <v>POSITIF</v>
          </cell>
        </row>
        <row r="864">
          <cell r="F864" t="str">
            <v>CITE_DES_PALMIERS</v>
          </cell>
          <cell r="G864" t="str">
            <v>Littoral</v>
          </cell>
          <cell r="H864">
            <v>70</v>
          </cell>
          <cell r="I864" t="str">
            <v>M</v>
          </cell>
          <cell r="J864" t="str">
            <v>POSITIF</v>
          </cell>
        </row>
        <row r="865">
          <cell r="F865" t="str">
            <v>DEIDO</v>
          </cell>
          <cell r="G865" t="str">
            <v>LITTORAL</v>
          </cell>
          <cell r="H865">
            <v>28</v>
          </cell>
          <cell r="I865" t="str">
            <v>M</v>
          </cell>
          <cell r="J865" t="str">
            <v>POSITIF</v>
          </cell>
        </row>
        <row r="866">
          <cell r="F866" t="str">
            <v>CITE_DES_PALMIERS</v>
          </cell>
          <cell r="G866" t="str">
            <v>Littoral</v>
          </cell>
          <cell r="H866">
            <v>27</v>
          </cell>
          <cell r="I866" t="str">
            <v>M</v>
          </cell>
          <cell r="J866" t="str">
            <v>POSITIF</v>
          </cell>
        </row>
        <row r="867">
          <cell r="F867" t="str">
            <v>CITE_DES_PALMIERS</v>
          </cell>
          <cell r="G867" t="str">
            <v>Littoral</v>
          </cell>
          <cell r="H867">
            <v>51</v>
          </cell>
          <cell r="I867" t="str">
            <v>F</v>
          </cell>
          <cell r="J867" t="str">
            <v>POSITIF</v>
          </cell>
        </row>
        <row r="868">
          <cell r="F868" t="str">
            <v>NYLON</v>
          </cell>
          <cell r="G868" t="str">
            <v>LITTORAL</v>
          </cell>
          <cell r="H868">
            <v>31</v>
          </cell>
          <cell r="I868" t="str">
            <v>M</v>
          </cell>
          <cell r="J868" t="str">
            <v>POSITIF</v>
          </cell>
        </row>
        <row r="869">
          <cell r="F869" t="str">
            <v>LOGBABA</v>
          </cell>
          <cell r="G869" t="str">
            <v>LITTORAL</v>
          </cell>
          <cell r="H869">
            <v>49</v>
          </cell>
          <cell r="I869" t="str">
            <v>M</v>
          </cell>
          <cell r="J869" t="str">
            <v>POSITIF</v>
          </cell>
        </row>
        <row r="870">
          <cell r="F870" t="str">
            <v>LOGBABA</v>
          </cell>
          <cell r="G870" t="str">
            <v>Littoral</v>
          </cell>
          <cell r="H870">
            <v>49</v>
          </cell>
          <cell r="I870" t="str">
            <v>M</v>
          </cell>
          <cell r="J870" t="str">
            <v>POSITIF</v>
          </cell>
        </row>
        <row r="871">
          <cell r="F871" t="str">
            <v>NEW_BELL</v>
          </cell>
          <cell r="G871" t="str">
            <v>Littoral</v>
          </cell>
          <cell r="H871">
            <v>26</v>
          </cell>
          <cell r="I871" t="str">
            <v>M</v>
          </cell>
          <cell r="J871" t="str">
            <v>POSITIF</v>
          </cell>
        </row>
        <row r="872">
          <cell r="F872" t="str">
            <v>BANGUE</v>
          </cell>
          <cell r="G872" t="str">
            <v>LITTORAL</v>
          </cell>
          <cell r="I872" t="str">
            <v>M</v>
          </cell>
          <cell r="J872" t="str">
            <v>POSITIF</v>
          </cell>
        </row>
        <row r="873">
          <cell r="F873" t="str">
            <v>BONASSAMA</v>
          </cell>
          <cell r="G873" t="str">
            <v>Littoral</v>
          </cell>
          <cell r="H873">
            <v>31</v>
          </cell>
          <cell r="I873" t="str">
            <v>M</v>
          </cell>
          <cell r="J873" t="str">
            <v>POSITIF</v>
          </cell>
        </row>
        <row r="874">
          <cell r="F874" t="str">
            <v>BANGUE</v>
          </cell>
          <cell r="G874" t="str">
            <v>LITTORAL</v>
          </cell>
          <cell r="H874">
            <v>31</v>
          </cell>
          <cell r="I874" t="str">
            <v>M</v>
          </cell>
          <cell r="J874" t="str">
            <v>POSITIF</v>
          </cell>
        </row>
        <row r="875">
          <cell r="F875" t="str">
            <v>BANGUE</v>
          </cell>
          <cell r="G875" t="str">
            <v>Littoral</v>
          </cell>
          <cell r="H875">
            <v>50</v>
          </cell>
          <cell r="I875" t="str">
            <v>F</v>
          </cell>
          <cell r="J875" t="str">
            <v>POSITIF</v>
          </cell>
        </row>
        <row r="876">
          <cell r="F876" t="str">
            <v>LIMBE</v>
          </cell>
          <cell r="G876" t="str">
            <v>Sud-Ouest</v>
          </cell>
          <cell r="H876">
            <v>6</v>
          </cell>
          <cell r="I876" t="str">
            <v>M</v>
          </cell>
          <cell r="J876" t="str">
            <v>POSITIF</v>
          </cell>
        </row>
        <row r="877">
          <cell r="F877" t="str">
            <v>NEW_BELL</v>
          </cell>
          <cell r="G877" t="str">
            <v>Littoral</v>
          </cell>
          <cell r="H877">
            <v>22</v>
          </cell>
          <cell r="I877" t="str">
            <v>M</v>
          </cell>
          <cell r="J877" t="str">
            <v>POSITIF</v>
          </cell>
        </row>
        <row r="878">
          <cell r="F878" t="str">
            <v>DEIDO</v>
          </cell>
          <cell r="G878" t="str">
            <v>Littoral</v>
          </cell>
          <cell r="H878">
            <v>34</v>
          </cell>
          <cell r="I878" t="str">
            <v>M</v>
          </cell>
          <cell r="J878" t="str">
            <v>POSITIF</v>
          </cell>
        </row>
        <row r="879">
          <cell r="F879" t="str">
            <v>NEW_BELL</v>
          </cell>
          <cell r="G879" t="str">
            <v>Littoral</v>
          </cell>
          <cell r="H879">
            <v>31</v>
          </cell>
          <cell r="I879" t="str">
            <v>M</v>
          </cell>
          <cell r="J879" t="str">
            <v>POSITIF</v>
          </cell>
        </row>
        <row r="880">
          <cell r="F880" t="str">
            <v>DEIDO</v>
          </cell>
          <cell r="G880" t="str">
            <v>LITTORAL</v>
          </cell>
          <cell r="H880">
            <v>13</v>
          </cell>
          <cell r="I880" t="str">
            <v>F</v>
          </cell>
          <cell r="J880" t="str">
            <v>POSITIF</v>
          </cell>
        </row>
        <row r="881">
          <cell r="F881" t="str">
            <v>DEIDO</v>
          </cell>
          <cell r="G881" t="str">
            <v>LITTORAL</v>
          </cell>
          <cell r="H881">
            <v>44</v>
          </cell>
          <cell r="I881" t="str">
            <v>F</v>
          </cell>
          <cell r="J881" t="str">
            <v>POSITIF</v>
          </cell>
        </row>
        <row r="882">
          <cell r="F882" t="str">
            <v>DEIDO</v>
          </cell>
          <cell r="G882" t="str">
            <v>Littoral</v>
          </cell>
          <cell r="H882">
            <v>58</v>
          </cell>
          <cell r="I882" t="str">
            <v>F</v>
          </cell>
          <cell r="J882" t="str">
            <v>POSITIF</v>
          </cell>
        </row>
        <row r="883">
          <cell r="F883" t="str">
            <v>NYLON</v>
          </cell>
          <cell r="G883" t="str">
            <v>Littoral</v>
          </cell>
          <cell r="H883">
            <v>46</v>
          </cell>
          <cell r="I883" t="str">
            <v>M</v>
          </cell>
          <cell r="J883" t="str">
            <v>POSITIF</v>
          </cell>
        </row>
        <row r="884">
          <cell r="F884" t="str">
            <v>BANGUE</v>
          </cell>
          <cell r="G884" t="str">
            <v>LITTORAL</v>
          </cell>
          <cell r="H884">
            <v>29</v>
          </cell>
          <cell r="I884" t="str">
            <v>F</v>
          </cell>
          <cell r="J884" t="str">
            <v>POSITIF</v>
          </cell>
        </row>
        <row r="885">
          <cell r="F885" t="str">
            <v>NYLON</v>
          </cell>
          <cell r="G885" t="str">
            <v>LITTORAL</v>
          </cell>
          <cell r="H885">
            <v>60</v>
          </cell>
          <cell r="I885" t="str">
            <v>F</v>
          </cell>
          <cell r="J885" t="str">
            <v>POSITIF</v>
          </cell>
        </row>
        <row r="886">
          <cell r="F886" t="str">
            <v>DEIDO</v>
          </cell>
          <cell r="G886" t="str">
            <v>Littoral</v>
          </cell>
          <cell r="H886">
            <v>23</v>
          </cell>
          <cell r="I886" t="str">
            <v>M</v>
          </cell>
          <cell r="J886" t="str">
            <v>POSITIF</v>
          </cell>
        </row>
        <row r="887">
          <cell r="F887" t="str">
            <v>NEW_BELL</v>
          </cell>
          <cell r="G887" t="str">
            <v>LITTORAL</v>
          </cell>
          <cell r="I887" t="str">
            <v>F</v>
          </cell>
          <cell r="J887" t="str">
            <v>POSITIF</v>
          </cell>
        </row>
        <row r="888">
          <cell r="F888" t="str">
            <v>DEIDO</v>
          </cell>
          <cell r="G888" t="str">
            <v>LITTORAL</v>
          </cell>
          <cell r="H888">
            <v>31</v>
          </cell>
          <cell r="I888" t="str">
            <v>F</v>
          </cell>
          <cell r="J888" t="str">
            <v>POSITIF</v>
          </cell>
        </row>
        <row r="889">
          <cell r="F889" t="str">
            <v>DEIDO</v>
          </cell>
          <cell r="G889" t="str">
            <v>Littoral</v>
          </cell>
          <cell r="H889">
            <v>18</v>
          </cell>
          <cell r="I889" t="str">
            <v>F</v>
          </cell>
          <cell r="J889" t="str">
            <v>POSITIF</v>
          </cell>
        </row>
        <row r="890">
          <cell r="F890" t="str">
            <v>NEW_BELL</v>
          </cell>
          <cell r="G890" t="str">
            <v>Littoral</v>
          </cell>
          <cell r="H890">
            <v>6</v>
          </cell>
          <cell r="I890" t="str">
            <v>F</v>
          </cell>
          <cell r="J890" t="str">
            <v>POSITIF</v>
          </cell>
        </row>
        <row r="891">
          <cell r="F891" t="str">
            <v>PITOA</v>
          </cell>
          <cell r="G891" t="str">
            <v>Nord</v>
          </cell>
          <cell r="H891">
            <v>35</v>
          </cell>
          <cell r="I891" t="str">
            <v>F</v>
          </cell>
          <cell r="J891" t="str">
            <v>POSITIF</v>
          </cell>
        </row>
        <row r="892">
          <cell r="F892" t="str">
            <v>NEW_BELL</v>
          </cell>
          <cell r="G892" t="str">
            <v>Littoral</v>
          </cell>
          <cell r="H892">
            <v>20</v>
          </cell>
          <cell r="I892" t="str">
            <v>M</v>
          </cell>
          <cell r="J892" t="str">
            <v>POSITIF</v>
          </cell>
        </row>
        <row r="893">
          <cell r="F893" t="str">
            <v>NEW_BELL</v>
          </cell>
          <cell r="G893" t="str">
            <v>LITTORAL</v>
          </cell>
          <cell r="H893">
            <v>52</v>
          </cell>
          <cell r="I893" t="str">
            <v>M</v>
          </cell>
          <cell r="J893" t="str">
            <v>POSITIF</v>
          </cell>
        </row>
        <row r="894">
          <cell r="F894" t="str">
            <v>NEW_BELL</v>
          </cell>
          <cell r="G894" t="str">
            <v>LITTORAL</v>
          </cell>
          <cell r="H894">
            <v>29</v>
          </cell>
          <cell r="I894" t="str">
            <v>M</v>
          </cell>
          <cell r="J894" t="str">
            <v>POSITIF</v>
          </cell>
        </row>
        <row r="895">
          <cell r="F895" t="str">
            <v>BANGUE</v>
          </cell>
          <cell r="G895" t="str">
            <v>Littoral</v>
          </cell>
          <cell r="H895">
            <v>30</v>
          </cell>
          <cell r="I895" t="str">
            <v>F</v>
          </cell>
          <cell r="J895" t="str">
            <v>POSITIF</v>
          </cell>
        </row>
        <row r="896">
          <cell r="F896" t="str">
            <v>NEW_BELL</v>
          </cell>
          <cell r="G896" t="str">
            <v>LITTORAL</v>
          </cell>
          <cell r="H896">
            <v>6</v>
          </cell>
          <cell r="I896" t="str">
            <v>F</v>
          </cell>
          <cell r="J896" t="str">
            <v>POSITIF</v>
          </cell>
        </row>
        <row r="897">
          <cell r="F897" t="str">
            <v>JAPOMA</v>
          </cell>
          <cell r="G897" t="str">
            <v>Littoral</v>
          </cell>
          <cell r="H897">
            <v>4</v>
          </cell>
          <cell r="I897" t="str">
            <v>F</v>
          </cell>
          <cell r="J897" t="str">
            <v>POSITIF</v>
          </cell>
        </row>
        <row r="898">
          <cell r="F898" t="str">
            <v>BANGUE</v>
          </cell>
          <cell r="G898" t="str">
            <v>LITTORAL</v>
          </cell>
          <cell r="H898">
            <v>28</v>
          </cell>
          <cell r="I898" t="str">
            <v>F</v>
          </cell>
          <cell r="J898" t="str">
            <v>POSITIF</v>
          </cell>
        </row>
        <row r="899">
          <cell r="F899" t="str">
            <v>NYLON</v>
          </cell>
          <cell r="G899" t="str">
            <v>Littoral</v>
          </cell>
          <cell r="H899">
            <v>28</v>
          </cell>
          <cell r="I899" t="str">
            <v>F</v>
          </cell>
          <cell r="J899" t="str">
            <v>POSITIF</v>
          </cell>
        </row>
        <row r="900">
          <cell r="F900" t="str">
            <v>DEIDO</v>
          </cell>
          <cell r="G900" t="str">
            <v>Littoral</v>
          </cell>
          <cell r="H900">
            <v>27</v>
          </cell>
          <cell r="I900" t="str">
            <v>M</v>
          </cell>
          <cell r="J900" t="str">
            <v>POSITIF</v>
          </cell>
        </row>
        <row r="901">
          <cell r="F901" t="str">
            <v>LOGBABA</v>
          </cell>
          <cell r="G901" t="str">
            <v>LITTORAL</v>
          </cell>
          <cell r="H901">
            <v>38</v>
          </cell>
          <cell r="I901" t="str">
            <v>F</v>
          </cell>
          <cell r="J901" t="str">
            <v>POSITIF</v>
          </cell>
        </row>
        <row r="902">
          <cell r="F902" t="str">
            <v>NKONGSAMBA</v>
          </cell>
          <cell r="G902" t="str">
            <v>LITTORAL</v>
          </cell>
          <cell r="H902">
            <v>32</v>
          </cell>
          <cell r="I902" t="str">
            <v>F</v>
          </cell>
          <cell r="J902" t="str">
            <v>POSITIF</v>
          </cell>
        </row>
        <row r="903">
          <cell r="F903" t="str">
            <v>NEW_BELL</v>
          </cell>
          <cell r="G903" t="str">
            <v>Littoral</v>
          </cell>
          <cell r="H903">
            <v>20</v>
          </cell>
          <cell r="I903" t="str">
            <v>M</v>
          </cell>
          <cell r="J903" t="str">
            <v>POSITIF</v>
          </cell>
        </row>
        <row r="904">
          <cell r="F904" t="str">
            <v>NEW_BELL</v>
          </cell>
          <cell r="G904" t="str">
            <v>Littoral</v>
          </cell>
          <cell r="H904">
            <v>24</v>
          </cell>
          <cell r="I904" t="str">
            <v>M</v>
          </cell>
          <cell r="J904" t="str">
            <v>POSITIF</v>
          </cell>
        </row>
        <row r="905">
          <cell r="F905" t="str">
            <v>NEW_BELL</v>
          </cell>
          <cell r="G905" t="str">
            <v>Littoral</v>
          </cell>
          <cell r="H905">
            <v>23</v>
          </cell>
          <cell r="I905" t="str">
            <v>M</v>
          </cell>
          <cell r="J905" t="str">
            <v>POSITIF</v>
          </cell>
        </row>
        <row r="906">
          <cell r="F906" t="str">
            <v>CITE_DES_PALMIERS</v>
          </cell>
          <cell r="G906" t="str">
            <v>Littoral</v>
          </cell>
          <cell r="H906">
            <v>64</v>
          </cell>
          <cell r="I906" t="str">
            <v>F</v>
          </cell>
          <cell r="J906" t="str">
            <v>POSITIF</v>
          </cell>
        </row>
        <row r="907">
          <cell r="F907" t="str">
            <v>NEW_BELL</v>
          </cell>
          <cell r="G907" t="str">
            <v>LITTORAL</v>
          </cell>
          <cell r="H907">
            <v>4</v>
          </cell>
          <cell r="I907" t="str">
            <v>F</v>
          </cell>
          <cell r="J907" t="str">
            <v>POSITIF</v>
          </cell>
        </row>
        <row r="908">
          <cell r="F908" t="str">
            <v>DEIDO</v>
          </cell>
          <cell r="G908" t="str">
            <v>LITTORAL</v>
          </cell>
          <cell r="I908" t="str">
            <v>F</v>
          </cell>
          <cell r="J908" t="str">
            <v>POSITIF</v>
          </cell>
        </row>
        <row r="909">
          <cell r="F909" t="str">
            <v>NEW_BELL</v>
          </cell>
          <cell r="G909" t="str">
            <v>Littoral</v>
          </cell>
          <cell r="H909">
            <v>25</v>
          </cell>
          <cell r="I909" t="str">
            <v>M</v>
          </cell>
          <cell r="J909" t="str">
            <v>POSITIF</v>
          </cell>
        </row>
        <row r="910">
          <cell r="F910" t="str">
            <v>DEIDO</v>
          </cell>
          <cell r="G910" t="str">
            <v>LITTORAL</v>
          </cell>
          <cell r="H910">
            <v>24</v>
          </cell>
          <cell r="I910" t="str">
            <v>M</v>
          </cell>
          <cell r="J910" t="str">
            <v>POSITIF</v>
          </cell>
        </row>
        <row r="911">
          <cell r="F911" t="str">
            <v>NEW_BELL</v>
          </cell>
          <cell r="G911" t="str">
            <v>Littoral</v>
          </cell>
          <cell r="H911">
            <v>27</v>
          </cell>
          <cell r="I911" t="str">
            <v>M</v>
          </cell>
          <cell r="J911" t="str">
            <v>POSITIF</v>
          </cell>
        </row>
        <row r="912">
          <cell r="F912" t="str">
            <v>CITE_DES_PALMIERS</v>
          </cell>
          <cell r="G912" t="str">
            <v>Littoral</v>
          </cell>
          <cell r="H912">
            <v>43</v>
          </cell>
          <cell r="I912" t="str">
            <v>M</v>
          </cell>
          <cell r="J912" t="str">
            <v>POSITIF</v>
          </cell>
        </row>
        <row r="913">
          <cell r="F913" t="str">
            <v>NEW_BELL</v>
          </cell>
          <cell r="G913" t="str">
            <v>LITTORAL</v>
          </cell>
          <cell r="H913">
            <v>44</v>
          </cell>
          <cell r="I913" t="str">
            <v>M</v>
          </cell>
          <cell r="J913" t="str">
            <v>POSITIF</v>
          </cell>
        </row>
        <row r="914">
          <cell r="F914" t="str">
            <v>BANGUE</v>
          </cell>
          <cell r="G914" t="str">
            <v>Littoral</v>
          </cell>
          <cell r="H914">
            <v>31</v>
          </cell>
          <cell r="I914" t="str">
            <v>F</v>
          </cell>
          <cell r="J914" t="str">
            <v>POSITIF</v>
          </cell>
        </row>
        <row r="915">
          <cell r="F915" t="str">
            <v>LOGBABA</v>
          </cell>
          <cell r="G915" t="str">
            <v>LITTORAL</v>
          </cell>
          <cell r="I915" t="str">
            <v>F</v>
          </cell>
          <cell r="J915" t="str">
            <v>POSITIF</v>
          </cell>
        </row>
        <row r="916">
          <cell r="F916" t="str">
            <v>NYLON</v>
          </cell>
          <cell r="G916" t="str">
            <v>Littoral</v>
          </cell>
          <cell r="H916">
            <v>36</v>
          </cell>
          <cell r="I916" t="str">
            <v>M</v>
          </cell>
          <cell r="J916" t="str">
            <v>POSITIF</v>
          </cell>
        </row>
        <row r="917">
          <cell r="F917" t="str">
            <v>BANGUE</v>
          </cell>
          <cell r="G917" t="str">
            <v>LITTORAL</v>
          </cell>
          <cell r="H917">
            <v>29</v>
          </cell>
          <cell r="I917" t="str">
            <v>M</v>
          </cell>
          <cell r="J917" t="str">
            <v>POSITIF</v>
          </cell>
        </row>
        <row r="918">
          <cell r="F918" t="str">
            <v>DEIDO</v>
          </cell>
          <cell r="G918" t="str">
            <v>Littoral</v>
          </cell>
          <cell r="H918">
            <v>15</v>
          </cell>
          <cell r="I918" t="str">
            <v>F</v>
          </cell>
          <cell r="J918" t="str">
            <v>POSITIF</v>
          </cell>
        </row>
        <row r="919">
          <cell r="F919" t="str">
            <v>BOKO</v>
          </cell>
          <cell r="G919" t="str">
            <v>Littoral</v>
          </cell>
          <cell r="H919">
            <v>26</v>
          </cell>
          <cell r="I919" t="str">
            <v>M</v>
          </cell>
          <cell r="J919" t="str">
            <v>POSITIF</v>
          </cell>
        </row>
        <row r="920">
          <cell r="F920" t="str">
            <v>BANGUE</v>
          </cell>
          <cell r="G920" t="str">
            <v>Littoral</v>
          </cell>
          <cell r="H920">
            <v>71</v>
          </cell>
          <cell r="I920" t="str">
            <v>M</v>
          </cell>
          <cell r="J920" t="str">
            <v>POSITIF</v>
          </cell>
        </row>
        <row r="921">
          <cell r="F921" t="str">
            <v>BANGUE</v>
          </cell>
          <cell r="G921" t="str">
            <v>LITTORAL</v>
          </cell>
          <cell r="H921">
            <v>2</v>
          </cell>
          <cell r="I921" t="str">
            <v>M</v>
          </cell>
          <cell r="J921" t="str">
            <v>POSITIF</v>
          </cell>
        </row>
        <row r="922">
          <cell r="F922" t="str">
            <v>BOKO</v>
          </cell>
          <cell r="G922" t="str">
            <v>Littoral</v>
          </cell>
          <cell r="H922">
            <v>3</v>
          </cell>
          <cell r="I922" t="str">
            <v>M</v>
          </cell>
          <cell r="J922" t="str">
            <v>POSITIF</v>
          </cell>
        </row>
        <row r="923">
          <cell r="F923" t="str">
            <v>BANGUE</v>
          </cell>
          <cell r="G923" t="str">
            <v>LITTORAL</v>
          </cell>
          <cell r="H923">
            <v>27</v>
          </cell>
          <cell r="I923" t="str">
            <v>M</v>
          </cell>
          <cell r="J923" t="str">
            <v>POSITIF</v>
          </cell>
        </row>
        <row r="924">
          <cell r="F924" t="str">
            <v>BANGUE</v>
          </cell>
          <cell r="G924" t="str">
            <v>Littoral</v>
          </cell>
          <cell r="H924">
            <v>26</v>
          </cell>
          <cell r="I924" t="str">
            <v>M</v>
          </cell>
          <cell r="J924" t="str">
            <v>POSITIF</v>
          </cell>
        </row>
        <row r="925">
          <cell r="F925" t="str">
            <v>PITOA</v>
          </cell>
          <cell r="G925" t="str">
            <v>Nord</v>
          </cell>
          <cell r="H925">
            <v>5</v>
          </cell>
          <cell r="I925" t="str">
            <v>F</v>
          </cell>
          <cell r="J925" t="str">
            <v>POSITIF</v>
          </cell>
        </row>
        <row r="926">
          <cell r="F926" t="str">
            <v>JAPOMA</v>
          </cell>
          <cell r="G926" t="str">
            <v>Littoral</v>
          </cell>
          <cell r="H926">
            <v>45</v>
          </cell>
          <cell r="I926" t="str">
            <v>F</v>
          </cell>
          <cell r="J926" t="str">
            <v>POSITIF</v>
          </cell>
        </row>
        <row r="927">
          <cell r="F927" t="str">
            <v>NEW_BELL</v>
          </cell>
          <cell r="G927" t="str">
            <v>Littoral</v>
          </cell>
          <cell r="H927">
            <v>33</v>
          </cell>
          <cell r="I927" t="str">
            <v>M</v>
          </cell>
          <cell r="J927" t="str">
            <v>POSITIF</v>
          </cell>
        </row>
        <row r="928">
          <cell r="F928" t="str">
            <v>BOKO</v>
          </cell>
          <cell r="G928" t="str">
            <v>Littoral</v>
          </cell>
          <cell r="H928">
            <v>53</v>
          </cell>
          <cell r="I928" t="str">
            <v>M</v>
          </cell>
          <cell r="J928" t="str">
            <v>POSITIF</v>
          </cell>
        </row>
        <row r="929">
          <cell r="F929" t="str">
            <v>BOKO</v>
          </cell>
          <cell r="G929" t="str">
            <v>Littoral</v>
          </cell>
          <cell r="H929">
            <v>12</v>
          </cell>
          <cell r="I929" t="str">
            <v>M</v>
          </cell>
          <cell r="J929" t="str">
            <v>POSITIF</v>
          </cell>
        </row>
        <row r="930">
          <cell r="F930" t="str">
            <v>NYLON</v>
          </cell>
          <cell r="G930" t="str">
            <v>Littoral</v>
          </cell>
          <cell r="H930">
            <v>39</v>
          </cell>
          <cell r="I930" t="str">
            <v>M</v>
          </cell>
          <cell r="J930" t="str">
            <v>POSITIF</v>
          </cell>
        </row>
        <row r="931">
          <cell r="F931" t="str">
            <v>DEIDO</v>
          </cell>
          <cell r="G931" t="str">
            <v>LITTORAL</v>
          </cell>
          <cell r="H931">
            <v>40</v>
          </cell>
          <cell r="I931" t="str">
            <v>M</v>
          </cell>
          <cell r="J931" t="str">
            <v>POSITIF</v>
          </cell>
        </row>
        <row r="932">
          <cell r="F932" t="str">
            <v>DEIDO</v>
          </cell>
          <cell r="G932" t="str">
            <v>LITTORAL</v>
          </cell>
          <cell r="H932">
            <v>21</v>
          </cell>
          <cell r="I932" t="str">
            <v>M</v>
          </cell>
          <cell r="J932" t="str">
            <v>POSITIF</v>
          </cell>
        </row>
        <row r="933">
          <cell r="F933" t="str">
            <v>CITE_DES_PALMIERS</v>
          </cell>
          <cell r="G933" t="str">
            <v>Littoral</v>
          </cell>
          <cell r="H933">
            <v>32</v>
          </cell>
          <cell r="I933" t="str">
            <v>M</v>
          </cell>
          <cell r="J933" t="str">
            <v>POSITIF</v>
          </cell>
        </row>
        <row r="934">
          <cell r="F934" t="str">
            <v>BOKO</v>
          </cell>
          <cell r="G934" t="str">
            <v>Littoral</v>
          </cell>
          <cell r="H934">
            <v>38</v>
          </cell>
          <cell r="I934" t="str">
            <v>F</v>
          </cell>
          <cell r="J934" t="str">
            <v>POSITIF</v>
          </cell>
        </row>
        <row r="935">
          <cell r="F935" t="str">
            <v>DEIDO</v>
          </cell>
          <cell r="G935" t="str">
            <v>LITTORAL</v>
          </cell>
          <cell r="H935">
            <v>38</v>
          </cell>
          <cell r="I935" t="str">
            <v>F</v>
          </cell>
          <cell r="J935" t="str">
            <v>POSITIF</v>
          </cell>
        </row>
        <row r="936">
          <cell r="F936" t="str">
            <v>CITE_DES_PALMIERS</v>
          </cell>
          <cell r="G936" t="str">
            <v>Littoral</v>
          </cell>
          <cell r="H936">
            <v>4</v>
          </cell>
          <cell r="I936" t="str">
            <v>M</v>
          </cell>
          <cell r="J936" t="str">
            <v>POSITIF</v>
          </cell>
        </row>
        <row r="937">
          <cell r="F937" t="str">
            <v>BOKO</v>
          </cell>
          <cell r="G937" t="str">
            <v>Littoral</v>
          </cell>
          <cell r="H937">
            <v>19</v>
          </cell>
          <cell r="I937" t="str">
            <v>M</v>
          </cell>
          <cell r="J937" t="str">
            <v>POSITIF</v>
          </cell>
        </row>
        <row r="938">
          <cell r="F938" t="str">
            <v>BANGUE</v>
          </cell>
          <cell r="G938" t="str">
            <v>Littoral</v>
          </cell>
          <cell r="H938">
            <v>42</v>
          </cell>
          <cell r="I938" t="str">
            <v>M</v>
          </cell>
          <cell r="J938" t="str">
            <v>POSITIF</v>
          </cell>
        </row>
        <row r="939">
          <cell r="F939" t="str">
            <v>CITE_DES_PALMIERS</v>
          </cell>
          <cell r="G939" t="str">
            <v>Littoral</v>
          </cell>
          <cell r="H939">
            <v>47</v>
          </cell>
          <cell r="I939" t="str">
            <v>M</v>
          </cell>
          <cell r="J939" t="str">
            <v>POSITIF</v>
          </cell>
        </row>
        <row r="940">
          <cell r="F940" t="str">
            <v>CITE_DES_PALMIERS</v>
          </cell>
          <cell r="G940" t="str">
            <v>LITTORAL</v>
          </cell>
          <cell r="H940">
            <v>36</v>
          </cell>
          <cell r="I940" t="str">
            <v>M</v>
          </cell>
          <cell r="J940" t="str">
            <v>POSITIF</v>
          </cell>
        </row>
        <row r="941">
          <cell r="F941" t="str">
            <v>NEW_BELL</v>
          </cell>
          <cell r="G941" t="str">
            <v>Littoral</v>
          </cell>
          <cell r="H941">
            <v>46</v>
          </cell>
          <cell r="I941" t="str">
            <v>F</v>
          </cell>
          <cell r="J941" t="str">
            <v>POSITIF</v>
          </cell>
        </row>
        <row r="942">
          <cell r="F942" t="str">
            <v>DEIDO</v>
          </cell>
          <cell r="G942" t="str">
            <v>LITTORAL</v>
          </cell>
          <cell r="H942">
            <v>26</v>
          </cell>
          <cell r="I942" t="str">
            <v>M</v>
          </cell>
          <cell r="J942" t="str">
            <v>POSITIF</v>
          </cell>
        </row>
        <row r="943">
          <cell r="F943" t="str">
            <v>DEIDO</v>
          </cell>
          <cell r="G943" t="str">
            <v>Littoral</v>
          </cell>
          <cell r="H943">
            <v>36</v>
          </cell>
          <cell r="I943" t="str">
            <v>F</v>
          </cell>
          <cell r="J943" t="str">
            <v>POSITIF</v>
          </cell>
        </row>
        <row r="944">
          <cell r="F944" t="str">
            <v>NEW_BELL</v>
          </cell>
          <cell r="G944" t="str">
            <v>LITTORAL</v>
          </cell>
          <cell r="H944">
            <v>12</v>
          </cell>
          <cell r="I944" t="str">
            <v>F</v>
          </cell>
          <cell r="J944" t="str">
            <v>POSITIF</v>
          </cell>
        </row>
        <row r="945">
          <cell r="F945" t="str">
            <v>BOKO</v>
          </cell>
          <cell r="G945" t="str">
            <v>Littoral</v>
          </cell>
          <cell r="H945">
            <v>12</v>
          </cell>
          <cell r="I945" t="str">
            <v>F</v>
          </cell>
          <cell r="J945" t="str">
            <v>POSITIF</v>
          </cell>
        </row>
        <row r="946">
          <cell r="F946" t="str">
            <v>NYLON</v>
          </cell>
          <cell r="G946" t="str">
            <v>Littoral</v>
          </cell>
          <cell r="H946">
            <v>63</v>
          </cell>
          <cell r="I946" t="str">
            <v>F</v>
          </cell>
          <cell r="J946" t="str">
            <v>POSITIF</v>
          </cell>
        </row>
        <row r="947">
          <cell r="F947" t="str">
            <v>CITE_DES_PALMIERS</v>
          </cell>
          <cell r="G947" t="str">
            <v>Littoral</v>
          </cell>
          <cell r="H947">
            <v>15</v>
          </cell>
          <cell r="I947" t="str">
            <v>M</v>
          </cell>
          <cell r="J947" t="str">
            <v>POSITIF</v>
          </cell>
        </row>
        <row r="948">
          <cell r="F948" t="str">
            <v>BOKO</v>
          </cell>
          <cell r="G948" t="str">
            <v>Littoral</v>
          </cell>
          <cell r="I948" t="str">
            <v>M</v>
          </cell>
          <cell r="J948" t="str">
            <v>POSITIF</v>
          </cell>
        </row>
        <row r="949">
          <cell r="F949" t="str">
            <v>NYLON</v>
          </cell>
          <cell r="G949" t="str">
            <v>Littoral</v>
          </cell>
          <cell r="H949">
            <v>45</v>
          </cell>
          <cell r="I949" t="str">
            <v>F</v>
          </cell>
          <cell r="J949" t="str">
            <v>POSITIF</v>
          </cell>
        </row>
        <row r="950">
          <cell r="F950" t="str">
            <v>LOGBABA</v>
          </cell>
          <cell r="G950" t="str">
            <v>Littoral</v>
          </cell>
          <cell r="H950">
            <v>26</v>
          </cell>
          <cell r="I950" t="str">
            <v>M</v>
          </cell>
          <cell r="J950" t="str">
            <v>POSITIF</v>
          </cell>
        </row>
        <row r="951">
          <cell r="F951" t="str">
            <v>DEIDO</v>
          </cell>
          <cell r="G951" t="str">
            <v>LITTORAL</v>
          </cell>
          <cell r="H951">
            <v>37</v>
          </cell>
          <cell r="I951" t="str">
            <v>F</v>
          </cell>
          <cell r="J951" t="str">
            <v>POSITIF</v>
          </cell>
        </row>
        <row r="952">
          <cell r="F952" t="str">
            <v>BANGUE</v>
          </cell>
          <cell r="G952" t="str">
            <v>LITTORAL</v>
          </cell>
          <cell r="H952">
            <v>29</v>
          </cell>
          <cell r="I952" t="str">
            <v>M</v>
          </cell>
          <cell r="J952" t="str">
            <v>POSITIF</v>
          </cell>
        </row>
        <row r="953">
          <cell r="F953" t="str">
            <v>BOKO</v>
          </cell>
          <cell r="G953" t="str">
            <v>Littoral</v>
          </cell>
          <cell r="H953">
            <v>50</v>
          </cell>
          <cell r="I953" t="str">
            <v>F</v>
          </cell>
          <cell r="J953" t="str">
            <v>POSITIF</v>
          </cell>
        </row>
        <row r="954">
          <cell r="F954" t="str">
            <v>NEW_BELL</v>
          </cell>
          <cell r="G954" t="str">
            <v>Littoral</v>
          </cell>
          <cell r="H954">
            <v>21</v>
          </cell>
          <cell r="I954" t="str">
            <v>M</v>
          </cell>
          <cell r="J954" t="str">
            <v>POSITIF</v>
          </cell>
        </row>
        <row r="955">
          <cell r="F955" t="str">
            <v>NYLON</v>
          </cell>
          <cell r="G955" t="str">
            <v>LITTORAL</v>
          </cell>
          <cell r="H955">
            <v>39</v>
          </cell>
          <cell r="I955" t="str">
            <v>M</v>
          </cell>
          <cell r="J955" t="str">
            <v>POSITIF</v>
          </cell>
        </row>
        <row r="956">
          <cell r="F956" t="str">
            <v>DEIDO</v>
          </cell>
          <cell r="G956" t="str">
            <v>LITTORAL</v>
          </cell>
          <cell r="H956">
            <v>44</v>
          </cell>
          <cell r="I956" t="str">
            <v>M</v>
          </cell>
          <cell r="J956" t="str">
            <v>POSITIF</v>
          </cell>
        </row>
        <row r="957">
          <cell r="F957" t="str">
            <v>FOUMBOT</v>
          </cell>
          <cell r="G957" t="str">
            <v>Ouest</v>
          </cell>
          <cell r="H957">
            <v>50</v>
          </cell>
          <cell r="I957" t="str">
            <v>M</v>
          </cell>
          <cell r="J957" t="str">
            <v>POSITIF</v>
          </cell>
        </row>
        <row r="958">
          <cell r="F958" t="str">
            <v>BANGUE</v>
          </cell>
          <cell r="G958" t="str">
            <v>Littoral</v>
          </cell>
          <cell r="H958">
            <v>22</v>
          </cell>
          <cell r="I958" t="str">
            <v>F</v>
          </cell>
          <cell r="J958" t="str">
            <v>POSITIF</v>
          </cell>
        </row>
        <row r="959">
          <cell r="F959" t="str">
            <v>JAPOMA</v>
          </cell>
          <cell r="G959" t="str">
            <v>Littoral</v>
          </cell>
          <cell r="H959">
            <v>28</v>
          </cell>
          <cell r="I959" t="str">
            <v>F</v>
          </cell>
          <cell r="J959" t="str">
            <v>POSITIF</v>
          </cell>
        </row>
        <row r="960">
          <cell r="F960" t="str">
            <v>BANGUE</v>
          </cell>
          <cell r="G960" t="str">
            <v>Littoral</v>
          </cell>
          <cell r="H960">
            <v>55</v>
          </cell>
          <cell r="I960" t="str">
            <v>M</v>
          </cell>
          <cell r="J960" t="str">
            <v>POSITIF</v>
          </cell>
        </row>
        <row r="961">
          <cell r="F961" t="str">
            <v>DEIDO</v>
          </cell>
          <cell r="G961" t="str">
            <v>LITTORAL</v>
          </cell>
          <cell r="H961">
            <v>40</v>
          </cell>
          <cell r="I961" t="str">
            <v>M</v>
          </cell>
          <cell r="J961" t="str">
            <v>POSITIF</v>
          </cell>
        </row>
        <row r="962">
          <cell r="F962" t="str">
            <v>NYLON</v>
          </cell>
          <cell r="G962" t="str">
            <v>Littoral</v>
          </cell>
          <cell r="H962">
            <v>50</v>
          </cell>
          <cell r="I962" t="str">
            <v>M</v>
          </cell>
          <cell r="J962" t="str">
            <v>POSITIF</v>
          </cell>
        </row>
        <row r="963">
          <cell r="F963" t="str">
            <v>NEW_BELL</v>
          </cell>
          <cell r="G963" t="str">
            <v>Littoral</v>
          </cell>
          <cell r="H963">
            <v>32</v>
          </cell>
          <cell r="I963" t="str">
            <v>M</v>
          </cell>
          <cell r="J963" t="str">
            <v>POSITIF</v>
          </cell>
        </row>
        <row r="964">
          <cell r="F964" t="str">
            <v>MIFI</v>
          </cell>
          <cell r="G964" t="str">
            <v>Ouest</v>
          </cell>
          <cell r="H964">
            <v>23</v>
          </cell>
          <cell r="I964" t="str">
            <v>M</v>
          </cell>
          <cell r="J964" t="str">
            <v>POSITIF</v>
          </cell>
        </row>
        <row r="965">
          <cell r="F965" t="str">
            <v>NEW_BELL</v>
          </cell>
          <cell r="G965" t="str">
            <v>LITTORAL</v>
          </cell>
          <cell r="H965">
            <v>29</v>
          </cell>
          <cell r="I965" t="str">
            <v>F</v>
          </cell>
          <cell r="J965" t="str">
            <v>POSITIF</v>
          </cell>
        </row>
        <row r="966">
          <cell r="F966" t="str">
            <v>BANGUE</v>
          </cell>
          <cell r="G966" t="str">
            <v>Littoral</v>
          </cell>
          <cell r="H966">
            <v>6</v>
          </cell>
          <cell r="I966" t="str">
            <v>F</v>
          </cell>
          <cell r="J966" t="str">
            <v>POSITIF</v>
          </cell>
        </row>
        <row r="967">
          <cell r="F967" t="str">
            <v>NYLON</v>
          </cell>
          <cell r="G967" t="str">
            <v>Littoral</v>
          </cell>
          <cell r="H967">
            <v>20</v>
          </cell>
          <cell r="I967" t="str">
            <v>F</v>
          </cell>
          <cell r="J967" t="str">
            <v>POSITIF</v>
          </cell>
        </row>
        <row r="968">
          <cell r="F968" t="str">
            <v>NYLON</v>
          </cell>
          <cell r="G968" t="str">
            <v>Littoral</v>
          </cell>
          <cell r="H968">
            <v>26</v>
          </cell>
          <cell r="I968" t="str">
            <v>F</v>
          </cell>
          <cell r="J968" t="str">
            <v>POSITIF</v>
          </cell>
        </row>
        <row r="969">
          <cell r="F969" t="str">
            <v>MIFI</v>
          </cell>
          <cell r="G969" t="str">
            <v>Ouest</v>
          </cell>
          <cell r="H969">
            <v>24</v>
          </cell>
          <cell r="I969" t="str">
            <v>F</v>
          </cell>
          <cell r="J969" t="str">
            <v>POSITIF</v>
          </cell>
        </row>
        <row r="970">
          <cell r="F970" t="str">
            <v>BOKO</v>
          </cell>
          <cell r="G970" t="str">
            <v>Littoral</v>
          </cell>
          <cell r="H970">
            <v>30</v>
          </cell>
          <cell r="I970" t="str">
            <v>M</v>
          </cell>
          <cell r="J970" t="str">
            <v>POSITIF</v>
          </cell>
        </row>
        <row r="971">
          <cell r="F971" t="str">
            <v>BANGUE</v>
          </cell>
          <cell r="G971" t="str">
            <v>LITTORAL</v>
          </cell>
          <cell r="H971">
            <v>6</v>
          </cell>
          <cell r="I971" t="str">
            <v>F</v>
          </cell>
          <cell r="J971" t="str">
            <v>POSITIF</v>
          </cell>
        </row>
        <row r="972">
          <cell r="F972" t="str">
            <v>BONASSAMA</v>
          </cell>
          <cell r="G972" t="str">
            <v>Littoral</v>
          </cell>
          <cell r="H972">
            <v>40</v>
          </cell>
          <cell r="I972" t="str">
            <v>F</v>
          </cell>
          <cell r="J972" t="str">
            <v>POSITIF</v>
          </cell>
        </row>
        <row r="973">
          <cell r="F973" t="str">
            <v>JAPOMA</v>
          </cell>
          <cell r="G973" t="str">
            <v>Littoral</v>
          </cell>
          <cell r="H973">
            <v>44</v>
          </cell>
          <cell r="I973" t="str">
            <v>M</v>
          </cell>
          <cell r="J973" t="str">
            <v>POSITIF</v>
          </cell>
        </row>
        <row r="974">
          <cell r="F974" t="str">
            <v>BANGUE</v>
          </cell>
          <cell r="G974" t="str">
            <v>Littoral</v>
          </cell>
          <cell r="H974">
            <v>24</v>
          </cell>
          <cell r="I974" t="str">
            <v>M</v>
          </cell>
          <cell r="J974" t="str">
            <v>POSITIF</v>
          </cell>
        </row>
        <row r="975">
          <cell r="F975" t="str">
            <v>BANGUE</v>
          </cell>
          <cell r="G975" t="str">
            <v>Littoral</v>
          </cell>
          <cell r="H975">
            <v>24</v>
          </cell>
          <cell r="I975" t="str">
            <v>M</v>
          </cell>
          <cell r="J975" t="str">
            <v>POSITIF</v>
          </cell>
        </row>
        <row r="976">
          <cell r="F976" t="str">
            <v>BONASSAMA</v>
          </cell>
          <cell r="G976" t="str">
            <v>Littoral</v>
          </cell>
          <cell r="H976">
            <v>19</v>
          </cell>
          <cell r="I976" t="str">
            <v>F</v>
          </cell>
          <cell r="J976" t="str">
            <v>POSITIF</v>
          </cell>
        </row>
        <row r="977">
          <cell r="F977" t="str">
            <v>BANGUE</v>
          </cell>
          <cell r="G977" t="str">
            <v>Littoral</v>
          </cell>
          <cell r="H977">
            <v>20</v>
          </cell>
          <cell r="I977" t="str">
            <v>F</v>
          </cell>
          <cell r="J977" t="str">
            <v>POSITIF</v>
          </cell>
        </row>
        <row r="978">
          <cell r="F978" t="str">
            <v>DEIDO</v>
          </cell>
          <cell r="G978" t="str">
            <v>LITTORAL</v>
          </cell>
          <cell r="I978" t="str">
            <v>F</v>
          </cell>
          <cell r="J978" t="str">
            <v>POSITIF</v>
          </cell>
        </row>
        <row r="979">
          <cell r="F979" t="str">
            <v>BOKO</v>
          </cell>
          <cell r="G979" t="str">
            <v>Littoral</v>
          </cell>
          <cell r="H979">
            <v>11</v>
          </cell>
          <cell r="I979" t="str">
            <v>M</v>
          </cell>
          <cell r="J979" t="str">
            <v>POSITIF</v>
          </cell>
        </row>
        <row r="980">
          <cell r="F980" t="str">
            <v>DEIDO</v>
          </cell>
          <cell r="G980" t="str">
            <v>LITTORAL</v>
          </cell>
          <cell r="H980">
            <v>43</v>
          </cell>
          <cell r="I980" t="str">
            <v>M</v>
          </cell>
          <cell r="J980" t="str">
            <v>POSITIF</v>
          </cell>
        </row>
        <row r="981">
          <cell r="F981" t="str">
            <v>BANGUE</v>
          </cell>
          <cell r="G981" t="str">
            <v>Littoral</v>
          </cell>
          <cell r="H981">
            <v>37</v>
          </cell>
          <cell r="I981" t="str">
            <v>M</v>
          </cell>
          <cell r="J981" t="str">
            <v>POSITIF</v>
          </cell>
        </row>
        <row r="982">
          <cell r="F982" t="str">
            <v>LOGBABA</v>
          </cell>
          <cell r="G982" t="str">
            <v>Littoral</v>
          </cell>
          <cell r="H982">
            <v>39</v>
          </cell>
          <cell r="I982" t="str">
            <v>M</v>
          </cell>
          <cell r="J982" t="str">
            <v>POSITIF</v>
          </cell>
        </row>
        <row r="983">
          <cell r="F983" t="str">
            <v>NEW_BELL</v>
          </cell>
          <cell r="G983" t="str">
            <v>Littoral</v>
          </cell>
          <cell r="H983">
            <v>29</v>
          </cell>
          <cell r="I983" t="str">
            <v>F</v>
          </cell>
          <cell r="J983" t="str">
            <v>POSITIF</v>
          </cell>
        </row>
        <row r="984">
          <cell r="F984" t="str">
            <v>DEIDO</v>
          </cell>
          <cell r="G984" t="str">
            <v>LITTORAL</v>
          </cell>
          <cell r="H984">
            <v>30</v>
          </cell>
          <cell r="I984" t="str">
            <v>F</v>
          </cell>
          <cell r="J984" t="str">
            <v>POSITIF</v>
          </cell>
        </row>
        <row r="985">
          <cell r="F985" t="str">
            <v>BANGUE</v>
          </cell>
          <cell r="G985" t="str">
            <v>LITTORAL</v>
          </cell>
          <cell r="H985">
            <v>38</v>
          </cell>
          <cell r="I985" t="str">
            <v>M</v>
          </cell>
          <cell r="J985" t="str">
            <v>POSITIF</v>
          </cell>
        </row>
        <row r="986">
          <cell r="F986" t="str">
            <v>LOGBABA</v>
          </cell>
          <cell r="G986" t="str">
            <v>LITTORAL</v>
          </cell>
          <cell r="H986">
            <v>19</v>
          </cell>
          <cell r="I986" t="str">
            <v>M</v>
          </cell>
          <cell r="J986" t="str">
            <v>POSITIF</v>
          </cell>
        </row>
        <row r="987">
          <cell r="F987" t="str">
            <v>NYLON</v>
          </cell>
          <cell r="G987" t="str">
            <v>LITTORAL</v>
          </cell>
          <cell r="H987">
            <v>23</v>
          </cell>
          <cell r="I987" t="str">
            <v>M</v>
          </cell>
          <cell r="J987" t="str">
            <v>POSITIF</v>
          </cell>
        </row>
        <row r="988">
          <cell r="F988" t="str">
            <v>DEIDO</v>
          </cell>
          <cell r="G988" t="str">
            <v>LITTORAL</v>
          </cell>
          <cell r="H988">
            <v>22</v>
          </cell>
          <cell r="I988" t="str">
            <v>F</v>
          </cell>
          <cell r="J988" t="str">
            <v>POSITIF</v>
          </cell>
        </row>
        <row r="989">
          <cell r="F989" t="str">
            <v>CITE_DES_PALMIERS</v>
          </cell>
          <cell r="G989" t="str">
            <v>Littoral</v>
          </cell>
          <cell r="H989">
            <v>46</v>
          </cell>
          <cell r="I989" t="str">
            <v>M</v>
          </cell>
          <cell r="J989" t="str">
            <v>POSITIF</v>
          </cell>
        </row>
        <row r="990">
          <cell r="F990" t="str">
            <v>BANGUE</v>
          </cell>
          <cell r="G990" t="str">
            <v>LITTORAL</v>
          </cell>
          <cell r="H990">
            <v>37</v>
          </cell>
          <cell r="I990" t="str">
            <v>M</v>
          </cell>
          <cell r="J990" t="str">
            <v>POSITIF</v>
          </cell>
        </row>
        <row r="991">
          <cell r="F991" t="str">
            <v>BANGUE</v>
          </cell>
          <cell r="G991" t="str">
            <v>Littoral</v>
          </cell>
          <cell r="H991">
            <v>31</v>
          </cell>
          <cell r="I991" t="str">
            <v>F</v>
          </cell>
          <cell r="J991" t="str">
            <v>POSITIF</v>
          </cell>
        </row>
        <row r="992">
          <cell r="F992" t="str">
            <v>NEW_BELL</v>
          </cell>
          <cell r="G992" t="str">
            <v>LITTORAL</v>
          </cell>
          <cell r="H992">
            <v>28</v>
          </cell>
          <cell r="I992" t="str">
            <v>M</v>
          </cell>
          <cell r="J992" t="str">
            <v>POSITIF</v>
          </cell>
        </row>
        <row r="993">
          <cell r="F993" t="str">
            <v>DEIDO</v>
          </cell>
          <cell r="G993" t="str">
            <v>Littoral</v>
          </cell>
          <cell r="H993">
            <v>35</v>
          </cell>
          <cell r="I993" t="str">
            <v>M</v>
          </cell>
          <cell r="J993" t="str">
            <v>POSITIF</v>
          </cell>
        </row>
        <row r="994">
          <cell r="F994" t="str">
            <v>BANGUE</v>
          </cell>
          <cell r="G994" t="str">
            <v>Littoral</v>
          </cell>
          <cell r="H994">
            <v>42</v>
          </cell>
          <cell r="I994" t="str">
            <v>M</v>
          </cell>
          <cell r="J994" t="str">
            <v>POSITIF</v>
          </cell>
        </row>
        <row r="995">
          <cell r="F995" t="str">
            <v>DEIDO</v>
          </cell>
          <cell r="G995" t="str">
            <v>Littoral</v>
          </cell>
          <cell r="H995">
            <v>18</v>
          </cell>
          <cell r="I995" t="str">
            <v>F</v>
          </cell>
          <cell r="J995" t="str">
            <v>POSITIF</v>
          </cell>
        </row>
        <row r="996">
          <cell r="F996" t="str">
            <v>CITE_DES_PALMIERS</v>
          </cell>
          <cell r="G996" t="str">
            <v>Littoral</v>
          </cell>
          <cell r="H996">
            <v>46</v>
          </cell>
          <cell r="I996" t="str">
            <v>M</v>
          </cell>
          <cell r="J996" t="str">
            <v>POSITIF</v>
          </cell>
        </row>
        <row r="997">
          <cell r="F997" t="str">
            <v>DEIDO</v>
          </cell>
          <cell r="G997" t="str">
            <v>LITTORAL</v>
          </cell>
          <cell r="H997">
            <v>61</v>
          </cell>
          <cell r="I997" t="str">
            <v>M</v>
          </cell>
          <cell r="J997" t="str">
            <v>POSITIF</v>
          </cell>
        </row>
        <row r="998">
          <cell r="F998" t="str">
            <v>BANGUE</v>
          </cell>
          <cell r="G998" t="str">
            <v>Littoral</v>
          </cell>
          <cell r="H998">
            <v>17</v>
          </cell>
          <cell r="I998" t="str">
            <v>M</v>
          </cell>
          <cell r="J998" t="str">
            <v>POSITIF</v>
          </cell>
        </row>
        <row r="999">
          <cell r="F999" t="str">
            <v>DEIDO</v>
          </cell>
          <cell r="G999" t="str">
            <v>Littoral</v>
          </cell>
          <cell r="H999">
            <v>18</v>
          </cell>
          <cell r="I999" t="str">
            <v>F</v>
          </cell>
          <cell r="J999" t="str">
            <v>POSITIF</v>
          </cell>
        </row>
        <row r="1000">
          <cell r="F1000" t="str">
            <v>CITE_DES_PALMIERS</v>
          </cell>
          <cell r="G1000" t="str">
            <v>Littoral</v>
          </cell>
          <cell r="H1000">
            <v>26</v>
          </cell>
          <cell r="I1000" t="str">
            <v>M</v>
          </cell>
          <cell r="J1000" t="str">
            <v>POSITIF</v>
          </cell>
        </row>
        <row r="1001">
          <cell r="F1001" t="str">
            <v>DEIDO</v>
          </cell>
          <cell r="G1001" t="str">
            <v>LITTORAL</v>
          </cell>
          <cell r="H1001">
            <v>26</v>
          </cell>
          <cell r="I1001" t="str">
            <v>M</v>
          </cell>
          <cell r="J1001" t="str">
            <v>POSITIF</v>
          </cell>
        </row>
        <row r="1002">
          <cell r="F1002" t="str">
            <v>NEW_BELL</v>
          </cell>
          <cell r="G1002" t="str">
            <v>Littoral</v>
          </cell>
          <cell r="H1002">
            <v>21</v>
          </cell>
          <cell r="I1002" t="str">
            <v>F</v>
          </cell>
          <cell r="J1002" t="str">
            <v>POSITIF</v>
          </cell>
        </row>
        <row r="1003">
          <cell r="F1003" t="str">
            <v>BONASSAMA</v>
          </cell>
          <cell r="G1003" t="str">
            <v>LITTORAL</v>
          </cell>
          <cell r="H1003">
            <v>38</v>
          </cell>
          <cell r="I1003" t="str">
            <v>M</v>
          </cell>
          <cell r="J1003" t="str">
            <v>POSITIF</v>
          </cell>
        </row>
        <row r="1004">
          <cell r="F1004" t="str">
            <v>NEW_BELL</v>
          </cell>
          <cell r="G1004" t="str">
            <v>Littoral</v>
          </cell>
          <cell r="H1004">
            <v>31</v>
          </cell>
          <cell r="I1004" t="str">
            <v>M</v>
          </cell>
          <cell r="J1004" t="str">
            <v>POSITIF</v>
          </cell>
        </row>
        <row r="1005">
          <cell r="F1005" t="str">
            <v>LOGBABA</v>
          </cell>
          <cell r="G1005" t="str">
            <v>LITTORAL</v>
          </cell>
          <cell r="H1005">
            <v>23</v>
          </cell>
          <cell r="I1005" t="str">
            <v>F</v>
          </cell>
          <cell r="J1005" t="str">
            <v>POSITIF</v>
          </cell>
        </row>
        <row r="1006">
          <cell r="F1006" t="str">
            <v>NYLON</v>
          </cell>
          <cell r="G1006" t="str">
            <v>Littoral</v>
          </cell>
          <cell r="H1006">
            <v>63</v>
          </cell>
          <cell r="I1006" t="str">
            <v>F</v>
          </cell>
          <cell r="J1006" t="str">
            <v>POSITIF</v>
          </cell>
        </row>
        <row r="1007">
          <cell r="F1007" t="str">
            <v>BOKO</v>
          </cell>
          <cell r="G1007" t="str">
            <v>Littoral</v>
          </cell>
          <cell r="H1007">
            <v>23</v>
          </cell>
          <cell r="I1007" t="str">
            <v>F</v>
          </cell>
          <cell r="J1007" t="str">
            <v>POSITIF</v>
          </cell>
        </row>
        <row r="1008">
          <cell r="F1008" t="str">
            <v>NYLON</v>
          </cell>
          <cell r="G1008" t="str">
            <v>Littoral</v>
          </cell>
          <cell r="H1008">
            <v>1</v>
          </cell>
          <cell r="I1008" t="str">
            <v>F</v>
          </cell>
          <cell r="J1008" t="str">
            <v>POSITIF</v>
          </cell>
        </row>
        <row r="1009">
          <cell r="F1009" t="str">
            <v>LOGBABA</v>
          </cell>
          <cell r="G1009" t="str">
            <v>Littoral</v>
          </cell>
          <cell r="H1009">
            <v>45</v>
          </cell>
          <cell r="I1009" t="str">
            <v>M</v>
          </cell>
          <cell r="J1009" t="str">
            <v>POSITIF</v>
          </cell>
        </row>
        <row r="1010">
          <cell r="F1010" t="str">
            <v>JAPOMA</v>
          </cell>
          <cell r="G1010" t="str">
            <v>Littoral</v>
          </cell>
          <cell r="H1010">
            <v>47</v>
          </cell>
          <cell r="I1010" t="str">
            <v>F</v>
          </cell>
          <cell r="J1010" t="str">
            <v>POSITIF</v>
          </cell>
        </row>
        <row r="1011">
          <cell r="F1011" t="str">
            <v>BONASSAMA</v>
          </cell>
          <cell r="G1011" t="str">
            <v>Littoral</v>
          </cell>
          <cell r="H1011">
            <v>15</v>
          </cell>
          <cell r="I1011" t="str">
            <v>M</v>
          </cell>
          <cell r="J1011" t="str">
            <v>POSITIF</v>
          </cell>
        </row>
        <row r="1012">
          <cell r="F1012" t="str">
            <v>MIFI</v>
          </cell>
          <cell r="G1012" t="str">
            <v>Ouest</v>
          </cell>
          <cell r="H1012">
            <v>1</v>
          </cell>
          <cell r="I1012" t="str">
            <v>M</v>
          </cell>
          <cell r="J1012" t="str">
            <v>POSITIF</v>
          </cell>
        </row>
        <row r="1013">
          <cell r="F1013" t="str">
            <v>BOKO</v>
          </cell>
          <cell r="G1013" t="str">
            <v>Littoral</v>
          </cell>
          <cell r="H1013">
            <v>53</v>
          </cell>
          <cell r="I1013" t="str">
            <v>F</v>
          </cell>
          <cell r="J1013" t="str">
            <v>POSITIF</v>
          </cell>
        </row>
        <row r="1014">
          <cell r="F1014" t="str">
            <v>BANGUE</v>
          </cell>
          <cell r="G1014" t="str">
            <v>Littoral</v>
          </cell>
          <cell r="H1014">
            <v>13</v>
          </cell>
          <cell r="I1014" t="str">
            <v>F</v>
          </cell>
          <cell r="J1014" t="str">
            <v>POSITIF</v>
          </cell>
        </row>
        <row r="1015">
          <cell r="F1015" t="str">
            <v>DEIDO</v>
          </cell>
          <cell r="G1015" t="str">
            <v>LITTORAL</v>
          </cell>
          <cell r="H1015">
            <v>28</v>
          </cell>
          <cell r="I1015" t="str">
            <v>M</v>
          </cell>
          <cell r="J1015" t="str">
            <v>POSITIF</v>
          </cell>
        </row>
        <row r="1016">
          <cell r="F1016" t="str">
            <v>LOGBABA</v>
          </cell>
          <cell r="G1016" t="str">
            <v>Littoral</v>
          </cell>
          <cell r="H1016">
            <v>10</v>
          </cell>
          <cell r="I1016" t="str">
            <v>F</v>
          </cell>
          <cell r="J1016" t="str">
            <v>POSITIF</v>
          </cell>
        </row>
        <row r="1017">
          <cell r="F1017" t="str">
            <v>NYLON</v>
          </cell>
          <cell r="G1017" t="str">
            <v>LITTORAL</v>
          </cell>
          <cell r="H1017">
            <v>24</v>
          </cell>
          <cell r="I1017" t="str">
            <v>M</v>
          </cell>
          <cell r="J1017" t="str">
            <v>POSITIF</v>
          </cell>
        </row>
        <row r="1018">
          <cell r="F1018" t="str">
            <v>DEIDO</v>
          </cell>
          <cell r="G1018" t="str">
            <v>Littoral</v>
          </cell>
          <cell r="H1018">
            <v>21</v>
          </cell>
          <cell r="I1018" t="str">
            <v>F</v>
          </cell>
          <cell r="J1018" t="str">
            <v>POSITIF</v>
          </cell>
        </row>
        <row r="1019">
          <cell r="F1019" t="str">
            <v>BOKO</v>
          </cell>
          <cell r="G1019" t="str">
            <v>Littoral</v>
          </cell>
          <cell r="H1019">
            <v>38</v>
          </cell>
          <cell r="I1019" t="str">
            <v>M</v>
          </cell>
          <cell r="J1019" t="str">
            <v>POSITIF</v>
          </cell>
        </row>
        <row r="1020">
          <cell r="F1020" t="str">
            <v>NEW_BELL</v>
          </cell>
          <cell r="G1020" t="str">
            <v>Littoral</v>
          </cell>
          <cell r="H1020">
            <v>55</v>
          </cell>
          <cell r="I1020" t="str">
            <v>M</v>
          </cell>
          <cell r="J1020" t="str">
            <v>POSITIF</v>
          </cell>
        </row>
        <row r="1021">
          <cell r="F1021" t="str">
            <v>JAPOMA</v>
          </cell>
          <cell r="G1021" t="str">
            <v>Littoral</v>
          </cell>
          <cell r="H1021">
            <v>11</v>
          </cell>
          <cell r="I1021" t="str">
            <v>M</v>
          </cell>
          <cell r="J1021" t="str">
            <v>POSITIF</v>
          </cell>
        </row>
        <row r="1022">
          <cell r="F1022" t="str">
            <v>BOKO</v>
          </cell>
          <cell r="G1022" t="str">
            <v>Littoral</v>
          </cell>
          <cell r="H1022">
            <v>37</v>
          </cell>
          <cell r="I1022" t="str">
            <v>M</v>
          </cell>
          <cell r="J1022" t="str">
            <v>POSITIF</v>
          </cell>
        </row>
        <row r="1023">
          <cell r="F1023" t="str">
            <v>CITE_DES_PALMIERS</v>
          </cell>
          <cell r="G1023" t="str">
            <v>Littoral</v>
          </cell>
          <cell r="H1023">
            <v>45</v>
          </cell>
          <cell r="I1023" t="str">
            <v>F</v>
          </cell>
          <cell r="J1023" t="str">
            <v>POSITIF</v>
          </cell>
        </row>
        <row r="1024">
          <cell r="F1024" t="str">
            <v>DEIDO</v>
          </cell>
          <cell r="G1024" t="str">
            <v>LITTORAL</v>
          </cell>
          <cell r="H1024">
            <v>42</v>
          </cell>
          <cell r="I1024" t="str">
            <v>M</v>
          </cell>
          <cell r="J1024" t="str">
            <v>POSITIF</v>
          </cell>
        </row>
        <row r="1025">
          <cell r="F1025" t="str">
            <v>NEW_BELL</v>
          </cell>
          <cell r="G1025" t="str">
            <v>Littoral</v>
          </cell>
          <cell r="H1025">
            <v>68</v>
          </cell>
          <cell r="I1025" t="str">
            <v>M</v>
          </cell>
          <cell r="J1025" t="str">
            <v>POSITIF</v>
          </cell>
        </row>
        <row r="1026">
          <cell r="F1026" t="str">
            <v>BANGUE</v>
          </cell>
          <cell r="G1026" t="str">
            <v>Littoral</v>
          </cell>
          <cell r="H1026">
            <v>26</v>
          </cell>
          <cell r="I1026" t="str">
            <v>F</v>
          </cell>
          <cell r="J1026" t="str">
            <v>POSITIF</v>
          </cell>
        </row>
        <row r="1027">
          <cell r="F1027" t="str">
            <v>NYLON</v>
          </cell>
          <cell r="G1027" t="str">
            <v>LITTORAL</v>
          </cell>
          <cell r="H1027">
            <v>37</v>
          </cell>
          <cell r="I1027" t="str">
            <v>M</v>
          </cell>
          <cell r="J1027" t="str">
            <v>POSITIF</v>
          </cell>
        </row>
        <row r="1028">
          <cell r="F1028" t="str">
            <v>NYLON</v>
          </cell>
          <cell r="G1028" t="str">
            <v>Littoral</v>
          </cell>
          <cell r="H1028">
            <v>33</v>
          </cell>
          <cell r="I1028" t="str">
            <v>F</v>
          </cell>
          <cell r="J1028" t="str">
            <v>POSITIF</v>
          </cell>
        </row>
        <row r="1029">
          <cell r="F1029" t="str">
            <v>LOGBABA</v>
          </cell>
          <cell r="G1029" t="str">
            <v>Littoral</v>
          </cell>
          <cell r="H1029">
            <v>43</v>
          </cell>
          <cell r="I1029" t="str">
            <v>F</v>
          </cell>
          <cell r="J1029" t="str">
            <v>POSITIF</v>
          </cell>
        </row>
        <row r="1030">
          <cell r="F1030" t="str">
            <v>NYLON</v>
          </cell>
          <cell r="G1030" t="str">
            <v>Littoral</v>
          </cell>
          <cell r="H1030">
            <v>48</v>
          </cell>
          <cell r="I1030" t="str">
            <v>M</v>
          </cell>
          <cell r="J1030" t="str">
            <v>POSITIF</v>
          </cell>
        </row>
        <row r="1031">
          <cell r="F1031" t="str">
            <v>BANGUE</v>
          </cell>
          <cell r="G1031" t="str">
            <v>LITTORAL</v>
          </cell>
          <cell r="H1031">
            <v>45</v>
          </cell>
          <cell r="I1031" t="str">
            <v>M</v>
          </cell>
          <cell r="J1031" t="str">
            <v>POSITIF</v>
          </cell>
        </row>
        <row r="1032">
          <cell r="F1032" t="str">
            <v>NJOMBE_PENJA</v>
          </cell>
          <cell r="G1032" t="str">
            <v>LITTORAL</v>
          </cell>
          <cell r="H1032">
            <v>54</v>
          </cell>
          <cell r="I1032" t="str">
            <v>F</v>
          </cell>
          <cell r="J1032" t="str">
            <v>POSITIF</v>
          </cell>
        </row>
        <row r="1033">
          <cell r="F1033" t="str">
            <v>BANGUE</v>
          </cell>
          <cell r="G1033" t="str">
            <v>Littoral</v>
          </cell>
          <cell r="H1033">
            <v>25</v>
          </cell>
          <cell r="I1033" t="str">
            <v>M</v>
          </cell>
          <cell r="J1033" t="str">
            <v>POSITIF</v>
          </cell>
        </row>
        <row r="1034">
          <cell r="F1034" t="str">
            <v>CITE_DES_PALMIERS</v>
          </cell>
          <cell r="G1034" t="str">
            <v>LITTORAL</v>
          </cell>
          <cell r="H1034">
            <v>11</v>
          </cell>
          <cell r="I1034" t="str">
            <v>F</v>
          </cell>
          <cell r="J1034" t="str">
            <v>POSITIF</v>
          </cell>
        </row>
        <row r="1035">
          <cell r="F1035" t="str">
            <v>NEW_BELL</v>
          </cell>
          <cell r="G1035" t="str">
            <v>Littoral</v>
          </cell>
          <cell r="H1035">
            <v>25</v>
          </cell>
          <cell r="I1035" t="str">
            <v>M</v>
          </cell>
          <cell r="J1035" t="str">
            <v>POSITIF</v>
          </cell>
        </row>
        <row r="1036">
          <cell r="F1036" t="str">
            <v>BANGUE</v>
          </cell>
          <cell r="G1036" t="str">
            <v>Littoral</v>
          </cell>
          <cell r="H1036">
            <v>43</v>
          </cell>
          <cell r="I1036" t="str">
            <v>F</v>
          </cell>
          <cell r="J1036" t="str">
            <v>POSITIF</v>
          </cell>
        </row>
        <row r="1037">
          <cell r="F1037" t="str">
            <v>CITE_DES_PALMIERS</v>
          </cell>
          <cell r="G1037" t="str">
            <v>Littoral</v>
          </cell>
          <cell r="H1037">
            <v>11</v>
          </cell>
          <cell r="I1037" t="str">
            <v>M</v>
          </cell>
          <cell r="J1037" t="str">
            <v>POSITIF</v>
          </cell>
        </row>
        <row r="1038">
          <cell r="F1038" t="str">
            <v>BANGUE</v>
          </cell>
          <cell r="G1038" t="str">
            <v>Littoral</v>
          </cell>
          <cell r="H1038">
            <v>27</v>
          </cell>
          <cell r="I1038" t="str">
            <v>M</v>
          </cell>
          <cell r="J1038" t="str">
            <v>POSITIF</v>
          </cell>
        </row>
        <row r="1039">
          <cell r="F1039" t="str">
            <v>NYLON</v>
          </cell>
          <cell r="G1039" t="str">
            <v>LITTORAL</v>
          </cell>
          <cell r="H1039">
            <v>19</v>
          </cell>
          <cell r="I1039" t="str">
            <v>F</v>
          </cell>
          <cell r="J1039" t="str">
            <v>POSITIF</v>
          </cell>
        </row>
        <row r="1040">
          <cell r="F1040" t="str">
            <v>LOGBABA</v>
          </cell>
          <cell r="G1040" t="str">
            <v>LITTORAL</v>
          </cell>
          <cell r="H1040">
            <v>29</v>
          </cell>
          <cell r="I1040" t="str">
            <v>M</v>
          </cell>
          <cell r="J1040" t="str">
            <v>POSITIF</v>
          </cell>
        </row>
        <row r="1041">
          <cell r="F1041" t="str">
            <v>NYLON</v>
          </cell>
          <cell r="G1041" t="str">
            <v>Littoral</v>
          </cell>
          <cell r="H1041">
            <v>51</v>
          </cell>
          <cell r="I1041" t="str">
            <v>F</v>
          </cell>
          <cell r="J1041" t="str">
            <v>POSITIF</v>
          </cell>
        </row>
        <row r="1042">
          <cell r="F1042" t="str">
            <v>NYLON</v>
          </cell>
          <cell r="G1042" t="str">
            <v>Littoral</v>
          </cell>
          <cell r="H1042">
            <v>51</v>
          </cell>
          <cell r="I1042" t="str">
            <v>F</v>
          </cell>
          <cell r="J1042" t="str">
            <v>POSITIF</v>
          </cell>
        </row>
        <row r="1043">
          <cell r="F1043" t="str">
            <v>DEIDO</v>
          </cell>
          <cell r="G1043" t="str">
            <v>Littoral</v>
          </cell>
          <cell r="H1043">
            <v>6</v>
          </cell>
          <cell r="I1043" t="str">
            <v>M</v>
          </cell>
          <cell r="J1043" t="str">
            <v>POSITIF</v>
          </cell>
        </row>
        <row r="1044">
          <cell r="F1044" t="str">
            <v>DEIDO</v>
          </cell>
          <cell r="G1044" t="str">
            <v>Littoral</v>
          </cell>
          <cell r="H1044">
            <v>31</v>
          </cell>
          <cell r="I1044" t="str">
            <v>M</v>
          </cell>
          <cell r="J1044" t="str">
            <v>POSITIF</v>
          </cell>
        </row>
        <row r="1045">
          <cell r="F1045" t="str">
            <v>DEIDO</v>
          </cell>
          <cell r="G1045" t="str">
            <v>LITTORAL</v>
          </cell>
          <cell r="H1045">
            <v>40</v>
          </cell>
          <cell r="I1045" t="str">
            <v>M</v>
          </cell>
          <cell r="J1045" t="str">
            <v>POSITIF</v>
          </cell>
        </row>
        <row r="1046">
          <cell r="F1046" t="str">
            <v>CITE_DES_PALMIERS</v>
          </cell>
          <cell r="G1046" t="str">
            <v>Littoral</v>
          </cell>
          <cell r="H1046">
            <v>31</v>
          </cell>
          <cell r="I1046" t="str">
            <v>F</v>
          </cell>
          <cell r="J1046" t="str">
            <v>POSITIF</v>
          </cell>
        </row>
        <row r="1047">
          <cell r="F1047" t="str">
            <v>NYLON</v>
          </cell>
          <cell r="G1047" t="str">
            <v>Littoral</v>
          </cell>
          <cell r="H1047">
            <v>47</v>
          </cell>
          <cell r="I1047" t="str">
            <v>M</v>
          </cell>
          <cell r="J1047" t="str">
            <v>POSITIF</v>
          </cell>
        </row>
        <row r="1048">
          <cell r="F1048" t="str">
            <v>BANGUE</v>
          </cell>
          <cell r="G1048" t="str">
            <v>Littoral</v>
          </cell>
          <cell r="H1048">
            <v>71</v>
          </cell>
          <cell r="I1048" t="str">
            <v>F</v>
          </cell>
          <cell r="J1048" t="str">
            <v>POSITIF</v>
          </cell>
        </row>
        <row r="1049">
          <cell r="F1049" t="str">
            <v>BANGUE</v>
          </cell>
          <cell r="G1049" t="str">
            <v>Littoral</v>
          </cell>
          <cell r="H1049">
            <v>71</v>
          </cell>
          <cell r="I1049" t="str">
            <v>F</v>
          </cell>
          <cell r="J1049" t="str">
            <v>POSITIF</v>
          </cell>
        </row>
        <row r="1050">
          <cell r="F1050" t="str">
            <v>DEIDO</v>
          </cell>
          <cell r="G1050" t="str">
            <v>LITTORAL</v>
          </cell>
          <cell r="H1050">
            <v>52</v>
          </cell>
          <cell r="I1050" t="str">
            <v>F</v>
          </cell>
          <cell r="J1050" t="str">
            <v>POSITIF</v>
          </cell>
        </row>
        <row r="1051">
          <cell r="F1051" t="str">
            <v>BANGUE</v>
          </cell>
          <cell r="G1051" t="str">
            <v>LITTORAL</v>
          </cell>
          <cell r="H1051">
            <v>25</v>
          </cell>
          <cell r="I1051" t="str">
            <v>F</v>
          </cell>
          <cell r="J1051" t="str">
            <v>POSITIF</v>
          </cell>
        </row>
        <row r="1052">
          <cell r="F1052" t="str">
            <v>LIMBE</v>
          </cell>
          <cell r="G1052" t="str">
            <v>Sud-Ouest</v>
          </cell>
          <cell r="H1052">
            <v>23</v>
          </cell>
          <cell r="I1052" t="str">
            <v>F</v>
          </cell>
          <cell r="J1052" t="str">
            <v>POSITIF</v>
          </cell>
        </row>
        <row r="1053">
          <cell r="F1053" t="str">
            <v>LOUM</v>
          </cell>
          <cell r="G1053" t="str">
            <v>Littoral</v>
          </cell>
          <cell r="H1053">
            <v>32</v>
          </cell>
          <cell r="I1053" t="str">
            <v>F</v>
          </cell>
          <cell r="J1053" t="str">
            <v>POSITIF</v>
          </cell>
        </row>
        <row r="1054">
          <cell r="F1054" t="str">
            <v>BOKO</v>
          </cell>
          <cell r="G1054" t="str">
            <v>Littoral</v>
          </cell>
          <cell r="H1054">
            <v>30</v>
          </cell>
          <cell r="I1054" t="str">
            <v>M</v>
          </cell>
          <cell r="J1054" t="str">
            <v>POSITIF</v>
          </cell>
        </row>
        <row r="1055">
          <cell r="F1055" t="str">
            <v>CITE_DES_PALMIERS</v>
          </cell>
          <cell r="G1055" t="str">
            <v>Littoral</v>
          </cell>
          <cell r="H1055">
            <v>29</v>
          </cell>
          <cell r="I1055" t="str">
            <v>F</v>
          </cell>
          <cell r="J1055" t="str">
            <v>POSITIF</v>
          </cell>
        </row>
        <row r="1056">
          <cell r="F1056" t="str">
            <v>JAPOMA</v>
          </cell>
          <cell r="G1056" t="str">
            <v>Littoral</v>
          </cell>
          <cell r="H1056">
            <v>35</v>
          </cell>
          <cell r="I1056" t="str">
            <v>M</v>
          </cell>
          <cell r="J1056" t="str">
            <v>POSITIF</v>
          </cell>
        </row>
        <row r="1057">
          <cell r="F1057" t="str">
            <v>DEIDO</v>
          </cell>
          <cell r="G1057" t="str">
            <v>Littoral</v>
          </cell>
          <cell r="H1057">
            <v>24</v>
          </cell>
          <cell r="I1057" t="str">
            <v>M</v>
          </cell>
          <cell r="J1057" t="str">
            <v>POSITIF</v>
          </cell>
        </row>
        <row r="1058">
          <cell r="F1058" t="str">
            <v>DEIDO</v>
          </cell>
          <cell r="G1058" t="str">
            <v>LITTORAL</v>
          </cell>
          <cell r="H1058">
            <v>40</v>
          </cell>
          <cell r="I1058" t="str">
            <v>F</v>
          </cell>
          <cell r="J1058" t="str">
            <v>POSITIF</v>
          </cell>
        </row>
        <row r="1059">
          <cell r="F1059" t="str">
            <v>BANGUE</v>
          </cell>
          <cell r="G1059" t="str">
            <v>LITTORAL</v>
          </cell>
          <cell r="H1059">
            <v>29</v>
          </cell>
          <cell r="I1059" t="str">
            <v>M</v>
          </cell>
          <cell r="J1059" t="str">
            <v>POSITIF</v>
          </cell>
        </row>
        <row r="1060">
          <cell r="F1060" t="str">
            <v>EDEA</v>
          </cell>
          <cell r="G1060" t="str">
            <v>Littoral</v>
          </cell>
          <cell r="H1060">
            <v>22</v>
          </cell>
          <cell r="I1060" t="str">
            <v>F</v>
          </cell>
          <cell r="J1060" t="str">
            <v>POSITIF</v>
          </cell>
        </row>
        <row r="1061">
          <cell r="F1061" t="str">
            <v>DEIDO</v>
          </cell>
          <cell r="G1061" t="str">
            <v>LITTORAL</v>
          </cell>
          <cell r="H1061">
            <v>60</v>
          </cell>
          <cell r="I1061" t="str">
            <v>F</v>
          </cell>
          <cell r="J1061" t="str">
            <v>POSITIF</v>
          </cell>
        </row>
        <row r="1062">
          <cell r="F1062" t="str">
            <v>NYLON</v>
          </cell>
          <cell r="G1062" t="str">
            <v>Littoral</v>
          </cell>
          <cell r="H1062">
            <v>34</v>
          </cell>
          <cell r="I1062" t="str">
            <v>M</v>
          </cell>
          <cell r="J1062" t="str">
            <v>POSITIF</v>
          </cell>
        </row>
        <row r="1063">
          <cell r="F1063" t="str">
            <v>DEIDO</v>
          </cell>
          <cell r="G1063" t="str">
            <v>Littoral</v>
          </cell>
          <cell r="H1063">
            <v>38</v>
          </cell>
          <cell r="I1063" t="str">
            <v>F</v>
          </cell>
          <cell r="J1063" t="str">
            <v>POSITIF</v>
          </cell>
        </row>
        <row r="1064">
          <cell r="F1064" t="str">
            <v>DEIDO</v>
          </cell>
          <cell r="G1064" t="str">
            <v>LITTORAL</v>
          </cell>
          <cell r="H1064">
            <v>47</v>
          </cell>
          <cell r="I1064" t="str">
            <v>M</v>
          </cell>
          <cell r="J1064" t="str">
            <v>POSITIF</v>
          </cell>
        </row>
        <row r="1065">
          <cell r="F1065" t="str">
            <v>CITE_DES_PALMIERS</v>
          </cell>
          <cell r="G1065" t="str">
            <v>LITTORAL</v>
          </cell>
          <cell r="H1065">
            <v>22</v>
          </cell>
          <cell r="I1065" t="str">
            <v>F</v>
          </cell>
          <cell r="J1065" t="str">
            <v>POSITIF</v>
          </cell>
        </row>
        <row r="1066">
          <cell r="F1066" t="str">
            <v>BOKO</v>
          </cell>
          <cell r="G1066" t="str">
            <v>Littoral</v>
          </cell>
          <cell r="H1066">
            <v>29</v>
          </cell>
          <cell r="I1066" t="str">
            <v>F</v>
          </cell>
          <cell r="J1066" t="str">
            <v>POSITIF</v>
          </cell>
        </row>
        <row r="1067">
          <cell r="F1067" t="str">
            <v>JAPOMA</v>
          </cell>
          <cell r="G1067" t="str">
            <v>Littoral</v>
          </cell>
          <cell r="H1067">
            <v>35</v>
          </cell>
          <cell r="I1067" t="str">
            <v>F</v>
          </cell>
          <cell r="J1067" t="str">
            <v>POSITIF</v>
          </cell>
        </row>
        <row r="1068">
          <cell r="F1068" t="str">
            <v>JAPOMA</v>
          </cell>
          <cell r="G1068" t="str">
            <v>Littoral</v>
          </cell>
          <cell r="H1068">
            <v>31</v>
          </cell>
          <cell r="I1068" t="str">
            <v>F</v>
          </cell>
          <cell r="J1068" t="str">
            <v>POSITIF</v>
          </cell>
        </row>
        <row r="1069">
          <cell r="F1069" t="str">
            <v>CITE_DES_PALMIERS</v>
          </cell>
          <cell r="G1069" t="str">
            <v>Littoral</v>
          </cell>
          <cell r="H1069">
            <v>57</v>
          </cell>
          <cell r="I1069" t="str">
            <v>F</v>
          </cell>
          <cell r="J1069" t="str">
            <v>POSITIF</v>
          </cell>
        </row>
        <row r="1070">
          <cell r="F1070" t="str">
            <v>DEIDO</v>
          </cell>
          <cell r="G1070" t="str">
            <v>LITTORAL</v>
          </cell>
          <cell r="H1070">
            <v>31</v>
          </cell>
          <cell r="I1070" t="str">
            <v>F</v>
          </cell>
          <cell r="J1070" t="str">
            <v>POSITIF</v>
          </cell>
        </row>
        <row r="1071">
          <cell r="F1071" t="str">
            <v>NYLON</v>
          </cell>
          <cell r="G1071" t="str">
            <v>LITTORAL</v>
          </cell>
          <cell r="H1071">
            <v>16</v>
          </cell>
          <cell r="I1071" t="str">
            <v>F</v>
          </cell>
          <cell r="J1071" t="str">
            <v>POSITIF</v>
          </cell>
        </row>
        <row r="1072">
          <cell r="F1072" t="str">
            <v>BOKO</v>
          </cell>
          <cell r="G1072" t="str">
            <v>Littoral</v>
          </cell>
          <cell r="H1072">
            <v>16</v>
          </cell>
          <cell r="I1072" t="str">
            <v>F</v>
          </cell>
          <cell r="J1072" t="str">
            <v>POSITIF</v>
          </cell>
        </row>
        <row r="1073">
          <cell r="F1073" t="str">
            <v>BOKO</v>
          </cell>
          <cell r="G1073" t="str">
            <v>Littoral</v>
          </cell>
          <cell r="H1073">
            <v>19</v>
          </cell>
          <cell r="I1073" t="str">
            <v>F</v>
          </cell>
          <cell r="J1073" t="str">
            <v>POSITIF</v>
          </cell>
        </row>
        <row r="1074">
          <cell r="F1074" t="str">
            <v>DEIDO</v>
          </cell>
          <cell r="G1074" t="str">
            <v>Littoral</v>
          </cell>
          <cell r="H1074">
            <v>30</v>
          </cell>
          <cell r="I1074" t="str">
            <v>F</v>
          </cell>
          <cell r="J1074" t="str">
            <v>POSITIF</v>
          </cell>
        </row>
        <row r="1075">
          <cell r="F1075" t="str">
            <v>BANGUE</v>
          </cell>
          <cell r="G1075" t="str">
            <v>Littoral</v>
          </cell>
          <cell r="H1075">
            <v>16</v>
          </cell>
          <cell r="I1075" t="str">
            <v>M</v>
          </cell>
          <cell r="J1075" t="str">
            <v>POSITIF</v>
          </cell>
        </row>
        <row r="1076">
          <cell r="F1076" t="str">
            <v>BANGUE</v>
          </cell>
          <cell r="G1076" t="str">
            <v>LITTORAL</v>
          </cell>
          <cell r="I1076" t="str">
            <v>F</v>
          </cell>
          <cell r="J1076" t="str">
            <v>POSITIF</v>
          </cell>
        </row>
        <row r="1077">
          <cell r="F1077" t="str">
            <v>BOKO</v>
          </cell>
          <cell r="G1077" t="str">
            <v>Littoral</v>
          </cell>
          <cell r="H1077">
            <v>50</v>
          </cell>
          <cell r="I1077" t="str">
            <v>F</v>
          </cell>
          <cell r="J1077" t="str">
            <v>POSITIF</v>
          </cell>
        </row>
        <row r="1078">
          <cell r="F1078" t="str">
            <v>DEIDO</v>
          </cell>
          <cell r="G1078" t="str">
            <v>LITTORAL</v>
          </cell>
          <cell r="H1078">
            <v>35</v>
          </cell>
          <cell r="I1078" t="str">
            <v>F</v>
          </cell>
          <cell r="J1078" t="str">
            <v>POSITIF</v>
          </cell>
        </row>
        <row r="1079">
          <cell r="F1079" t="str">
            <v>FOTOKOL</v>
          </cell>
          <cell r="G1079" t="str">
            <v>Extreme-Nord</v>
          </cell>
          <cell r="H1079">
            <v>10</v>
          </cell>
          <cell r="I1079" t="str">
            <v>M</v>
          </cell>
          <cell r="J1079" t="str">
            <v>POSITIF</v>
          </cell>
        </row>
        <row r="1080">
          <cell r="F1080" t="str">
            <v>DEIDO</v>
          </cell>
          <cell r="G1080" t="str">
            <v>Littoral</v>
          </cell>
          <cell r="H1080">
            <v>37</v>
          </cell>
          <cell r="I1080" t="str">
            <v>F</v>
          </cell>
          <cell r="J1080" t="str">
            <v>POSITIF</v>
          </cell>
        </row>
        <row r="1081">
          <cell r="F1081" t="str">
            <v>NEW_BELL</v>
          </cell>
          <cell r="G1081" t="str">
            <v>Littoral</v>
          </cell>
          <cell r="H1081">
            <v>28</v>
          </cell>
          <cell r="I1081" t="str">
            <v>F</v>
          </cell>
          <cell r="J1081" t="str">
            <v>POSITIF</v>
          </cell>
        </row>
        <row r="1082">
          <cell r="F1082" t="str">
            <v>LOGBABA</v>
          </cell>
          <cell r="G1082" t="str">
            <v>LITTORAL</v>
          </cell>
          <cell r="H1082">
            <v>36</v>
          </cell>
          <cell r="I1082" t="str">
            <v>F</v>
          </cell>
          <cell r="J1082" t="str">
            <v>POSITIF</v>
          </cell>
        </row>
        <row r="1083">
          <cell r="F1083" t="str">
            <v>NYLON</v>
          </cell>
          <cell r="G1083" t="str">
            <v>Littoral</v>
          </cell>
          <cell r="H1083">
            <v>7</v>
          </cell>
          <cell r="I1083" t="str">
            <v>F</v>
          </cell>
          <cell r="J1083" t="str">
            <v>POSITIF</v>
          </cell>
        </row>
        <row r="1084">
          <cell r="F1084" t="str">
            <v>DEIDO</v>
          </cell>
          <cell r="G1084" t="str">
            <v>LITTORAL</v>
          </cell>
          <cell r="H1084">
            <v>19</v>
          </cell>
          <cell r="I1084" t="str">
            <v>F</v>
          </cell>
          <cell r="J1084" t="str">
            <v>POSITIF</v>
          </cell>
        </row>
        <row r="1085">
          <cell r="F1085" t="str">
            <v>NEW_BELL</v>
          </cell>
          <cell r="G1085" t="str">
            <v>LITTORAL</v>
          </cell>
          <cell r="H1085">
            <v>54</v>
          </cell>
          <cell r="I1085" t="str">
            <v>F</v>
          </cell>
          <cell r="J1085" t="str">
            <v>POSITIF</v>
          </cell>
        </row>
        <row r="1086">
          <cell r="F1086" t="str">
            <v>NYLON</v>
          </cell>
          <cell r="G1086" t="str">
            <v>Littoral</v>
          </cell>
          <cell r="H1086">
            <v>51</v>
          </cell>
          <cell r="I1086" t="str">
            <v>F</v>
          </cell>
          <cell r="J1086" t="str">
            <v>POSITIF</v>
          </cell>
        </row>
        <row r="1087">
          <cell r="F1087" t="str">
            <v>NYLON</v>
          </cell>
          <cell r="G1087" t="str">
            <v>Littoral</v>
          </cell>
          <cell r="H1087">
            <v>53</v>
          </cell>
          <cell r="I1087" t="str">
            <v>F</v>
          </cell>
          <cell r="J1087" t="str">
            <v>POSITIF</v>
          </cell>
        </row>
        <row r="1088">
          <cell r="F1088" t="str">
            <v>BOKO</v>
          </cell>
          <cell r="G1088" t="str">
            <v>Littoral</v>
          </cell>
          <cell r="H1088">
            <v>42</v>
          </cell>
          <cell r="I1088" t="str">
            <v>F</v>
          </cell>
          <cell r="J1088" t="str">
            <v>POSITIF</v>
          </cell>
        </row>
        <row r="1089">
          <cell r="F1089" t="str">
            <v>DEIDO</v>
          </cell>
          <cell r="G1089" t="str">
            <v>LITTORAL</v>
          </cell>
          <cell r="H1089">
            <v>29</v>
          </cell>
          <cell r="I1089" t="str">
            <v>F</v>
          </cell>
          <cell r="J1089" t="str">
            <v>POSITIF</v>
          </cell>
        </row>
        <row r="1090">
          <cell r="F1090" t="str">
            <v>NEW_BELL</v>
          </cell>
          <cell r="G1090" t="str">
            <v>Littoral</v>
          </cell>
          <cell r="H1090">
            <v>57</v>
          </cell>
          <cell r="I1090" t="str">
            <v>M</v>
          </cell>
          <cell r="J1090" t="str">
            <v>POSITIF</v>
          </cell>
        </row>
        <row r="1091">
          <cell r="F1091" t="str">
            <v>JAPOMA</v>
          </cell>
          <cell r="G1091" t="str">
            <v>Littoral</v>
          </cell>
          <cell r="H1091">
            <v>12</v>
          </cell>
          <cell r="I1091" t="str">
            <v>F</v>
          </cell>
          <cell r="J1091" t="str">
            <v>POSITIF</v>
          </cell>
        </row>
        <row r="1092">
          <cell r="F1092" t="str">
            <v>DEIDO</v>
          </cell>
          <cell r="G1092" t="str">
            <v>LITTORAL</v>
          </cell>
          <cell r="I1092" t="str">
            <v>F</v>
          </cell>
          <cell r="J1092" t="str">
            <v>POSITIF</v>
          </cell>
        </row>
        <row r="1093">
          <cell r="F1093" t="str">
            <v>DEIDO</v>
          </cell>
          <cell r="G1093" t="str">
            <v>LITTORAL</v>
          </cell>
          <cell r="H1093">
            <v>33</v>
          </cell>
          <cell r="I1093" t="str">
            <v>F</v>
          </cell>
          <cell r="J1093" t="str">
            <v>POSITIF</v>
          </cell>
        </row>
        <row r="1094">
          <cell r="F1094" t="str">
            <v>DEIDO</v>
          </cell>
          <cell r="G1094" t="str">
            <v>Littoral</v>
          </cell>
          <cell r="H1094">
            <v>40</v>
          </cell>
          <cell r="I1094" t="str">
            <v>M</v>
          </cell>
          <cell r="J1094" t="str">
            <v>POSITIF</v>
          </cell>
        </row>
        <row r="1095">
          <cell r="F1095" t="str">
            <v>FOUMBOT</v>
          </cell>
          <cell r="G1095" t="str">
            <v>Ouest</v>
          </cell>
          <cell r="I1095" t="str">
            <v>F</v>
          </cell>
          <cell r="J1095" t="str">
            <v>POSITIF</v>
          </cell>
        </row>
        <row r="1096">
          <cell r="F1096" t="str">
            <v>NYLON</v>
          </cell>
          <cell r="G1096" t="str">
            <v>LITTORAL</v>
          </cell>
          <cell r="H1096">
            <v>44</v>
          </cell>
          <cell r="I1096" t="str">
            <v>M</v>
          </cell>
          <cell r="J1096" t="str">
            <v>POSITIF</v>
          </cell>
        </row>
        <row r="1097">
          <cell r="F1097" t="str">
            <v>BOKO</v>
          </cell>
          <cell r="G1097" t="str">
            <v>Littoral</v>
          </cell>
          <cell r="H1097">
            <v>4</v>
          </cell>
          <cell r="I1097" t="str">
            <v>F</v>
          </cell>
          <cell r="J1097" t="str">
            <v>POSITIF</v>
          </cell>
        </row>
        <row r="1098">
          <cell r="F1098" t="str">
            <v>CITE_DES_PALMIERS</v>
          </cell>
          <cell r="G1098" t="str">
            <v>Littoral</v>
          </cell>
          <cell r="H1098">
            <v>42</v>
          </cell>
          <cell r="I1098" t="str">
            <v>M</v>
          </cell>
          <cell r="J1098" t="str">
            <v>POSITIF</v>
          </cell>
        </row>
        <row r="1099">
          <cell r="F1099" t="str">
            <v>DEIDO</v>
          </cell>
          <cell r="G1099" t="str">
            <v>Littoral</v>
          </cell>
          <cell r="H1099">
            <v>30</v>
          </cell>
          <cell r="I1099" t="str">
            <v>M</v>
          </cell>
          <cell r="J1099" t="str">
            <v>POSITIF</v>
          </cell>
        </row>
        <row r="1100">
          <cell r="F1100" t="str">
            <v>DEIDO</v>
          </cell>
          <cell r="G1100" t="str">
            <v>LITTORAL</v>
          </cell>
          <cell r="H1100">
            <v>34</v>
          </cell>
          <cell r="I1100" t="str">
            <v>M</v>
          </cell>
          <cell r="J1100" t="str">
            <v>POSITIF</v>
          </cell>
        </row>
        <row r="1101">
          <cell r="F1101" t="str">
            <v>LOGBABA</v>
          </cell>
          <cell r="G1101" t="str">
            <v>LITTORAL</v>
          </cell>
          <cell r="H1101">
            <v>50</v>
          </cell>
          <cell r="I1101" t="str">
            <v>F</v>
          </cell>
          <cell r="J1101" t="str">
            <v>POSITIF</v>
          </cell>
        </row>
        <row r="1102">
          <cell r="F1102" t="str">
            <v>KOUOPTAMO</v>
          </cell>
          <cell r="G1102" t="str">
            <v>OUEST</v>
          </cell>
          <cell r="H1102">
            <v>42</v>
          </cell>
          <cell r="I1102" t="str">
            <v>F</v>
          </cell>
          <cell r="J1102" t="str">
            <v>POSITIF</v>
          </cell>
        </row>
        <row r="1103">
          <cell r="F1103" t="str">
            <v>LIMBE</v>
          </cell>
          <cell r="G1103" t="str">
            <v>Sud-Ouest</v>
          </cell>
          <cell r="H1103">
            <v>30</v>
          </cell>
          <cell r="I1103" t="str">
            <v>F</v>
          </cell>
          <cell r="J1103" t="str">
            <v>POSITIF</v>
          </cell>
        </row>
        <row r="1104">
          <cell r="F1104" t="str">
            <v>DEIDO</v>
          </cell>
          <cell r="G1104" t="str">
            <v>LITTORAL</v>
          </cell>
          <cell r="H1104">
            <v>22</v>
          </cell>
          <cell r="I1104" t="str">
            <v>M</v>
          </cell>
          <cell r="J1104" t="str">
            <v>POSITIF</v>
          </cell>
        </row>
        <row r="1105">
          <cell r="F1105" t="str">
            <v>DEIDO</v>
          </cell>
          <cell r="G1105" t="str">
            <v>Littoral</v>
          </cell>
          <cell r="H1105">
            <v>10</v>
          </cell>
          <cell r="I1105" t="str">
            <v>F</v>
          </cell>
          <cell r="J1105" t="str">
            <v>POSITIF</v>
          </cell>
        </row>
        <row r="1106">
          <cell r="F1106" t="str">
            <v>PITOA</v>
          </cell>
          <cell r="G1106" t="str">
            <v>Nord</v>
          </cell>
          <cell r="H1106">
            <v>14</v>
          </cell>
          <cell r="I1106" t="str">
            <v>F</v>
          </cell>
          <cell r="J1106" t="str">
            <v>POSITIF</v>
          </cell>
        </row>
        <row r="1107">
          <cell r="F1107" t="str">
            <v>DEIDO</v>
          </cell>
          <cell r="G1107" t="str">
            <v>Littoral</v>
          </cell>
          <cell r="H1107">
            <v>29</v>
          </cell>
          <cell r="I1107" t="str">
            <v>M</v>
          </cell>
          <cell r="J1107" t="str">
            <v>POSITIF</v>
          </cell>
        </row>
        <row r="1108">
          <cell r="F1108" t="str">
            <v>NEW_BELL</v>
          </cell>
          <cell r="G1108" t="str">
            <v>Littoral</v>
          </cell>
          <cell r="H1108">
            <v>66</v>
          </cell>
          <cell r="I1108" t="str">
            <v>F</v>
          </cell>
          <cell r="J1108" t="str">
            <v>POSITIF</v>
          </cell>
        </row>
        <row r="1109">
          <cell r="F1109" t="str">
            <v>DEIDO</v>
          </cell>
          <cell r="G1109" t="str">
            <v>Littoral</v>
          </cell>
          <cell r="H1109">
            <v>19</v>
          </cell>
          <cell r="I1109" t="str">
            <v>F</v>
          </cell>
          <cell r="J1109" t="str">
            <v>POSITIF</v>
          </cell>
        </row>
        <row r="1110">
          <cell r="F1110" t="str">
            <v>NYLON</v>
          </cell>
          <cell r="G1110" t="str">
            <v>Littoral</v>
          </cell>
          <cell r="H1110">
            <v>25</v>
          </cell>
          <cell r="I1110" t="str">
            <v>F</v>
          </cell>
          <cell r="J1110" t="str">
            <v>POSITIF</v>
          </cell>
        </row>
        <row r="1111">
          <cell r="F1111" t="str">
            <v>BONASSAMA</v>
          </cell>
          <cell r="G1111" t="str">
            <v>Littoral</v>
          </cell>
          <cell r="H1111">
            <v>50</v>
          </cell>
          <cell r="I1111" t="str">
            <v>F</v>
          </cell>
          <cell r="J1111" t="str">
            <v>POSITIF</v>
          </cell>
        </row>
        <row r="1112">
          <cell r="F1112" t="str">
            <v>DEIDO</v>
          </cell>
          <cell r="G1112" t="str">
            <v>Littoral</v>
          </cell>
          <cell r="H1112">
            <v>57</v>
          </cell>
          <cell r="I1112" t="str">
            <v>F</v>
          </cell>
          <cell r="J1112" t="str">
            <v>POSITIF</v>
          </cell>
        </row>
        <row r="1113">
          <cell r="F1113" t="str">
            <v>CITE_DES_PALMIERS</v>
          </cell>
          <cell r="G1113" t="str">
            <v>Littoral</v>
          </cell>
          <cell r="H1113">
            <v>72</v>
          </cell>
          <cell r="I1113" t="str">
            <v>F</v>
          </cell>
          <cell r="J1113" t="str">
            <v>POSITIF</v>
          </cell>
        </row>
        <row r="1114">
          <cell r="F1114" t="str">
            <v>DEIDO</v>
          </cell>
          <cell r="G1114" t="str">
            <v>LITTORAL</v>
          </cell>
          <cell r="H1114">
            <v>46</v>
          </cell>
          <cell r="I1114" t="str">
            <v>F</v>
          </cell>
          <cell r="J1114" t="str">
            <v>POSITIF</v>
          </cell>
        </row>
        <row r="1115">
          <cell r="F1115" t="str">
            <v>NEW_BELL</v>
          </cell>
          <cell r="G1115" t="str">
            <v>Littoral</v>
          </cell>
          <cell r="H1115">
            <v>33</v>
          </cell>
          <cell r="I1115" t="str">
            <v>M</v>
          </cell>
          <cell r="J1115" t="str">
            <v>POSITIF</v>
          </cell>
        </row>
        <row r="1116">
          <cell r="F1116" t="str">
            <v>NEW_BELL</v>
          </cell>
          <cell r="G1116" t="str">
            <v>Littoral</v>
          </cell>
          <cell r="H1116">
            <v>33</v>
          </cell>
          <cell r="I1116" t="str">
            <v>M</v>
          </cell>
          <cell r="J1116" t="str">
            <v>POSITIF</v>
          </cell>
        </row>
        <row r="1117">
          <cell r="F1117" t="str">
            <v>NYLON</v>
          </cell>
          <cell r="G1117" t="str">
            <v>LITTORAL</v>
          </cell>
          <cell r="H1117">
            <v>11</v>
          </cell>
          <cell r="I1117" t="str">
            <v>M</v>
          </cell>
          <cell r="J1117" t="str">
            <v>POSITIF</v>
          </cell>
        </row>
        <row r="1118">
          <cell r="F1118" t="str">
            <v>DEIDO</v>
          </cell>
          <cell r="G1118" t="str">
            <v>LITTORAL</v>
          </cell>
          <cell r="I1118" t="str">
            <v>F</v>
          </cell>
          <cell r="J1118" t="str">
            <v>POSITIF</v>
          </cell>
        </row>
        <row r="1119">
          <cell r="F1119" t="str">
            <v>MIFI</v>
          </cell>
          <cell r="G1119" t="str">
            <v>Ouest</v>
          </cell>
          <cell r="H1119">
            <v>69</v>
          </cell>
          <cell r="I1119" t="str">
            <v>F</v>
          </cell>
          <cell r="J1119" t="str">
            <v>POSITIF</v>
          </cell>
        </row>
        <row r="1120">
          <cell r="F1120" t="str">
            <v>CITE_DES_PALMIERS</v>
          </cell>
          <cell r="G1120" t="str">
            <v>Littoral</v>
          </cell>
          <cell r="H1120">
            <v>59</v>
          </cell>
          <cell r="I1120" t="str">
            <v>M</v>
          </cell>
          <cell r="J1120" t="str">
            <v>POSITIF</v>
          </cell>
        </row>
        <row r="1121">
          <cell r="F1121" t="str">
            <v>NEW_BELL</v>
          </cell>
          <cell r="G1121" t="str">
            <v>Littoral</v>
          </cell>
          <cell r="H1121">
            <v>30</v>
          </cell>
          <cell r="I1121" t="str">
            <v>M</v>
          </cell>
          <cell r="J1121" t="str">
            <v>POSITIF</v>
          </cell>
        </row>
        <row r="1122">
          <cell r="F1122" t="str">
            <v>MANOKA</v>
          </cell>
          <cell r="G1122" t="str">
            <v>LITTORAL</v>
          </cell>
          <cell r="I1122" t="str">
            <v>M</v>
          </cell>
          <cell r="J1122" t="str">
            <v>POSITIF</v>
          </cell>
        </row>
        <row r="1123">
          <cell r="F1123" t="str">
            <v>NEW_BELL</v>
          </cell>
          <cell r="G1123" t="str">
            <v>Littoral</v>
          </cell>
          <cell r="H1123">
            <v>55</v>
          </cell>
          <cell r="I1123" t="str">
            <v>M</v>
          </cell>
          <cell r="J1123" t="str">
            <v>POSITIF</v>
          </cell>
        </row>
        <row r="1124">
          <cell r="F1124" t="str">
            <v>NYLON</v>
          </cell>
          <cell r="G1124" t="str">
            <v>Littoral</v>
          </cell>
          <cell r="H1124">
            <v>32</v>
          </cell>
          <cell r="I1124" t="str">
            <v>F</v>
          </cell>
          <cell r="J1124" t="str">
            <v>POSITIF</v>
          </cell>
        </row>
        <row r="1125">
          <cell r="F1125" t="str">
            <v>DEIDO</v>
          </cell>
          <cell r="G1125" t="str">
            <v>LITTORAL</v>
          </cell>
          <cell r="H1125">
            <v>39</v>
          </cell>
          <cell r="I1125" t="str">
            <v>F</v>
          </cell>
          <cell r="J1125" t="str">
            <v>POSITIF</v>
          </cell>
        </row>
        <row r="1126">
          <cell r="F1126" t="str">
            <v>BOKO</v>
          </cell>
          <cell r="G1126" t="str">
            <v>Littoral</v>
          </cell>
          <cell r="H1126">
            <v>50</v>
          </cell>
          <cell r="I1126" t="str">
            <v>M</v>
          </cell>
          <cell r="J1126" t="str">
            <v>POSITIF</v>
          </cell>
        </row>
        <row r="1127">
          <cell r="F1127" t="str">
            <v xml:space="preserve">Tiko </v>
          </cell>
          <cell r="G1127" t="str">
            <v>Sud-Ouest</v>
          </cell>
          <cell r="H1127">
            <v>24</v>
          </cell>
          <cell r="I1127" t="str">
            <v>F</v>
          </cell>
          <cell r="J1127" t="str">
            <v>POSITIF</v>
          </cell>
        </row>
        <row r="1128">
          <cell r="F1128" t="str">
            <v>MANOKA</v>
          </cell>
          <cell r="G1128" t="str">
            <v>Littoral</v>
          </cell>
          <cell r="H1128">
            <v>22</v>
          </cell>
          <cell r="I1128" t="str">
            <v>F</v>
          </cell>
          <cell r="J1128" t="str">
            <v>POSITIF</v>
          </cell>
        </row>
        <row r="1129">
          <cell r="F1129" t="str">
            <v>NYLON</v>
          </cell>
          <cell r="G1129" t="str">
            <v>Littoral</v>
          </cell>
          <cell r="H1129">
            <v>41</v>
          </cell>
          <cell r="I1129" t="str">
            <v>M</v>
          </cell>
          <cell r="J1129" t="str">
            <v>POSITIF</v>
          </cell>
        </row>
        <row r="1130">
          <cell r="F1130" t="str">
            <v>NYLON</v>
          </cell>
          <cell r="G1130" t="str">
            <v>Littoral</v>
          </cell>
          <cell r="H1130">
            <v>42</v>
          </cell>
          <cell r="I1130" t="str">
            <v>M</v>
          </cell>
          <cell r="J1130" t="str">
            <v>POSITIF</v>
          </cell>
        </row>
        <row r="1131">
          <cell r="F1131" t="str">
            <v>NYLON</v>
          </cell>
          <cell r="G1131" t="str">
            <v>Littoral</v>
          </cell>
          <cell r="H1131">
            <v>28</v>
          </cell>
          <cell r="I1131" t="str">
            <v>M</v>
          </cell>
          <cell r="J1131" t="str">
            <v>POSITIF</v>
          </cell>
        </row>
        <row r="1132">
          <cell r="F1132" t="str">
            <v>LIMBE</v>
          </cell>
          <cell r="G1132" t="str">
            <v>Sud-Ouest</v>
          </cell>
          <cell r="H1132">
            <v>22</v>
          </cell>
          <cell r="I1132" t="str">
            <v>F</v>
          </cell>
          <cell r="J1132" t="str">
            <v>POSITIF</v>
          </cell>
        </row>
        <row r="1133">
          <cell r="F1133" t="str">
            <v>LIMBE</v>
          </cell>
          <cell r="G1133" t="str">
            <v>Sud-Ouest</v>
          </cell>
          <cell r="H1133">
            <v>22</v>
          </cell>
          <cell r="I1133" t="str">
            <v>F</v>
          </cell>
          <cell r="J1133" t="str">
            <v>POSITIF</v>
          </cell>
        </row>
        <row r="1134">
          <cell r="F1134" t="str">
            <v>BANGUE</v>
          </cell>
          <cell r="G1134" t="str">
            <v>LITTORAL</v>
          </cell>
          <cell r="H1134">
            <v>44</v>
          </cell>
          <cell r="I1134" t="str">
            <v>M</v>
          </cell>
          <cell r="J1134" t="str">
            <v>POSITIF</v>
          </cell>
        </row>
        <row r="1135">
          <cell r="F1135" t="str">
            <v>CITE_DES_PALMIERS</v>
          </cell>
          <cell r="G1135" t="str">
            <v>Littoral</v>
          </cell>
          <cell r="H1135">
            <v>22</v>
          </cell>
          <cell r="I1135" t="str">
            <v>F</v>
          </cell>
          <cell r="J1135" t="str">
            <v>POSITIF</v>
          </cell>
        </row>
        <row r="1136">
          <cell r="F1136" t="str">
            <v>LOGBABA</v>
          </cell>
          <cell r="G1136" t="str">
            <v>Littoral</v>
          </cell>
          <cell r="H1136">
            <v>21</v>
          </cell>
          <cell r="I1136" t="str">
            <v>M</v>
          </cell>
          <cell r="J1136" t="str">
            <v>POSITIF</v>
          </cell>
        </row>
        <row r="1137">
          <cell r="F1137" t="str">
            <v>DEIDO</v>
          </cell>
          <cell r="G1137" t="str">
            <v>LITTORAL</v>
          </cell>
          <cell r="H1137">
            <v>33</v>
          </cell>
          <cell r="I1137" t="str">
            <v>M</v>
          </cell>
          <cell r="J1137" t="str">
            <v>POSITIF</v>
          </cell>
        </row>
        <row r="1138">
          <cell r="F1138" t="str">
            <v>CITE_DES_PALMIERS</v>
          </cell>
          <cell r="G1138" t="str">
            <v>Littoral</v>
          </cell>
          <cell r="H1138">
            <v>29</v>
          </cell>
          <cell r="I1138" t="str">
            <v>M</v>
          </cell>
          <cell r="J1138" t="str">
            <v>POSITIF</v>
          </cell>
        </row>
        <row r="1139">
          <cell r="F1139" t="str">
            <v>NYLON</v>
          </cell>
          <cell r="G1139" t="str">
            <v>Littoral</v>
          </cell>
          <cell r="H1139">
            <v>53</v>
          </cell>
          <cell r="I1139" t="str">
            <v>M</v>
          </cell>
          <cell r="J1139" t="str">
            <v>POSITIF</v>
          </cell>
        </row>
        <row r="1140">
          <cell r="F1140" t="str">
            <v>DEIDO</v>
          </cell>
          <cell r="G1140" t="str">
            <v>Littoral</v>
          </cell>
          <cell r="H1140">
            <v>34</v>
          </cell>
          <cell r="I1140" t="str">
            <v>M</v>
          </cell>
          <cell r="J1140" t="str">
            <v>POSITIF</v>
          </cell>
        </row>
        <row r="1141">
          <cell r="F1141" t="str">
            <v>CITE_DES_PALMIERS</v>
          </cell>
          <cell r="G1141" t="str">
            <v>Littoral</v>
          </cell>
          <cell r="H1141">
            <v>27</v>
          </cell>
          <cell r="I1141" t="str">
            <v>F</v>
          </cell>
          <cell r="J1141" t="str">
            <v>POSITIF</v>
          </cell>
        </row>
        <row r="1142">
          <cell r="F1142" t="str">
            <v>DEIDO</v>
          </cell>
          <cell r="G1142" t="str">
            <v>LITTORAL</v>
          </cell>
          <cell r="H1142">
            <v>52</v>
          </cell>
          <cell r="I1142" t="str">
            <v>M</v>
          </cell>
          <cell r="J1142" t="str">
            <v>POSITIF</v>
          </cell>
        </row>
        <row r="1143">
          <cell r="F1143" t="str">
            <v>DEIDO</v>
          </cell>
          <cell r="G1143" t="str">
            <v>Littoral</v>
          </cell>
          <cell r="H1143">
            <v>56</v>
          </cell>
          <cell r="I1143" t="str">
            <v>M</v>
          </cell>
          <cell r="J1143" t="str">
            <v>POSITIF</v>
          </cell>
        </row>
        <row r="1144">
          <cell r="F1144" t="str">
            <v>DEIDO</v>
          </cell>
          <cell r="G1144" t="str">
            <v>Littoral</v>
          </cell>
          <cell r="H1144">
            <v>37</v>
          </cell>
          <cell r="I1144" t="str">
            <v>F</v>
          </cell>
          <cell r="J1144" t="str">
            <v>POSITIF</v>
          </cell>
        </row>
        <row r="1145">
          <cell r="F1145" t="str">
            <v>NEW_BELL</v>
          </cell>
          <cell r="G1145" t="str">
            <v>Littoral</v>
          </cell>
          <cell r="H1145">
            <v>33</v>
          </cell>
          <cell r="I1145" t="str">
            <v>M</v>
          </cell>
          <cell r="J1145" t="str">
            <v>POSITIF</v>
          </cell>
        </row>
        <row r="1146">
          <cell r="F1146" t="str">
            <v>NYLON</v>
          </cell>
          <cell r="G1146" t="str">
            <v>Littoral</v>
          </cell>
          <cell r="H1146">
            <v>36</v>
          </cell>
          <cell r="I1146" t="str">
            <v>M</v>
          </cell>
          <cell r="J1146" t="str">
            <v>POSITIF</v>
          </cell>
        </row>
        <row r="1147">
          <cell r="F1147" t="str">
            <v>NEW_BELL</v>
          </cell>
          <cell r="G1147" t="str">
            <v>Littoral</v>
          </cell>
          <cell r="H1147">
            <v>19</v>
          </cell>
          <cell r="I1147" t="str">
            <v>M</v>
          </cell>
          <cell r="J1147" t="str">
            <v>POSITIF</v>
          </cell>
        </row>
        <row r="1148">
          <cell r="F1148" t="str">
            <v>NYLON</v>
          </cell>
          <cell r="G1148" t="str">
            <v>Littoral</v>
          </cell>
          <cell r="H1148">
            <v>33</v>
          </cell>
          <cell r="I1148" t="str">
            <v>M</v>
          </cell>
          <cell r="J1148" t="str">
            <v>POSITIF</v>
          </cell>
        </row>
        <row r="1149">
          <cell r="F1149" t="str">
            <v>BOKO</v>
          </cell>
          <cell r="G1149" t="str">
            <v>Littoral</v>
          </cell>
          <cell r="H1149">
            <v>37</v>
          </cell>
          <cell r="I1149" t="str">
            <v>F</v>
          </cell>
          <cell r="J1149" t="str">
            <v>POSITIF</v>
          </cell>
        </row>
        <row r="1150">
          <cell r="F1150" t="str">
            <v>NYLON</v>
          </cell>
          <cell r="G1150" t="str">
            <v>LITTORAL</v>
          </cell>
          <cell r="H1150">
            <v>2</v>
          </cell>
          <cell r="I1150" t="str">
            <v>F</v>
          </cell>
          <cell r="J1150" t="str">
            <v>POSITIF</v>
          </cell>
        </row>
        <row r="1151">
          <cell r="F1151" t="str">
            <v>DEIDO</v>
          </cell>
          <cell r="G1151" t="str">
            <v>LITTORAL</v>
          </cell>
          <cell r="I1151" t="str">
            <v>F</v>
          </cell>
          <cell r="J1151" t="str">
            <v>POSITIF</v>
          </cell>
        </row>
        <row r="1152">
          <cell r="F1152" t="str">
            <v>NYLON</v>
          </cell>
          <cell r="G1152" t="str">
            <v>Littoral</v>
          </cell>
          <cell r="H1152">
            <v>34</v>
          </cell>
          <cell r="I1152" t="str">
            <v>F</v>
          </cell>
          <cell r="J1152" t="str">
            <v>POSITIF</v>
          </cell>
        </row>
        <row r="1153">
          <cell r="F1153" t="str">
            <v>CITE_DES_PALMIERS</v>
          </cell>
          <cell r="G1153" t="str">
            <v>Littoral</v>
          </cell>
          <cell r="H1153">
            <v>26</v>
          </cell>
          <cell r="I1153" t="str">
            <v>F</v>
          </cell>
          <cell r="J1153" t="str">
            <v>POSITIF</v>
          </cell>
        </row>
        <row r="1154">
          <cell r="F1154" t="str">
            <v>NEW_BELL</v>
          </cell>
          <cell r="G1154" t="str">
            <v>LITTORAL</v>
          </cell>
          <cell r="H1154">
            <v>20</v>
          </cell>
          <cell r="I1154" t="str">
            <v>M</v>
          </cell>
          <cell r="J1154" t="str">
            <v>POSITIF</v>
          </cell>
        </row>
        <row r="1155">
          <cell r="F1155" t="str">
            <v>NEW_BELL</v>
          </cell>
          <cell r="G1155" t="str">
            <v>LITTORAL</v>
          </cell>
          <cell r="H1155">
            <v>45</v>
          </cell>
          <cell r="I1155" t="str">
            <v>M</v>
          </cell>
          <cell r="J1155" t="str">
            <v>POSITIF</v>
          </cell>
        </row>
        <row r="1156">
          <cell r="F1156" t="str">
            <v>NEW_BELL</v>
          </cell>
          <cell r="G1156" t="str">
            <v>Littoral</v>
          </cell>
          <cell r="H1156">
            <v>20</v>
          </cell>
          <cell r="I1156" t="str">
            <v>M</v>
          </cell>
          <cell r="J1156" t="str">
            <v>POSITIF</v>
          </cell>
        </row>
        <row r="1157">
          <cell r="F1157" t="str">
            <v>DEIDO</v>
          </cell>
          <cell r="G1157" t="str">
            <v>Littoral</v>
          </cell>
          <cell r="H1157">
            <v>48</v>
          </cell>
          <cell r="I1157" t="str">
            <v>F</v>
          </cell>
          <cell r="J1157" t="str">
            <v>POSITIF</v>
          </cell>
        </row>
        <row r="1158">
          <cell r="F1158" t="str">
            <v>DEIDO</v>
          </cell>
          <cell r="G1158" t="str">
            <v>Littoral</v>
          </cell>
          <cell r="H1158">
            <v>50</v>
          </cell>
          <cell r="I1158" t="str">
            <v>M</v>
          </cell>
          <cell r="J1158" t="str">
            <v>POSITIF</v>
          </cell>
        </row>
        <row r="1159">
          <cell r="F1159" t="str">
            <v>BOKO</v>
          </cell>
          <cell r="G1159" t="str">
            <v>Littoral</v>
          </cell>
          <cell r="H1159">
            <v>32</v>
          </cell>
          <cell r="I1159" t="str">
            <v>M</v>
          </cell>
          <cell r="J1159" t="str">
            <v>POSITIF</v>
          </cell>
        </row>
        <row r="1160">
          <cell r="F1160" t="str">
            <v>DEIDO</v>
          </cell>
          <cell r="G1160" t="str">
            <v>Littoral</v>
          </cell>
          <cell r="H1160">
            <v>10</v>
          </cell>
          <cell r="I1160" t="str">
            <v>M</v>
          </cell>
          <cell r="J1160" t="str">
            <v>POSITIF</v>
          </cell>
        </row>
        <row r="1161">
          <cell r="F1161" t="str">
            <v>Doume</v>
          </cell>
          <cell r="G1161" t="str">
            <v>Est</v>
          </cell>
          <cell r="H1161">
            <v>22</v>
          </cell>
          <cell r="I1161" t="str">
            <v>F</v>
          </cell>
          <cell r="J1161" t="str">
            <v>POSITIF</v>
          </cell>
        </row>
        <row r="1162">
          <cell r="F1162" t="str">
            <v>Doume</v>
          </cell>
          <cell r="G1162" t="str">
            <v>Est</v>
          </cell>
          <cell r="H1162">
            <v>20</v>
          </cell>
          <cell r="I1162" t="str">
            <v>M</v>
          </cell>
          <cell r="J1162" t="str">
            <v>POSITIF</v>
          </cell>
        </row>
        <row r="1163">
          <cell r="F1163" t="str">
            <v>BUEA</v>
          </cell>
          <cell r="G1163" t="str">
            <v>Sud-Ouest</v>
          </cell>
          <cell r="H1163">
            <v>28</v>
          </cell>
          <cell r="I1163" t="str">
            <v>F</v>
          </cell>
          <cell r="J1163" t="str">
            <v>POSITIF</v>
          </cell>
        </row>
        <row r="1164">
          <cell r="F1164" t="str">
            <v>LOGBABA</v>
          </cell>
          <cell r="G1164" t="str">
            <v>Littoral</v>
          </cell>
          <cell r="H1164">
            <v>33</v>
          </cell>
          <cell r="I1164" t="str">
            <v>M</v>
          </cell>
          <cell r="J1164" t="str">
            <v>POSITIF</v>
          </cell>
        </row>
        <row r="1165">
          <cell r="F1165" t="str">
            <v>NEW_BELL</v>
          </cell>
          <cell r="G1165" t="str">
            <v>LITTORAL</v>
          </cell>
          <cell r="H1165">
            <v>57</v>
          </cell>
          <cell r="I1165" t="str">
            <v>M</v>
          </cell>
          <cell r="J1165" t="str">
            <v>POSITIF</v>
          </cell>
        </row>
        <row r="1166">
          <cell r="F1166" t="str">
            <v>NEW_BELL</v>
          </cell>
          <cell r="G1166" t="str">
            <v>Littoral</v>
          </cell>
          <cell r="H1166">
            <v>36</v>
          </cell>
          <cell r="I1166" t="str">
            <v>F</v>
          </cell>
          <cell r="J1166" t="str">
            <v>POSITIF</v>
          </cell>
        </row>
        <row r="1167">
          <cell r="F1167" t="str">
            <v>NEW_BELL</v>
          </cell>
          <cell r="G1167" t="str">
            <v>Littoral</v>
          </cell>
          <cell r="H1167">
            <v>19</v>
          </cell>
          <cell r="I1167" t="str">
            <v>F</v>
          </cell>
          <cell r="J1167" t="str">
            <v>POSITIF</v>
          </cell>
        </row>
        <row r="1168">
          <cell r="F1168" t="str">
            <v xml:space="preserve">Tiko </v>
          </cell>
          <cell r="G1168" t="str">
            <v>Sud-Ouest</v>
          </cell>
          <cell r="H1168">
            <v>15</v>
          </cell>
          <cell r="I1168" t="str">
            <v>M</v>
          </cell>
          <cell r="J1168" t="str">
            <v>POSITIF</v>
          </cell>
        </row>
        <row r="1169">
          <cell r="F1169" t="str">
            <v>DEIDO</v>
          </cell>
          <cell r="G1169" t="str">
            <v>Littoral</v>
          </cell>
          <cell r="H1169">
            <v>33</v>
          </cell>
          <cell r="I1169" t="str">
            <v>F</v>
          </cell>
          <cell r="J1169" t="str">
            <v>POSITIF</v>
          </cell>
        </row>
        <row r="1170">
          <cell r="F1170" t="str">
            <v>JAPOMA</v>
          </cell>
          <cell r="G1170" t="str">
            <v>Littoral</v>
          </cell>
          <cell r="H1170">
            <v>5</v>
          </cell>
          <cell r="I1170" t="str">
            <v>F</v>
          </cell>
          <cell r="J1170" t="str">
            <v>POSITIF</v>
          </cell>
        </row>
        <row r="1171">
          <cell r="F1171" t="str">
            <v>BOKO</v>
          </cell>
          <cell r="G1171" t="str">
            <v>Littoral</v>
          </cell>
          <cell r="H1171">
            <v>52</v>
          </cell>
          <cell r="I1171" t="str">
            <v>F</v>
          </cell>
          <cell r="J1171" t="str">
            <v>POSITIF</v>
          </cell>
        </row>
        <row r="1172">
          <cell r="F1172" t="str">
            <v>BOKO</v>
          </cell>
          <cell r="G1172" t="str">
            <v>Littoral</v>
          </cell>
          <cell r="H1172">
            <v>12</v>
          </cell>
          <cell r="I1172" t="str">
            <v>F</v>
          </cell>
          <cell r="J1172" t="str">
            <v>POSITIF</v>
          </cell>
        </row>
        <row r="1173">
          <cell r="F1173" t="str">
            <v>DEIDO</v>
          </cell>
          <cell r="G1173" t="str">
            <v>LITTORAL</v>
          </cell>
          <cell r="I1173" t="str">
            <v>F</v>
          </cell>
          <cell r="J1173" t="str">
            <v>POSITIF</v>
          </cell>
        </row>
        <row r="1174">
          <cell r="F1174" t="str">
            <v>NYLON</v>
          </cell>
          <cell r="G1174" t="str">
            <v>Littoral</v>
          </cell>
          <cell r="H1174">
            <v>17</v>
          </cell>
          <cell r="I1174" t="str">
            <v>M</v>
          </cell>
          <cell r="J1174" t="str">
            <v>POSITIF</v>
          </cell>
        </row>
        <row r="1175">
          <cell r="F1175" t="str">
            <v>NEW_BELL</v>
          </cell>
          <cell r="G1175" t="str">
            <v>Littoral</v>
          </cell>
          <cell r="H1175">
            <v>28</v>
          </cell>
          <cell r="I1175" t="str">
            <v>M</v>
          </cell>
          <cell r="J1175" t="str">
            <v>POSITIF</v>
          </cell>
        </row>
        <row r="1176">
          <cell r="F1176" t="str">
            <v>CITE_DES_PALMIERS</v>
          </cell>
          <cell r="G1176" t="str">
            <v>Littoral</v>
          </cell>
          <cell r="H1176">
            <v>20</v>
          </cell>
          <cell r="I1176" t="str">
            <v>M</v>
          </cell>
          <cell r="J1176" t="str">
            <v>POSITIF</v>
          </cell>
        </row>
        <row r="1177">
          <cell r="F1177" t="str">
            <v>NEW_BELL</v>
          </cell>
          <cell r="G1177" t="str">
            <v>Littoral</v>
          </cell>
          <cell r="H1177">
            <v>59</v>
          </cell>
          <cell r="I1177" t="str">
            <v>M</v>
          </cell>
          <cell r="J1177" t="str">
            <v>POSITIF</v>
          </cell>
        </row>
        <row r="1178">
          <cell r="F1178" t="str">
            <v>CITE_DES_PALMIERS</v>
          </cell>
          <cell r="G1178" t="str">
            <v>LITTORAL</v>
          </cell>
          <cell r="H1178">
            <v>17</v>
          </cell>
          <cell r="I1178" t="str">
            <v>F</v>
          </cell>
          <cell r="J1178" t="str">
            <v>POSITIF</v>
          </cell>
        </row>
        <row r="1179">
          <cell r="F1179" t="str">
            <v>NYLON</v>
          </cell>
          <cell r="G1179" t="str">
            <v>LITTORAL</v>
          </cell>
          <cell r="H1179">
            <v>19</v>
          </cell>
          <cell r="I1179" t="str">
            <v>M</v>
          </cell>
          <cell r="J1179" t="str">
            <v>POSITIF</v>
          </cell>
        </row>
        <row r="1180">
          <cell r="F1180" t="str">
            <v>CITE_DES_PALMIERS</v>
          </cell>
          <cell r="G1180" t="str">
            <v>Littoral</v>
          </cell>
          <cell r="H1180">
            <v>22</v>
          </cell>
          <cell r="I1180" t="str">
            <v>M</v>
          </cell>
          <cell r="J1180" t="str">
            <v>POSITIF</v>
          </cell>
        </row>
        <row r="1181">
          <cell r="F1181" t="str">
            <v>CITE_DES_PALMIERS</v>
          </cell>
          <cell r="G1181" t="str">
            <v>Littoral</v>
          </cell>
          <cell r="H1181">
            <v>34</v>
          </cell>
          <cell r="I1181" t="str">
            <v>M</v>
          </cell>
          <cell r="J1181" t="str">
            <v>POSITIF</v>
          </cell>
        </row>
        <row r="1182">
          <cell r="F1182" t="str">
            <v>NEW_BELL</v>
          </cell>
          <cell r="G1182" t="str">
            <v>Littoral</v>
          </cell>
          <cell r="H1182">
            <v>20</v>
          </cell>
          <cell r="I1182" t="str">
            <v>M</v>
          </cell>
          <cell r="J1182" t="str">
            <v>POSITIF</v>
          </cell>
        </row>
        <row r="1183">
          <cell r="F1183" t="str">
            <v>NYLON</v>
          </cell>
          <cell r="G1183" t="str">
            <v>LITTORAL</v>
          </cell>
          <cell r="H1183">
            <v>10</v>
          </cell>
          <cell r="I1183" t="str">
            <v>M</v>
          </cell>
          <cell r="J1183" t="str">
            <v>POSITIF</v>
          </cell>
        </row>
        <row r="1184">
          <cell r="F1184" t="str">
            <v>NYLON</v>
          </cell>
          <cell r="G1184" t="str">
            <v>Littoral</v>
          </cell>
          <cell r="H1184">
            <v>24</v>
          </cell>
          <cell r="I1184" t="str">
            <v>M</v>
          </cell>
          <cell r="J1184" t="str">
            <v>POSITIF</v>
          </cell>
        </row>
        <row r="1185">
          <cell r="F1185" t="str">
            <v>NEW_BELL</v>
          </cell>
          <cell r="G1185" t="str">
            <v>Littoral</v>
          </cell>
          <cell r="H1185">
            <v>32</v>
          </cell>
          <cell r="I1185" t="str">
            <v>M</v>
          </cell>
          <cell r="J1185" t="str">
            <v>POSITIF</v>
          </cell>
        </row>
        <row r="1186">
          <cell r="F1186" t="str">
            <v>NEW_BELL</v>
          </cell>
          <cell r="G1186" t="str">
            <v>Littoral</v>
          </cell>
          <cell r="H1186">
            <v>35</v>
          </cell>
          <cell r="I1186" t="str">
            <v>M</v>
          </cell>
          <cell r="J1186" t="str">
            <v>POSITIF</v>
          </cell>
        </row>
        <row r="1187">
          <cell r="F1187" t="str">
            <v>BANGUE</v>
          </cell>
          <cell r="G1187" t="str">
            <v>Littoral</v>
          </cell>
          <cell r="H1187">
            <v>79</v>
          </cell>
          <cell r="I1187" t="str">
            <v>F</v>
          </cell>
          <cell r="J1187" t="str">
            <v>POSITIF</v>
          </cell>
        </row>
        <row r="1188">
          <cell r="F1188" t="str">
            <v>LOGBABA</v>
          </cell>
          <cell r="G1188" t="str">
            <v>LITTORAL</v>
          </cell>
          <cell r="H1188">
            <v>36</v>
          </cell>
          <cell r="I1188" t="str">
            <v>F</v>
          </cell>
          <cell r="J1188" t="str">
            <v>POSITIF</v>
          </cell>
        </row>
        <row r="1189">
          <cell r="F1189" t="str">
            <v>DEIDO</v>
          </cell>
          <cell r="G1189" t="str">
            <v>LITTORAL</v>
          </cell>
          <cell r="H1189">
            <v>40</v>
          </cell>
          <cell r="I1189" t="str">
            <v>F</v>
          </cell>
          <cell r="J1189" t="str">
            <v>POSITIF</v>
          </cell>
        </row>
        <row r="1190">
          <cell r="F1190" t="str">
            <v>NYLON</v>
          </cell>
          <cell r="G1190" t="str">
            <v>Littoral</v>
          </cell>
          <cell r="H1190">
            <v>42</v>
          </cell>
          <cell r="I1190" t="str">
            <v>M</v>
          </cell>
          <cell r="J1190" t="str">
            <v>POSITIF</v>
          </cell>
        </row>
        <row r="1191">
          <cell r="F1191" t="str">
            <v>NEW_BELL</v>
          </cell>
          <cell r="G1191" t="str">
            <v>Littoral</v>
          </cell>
          <cell r="H1191">
            <v>8</v>
          </cell>
          <cell r="I1191" t="str">
            <v>M</v>
          </cell>
          <cell r="J1191" t="str">
            <v>POSITIF</v>
          </cell>
        </row>
        <row r="1192">
          <cell r="F1192" t="str">
            <v>BONASSAMA</v>
          </cell>
          <cell r="G1192" t="str">
            <v>Littoral</v>
          </cell>
          <cell r="H1192">
            <v>33</v>
          </cell>
          <cell r="I1192" t="str">
            <v>F</v>
          </cell>
          <cell r="J1192" t="str">
            <v>POSITIF</v>
          </cell>
        </row>
        <row r="1193">
          <cell r="F1193" t="str">
            <v>CITE_DES_PALMIERS</v>
          </cell>
          <cell r="G1193" t="str">
            <v>Littoral</v>
          </cell>
          <cell r="H1193">
            <v>27</v>
          </cell>
          <cell r="I1193" t="str">
            <v>M</v>
          </cell>
          <cell r="J1193" t="str">
            <v>POSITIF</v>
          </cell>
        </row>
        <row r="1194">
          <cell r="F1194" t="str">
            <v>DIBOMBARI</v>
          </cell>
          <cell r="G1194" t="str">
            <v>Littoral</v>
          </cell>
          <cell r="H1194">
            <v>69</v>
          </cell>
          <cell r="I1194" t="str">
            <v>F</v>
          </cell>
          <cell r="J1194" t="str">
            <v>POSITIF</v>
          </cell>
        </row>
        <row r="1195">
          <cell r="F1195" t="str">
            <v>NYLON</v>
          </cell>
          <cell r="G1195" t="str">
            <v>LITTORAL</v>
          </cell>
          <cell r="H1195">
            <v>40</v>
          </cell>
          <cell r="I1195" t="str">
            <v>M</v>
          </cell>
          <cell r="J1195" t="str">
            <v>POSITIF</v>
          </cell>
        </row>
        <row r="1196">
          <cell r="F1196" t="str">
            <v>NEW_BELL</v>
          </cell>
          <cell r="G1196" t="str">
            <v>lITTORAL</v>
          </cell>
          <cell r="H1196">
            <v>52</v>
          </cell>
          <cell r="I1196" t="str">
            <v>M</v>
          </cell>
          <cell r="J1196" t="str">
            <v>POSITIF</v>
          </cell>
        </row>
        <row r="1197">
          <cell r="F1197" t="str">
            <v>NEW_BELL</v>
          </cell>
          <cell r="G1197" t="str">
            <v>Littoral</v>
          </cell>
          <cell r="H1197">
            <v>9</v>
          </cell>
          <cell r="I1197" t="str">
            <v>M</v>
          </cell>
          <cell r="J1197" t="str">
            <v>POSITIF</v>
          </cell>
        </row>
        <row r="1198">
          <cell r="F1198" t="str">
            <v>BANGUE</v>
          </cell>
          <cell r="G1198" t="str">
            <v>Littoral</v>
          </cell>
          <cell r="H1198">
            <v>46</v>
          </cell>
          <cell r="I1198" t="str">
            <v>F</v>
          </cell>
          <cell r="J1198" t="str">
            <v>POSITIF</v>
          </cell>
        </row>
        <row r="1199">
          <cell r="F1199" t="str">
            <v>DIBOMBARI</v>
          </cell>
          <cell r="G1199" t="str">
            <v>Littoral</v>
          </cell>
          <cell r="H1199">
            <v>15</v>
          </cell>
          <cell r="I1199" t="str">
            <v>F</v>
          </cell>
          <cell r="J1199" t="str">
            <v>POSITIF</v>
          </cell>
        </row>
        <row r="1200">
          <cell r="F1200" t="str">
            <v>NJOMBE_PENJA</v>
          </cell>
          <cell r="G1200" t="str">
            <v>Littoral</v>
          </cell>
          <cell r="H1200">
            <v>19</v>
          </cell>
          <cell r="I1200" t="str">
            <v>F</v>
          </cell>
          <cell r="J1200" t="str">
            <v>POSITIF</v>
          </cell>
        </row>
        <row r="1201">
          <cell r="F1201" t="str">
            <v>NJOMBE_PENJA</v>
          </cell>
          <cell r="G1201" t="str">
            <v>Littoral</v>
          </cell>
          <cell r="H1201">
            <v>19</v>
          </cell>
          <cell r="I1201" t="str">
            <v>F</v>
          </cell>
          <cell r="J1201" t="str">
            <v>POSITIF</v>
          </cell>
        </row>
        <row r="1202">
          <cell r="F1202" t="str">
            <v>DIBOMBARI</v>
          </cell>
          <cell r="G1202" t="str">
            <v>LITTORAL</v>
          </cell>
          <cell r="H1202">
            <v>15</v>
          </cell>
          <cell r="I1202" t="str">
            <v>F</v>
          </cell>
          <cell r="J1202" t="str">
            <v>POSITIF</v>
          </cell>
        </row>
        <row r="1203">
          <cell r="F1203" t="str">
            <v>NYLON</v>
          </cell>
          <cell r="G1203" t="str">
            <v>LITTORAL</v>
          </cell>
          <cell r="I1203" t="str">
            <v>F</v>
          </cell>
          <cell r="J1203" t="str">
            <v>POSITIF</v>
          </cell>
        </row>
        <row r="1204">
          <cell r="F1204" t="str">
            <v>DEIDO</v>
          </cell>
          <cell r="G1204" t="str">
            <v>Littoral</v>
          </cell>
          <cell r="H1204">
            <v>43</v>
          </cell>
          <cell r="I1204" t="str">
            <v>F</v>
          </cell>
          <cell r="J1204" t="str">
            <v>POSITIF</v>
          </cell>
        </row>
        <row r="1205">
          <cell r="F1205" t="str">
            <v>LOGBABA</v>
          </cell>
          <cell r="G1205" t="str">
            <v>Littoral</v>
          </cell>
          <cell r="H1205">
            <v>49</v>
          </cell>
          <cell r="I1205" t="str">
            <v>F</v>
          </cell>
          <cell r="J1205" t="str">
            <v>POSITIF</v>
          </cell>
        </row>
        <row r="1206">
          <cell r="F1206" t="str">
            <v>DEIDO</v>
          </cell>
          <cell r="G1206" t="str">
            <v>LITTORAL</v>
          </cell>
          <cell r="H1206">
            <v>33</v>
          </cell>
          <cell r="I1206" t="str">
            <v>M</v>
          </cell>
          <cell r="J1206" t="str">
            <v>POSITIF</v>
          </cell>
        </row>
        <row r="1207">
          <cell r="F1207" t="str">
            <v>DEIDO</v>
          </cell>
          <cell r="G1207" t="str">
            <v>LITTORAL</v>
          </cell>
          <cell r="H1207">
            <v>43</v>
          </cell>
          <cell r="I1207" t="str">
            <v>F</v>
          </cell>
          <cell r="J1207" t="str">
            <v>POSITIF</v>
          </cell>
        </row>
        <row r="1208">
          <cell r="F1208" t="str">
            <v>NYLON</v>
          </cell>
          <cell r="G1208" t="str">
            <v>Littoral</v>
          </cell>
          <cell r="H1208">
            <v>27</v>
          </cell>
          <cell r="I1208" t="str">
            <v>M</v>
          </cell>
          <cell r="J1208" t="str">
            <v>POSITIF</v>
          </cell>
        </row>
        <row r="1209">
          <cell r="F1209" t="str">
            <v>CITE_DES_PALMIERS</v>
          </cell>
          <cell r="G1209" t="str">
            <v>Littoral</v>
          </cell>
          <cell r="H1209">
            <v>22</v>
          </cell>
          <cell r="I1209" t="str">
            <v>M</v>
          </cell>
          <cell r="J1209" t="str">
            <v>POSITIF</v>
          </cell>
        </row>
        <row r="1210">
          <cell r="F1210" t="str">
            <v>CITE_DES_PALMIERS</v>
          </cell>
          <cell r="G1210" t="str">
            <v>Littoral</v>
          </cell>
          <cell r="H1210">
            <v>22</v>
          </cell>
          <cell r="I1210" t="str">
            <v>M</v>
          </cell>
          <cell r="J1210" t="str">
            <v>POSITIF</v>
          </cell>
        </row>
        <row r="1211">
          <cell r="F1211" t="str">
            <v>JAPOMA</v>
          </cell>
          <cell r="G1211" t="str">
            <v>Littoral</v>
          </cell>
          <cell r="H1211">
            <v>35</v>
          </cell>
          <cell r="I1211" t="str">
            <v>M</v>
          </cell>
          <cell r="J1211" t="str">
            <v>POSITIF</v>
          </cell>
        </row>
        <row r="1212">
          <cell r="F1212" t="str">
            <v>CITE_DES_PALMIERS</v>
          </cell>
          <cell r="G1212" t="str">
            <v>Littoral</v>
          </cell>
          <cell r="H1212">
            <v>22</v>
          </cell>
          <cell r="I1212" t="str">
            <v>M</v>
          </cell>
          <cell r="J1212" t="str">
            <v>POSITIF</v>
          </cell>
        </row>
        <row r="1213">
          <cell r="F1213" t="str">
            <v>DEIDO</v>
          </cell>
          <cell r="G1213" t="str">
            <v>Littoral</v>
          </cell>
          <cell r="H1213">
            <v>55</v>
          </cell>
          <cell r="I1213" t="str">
            <v>F</v>
          </cell>
          <cell r="J1213" t="str">
            <v>POSITIF</v>
          </cell>
        </row>
        <row r="1214">
          <cell r="F1214" t="str">
            <v>NEW_BELL</v>
          </cell>
          <cell r="G1214" t="str">
            <v>LITTORAL</v>
          </cell>
          <cell r="H1214">
            <v>22</v>
          </cell>
          <cell r="I1214" t="str">
            <v>F</v>
          </cell>
          <cell r="J1214" t="str">
            <v>POSITIF</v>
          </cell>
        </row>
        <row r="1215">
          <cell r="F1215" t="str">
            <v>KOUOPTAMO</v>
          </cell>
          <cell r="G1215" t="str">
            <v>Ouest</v>
          </cell>
          <cell r="H1215">
            <v>16</v>
          </cell>
          <cell r="I1215" t="str">
            <v>F</v>
          </cell>
          <cell r="J1215" t="str">
            <v>POSITIF</v>
          </cell>
        </row>
        <row r="1216">
          <cell r="F1216" t="str">
            <v>NYLON</v>
          </cell>
          <cell r="G1216" t="str">
            <v>Littoral</v>
          </cell>
          <cell r="H1216">
            <v>29</v>
          </cell>
          <cell r="I1216" t="str">
            <v>M</v>
          </cell>
          <cell r="J1216" t="str">
            <v>POSITIF</v>
          </cell>
        </row>
        <row r="1217">
          <cell r="F1217" t="str">
            <v>DEIDO</v>
          </cell>
          <cell r="G1217" t="str">
            <v>Littoral</v>
          </cell>
          <cell r="H1217">
            <v>40</v>
          </cell>
          <cell r="I1217" t="str">
            <v>M</v>
          </cell>
          <cell r="J1217" t="str">
            <v>POSITIF</v>
          </cell>
        </row>
        <row r="1218">
          <cell r="F1218" t="str">
            <v>NEW_BELL</v>
          </cell>
          <cell r="G1218" t="str">
            <v>Littoral</v>
          </cell>
          <cell r="H1218">
            <v>67</v>
          </cell>
          <cell r="I1218" t="str">
            <v>M</v>
          </cell>
          <cell r="J1218" t="str">
            <v>POSITIF</v>
          </cell>
        </row>
        <row r="1219">
          <cell r="F1219" t="str">
            <v>DEIDO</v>
          </cell>
          <cell r="G1219" t="str">
            <v>LITTORAL</v>
          </cell>
          <cell r="I1219" t="str">
            <v>F</v>
          </cell>
          <cell r="J1219" t="str">
            <v>POSITIF</v>
          </cell>
        </row>
        <row r="1220">
          <cell r="F1220" t="str">
            <v>NEW_BELL</v>
          </cell>
          <cell r="G1220" t="str">
            <v>Littoral</v>
          </cell>
          <cell r="H1220">
            <v>33</v>
          </cell>
          <cell r="I1220" t="str">
            <v>M</v>
          </cell>
          <cell r="J1220" t="str">
            <v>POSITIF</v>
          </cell>
        </row>
        <row r="1221">
          <cell r="F1221" t="str">
            <v>BOKO</v>
          </cell>
          <cell r="G1221" t="str">
            <v>Littoral</v>
          </cell>
          <cell r="H1221">
            <v>39</v>
          </cell>
          <cell r="I1221" t="str">
            <v>M</v>
          </cell>
          <cell r="J1221" t="str">
            <v>POSITIF</v>
          </cell>
        </row>
        <row r="1222">
          <cell r="F1222" t="str">
            <v>DEIDO</v>
          </cell>
          <cell r="G1222" t="str">
            <v>Littoral</v>
          </cell>
          <cell r="H1222">
            <v>37</v>
          </cell>
          <cell r="I1222" t="str">
            <v>M</v>
          </cell>
          <cell r="J1222" t="str">
            <v>POSITIF</v>
          </cell>
        </row>
        <row r="1223">
          <cell r="F1223" t="str">
            <v>NYLON</v>
          </cell>
          <cell r="G1223" t="str">
            <v>Littoral</v>
          </cell>
          <cell r="H1223">
            <v>60</v>
          </cell>
          <cell r="I1223" t="str">
            <v>F</v>
          </cell>
          <cell r="J1223" t="str">
            <v>POSITIF</v>
          </cell>
        </row>
        <row r="1224">
          <cell r="F1224" t="str">
            <v>NJOMBE_PENJA</v>
          </cell>
          <cell r="G1224" t="str">
            <v>Littoral</v>
          </cell>
          <cell r="H1224">
            <v>72</v>
          </cell>
          <cell r="I1224" t="str">
            <v>M</v>
          </cell>
          <cell r="J1224" t="str">
            <v>POSITIF</v>
          </cell>
        </row>
        <row r="1225">
          <cell r="F1225" t="str">
            <v>BANGUE</v>
          </cell>
          <cell r="G1225" t="str">
            <v>Littoral</v>
          </cell>
          <cell r="H1225">
            <v>48</v>
          </cell>
          <cell r="I1225" t="str">
            <v>M</v>
          </cell>
          <cell r="J1225" t="str">
            <v>POSITIF</v>
          </cell>
        </row>
        <row r="1226">
          <cell r="F1226" t="str">
            <v>NYLON</v>
          </cell>
          <cell r="G1226" t="str">
            <v>Littoral</v>
          </cell>
          <cell r="H1226">
            <v>1</v>
          </cell>
          <cell r="I1226" t="str">
            <v>F</v>
          </cell>
          <cell r="J1226" t="str">
            <v>POSITIF</v>
          </cell>
        </row>
        <row r="1227">
          <cell r="F1227" t="str">
            <v>LOGBABA</v>
          </cell>
          <cell r="G1227" t="str">
            <v>Littoral</v>
          </cell>
          <cell r="H1227">
            <v>26</v>
          </cell>
          <cell r="I1227" t="str">
            <v>F</v>
          </cell>
          <cell r="J1227" t="str">
            <v>POSITIF</v>
          </cell>
        </row>
        <row r="1228">
          <cell r="F1228" t="str">
            <v>BONASSAMA</v>
          </cell>
          <cell r="G1228" t="str">
            <v>Littoral</v>
          </cell>
          <cell r="H1228">
            <v>52</v>
          </cell>
          <cell r="I1228" t="str">
            <v>M</v>
          </cell>
          <cell r="J1228" t="str">
            <v>POSITIF</v>
          </cell>
        </row>
        <row r="1229">
          <cell r="F1229" t="str">
            <v>NYLON</v>
          </cell>
          <cell r="G1229" t="str">
            <v>LITTORAL</v>
          </cell>
          <cell r="H1229">
            <v>53</v>
          </cell>
          <cell r="I1229" t="str">
            <v>M</v>
          </cell>
          <cell r="J1229" t="str">
            <v>POSITIF</v>
          </cell>
        </row>
        <row r="1230">
          <cell r="F1230" t="str">
            <v>BONASSAMA</v>
          </cell>
          <cell r="G1230" t="str">
            <v>Littoral</v>
          </cell>
          <cell r="H1230">
            <v>52</v>
          </cell>
          <cell r="I1230" t="str">
            <v>F</v>
          </cell>
          <cell r="J1230" t="str">
            <v>POSITIF</v>
          </cell>
        </row>
        <row r="1231">
          <cell r="F1231" t="str">
            <v>DEIDO</v>
          </cell>
          <cell r="G1231" t="str">
            <v>LITTORAL</v>
          </cell>
          <cell r="H1231">
            <v>52</v>
          </cell>
          <cell r="I1231" t="str">
            <v>F</v>
          </cell>
          <cell r="J1231" t="str">
            <v>POSITIF</v>
          </cell>
        </row>
        <row r="1232">
          <cell r="F1232" t="str">
            <v>BANGUE</v>
          </cell>
          <cell r="G1232" t="str">
            <v>LITTORAL</v>
          </cell>
          <cell r="H1232">
            <v>17</v>
          </cell>
          <cell r="I1232" t="str">
            <v>M</v>
          </cell>
          <cell r="J1232" t="str">
            <v>POSITIF</v>
          </cell>
        </row>
        <row r="1233">
          <cell r="F1233" t="str">
            <v>NEW_BELL</v>
          </cell>
          <cell r="G1233" t="str">
            <v>LITTORAL</v>
          </cell>
          <cell r="H1233">
            <v>36</v>
          </cell>
          <cell r="I1233" t="str">
            <v>F</v>
          </cell>
          <cell r="J1233" t="str">
            <v>POSITIF</v>
          </cell>
        </row>
        <row r="1234">
          <cell r="F1234" t="str">
            <v>DEIDO</v>
          </cell>
          <cell r="G1234" t="str">
            <v>Littoral</v>
          </cell>
          <cell r="H1234">
            <v>29</v>
          </cell>
          <cell r="I1234" t="str">
            <v>F</v>
          </cell>
          <cell r="J1234" t="str">
            <v>POSITIF</v>
          </cell>
        </row>
        <row r="1235">
          <cell r="F1235" t="str">
            <v>LIMBE</v>
          </cell>
          <cell r="G1235" t="str">
            <v>Sud-Ouest</v>
          </cell>
          <cell r="H1235">
            <v>65</v>
          </cell>
          <cell r="I1235" t="str">
            <v>M</v>
          </cell>
          <cell r="J1235" t="str">
            <v>POSITIF</v>
          </cell>
        </row>
        <row r="1236">
          <cell r="F1236" t="str">
            <v>LIMBE</v>
          </cell>
          <cell r="G1236" t="str">
            <v>Sud-Ouest</v>
          </cell>
          <cell r="H1236">
            <v>65</v>
          </cell>
          <cell r="I1236" t="str">
            <v>M</v>
          </cell>
          <cell r="J1236" t="str">
            <v>POSITIF</v>
          </cell>
        </row>
        <row r="1237">
          <cell r="F1237" t="str">
            <v>DEIDO</v>
          </cell>
          <cell r="G1237" t="str">
            <v>LITTORAL</v>
          </cell>
          <cell r="H1237">
            <v>22</v>
          </cell>
          <cell r="I1237" t="str">
            <v>M</v>
          </cell>
          <cell r="J1237" t="str">
            <v>POSITIF</v>
          </cell>
        </row>
        <row r="1238">
          <cell r="F1238" t="str">
            <v>NEW_BELL</v>
          </cell>
          <cell r="G1238" t="str">
            <v>Littoral</v>
          </cell>
          <cell r="H1238">
            <v>30</v>
          </cell>
          <cell r="I1238" t="str">
            <v>M</v>
          </cell>
          <cell r="J1238" t="str">
            <v>POSITIF</v>
          </cell>
        </row>
        <row r="1239">
          <cell r="F1239" t="str">
            <v>LIMBE</v>
          </cell>
          <cell r="G1239" t="str">
            <v>Sud-Ouest</v>
          </cell>
          <cell r="H1239">
            <v>38</v>
          </cell>
          <cell r="I1239" t="str">
            <v>M</v>
          </cell>
          <cell r="J1239" t="str">
            <v>POSITIF</v>
          </cell>
        </row>
        <row r="1240">
          <cell r="F1240" t="str">
            <v>DEIDO</v>
          </cell>
          <cell r="G1240" t="str">
            <v>Littoral</v>
          </cell>
          <cell r="H1240">
            <v>14</v>
          </cell>
          <cell r="I1240" t="str">
            <v>M</v>
          </cell>
          <cell r="J1240" t="str">
            <v>POSITIF</v>
          </cell>
        </row>
        <row r="1241">
          <cell r="F1241" t="str">
            <v>BANGUE</v>
          </cell>
          <cell r="G1241" t="str">
            <v>LITTORAL</v>
          </cell>
          <cell r="H1241">
            <v>18</v>
          </cell>
          <cell r="I1241" t="str">
            <v>F</v>
          </cell>
          <cell r="J1241" t="str">
            <v>POSITIF</v>
          </cell>
        </row>
        <row r="1242">
          <cell r="F1242" t="str">
            <v>DEIDO</v>
          </cell>
          <cell r="G1242" t="str">
            <v>LITTORAL</v>
          </cell>
          <cell r="H1242">
            <v>64</v>
          </cell>
          <cell r="I1242" t="str">
            <v>M</v>
          </cell>
          <cell r="J1242" t="str">
            <v>POSITIF</v>
          </cell>
        </row>
        <row r="1243">
          <cell r="F1243" t="str">
            <v>CITE_DES_PALMIERS</v>
          </cell>
          <cell r="G1243" t="str">
            <v>Littoral</v>
          </cell>
          <cell r="H1243">
            <v>30</v>
          </cell>
          <cell r="I1243" t="str">
            <v>F</v>
          </cell>
          <cell r="J1243" t="str">
            <v>POSITIF</v>
          </cell>
        </row>
        <row r="1244">
          <cell r="F1244" t="str">
            <v>NYLON</v>
          </cell>
          <cell r="G1244" t="str">
            <v>Littoral</v>
          </cell>
          <cell r="H1244">
            <v>28</v>
          </cell>
          <cell r="I1244" t="str">
            <v>M</v>
          </cell>
          <cell r="J1244" t="str">
            <v>POSITIF</v>
          </cell>
        </row>
        <row r="1245">
          <cell r="F1245" t="str">
            <v>NYLON</v>
          </cell>
          <cell r="G1245" t="str">
            <v>Littoral</v>
          </cell>
          <cell r="H1245">
            <v>28</v>
          </cell>
          <cell r="I1245" t="str">
            <v>M</v>
          </cell>
          <cell r="J1245" t="str">
            <v>POSITIF</v>
          </cell>
        </row>
        <row r="1246">
          <cell r="F1246" t="str">
            <v>NYLON</v>
          </cell>
          <cell r="G1246" t="str">
            <v>LITTORAL</v>
          </cell>
          <cell r="H1246">
            <v>25</v>
          </cell>
          <cell r="I1246" t="str">
            <v>M</v>
          </cell>
          <cell r="J1246" t="str">
            <v>POSITIF</v>
          </cell>
        </row>
        <row r="1247">
          <cell r="F1247" t="str">
            <v>CITE_DES_PALMIERS</v>
          </cell>
          <cell r="G1247" t="str">
            <v>Littoral</v>
          </cell>
          <cell r="H1247">
            <v>40</v>
          </cell>
          <cell r="I1247" t="str">
            <v>M</v>
          </cell>
          <cell r="J1247" t="str">
            <v>POSITIF</v>
          </cell>
        </row>
        <row r="1248">
          <cell r="F1248" t="str">
            <v>DEIDO</v>
          </cell>
          <cell r="G1248" t="str">
            <v>Littoral</v>
          </cell>
          <cell r="H1248">
            <v>9</v>
          </cell>
          <cell r="I1248" t="str">
            <v>F</v>
          </cell>
          <cell r="J1248" t="str">
            <v>POSITIF</v>
          </cell>
        </row>
        <row r="1249">
          <cell r="F1249" t="str">
            <v>DEIDO</v>
          </cell>
          <cell r="G1249" t="str">
            <v>Littoral</v>
          </cell>
          <cell r="H1249">
            <v>9</v>
          </cell>
          <cell r="I1249" t="str">
            <v>F</v>
          </cell>
          <cell r="J1249" t="str">
            <v>POSITIF</v>
          </cell>
        </row>
        <row r="1250">
          <cell r="F1250" t="str">
            <v>CITE_DES_PALMIERS</v>
          </cell>
          <cell r="G1250" t="str">
            <v>LITTORAL</v>
          </cell>
          <cell r="H1250">
            <v>73</v>
          </cell>
          <cell r="I1250" t="str">
            <v>M</v>
          </cell>
          <cell r="J1250" t="str">
            <v>POSITIF</v>
          </cell>
        </row>
        <row r="1251">
          <cell r="F1251" t="str">
            <v>NEW_BELL</v>
          </cell>
          <cell r="G1251" t="str">
            <v>LITTORAL</v>
          </cell>
          <cell r="H1251">
            <v>28</v>
          </cell>
          <cell r="I1251" t="str">
            <v>F</v>
          </cell>
          <cell r="J1251" t="str">
            <v>POSITIF</v>
          </cell>
        </row>
        <row r="1252">
          <cell r="F1252" t="str">
            <v>DEIDO</v>
          </cell>
          <cell r="G1252" t="str">
            <v>Littoral</v>
          </cell>
          <cell r="H1252">
            <v>47</v>
          </cell>
          <cell r="I1252" t="str">
            <v>F</v>
          </cell>
          <cell r="J1252" t="str">
            <v>POSITIF</v>
          </cell>
        </row>
        <row r="1253">
          <cell r="F1253" t="str">
            <v>DEIDO</v>
          </cell>
          <cell r="G1253" t="str">
            <v>LITTORAL</v>
          </cell>
          <cell r="H1253">
            <v>9</v>
          </cell>
          <cell r="I1253" t="str">
            <v>F</v>
          </cell>
          <cell r="J1253" t="str">
            <v>POSITIF</v>
          </cell>
        </row>
        <row r="1254">
          <cell r="F1254" t="str">
            <v>NYLON</v>
          </cell>
          <cell r="G1254" t="str">
            <v>Littoral</v>
          </cell>
          <cell r="H1254">
            <v>3</v>
          </cell>
          <cell r="I1254" t="str">
            <v>M</v>
          </cell>
          <cell r="J1254" t="str">
            <v>POSITIF</v>
          </cell>
        </row>
        <row r="1255">
          <cell r="F1255" t="str">
            <v>NEW_BELL</v>
          </cell>
          <cell r="G1255" t="str">
            <v>LITTORAL</v>
          </cell>
          <cell r="H1255">
            <v>30</v>
          </cell>
          <cell r="I1255" t="str">
            <v>M</v>
          </cell>
          <cell r="J1255" t="str">
            <v>POSITIF</v>
          </cell>
        </row>
        <row r="1256">
          <cell r="F1256" t="str">
            <v>JAPOMA</v>
          </cell>
          <cell r="G1256" t="str">
            <v>Littoral</v>
          </cell>
          <cell r="H1256">
            <v>46</v>
          </cell>
          <cell r="I1256" t="str">
            <v>M</v>
          </cell>
          <cell r="J1256" t="str">
            <v>POSITIF</v>
          </cell>
        </row>
        <row r="1257">
          <cell r="F1257" t="str">
            <v>LIMBE</v>
          </cell>
          <cell r="G1257" t="str">
            <v>Sud-Ouest</v>
          </cell>
          <cell r="H1257">
            <v>33</v>
          </cell>
          <cell r="I1257" t="str">
            <v>M</v>
          </cell>
          <cell r="J1257" t="str">
            <v>POSITIF</v>
          </cell>
        </row>
        <row r="1258">
          <cell r="F1258" t="str">
            <v>DEIDO</v>
          </cell>
          <cell r="G1258" t="str">
            <v>LITTORAL</v>
          </cell>
          <cell r="I1258" t="str">
            <v>F</v>
          </cell>
          <cell r="J1258" t="str">
            <v>POSITIF</v>
          </cell>
        </row>
        <row r="1259">
          <cell r="F1259" t="str">
            <v>LIMBE</v>
          </cell>
          <cell r="G1259" t="str">
            <v>Sud-Ouest</v>
          </cell>
          <cell r="H1259">
            <v>26</v>
          </cell>
          <cell r="I1259" t="str">
            <v>M</v>
          </cell>
          <cell r="J1259" t="str">
            <v>POSITIF</v>
          </cell>
        </row>
        <row r="1260">
          <cell r="F1260" t="str">
            <v>NKONGSAMBA</v>
          </cell>
          <cell r="G1260" t="str">
            <v>LITTORAL</v>
          </cell>
          <cell r="H1260">
            <v>27</v>
          </cell>
          <cell r="I1260" t="str">
            <v>M</v>
          </cell>
          <cell r="J1260" t="str">
            <v>POSITIF</v>
          </cell>
        </row>
        <row r="1261">
          <cell r="F1261" t="str">
            <v>BONASSAMA</v>
          </cell>
          <cell r="G1261" t="str">
            <v>LITTORAL</v>
          </cell>
          <cell r="H1261">
            <v>52</v>
          </cell>
          <cell r="I1261" t="str">
            <v>F</v>
          </cell>
          <cell r="J1261" t="str">
            <v>POSITIF</v>
          </cell>
        </row>
        <row r="1262">
          <cell r="F1262" t="str">
            <v>BOKO</v>
          </cell>
          <cell r="G1262" t="str">
            <v>Littoral</v>
          </cell>
          <cell r="H1262">
            <v>8</v>
          </cell>
          <cell r="I1262" t="str">
            <v>M</v>
          </cell>
          <cell r="J1262" t="str">
            <v>POSITIF</v>
          </cell>
        </row>
        <row r="1263">
          <cell r="F1263" t="str">
            <v>BOKO</v>
          </cell>
          <cell r="G1263" t="str">
            <v>Littoral</v>
          </cell>
          <cell r="H1263">
            <v>6</v>
          </cell>
          <cell r="I1263" t="str">
            <v>M</v>
          </cell>
          <cell r="J1263" t="str">
            <v>POSITIF</v>
          </cell>
        </row>
        <row r="1264">
          <cell r="F1264" t="str">
            <v>BOKO</v>
          </cell>
          <cell r="G1264" t="str">
            <v>Littoral</v>
          </cell>
          <cell r="H1264">
            <v>6</v>
          </cell>
          <cell r="I1264" t="str">
            <v>M</v>
          </cell>
          <cell r="J1264" t="str">
            <v>POSITIF</v>
          </cell>
        </row>
        <row r="1265">
          <cell r="F1265" t="str">
            <v>BANGUE</v>
          </cell>
          <cell r="G1265" t="str">
            <v>Littoral</v>
          </cell>
          <cell r="H1265">
            <v>46</v>
          </cell>
          <cell r="I1265" t="str">
            <v>F</v>
          </cell>
          <cell r="J1265" t="str">
            <v>POSITIF</v>
          </cell>
        </row>
        <row r="1266">
          <cell r="F1266" t="str">
            <v>NYLON</v>
          </cell>
          <cell r="G1266" t="str">
            <v>Littoral</v>
          </cell>
          <cell r="H1266">
            <v>31</v>
          </cell>
          <cell r="I1266" t="str">
            <v>F</v>
          </cell>
          <cell r="J1266" t="str">
            <v>POSITIF</v>
          </cell>
        </row>
        <row r="1267">
          <cell r="F1267" t="str">
            <v>BANGUE</v>
          </cell>
          <cell r="G1267" t="str">
            <v>LITTORAL</v>
          </cell>
          <cell r="H1267">
            <v>46</v>
          </cell>
          <cell r="I1267" t="str">
            <v>M</v>
          </cell>
          <cell r="J1267" t="str">
            <v>POSITIF</v>
          </cell>
        </row>
        <row r="1268">
          <cell r="F1268" t="str">
            <v>NYLON</v>
          </cell>
          <cell r="G1268" t="str">
            <v>Littoral</v>
          </cell>
          <cell r="H1268">
            <v>32</v>
          </cell>
          <cell r="I1268" t="str">
            <v>F</v>
          </cell>
          <cell r="J1268" t="str">
            <v>POSITIF</v>
          </cell>
        </row>
        <row r="1269">
          <cell r="F1269" t="str">
            <v>NEW_BELL</v>
          </cell>
          <cell r="G1269" t="str">
            <v>Littoral</v>
          </cell>
          <cell r="H1269">
            <v>72</v>
          </cell>
          <cell r="I1269" t="str">
            <v>M</v>
          </cell>
          <cell r="J1269" t="str">
            <v>POSITIF</v>
          </cell>
        </row>
        <row r="1270">
          <cell r="F1270" t="str">
            <v>CITE_DES_PALMIERS</v>
          </cell>
          <cell r="G1270" t="str">
            <v>Littoral</v>
          </cell>
          <cell r="H1270">
            <v>23</v>
          </cell>
          <cell r="I1270" t="str">
            <v>F</v>
          </cell>
          <cell r="J1270" t="str">
            <v>POSITIF</v>
          </cell>
        </row>
        <row r="1271">
          <cell r="F1271" t="str">
            <v>BANGUE</v>
          </cell>
          <cell r="G1271" t="str">
            <v>Littoral</v>
          </cell>
          <cell r="H1271">
            <v>29</v>
          </cell>
          <cell r="I1271" t="str">
            <v>M</v>
          </cell>
          <cell r="J1271" t="str">
            <v>POSITIF</v>
          </cell>
        </row>
        <row r="1272">
          <cell r="F1272" t="str">
            <v>DEIDO</v>
          </cell>
          <cell r="G1272" t="str">
            <v>LITTORAL</v>
          </cell>
          <cell r="H1272">
            <v>49</v>
          </cell>
          <cell r="I1272" t="str">
            <v>M</v>
          </cell>
          <cell r="J1272" t="str">
            <v>POSITIF</v>
          </cell>
        </row>
        <row r="1273">
          <cell r="F1273" t="str">
            <v>JAPOMA</v>
          </cell>
          <cell r="G1273" t="str">
            <v>Littoral</v>
          </cell>
          <cell r="H1273">
            <v>37</v>
          </cell>
          <cell r="I1273" t="str">
            <v>M</v>
          </cell>
          <cell r="J1273" t="str">
            <v>POSITIF</v>
          </cell>
        </row>
        <row r="1274">
          <cell r="F1274" t="str">
            <v>NYLON</v>
          </cell>
          <cell r="G1274" t="str">
            <v>Littoral</v>
          </cell>
          <cell r="H1274">
            <v>80</v>
          </cell>
          <cell r="I1274" t="str">
            <v>F</v>
          </cell>
          <cell r="J1274" t="str">
            <v>POSITIF</v>
          </cell>
        </row>
        <row r="1275">
          <cell r="F1275" t="str">
            <v>DEIDO</v>
          </cell>
          <cell r="G1275" t="str">
            <v>LITTORAL</v>
          </cell>
          <cell r="H1275">
            <v>41</v>
          </cell>
          <cell r="I1275" t="str">
            <v>M</v>
          </cell>
          <cell r="J1275" t="str">
            <v>POSITIF</v>
          </cell>
        </row>
        <row r="1276">
          <cell r="F1276" t="str">
            <v>BANGUE</v>
          </cell>
          <cell r="G1276" t="str">
            <v>Littoral</v>
          </cell>
          <cell r="H1276">
            <v>37</v>
          </cell>
          <cell r="I1276" t="str">
            <v>M</v>
          </cell>
          <cell r="J1276" t="str">
            <v>POSITIF</v>
          </cell>
        </row>
        <row r="1277">
          <cell r="F1277" t="str">
            <v>BANGUE</v>
          </cell>
          <cell r="G1277" t="str">
            <v>LITTORAL</v>
          </cell>
          <cell r="H1277">
            <v>29</v>
          </cell>
          <cell r="I1277" t="str">
            <v>M</v>
          </cell>
          <cell r="J1277" t="str">
            <v>POSITIF</v>
          </cell>
        </row>
        <row r="1278">
          <cell r="F1278" t="str">
            <v>DEIDO</v>
          </cell>
          <cell r="G1278" t="str">
            <v>Littoral</v>
          </cell>
          <cell r="H1278">
            <v>13</v>
          </cell>
          <cell r="I1278" t="str">
            <v>F</v>
          </cell>
          <cell r="J1278" t="str">
            <v>POSITIF</v>
          </cell>
        </row>
        <row r="1279">
          <cell r="F1279" t="str">
            <v>NYLON</v>
          </cell>
          <cell r="G1279" t="str">
            <v>Littoral</v>
          </cell>
          <cell r="H1279">
            <v>34</v>
          </cell>
          <cell r="I1279" t="str">
            <v>F</v>
          </cell>
          <cell r="J1279" t="str">
            <v>POSITIF</v>
          </cell>
        </row>
        <row r="1280">
          <cell r="F1280" t="str">
            <v>DEIDO</v>
          </cell>
          <cell r="G1280" t="str">
            <v>LITTORAL</v>
          </cell>
          <cell r="H1280">
            <v>38</v>
          </cell>
          <cell r="I1280" t="str">
            <v>M</v>
          </cell>
          <cell r="J1280" t="str">
            <v>POSITIF</v>
          </cell>
        </row>
        <row r="1281">
          <cell r="F1281" t="str">
            <v>BANGUE</v>
          </cell>
          <cell r="G1281" t="str">
            <v>Littoral</v>
          </cell>
          <cell r="H1281">
            <v>30</v>
          </cell>
          <cell r="I1281" t="str">
            <v>F</v>
          </cell>
          <cell r="J1281" t="str">
            <v>POSITIF</v>
          </cell>
        </row>
        <row r="1282">
          <cell r="F1282" t="str">
            <v>DEIDO</v>
          </cell>
          <cell r="G1282" t="str">
            <v>LITTORAL</v>
          </cell>
          <cell r="H1282">
            <v>26</v>
          </cell>
          <cell r="I1282" t="str">
            <v>M</v>
          </cell>
          <cell r="J1282" t="str">
            <v>POSITIF</v>
          </cell>
        </row>
        <row r="1283">
          <cell r="F1283" t="str">
            <v>LIMBE</v>
          </cell>
          <cell r="G1283" t="str">
            <v>Sud-Ouest</v>
          </cell>
          <cell r="H1283">
            <v>18</v>
          </cell>
          <cell r="I1283" t="str">
            <v>F</v>
          </cell>
          <cell r="J1283" t="str">
            <v>POSITIF</v>
          </cell>
        </row>
        <row r="1284">
          <cell r="F1284" t="str">
            <v>NJOMBE_PENJA</v>
          </cell>
          <cell r="G1284" t="str">
            <v>Littoral</v>
          </cell>
          <cell r="H1284">
            <v>31</v>
          </cell>
          <cell r="I1284" t="str">
            <v>F</v>
          </cell>
          <cell r="J1284" t="str">
            <v>POSITIF</v>
          </cell>
        </row>
        <row r="1285">
          <cell r="F1285" t="str">
            <v>DEIDO</v>
          </cell>
          <cell r="G1285" t="str">
            <v>LITTORAL</v>
          </cell>
          <cell r="H1285">
            <v>27</v>
          </cell>
          <cell r="I1285" t="str">
            <v>M</v>
          </cell>
          <cell r="J1285" t="str">
            <v>POSITIF</v>
          </cell>
        </row>
        <row r="1286">
          <cell r="F1286" t="str">
            <v>DEIDO</v>
          </cell>
          <cell r="G1286" t="str">
            <v>LITTORAL</v>
          </cell>
          <cell r="H1286">
            <v>25</v>
          </cell>
          <cell r="I1286" t="str">
            <v>M</v>
          </cell>
          <cell r="J1286" t="str">
            <v>POSITIF</v>
          </cell>
        </row>
        <row r="1287">
          <cell r="F1287" t="str">
            <v>BONASSAMA</v>
          </cell>
          <cell r="G1287" t="str">
            <v>LITTORAL</v>
          </cell>
          <cell r="H1287">
            <v>15</v>
          </cell>
          <cell r="I1287" t="str">
            <v>M</v>
          </cell>
          <cell r="J1287" t="str">
            <v>POSITIF</v>
          </cell>
        </row>
        <row r="1288">
          <cell r="F1288" t="str">
            <v>NYLON</v>
          </cell>
          <cell r="G1288" t="str">
            <v>LITTORAL</v>
          </cell>
          <cell r="H1288">
            <v>27</v>
          </cell>
          <cell r="I1288" t="str">
            <v>M</v>
          </cell>
          <cell r="J1288" t="str">
            <v>POSITIF</v>
          </cell>
        </row>
        <row r="1289">
          <cell r="F1289" t="str">
            <v>NEW_BELL</v>
          </cell>
          <cell r="G1289" t="str">
            <v>Littoral</v>
          </cell>
          <cell r="H1289">
            <v>68</v>
          </cell>
          <cell r="I1289" t="str">
            <v>F</v>
          </cell>
          <cell r="J1289" t="str">
            <v>POSITIF</v>
          </cell>
        </row>
        <row r="1290">
          <cell r="F1290" t="str">
            <v>BOKO</v>
          </cell>
          <cell r="G1290" t="str">
            <v>Littoral</v>
          </cell>
          <cell r="H1290">
            <v>14</v>
          </cell>
          <cell r="I1290" t="str">
            <v>F</v>
          </cell>
          <cell r="J1290" t="str">
            <v>POSITIF</v>
          </cell>
        </row>
        <row r="1291">
          <cell r="F1291" t="str">
            <v>NYLON</v>
          </cell>
          <cell r="G1291" t="str">
            <v>Littoral</v>
          </cell>
          <cell r="H1291">
            <v>21</v>
          </cell>
          <cell r="I1291" t="str">
            <v>F</v>
          </cell>
          <cell r="J1291" t="str">
            <v>POSITIF</v>
          </cell>
        </row>
        <row r="1292">
          <cell r="F1292" t="str">
            <v>NEW_BELL</v>
          </cell>
          <cell r="G1292" t="str">
            <v>LITTORAL</v>
          </cell>
          <cell r="H1292">
            <v>31</v>
          </cell>
          <cell r="I1292" t="str">
            <v>F</v>
          </cell>
          <cell r="J1292" t="str">
            <v>POSITIF</v>
          </cell>
        </row>
        <row r="1293">
          <cell r="F1293" t="str">
            <v>CITE_DES_PALMIERS</v>
          </cell>
          <cell r="G1293" t="str">
            <v>Littoral</v>
          </cell>
          <cell r="H1293">
            <v>6</v>
          </cell>
          <cell r="I1293" t="str">
            <v>F</v>
          </cell>
          <cell r="J1293" t="str">
            <v>POSITIF</v>
          </cell>
        </row>
        <row r="1294">
          <cell r="F1294" t="str">
            <v>DEIDO</v>
          </cell>
          <cell r="G1294" t="str">
            <v>LITTORAL</v>
          </cell>
          <cell r="I1294" t="str">
            <v>M</v>
          </cell>
          <cell r="J1294" t="str">
            <v>POSITIF</v>
          </cell>
        </row>
        <row r="1295">
          <cell r="F1295" t="str">
            <v>CITE_DES_PALMIERS</v>
          </cell>
          <cell r="G1295" t="str">
            <v>Littoral</v>
          </cell>
          <cell r="H1295">
            <v>22</v>
          </cell>
          <cell r="I1295" t="str">
            <v>F</v>
          </cell>
          <cell r="J1295" t="str">
            <v>POSITIF</v>
          </cell>
        </row>
        <row r="1296">
          <cell r="F1296" t="str">
            <v>DIBOMBARI</v>
          </cell>
          <cell r="G1296" t="str">
            <v>Littoral</v>
          </cell>
          <cell r="H1296">
            <v>9</v>
          </cell>
          <cell r="I1296" t="str">
            <v>F</v>
          </cell>
          <cell r="J1296" t="str">
            <v>POSITIF</v>
          </cell>
        </row>
        <row r="1297">
          <cell r="F1297" t="str">
            <v>DIBOMBARI</v>
          </cell>
          <cell r="G1297" t="str">
            <v>LITTORAL</v>
          </cell>
          <cell r="H1297">
            <v>9</v>
          </cell>
          <cell r="I1297" t="str">
            <v>F</v>
          </cell>
          <cell r="J1297" t="str">
            <v>POSITIF</v>
          </cell>
        </row>
        <row r="1298">
          <cell r="F1298" t="str">
            <v>JAPOMA</v>
          </cell>
          <cell r="G1298" t="str">
            <v>Littoral</v>
          </cell>
          <cell r="H1298">
            <v>24</v>
          </cell>
          <cell r="I1298" t="str">
            <v>M</v>
          </cell>
          <cell r="J1298" t="str">
            <v>POSITIF</v>
          </cell>
        </row>
        <row r="1299">
          <cell r="F1299" t="str">
            <v>DEIDO</v>
          </cell>
          <cell r="G1299" t="str">
            <v>Littoral</v>
          </cell>
          <cell r="H1299">
            <v>25</v>
          </cell>
          <cell r="I1299" t="str">
            <v>M</v>
          </cell>
          <cell r="J1299" t="str">
            <v>POSITIF</v>
          </cell>
        </row>
        <row r="1300">
          <cell r="F1300" t="str">
            <v>DEIDO</v>
          </cell>
          <cell r="G1300" t="str">
            <v>Littoral</v>
          </cell>
          <cell r="H1300">
            <v>29</v>
          </cell>
          <cell r="I1300" t="str">
            <v>M</v>
          </cell>
          <cell r="J1300" t="str">
            <v>POSITIF</v>
          </cell>
        </row>
        <row r="1301">
          <cell r="F1301" t="str">
            <v>BOKO</v>
          </cell>
          <cell r="G1301" t="str">
            <v>Littoral</v>
          </cell>
          <cell r="H1301">
            <v>50</v>
          </cell>
          <cell r="I1301" t="str">
            <v>F</v>
          </cell>
          <cell r="J1301" t="str">
            <v>POSITIF</v>
          </cell>
        </row>
        <row r="1302">
          <cell r="F1302" t="str">
            <v>NYLON</v>
          </cell>
          <cell r="G1302" t="str">
            <v>Littoral</v>
          </cell>
          <cell r="H1302">
            <v>35</v>
          </cell>
          <cell r="I1302" t="str">
            <v>M</v>
          </cell>
          <cell r="J1302" t="str">
            <v>POSITIF</v>
          </cell>
        </row>
        <row r="1303">
          <cell r="F1303" t="str">
            <v>BOKO</v>
          </cell>
          <cell r="G1303" t="str">
            <v>Littoral</v>
          </cell>
          <cell r="H1303">
            <v>9</v>
          </cell>
          <cell r="I1303" t="str">
            <v>F</v>
          </cell>
          <cell r="J1303" t="str">
            <v>POSITIF</v>
          </cell>
        </row>
        <row r="1304">
          <cell r="F1304" t="str">
            <v>NYLON</v>
          </cell>
          <cell r="G1304" t="str">
            <v>Littoral</v>
          </cell>
          <cell r="H1304">
            <v>9</v>
          </cell>
          <cell r="I1304" t="str">
            <v>F</v>
          </cell>
          <cell r="J1304" t="str">
            <v>POSITIF</v>
          </cell>
        </row>
        <row r="1305">
          <cell r="F1305" t="str">
            <v>BANGUE</v>
          </cell>
          <cell r="G1305" t="str">
            <v>Littoral</v>
          </cell>
          <cell r="H1305">
            <v>17</v>
          </cell>
          <cell r="I1305" t="str">
            <v>M</v>
          </cell>
          <cell r="J1305" t="str">
            <v>POSITIF</v>
          </cell>
        </row>
        <row r="1306">
          <cell r="F1306" t="str">
            <v>BANGUE</v>
          </cell>
          <cell r="G1306" t="str">
            <v>LITTORAL</v>
          </cell>
          <cell r="H1306">
            <v>29</v>
          </cell>
          <cell r="I1306" t="str">
            <v>M</v>
          </cell>
          <cell r="J1306" t="str">
            <v>POSITIF</v>
          </cell>
        </row>
        <row r="1307">
          <cell r="F1307" t="str">
            <v>DEIDO</v>
          </cell>
          <cell r="G1307" t="str">
            <v>Littoral</v>
          </cell>
          <cell r="H1307">
            <v>34</v>
          </cell>
          <cell r="I1307" t="str">
            <v>F</v>
          </cell>
          <cell r="J1307" t="str">
            <v>POSITIF</v>
          </cell>
        </row>
        <row r="1308">
          <cell r="F1308" t="str">
            <v>NEW_BELL</v>
          </cell>
          <cell r="G1308" t="str">
            <v>Littoral</v>
          </cell>
          <cell r="H1308">
            <v>56</v>
          </cell>
          <cell r="I1308" t="str">
            <v>M</v>
          </cell>
          <cell r="J1308" t="str">
            <v>POSITIF</v>
          </cell>
        </row>
        <row r="1309">
          <cell r="F1309" t="str">
            <v>NEW_BELL</v>
          </cell>
          <cell r="G1309" t="str">
            <v>Littoral</v>
          </cell>
          <cell r="H1309">
            <v>56</v>
          </cell>
          <cell r="I1309" t="str">
            <v>M</v>
          </cell>
          <cell r="J1309" t="str">
            <v>POSITIF</v>
          </cell>
        </row>
        <row r="1310">
          <cell r="F1310" t="str">
            <v>DEIDO</v>
          </cell>
          <cell r="G1310" t="str">
            <v>Littoral</v>
          </cell>
          <cell r="H1310">
            <v>3</v>
          </cell>
          <cell r="I1310" t="str">
            <v>F</v>
          </cell>
          <cell r="J1310" t="str">
            <v>POSITIF</v>
          </cell>
        </row>
        <row r="1311">
          <cell r="F1311" t="str">
            <v>DEIDO</v>
          </cell>
          <cell r="G1311" t="str">
            <v>LITTORAL</v>
          </cell>
          <cell r="H1311">
            <v>19</v>
          </cell>
          <cell r="I1311" t="str">
            <v>F</v>
          </cell>
          <cell r="J1311" t="str">
            <v>POSITIF</v>
          </cell>
        </row>
        <row r="1312">
          <cell r="F1312" t="str">
            <v>DEIDO</v>
          </cell>
          <cell r="G1312" t="str">
            <v>Littoral</v>
          </cell>
          <cell r="H1312">
            <v>42</v>
          </cell>
          <cell r="I1312" t="str">
            <v>F</v>
          </cell>
          <cell r="J1312" t="str">
            <v>POSITIF</v>
          </cell>
        </row>
        <row r="1313">
          <cell r="F1313" t="str">
            <v>BANGUE</v>
          </cell>
          <cell r="G1313" t="str">
            <v>Littoral</v>
          </cell>
          <cell r="H1313">
            <v>10</v>
          </cell>
          <cell r="I1313" t="str">
            <v>M</v>
          </cell>
          <cell r="J1313" t="str">
            <v>POSITIF</v>
          </cell>
        </row>
        <row r="1314">
          <cell r="F1314" t="str">
            <v>BONASSAMA</v>
          </cell>
          <cell r="G1314" t="str">
            <v>Littoral</v>
          </cell>
          <cell r="H1314">
            <v>48</v>
          </cell>
          <cell r="I1314" t="str">
            <v>M</v>
          </cell>
          <cell r="J1314" t="str">
            <v>POSITIF</v>
          </cell>
        </row>
        <row r="1315">
          <cell r="F1315" t="str">
            <v>DEIDO</v>
          </cell>
          <cell r="G1315" t="str">
            <v>Littoral</v>
          </cell>
          <cell r="H1315">
            <v>42</v>
          </cell>
          <cell r="I1315" t="str">
            <v>M</v>
          </cell>
          <cell r="J1315" t="str">
            <v>POSITIF</v>
          </cell>
        </row>
        <row r="1316">
          <cell r="F1316" t="str">
            <v>NYLON</v>
          </cell>
          <cell r="G1316" t="str">
            <v>Littoral</v>
          </cell>
          <cell r="H1316">
            <v>44</v>
          </cell>
          <cell r="I1316" t="str">
            <v>F</v>
          </cell>
          <cell r="J1316" t="str">
            <v>POSITIF</v>
          </cell>
        </row>
        <row r="1317">
          <cell r="F1317" t="str">
            <v>NYLON</v>
          </cell>
          <cell r="G1317" t="str">
            <v>LITTORAL</v>
          </cell>
          <cell r="H1317">
            <v>21</v>
          </cell>
          <cell r="I1317" t="str">
            <v>F</v>
          </cell>
          <cell r="J1317" t="str">
            <v>POSITIF</v>
          </cell>
        </row>
        <row r="1318">
          <cell r="F1318" t="str">
            <v>CITE_DES_PALMIERS</v>
          </cell>
          <cell r="G1318" t="str">
            <v>Littoral</v>
          </cell>
          <cell r="H1318">
            <v>34</v>
          </cell>
          <cell r="I1318" t="str">
            <v>M</v>
          </cell>
          <cell r="J1318" t="str">
            <v>POSITIF</v>
          </cell>
        </row>
        <row r="1319">
          <cell r="F1319" t="str">
            <v>DIBOMBARI</v>
          </cell>
          <cell r="G1319" t="str">
            <v>Littoral</v>
          </cell>
          <cell r="H1319">
            <v>46</v>
          </cell>
          <cell r="I1319" t="str">
            <v>M</v>
          </cell>
          <cell r="J1319" t="str">
            <v>POSITIF</v>
          </cell>
        </row>
        <row r="1320">
          <cell r="F1320" t="str">
            <v>NYLON</v>
          </cell>
          <cell r="G1320" t="str">
            <v>Littoral</v>
          </cell>
          <cell r="H1320">
            <v>21</v>
          </cell>
          <cell r="I1320" t="str">
            <v>F</v>
          </cell>
          <cell r="J1320" t="str">
            <v>POSITIF</v>
          </cell>
        </row>
        <row r="1321">
          <cell r="F1321" t="str">
            <v>DEIDO</v>
          </cell>
          <cell r="G1321" t="str">
            <v>LITTORAL</v>
          </cell>
          <cell r="H1321">
            <v>39</v>
          </cell>
          <cell r="I1321" t="str">
            <v>M</v>
          </cell>
          <cell r="J1321" t="str">
            <v>POSITIF</v>
          </cell>
        </row>
        <row r="1322">
          <cell r="F1322" t="str">
            <v>NKONGSAMBA</v>
          </cell>
          <cell r="G1322" t="str">
            <v>LITTORAL</v>
          </cell>
          <cell r="H1322">
            <v>26</v>
          </cell>
          <cell r="I1322" t="str">
            <v>M</v>
          </cell>
          <cell r="J1322" t="str">
            <v>POSITIF</v>
          </cell>
        </row>
        <row r="1323">
          <cell r="F1323" t="str">
            <v>LOGBABA</v>
          </cell>
          <cell r="G1323" t="str">
            <v>Littoral</v>
          </cell>
          <cell r="H1323">
            <v>25</v>
          </cell>
          <cell r="I1323" t="str">
            <v>F</v>
          </cell>
          <cell r="J1323" t="str">
            <v>POSITIF</v>
          </cell>
        </row>
        <row r="1324">
          <cell r="F1324" t="str">
            <v>NJOMBE_PENJA</v>
          </cell>
          <cell r="G1324" t="str">
            <v>LITTORAL</v>
          </cell>
          <cell r="H1324">
            <v>31</v>
          </cell>
          <cell r="I1324" t="str">
            <v>F</v>
          </cell>
          <cell r="J1324" t="str">
            <v>POSITIF</v>
          </cell>
        </row>
        <row r="1325">
          <cell r="F1325" t="str">
            <v>LOGBABA</v>
          </cell>
          <cell r="G1325" t="str">
            <v>LITTORAL</v>
          </cell>
          <cell r="H1325">
            <v>45</v>
          </cell>
          <cell r="I1325" t="str">
            <v>M</v>
          </cell>
          <cell r="J1325" t="str">
            <v>POSITIF</v>
          </cell>
        </row>
        <row r="1326">
          <cell r="F1326" t="str">
            <v>BANGUE</v>
          </cell>
          <cell r="G1326" t="str">
            <v>Littoral</v>
          </cell>
          <cell r="H1326">
            <v>22</v>
          </cell>
          <cell r="I1326" t="str">
            <v>F</v>
          </cell>
          <cell r="J1326" t="str">
            <v>POSITIF</v>
          </cell>
        </row>
        <row r="1327">
          <cell r="F1327" t="str">
            <v>BOKO</v>
          </cell>
          <cell r="G1327" t="str">
            <v>Littoral</v>
          </cell>
          <cell r="H1327">
            <v>26</v>
          </cell>
          <cell r="I1327" t="str">
            <v>M</v>
          </cell>
          <cell r="J1327" t="str">
            <v>POSITIF</v>
          </cell>
        </row>
        <row r="1328">
          <cell r="F1328" t="str">
            <v>NYLON</v>
          </cell>
          <cell r="G1328" t="str">
            <v>LITTORAL</v>
          </cell>
          <cell r="H1328">
            <v>65</v>
          </cell>
          <cell r="I1328" t="str">
            <v>F</v>
          </cell>
          <cell r="J1328" t="str">
            <v>POSITIF</v>
          </cell>
        </row>
        <row r="1329">
          <cell r="F1329" t="str">
            <v>NYLON</v>
          </cell>
          <cell r="G1329" t="str">
            <v>Littoral</v>
          </cell>
          <cell r="H1329">
            <v>27</v>
          </cell>
          <cell r="I1329" t="str">
            <v>M</v>
          </cell>
          <cell r="J1329" t="str">
            <v>POSITIF</v>
          </cell>
        </row>
        <row r="1330">
          <cell r="F1330" t="str">
            <v>BANGUE</v>
          </cell>
          <cell r="G1330" t="str">
            <v>LITTORAL</v>
          </cell>
          <cell r="H1330">
            <v>35</v>
          </cell>
          <cell r="I1330" t="str">
            <v>M</v>
          </cell>
          <cell r="J1330" t="str">
            <v>POSITIF</v>
          </cell>
        </row>
        <row r="1331">
          <cell r="F1331" t="str">
            <v>BANGUE</v>
          </cell>
          <cell r="G1331" t="str">
            <v>Littoral</v>
          </cell>
          <cell r="H1331">
            <v>40</v>
          </cell>
          <cell r="I1331" t="str">
            <v>F</v>
          </cell>
          <cell r="J1331" t="str">
            <v>POSITIF</v>
          </cell>
        </row>
        <row r="1332">
          <cell r="F1332" t="str">
            <v>BANGUE</v>
          </cell>
          <cell r="G1332" t="str">
            <v>Littoral</v>
          </cell>
          <cell r="H1332">
            <v>44</v>
          </cell>
          <cell r="I1332" t="str">
            <v>F</v>
          </cell>
          <cell r="J1332" t="str">
            <v>POSITIF</v>
          </cell>
        </row>
        <row r="1333">
          <cell r="F1333" t="str">
            <v>CITE_DES_PALMIERS</v>
          </cell>
          <cell r="G1333" t="str">
            <v>Littoral</v>
          </cell>
          <cell r="H1333">
            <v>4</v>
          </cell>
          <cell r="I1333" t="str">
            <v>F</v>
          </cell>
          <cell r="J1333" t="str">
            <v>POSITIF</v>
          </cell>
        </row>
        <row r="1334">
          <cell r="F1334" t="str">
            <v>BONASSAMA</v>
          </cell>
          <cell r="G1334" t="str">
            <v>Littoral</v>
          </cell>
          <cell r="H1334">
            <v>20</v>
          </cell>
          <cell r="I1334" t="str">
            <v>F</v>
          </cell>
          <cell r="J1334" t="str">
            <v>POSITIF</v>
          </cell>
        </row>
        <row r="1335">
          <cell r="F1335" t="str">
            <v>DEIDO</v>
          </cell>
          <cell r="G1335" t="str">
            <v>LITTORAL</v>
          </cell>
          <cell r="H1335">
            <v>47</v>
          </cell>
          <cell r="I1335" t="str">
            <v>M</v>
          </cell>
          <cell r="J1335" t="str">
            <v>POSITIF</v>
          </cell>
        </row>
        <row r="1336">
          <cell r="F1336" t="str">
            <v>JAPOMA</v>
          </cell>
          <cell r="G1336" t="str">
            <v>Littoral</v>
          </cell>
          <cell r="H1336">
            <v>12</v>
          </cell>
          <cell r="I1336" t="str">
            <v>F</v>
          </cell>
          <cell r="J1336" t="str">
            <v>POSITIF</v>
          </cell>
        </row>
        <row r="1337">
          <cell r="F1337" t="str">
            <v>BANGUE</v>
          </cell>
          <cell r="G1337" t="str">
            <v>Littoral</v>
          </cell>
          <cell r="H1337">
            <v>27</v>
          </cell>
          <cell r="I1337" t="str">
            <v>M</v>
          </cell>
          <cell r="J1337" t="str">
            <v>POSITIF</v>
          </cell>
        </row>
        <row r="1338">
          <cell r="F1338" t="str">
            <v>JAPOMA</v>
          </cell>
          <cell r="G1338" t="str">
            <v>Littoral</v>
          </cell>
          <cell r="H1338">
            <v>30</v>
          </cell>
          <cell r="I1338" t="str">
            <v>M</v>
          </cell>
          <cell r="J1338" t="str">
            <v>POSITIF</v>
          </cell>
        </row>
        <row r="1339">
          <cell r="F1339" t="str">
            <v>NEW_BELL</v>
          </cell>
          <cell r="G1339" t="str">
            <v>Littoral</v>
          </cell>
          <cell r="H1339">
            <v>27</v>
          </cell>
          <cell r="I1339" t="str">
            <v>M</v>
          </cell>
          <cell r="J1339" t="str">
            <v>POSITIF</v>
          </cell>
        </row>
        <row r="1340">
          <cell r="F1340" t="str">
            <v>NEW_BELL</v>
          </cell>
          <cell r="G1340" t="str">
            <v>Littoral</v>
          </cell>
          <cell r="H1340">
            <v>27</v>
          </cell>
          <cell r="I1340" t="str">
            <v>M</v>
          </cell>
          <cell r="J1340" t="str">
            <v>POSITIF</v>
          </cell>
        </row>
        <row r="1341">
          <cell r="F1341" t="str">
            <v>DEIDO</v>
          </cell>
          <cell r="G1341" t="str">
            <v>LITTORAL</v>
          </cell>
          <cell r="H1341">
            <v>44</v>
          </cell>
          <cell r="I1341" t="str">
            <v>M</v>
          </cell>
          <cell r="J1341" t="str">
            <v>POSITIF</v>
          </cell>
        </row>
        <row r="1342">
          <cell r="F1342" t="str">
            <v>NYLON</v>
          </cell>
          <cell r="G1342" t="str">
            <v>Littoral</v>
          </cell>
          <cell r="H1342">
            <v>25</v>
          </cell>
          <cell r="I1342" t="str">
            <v>F</v>
          </cell>
          <cell r="J1342" t="str">
            <v>POSITIF</v>
          </cell>
        </row>
        <row r="1343">
          <cell r="F1343" t="str">
            <v>CITE_DES_PALMIERS</v>
          </cell>
          <cell r="G1343" t="str">
            <v>LITTORAL</v>
          </cell>
          <cell r="H1343">
            <v>48</v>
          </cell>
          <cell r="I1343" t="str">
            <v>M</v>
          </cell>
          <cell r="J1343" t="str">
            <v>POSITIF</v>
          </cell>
        </row>
        <row r="1344">
          <cell r="F1344" t="str">
            <v>BANGUE</v>
          </cell>
          <cell r="G1344" t="str">
            <v>Littoral</v>
          </cell>
          <cell r="H1344">
            <v>77</v>
          </cell>
          <cell r="I1344" t="str">
            <v>F</v>
          </cell>
          <cell r="J1344" t="str">
            <v>POSITIF</v>
          </cell>
        </row>
        <row r="1345">
          <cell r="F1345" t="str">
            <v>NJOMBE_PENJA</v>
          </cell>
          <cell r="G1345" t="str">
            <v>Littoral</v>
          </cell>
          <cell r="H1345">
            <v>7</v>
          </cell>
          <cell r="I1345" t="str">
            <v>F</v>
          </cell>
          <cell r="J1345" t="str">
            <v>POSITIF</v>
          </cell>
        </row>
        <row r="1346">
          <cell r="F1346" t="str">
            <v>NJOMBE_PENJA</v>
          </cell>
          <cell r="G1346" t="str">
            <v>LITTORAL</v>
          </cell>
          <cell r="H1346">
            <v>7</v>
          </cell>
          <cell r="I1346" t="str">
            <v>M</v>
          </cell>
          <cell r="J1346" t="str">
            <v>POSITIF</v>
          </cell>
        </row>
        <row r="1347">
          <cell r="F1347" t="str">
            <v>ABO</v>
          </cell>
          <cell r="G1347" t="str">
            <v>Littoral</v>
          </cell>
          <cell r="H1347">
            <v>40</v>
          </cell>
          <cell r="I1347" t="str">
            <v>F</v>
          </cell>
          <cell r="J1347" t="str">
            <v>POSITIF</v>
          </cell>
        </row>
        <row r="1348">
          <cell r="F1348" t="str">
            <v>BONASSAMA</v>
          </cell>
          <cell r="G1348" t="str">
            <v>Littoral</v>
          </cell>
          <cell r="H1348">
            <v>54</v>
          </cell>
          <cell r="I1348" t="str">
            <v>M</v>
          </cell>
          <cell r="J1348" t="str">
            <v>POSITIF</v>
          </cell>
        </row>
        <row r="1349">
          <cell r="F1349" t="str">
            <v>DEIDO</v>
          </cell>
          <cell r="G1349" t="str">
            <v>Littoral</v>
          </cell>
          <cell r="H1349">
            <v>18</v>
          </cell>
          <cell r="I1349" t="str">
            <v>F</v>
          </cell>
          <cell r="J1349" t="str">
            <v>POSITIF</v>
          </cell>
        </row>
        <row r="1350">
          <cell r="F1350" t="str">
            <v>BANGUE</v>
          </cell>
          <cell r="G1350" t="str">
            <v>LITTORAL</v>
          </cell>
          <cell r="H1350">
            <v>44</v>
          </cell>
          <cell r="I1350" t="str">
            <v>F</v>
          </cell>
          <cell r="J1350" t="str">
            <v>POSITIF</v>
          </cell>
        </row>
        <row r="1351">
          <cell r="F1351" t="str">
            <v>BUEA</v>
          </cell>
          <cell r="G1351" t="str">
            <v>Sud-Ouest</v>
          </cell>
          <cell r="H1351">
            <v>29</v>
          </cell>
          <cell r="I1351" t="str">
            <v>M</v>
          </cell>
          <cell r="J1351" t="str">
            <v>POSITIF</v>
          </cell>
        </row>
        <row r="1352">
          <cell r="F1352" t="str">
            <v>DEIDO</v>
          </cell>
          <cell r="G1352" t="str">
            <v>Littoral</v>
          </cell>
          <cell r="H1352">
            <v>22</v>
          </cell>
          <cell r="I1352" t="str">
            <v>M</v>
          </cell>
          <cell r="J1352" t="str">
            <v>POSITIF</v>
          </cell>
        </row>
        <row r="1353">
          <cell r="F1353" t="str">
            <v>BOKO</v>
          </cell>
          <cell r="G1353" t="str">
            <v>Littoral</v>
          </cell>
          <cell r="H1353">
            <v>71</v>
          </cell>
          <cell r="I1353" t="str">
            <v>M</v>
          </cell>
          <cell r="J1353" t="str">
            <v>POSITIF</v>
          </cell>
        </row>
        <row r="1354">
          <cell r="F1354" t="str">
            <v>NEW_BELL</v>
          </cell>
          <cell r="G1354" t="str">
            <v>Littoral</v>
          </cell>
          <cell r="H1354">
            <v>10</v>
          </cell>
          <cell r="I1354" t="str">
            <v>F</v>
          </cell>
          <cell r="J1354" t="str">
            <v>POSITIF</v>
          </cell>
        </row>
        <row r="1355">
          <cell r="F1355" t="str">
            <v>NEW_BELL</v>
          </cell>
          <cell r="G1355" t="str">
            <v>Littoral</v>
          </cell>
          <cell r="H1355">
            <v>37</v>
          </cell>
          <cell r="I1355" t="str">
            <v>M</v>
          </cell>
          <cell r="J1355" t="str">
            <v>POSITIF</v>
          </cell>
        </row>
        <row r="1356">
          <cell r="F1356" t="str">
            <v>NEW_BELL</v>
          </cell>
          <cell r="G1356" t="str">
            <v>Littoral</v>
          </cell>
          <cell r="H1356">
            <v>53</v>
          </cell>
          <cell r="I1356" t="str">
            <v>M</v>
          </cell>
          <cell r="J1356" t="str">
            <v>POSITIF</v>
          </cell>
        </row>
        <row r="1357">
          <cell r="F1357" t="str">
            <v>NYLON</v>
          </cell>
          <cell r="G1357" t="str">
            <v>LITTORAL</v>
          </cell>
          <cell r="H1357">
            <v>70</v>
          </cell>
          <cell r="I1357" t="str">
            <v>F</v>
          </cell>
          <cell r="J1357" t="str">
            <v>POSITIF</v>
          </cell>
        </row>
        <row r="1358">
          <cell r="F1358" t="str">
            <v>BOKO</v>
          </cell>
          <cell r="G1358" t="str">
            <v>Littoral</v>
          </cell>
          <cell r="H1358">
            <v>21</v>
          </cell>
          <cell r="I1358" t="str">
            <v>F</v>
          </cell>
          <cell r="J1358" t="str">
            <v>POSITIF</v>
          </cell>
        </row>
        <row r="1359">
          <cell r="F1359" t="str">
            <v>BOKO</v>
          </cell>
          <cell r="G1359" t="str">
            <v>Littoral</v>
          </cell>
          <cell r="H1359">
            <v>11</v>
          </cell>
          <cell r="I1359" t="str">
            <v>F</v>
          </cell>
          <cell r="J1359" t="str">
            <v>POSITIF</v>
          </cell>
        </row>
        <row r="1360">
          <cell r="F1360" t="str">
            <v>BOKO</v>
          </cell>
          <cell r="G1360" t="str">
            <v>Littoral</v>
          </cell>
          <cell r="H1360">
            <v>34</v>
          </cell>
          <cell r="I1360" t="str">
            <v>F</v>
          </cell>
          <cell r="J1360" t="str">
            <v>POSITIF</v>
          </cell>
        </row>
        <row r="1361">
          <cell r="F1361" t="str">
            <v>NYLON</v>
          </cell>
          <cell r="G1361" t="str">
            <v>LITTORAL</v>
          </cell>
          <cell r="H1361">
            <v>25</v>
          </cell>
          <cell r="I1361" t="str">
            <v>M</v>
          </cell>
          <cell r="J1361" t="str">
            <v>POSITIF</v>
          </cell>
        </row>
        <row r="1362">
          <cell r="F1362" t="str">
            <v>DEIDO</v>
          </cell>
          <cell r="G1362" t="str">
            <v>Littoral</v>
          </cell>
          <cell r="H1362">
            <v>39</v>
          </cell>
          <cell r="I1362" t="str">
            <v>M</v>
          </cell>
          <cell r="J1362" t="str">
            <v>POSITIF</v>
          </cell>
        </row>
        <row r="1363">
          <cell r="F1363" t="str">
            <v>CITE_DES_PALMIERS</v>
          </cell>
          <cell r="G1363" t="str">
            <v>Littoral</v>
          </cell>
          <cell r="H1363">
            <v>64</v>
          </cell>
          <cell r="I1363" t="str">
            <v>M</v>
          </cell>
          <cell r="J1363" t="str">
            <v>POSITIF</v>
          </cell>
        </row>
        <row r="1364">
          <cell r="F1364" t="str">
            <v>DIBOMBARI</v>
          </cell>
          <cell r="G1364" t="str">
            <v>Littoral</v>
          </cell>
          <cell r="H1364">
            <v>65</v>
          </cell>
          <cell r="I1364" t="str">
            <v>M</v>
          </cell>
          <cell r="J1364" t="str">
            <v>POSITIF</v>
          </cell>
        </row>
        <row r="1365">
          <cell r="F1365" t="str">
            <v>BANGUE</v>
          </cell>
          <cell r="G1365" t="str">
            <v>Littoral</v>
          </cell>
          <cell r="H1365">
            <v>40</v>
          </cell>
          <cell r="I1365" t="str">
            <v>M</v>
          </cell>
          <cell r="J1365" t="str">
            <v>POSITIF</v>
          </cell>
        </row>
        <row r="1366">
          <cell r="F1366" t="str">
            <v>KOUOPTAMO</v>
          </cell>
          <cell r="G1366" t="str">
            <v>Ouest</v>
          </cell>
          <cell r="I1366" t="str">
            <v>F</v>
          </cell>
          <cell r="J1366" t="str">
            <v>POSITIF</v>
          </cell>
        </row>
        <row r="1367">
          <cell r="F1367" t="str">
            <v>NYLON</v>
          </cell>
          <cell r="G1367" t="str">
            <v>LITTORAL</v>
          </cell>
          <cell r="H1367">
            <v>33</v>
          </cell>
          <cell r="I1367" t="str">
            <v>M</v>
          </cell>
          <cell r="J1367" t="str">
            <v>POSITIF</v>
          </cell>
        </row>
        <row r="1368">
          <cell r="F1368" t="str">
            <v>BANGUE</v>
          </cell>
          <cell r="G1368" t="str">
            <v>LITTORAL</v>
          </cell>
          <cell r="H1368">
            <v>9</v>
          </cell>
          <cell r="I1368" t="str">
            <v>F</v>
          </cell>
          <cell r="J1368" t="str">
            <v>POSITIF</v>
          </cell>
        </row>
        <row r="1369">
          <cell r="F1369" t="str">
            <v>LIMBE</v>
          </cell>
          <cell r="G1369" t="str">
            <v>Sud-Ouest</v>
          </cell>
          <cell r="H1369">
            <v>53</v>
          </cell>
          <cell r="I1369" t="str">
            <v>F</v>
          </cell>
          <cell r="J1369" t="str">
            <v>POSITIF</v>
          </cell>
        </row>
        <row r="1370">
          <cell r="F1370" t="str">
            <v>DEIDO</v>
          </cell>
          <cell r="G1370" t="str">
            <v>Littoral</v>
          </cell>
          <cell r="H1370">
            <v>46</v>
          </cell>
          <cell r="I1370" t="str">
            <v>F</v>
          </cell>
          <cell r="J1370" t="str">
            <v>POSITIF</v>
          </cell>
        </row>
        <row r="1371">
          <cell r="F1371" t="str">
            <v>NYLON</v>
          </cell>
          <cell r="G1371" t="str">
            <v>LITTORAL</v>
          </cell>
          <cell r="H1371">
            <v>49</v>
          </cell>
          <cell r="I1371" t="str">
            <v>F</v>
          </cell>
          <cell r="J1371" t="str">
            <v>POSITIF</v>
          </cell>
        </row>
        <row r="1372">
          <cell r="F1372" t="str">
            <v>NJOMBE_PENJA</v>
          </cell>
          <cell r="G1372" t="str">
            <v>Littoral</v>
          </cell>
          <cell r="H1372">
            <v>69</v>
          </cell>
          <cell r="I1372" t="str">
            <v>F</v>
          </cell>
          <cell r="J1372" t="str">
            <v>POSITIF</v>
          </cell>
        </row>
        <row r="1373">
          <cell r="F1373" t="str">
            <v>NJOMBE_PENJA</v>
          </cell>
          <cell r="G1373" t="str">
            <v>LITTORAL</v>
          </cell>
          <cell r="H1373">
            <v>3</v>
          </cell>
          <cell r="I1373" t="str">
            <v>F</v>
          </cell>
          <cell r="J1373" t="str">
            <v>POSITIF</v>
          </cell>
        </row>
        <row r="1374">
          <cell r="F1374" t="str">
            <v>BOKO</v>
          </cell>
          <cell r="G1374" t="str">
            <v>Littoral</v>
          </cell>
          <cell r="H1374">
            <v>43</v>
          </cell>
          <cell r="I1374" t="str">
            <v>F</v>
          </cell>
          <cell r="J1374" t="str">
            <v>POSITIF</v>
          </cell>
        </row>
        <row r="1375">
          <cell r="F1375" t="str">
            <v>BONASSAMA</v>
          </cell>
          <cell r="G1375" t="str">
            <v>Littoral</v>
          </cell>
          <cell r="H1375">
            <v>23</v>
          </cell>
          <cell r="I1375" t="str">
            <v>F</v>
          </cell>
          <cell r="J1375" t="str">
            <v>POSITIF</v>
          </cell>
        </row>
        <row r="1376">
          <cell r="F1376" t="str">
            <v>CITE_DES_PALMIERS</v>
          </cell>
          <cell r="G1376" t="str">
            <v>LITTORAL</v>
          </cell>
          <cell r="H1376">
            <v>30</v>
          </cell>
          <cell r="I1376" t="str">
            <v>M</v>
          </cell>
          <cell r="J1376" t="str">
            <v>POSITIF</v>
          </cell>
        </row>
        <row r="1377">
          <cell r="F1377" t="str">
            <v>CITE_DES_PALMIERS</v>
          </cell>
          <cell r="G1377" t="str">
            <v>Littoral</v>
          </cell>
          <cell r="H1377">
            <v>30</v>
          </cell>
          <cell r="I1377" t="str">
            <v>M</v>
          </cell>
          <cell r="J1377" t="str">
            <v>POSITIF</v>
          </cell>
        </row>
        <row r="1378">
          <cell r="F1378" t="str">
            <v>DEIDO</v>
          </cell>
          <cell r="G1378" t="str">
            <v>LITTORAL</v>
          </cell>
          <cell r="H1378">
            <v>46</v>
          </cell>
          <cell r="I1378" t="str">
            <v>M</v>
          </cell>
          <cell r="J1378" t="str">
            <v>POSITIF</v>
          </cell>
        </row>
        <row r="1379">
          <cell r="F1379" t="str">
            <v>DEIDO</v>
          </cell>
          <cell r="G1379" t="str">
            <v>LITTORAL</v>
          </cell>
          <cell r="H1379">
            <v>22</v>
          </cell>
          <cell r="I1379" t="str">
            <v>F</v>
          </cell>
          <cell r="J1379" t="str">
            <v>POSITIF</v>
          </cell>
        </row>
        <row r="1380">
          <cell r="F1380" t="str">
            <v>DEIDO</v>
          </cell>
          <cell r="G1380" t="str">
            <v>Littoral</v>
          </cell>
          <cell r="H1380">
            <v>68</v>
          </cell>
          <cell r="I1380" t="str">
            <v>F</v>
          </cell>
          <cell r="J1380" t="str">
            <v>POSITIF</v>
          </cell>
        </row>
        <row r="1381">
          <cell r="F1381" t="str">
            <v>MELONG</v>
          </cell>
          <cell r="G1381" t="str">
            <v>Littoral</v>
          </cell>
          <cell r="H1381">
            <v>41</v>
          </cell>
          <cell r="I1381" t="str">
            <v>M</v>
          </cell>
          <cell r="J1381" t="str">
            <v>POSITIF</v>
          </cell>
        </row>
        <row r="1382">
          <cell r="F1382" t="str">
            <v>NYLON</v>
          </cell>
          <cell r="G1382" t="str">
            <v>Littoral</v>
          </cell>
          <cell r="H1382">
            <v>33</v>
          </cell>
          <cell r="I1382" t="str">
            <v>M</v>
          </cell>
          <cell r="J1382" t="str">
            <v>POSITIF</v>
          </cell>
        </row>
        <row r="1383">
          <cell r="F1383" t="str">
            <v>NEW_BELL</v>
          </cell>
          <cell r="G1383" t="str">
            <v>Littoral</v>
          </cell>
          <cell r="H1383">
            <v>46</v>
          </cell>
          <cell r="I1383" t="str">
            <v>M</v>
          </cell>
          <cell r="J1383" t="str">
            <v>POSITIF</v>
          </cell>
        </row>
        <row r="1384">
          <cell r="F1384" t="str">
            <v>DEIDO</v>
          </cell>
          <cell r="G1384" t="str">
            <v>LITTORAL</v>
          </cell>
          <cell r="H1384">
            <v>35</v>
          </cell>
          <cell r="I1384" t="str">
            <v>M</v>
          </cell>
          <cell r="J1384" t="str">
            <v>POSITIF</v>
          </cell>
        </row>
        <row r="1385">
          <cell r="F1385" t="str">
            <v>DEIDO</v>
          </cell>
          <cell r="G1385" t="str">
            <v>LITTORAL</v>
          </cell>
          <cell r="H1385">
            <v>37</v>
          </cell>
          <cell r="I1385" t="str">
            <v>M</v>
          </cell>
          <cell r="J1385" t="str">
            <v>POSITIF</v>
          </cell>
        </row>
        <row r="1386">
          <cell r="F1386" t="str">
            <v>DEIDO</v>
          </cell>
          <cell r="G1386" t="str">
            <v>LITTORAL</v>
          </cell>
          <cell r="H1386">
            <v>26</v>
          </cell>
          <cell r="I1386" t="str">
            <v>F</v>
          </cell>
          <cell r="J1386" t="str">
            <v>POSITIF</v>
          </cell>
        </row>
        <row r="1387">
          <cell r="F1387" t="str">
            <v>DEIDO</v>
          </cell>
          <cell r="G1387" t="str">
            <v>LITTORAL</v>
          </cell>
          <cell r="H1387">
            <v>45</v>
          </cell>
          <cell r="I1387" t="str">
            <v>M</v>
          </cell>
          <cell r="J1387" t="str">
            <v>POSITIF</v>
          </cell>
        </row>
        <row r="1388">
          <cell r="F1388" t="str">
            <v>NYLON</v>
          </cell>
          <cell r="G1388" t="str">
            <v>Littoral</v>
          </cell>
          <cell r="H1388">
            <v>22</v>
          </cell>
          <cell r="I1388" t="str">
            <v>M</v>
          </cell>
          <cell r="J1388" t="str">
            <v>POSITIF</v>
          </cell>
        </row>
        <row r="1389">
          <cell r="F1389" t="str">
            <v>NYLON</v>
          </cell>
          <cell r="G1389" t="str">
            <v>Littoral</v>
          </cell>
          <cell r="H1389">
            <v>20</v>
          </cell>
          <cell r="I1389" t="str">
            <v>F</v>
          </cell>
          <cell r="J1389" t="str">
            <v>POSITIF</v>
          </cell>
        </row>
        <row r="1390">
          <cell r="F1390" t="str">
            <v>BANGUE</v>
          </cell>
          <cell r="G1390" t="str">
            <v>Littoral</v>
          </cell>
          <cell r="H1390">
            <v>29</v>
          </cell>
          <cell r="I1390" t="str">
            <v>F</v>
          </cell>
          <cell r="J1390" t="str">
            <v>POSITIF</v>
          </cell>
        </row>
        <row r="1391">
          <cell r="F1391" t="str">
            <v>JAPOMA</v>
          </cell>
          <cell r="G1391" t="str">
            <v>Littoral</v>
          </cell>
          <cell r="H1391">
            <v>24</v>
          </cell>
          <cell r="I1391" t="str">
            <v>F</v>
          </cell>
          <cell r="J1391" t="str">
            <v>POSITIF</v>
          </cell>
        </row>
        <row r="1392">
          <cell r="F1392" t="str">
            <v>LOGBABA</v>
          </cell>
          <cell r="G1392" t="str">
            <v>Littoral</v>
          </cell>
          <cell r="H1392">
            <v>19</v>
          </cell>
          <cell r="I1392" t="str">
            <v>M</v>
          </cell>
          <cell r="J1392" t="str">
            <v>POSITIF</v>
          </cell>
        </row>
        <row r="1393">
          <cell r="F1393" t="str">
            <v>NEW_BELL</v>
          </cell>
          <cell r="G1393" t="str">
            <v>Littoral</v>
          </cell>
          <cell r="H1393">
            <v>4</v>
          </cell>
          <cell r="I1393" t="str">
            <v>M</v>
          </cell>
          <cell r="J1393" t="str">
            <v>POSITIF</v>
          </cell>
        </row>
        <row r="1394">
          <cell r="F1394" t="str">
            <v>DEIDO</v>
          </cell>
          <cell r="G1394" t="str">
            <v>Littoral</v>
          </cell>
          <cell r="H1394">
            <v>70</v>
          </cell>
          <cell r="I1394" t="str">
            <v>M</v>
          </cell>
          <cell r="J1394" t="str">
            <v>POSITIF</v>
          </cell>
        </row>
        <row r="1395">
          <cell r="F1395" t="str">
            <v>BANGUE</v>
          </cell>
          <cell r="G1395" t="str">
            <v>Littoral</v>
          </cell>
          <cell r="H1395">
            <v>11</v>
          </cell>
          <cell r="I1395" t="str">
            <v>M</v>
          </cell>
          <cell r="J1395" t="str">
            <v>POSITIF</v>
          </cell>
        </row>
        <row r="1396">
          <cell r="F1396" t="str">
            <v>JAPOMA</v>
          </cell>
          <cell r="G1396" t="str">
            <v>Littoral</v>
          </cell>
          <cell r="H1396">
            <v>28</v>
          </cell>
          <cell r="I1396" t="str">
            <v>M</v>
          </cell>
          <cell r="J1396" t="str">
            <v>POSITIF</v>
          </cell>
        </row>
        <row r="1397">
          <cell r="F1397" t="str">
            <v>JAPOMA</v>
          </cell>
          <cell r="G1397" t="str">
            <v>Littoral</v>
          </cell>
          <cell r="H1397">
            <v>45</v>
          </cell>
          <cell r="I1397" t="str">
            <v>M</v>
          </cell>
          <cell r="J1397" t="str">
            <v>POSITIF</v>
          </cell>
        </row>
        <row r="1398">
          <cell r="F1398" t="str">
            <v>NYLON</v>
          </cell>
          <cell r="G1398" t="str">
            <v>LITTORAL</v>
          </cell>
          <cell r="H1398">
            <v>37</v>
          </cell>
          <cell r="I1398" t="str">
            <v>M</v>
          </cell>
          <cell r="J1398" t="str">
            <v>POSITIF</v>
          </cell>
        </row>
        <row r="1399">
          <cell r="F1399" t="str">
            <v>BANGUE</v>
          </cell>
          <cell r="G1399" t="str">
            <v>Littoral</v>
          </cell>
          <cell r="H1399">
            <v>17</v>
          </cell>
          <cell r="I1399" t="str">
            <v>M</v>
          </cell>
          <cell r="J1399" t="str">
            <v>POSITIF</v>
          </cell>
        </row>
        <row r="1400">
          <cell r="F1400" t="str">
            <v>DEIDO</v>
          </cell>
          <cell r="G1400" t="str">
            <v>Littoral</v>
          </cell>
          <cell r="H1400">
            <v>23</v>
          </cell>
          <cell r="I1400" t="str">
            <v>F</v>
          </cell>
          <cell r="J1400" t="str">
            <v>POSITIF</v>
          </cell>
        </row>
        <row r="1401">
          <cell r="F1401" t="str">
            <v>NJOMBE_PENJA</v>
          </cell>
          <cell r="G1401" t="str">
            <v>Littoral</v>
          </cell>
          <cell r="H1401">
            <v>45</v>
          </cell>
          <cell r="I1401" t="str">
            <v>F</v>
          </cell>
          <cell r="J1401" t="str">
            <v>POSITIF</v>
          </cell>
        </row>
        <row r="1402">
          <cell r="F1402" t="str">
            <v>MBANGA</v>
          </cell>
          <cell r="G1402" t="str">
            <v>LITTORAL</v>
          </cell>
          <cell r="H1402">
            <v>35</v>
          </cell>
          <cell r="I1402" t="str">
            <v>F</v>
          </cell>
          <cell r="J1402" t="str">
            <v>POSITIF</v>
          </cell>
        </row>
        <row r="1403">
          <cell r="F1403" t="str">
            <v>CITE_DES_PALMIERS</v>
          </cell>
          <cell r="G1403" t="str">
            <v>Littoral</v>
          </cell>
          <cell r="H1403">
            <v>23</v>
          </cell>
          <cell r="I1403" t="str">
            <v>M</v>
          </cell>
          <cell r="J1403" t="str">
            <v>POSITIF</v>
          </cell>
        </row>
        <row r="1404">
          <cell r="F1404" t="str">
            <v>LOGBABA</v>
          </cell>
          <cell r="G1404" t="str">
            <v>Littoral</v>
          </cell>
          <cell r="H1404">
            <v>33</v>
          </cell>
          <cell r="I1404" t="str">
            <v>M</v>
          </cell>
          <cell r="J1404" t="str">
            <v>POSITIF</v>
          </cell>
        </row>
        <row r="1405">
          <cell r="F1405" t="str">
            <v>DEIDO</v>
          </cell>
          <cell r="G1405" t="str">
            <v>LITTORAL</v>
          </cell>
          <cell r="H1405">
            <v>39</v>
          </cell>
          <cell r="I1405" t="str">
            <v>M</v>
          </cell>
          <cell r="J1405" t="str">
            <v>POSITIF</v>
          </cell>
        </row>
        <row r="1406">
          <cell r="F1406" t="str">
            <v>MELONG</v>
          </cell>
          <cell r="G1406" t="str">
            <v>Littoral</v>
          </cell>
          <cell r="H1406">
            <v>22</v>
          </cell>
          <cell r="I1406" t="str">
            <v>F</v>
          </cell>
          <cell r="J1406" t="str">
            <v>POSITIF</v>
          </cell>
        </row>
        <row r="1407">
          <cell r="F1407" t="str">
            <v>MELONG</v>
          </cell>
          <cell r="G1407" t="str">
            <v>LITTORAL</v>
          </cell>
          <cell r="H1407">
            <v>22</v>
          </cell>
          <cell r="I1407" t="str">
            <v>F</v>
          </cell>
          <cell r="J1407" t="str">
            <v>POSITIF</v>
          </cell>
        </row>
        <row r="1408">
          <cell r="F1408" t="str">
            <v>BANGUE</v>
          </cell>
          <cell r="G1408" t="str">
            <v>Littoral</v>
          </cell>
          <cell r="H1408">
            <v>45</v>
          </cell>
          <cell r="I1408" t="str">
            <v>M</v>
          </cell>
          <cell r="J1408" t="str">
            <v>POSITIF</v>
          </cell>
        </row>
        <row r="1409">
          <cell r="F1409" t="str">
            <v>DEIDO</v>
          </cell>
          <cell r="G1409" t="str">
            <v>LITTORAL</v>
          </cell>
          <cell r="H1409">
            <v>27</v>
          </cell>
          <cell r="I1409" t="str">
            <v>M</v>
          </cell>
          <cell r="J1409" t="str">
            <v>POSITIF</v>
          </cell>
        </row>
        <row r="1410">
          <cell r="F1410" t="str">
            <v>BANGUE</v>
          </cell>
          <cell r="G1410" t="str">
            <v>LITTORAL</v>
          </cell>
          <cell r="H1410">
            <v>10</v>
          </cell>
          <cell r="I1410" t="str">
            <v>M</v>
          </cell>
          <cell r="J1410" t="str">
            <v>POSITIF</v>
          </cell>
        </row>
        <row r="1411">
          <cell r="F1411" t="str">
            <v>NJOMBE_PENJA</v>
          </cell>
          <cell r="G1411" t="str">
            <v>Littoral</v>
          </cell>
          <cell r="H1411">
            <v>6</v>
          </cell>
          <cell r="I1411" t="str">
            <v>F</v>
          </cell>
          <cell r="J1411" t="str">
            <v>POSITIF</v>
          </cell>
        </row>
        <row r="1412">
          <cell r="F1412" t="str">
            <v>CITE_DES_PALMIERS</v>
          </cell>
          <cell r="G1412" t="str">
            <v>Littoral</v>
          </cell>
          <cell r="H1412">
            <v>17</v>
          </cell>
          <cell r="I1412" t="str">
            <v>F</v>
          </cell>
          <cell r="J1412" t="str">
            <v>POSITIF</v>
          </cell>
        </row>
        <row r="1413">
          <cell r="F1413" t="str">
            <v>NJOMBE_PENJA</v>
          </cell>
          <cell r="G1413" t="str">
            <v>LITTORAL</v>
          </cell>
          <cell r="H1413">
            <v>6</v>
          </cell>
          <cell r="I1413" t="str">
            <v>F</v>
          </cell>
          <cell r="J1413" t="str">
            <v>POSITIF</v>
          </cell>
        </row>
        <row r="1414">
          <cell r="F1414" t="str">
            <v>BANGUE</v>
          </cell>
          <cell r="G1414" t="str">
            <v>LITTORAL</v>
          </cell>
          <cell r="H1414">
            <v>19</v>
          </cell>
          <cell r="I1414" t="str">
            <v>F</v>
          </cell>
          <cell r="J1414" t="str">
            <v>POSITIF</v>
          </cell>
        </row>
        <row r="1415">
          <cell r="F1415" t="str">
            <v>NEW_BELL</v>
          </cell>
          <cell r="G1415" t="str">
            <v>Littoral</v>
          </cell>
          <cell r="H1415">
            <v>47</v>
          </cell>
          <cell r="I1415" t="str">
            <v>M</v>
          </cell>
          <cell r="J1415" t="str">
            <v>POSITIF</v>
          </cell>
        </row>
        <row r="1416">
          <cell r="F1416" t="str">
            <v>LOGBABA</v>
          </cell>
          <cell r="G1416" t="str">
            <v>Littoral</v>
          </cell>
          <cell r="H1416">
            <v>66</v>
          </cell>
          <cell r="I1416" t="str">
            <v>M</v>
          </cell>
          <cell r="J1416" t="str">
            <v>POSITIF</v>
          </cell>
        </row>
        <row r="1417">
          <cell r="F1417" t="str">
            <v>NYLON</v>
          </cell>
          <cell r="G1417" t="str">
            <v>LITTORAL</v>
          </cell>
          <cell r="H1417">
            <v>40</v>
          </cell>
          <cell r="I1417" t="str">
            <v>F</v>
          </cell>
          <cell r="J1417" t="str">
            <v>POSITIF</v>
          </cell>
        </row>
        <row r="1418">
          <cell r="F1418" t="str">
            <v>BANGUE</v>
          </cell>
          <cell r="G1418" t="str">
            <v>Littoral</v>
          </cell>
          <cell r="H1418">
            <v>31</v>
          </cell>
          <cell r="I1418" t="str">
            <v>M</v>
          </cell>
          <cell r="J1418" t="str">
            <v>POSITIF</v>
          </cell>
        </row>
        <row r="1419">
          <cell r="F1419" t="str">
            <v>BOKO</v>
          </cell>
          <cell r="G1419" t="str">
            <v>Littoral</v>
          </cell>
          <cell r="H1419">
            <v>32</v>
          </cell>
          <cell r="I1419" t="str">
            <v>F</v>
          </cell>
          <cell r="J1419" t="str">
            <v>POSITIF</v>
          </cell>
        </row>
        <row r="1420">
          <cell r="F1420" t="str">
            <v>NEW_BELL</v>
          </cell>
          <cell r="G1420" t="str">
            <v>LITTORAL</v>
          </cell>
          <cell r="H1420">
            <v>4</v>
          </cell>
          <cell r="I1420" t="str">
            <v>M</v>
          </cell>
          <cell r="J1420" t="str">
            <v>POSITIF</v>
          </cell>
        </row>
        <row r="1421">
          <cell r="F1421" t="str">
            <v>NEW_BELL</v>
          </cell>
          <cell r="G1421" t="str">
            <v>Littoral</v>
          </cell>
          <cell r="H1421">
            <v>53</v>
          </cell>
          <cell r="I1421" t="str">
            <v>F</v>
          </cell>
          <cell r="J1421" t="str">
            <v>POSITIF</v>
          </cell>
        </row>
        <row r="1422">
          <cell r="F1422" t="str">
            <v>Ekondo Titi</v>
          </cell>
          <cell r="G1422" t="str">
            <v>Sud-Ouest</v>
          </cell>
          <cell r="H1422">
            <v>59</v>
          </cell>
          <cell r="I1422" t="str">
            <v>M</v>
          </cell>
          <cell r="J1422" t="str">
            <v>POSITIF</v>
          </cell>
        </row>
        <row r="1423">
          <cell r="F1423" t="str">
            <v>DEIDO</v>
          </cell>
          <cell r="G1423" t="str">
            <v>LITTORAL</v>
          </cell>
          <cell r="H1423">
            <v>7</v>
          </cell>
          <cell r="I1423" t="str">
            <v>F</v>
          </cell>
          <cell r="J1423" t="str">
            <v>POSITIF</v>
          </cell>
        </row>
        <row r="1424">
          <cell r="F1424" t="str">
            <v>JAPOMA</v>
          </cell>
          <cell r="G1424" t="str">
            <v>Littoral</v>
          </cell>
          <cell r="H1424">
            <v>4</v>
          </cell>
          <cell r="I1424" t="str">
            <v>F</v>
          </cell>
          <cell r="J1424" t="str">
            <v>POSITIF</v>
          </cell>
        </row>
        <row r="1425">
          <cell r="F1425" t="str">
            <v>DEIDO</v>
          </cell>
          <cell r="G1425" t="str">
            <v>Littoral</v>
          </cell>
          <cell r="H1425">
            <v>37</v>
          </cell>
          <cell r="I1425" t="str">
            <v>M</v>
          </cell>
          <cell r="J1425" t="str">
            <v>POSITIF</v>
          </cell>
        </row>
        <row r="1426">
          <cell r="F1426" t="str">
            <v>NEW_BELL</v>
          </cell>
          <cell r="G1426" t="str">
            <v>Littoral</v>
          </cell>
          <cell r="H1426">
            <v>39</v>
          </cell>
          <cell r="I1426" t="str">
            <v>M</v>
          </cell>
          <cell r="J1426" t="str">
            <v>POSITIF</v>
          </cell>
        </row>
        <row r="1427">
          <cell r="F1427" t="str">
            <v>BOKO</v>
          </cell>
          <cell r="G1427" t="str">
            <v>Littoral</v>
          </cell>
          <cell r="H1427">
            <v>18</v>
          </cell>
          <cell r="I1427" t="str">
            <v>M</v>
          </cell>
          <cell r="J1427" t="str">
            <v>POSITIF</v>
          </cell>
        </row>
        <row r="1428">
          <cell r="F1428" t="str">
            <v>BOKO</v>
          </cell>
          <cell r="G1428" t="str">
            <v>Littoral</v>
          </cell>
          <cell r="H1428">
            <v>18</v>
          </cell>
          <cell r="I1428" t="str">
            <v>M</v>
          </cell>
          <cell r="J1428" t="str">
            <v>POSITIF</v>
          </cell>
        </row>
        <row r="1429">
          <cell r="F1429" t="str">
            <v>CITE_DES_PALMIERS</v>
          </cell>
          <cell r="G1429" t="str">
            <v>Littoral</v>
          </cell>
          <cell r="H1429">
            <v>48</v>
          </cell>
          <cell r="I1429" t="str">
            <v>F</v>
          </cell>
          <cell r="J1429" t="str">
            <v>POSITIF</v>
          </cell>
        </row>
        <row r="1430">
          <cell r="F1430" t="str">
            <v>BANGUE</v>
          </cell>
          <cell r="G1430" t="str">
            <v>Littoral</v>
          </cell>
          <cell r="H1430">
            <v>58</v>
          </cell>
          <cell r="I1430" t="str">
            <v>F</v>
          </cell>
          <cell r="J1430" t="str">
            <v>POSITIF</v>
          </cell>
        </row>
        <row r="1431">
          <cell r="F1431" t="str">
            <v>CITE_DES_PALMIERS</v>
          </cell>
          <cell r="G1431" t="str">
            <v>Littoral</v>
          </cell>
          <cell r="H1431">
            <v>43</v>
          </cell>
          <cell r="I1431" t="str">
            <v>M</v>
          </cell>
          <cell r="J1431" t="str">
            <v>POSITIF</v>
          </cell>
        </row>
        <row r="1432">
          <cell r="F1432" t="str">
            <v>LOGBABA</v>
          </cell>
          <cell r="G1432" t="str">
            <v>Littoral</v>
          </cell>
          <cell r="H1432">
            <v>31</v>
          </cell>
          <cell r="I1432" t="str">
            <v>M</v>
          </cell>
          <cell r="J1432" t="str">
            <v>POSITIF</v>
          </cell>
        </row>
        <row r="1433">
          <cell r="F1433" t="str">
            <v>MORA</v>
          </cell>
          <cell r="G1433" t="str">
            <v>Extreme-Nord</v>
          </cell>
          <cell r="H1433">
            <v>8</v>
          </cell>
          <cell r="I1433" t="str">
            <v>M</v>
          </cell>
          <cell r="J1433" t="str">
            <v>POSITIF</v>
          </cell>
        </row>
        <row r="1434">
          <cell r="F1434" t="str">
            <v>NEW_BELL</v>
          </cell>
          <cell r="G1434" t="str">
            <v>Littoral</v>
          </cell>
          <cell r="H1434">
            <v>25</v>
          </cell>
          <cell r="I1434" t="str">
            <v>M</v>
          </cell>
          <cell r="J1434" t="str">
            <v>POSITIF</v>
          </cell>
        </row>
        <row r="1435">
          <cell r="F1435" t="str">
            <v>DEIDO</v>
          </cell>
          <cell r="G1435" t="str">
            <v>Littoral</v>
          </cell>
          <cell r="H1435">
            <v>24</v>
          </cell>
          <cell r="I1435" t="str">
            <v>M</v>
          </cell>
          <cell r="J1435" t="str">
            <v>POSITIF</v>
          </cell>
        </row>
        <row r="1436">
          <cell r="F1436" t="str">
            <v>NYLON</v>
          </cell>
          <cell r="G1436" t="str">
            <v>Littoral</v>
          </cell>
          <cell r="H1436">
            <v>27</v>
          </cell>
          <cell r="I1436" t="str">
            <v>M</v>
          </cell>
          <cell r="J1436" t="str">
            <v>POSITIF</v>
          </cell>
        </row>
        <row r="1437">
          <cell r="F1437" t="str">
            <v>NEW_BELL</v>
          </cell>
          <cell r="G1437" t="str">
            <v>LITTORAL</v>
          </cell>
          <cell r="H1437">
            <v>40</v>
          </cell>
          <cell r="I1437" t="str">
            <v>M</v>
          </cell>
          <cell r="J1437" t="str">
            <v>POSITIF</v>
          </cell>
        </row>
        <row r="1438">
          <cell r="F1438" t="str">
            <v>NEW_BELL</v>
          </cell>
          <cell r="G1438" t="str">
            <v>Littoral</v>
          </cell>
          <cell r="H1438">
            <v>40</v>
          </cell>
          <cell r="I1438" t="str">
            <v>M</v>
          </cell>
          <cell r="J1438" t="str">
            <v>POSITIF</v>
          </cell>
        </row>
        <row r="1439">
          <cell r="F1439" t="str">
            <v>DEIDO</v>
          </cell>
          <cell r="G1439" t="str">
            <v>LITTORAL</v>
          </cell>
          <cell r="H1439">
            <v>20</v>
          </cell>
          <cell r="I1439" t="str">
            <v>M</v>
          </cell>
          <cell r="J1439" t="str">
            <v>POSITIF</v>
          </cell>
        </row>
        <row r="1440">
          <cell r="F1440" t="str">
            <v>MBANGA</v>
          </cell>
          <cell r="G1440" t="str">
            <v>Littoral</v>
          </cell>
          <cell r="H1440">
            <v>75</v>
          </cell>
          <cell r="I1440" t="str">
            <v>M</v>
          </cell>
          <cell r="J1440" t="str">
            <v>POSITIF</v>
          </cell>
        </row>
        <row r="1441">
          <cell r="F1441" t="str">
            <v>NYLON</v>
          </cell>
          <cell r="G1441" t="str">
            <v>Littoral</v>
          </cell>
          <cell r="H1441">
            <v>18</v>
          </cell>
          <cell r="I1441" t="str">
            <v>M</v>
          </cell>
          <cell r="J1441" t="str">
            <v>POSITIF</v>
          </cell>
        </row>
        <row r="1442">
          <cell r="F1442" t="str">
            <v>MELONG</v>
          </cell>
          <cell r="G1442" t="str">
            <v>Littoral</v>
          </cell>
          <cell r="H1442">
            <v>11</v>
          </cell>
          <cell r="I1442" t="str">
            <v>M</v>
          </cell>
          <cell r="J1442" t="str">
            <v>POSITIF</v>
          </cell>
        </row>
        <row r="1443">
          <cell r="F1443" t="str">
            <v>NEW_BELL</v>
          </cell>
          <cell r="G1443" t="str">
            <v>Littoral</v>
          </cell>
          <cell r="H1443">
            <v>4</v>
          </cell>
          <cell r="I1443" t="str">
            <v>F</v>
          </cell>
          <cell r="J1443" t="str">
            <v>POSITIF</v>
          </cell>
        </row>
        <row r="1444">
          <cell r="F1444" t="str">
            <v>DEIDO</v>
          </cell>
          <cell r="G1444" t="str">
            <v>Littoral</v>
          </cell>
          <cell r="H1444">
            <v>30</v>
          </cell>
          <cell r="I1444" t="str">
            <v>M</v>
          </cell>
          <cell r="J1444" t="str">
            <v>POSITIF</v>
          </cell>
        </row>
        <row r="1445">
          <cell r="F1445" t="str">
            <v>NEW_BELL</v>
          </cell>
          <cell r="G1445" t="str">
            <v>LITTORAL</v>
          </cell>
          <cell r="H1445">
            <v>7</v>
          </cell>
          <cell r="I1445" t="str">
            <v>F</v>
          </cell>
          <cell r="J1445" t="str">
            <v>POSITIF</v>
          </cell>
        </row>
        <row r="1446">
          <cell r="F1446" t="str">
            <v>NEW_BELL</v>
          </cell>
          <cell r="G1446" t="str">
            <v>Littoral</v>
          </cell>
          <cell r="H1446">
            <v>6</v>
          </cell>
          <cell r="I1446" t="str">
            <v>M</v>
          </cell>
          <cell r="J1446" t="str">
            <v>POSITIF</v>
          </cell>
        </row>
        <row r="1447">
          <cell r="F1447" t="str">
            <v>NEW_BELL</v>
          </cell>
          <cell r="G1447" t="str">
            <v>Littoral</v>
          </cell>
          <cell r="H1447">
            <v>15</v>
          </cell>
          <cell r="I1447" t="str">
            <v>M</v>
          </cell>
          <cell r="J1447" t="str">
            <v>POSITIF</v>
          </cell>
        </row>
        <row r="1448">
          <cell r="F1448" t="str">
            <v>NEW_BELL</v>
          </cell>
          <cell r="G1448" t="str">
            <v>Littoral</v>
          </cell>
          <cell r="H1448">
            <v>1.9</v>
          </cell>
          <cell r="I1448" t="str">
            <v>F</v>
          </cell>
          <cell r="J1448" t="str">
            <v>POSITIF</v>
          </cell>
        </row>
        <row r="1449">
          <cell r="F1449" t="str">
            <v>NEW_BELL</v>
          </cell>
          <cell r="G1449" t="str">
            <v>Littoral</v>
          </cell>
          <cell r="H1449">
            <v>13</v>
          </cell>
          <cell r="I1449" t="str">
            <v>F</v>
          </cell>
          <cell r="J1449" t="str">
            <v>POSITIF</v>
          </cell>
        </row>
        <row r="1450">
          <cell r="F1450" t="str">
            <v>NEW_BELL</v>
          </cell>
          <cell r="G1450" t="str">
            <v>Littoral</v>
          </cell>
          <cell r="H1450">
            <v>7</v>
          </cell>
          <cell r="I1450" t="str">
            <v>F</v>
          </cell>
          <cell r="J1450" t="str">
            <v>POSITIF</v>
          </cell>
        </row>
        <row r="1451">
          <cell r="F1451" t="str">
            <v>NJOMBE_PENJA</v>
          </cell>
          <cell r="G1451" t="str">
            <v>Littoral</v>
          </cell>
          <cell r="H1451">
            <v>51</v>
          </cell>
          <cell r="I1451" t="str">
            <v>F</v>
          </cell>
          <cell r="J1451" t="str">
            <v>POSITIF</v>
          </cell>
        </row>
        <row r="1452">
          <cell r="F1452" t="str">
            <v>LIMBE</v>
          </cell>
          <cell r="G1452" t="str">
            <v>Sud-Ouest</v>
          </cell>
          <cell r="H1452">
            <v>51</v>
          </cell>
          <cell r="I1452" t="str">
            <v>M</v>
          </cell>
          <cell r="J1452" t="str">
            <v>POSITIF</v>
          </cell>
        </row>
        <row r="1453">
          <cell r="F1453" t="str">
            <v>NYLON</v>
          </cell>
          <cell r="G1453" t="str">
            <v>Littoral</v>
          </cell>
          <cell r="H1453">
            <v>45</v>
          </cell>
          <cell r="I1453" t="str">
            <v>M</v>
          </cell>
          <cell r="J1453" t="str">
            <v>POSITIF</v>
          </cell>
        </row>
        <row r="1454">
          <cell r="F1454" t="str">
            <v>LOGBABA</v>
          </cell>
          <cell r="G1454" t="str">
            <v>Littoral</v>
          </cell>
          <cell r="H1454">
            <v>11</v>
          </cell>
          <cell r="I1454" t="str">
            <v>M</v>
          </cell>
          <cell r="J1454" t="str">
            <v>POSITIF</v>
          </cell>
        </row>
        <row r="1455">
          <cell r="F1455" t="str">
            <v>CITE_DES_PALMIERS</v>
          </cell>
          <cell r="G1455" t="str">
            <v>Littoral</v>
          </cell>
          <cell r="H1455">
            <v>70</v>
          </cell>
          <cell r="I1455" t="str">
            <v>M</v>
          </cell>
          <cell r="J1455" t="str">
            <v>POSITIF</v>
          </cell>
        </row>
        <row r="1456">
          <cell r="F1456" t="str">
            <v>BANGUE</v>
          </cell>
          <cell r="G1456" t="str">
            <v>Littoral</v>
          </cell>
          <cell r="H1456">
            <v>42</v>
          </cell>
          <cell r="I1456" t="str">
            <v>M</v>
          </cell>
          <cell r="J1456" t="str">
            <v>POSITIF</v>
          </cell>
        </row>
        <row r="1457">
          <cell r="F1457" t="str">
            <v>BANGUE</v>
          </cell>
          <cell r="G1457" t="str">
            <v>Littoral</v>
          </cell>
          <cell r="H1457">
            <v>43</v>
          </cell>
          <cell r="I1457" t="str">
            <v>M</v>
          </cell>
          <cell r="J1457" t="str">
            <v>POSITIF</v>
          </cell>
        </row>
        <row r="1458">
          <cell r="F1458" t="str">
            <v>NEW_BELL</v>
          </cell>
          <cell r="G1458" t="str">
            <v>Littoral</v>
          </cell>
          <cell r="H1458">
            <v>43</v>
          </cell>
          <cell r="I1458" t="str">
            <v>M</v>
          </cell>
          <cell r="J1458" t="str">
            <v>POSITIF</v>
          </cell>
        </row>
        <row r="1459">
          <cell r="F1459" t="str">
            <v>NYLON</v>
          </cell>
          <cell r="G1459" t="str">
            <v>Littoral</v>
          </cell>
          <cell r="H1459">
            <v>12</v>
          </cell>
          <cell r="I1459" t="str">
            <v>M</v>
          </cell>
          <cell r="J1459" t="str">
            <v>POSITIF</v>
          </cell>
        </row>
        <row r="1460">
          <cell r="F1460" t="str">
            <v>BANGUE</v>
          </cell>
          <cell r="G1460" t="str">
            <v>Littoral</v>
          </cell>
          <cell r="H1460">
            <v>65</v>
          </cell>
          <cell r="I1460" t="str">
            <v>M</v>
          </cell>
          <cell r="J1460" t="str">
            <v>POSITIF</v>
          </cell>
        </row>
        <row r="1461">
          <cell r="F1461" t="str">
            <v>NEW_BELL</v>
          </cell>
          <cell r="G1461" t="str">
            <v>Littoral</v>
          </cell>
          <cell r="H1461">
            <v>3</v>
          </cell>
          <cell r="I1461" t="str">
            <v>F</v>
          </cell>
          <cell r="J1461" t="str">
            <v>POSITIF</v>
          </cell>
        </row>
        <row r="1462">
          <cell r="F1462" t="str">
            <v>NEW_BELL</v>
          </cell>
          <cell r="G1462" t="str">
            <v>Littoral</v>
          </cell>
          <cell r="H1462">
            <v>2</v>
          </cell>
          <cell r="I1462" t="str">
            <v>F</v>
          </cell>
          <cell r="J1462" t="str">
            <v>POSITIF</v>
          </cell>
        </row>
        <row r="1463">
          <cell r="F1463" t="str">
            <v>NEW_BELL</v>
          </cell>
          <cell r="G1463" t="str">
            <v>Littoral</v>
          </cell>
          <cell r="H1463">
            <v>5</v>
          </cell>
          <cell r="I1463" t="str">
            <v>F</v>
          </cell>
          <cell r="J1463" t="str">
            <v>POSITIF</v>
          </cell>
        </row>
        <row r="1464">
          <cell r="F1464" t="str">
            <v>NEW_BELL</v>
          </cell>
          <cell r="G1464" t="str">
            <v>Littoral</v>
          </cell>
          <cell r="H1464">
            <v>1</v>
          </cell>
          <cell r="I1464" t="str">
            <v>M</v>
          </cell>
          <cell r="J1464" t="str">
            <v>POSITIF</v>
          </cell>
        </row>
        <row r="1465">
          <cell r="F1465" t="str">
            <v>LOGBABA</v>
          </cell>
          <cell r="G1465" t="str">
            <v>Littoral</v>
          </cell>
          <cell r="H1465">
            <v>21</v>
          </cell>
          <cell r="I1465" t="str">
            <v>F</v>
          </cell>
          <cell r="J1465" t="str">
            <v>POSITIF</v>
          </cell>
        </row>
        <row r="1466">
          <cell r="F1466" t="str">
            <v>DEIDO</v>
          </cell>
          <cell r="G1466" t="str">
            <v>LITTORAL</v>
          </cell>
          <cell r="H1466">
            <v>23</v>
          </cell>
          <cell r="I1466" t="str">
            <v>M</v>
          </cell>
          <cell r="J1466" t="str">
            <v>POSITIF</v>
          </cell>
        </row>
        <row r="1467">
          <cell r="F1467" t="str">
            <v>BANGUE</v>
          </cell>
          <cell r="G1467" t="str">
            <v>LITTORAL</v>
          </cell>
          <cell r="H1467">
            <v>9</v>
          </cell>
          <cell r="I1467" t="str">
            <v>M</v>
          </cell>
          <cell r="J1467" t="str">
            <v>POSITIF</v>
          </cell>
        </row>
        <row r="1468">
          <cell r="F1468" t="str">
            <v>LIMBE</v>
          </cell>
          <cell r="G1468" t="str">
            <v>Sud-Ouest</v>
          </cell>
          <cell r="H1468">
            <v>61</v>
          </cell>
          <cell r="I1468" t="str">
            <v>M</v>
          </cell>
          <cell r="J1468" t="str">
            <v>POSITIF</v>
          </cell>
        </row>
        <row r="1469">
          <cell r="F1469" t="str">
            <v>MANOKA</v>
          </cell>
          <cell r="G1469" t="str">
            <v>Littoral</v>
          </cell>
          <cell r="H1469">
            <v>24</v>
          </cell>
          <cell r="I1469" t="str">
            <v>F</v>
          </cell>
          <cell r="J1469" t="str">
            <v>POSITIF</v>
          </cell>
        </row>
        <row r="1470">
          <cell r="F1470" t="str">
            <v>MANOKA</v>
          </cell>
          <cell r="G1470" t="str">
            <v>Littoral</v>
          </cell>
          <cell r="H1470">
            <v>24</v>
          </cell>
          <cell r="I1470" t="str">
            <v>F</v>
          </cell>
          <cell r="J1470" t="str">
            <v>POSITIF</v>
          </cell>
        </row>
        <row r="1471">
          <cell r="F1471" t="str">
            <v>JAPOMA</v>
          </cell>
          <cell r="G1471" t="str">
            <v>Littoral</v>
          </cell>
          <cell r="H1471">
            <v>39</v>
          </cell>
          <cell r="I1471" t="str">
            <v>F</v>
          </cell>
          <cell r="J1471" t="str">
            <v>POSITIF</v>
          </cell>
        </row>
        <row r="1472">
          <cell r="F1472" t="str">
            <v>NYLON</v>
          </cell>
          <cell r="G1472" t="str">
            <v>Littoral</v>
          </cell>
          <cell r="H1472">
            <v>31</v>
          </cell>
          <cell r="I1472" t="str">
            <v>M</v>
          </cell>
          <cell r="J1472" t="str">
            <v>POSITIF</v>
          </cell>
        </row>
        <row r="1473">
          <cell r="F1473" t="str">
            <v>BOKO</v>
          </cell>
          <cell r="G1473" t="str">
            <v>Littoral</v>
          </cell>
          <cell r="H1473">
            <v>26</v>
          </cell>
          <cell r="I1473" t="str">
            <v>M</v>
          </cell>
          <cell r="J1473" t="str">
            <v>POSITIF</v>
          </cell>
        </row>
        <row r="1474">
          <cell r="F1474" t="str">
            <v>BOKO</v>
          </cell>
          <cell r="G1474" t="str">
            <v>Littoral</v>
          </cell>
          <cell r="H1474">
            <v>49</v>
          </cell>
          <cell r="I1474" t="str">
            <v>F</v>
          </cell>
          <cell r="J1474" t="str">
            <v>POSITIF</v>
          </cell>
        </row>
        <row r="1475">
          <cell r="F1475" t="str">
            <v>NEW_BELL</v>
          </cell>
          <cell r="G1475" t="str">
            <v>Littoral</v>
          </cell>
          <cell r="H1475">
            <v>43</v>
          </cell>
          <cell r="I1475" t="str">
            <v>M</v>
          </cell>
          <cell r="J1475" t="str">
            <v>POSITIF</v>
          </cell>
        </row>
        <row r="1476">
          <cell r="F1476" t="str">
            <v>NEW_BELL</v>
          </cell>
          <cell r="G1476" t="str">
            <v>Littoral</v>
          </cell>
          <cell r="H1476">
            <v>20</v>
          </cell>
          <cell r="I1476" t="str">
            <v>F</v>
          </cell>
          <cell r="J1476" t="str">
            <v>POSITIF</v>
          </cell>
        </row>
        <row r="1477">
          <cell r="F1477" t="str">
            <v>Doume</v>
          </cell>
          <cell r="G1477" t="str">
            <v>Est</v>
          </cell>
          <cell r="H1477">
            <v>9</v>
          </cell>
          <cell r="I1477" t="str">
            <v>F</v>
          </cell>
          <cell r="J1477" t="str">
            <v>POSITIF</v>
          </cell>
        </row>
        <row r="1478">
          <cell r="F1478" t="str">
            <v>NYLON</v>
          </cell>
          <cell r="G1478" t="str">
            <v>Littoral</v>
          </cell>
          <cell r="H1478">
            <v>31</v>
          </cell>
          <cell r="I1478" t="str">
            <v>M</v>
          </cell>
          <cell r="J1478" t="str">
            <v>POSITIF</v>
          </cell>
        </row>
        <row r="1479">
          <cell r="F1479" t="str">
            <v>BANGUE</v>
          </cell>
          <cell r="G1479" t="str">
            <v>Littoral</v>
          </cell>
          <cell r="H1479">
            <v>5</v>
          </cell>
          <cell r="I1479" t="str">
            <v>M</v>
          </cell>
          <cell r="J1479" t="str">
            <v>POSITIF</v>
          </cell>
        </row>
        <row r="1480">
          <cell r="F1480" t="str">
            <v>BANGUE</v>
          </cell>
          <cell r="G1480" t="str">
            <v>LITTORAL</v>
          </cell>
          <cell r="H1480">
            <v>5</v>
          </cell>
          <cell r="I1480" t="str">
            <v>M</v>
          </cell>
          <cell r="J1480" t="str">
            <v>POSITIF</v>
          </cell>
        </row>
        <row r="1481">
          <cell r="F1481" t="str">
            <v>DEIDO</v>
          </cell>
          <cell r="G1481" t="str">
            <v>Littoral</v>
          </cell>
          <cell r="H1481">
            <v>65</v>
          </cell>
          <cell r="I1481" t="str">
            <v>M</v>
          </cell>
          <cell r="J1481" t="str">
            <v>POSITIF</v>
          </cell>
        </row>
        <row r="1482">
          <cell r="F1482" t="str">
            <v>NEW_BELL</v>
          </cell>
          <cell r="G1482" t="str">
            <v>Littoral</v>
          </cell>
          <cell r="H1482">
            <v>26</v>
          </cell>
          <cell r="I1482" t="str">
            <v>M</v>
          </cell>
          <cell r="J1482" t="str">
            <v>POSITIF</v>
          </cell>
        </row>
        <row r="1483">
          <cell r="F1483" t="str">
            <v>DEIDO</v>
          </cell>
          <cell r="G1483" t="str">
            <v>Littoral</v>
          </cell>
          <cell r="H1483">
            <v>41</v>
          </cell>
          <cell r="I1483" t="str">
            <v>M</v>
          </cell>
          <cell r="J1483" t="str">
            <v>POSITIF</v>
          </cell>
        </row>
        <row r="1484">
          <cell r="F1484" t="str">
            <v>CITE_DES_PALMIERS</v>
          </cell>
          <cell r="G1484" t="str">
            <v>LITTORAL</v>
          </cell>
          <cell r="H1484">
            <v>25</v>
          </cell>
          <cell r="I1484" t="str">
            <v>M</v>
          </cell>
          <cell r="J1484" t="str">
            <v>POSITIF</v>
          </cell>
        </row>
        <row r="1485">
          <cell r="F1485" t="str">
            <v>NEW_BELL</v>
          </cell>
          <cell r="G1485" t="str">
            <v>LITTORAL</v>
          </cell>
          <cell r="H1485">
            <v>23</v>
          </cell>
          <cell r="I1485" t="str">
            <v>M</v>
          </cell>
          <cell r="J1485" t="str">
            <v>POSITIF</v>
          </cell>
        </row>
        <row r="1486">
          <cell r="F1486" t="str">
            <v>LIMBE</v>
          </cell>
          <cell r="G1486" t="str">
            <v>Sud-Ouest</v>
          </cell>
          <cell r="H1486">
            <v>50</v>
          </cell>
          <cell r="I1486" t="str">
            <v>M</v>
          </cell>
          <cell r="J1486" t="str">
            <v>POSITIF</v>
          </cell>
        </row>
        <row r="1487">
          <cell r="F1487" t="str">
            <v>NYLON</v>
          </cell>
          <cell r="G1487" t="str">
            <v>Littoral</v>
          </cell>
          <cell r="H1487">
            <v>5</v>
          </cell>
          <cell r="I1487" t="str">
            <v>M</v>
          </cell>
          <cell r="J1487" t="str">
            <v>POSITIF</v>
          </cell>
        </row>
        <row r="1488">
          <cell r="F1488" t="str">
            <v>NYLON</v>
          </cell>
          <cell r="G1488" t="str">
            <v>Littoral</v>
          </cell>
          <cell r="H1488">
            <v>26</v>
          </cell>
          <cell r="I1488" t="str">
            <v>M</v>
          </cell>
          <cell r="J1488" t="str">
            <v>POSITIF</v>
          </cell>
        </row>
        <row r="1489">
          <cell r="F1489" t="str">
            <v>NYLON</v>
          </cell>
          <cell r="G1489" t="str">
            <v>Littoral</v>
          </cell>
          <cell r="H1489">
            <v>33</v>
          </cell>
          <cell r="I1489" t="str">
            <v>M</v>
          </cell>
          <cell r="J1489" t="str">
            <v>POSITIF</v>
          </cell>
        </row>
        <row r="1490">
          <cell r="F1490" t="str">
            <v>NEW_BELL</v>
          </cell>
          <cell r="G1490" t="str">
            <v>Littoral</v>
          </cell>
          <cell r="H1490">
            <v>35</v>
          </cell>
          <cell r="I1490" t="str">
            <v>M</v>
          </cell>
          <cell r="J1490" t="str">
            <v>POSITIF</v>
          </cell>
        </row>
        <row r="1491">
          <cell r="F1491" t="str">
            <v>DEIDO</v>
          </cell>
          <cell r="G1491" t="str">
            <v>Littoral</v>
          </cell>
          <cell r="H1491">
            <v>33</v>
          </cell>
          <cell r="I1491" t="str">
            <v>F</v>
          </cell>
          <cell r="J1491" t="str">
            <v>POSITIF</v>
          </cell>
        </row>
        <row r="1492">
          <cell r="F1492" t="str">
            <v>DIBOMBARI</v>
          </cell>
          <cell r="G1492" t="str">
            <v>Littoral</v>
          </cell>
          <cell r="H1492">
            <v>54</v>
          </cell>
          <cell r="I1492" t="str">
            <v>F</v>
          </cell>
          <cell r="J1492" t="str">
            <v>POSITIF</v>
          </cell>
        </row>
        <row r="1493">
          <cell r="F1493" t="str">
            <v>DEIDO</v>
          </cell>
          <cell r="G1493" t="str">
            <v>LITTORAL</v>
          </cell>
          <cell r="H1493">
            <v>53</v>
          </cell>
          <cell r="I1493" t="str">
            <v>F</v>
          </cell>
          <cell r="J1493" t="str">
            <v>POSITIF</v>
          </cell>
        </row>
        <row r="1494">
          <cell r="F1494" t="str">
            <v>LIMBE</v>
          </cell>
          <cell r="G1494" t="str">
            <v>Sud-Ouest</v>
          </cell>
          <cell r="H1494">
            <v>5</v>
          </cell>
          <cell r="I1494" t="str">
            <v>M</v>
          </cell>
          <cell r="J1494" t="str">
            <v>POSITIF</v>
          </cell>
        </row>
        <row r="1495">
          <cell r="F1495" t="str">
            <v>JAPOMA</v>
          </cell>
          <cell r="G1495" t="str">
            <v>Littoral</v>
          </cell>
          <cell r="H1495">
            <v>37</v>
          </cell>
          <cell r="I1495" t="str">
            <v>M</v>
          </cell>
          <cell r="J1495" t="str">
            <v>POSITIF</v>
          </cell>
        </row>
        <row r="1496">
          <cell r="F1496" t="str">
            <v>JAPOMA</v>
          </cell>
          <cell r="G1496" t="str">
            <v>Littoral</v>
          </cell>
          <cell r="H1496">
            <v>25</v>
          </cell>
          <cell r="I1496" t="str">
            <v>F</v>
          </cell>
          <cell r="J1496" t="str">
            <v>POSITIF</v>
          </cell>
        </row>
        <row r="1497">
          <cell r="F1497" t="str">
            <v>JAPOMA</v>
          </cell>
          <cell r="G1497" t="str">
            <v>Littoral</v>
          </cell>
          <cell r="H1497">
            <v>19</v>
          </cell>
          <cell r="I1497" t="str">
            <v>M</v>
          </cell>
          <cell r="J1497" t="str">
            <v>POSITIF</v>
          </cell>
        </row>
        <row r="1498">
          <cell r="F1498" t="str">
            <v>BOKO</v>
          </cell>
          <cell r="G1498" t="str">
            <v>Littoral</v>
          </cell>
          <cell r="H1498">
            <v>28</v>
          </cell>
          <cell r="I1498" t="str">
            <v>M</v>
          </cell>
          <cell r="J1498" t="str">
            <v>POSITIF</v>
          </cell>
        </row>
        <row r="1499">
          <cell r="F1499" t="str">
            <v>MANOKA</v>
          </cell>
          <cell r="G1499" t="str">
            <v>Littoral</v>
          </cell>
          <cell r="H1499">
            <v>27</v>
          </cell>
          <cell r="I1499" t="str">
            <v>M</v>
          </cell>
          <cell r="J1499" t="str">
            <v>POSITIF</v>
          </cell>
        </row>
        <row r="1500">
          <cell r="F1500" t="str">
            <v>MANOKA</v>
          </cell>
          <cell r="G1500" t="str">
            <v>Littoral</v>
          </cell>
          <cell r="H1500">
            <v>27</v>
          </cell>
          <cell r="I1500" t="str">
            <v>M</v>
          </cell>
          <cell r="J1500" t="str">
            <v>POSITIF</v>
          </cell>
        </row>
        <row r="1501">
          <cell r="F1501" t="str">
            <v>LOGBABA</v>
          </cell>
          <cell r="G1501" t="str">
            <v>Littoral</v>
          </cell>
          <cell r="H1501">
            <v>50</v>
          </cell>
          <cell r="I1501" t="str">
            <v>M</v>
          </cell>
          <cell r="J1501" t="str">
            <v>POSITIF</v>
          </cell>
        </row>
        <row r="1502">
          <cell r="F1502" t="str">
            <v>DEIDO</v>
          </cell>
          <cell r="G1502" t="str">
            <v>Littoral</v>
          </cell>
          <cell r="H1502">
            <v>37</v>
          </cell>
          <cell r="I1502" t="str">
            <v>F</v>
          </cell>
          <cell r="J1502" t="str">
            <v>POSITIF</v>
          </cell>
        </row>
        <row r="1503">
          <cell r="F1503" t="str">
            <v>CITE_DES_PALMIERS</v>
          </cell>
          <cell r="G1503" t="str">
            <v>Littoral</v>
          </cell>
          <cell r="H1503">
            <v>34</v>
          </cell>
          <cell r="I1503" t="str">
            <v>M</v>
          </cell>
          <cell r="J1503" t="str">
            <v>POSITIF</v>
          </cell>
        </row>
        <row r="1504">
          <cell r="F1504" t="str">
            <v>BONASSAMA</v>
          </cell>
          <cell r="G1504" t="str">
            <v>Littoral</v>
          </cell>
          <cell r="H1504">
            <v>40</v>
          </cell>
          <cell r="I1504" t="str">
            <v>F</v>
          </cell>
          <cell r="J1504" t="str">
            <v>POSITIF</v>
          </cell>
        </row>
        <row r="1505">
          <cell r="F1505" t="str">
            <v>BANGUE</v>
          </cell>
          <cell r="G1505" t="str">
            <v>Littoral</v>
          </cell>
          <cell r="H1505">
            <v>25</v>
          </cell>
          <cell r="I1505" t="str">
            <v>M</v>
          </cell>
          <cell r="J1505" t="str">
            <v>POSITIF</v>
          </cell>
        </row>
        <row r="1506">
          <cell r="F1506" t="str">
            <v>BANGUE</v>
          </cell>
          <cell r="G1506" t="str">
            <v>LITTORAL</v>
          </cell>
          <cell r="H1506">
            <v>24</v>
          </cell>
          <cell r="I1506" t="str">
            <v>M</v>
          </cell>
          <cell r="J1506" t="str">
            <v>POSITIF</v>
          </cell>
        </row>
        <row r="1507">
          <cell r="F1507" t="str">
            <v>BONASSAMA</v>
          </cell>
          <cell r="G1507" t="str">
            <v>Littoral</v>
          </cell>
          <cell r="H1507">
            <v>9</v>
          </cell>
          <cell r="I1507" t="str">
            <v>F</v>
          </cell>
          <cell r="J1507" t="str">
            <v>POSITIF</v>
          </cell>
        </row>
        <row r="1508">
          <cell r="F1508" t="str">
            <v>JAPOMA</v>
          </cell>
          <cell r="G1508" t="str">
            <v>Littoral</v>
          </cell>
          <cell r="H1508">
            <v>29</v>
          </cell>
          <cell r="I1508" t="str">
            <v>M</v>
          </cell>
          <cell r="J1508" t="str">
            <v>POSITIF</v>
          </cell>
        </row>
        <row r="1509">
          <cell r="F1509" t="str">
            <v>DEIDO</v>
          </cell>
          <cell r="G1509" t="str">
            <v>LITTORAL</v>
          </cell>
          <cell r="H1509">
            <v>33</v>
          </cell>
          <cell r="I1509" t="str">
            <v>F</v>
          </cell>
          <cell r="J1509" t="str">
            <v>POSITIF</v>
          </cell>
        </row>
        <row r="1510">
          <cell r="F1510" t="str">
            <v>CITE_DES_PALMIERS</v>
          </cell>
          <cell r="G1510" t="str">
            <v>Littoral</v>
          </cell>
          <cell r="H1510">
            <v>34</v>
          </cell>
          <cell r="I1510" t="str">
            <v>M</v>
          </cell>
          <cell r="J1510" t="str">
            <v>POSITIF</v>
          </cell>
        </row>
        <row r="1511">
          <cell r="F1511" t="str">
            <v>BANGUE</v>
          </cell>
          <cell r="G1511" t="str">
            <v>Littoral</v>
          </cell>
          <cell r="H1511">
            <v>26</v>
          </cell>
          <cell r="I1511" t="str">
            <v>M</v>
          </cell>
          <cell r="J1511" t="str">
            <v>POSITIF</v>
          </cell>
        </row>
        <row r="1512">
          <cell r="F1512" t="str">
            <v>DEIDO</v>
          </cell>
          <cell r="G1512" t="str">
            <v>Littoral</v>
          </cell>
          <cell r="H1512">
            <v>41</v>
          </cell>
          <cell r="I1512" t="str">
            <v>F</v>
          </cell>
          <cell r="J1512" t="str">
            <v>POSITIF</v>
          </cell>
        </row>
        <row r="1513">
          <cell r="F1513" t="str">
            <v>CITE_DES_PALMIERS</v>
          </cell>
          <cell r="G1513" t="str">
            <v>Littoral</v>
          </cell>
          <cell r="H1513">
            <v>47</v>
          </cell>
          <cell r="I1513" t="str">
            <v>M</v>
          </cell>
          <cell r="J1513" t="str">
            <v>POSITIF</v>
          </cell>
        </row>
        <row r="1514">
          <cell r="F1514" t="str">
            <v>NEW_BELL</v>
          </cell>
          <cell r="G1514" t="str">
            <v>Littoral</v>
          </cell>
          <cell r="H1514">
            <v>34</v>
          </cell>
          <cell r="I1514" t="str">
            <v>M</v>
          </cell>
          <cell r="J1514" t="str">
            <v>POSITIF</v>
          </cell>
        </row>
        <row r="1515">
          <cell r="F1515" t="str">
            <v>NEW_BELL</v>
          </cell>
          <cell r="G1515" t="str">
            <v>Littoral</v>
          </cell>
          <cell r="H1515">
            <v>3</v>
          </cell>
          <cell r="I1515" t="str">
            <v>F</v>
          </cell>
          <cell r="J1515" t="str">
            <v>POSITIF</v>
          </cell>
        </row>
        <row r="1516">
          <cell r="F1516" t="str">
            <v>NYLON</v>
          </cell>
          <cell r="G1516" t="str">
            <v>Littoral</v>
          </cell>
          <cell r="H1516">
            <v>22</v>
          </cell>
          <cell r="I1516" t="str">
            <v>M</v>
          </cell>
          <cell r="J1516" t="str">
            <v>POSITIF</v>
          </cell>
        </row>
        <row r="1517">
          <cell r="F1517" t="str">
            <v>CITE_DES_PALMIERS</v>
          </cell>
          <cell r="G1517" t="str">
            <v>Littoral</v>
          </cell>
          <cell r="H1517">
            <v>10</v>
          </cell>
          <cell r="I1517" t="str">
            <v>M</v>
          </cell>
          <cell r="J1517" t="str">
            <v>POSITIF</v>
          </cell>
        </row>
        <row r="1518">
          <cell r="F1518" t="str">
            <v>DEIDO</v>
          </cell>
          <cell r="G1518" t="str">
            <v>Littoral</v>
          </cell>
          <cell r="H1518">
            <v>41</v>
          </cell>
          <cell r="I1518" t="str">
            <v>M</v>
          </cell>
          <cell r="J1518" t="str">
            <v>POSITIF</v>
          </cell>
        </row>
        <row r="1519">
          <cell r="F1519" t="str">
            <v>DEIDO</v>
          </cell>
          <cell r="G1519" t="str">
            <v>Littoral</v>
          </cell>
          <cell r="H1519">
            <v>40</v>
          </cell>
          <cell r="I1519" t="str">
            <v>F</v>
          </cell>
          <cell r="J1519" t="str">
            <v>POSITIF</v>
          </cell>
        </row>
        <row r="1520">
          <cell r="F1520" t="str">
            <v>DIBOMBARI</v>
          </cell>
          <cell r="G1520" t="str">
            <v>Littoral</v>
          </cell>
          <cell r="H1520">
            <v>29</v>
          </cell>
          <cell r="I1520" t="str">
            <v>F</v>
          </cell>
          <cell r="J1520" t="str">
            <v>POSITIF</v>
          </cell>
        </row>
        <row r="1521">
          <cell r="F1521" t="str">
            <v>CITE_DES_PALMIERS</v>
          </cell>
          <cell r="G1521" t="str">
            <v>Littoral</v>
          </cell>
          <cell r="H1521">
            <v>43</v>
          </cell>
          <cell r="I1521" t="str">
            <v>M</v>
          </cell>
          <cell r="J1521" t="str">
            <v>POSITIF</v>
          </cell>
        </row>
        <row r="1522">
          <cell r="F1522" t="str">
            <v>BOKO</v>
          </cell>
          <cell r="G1522" t="str">
            <v>Littoral</v>
          </cell>
          <cell r="H1522">
            <v>51</v>
          </cell>
          <cell r="I1522" t="str">
            <v>F</v>
          </cell>
          <cell r="J1522" t="str">
            <v>POSITIF</v>
          </cell>
        </row>
        <row r="1523">
          <cell r="F1523" t="str">
            <v>BONASSAMA</v>
          </cell>
          <cell r="G1523" t="str">
            <v>Littoral</v>
          </cell>
          <cell r="H1523">
            <v>22</v>
          </cell>
          <cell r="I1523" t="str">
            <v>M</v>
          </cell>
          <cell r="J1523" t="str">
            <v>POSITIF</v>
          </cell>
        </row>
        <row r="1524">
          <cell r="F1524" t="str">
            <v>NYLON</v>
          </cell>
          <cell r="G1524" t="str">
            <v>Littoral</v>
          </cell>
          <cell r="H1524">
            <v>32</v>
          </cell>
          <cell r="I1524" t="str">
            <v>M</v>
          </cell>
          <cell r="J1524" t="str">
            <v>POSITIF</v>
          </cell>
        </row>
        <row r="1525">
          <cell r="F1525" t="str">
            <v>NYLON</v>
          </cell>
          <cell r="G1525" t="str">
            <v>Littoral</v>
          </cell>
          <cell r="H1525">
            <v>29</v>
          </cell>
          <cell r="I1525" t="str">
            <v>M</v>
          </cell>
          <cell r="J1525" t="str">
            <v>POSITIF</v>
          </cell>
        </row>
        <row r="1526">
          <cell r="F1526" t="str">
            <v>DEIDO</v>
          </cell>
          <cell r="G1526" t="str">
            <v>Littoral</v>
          </cell>
          <cell r="H1526">
            <v>1</v>
          </cell>
          <cell r="I1526" t="str">
            <v>M</v>
          </cell>
          <cell r="J1526" t="str">
            <v>POSITIF</v>
          </cell>
        </row>
        <row r="1527">
          <cell r="F1527" t="str">
            <v>DEIDO</v>
          </cell>
          <cell r="G1527" t="str">
            <v>Littoral</v>
          </cell>
          <cell r="H1527">
            <v>21</v>
          </cell>
          <cell r="I1527" t="str">
            <v>M</v>
          </cell>
          <cell r="J1527" t="str">
            <v>POSITIF</v>
          </cell>
        </row>
        <row r="1528">
          <cell r="F1528" t="str">
            <v>LOGBABA</v>
          </cell>
          <cell r="G1528" t="str">
            <v>LITTORAL</v>
          </cell>
          <cell r="H1528">
            <v>9</v>
          </cell>
          <cell r="I1528" t="str">
            <v>M</v>
          </cell>
          <cell r="J1528" t="str">
            <v>POSITIF</v>
          </cell>
        </row>
        <row r="1529">
          <cell r="F1529" t="str">
            <v>JAPOMA</v>
          </cell>
          <cell r="G1529" t="str">
            <v>Littoral</v>
          </cell>
          <cell r="H1529">
            <v>32</v>
          </cell>
          <cell r="I1529" t="str">
            <v>F</v>
          </cell>
          <cell r="J1529" t="str">
            <v>POSITIF</v>
          </cell>
        </row>
        <row r="1530">
          <cell r="F1530" t="str">
            <v>DEIDO</v>
          </cell>
          <cell r="G1530" t="str">
            <v>LITTORAL</v>
          </cell>
          <cell r="H1530">
            <v>37</v>
          </cell>
          <cell r="I1530" t="str">
            <v>M</v>
          </cell>
          <cell r="J1530" t="str">
            <v>POSITIF</v>
          </cell>
        </row>
        <row r="1531">
          <cell r="F1531" t="str">
            <v>BOKO</v>
          </cell>
          <cell r="G1531" t="str">
            <v>Littoral</v>
          </cell>
          <cell r="H1531">
            <v>20</v>
          </cell>
          <cell r="I1531" t="str">
            <v>M</v>
          </cell>
          <cell r="J1531" t="str">
            <v>POSITIF</v>
          </cell>
        </row>
        <row r="1532">
          <cell r="F1532" t="str">
            <v>BANGUE</v>
          </cell>
          <cell r="G1532" t="str">
            <v>Littoral</v>
          </cell>
          <cell r="H1532">
            <v>52</v>
          </cell>
          <cell r="I1532" t="str">
            <v>F</v>
          </cell>
          <cell r="J1532" t="str">
            <v>POSITIF</v>
          </cell>
        </row>
        <row r="1533">
          <cell r="F1533" t="str">
            <v>LIMBE</v>
          </cell>
          <cell r="G1533" t="str">
            <v>Sud-Ouest</v>
          </cell>
          <cell r="H1533">
            <v>31</v>
          </cell>
          <cell r="I1533" t="str">
            <v>M</v>
          </cell>
          <cell r="J1533" t="str">
            <v>POSITIF</v>
          </cell>
        </row>
        <row r="1534">
          <cell r="F1534" t="str">
            <v>DEIDO</v>
          </cell>
          <cell r="G1534" t="str">
            <v>LITTORAL</v>
          </cell>
          <cell r="H1534">
            <v>13</v>
          </cell>
          <cell r="I1534" t="str">
            <v>F</v>
          </cell>
          <cell r="J1534" t="str">
            <v>POSITIF</v>
          </cell>
        </row>
        <row r="1535">
          <cell r="F1535" t="str">
            <v>BUEA</v>
          </cell>
          <cell r="G1535" t="str">
            <v>Sud-Ouest</v>
          </cell>
          <cell r="H1535">
            <v>22</v>
          </cell>
          <cell r="I1535" t="str">
            <v>M</v>
          </cell>
          <cell r="J1535" t="str">
            <v>POSITIF</v>
          </cell>
        </row>
        <row r="1536">
          <cell r="F1536" t="str">
            <v>DEIDO</v>
          </cell>
          <cell r="G1536" t="str">
            <v>LITTORAL</v>
          </cell>
          <cell r="H1536">
            <v>39</v>
          </cell>
          <cell r="I1536" t="str">
            <v>M</v>
          </cell>
          <cell r="J1536" t="str">
            <v>POSITIF</v>
          </cell>
        </row>
        <row r="1537">
          <cell r="F1537" t="str">
            <v>FOUMBOT</v>
          </cell>
          <cell r="G1537" t="str">
            <v>Ouest</v>
          </cell>
          <cell r="H1537">
            <v>54</v>
          </cell>
          <cell r="I1537" t="str">
            <v>M</v>
          </cell>
          <cell r="J1537" t="str">
            <v>POSITIF</v>
          </cell>
        </row>
        <row r="1538">
          <cell r="F1538" t="str">
            <v>MELONG</v>
          </cell>
          <cell r="G1538" t="str">
            <v>Littoral</v>
          </cell>
          <cell r="H1538">
            <v>55</v>
          </cell>
          <cell r="I1538" t="str">
            <v>M</v>
          </cell>
          <cell r="J1538" t="str">
            <v>POSITIF</v>
          </cell>
        </row>
        <row r="1539">
          <cell r="F1539" t="str">
            <v>LOGBABA</v>
          </cell>
          <cell r="G1539" t="str">
            <v>Littoral</v>
          </cell>
          <cell r="H1539">
            <v>25</v>
          </cell>
          <cell r="I1539" t="str">
            <v>F</v>
          </cell>
          <cell r="J1539" t="str">
            <v>POSITIF</v>
          </cell>
        </row>
        <row r="1540">
          <cell r="F1540" t="str">
            <v>JAPOMA</v>
          </cell>
          <cell r="G1540" t="str">
            <v>Littoral</v>
          </cell>
          <cell r="H1540">
            <v>61</v>
          </cell>
          <cell r="I1540" t="str">
            <v>M</v>
          </cell>
          <cell r="J1540" t="str">
            <v>POSITIF</v>
          </cell>
        </row>
        <row r="1541">
          <cell r="F1541" t="str">
            <v>NYLON</v>
          </cell>
          <cell r="G1541" t="str">
            <v>Littoral</v>
          </cell>
          <cell r="H1541">
            <v>48</v>
          </cell>
          <cell r="I1541" t="str">
            <v>M</v>
          </cell>
          <cell r="J1541" t="str">
            <v>POSITIF</v>
          </cell>
        </row>
        <row r="1542">
          <cell r="F1542" t="str">
            <v>NEW_BELL</v>
          </cell>
          <cell r="G1542" t="str">
            <v>Littoral</v>
          </cell>
          <cell r="H1542">
            <v>75</v>
          </cell>
          <cell r="I1542" t="str">
            <v>F</v>
          </cell>
          <cell r="J1542" t="str">
            <v>POSITIF</v>
          </cell>
        </row>
        <row r="1543">
          <cell r="F1543" t="str">
            <v>DEIDO</v>
          </cell>
          <cell r="G1543" t="str">
            <v>LITTORAL</v>
          </cell>
          <cell r="H1543">
            <v>77</v>
          </cell>
          <cell r="I1543" t="str">
            <v>F</v>
          </cell>
          <cell r="J1543" t="str">
            <v>POSITIF</v>
          </cell>
        </row>
        <row r="1544">
          <cell r="F1544" t="str">
            <v>CITE_DES_PALMIERS</v>
          </cell>
          <cell r="G1544" t="str">
            <v>LITTORAL</v>
          </cell>
          <cell r="I1544" t="str">
            <v>M</v>
          </cell>
          <cell r="J1544" t="str">
            <v>POSITIF</v>
          </cell>
        </row>
        <row r="1545">
          <cell r="F1545" t="str">
            <v>DEIDO</v>
          </cell>
          <cell r="G1545" t="str">
            <v>LITTORAL</v>
          </cell>
          <cell r="H1545">
            <v>23</v>
          </cell>
          <cell r="I1545" t="str">
            <v>M</v>
          </cell>
          <cell r="J1545" t="str">
            <v>POSITIF</v>
          </cell>
        </row>
        <row r="1546">
          <cell r="F1546" t="str">
            <v>DEIDO</v>
          </cell>
          <cell r="G1546" t="str">
            <v>LITTORAL</v>
          </cell>
          <cell r="H1546">
            <v>14</v>
          </cell>
          <cell r="I1546" t="str">
            <v>M</v>
          </cell>
          <cell r="J1546" t="str">
            <v>POSITIF</v>
          </cell>
        </row>
        <row r="1547">
          <cell r="F1547" t="str">
            <v>DEIDO</v>
          </cell>
          <cell r="G1547" t="str">
            <v>LITTORAL</v>
          </cell>
          <cell r="H1547">
            <v>34</v>
          </cell>
          <cell r="I1547" t="str">
            <v>F</v>
          </cell>
          <cell r="J1547" t="str">
            <v>POSITIF</v>
          </cell>
        </row>
        <row r="1548">
          <cell r="F1548" t="str">
            <v>BOKO</v>
          </cell>
          <cell r="G1548" t="str">
            <v>Littoral</v>
          </cell>
          <cell r="H1548">
            <v>42</v>
          </cell>
          <cell r="I1548" t="str">
            <v>F</v>
          </cell>
          <cell r="J1548" t="str">
            <v>POSITIF</v>
          </cell>
        </row>
        <row r="1549">
          <cell r="F1549" t="str">
            <v xml:space="preserve">Tiko </v>
          </cell>
          <cell r="G1549" t="str">
            <v>Sud-Ouest</v>
          </cell>
          <cell r="H1549">
            <v>11</v>
          </cell>
          <cell r="I1549" t="str">
            <v>M</v>
          </cell>
          <cell r="J1549" t="str">
            <v>POSITIF</v>
          </cell>
        </row>
        <row r="1550">
          <cell r="F1550" t="str">
            <v>NEW_BELL</v>
          </cell>
          <cell r="G1550" t="str">
            <v>LITTORAL</v>
          </cell>
          <cell r="H1550">
            <v>24</v>
          </cell>
          <cell r="I1550" t="str">
            <v>M</v>
          </cell>
          <cell r="J1550" t="str">
            <v>POSITIF</v>
          </cell>
        </row>
        <row r="1551">
          <cell r="F1551" t="str">
            <v>BOKO</v>
          </cell>
          <cell r="G1551" t="str">
            <v>Littoral</v>
          </cell>
          <cell r="H1551">
            <v>9</v>
          </cell>
          <cell r="I1551" t="str">
            <v>M</v>
          </cell>
          <cell r="J1551" t="str">
            <v>POSITIF</v>
          </cell>
        </row>
        <row r="1552">
          <cell r="F1552" t="str">
            <v>JAPOMA</v>
          </cell>
          <cell r="G1552" t="str">
            <v>Littoral</v>
          </cell>
          <cell r="H1552">
            <v>36</v>
          </cell>
          <cell r="I1552" t="str">
            <v>M</v>
          </cell>
          <cell r="J1552" t="str">
            <v>POSITIF</v>
          </cell>
        </row>
        <row r="1553">
          <cell r="F1553" t="str">
            <v>JAPOMA</v>
          </cell>
          <cell r="G1553" t="str">
            <v>Littoral</v>
          </cell>
          <cell r="H1553">
            <v>36</v>
          </cell>
          <cell r="I1553" t="str">
            <v>M</v>
          </cell>
          <cell r="J1553" t="str">
            <v>POSITIF</v>
          </cell>
        </row>
        <row r="1554">
          <cell r="F1554" t="str">
            <v>BOKO</v>
          </cell>
          <cell r="G1554" t="str">
            <v>Littoral</v>
          </cell>
          <cell r="H1554">
            <v>8</v>
          </cell>
          <cell r="I1554" t="str">
            <v>M</v>
          </cell>
          <cell r="J1554" t="str">
            <v>POSITIF</v>
          </cell>
        </row>
        <row r="1555">
          <cell r="F1555" t="str">
            <v>NJOMBE_PENJA</v>
          </cell>
          <cell r="G1555" t="str">
            <v>Littoral</v>
          </cell>
          <cell r="H1555">
            <v>29</v>
          </cell>
          <cell r="I1555" t="str">
            <v>M</v>
          </cell>
          <cell r="J1555" t="str">
            <v>POSITIF</v>
          </cell>
        </row>
        <row r="1556">
          <cell r="F1556" t="str">
            <v>BONASSAMA</v>
          </cell>
          <cell r="G1556" t="str">
            <v>Littoral</v>
          </cell>
          <cell r="H1556">
            <v>4</v>
          </cell>
          <cell r="I1556" t="str">
            <v>F</v>
          </cell>
          <cell r="J1556" t="str">
            <v>POSITIF</v>
          </cell>
        </row>
        <row r="1557">
          <cell r="F1557" t="str">
            <v>NEW_BELL</v>
          </cell>
          <cell r="G1557" t="str">
            <v>Littoral</v>
          </cell>
          <cell r="H1557">
            <v>24</v>
          </cell>
          <cell r="I1557" t="str">
            <v>M</v>
          </cell>
          <cell r="J1557" t="str">
            <v>POSITIF</v>
          </cell>
        </row>
        <row r="1558">
          <cell r="F1558" t="str">
            <v>NEW_BELL</v>
          </cell>
          <cell r="G1558" t="str">
            <v>Littoral</v>
          </cell>
          <cell r="H1558">
            <v>24</v>
          </cell>
          <cell r="I1558" t="str">
            <v>M</v>
          </cell>
          <cell r="J1558" t="str">
            <v>POSITIF</v>
          </cell>
        </row>
        <row r="1559">
          <cell r="F1559" t="str">
            <v>NEW_BELL</v>
          </cell>
          <cell r="G1559" t="str">
            <v>Littoral</v>
          </cell>
          <cell r="H1559">
            <v>24</v>
          </cell>
          <cell r="I1559" t="str">
            <v>M</v>
          </cell>
          <cell r="J1559" t="str">
            <v>POSITIF</v>
          </cell>
        </row>
        <row r="1560">
          <cell r="F1560" t="str">
            <v>CITE_DES_PALMIERS</v>
          </cell>
          <cell r="G1560" t="str">
            <v>LITTORAL</v>
          </cell>
          <cell r="H1560">
            <v>16</v>
          </cell>
          <cell r="I1560" t="str">
            <v>M</v>
          </cell>
          <cell r="J1560" t="str">
            <v>POSITIF</v>
          </cell>
        </row>
        <row r="1561">
          <cell r="F1561" t="str">
            <v>CITE_DES_PALMIERS</v>
          </cell>
          <cell r="G1561" t="str">
            <v>LITTORAL</v>
          </cell>
          <cell r="H1561">
            <v>30</v>
          </cell>
          <cell r="I1561" t="str">
            <v>M</v>
          </cell>
          <cell r="J1561" t="str">
            <v>POSITIF</v>
          </cell>
        </row>
        <row r="1562">
          <cell r="F1562" t="str">
            <v>NYLON</v>
          </cell>
          <cell r="G1562" t="str">
            <v>Littoral</v>
          </cell>
          <cell r="H1562">
            <v>27</v>
          </cell>
          <cell r="I1562" t="str">
            <v>F</v>
          </cell>
          <cell r="J1562" t="str">
            <v>POSITIF</v>
          </cell>
        </row>
        <row r="1563">
          <cell r="F1563" t="str">
            <v>BOKO</v>
          </cell>
          <cell r="G1563" t="str">
            <v>Littoral</v>
          </cell>
          <cell r="H1563">
            <v>27</v>
          </cell>
          <cell r="I1563" t="str">
            <v>F</v>
          </cell>
          <cell r="J1563" t="str">
            <v>POSITIF</v>
          </cell>
        </row>
        <row r="1564">
          <cell r="F1564" t="str">
            <v>NYLON</v>
          </cell>
          <cell r="G1564" t="str">
            <v>Littoral</v>
          </cell>
          <cell r="H1564">
            <v>30</v>
          </cell>
          <cell r="I1564" t="str">
            <v>F</v>
          </cell>
          <cell r="J1564" t="str">
            <v>POSITIF</v>
          </cell>
        </row>
        <row r="1565">
          <cell r="F1565" t="str">
            <v>NYLON</v>
          </cell>
          <cell r="G1565" t="str">
            <v>Littoral</v>
          </cell>
          <cell r="H1565">
            <v>39</v>
          </cell>
          <cell r="I1565" t="str">
            <v>F</v>
          </cell>
          <cell r="J1565" t="str">
            <v>POSITIF</v>
          </cell>
        </row>
        <row r="1566">
          <cell r="F1566" t="str">
            <v>DEIDO</v>
          </cell>
          <cell r="G1566" t="str">
            <v>LITTORAL</v>
          </cell>
          <cell r="H1566">
            <v>63</v>
          </cell>
          <cell r="I1566" t="str">
            <v>M</v>
          </cell>
          <cell r="J1566" t="str">
            <v>POSITIF</v>
          </cell>
        </row>
        <row r="1567">
          <cell r="F1567" t="str">
            <v>NEW_BELL</v>
          </cell>
          <cell r="G1567" t="str">
            <v>Littoral</v>
          </cell>
          <cell r="H1567">
            <v>35</v>
          </cell>
          <cell r="I1567" t="str">
            <v>M</v>
          </cell>
          <cell r="J1567" t="str">
            <v>POSITIF</v>
          </cell>
        </row>
        <row r="1568">
          <cell r="F1568" t="str">
            <v>NYLON</v>
          </cell>
          <cell r="G1568" t="str">
            <v>LITTORAL</v>
          </cell>
          <cell r="H1568">
            <v>30</v>
          </cell>
          <cell r="I1568" t="str">
            <v>F</v>
          </cell>
          <cell r="J1568" t="str">
            <v>POSITIF</v>
          </cell>
        </row>
        <row r="1569">
          <cell r="F1569" t="str">
            <v>BOKO</v>
          </cell>
          <cell r="G1569" t="str">
            <v>Littoral</v>
          </cell>
          <cell r="H1569">
            <v>37</v>
          </cell>
          <cell r="I1569" t="str">
            <v>F</v>
          </cell>
          <cell r="J1569" t="str">
            <v>POSITIF</v>
          </cell>
        </row>
        <row r="1570">
          <cell r="F1570" t="str">
            <v>NYLON</v>
          </cell>
          <cell r="G1570" t="str">
            <v>LITTORAL</v>
          </cell>
          <cell r="H1570">
            <v>30</v>
          </cell>
          <cell r="I1570" t="str">
            <v>M</v>
          </cell>
          <cell r="J1570" t="str">
            <v>POSITIF</v>
          </cell>
        </row>
        <row r="1571">
          <cell r="F1571" t="str">
            <v>LOGBABA</v>
          </cell>
          <cell r="G1571" t="str">
            <v>LITTORAL</v>
          </cell>
          <cell r="H1571">
            <v>29</v>
          </cell>
          <cell r="I1571" t="str">
            <v>M</v>
          </cell>
          <cell r="J1571" t="str">
            <v>POSITIF</v>
          </cell>
        </row>
        <row r="1572">
          <cell r="F1572" t="str">
            <v>NYLON</v>
          </cell>
          <cell r="G1572" t="str">
            <v>Littoral</v>
          </cell>
          <cell r="H1572">
            <v>7</v>
          </cell>
          <cell r="I1572" t="str">
            <v>M</v>
          </cell>
          <cell r="J1572" t="str">
            <v>POSITIF</v>
          </cell>
        </row>
        <row r="1573">
          <cell r="F1573" t="str">
            <v>CITE_DES_PALMIERS</v>
          </cell>
          <cell r="G1573" t="str">
            <v>LITTORAL</v>
          </cell>
          <cell r="H1573">
            <v>18</v>
          </cell>
          <cell r="I1573" t="str">
            <v>F</v>
          </cell>
          <cell r="J1573" t="str">
            <v>POSITIF</v>
          </cell>
        </row>
        <row r="1574">
          <cell r="F1574" t="str">
            <v>JAPOMA</v>
          </cell>
          <cell r="G1574" t="str">
            <v>Littoral</v>
          </cell>
          <cell r="H1574">
            <v>31</v>
          </cell>
          <cell r="I1574" t="str">
            <v>F</v>
          </cell>
          <cell r="J1574" t="str">
            <v>POSITIF</v>
          </cell>
        </row>
        <row r="1575">
          <cell r="F1575" t="str">
            <v>LOGBABA</v>
          </cell>
          <cell r="G1575" t="str">
            <v>LITTORAL</v>
          </cell>
          <cell r="H1575">
            <v>31</v>
          </cell>
          <cell r="I1575" t="str">
            <v>F</v>
          </cell>
          <cell r="J1575" t="str">
            <v>POSITIF</v>
          </cell>
        </row>
        <row r="1576">
          <cell r="F1576" t="str">
            <v>CITE_DES_PALMIERS</v>
          </cell>
          <cell r="G1576" t="str">
            <v>Littoral</v>
          </cell>
          <cell r="H1576">
            <v>58</v>
          </cell>
          <cell r="I1576" t="str">
            <v>F</v>
          </cell>
          <cell r="J1576" t="str">
            <v>POSITIF</v>
          </cell>
        </row>
        <row r="1577">
          <cell r="F1577" t="str">
            <v>NEW_BELL</v>
          </cell>
          <cell r="G1577" t="str">
            <v>Littoral</v>
          </cell>
          <cell r="H1577">
            <v>39</v>
          </cell>
          <cell r="I1577" t="str">
            <v>F</v>
          </cell>
          <cell r="J1577" t="str">
            <v>POSITIF</v>
          </cell>
        </row>
        <row r="1578">
          <cell r="F1578" t="str">
            <v>NYLON</v>
          </cell>
          <cell r="G1578" t="str">
            <v>Littoral</v>
          </cell>
          <cell r="H1578">
            <v>26</v>
          </cell>
          <cell r="I1578" t="str">
            <v>M</v>
          </cell>
          <cell r="J1578" t="str">
            <v>POSITIF</v>
          </cell>
        </row>
        <row r="1579">
          <cell r="F1579" t="str">
            <v>NYLON</v>
          </cell>
          <cell r="G1579" t="str">
            <v>LITTORAL</v>
          </cell>
          <cell r="H1579">
            <v>6</v>
          </cell>
          <cell r="I1579" t="str">
            <v>F</v>
          </cell>
          <cell r="J1579" t="str">
            <v>POSITIF</v>
          </cell>
        </row>
        <row r="1580">
          <cell r="F1580" t="str">
            <v>EDEA</v>
          </cell>
          <cell r="G1580" t="str">
            <v>Littoral</v>
          </cell>
          <cell r="H1580">
            <v>45</v>
          </cell>
          <cell r="I1580" t="str">
            <v>M</v>
          </cell>
          <cell r="J1580" t="str">
            <v>POSITIF</v>
          </cell>
        </row>
        <row r="1581">
          <cell r="F1581" t="str">
            <v>DEIDO</v>
          </cell>
          <cell r="G1581" t="str">
            <v>Littoral</v>
          </cell>
          <cell r="H1581">
            <v>49</v>
          </cell>
          <cell r="I1581" t="str">
            <v>F</v>
          </cell>
          <cell r="J1581" t="str">
            <v>POSITIF</v>
          </cell>
        </row>
        <row r="1582">
          <cell r="F1582" t="str">
            <v>NEW_BELL</v>
          </cell>
          <cell r="G1582" t="str">
            <v>Littoral</v>
          </cell>
          <cell r="H1582">
            <v>37</v>
          </cell>
          <cell r="I1582" t="str">
            <v>M</v>
          </cell>
          <cell r="J1582" t="str">
            <v>POSITIF</v>
          </cell>
        </row>
        <row r="1583">
          <cell r="F1583" t="str">
            <v>BOKO</v>
          </cell>
          <cell r="G1583" t="str">
            <v>Littoral</v>
          </cell>
          <cell r="H1583">
            <v>21</v>
          </cell>
          <cell r="I1583" t="str">
            <v>M</v>
          </cell>
          <cell r="J1583" t="str">
            <v>POSITIF</v>
          </cell>
        </row>
        <row r="1584">
          <cell r="F1584" t="str">
            <v>NYLON</v>
          </cell>
          <cell r="G1584" t="str">
            <v>Littoral</v>
          </cell>
          <cell r="H1584">
            <v>12</v>
          </cell>
          <cell r="I1584" t="str">
            <v>M</v>
          </cell>
          <cell r="J1584" t="str">
            <v>POSITIF</v>
          </cell>
        </row>
        <row r="1585">
          <cell r="F1585" t="str">
            <v>DEIDO</v>
          </cell>
          <cell r="G1585" t="str">
            <v>LITTORAL</v>
          </cell>
          <cell r="H1585">
            <v>40</v>
          </cell>
          <cell r="I1585" t="str">
            <v>F</v>
          </cell>
          <cell r="J1585" t="str">
            <v>POSITIF</v>
          </cell>
        </row>
        <row r="1586">
          <cell r="F1586" t="str">
            <v>DEIDO</v>
          </cell>
          <cell r="G1586" t="str">
            <v>Littoral</v>
          </cell>
          <cell r="H1586">
            <v>57</v>
          </cell>
          <cell r="I1586" t="str">
            <v>F</v>
          </cell>
          <cell r="J1586" t="str">
            <v>POSITIF</v>
          </cell>
        </row>
        <row r="1587">
          <cell r="F1587" t="str">
            <v>DEIDO</v>
          </cell>
          <cell r="G1587" t="str">
            <v>Littoral</v>
          </cell>
          <cell r="H1587">
            <v>23</v>
          </cell>
          <cell r="I1587" t="str">
            <v>M</v>
          </cell>
          <cell r="J1587" t="str">
            <v>POSITIF</v>
          </cell>
        </row>
        <row r="1588">
          <cell r="F1588" t="str">
            <v>BONASSAMA</v>
          </cell>
          <cell r="G1588" t="str">
            <v>Littoral</v>
          </cell>
          <cell r="H1588">
            <v>9</v>
          </cell>
          <cell r="I1588" t="str">
            <v>M</v>
          </cell>
          <cell r="J1588" t="str">
            <v>POSITIF</v>
          </cell>
        </row>
        <row r="1589">
          <cell r="F1589" t="str">
            <v>BONASSAMA</v>
          </cell>
          <cell r="G1589" t="str">
            <v>Littoral</v>
          </cell>
          <cell r="H1589">
            <v>45</v>
          </cell>
          <cell r="I1589" t="str">
            <v>M</v>
          </cell>
          <cell r="J1589" t="str">
            <v>POSITIF</v>
          </cell>
        </row>
        <row r="1590">
          <cell r="F1590" t="str">
            <v>JAPOMA</v>
          </cell>
          <cell r="G1590" t="str">
            <v>Littoral</v>
          </cell>
          <cell r="H1590">
            <v>41</v>
          </cell>
          <cell r="I1590" t="str">
            <v>F</v>
          </cell>
          <cell r="J1590" t="str">
            <v>POSITIF</v>
          </cell>
        </row>
        <row r="1591">
          <cell r="F1591" t="str">
            <v>NEW_BELL</v>
          </cell>
          <cell r="G1591" t="str">
            <v>Littoral</v>
          </cell>
          <cell r="H1591">
            <v>31</v>
          </cell>
          <cell r="I1591" t="str">
            <v>F</v>
          </cell>
          <cell r="J1591" t="str">
            <v>POSITIF</v>
          </cell>
        </row>
        <row r="1592">
          <cell r="F1592" t="str">
            <v>NYLON</v>
          </cell>
          <cell r="G1592" t="str">
            <v>LITTORAL</v>
          </cell>
          <cell r="H1592">
            <v>47</v>
          </cell>
          <cell r="I1592" t="str">
            <v>F</v>
          </cell>
          <cell r="J1592" t="str">
            <v>POSITIF</v>
          </cell>
        </row>
        <row r="1593">
          <cell r="F1593" t="str">
            <v>BONASSAMA</v>
          </cell>
          <cell r="G1593" t="str">
            <v>LITTORAL</v>
          </cell>
          <cell r="H1593">
            <v>16</v>
          </cell>
          <cell r="I1593" t="str">
            <v>F</v>
          </cell>
          <cell r="J1593" t="str">
            <v>POSITIF</v>
          </cell>
        </row>
        <row r="1594">
          <cell r="F1594" t="str">
            <v>BOKO</v>
          </cell>
          <cell r="G1594" t="str">
            <v>Littoral</v>
          </cell>
          <cell r="H1594">
            <v>30</v>
          </cell>
          <cell r="I1594" t="str">
            <v>F</v>
          </cell>
          <cell r="J1594" t="str">
            <v>POSITIF</v>
          </cell>
        </row>
        <row r="1595">
          <cell r="F1595" t="str">
            <v>BONASSAMA</v>
          </cell>
          <cell r="G1595" t="str">
            <v>Littoral</v>
          </cell>
          <cell r="H1595">
            <v>16</v>
          </cell>
          <cell r="I1595" t="str">
            <v>F</v>
          </cell>
          <cell r="J1595" t="str">
            <v>POSITIF</v>
          </cell>
        </row>
        <row r="1596">
          <cell r="F1596" t="str">
            <v>BUEA</v>
          </cell>
          <cell r="G1596" t="str">
            <v>Sud-Ouest</v>
          </cell>
          <cell r="H1596">
            <v>62</v>
          </cell>
          <cell r="I1596" t="str">
            <v>M</v>
          </cell>
          <cell r="J1596" t="str">
            <v>POSITIF</v>
          </cell>
        </row>
        <row r="1597">
          <cell r="F1597" t="str">
            <v>LOGBABA</v>
          </cell>
          <cell r="G1597" t="str">
            <v>Littoral</v>
          </cell>
          <cell r="H1597">
            <v>25</v>
          </cell>
          <cell r="I1597" t="str">
            <v>F</v>
          </cell>
          <cell r="J1597" t="str">
            <v>POSITIF</v>
          </cell>
        </row>
        <row r="1598">
          <cell r="F1598" t="str">
            <v>BONASSAMA</v>
          </cell>
          <cell r="G1598" t="str">
            <v>Littoral</v>
          </cell>
          <cell r="H1598">
            <v>33</v>
          </cell>
          <cell r="I1598" t="str">
            <v>M</v>
          </cell>
          <cell r="J1598" t="str">
            <v>POSITIF</v>
          </cell>
        </row>
        <row r="1599">
          <cell r="F1599" t="str">
            <v>BANGUE</v>
          </cell>
          <cell r="G1599" t="str">
            <v>Littoral</v>
          </cell>
          <cell r="H1599">
            <v>23</v>
          </cell>
          <cell r="I1599" t="str">
            <v>M</v>
          </cell>
          <cell r="J1599" t="str">
            <v>POSITIF</v>
          </cell>
        </row>
        <row r="1600">
          <cell r="F1600" t="str">
            <v>BOKO</v>
          </cell>
          <cell r="G1600" t="str">
            <v>Littoral</v>
          </cell>
          <cell r="H1600">
            <v>14</v>
          </cell>
          <cell r="I1600" t="str">
            <v>M</v>
          </cell>
          <cell r="J1600" t="str">
            <v>POSITIF</v>
          </cell>
        </row>
        <row r="1601">
          <cell r="F1601" t="str">
            <v>DEIDO</v>
          </cell>
          <cell r="G1601" t="str">
            <v>Littoral</v>
          </cell>
          <cell r="H1601">
            <v>33</v>
          </cell>
          <cell r="I1601" t="str">
            <v>M</v>
          </cell>
          <cell r="J1601" t="str">
            <v>POSITIF</v>
          </cell>
        </row>
        <row r="1602">
          <cell r="F1602" t="str">
            <v>NYLON</v>
          </cell>
          <cell r="G1602" t="str">
            <v>Littoral</v>
          </cell>
          <cell r="H1602">
            <v>13</v>
          </cell>
          <cell r="I1602" t="str">
            <v>M</v>
          </cell>
          <cell r="J1602" t="str">
            <v>POSITIF</v>
          </cell>
        </row>
        <row r="1603">
          <cell r="F1603" t="str">
            <v xml:space="preserve">Tiko </v>
          </cell>
          <cell r="G1603" t="str">
            <v>Sud-Ouest</v>
          </cell>
          <cell r="H1603">
            <v>60</v>
          </cell>
          <cell r="I1603" t="str">
            <v>M</v>
          </cell>
          <cell r="J1603" t="str">
            <v>POSITIF</v>
          </cell>
        </row>
        <row r="1604">
          <cell r="F1604" t="str">
            <v>BANGUE</v>
          </cell>
          <cell r="G1604" t="str">
            <v>Littoral</v>
          </cell>
          <cell r="H1604">
            <v>40</v>
          </cell>
          <cell r="I1604" t="str">
            <v>M</v>
          </cell>
          <cell r="J1604" t="str">
            <v>POSITIF</v>
          </cell>
        </row>
        <row r="1605">
          <cell r="F1605" t="str">
            <v>BANGUE</v>
          </cell>
          <cell r="G1605" t="str">
            <v>Littoral</v>
          </cell>
          <cell r="H1605">
            <v>23</v>
          </cell>
          <cell r="I1605" t="str">
            <v>F</v>
          </cell>
          <cell r="J1605" t="str">
            <v>POSITIF</v>
          </cell>
        </row>
        <row r="1606">
          <cell r="F1606" t="str">
            <v>BONASSAMA</v>
          </cell>
          <cell r="G1606" t="str">
            <v>Littoral</v>
          </cell>
          <cell r="H1606">
            <v>21</v>
          </cell>
          <cell r="I1606" t="str">
            <v>M</v>
          </cell>
          <cell r="J1606" t="str">
            <v>POSITIF</v>
          </cell>
        </row>
        <row r="1607">
          <cell r="F1607" t="str">
            <v>LOGBABA</v>
          </cell>
          <cell r="G1607" t="str">
            <v>Littoral</v>
          </cell>
          <cell r="H1607">
            <v>25</v>
          </cell>
          <cell r="I1607" t="str">
            <v>M</v>
          </cell>
          <cell r="J1607" t="str">
            <v>POSITIF</v>
          </cell>
        </row>
        <row r="1608">
          <cell r="F1608" t="str">
            <v>DEIDO</v>
          </cell>
          <cell r="G1608" t="str">
            <v>Littoral</v>
          </cell>
          <cell r="H1608">
            <v>24</v>
          </cell>
          <cell r="I1608" t="str">
            <v>M</v>
          </cell>
          <cell r="J1608" t="str">
            <v>POSITIF</v>
          </cell>
        </row>
        <row r="1609">
          <cell r="F1609" t="str">
            <v>BANGUE</v>
          </cell>
          <cell r="G1609" t="str">
            <v>LITTORAL</v>
          </cell>
          <cell r="H1609">
            <v>40</v>
          </cell>
          <cell r="I1609" t="str">
            <v>M</v>
          </cell>
          <cell r="J1609" t="str">
            <v>POSITIF</v>
          </cell>
        </row>
        <row r="1610">
          <cell r="F1610" t="str">
            <v>DEIDO</v>
          </cell>
          <cell r="G1610" t="str">
            <v>LITTORAL</v>
          </cell>
          <cell r="H1610">
            <v>27</v>
          </cell>
          <cell r="I1610" t="str">
            <v>M</v>
          </cell>
          <cell r="J1610" t="str">
            <v>POSITIF</v>
          </cell>
        </row>
        <row r="1611">
          <cell r="F1611" t="str">
            <v>DEIDO</v>
          </cell>
          <cell r="G1611" t="str">
            <v>LITTORAL</v>
          </cell>
          <cell r="H1611">
            <v>40</v>
          </cell>
          <cell r="I1611" t="str">
            <v>M</v>
          </cell>
          <cell r="J1611" t="str">
            <v>POSITIF</v>
          </cell>
        </row>
        <row r="1612">
          <cell r="F1612" t="str">
            <v>CITE_DES_PALMIERS</v>
          </cell>
          <cell r="G1612" t="str">
            <v>Littoral</v>
          </cell>
          <cell r="H1612">
            <v>37</v>
          </cell>
          <cell r="I1612" t="str">
            <v>M</v>
          </cell>
          <cell r="J1612" t="str">
            <v>POSITIF</v>
          </cell>
        </row>
        <row r="1613">
          <cell r="F1613" t="str">
            <v>CITE_DES_PALMIERS</v>
          </cell>
          <cell r="G1613" t="str">
            <v>Littoral</v>
          </cell>
          <cell r="H1613">
            <v>37</v>
          </cell>
          <cell r="I1613" t="str">
            <v>M</v>
          </cell>
          <cell r="J1613" t="str">
            <v>POSITIF</v>
          </cell>
        </row>
        <row r="1614">
          <cell r="F1614" t="str">
            <v>BANGUE</v>
          </cell>
          <cell r="G1614" t="str">
            <v>Littoral</v>
          </cell>
          <cell r="H1614">
            <v>40</v>
          </cell>
          <cell r="I1614" t="str">
            <v>M</v>
          </cell>
          <cell r="J1614" t="str">
            <v>POSITIF</v>
          </cell>
        </row>
        <row r="1615">
          <cell r="F1615" t="str">
            <v>BANGUE</v>
          </cell>
          <cell r="G1615" t="str">
            <v>Littoral</v>
          </cell>
          <cell r="H1615">
            <v>28</v>
          </cell>
          <cell r="I1615" t="str">
            <v>M</v>
          </cell>
          <cell r="J1615" t="str">
            <v>POSITIF</v>
          </cell>
        </row>
        <row r="1616">
          <cell r="F1616" t="str">
            <v>NEW_BELL</v>
          </cell>
          <cell r="G1616" t="str">
            <v>Littoral</v>
          </cell>
          <cell r="H1616">
            <v>47</v>
          </cell>
          <cell r="I1616" t="str">
            <v>M</v>
          </cell>
          <cell r="J1616" t="str">
            <v>POSITIF</v>
          </cell>
        </row>
        <row r="1617">
          <cell r="F1617" t="str">
            <v>NYLON</v>
          </cell>
          <cell r="G1617" t="str">
            <v>Littoral</v>
          </cell>
          <cell r="H1617">
            <v>5</v>
          </cell>
          <cell r="I1617" t="str">
            <v>F</v>
          </cell>
          <cell r="J1617" t="str">
            <v>POSITIF</v>
          </cell>
        </row>
        <row r="1618">
          <cell r="F1618" t="str">
            <v>JAPOMA</v>
          </cell>
          <cell r="G1618" t="str">
            <v>Littoral</v>
          </cell>
          <cell r="H1618">
            <v>29</v>
          </cell>
          <cell r="I1618" t="str">
            <v>M</v>
          </cell>
          <cell r="J1618" t="str">
            <v>POSITIF</v>
          </cell>
        </row>
        <row r="1619">
          <cell r="F1619" t="str">
            <v xml:space="preserve">Tiko </v>
          </cell>
          <cell r="G1619" t="str">
            <v>Sud-Ouest</v>
          </cell>
          <cell r="H1619">
            <v>36</v>
          </cell>
          <cell r="I1619" t="str">
            <v>M</v>
          </cell>
          <cell r="J1619" t="str">
            <v>POSITIF</v>
          </cell>
        </row>
        <row r="1620">
          <cell r="F1620" t="str">
            <v>LIMBE</v>
          </cell>
          <cell r="G1620" t="str">
            <v>Sud-Ouest</v>
          </cell>
          <cell r="H1620">
            <v>40</v>
          </cell>
          <cell r="I1620" t="str">
            <v>F</v>
          </cell>
          <cell r="J1620" t="str">
            <v>POSITIF</v>
          </cell>
        </row>
        <row r="1621">
          <cell r="F1621" t="str">
            <v>LOGBABA</v>
          </cell>
          <cell r="G1621" t="str">
            <v>LITTORAL</v>
          </cell>
          <cell r="H1621">
            <v>43</v>
          </cell>
          <cell r="I1621" t="str">
            <v>M</v>
          </cell>
          <cell r="J1621" t="str">
            <v>POSITIF</v>
          </cell>
        </row>
        <row r="1622">
          <cell r="F1622" t="str">
            <v>NYLON</v>
          </cell>
          <cell r="G1622" t="str">
            <v>Littoral</v>
          </cell>
          <cell r="H1622">
            <v>65</v>
          </cell>
          <cell r="I1622" t="str">
            <v>F</v>
          </cell>
          <cell r="J1622" t="str">
            <v>POSITIF</v>
          </cell>
        </row>
        <row r="1623">
          <cell r="F1623" t="str">
            <v>DEIDO</v>
          </cell>
          <cell r="G1623" t="str">
            <v>Littoral</v>
          </cell>
          <cell r="H1623">
            <v>35</v>
          </cell>
          <cell r="I1623" t="str">
            <v>F</v>
          </cell>
          <cell r="J1623" t="str">
            <v>POSITIF</v>
          </cell>
        </row>
        <row r="1624">
          <cell r="F1624" t="str">
            <v>DEIDO</v>
          </cell>
          <cell r="G1624" t="str">
            <v>LITTORAL</v>
          </cell>
          <cell r="H1624">
            <v>35</v>
          </cell>
          <cell r="I1624" t="str">
            <v>F</v>
          </cell>
          <cell r="J1624" t="str">
            <v>POSITIF</v>
          </cell>
        </row>
        <row r="1625">
          <cell r="F1625" t="str">
            <v>JAPOMA</v>
          </cell>
          <cell r="G1625" t="str">
            <v>Littoral</v>
          </cell>
          <cell r="H1625">
            <v>37</v>
          </cell>
          <cell r="I1625" t="str">
            <v>M</v>
          </cell>
          <cell r="J1625" t="str">
            <v>POSITIF</v>
          </cell>
        </row>
        <row r="1626">
          <cell r="F1626" t="str">
            <v>NJOMBE_PENJA</v>
          </cell>
          <cell r="G1626" t="str">
            <v>Littoral</v>
          </cell>
          <cell r="H1626">
            <v>42</v>
          </cell>
          <cell r="I1626" t="str">
            <v>M</v>
          </cell>
          <cell r="J1626" t="str">
            <v>POSITIF</v>
          </cell>
        </row>
        <row r="1627">
          <cell r="F1627" t="str">
            <v>BOKO</v>
          </cell>
          <cell r="G1627" t="str">
            <v>Littoral</v>
          </cell>
          <cell r="H1627">
            <v>19</v>
          </cell>
          <cell r="I1627" t="str">
            <v>M</v>
          </cell>
          <cell r="J1627" t="str">
            <v>POSITIF</v>
          </cell>
        </row>
        <row r="1628">
          <cell r="F1628" t="str">
            <v>DEIDO</v>
          </cell>
          <cell r="G1628" t="str">
            <v>LITTORAL</v>
          </cell>
          <cell r="H1628">
            <v>54</v>
          </cell>
          <cell r="I1628" t="str">
            <v>M</v>
          </cell>
          <cell r="J1628" t="str">
            <v>POSITIF</v>
          </cell>
        </row>
        <row r="1629">
          <cell r="F1629" t="str">
            <v>BUEA</v>
          </cell>
          <cell r="G1629" t="str">
            <v>Sud-Ouest</v>
          </cell>
          <cell r="H1629">
            <v>53</v>
          </cell>
          <cell r="I1629" t="str">
            <v>M</v>
          </cell>
          <cell r="J1629" t="str">
            <v>POSITIF</v>
          </cell>
        </row>
        <row r="1630">
          <cell r="F1630" t="str">
            <v>KUMBA MBENG</v>
          </cell>
          <cell r="G1630" t="str">
            <v>Sud-Ouest</v>
          </cell>
          <cell r="H1630">
            <v>54</v>
          </cell>
          <cell r="I1630" t="str">
            <v>M</v>
          </cell>
          <cell r="J1630" t="str">
            <v>POSITIF</v>
          </cell>
        </row>
        <row r="1631">
          <cell r="F1631" t="str">
            <v>NEW_BELL</v>
          </cell>
          <cell r="G1631" t="str">
            <v>LITTORAL</v>
          </cell>
          <cell r="H1631">
            <v>33</v>
          </cell>
          <cell r="I1631" t="str">
            <v>M</v>
          </cell>
          <cell r="J1631" t="str">
            <v>POSITIF</v>
          </cell>
        </row>
        <row r="1632">
          <cell r="F1632" t="str">
            <v>DEIDO</v>
          </cell>
          <cell r="G1632" t="str">
            <v>Littoral</v>
          </cell>
          <cell r="H1632">
            <v>11</v>
          </cell>
          <cell r="I1632" t="str">
            <v>F</v>
          </cell>
          <cell r="J1632" t="str">
            <v>POSITIF</v>
          </cell>
        </row>
        <row r="1633">
          <cell r="F1633" t="str">
            <v>DEIDO</v>
          </cell>
          <cell r="G1633" t="str">
            <v>Littoral</v>
          </cell>
          <cell r="H1633">
            <v>54</v>
          </cell>
          <cell r="I1633" t="str">
            <v>M</v>
          </cell>
          <cell r="J1633" t="str">
            <v>POSITIF</v>
          </cell>
        </row>
        <row r="1634">
          <cell r="F1634" t="str">
            <v>DEIDO</v>
          </cell>
          <cell r="G1634" t="str">
            <v>Littoral</v>
          </cell>
          <cell r="H1634">
            <v>12</v>
          </cell>
          <cell r="I1634" t="str">
            <v>F</v>
          </cell>
          <cell r="J1634" t="str">
            <v>POSITIF</v>
          </cell>
        </row>
        <row r="1635">
          <cell r="F1635" t="str">
            <v>NEW_BELL</v>
          </cell>
          <cell r="G1635" t="str">
            <v>Littoral</v>
          </cell>
          <cell r="H1635">
            <v>48</v>
          </cell>
          <cell r="I1635" t="str">
            <v>M</v>
          </cell>
          <cell r="J1635" t="str">
            <v>POSITIF</v>
          </cell>
        </row>
        <row r="1636">
          <cell r="F1636" t="str">
            <v>DEIDO</v>
          </cell>
          <cell r="G1636" t="str">
            <v>Littoral</v>
          </cell>
          <cell r="H1636">
            <v>27</v>
          </cell>
          <cell r="I1636" t="str">
            <v>F</v>
          </cell>
          <cell r="J1636" t="str">
            <v>POSITIF</v>
          </cell>
        </row>
        <row r="1637">
          <cell r="F1637" t="str">
            <v>NYLON</v>
          </cell>
          <cell r="G1637" t="str">
            <v>Littoral</v>
          </cell>
          <cell r="H1637">
            <v>59</v>
          </cell>
          <cell r="I1637" t="str">
            <v>F</v>
          </cell>
          <cell r="J1637" t="str">
            <v>POSITIF</v>
          </cell>
        </row>
        <row r="1638">
          <cell r="F1638" t="str">
            <v>NYLON</v>
          </cell>
          <cell r="G1638" t="str">
            <v>Littoral</v>
          </cell>
          <cell r="H1638">
            <v>51</v>
          </cell>
          <cell r="I1638" t="str">
            <v>M</v>
          </cell>
          <cell r="J1638" t="str">
            <v>POSITIF</v>
          </cell>
        </row>
        <row r="1639">
          <cell r="F1639" t="str">
            <v>BANGUE</v>
          </cell>
          <cell r="G1639" t="str">
            <v>Littoral</v>
          </cell>
          <cell r="H1639">
            <v>47</v>
          </cell>
          <cell r="I1639" t="str">
            <v>F</v>
          </cell>
          <cell r="J1639" t="str">
            <v>POSITIF</v>
          </cell>
        </row>
        <row r="1640">
          <cell r="F1640" t="str">
            <v>LOGBABA</v>
          </cell>
          <cell r="G1640" t="str">
            <v>Littoral</v>
          </cell>
          <cell r="H1640">
            <v>2</v>
          </cell>
          <cell r="I1640" t="str">
            <v>M</v>
          </cell>
          <cell r="J1640" t="str">
            <v>POSITIF</v>
          </cell>
        </row>
        <row r="1641">
          <cell r="F1641" t="str">
            <v>JAPOMA</v>
          </cell>
          <cell r="G1641" t="str">
            <v>Littoral</v>
          </cell>
          <cell r="H1641">
            <v>50</v>
          </cell>
          <cell r="I1641" t="str">
            <v>M</v>
          </cell>
          <cell r="J1641" t="str">
            <v>POSITIF</v>
          </cell>
        </row>
        <row r="1642">
          <cell r="F1642" t="str">
            <v>NEW_BELL</v>
          </cell>
          <cell r="G1642" t="str">
            <v>Littoral</v>
          </cell>
          <cell r="H1642">
            <v>10</v>
          </cell>
          <cell r="I1642" t="str">
            <v>M</v>
          </cell>
          <cell r="J1642" t="str">
            <v>POSITIF</v>
          </cell>
        </row>
        <row r="1643">
          <cell r="F1643" t="str">
            <v>CITE_DES_PALMIERS</v>
          </cell>
          <cell r="G1643" t="str">
            <v>Littoral</v>
          </cell>
          <cell r="H1643">
            <v>34</v>
          </cell>
          <cell r="I1643" t="str">
            <v>F</v>
          </cell>
          <cell r="J1643" t="str">
            <v>POSITIF</v>
          </cell>
        </row>
        <row r="1644">
          <cell r="F1644" t="str">
            <v>BOKO</v>
          </cell>
          <cell r="G1644" t="str">
            <v>Littoral</v>
          </cell>
          <cell r="H1644">
            <v>21</v>
          </cell>
          <cell r="I1644" t="str">
            <v>F</v>
          </cell>
          <cell r="J1644" t="str">
            <v>POSITIF</v>
          </cell>
        </row>
        <row r="1645">
          <cell r="F1645" t="str">
            <v>BOKO</v>
          </cell>
          <cell r="G1645" t="str">
            <v>Littoral</v>
          </cell>
          <cell r="H1645">
            <v>32</v>
          </cell>
          <cell r="I1645" t="str">
            <v>M</v>
          </cell>
          <cell r="J1645" t="str">
            <v>POSITIF</v>
          </cell>
        </row>
        <row r="1646">
          <cell r="F1646" t="str">
            <v>BOKO</v>
          </cell>
          <cell r="G1646" t="str">
            <v>Littoral</v>
          </cell>
          <cell r="H1646">
            <v>72</v>
          </cell>
          <cell r="I1646" t="str">
            <v>M</v>
          </cell>
          <cell r="J1646" t="str">
            <v>POSITIF</v>
          </cell>
        </row>
        <row r="1647">
          <cell r="F1647" t="str">
            <v>BANGUE</v>
          </cell>
          <cell r="G1647" t="str">
            <v>Littoral</v>
          </cell>
          <cell r="H1647">
            <v>35</v>
          </cell>
          <cell r="I1647" t="str">
            <v>M</v>
          </cell>
          <cell r="J1647" t="str">
            <v>POSITIF</v>
          </cell>
        </row>
        <row r="1648">
          <cell r="F1648" t="str">
            <v>BONASSAMA</v>
          </cell>
          <cell r="G1648" t="str">
            <v>Littoral</v>
          </cell>
          <cell r="H1648">
            <v>8</v>
          </cell>
          <cell r="I1648" t="str">
            <v>M</v>
          </cell>
          <cell r="J1648" t="str">
            <v>POSITIF</v>
          </cell>
        </row>
        <row r="1649">
          <cell r="F1649" t="str">
            <v>DEIDO</v>
          </cell>
          <cell r="G1649" t="str">
            <v>LITTORAL</v>
          </cell>
          <cell r="H1649">
            <v>24</v>
          </cell>
          <cell r="I1649" t="str">
            <v>M</v>
          </cell>
          <cell r="J1649" t="str">
            <v>POSITIF</v>
          </cell>
        </row>
        <row r="1650">
          <cell r="F1650" t="str">
            <v>MIFI</v>
          </cell>
          <cell r="G1650" t="str">
            <v>Ouest</v>
          </cell>
          <cell r="H1650">
            <v>14</v>
          </cell>
          <cell r="I1650" t="str">
            <v>F</v>
          </cell>
          <cell r="J1650" t="str">
            <v>POSITIF</v>
          </cell>
        </row>
        <row r="1651">
          <cell r="F1651" t="str">
            <v>BANGUE</v>
          </cell>
          <cell r="G1651" t="str">
            <v>Littoral</v>
          </cell>
          <cell r="H1651">
            <v>32</v>
          </cell>
          <cell r="I1651" t="str">
            <v>F</v>
          </cell>
          <cell r="J1651" t="str">
            <v>POSITIF</v>
          </cell>
        </row>
        <row r="1652">
          <cell r="F1652" t="str">
            <v>BONASSAMA</v>
          </cell>
          <cell r="G1652" t="str">
            <v>Littoral</v>
          </cell>
          <cell r="H1652">
            <v>22</v>
          </cell>
          <cell r="I1652" t="str">
            <v>M</v>
          </cell>
          <cell r="J1652" t="str">
            <v>POSITIF</v>
          </cell>
        </row>
        <row r="1653">
          <cell r="F1653" t="str">
            <v>CITE_DES_PALMIERS</v>
          </cell>
          <cell r="G1653" t="str">
            <v>Littoral</v>
          </cell>
          <cell r="H1653">
            <v>17</v>
          </cell>
          <cell r="I1653" t="str">
            <v>F</v>
          </cell>
          <cell r="J1653" t="str">
            <v>POSITIF</v>
          </cell>
        </row>
        <row r="1654">
          <cell r="F1654" t="str">
            <v>DEIDO</v>
          </cell>
          <cell r="G1654" t="str">
            <v>LITTORAL</v>
          </cell>
          <cell r="H1654">
            <v>31</v>
          </cell>
          <cell r="I1654" t="str">
            <v>F</v>
          </cell>
          <cell r="J1654" t="str">
            <v>POSITIF</v>
          </cell>
        </row>
        <row r="1655">
          <cell r="F1655" t="str">
            <v>BANGUE</v>
          </cell>
          <cell r="G1655" t="str">
            <v>Littoral</v>
          </cell>
          <cell r="H1655">
            <v>26</v>
          </cell>
          <cell r="I1655" t="str">
            <v>F</v>
          </cell>
          <cell r="J1655" t="str">
            <v>POSITIF</v>
          </cell>
        </row>
        <row r="1656">
          <cell r="F1656" t="str">
            <v>NYLON</v>
          </cell>
          <cell r="G1656" t="str">
            <v>Littoral</v>
          </cell>
          <cell r="H1656">
            <v>21</v>
          </cell>
          <cell r="I1656" t="str">
            <v>M</v>
          </cell>
          <cell r="J1656" t="str">
            <v>POSITIF</v>
          </cell>
        </row>
        <row r="1657">
          <cell r="F1657" t="str">
            <v>LOGBABA</v>
          </cell>
          <cell r="G1657" t="str">
            <v>LITTORAL</v>
          </cell>
          <cell r="I1657" t="str">
            <v>M</v>
          </cell>
          <cell r="J1657" t="str">
            <v>POSITIF</v>
          </cell>
        </row>
        <row r="1658">
          <cell r="F1658" t="str">
            <v>DEIDO</v>
          </cell>
          <cell r="G1658" t="str">
            <v>Littoral</v>
          </cell>
          <cell r="H1658">
            <v>32</v>
          </cell>
          <cell r="I1658" t="str">
            <v>F</v>
          </cell>
          <cell r="J1658" t="str">
            <v>POSITIF</v>
          </cell>
        </row>
        <row r="1659">
          <cell r="F1659" t="str">
            <v>NYLON</v>
          </cell>
          <cell r="G1659" t="str">
            <v>LITTORAL</v>
          </cell>
          <cell r="H1659">
            <v>9</v>
          </cell>
          <cell r="I1659" t="str">
            <v>M</v>
          </cell>
          <cell r="J1659" t="str">
            <v>POSITIF</v>
          </cell>
        </row>
        <row r="1660">
          <cell r="F1660" t="str">
            <v>DEIDO</v>
          </cell>
          <cell r="G1660" t="str">
            <v>Littoral</v>
          </cell>
          <cell r="H1660">
            <v>41</v>
          </cell>
          <cell r="I1660" t="str">
            <v>F</v>
          </cell>
          <cell r="J1660" t="str">
            <v>POSITIF</v>
          </cell>
        </row>
        <row r="1661">
          <cell r="F1661" t="str">
            <v>CITE_DES_PALMIERS</v>
          </cell>
          <cell r="G1661" t="str">
            <v>LITTORAL</v>
          </cell>
          <cell r="H1661">
            <v>34</v>
          </cell>
          <cell r="I1661" t="str">
            <v>M</v>
          </cell>
          <cell r="J1661" t="str">
            <v>POSITIF</v>
          </cell>
        </row>
        <row r="1662">
          <cell r="F1662" t="str">
            <v>MBANGA</v>
          </cell>
          <cell r="G1662" t="str">
            <v>Littoral</v>
          </cell>
          <cell r="H1662">
            <v>47</v>
          </cell>
          <cell r="I1662" t="str">
            <v>M</v>
          </cell>
          <cell r="J1662" t="str">
            <v>POSITIF</v>
          </cell>
        </row>
        <row r="1663">
          <cell r="F1663" t="str">
            <v>NYLON</v>
          </cell>
          <cell r="G1663" t="str">
            <v>LITTORAL</v>
          </cell>
          <cell r="H1663">
            <v>7</v>
          </cell>
          <cell r="I1663" t="str">
            <v>M</v>
          </cell>
          <cell r="J1663" t="str">
            <v>POSITIF</v>
          </cell>
        </row>
        <row r="1664">
          <cell r="F1664" t="str">
            <v>BONASSAMA</v>
          </cell>
          <cell r="G1664" t="str">
            <v>Littoral</v>
          </cell>
          <cell r="H1664">
            <v>33</v>
          </cell>
          <cell r="I1664" t="str">
            <v>F</v>
          </cell>
          <cell r="J1664" t="str">
            <v>POSITIF</v>
          </cell>
        </row>
        <row r="1665">
          <cell r="F1665" t="str">
            <v>BANGUE</v>
          </cell>
          <cell r="G1665" t="str">
            <v>Littoral</v>
          </cell>
          <cell r="H1665">
            <v>39</v>
          </cell>
          <cell r="I1665" t="str">
            <v>M</v>
          </cell>
          <cell r="J1665" t="str">
            <v>POSITIF</v>
          </cell>
        </row>
        <row r="1666">
          <cell r="F1666" t="str">
            <v>BANGUE</v>
          </cell>
          <cell r="G1666" t="str">
            <v>Littoral</v>
          </cell>
          <cell r="H1666">
            <v>7</v>
          </cell>
          <cell r="I1666" t="str">
            <v>M</v>
          </cell>
          <cell r="J1666" t="str">
            <v>POSITIF</v>
          </cell>
        </row>
        <row r="1667">
          <cell r="F1667" t="str">
            <v>BOKO</v>
          </cell>
          <cell r="G1667" t="str">
            <v>Littoral</v>
          </cell>
          <cell r="H1667">
            <v>57</v>
          </cell>
          <cell r="I1667" t="str">
            <v>M</v>
          </cell>
          <cell r="J1667" t="str">
            <v>POSITIF</v>
          </cell>
        </row>
        <row r="1668">
          <cell r="F1668" t="str">
            <v>BOKO</v>
          </cell>
          <cell r="G1668" t="str">
            <v>Littoral</v>
          </cell>
          <cell r="H1668">
            <v>63</v>
          </cell>
          <cell r="I1668" t="str">
            <v>F</v>
          </cell>
          <cell r="J1668" t="str">
            <v>POSITIF</v>
          </cell>
        </row>
        <row r="1669">
          <cell r="F1669" t="str">
            <v>BOKO</v>
          </cell>
          <cell r="G1669" t="str">
            <v>Littoral</v>
          </cell>
          <cell r="H1669">
            <v>47</v>
          </cell>
          <cell r="I1669" t="str">
            <v>M</v>
          </cell>
          <cell r="J1669" t="str">
            <v>POSITIF</v>
          </cell>
        </row>
        <row r="1670">
          <cell r="F1670" t="str">
            <v>MBANGA</v>
          </cell>
          <cell r="G1670" t="str">
            <v>Littoral</v>
          </cell>
          <cell r="H1670">
            <v>12</v>
          </cell>
          <cell r="I1670" t="str">
            <v>F</v>
          </cell>
          <cell r="J1670" t="str">
            <v>POSITIF</v>
          </cell>
        </row>
        <row r="1671">
          <cell r="F1671" t="str">
            <v>LIMBE</v>
          </cell>
          <cell r="G1671" t="str">
            <v>Sud-Ouest</v>
          </cell>
          <cell r="H1671">
            <v>30</v>
          </cell>
          <cell r="I1671" t="str">
            <v>F</v>
          </cell>
          <cell r="J1671" t="str">
            <v>POSITIF</v>
          </cell>
        </row>
        <row r="1672">
          <cell r="F1672" t="str">
            <v>BANGUE</v>
          </cell>
          <cell r="G1672" t="str">
            <v>LITTORAL</v>
          </cell>
          <cell r="H1672">
            <v>50</v>
          </cell>
          <cell r="I1672" t="str">
            <v>M</v>
          </cell>
          <cell r="J1672" t="str">
            <v>POSITIF</v>
          </cell>
        </row>
        <row r="1673">
          <cell r="F1673" t="str">
            <v>BOKO</v>
          </cell>
          <cell r="G1673" t="str">
            <v>Littoral</v>
          </cell>
          <cell r="H1673">
            <v>22</v>
          </cell>
          <cell r="I1673" t="str">
            <v>F</v>
          </cell>
          <cell r="J1673" t="str">
            <v>POSITIF</v>
          </cell>
        </row>
        <row r="1674">
          <cell r="F1674" t="str">
            <v>NEW_BELL</v>
          </cell>
          <cell r="G1674" t="str">
            <v>Littoral</v>
          </cell>
          <cell r="H1674">
            <v>27</v>
          </cell>
          <cell r="I1674" t="str">
            <v>F</v>
          </cell>
          <cell r="J1674" t="str">
            <v>POSITIF</v>
          </cell>
        </row>
        <row r="1675">
          <cell r="F1675" t="str">
            <v>NYLON</v>
          </cell>
          <cell r="G1675" t="str">
            <v>Littoral</v>
          </cell>
          <cell r="H1675">
            <v>20</v>
          </cell>
          <cell r="I1675" t="str">
            <v>F</v>
          </cell>
          <cell r="J1675" t="str">
            <v>POSITIF</v>
          </cell>
        </row>
        <row r="1676">
          <cell r="F1676" t="str">
            <v>NYLON</v>
          </cell>
          <cell r="G1676" t="str">
            <v>Littoral</v>
          </cell>
          <cell r="H1676">
            <v>15</v>
          </cell>
          <cell r="I1676" t="str">
            <v>F</v>
          </cell>
          <cell r="J1676" t="str">
            <v>POSITIF</v>
          </cell>
        </row>
        <row r="1677">
          <cell r="F1677" t="str">
            <v>NEW_BELL</v>
          </cell>
          <cell r="G1677" t="str">
            <v>Littoral</v>
          </cell>
          <cell r="H1677">
            <v>12</v>
          </cell>
          <cell r="I1677" t="str">
            <v>F</v>
          </cell>
          <cell r="J1677" t="str">
            <v>POSITIF</v>
          </cell>
        </row>
        <row r="1678">
          <cell r="F1678" t="str">
            <v>NYLON</v>
          </cell>
          <cell r="G1678" t="str">
            <v>Littoral</v>
          </cell>
          <cell r="H1678">
            <v>33</v>
          </cell>
          <cell r="I1678" t="str">
            <v>F</v>
          </cell>
          <cell r="J1678" t="str">
            <v>POSITIF</v>
          </cell>
        </row>
        <row r="1679">
          <cell r="F1679" t="str">
            <v>CITE_DES_PALMIERS</v>
          </cell>
          <cell r="G1679" t="str">
            <v>Littoral</v>
          </cell>
          <cell r="H1679">
            <v>22</v>
          </cell>
          <cell r="I1679" t="str">
            <v>M</v>
          </cell>
          <cell r="J1679" t="str">
            <v>POSITIF</v>
          </cell>
        </row>
        <row r="1680">
          <cell r="F1680" t="str">
            <v>BANGUE</v>
          </cell>
          <cell r="G1680" t="str">
            <v>LITTORAL</v>
          </cell>
          <cell r="H1680">
            <v>38</v>
          </cell>
          <cell r="I1680" t="str">
            <v>M</v>
          </cell>
          <cell r="J1680" t="str">
            <v>POSITIF</v>
          </cell>
        </row>
        <row r="1681">
          <cell r="F1681" t="str">
            <v>NYLON</v>
          </cell>
          <cell r="G1681" t="str">
            <v>Littoral</v>
          </cell>
          <cell r="H1681">
            <v>27</v>
          </cell>
          <cell r="I1681" t="str">
            <v>M</v>
          </cell>
          <cell r="J1681" t="str">
            <v>POSITIF</v>
          </cell>
        </row>
        <row r="1682">
          <cell r="F1682" t="str">
            <v>LIMBE</v>
          </cell>
          <cell r="G1682" t="str">
            <v>Sud-Ouest</v>
          </cell>
          <cell r="H1682">
            <v>56</v>
          </cell>
          <cell r="I1682" t="str">
            <v>M</v>
          </cell>
          <cell r="J1682" t="str">
            <v>POSITIF</v>
          </cell>
        </row>
        <row r="1683">
          <cell r="F1683" t="str">
            <v>DEIDO</v>
          </cell>
          <cell r="G1683" t="str">
            <v>LITTORAL</v>
          </cell>
          <cell r="H1683">
            <v>35</v>
          </cell>
          <cell r="I1683" t="str">
            <v>F</v>
          </cell>
          <cell r="J1683" t="str">
            <v>POSITIF</v>
          </cell>
        </row>
        <row r="1684">
          <cell r="F1684" t="str">
            <v>CITE_DES_PALMIERS</v>
          </cell>
          <cell r="G1684" t="str">
            <v>Littoral</v>
          </cell>
          <cell r="H1684">
            <v>49</v>
          </cell>
          <cell r="I1684" t="str">
            <v>M</v>
          </cell>
          <cell r="J1684" t="str">
            <v>POSITIF</v>
          </cell>
        </row>
        <row r="1685">
          <cell r="F1685" t="str">
            <v>NYLON</v>
          </cell>
          <cell r="G1685" t="str">
            <v>Littoral</v>
          </cell>
          <cell r="H1685">
            <v>26</v>
          </cell>
          <cell r="I1685" t="str">
            <v>F</v>
          </cell>
          <cell r="J1685" t="str">
            <v>POSITIF</v>
          </cell>
        </row>
        <row r="1686">
          <cell r="F1686" t="str">
            <v>LOGBABA</v>
          </cell>
          <cell r="G1686" t="str">
            <v>LITTORAL</v>
          </cell>
          <cell r="H1686">
            <v>15</v>
          </cell>
          <cell r="I1686" t="str">
            <v>F</v>
          </cell>
          <cell r="J1686" t="str">
            <v>POSITIF</v>
          </cell>
        </row>
        <row r="1687">
          <cell r="F1687" t="str">
            <v>NYLON</v>
          </cell>
          <cell r="G1687" t="str">
            <v>Littoral</v>
          </cell>
          <cell r="H1687">
            <v>53</v>
          </cell>
          <cell r="I1687" t="str">
            <v>M</v>
          </cell>
          <cell r="J1687" t="str">
            <v>POSITIF</v>
          </cell>
        </row>
        <row r="1688">
          <cell r="F1688" t="str">
            <v>NYLON</v>
          </cell>
          <cell r="G1688" t="str">
            <v>Littoral</v>
          </cell>
          <cell r="H1688">
            <v>11</v>
          </cell>
          <cell r="I1688" t="str">
            <v>F</v>
          </cell>
          <cell r="J1688" t="str">
            <v>POSITIF</v>
          </cell>
        </row>
        <row r="1689">
          <cell r="F1689" t="str">
            <v>NYLON</v>
          </cell>
          <cell r="G1689" t="str">
            <v>Littoral</v>
          </cell>
          <cell r="H1689">
            <v>18</v>
          </cell>
          <cell r="I1689" t="str">
            <v>F</v>
          </cell>
          <cell r="J1689" t="str">
            <v>POSITIF</v>
          </cell>
        </row>
        <row r="1690">
          <cell r="F1690" t="str">
            <v>JAPOMA</v>
          </cell>
          <cell r="G1690" t="str">
            <v>Littoral</v>
          </cell>
          <cell r="H1690">
            <v>12</v>
          </cell>
          <cell r="I1690" t="str">
            <v>F</v>
          </cell>
          <cell r="J1690" t="str">
            <v>POSITIF</v>
          </cell>
        </row>
        <row r="1691">
          <cell r="F1691" t="str">
            <v xml:space="preserve">Tiko </v>
          </cell>
          <cell r="G1691" t="str">
            <v>Sud-Ouest</v>
          </cell>
          <cell r="H1691">
            <v>22</v>
          </cell>
          <cell r="I1691" t="str">
            <v>F</v>
          </cell>
          <cell r="J1691" t="str">
            <v>POSITIF</v>
          </cell>
        </row>
        <row r="1692">
          <cell r="F1692" t="str">
            <v>DEIDO</v>
          </cell>
          <cell r="G1692" t="str">
            <v>Littoral</v>
          </cell>
          <cell r="H1692">
            <v>27</v>
          </cell>
          <cell r="I1692" t="str">
            <v>M</v>
          </cell>
          <cell r="J1692" t="str">
            <v>POSITIF</v>
          </cell>
        </row>
        <row r="1693">
          <cell r="F1693" t="str">
            <v>BOKO</v>
          </cell>
          <cell r="G1693" t="str">
            <v>Littoral</v>
          </cell>
          <cell r="H1693">
            <v>20</v>
          </cell>
          <cell r="I1693" t="str">
            <v>M</v>
          </cell>
          <cell r="J1693" t="str">
            <v>POSITIF</v>
          </cell>
        </row>
        <row r="1694">
          <cell r="F1694" t="str">
            <v>KUMBA NORTH</v>
          </cell>
          <cell r="G1694" t="str">
            <v>Sud-Ouest</v>
          </cell>
          <cell r="H1694">
            <v>31</v>
          </cell>
          <cell r="I1694" t="str">
            <v>M</v>
          </cell>
          <cell r="J1694" t="str">
            <v>POSITIF</v>
          </cell>
        </row>
        <row r="1695">
          <cell r="F1695" t="str">
            <v>BANGUE</v>
          </cell>
          <cell r="G1695" t="str">
            <v>Littoral</v>
          </cell>
          <cell r="H1695">
            <v>53</v>
          </cell>
          <cell r="I1695" t="str">
            <v>M</v>
          </cell>
          <cell r="J1695" t="str">
            <v>POSITIF</v>
          </cell>
        </row>
        <row r="1696">
          <cell r="F1696" t="str">
            <v>NYLON</v>
          </cell>
          <cell r="G1696" t="str">
            <v>LITTORAL</v>
          </cell>
          <cell r="H1696">
            <v>15</v>
          </cell>
          <cell r="I1696" t="str">
            <v>F</v>
          </cell>
          <cell r="J1696" t="str">
            <v>POSITIF</v>
          </cell>
        </row>
        <row r="1697">
          <cell r="F1697" t="str">
            <v>NYLON</v>
          </cell>
          <cell r="G1697" t="str">
            <v>Littoral</v>
          </cell>
          <cell r="H1697">
            <v>7</v>
          </cell>
          <cell r="I1697" t="str">
            <v>M</v>
          </cell>
          <cell r="J1697" t="str">
            <v>POSITIF</v>
          </cell>
        </row>
        <row r="1698">
          <cell r="F1698" t="str">
            <v>NYLON</v>
          </cell>
          <cell r="G1698" t="str">
            <v>Littoral</v>
          </cell>
          <cell r="H1698">
            <v>7</v>
          </cell>
          <cell r="I1698" t="str">
            <v>M</v>
          </cell>
          <cell r="J1698" t="str">
            <v>POSITIF</v>
          </cell>
        </row>
        <row r="1699">
          <cell r="F1699" t="str">
            <v>DEIDO</v>
          </cell>
          <cell r="G1699" t="str">
            <v>Littoral</v>
          </cell>
          <cell r="H1699">
            <v>67</v>
          </cell>
          <cell r="I1699" t="str">
            <v>F</v>
          </cell>
          <cell r="J1699" t="str">
            <v>POSITIF</v>
          </cell>
        </row>
        <row r="1700">
          <cell r="F1700" t="str">
            <v>NYLON</v>
          </cell>
          <cell r="G1700" t="str">
            <v>Littoral</v>
          </cell>
          <cell r="H1700">
            <v>72</v>
          </cell>
          <cell r="I1700" t="str">
            <v>F</v>
          </cell>
          <cell r="J1700" t="str">
            <v>POSITIF</v>
          </cell>
        </row>
        <row r="1701">
          <cell r="F1701" t="str">
            <v>NYLON</v>
          </cell>
          <cell r="G1701" t="str">
            <v>LITTORAL</v>
          </cell>
          <cell r="H1701">
            <v>42</v>
          </cell>
          <cell r="I1701" t="str">
            <v>F</v>
          </cell>
          <cell r="J1701" t="str">
            <v>POSITIF</v>
          </cell>
        </row>
        <row r="1702">
          <cell r="F1702" t="str">
            <v>NEW_BELL</v>
          </cell>
          <cell r="G1702" t="str">
            <v>Littoral</v>
          </cell>
          <cell r="H1702">
            <v>27</v>
          </cell>
          <cell r="I1702" t="str">
            <v>M</v>
          </cell>
          <cell r="J1702" t="str">
            <v>POSITIF</v>
          </cell>
        </row>
        <row r="1703">
          <cell r="F1703" t="str">
            <v>NEW_BELL</v>
          </cell>
          <cell r="G1703" t="str">
            <v>Littoral</v>
          </cell>
          <cell r="H1703">
            <v>27</v>
          </cell>
          <cell r="I1703" t="str">
            <v>M</v>
          </cell>
          <cell r="J1703" t="str">
            <v>POSITIF</v>
          </cell>
        </row>
        <row r="1704">
          <cell r="F1704" t="str">
            <v>NEW_BELL</v>
          </cell>
          <cell r="G1704" t="str">
            <v>Littoral</v>
          </cell>
          <cell r="H1704">
            <v>33</v>
          </cell>
          <cell r="I1704" t="str">
            <v>F</v>
          </cell>
          <cell r="J1704" t="str">
            <v>POSITIF</v>
          </cell>
        </row>
        <row r="1705">
          <cell r="F1705" t="str">
            <v>NEW_BELL</v>
          </cell>
          <cell r="G1705" t="str">
            <v>Littoral</v>
          </cell>
          <cell r="H1705">
            <v>12</v>
          </cell>
          <cell r="I1705" t="str">
            <v>F</v>
          </cell>
          <cell r="J1705" t="str">
            <v>POSITIF</v>
          </cell>
        </row>
        <row r="1706">
          <cell r="F1706" t="str">
            <v>NYLON</v>
          </cell>
          <cell r="G1706" t="str">
            <v>LITTORAL</v>
          </cell>
          <cell r="H1706">
            <v>12</v>
          </cell>
          <cell r="I1706" t="str">
            <v>M</v>
          </cell>
          <cell r="J1706" t="str">
            <v>POSITIF</v>
          </cell>
        </row>
        <row r="1707">
          <cell r="F1707" t="str">
            <v>LOGBABA</v>
          </cell>
          <cell r="G1707" t="str">
            <v>LITTORAL</v>
          </cell>
          <cell r="H1707">
            <v>43</v>
          </cell>
          <cell r="I1707" t="str">
            <v>M</v>
          </cell>
          <cell r="J1707" t="str">
            <v>POSITIF</v>
          </cell>
        </row>
        <row r="1708">
          <cell r="F1708" t="str">
            <v>LOGBABA</v>
          </cell>
          <cell r="G1708" t="str">
            <v>Littoral</v>
          </cell>
          <cell r="H1708">
            <v>57</v>
          </cell>
          <cell r="I1708" t="str">
            <v>F</v>
          </cell>
          <cell r="J1708" t="str">
            <v>POSITIF</v>
          </cell>
        </row>
        <row r="1709">
          <cell r="F1709" t="str">
            <v>NYLON</v>
          </cell>
          <cell r="G1709" t="str">
            <v>Littoral</v>
          </cell>
          <cell r="H1709">
            <v>35</v>
          </cell>
          <cell r="I1709" t="str">
            <v>M</v>
          </cell>
          <cell r="J1709" t="str">
            <v>POSITIF</v>
          </cell>
        </row>
        <row r="1710">
          <cell r="F1710" t="str">
            <v>JAPOMA</v>
          </cell>
          <cell r="G1710" t="str">
            <v>Littoral</v>
          </cell>
          <cell r="H1710">
            <v>9</v>
          </cell>
          <cell r="I1710" t="str">
            <v>M</v>
          </cell>
          <cell r="J1710" t="str">
            <v>POSITIF</v>
          </cell>
        </row>
        <row r="1711">
          <cell r="F1711" t="str">
            <v>NYLON</v>
          </cell>
          <cell r="G1711" t="str">
            <v>Littoral</v>
          </cell>
          <cell r="H1711">
            <v>18</v>
          </cell>
          <cell r="I1711" t="str">
            <v>M</v>
          </cell>
          <cell r="J1711" t="str">
            <v>POSITIF</v>
          </cell>
        </row>
        <row r="1712">
          <cell r="F1712" t="str">
            <v>MELONG</v>
          </cell>
          <cell r="G1712" t="str">
            <v>Littoral</v>
          </cell>
          <cell r="H1712">
            <v>44</v>
          </cell>
          <cell r="I1712" t="str">
            <v>M</v>
          </cell>
          <cell r="J1712" t="str">
            <v>POSITIF</v>
          </cell>
        </row>
        <row r="1713">
          <cell r="F1713" t="str">
            <v>DEIDO</v>
          </cell>
          <cell r="G1713" t="str">
            <v>Littoral</v>
          </cell>
          <cell r="H1713">
            <v>13</v>
          </cell>
          <cell r="I1713" t="str">
            <v>M</v>
          </cell>
          <cell r="J1713" t="str">
            <v>POSITIF</v>
          </cell>
        </row>
        <row r="1714">
          <cell r="F1714" t="str">
            <v>DEIDO</v>
          </cell>
          <cell r="G1714" t="str">
            <v>LITTORAL</v>
          </cell>
          <cell r="H1714">
            <v>13</v>
          </cell>
          <cell r="I1714" t="str">
            <v>M</v>
          </cell>
          <cell r="J1714" t="str">
            <v>POSITIF</v>
          </cell>
        </row>
        <row r="1715">
          <cell r="F1715" t="str">
            <v>NEW_BELL</v>
          </cell>
          <cell r="G1715" t="str">
            <v>Littoral</v>
          </cell>
          <cell r="H1715">
            <v>17</v>
          </cell>
          <cell r="I1715" t="str">
            <v>M</v>
          </cell>
          <cell r="J1715" t="str">
            <v>POSITIF</v>
          </cell>
        </row>
        <row r="1716">
          <cell r="F1716" t="str">
            <v>NYLON</v>
          </cell>
          <cell r="G1716" t="str">
            <v>Littoral</v>
          </cell>
          <cell r="H1716">
            <v>29</v>
          </cell>
          <cell r="I1716" t="str">
            <v>M</v>
          </cell>
          <cell r="J1716" t="str">
            <v>POSITIF</v>
          </cell>
        </row>
        <row r="1717">
          <cell r="F1717" t="str">
            <v>DEIDO</v>
          </cell>
          <cell r="G1717" t="str">
            <v>LITTORAL</v>
          </cell>
          <cell r="H1717">
            <v>29</v>
          </cell>
          <cell r="I1717" t="str">
            <v>M</v>
          </cell>
          <cell r="J1717" t="str">
            <v>POSITIF</v>
          </cell>
        </row>
        <row r="1718">
          <cell r="F1718" t="str">
            <v>CITE_DES_PALMIERS</v>
          </cell>
          <cell r="G1718" t="str">
            <v>LITTORAL</v>
          </cell>
          <cell r="H1718">
            <v>17</v>
          </cell>
          <cell r="I1718" t="str">
            <v>M</v>
          </cell>
          <cell r="J1718" t="str">
            <v>POSITIF</v>
          </cell>
        </row>
        <row r="1719">
          <cell r="F1719" t="str">
            <v>NYLON</v>
          </cell>
          <cell r="G1719" t="str">
            <v>Littoral</v>
          </cell>
          <cell r="H1719">
            <v>22</v>
          </cell>
          <cell r="I1719" t="str">
            <v>F</v>
          </cell>
          <cell r="J1719" t="str">
            <v>POSITIF</v>
          </cell>
        </row>
        <row r="1720">
          <cell r="F1720" t="str">
            <v>NKONGSAMBA</v>
          </cell>
          <cell r="G1720" t="str">
            <v>LITTORAL</v>
          </cell>
          <cell r="H1720">
            <v>44</v>
          </cell>
          <cell r="I1720" t="str">
            <v>M</v>
          </cell>
          <cell r="J1720" t="str">
            <v>POSITIF</v>
          </cell>
        </row>
        <row r="1721">
          <cell r="F1721" t="str">
            <v>BANGUE</v>
          </cell>
          <cell r="G1721" t="str">
            <v>LITTORAL</v>
          </cell>
          <cell r="H1721">
            <v>31</v>
          </cell>
          <cell r="I1721" t="str">
            <v>F</v>
          </cell>
          <cell r="J1721" t="str">
            <v>POSITIF</v>
          </cell>
        </row>
        <row r="1722">
          <cell r="F1722" t="str">
            <v>DEIDO</v>
          </cell>
          <cell r="G1722" t="str">
            <v>Littoral</v>
          </cell>
          <cell r="H1722">
            <v>55</v>
          </cell>
          <cell r="I1722" t="str">
            <v>F</v>
          </cell>
          <cell r="J1722" t="str">
            <v>POSITIF</v>
          </cell>
        </row>
        <row r="1723">
          <cell r="F1723" t="str">
            <v>BANGUE</v>
          </cell>
          <cell r="G1723" t="str">
            <v>Littoral</v>
          </cell>
          <cell r="H1723">
            <v>49</v>
          </cell>
          <cell r="I1723" t="str">
            <v>M</v>
          </cell>
          <cell r="J1723" t="str">
            <v>POSITIF</v>
          </cell>
        </row>
        <row r="1724">
          <cell r="F1724" t="str">
            <v>BANGUE</v>
          </cell>
          <cell r="G1724" t="str">
            <v>LITTORAL</v>
          </cell>
          <cell r="I1724" t="str">
            <v>M</v>
          </cell>
          <cell r="J1724" t="str">
            <v>POSITIF</v>
          </cell>
        </row>
        <row r="1725">
          <cell r="F1725" t="str">
            <v>CITE_DES_PALMIERS</v>
          </cell>
          <cell r="G1725" t="str">
            <v>LITTORAL</v>
          </cell>
          <cell r="H1725">
            <v>8</v>
          </cell>
          <cell r="I1725" t="str">
            <v>M</v>
          </cell>
          <cell r="J1725" t="str">
            <v>POSITIF</v>
          </cell>
        </row>
        <row r="1726">
          <cell r="F1726" t="str">
            <v>NEW_BELL</v>
          </cell>
          <cell r="G1726" t="str">
            <v>Littoral</v>
          </cell>
          <cell r="H1726">
            <v>8</v>
          </cell>
          <cell r="I1726" t="str">
            <v>F</v>
          </cell>
          <cell r="J1726" t="str">
            <v>POSITIF</v>
          </cell>
        </row>
        <row r="1727">
          <cell r="F1727" t="str">
            <v>NYLON</v>
          </cell>
          <cell r="G1727" t="str">
            <v>LITTORAL</v>
          </cell>
          <cell r="H1727">
            <v>27</v>
          </cell>
          <cell r="I1727" t="str">
            <v>M</v>
          </cell>
          <cell r="J1727" t="str">
            <v>POSITIF</v>
          </cell>
        </row>
        <row r="1728">
          <cell r="F1728" t="str">
            <v>NYLON</v>
          </cell>
          <cell r="G1728" t="str">
            <v>Littoral</v>
          </cell>
          <cell r="H1728">
            <v>45</v>
          </cell>
          <cell r="I1728" t="str">
            <v>M</v>
          </cell>
          <cell r="J1728" t="str">
            <v>POSITIF</v>
          </cell>
        </row>
        <row r="1729">
          <cell r="F1729" t="str">
            <v>NYLON</v>
          </cell>
          <cell r="G1729" t="str">
            <v>Littoral</v>
          </cell>
          <cell r="H1729">
            <v>22</v>
          </cell>
          <cell r="I1729" t="str">
            <v>M</v>
          </cell>
          <cell r="J1729" t="str">
            <v>POSITIF</v>
          </cell>
        </row>
        <row r="1730">
          <cell r="F1730" t="str">
            <v>NYLON</v>
          </cell>
          <cell r="G1730" t="str">
            <v>Littoral</v>
          </cell>
          <cell r="H1730">
            <v>22</v>
          </cell>
          <cell r="I1730" t="str">
            <v>M</v>
          </cell>
          <cell r="J1730" t="str">
            <v>POSITIF</v>
          </cell>
        </row>
        <row r="1731">
          <cell r="F1731" t="str">
            <v>DEIDO</v>
          </cell>
          <cell r="G1731" t="str">
            <v>LITTORAL</v>
          </cell>
          <cell r="H1731">
            <v>50</v>
          </cell>
          <cell r="I1731" t="str">
            <v>M</v>
          </cell>
          <cell r="J1731" t="str">
            <v>POSITIF</v>
          </cell>
        </row>
        <row r="1732">
          <cell r="F1732" t="str">
            <v>DEIDO</v>
          </cell>
          <cell r="G1732" t="str">
            <v>LITTORAL</v>
          </cell>
          <cell r="H1732">
            <v>39</v>
          </cell>
          <cell r="I1732" t="str">
            <v>M</v>
          </cell>
          <cell r="J1732" t="str">
            <v>POSITIF</v>
          </cell>
        </row>
        <row r="1733">
          <cell r="F1733" t="str">
            <v>MBANGA</v>
          </cell>
          <cell r="G1733" t="str">
            <v>LITTORAL</v>
          </cell>
          <cell r="H1733">
            <v>50</v>
          </cell>
          <cell r="I1733" t="str">
            <v>F</v>
          </cell>
          <cell r="J1733" t="str">
            <v>POSITIF</v>
          </cell>
        </row>
        <row r="1734">
          <cell r="F1734" t="str">
            <v>NEW_BELL</v>
          </cell>
          <cell r="G1734" t="str">
            <v>LITTORAL</v>
          </cell>
          <cell r="I1734" t="str">
            <v>M</v>
          </cell>
          <cell r="J1734" t="str">
            <v>POSITIF</v>
          </cell>
        </row>
        <row r="1735">
          <cell r="F1735" t="str">
            <v>Soa</v>
          </cell>
          <cell r="G1735" t="str">
            <v>CENTRE</v>
          </cell>
          <cell r="H1735">
            <v>10</v>
          </cell>
          <cell r="I1735" t="str">
            <v>F</v>
          </cell>
          <cell r="J1735" t="str">
            <v>POSITIF</v>
          </cell>
        </row>
        <row r="1736">
          <cell r="F1736" t="str">
            <v>Soa</v>
          </cell>
          <cell r="G1736" t="str">
            <v>CENTRE</v>
          </cell>
          <cell r="I1736" t="str">
            <v>M</v>
          </cell>
          <cell r="J1736" t="str">
            <v>POSITIF</v>
          </cell>
        </row>
        <row r="1737">
          <cell r="F1737" t="str">
            <v>Soa</v>
          </cell>
          <cell r="G1737" t="str">
            <v>CENTRE</v>
          </cell>
          <cell r="H1737">
            <v>49</v>
          </cell>
          <cell r="I1737" t="str">
            <v>M</v>
          </cell>
          <cell r="J1737" t="str">
            <v>POSITIF</v>
          </cell>
        </row>
        <row r="1738">
          <cell r="F1738" t="str">
            <v>NKOLNDONGO</v>
          </cell>
          <cell r="G1738" t="str">
            <v>CENTRE</v>
          </cell>
          <cell r="H1738">
            <v>22</v>
          </cell>
          <cell r="I1738" t="str">
            <v>F</v>
          </cell>
          <cell r="J1738" t="str">
            <v>POSITIF</v>
          </cell>
        </row>
        <row r="1739">
          <cell r="F1739" t="str">
            <v>NKOLNDONGO</v>
          </cell>
          <cell r="G1739" t="str">
            <v>CENTRE</v>
          </cell>
          <cell r="H1739">
            <v>40</v>
          </cell>
          <cell r="I1739" t="str">
            <v>M</v>
          </cell>
          <cell r="J1739" t="str">
            <v>POSITIF</v>
          </cell>
        </row>
        <row r="1740">
          <cell r="F1740" t="str">
            <v>BIYEM ASSI</v>
          </cell>
          <cell r="G1740" t="str">
            <v>CENTRE</v>
          </cell>
          <cell r="H1740">
            <v>76</v>
          </cell>
          <cell r="I1740" t="str">
            <v>F</v>
          </cell>
          <cell r="J1740" t="str">
            <v>POSITIF</v>
          </cell>
        </row>
        <row r="1741">
          <cell r="F1741" t="str">
            <v>BIYEM ASSI</v>
          </cell>
          <cell r="G1741" t="str">
            <v>CENTRE</v>
          </cell>
          <cell r="H1741">
            <v>22</v>
          </cell>
          <cell r="I1741" t="str">
            <v>F</v>
          </cell>
          <cell r="J1741" t="str">
            <v>POSITIF</v>
          </cell>
        </row>
        <row r="1742">
          <cell r="F1742" t="str">
            <v>EFOULAN</v>
          </cell>
          <cell r="G1742" t="str">
            <v>CENTRE</v>
          </cell>
          <cell r="H1742">
            <v>14</v>
          </cell>
          <cell r="I1742" t="str">
            <v>F</v>
          </cell>
          <cell r="J1742" t="str">
            <v>POSITIF</v>
          </cell>
        </row>
        <row r="1743">
          <cell r="F1743" t="str">
            <v>EFOULAN</v>
          </cell>
          <cell r="G1743" t="str">
            <v>CENTRE</v>
          </cell>
          <cell r="H1743">
            <v>35</v>
          </cell>
          <cell r="I1743" t="str">
            <v>F</v>
          </cell>
          <cell r="J1743" t="str">
            <v>POSITIF</v>
          </cell>
        </row>
        <row r="1744">
          <cell r="F1744" t="str">
            <v>EFOULAN</v>
          </cell>
          <cell r="G1744" t="str">
            <v>CENTRE</v>
          </cell>
          <cell r="H1744">
            <v>12</v>
          </cell>
          <cell r="I1744" t="str">
            <v>M</v>
          </cell>
          <cell r="J1744" t="str">
            <v>POSITIF</v>
          </cell>
        </row>
        <row r="1745">
          <cell r="F1745" t="str">
            <v>EFOULAN</v>
          </cell>
          <cell r="G1745" t="str">
            <v>CENTRE</v>
          </cell>
          <cell r="H1745">
            <v>10</v>
          </cell>
          <cell r="I1745" t="str">
            <v>M</v>
          </cell>
          <cell r="J1745" t="str">
            <v>POSITIF</v>
          </cell>
        </row>
        <row r="1746">
          <cell r="F1746" t="str">
            <v>NKOLNDONGO</v>
          </cell>
          <cell r="G1746" t="str">
            <v>CENTRE</v>
          </cell>
          <cell r="H1746">
            <v>48</v>
          </cell>
          <cell r="I1746" t="str">
            <v>M</v>
          </cell>
          <cell r="J1746" t="str">
            <v>POSITIF</v>
          </cell>
        </row>
        <row r="1747">
          <cell r="F1747" t="str">
            <v>EFOULAN</v>
          </cell>
          <cell r="G1747" t="str">
            <v>CENTRE</v>
          </cell>
          <cell r="H1747">
            <v>25</v>
          </cell>
          <cell r="I1747" t="str">
            <v>M</v>
          </cell>
          <cell r="J1747" t="str">
            <v>POSITIF</v>
          </cell>
        </row>
        <row r="1748">
          <cell r="F1748" t="str">
            <v>EFOULAN</v>
          </cell>
          <cell r="G1748" t="str">
            <v>CENTRE</v>
          </cell>
          <cell r="H1748">
            <v>51</v>
          </cell>
          <cell r="I1748" t="str">
            <v>M</v>
          </cell>
          <cell r="J1748" t="str">
            <v>POSITIF</v>
          </cell>
        </row>
        <row r="1749">
          <cell r="F1749" t="str">
            <v>DJOUNGOLO</v>
          </cell>
          <cell r="G1749" t="str">
            <v>CENTRE</v>
          </cell>
          <cell r="H1749">
            <v>31</v>
          </cell>
          <cell r="I1749" t="str">
            <v>M</v>
          </cell>
          <cell r="J1749" t="str">
            <v>POSITIF</v>
          </cell>
        </row>
        <row r="1750">
          <cell r="F1750" t="str">
            <v>ODZA</v>
          </cell>
          <cell r="G1750" t="str">
            <v>CENTRE</v>
          </cell>
          <cell r="H1750">
            <v>24</v>
          </cell>
          <cell r="I1750" t="str">
            <v>M</v>
          </cell>
          <cell r="J1750" t="str">
            <v>POSITIF</v>
          </cell>
        </row>
        <row r="1751">
          <cell r="F1751" t="str">
            <v>DJOUNGOLO</v>
          </cell>
          <cell r="G1751" t="str">
            <v>CENTRE</v>
          </cell>
          <cell r="H1751">
            <v>26</v>
          </cell>
          <cell r="I1751" t="str">
            <v>M</v>
          </cell>
          <cell r="J1751" t="str">
            <v>POSITIF</v>
          </cell>
        </row>
        <row r="1752">
          <cell r="F1752" t="str">
            <v>DJOUNGOLO</v>
          </cell>
          <cell r="G1752" t="str">
            <v>CENTRE</v>
          </cell>
          <cell r="H1752">
            <v>29</v>
          </cell>
          <cell r="I1752" t="str">
            <v>M</v>
          </cell>
          <cell r="J1752" t="str">
            <v>POSITIF</v>
          </cell>
        </row>
        <row r="1753">
          <cell r="F1753" t="str">
            <v>CITE VERTE</v>
          </cell>
          <cell r="G1753" t="str">
            <v>CENTRE</v>
          </cell>
          <cell r="H1753">
            <v>23</v>
          </cell>
          <cell r="I1753" t="str">
            <v>F</v>
          </cell>
          <cell r="J1753" t="str">
            <v>POSITIF</v>
          </cell>
        </row>
        <row r="1754">
          <cell r="F1754" t="str">
            <v>CITE VERTE</v>
          </cell>
          <cell r="G1754" t="str">
            <v>CENTRE</v>
          </cell>
          <cell r="H1754">
            <v>27</v>
          </cell>
          <cell r="I1754" t="str">
            <v>F</v>
          </cell>
          <cell r="J1754" t="str">
            <v>POSITIF</v>
          </cell>
        </row>
        <row r="1755">
          <cell r="F1755" t="str">
            <v>DJOUNGOLO</v>
          </cell>
          <cell r="G1755" t="str">
            <v>CENTRE</v>
          </cell>
          <cell r="H1755">
            <v>39</v>
          </cell>
          <cell r="I1755" t="str">
            <v>M</v>
          </cell>
          <cell r="J1755" t="str">
            <v>POSITIF</v>
          </cell>
        </row>
        <row r="1756">
          <cell r="F1756" t="str">
            <v>BIYEM ASSI</v>
          </cell>
          <cell r="G1756" t="str">
            <v>CENTRE</v>
          </cell>
          <cell r="H1756">
            <v>14</v>
          </cell>
          <cell r="I1756" t="str">
            <v>M</v>
          </cell>
          <cell r="J1756" t="str">
            <v>POSITIF</v>
          </cell>
        </row>
        <row r="1757">
          <cell r="F1757" t="str">
            <v>DJOUNGOLO</v>
          </cell>
          <cell r="G1757" t="str">
            <v>CENTRE</v>
          </cell>
          <cell r="H1757">
            <v>17</v>
          </cell>
          <cell r="I1757" t="str">
            <v>M</v>
          </cell>
          <cell r="J1757" t="str">
            <v>POSITIF</v>
          </cell>
        </row>
        <row r="1758">
          <cell r="F1758" t="str">
            <v>MVOG ADA</v>
          </cell>
          <cell r="G1758" t="str">
            <v>CENTRE</v>
          </cell>
          <cell r="H1758">
            <v>5</v>
          </cell>
          <cell r="I1758" t="str">
            <v>F</v>
          </cell>
          <cell r="J1758" t="str">
            <v>POSITIF</v>
          </cell>
        </row>
        <row r="1759">
          <cell r="F1759" t="str">
            <v>MVOG ADA</v>
          </cell>
          <cell r="G1759" t="str">
            <v>CENTRE</v>
          </cell>
          <cell r="H1759">
            <v>3</v>
          </cell>
          <cell r="I1759" t="str">
            <v>F</v>
          </cell>
          <cell r="J1759" t="str">
            <v>POSITIF</v>
          </cell>
        </row>
        <row r="1760">
          <cell r="F1760" t="str">
            <v>DJOUNGOLO</v>
          </cell>
          <cell r="G1760" t="str">
            <v>CENTRE</v>
          </cell>
          <cell r="H1760">
            <v>24</v>
          </cell>
          <cell r="I1760" t="str">
            <v>M</v>
          </cell>
          <cell r="J1760" t="str">
            <v>POSITIF</v>
          </cell>
        </row>
        <row r="1761">
          <cell r="F1761" t="str">
            <v>CITE VERTE</v>
          </cell>
          <cell r="G1761" t="str">
            <v>CENTRE</v>
          </cell>
          <cell r="H1761">
            <v>46</v>
          </cell>
          <cell r="I1761" t="str">
            <v>M</v>
          </cell>
          <cell r="J1761" t="str">
            <v>POSITIF</v>
          </cell>
        </row>
        <row r="1762">
          <cell r="F1762" t="str">
            <v>CITE VERTE</v>
          </cell>
          <cell r="G1762" t="str">
            <v>CENTRE</v>
          </cell>
          <cell r="H1762" t="str">
            <v>/</v>
          </cell>
          <cell r="I1762" t="str">
            <v>M</v>
          </cell>
          <cell r="J1762" t="str">
            <v>POSITIF</v>
          </cell>
        </row>
        <row r="1763">
          <cell r="F1763" t="str">
            <v>DJOUNGOLO</v>
          </cell>
          <cell r="G1763" t="str">
            <v>CENTRE</v>
          </cell>
          <cell r="H1763" t="str">
            <v>/</v>
          </cell>
          <cell r="I1763" t="str">
            <v>/</v>
          </cell>
          <cell r="J1763" t="str">
            <v>POSITIF</v>
          </cell>
        </row>
        <row r="1764">
          <cell r="F1764" t="str">
            <v>DJOUNGOLO</v>
          </cell>
          <cell r="G1764" t="str">
            <v>CENTRE</v>
          </cell>
          <cell r="H1764">
            <v>32</v>
          </cell>
          <cell r="I1764" t="str">
            <v>M</v>
          </cell>
          <cell r="J1764" t="str">
            <v>POSITIF</v>
          </cell>
        </row>
        <row r="1765">
          <cell r="F1765" t="str">
            <v>ODZA</v>
          </cell>
          <cell r="G1765" t="str">
            <v>CENTRE</v>
          </cell>
          <cell r="H1765">
            <v>13</v>
          </cell>
          <cell r="I1765" t="str">
            <v>M</v>
          </cell>
          <cell r="J1765" t="str">
            <v>POSITIF</v>
          </cell>
        </row>
        <row r="1766">
          <cell r="F1766" t="str">
            <v>ODZA</v>
          </cell>
          <cell r="G1766" t="str">
            <v>CENTRE</v>
          </cell>
          <cell r="H1766">
            <v>45</v>
          </cell>
          <cell r="I1766" t="str">
            <v>M</v>
          </cell>
          <cell r="J1766" t="str">
            <v>POSITIF</v>
          </cell>
        </row>
        <row r="1767">
          <cell r="F1767" t="str">
            <v>EFOULAN</v>
          </cell>
          <cell r="G1767" t="str">
            <v>CENTRE</v>
          </cell>
          <cell r="H1767">
            <v>29</v>
          </cell>
          <cell r="I1767" t="str">
            <v>F</v>
          </cell>
          <cell r="J1767" t="str">
            <v>POSITIF</v>
          </cell>
        </row>
        <row r="1768">
          <cell r="F1768" t="str">
            <v>NKOLNDONGO</v>
          </cell>
          <cell r="G1768" t="str">
            <v>CENTRE</v>
          </cell>
          <cell r="H1768">
            <v>17</v>
          </cell>
          <cell r="I1768" t="str">
            <v>M</v>
          </cell>
          <cell r="J1768" t="str">
            <v>POSITIF</v>
          </cell>
        </row>
        <row r="1769">
          <cell r="F1769" t="str">
            <v>EFOULAN</v>
          </cell>
          <cell r="G1769" t="str">
            <v>CENTRE</v>
          </cell>
          <cell r="H1769">
            <v>43</v>
          </cell>
          <cell r="I1769" t="str">
            <v>F</v>
          </cell>
          <cell r="J1769" t="str">
            <v>POSITIF</v>
          </cell>
        </row>
        <row r="1770">
          <cell r="F1770" t="str">
            <v>EFOULAN</v>
          </cell>
          <cell r="G1770" t="str">
            <v>CENTRE</v>
          </cell>
          <cell r="H1770">
            <v>28</v>
          </cell>
          <cell r="I1770" t="str">
            <v>F</v>
          </cell>
          <cell r="J1770" t="str">
            <v>POSITIF</v>
          </cell>
        </row>
        <row r="1771">
          <cell r="F1771" t="str">
            <v>EFOULAN</v>
          </cell>
          <cell r="G1771" t="str">
            <v>CENTRE</v>
          </cell>
          <cell r="H1771">
            <v>24</v>
          </cell>
          <cell r="I1771" t="str">
            <v>F</v>
          </cell>
          <cell r="J1771" t="str">
            <v>POSITIF</v>
          </cell>
        </row>
        <row r="1772">
          <cell r="F1772" t="str">
            <v>EFOULAN</v>
          </cell>
          <cell r="G1772" t="str">
            <v>CENTRE</v>
          </cell>
          <cell r="H1772">
            <v>38</v>
          </cell>
          <cell r="I1772" t="str">
            <v>M</v>
          </cell>
          <cell r="J1772" t="str">
            <v>POSITIF</v>
          </cell>
        </row>
        <row r="1773">
          <cell r="F1773" t="str">
            <v>BIYEM ASSI</v>
          </cell>
          <cell r="G1773" t="str">
            <v>CENTRE</v>
          </cell>
          <cell r="H1773">
            <v>25</v>
          </cell>
          <cell r="I1773" t="str">
            <v>F</v>
          </cell>
          <cell r="J1773" t="str">
            <v>POSITIF</v>
          </cell>
        </row>
        <row r="1774">
          <cell r="F1774" t="str">
            <v>EFOULAN</v>
          </cell>
          <cell r="G1774" t="str">
            <v>CENTRE</v>
          </cell>
          <cell r="I1774" t="str">
            <v>F</v>
          </cell>
          <cell r="J1774" t="str">
            <v>POSITIF</v>
          </cell>
        </row>
        <row r="1775">
          <cell r="F1775" t="str">
            <v>EFOULAN</v>
          </cell>
          <cell r="G1775" t="str">
            <v>CENTRE</v>
          </cell>
          <cell r="H1775">
            <v>36</v>
          </cell>
          <cell r="I1775" t="str">
            <v>M</v>
          </cell>
          <cell r="J1775" t="str">
            <v>POSITIF</v>
          </cell>
        </row>
        <row r="1776">
          <cell r="F1776" t="str">
            <v>DJOUNGOLO</v>
          </cell>
          <cell r="G1776" t="str">
            <v>CENTRE</v>
          </cell>
          <cell r="H1776">
            <v>32</v>
          </cell>
          <cell r="I1776" t="str">
            <v>F</v>
          </cell>
          <cell r="J1776" t="str">
            <v>POSITIF</v>
          </cell>
        </row>
        <row r="1777">
          <cell r="F1777" t="str">
            <v>DJOUNGOLO</v>
          </cell>
          <cell r="G1777" t="str">
            <v>CENTRE</v>
          </cell>
          <cell r="I1777" t="str">
            <v>F</v>
          </cell>
          <cell r="J1777" t="str">
            <v>POSITIF</v>
          </cell>
        </row>
        <row r="1778">
          <cell r="F1778" t="str">
            <v>DJOUNGOLO</v>
          </cell>
          <cell r="G1778" t="str">
            <v>CENTRE</v>
          </cell>
          <cell r="H1778">
            <v>57</v>
          </cell>
          <cell r="I1778" t="str">
            <v>F</v>
          </cell>
          <cell r="J1778" t="str">
            <v>POSITIF</v>
          </cell>
        </row>
        <row r="1779">
          <cell r="F1779" t="str">
            <v>DJOUNGOLO</v>
          </cell>
          <cell r="G1779" t="str">
            <v>CENTRE</v>
          </cell>
          <cell r="I1779" t="str">
            <v>F</v>
          </cell>
          <cell r="J1779" t="str">
            <v>POSITIF</v>
          </cell>
        </row>
        <row r="1780">
          <cell r="F1780" t="str">
            <v>DJOUNGOLO</v>
          </cell>
          <cell r="G1780" t="str">
            <v>CENTRE</v>
          </cell>
          <cell r="H1780">
            <v>54</v>
          </cell>
          <cell r="I1780" t="str">
            <v>F</v>
          </cell>
          <cell r="J1780" t="str">
            <v>POSITIF</v>
          </cell>
        </row>
        <row r="1781">
          <cell r="F1781" t="str">
            <v>DJOUNGOLO</v>
          </cell>
          <cell r="G1781" t="str">
            <v>CENTRE</v>
          </cell>
          <cell r="H1781">
            <v>59</v>
          </cell>
          <cell r="I1781" t="str">
            <v>F</v>
          </cell>
          <cell r="J1781" t="str">
            <v>POSITIF</v>
          </cell>
        </row>
        <row r="1782">
          <cell r="F1782" t="str">
            <v>DJOUNGOLO</v>
          </cell>
          <cell r="G1782" t="str">
            <v>CENTRE</v>
          </cell>
          <cell r="H1782">
            <v>12</v>
          </cell>
          <cell r="I1782" t="str">
            <v>M</v>
          </cell>
          <cell r="J1782" t="str">
            <v>POSITIF</v>
          </cell>
        </row>
        <row r="1783">
          <cell r="F1783" t="str">
            <v>DJOUNGOLO</v>
          </cell>
          <cell r="G1783" t="str">
            <v>CENTRE</v>
          </cell>
          <cell r="I1783" t="str">
            <v>F</v>
          </cell>
          <cell r="J1783" t="str">
            <v>POSITIF</v>
          </cell>
        </row>
        <row r="1784">
          <cell r="F1784" t="str">
            <v>DJOUNGOLO</v>
          </cell>
          <cell r="G1784" t="str">
            <v>CENTRE</v>
          </cell>
          <cell r="I1784" t="str">
            <v>M</v>
          </cell>
          <cell r="J1784" t="str">
            <v>POSITIF</v>
          </cell>
        </row>
        <row r="1785">
          <cell r="F1785" t="str">
            <v>DJOUNGOLO</v>
          </cell>
          <cell r="G1785" t="str">
            <v>CENTRE</v>
          </cell>
          <cell r="H1785">
            <v>29</v>
          </cell>
          <cell r="I1785" t="str">
            <v>F</v>
          </cell>
          <cell r="J1785" t="str">
            <v>POSITIF</v>
          </cell>
        </row>
        <row r="1786">
          <cell r="F1786" t="str">
            <v>DJOUNGOLO</v>
          </cell>
          <cell r="G1786" t="str">
            <v>CENTRE</v>
          </cell>
          <cell r="H1786">
            <v>27</v>
          </cell>
          <cell r="I1786" t="str">
            <v>F</v>
          </cell>
          <cell r="J1786" t="str">
            <v>POSITIF</v>
          </cell>
        </row>
        <row r="1787">
          <cell r="F1787" t="str">
            <v>DJOUNGOLO</v>
          </cell>
          <cell r="G1787" t="str">
            <v>CENTRE</v>
          </cell>
          <cell r="H1787">
            <v>25</v>
          </cell>
          <cell r="I1787" t="str">
            <v>F</v>
          </cell>
          <cell r="J1787" t="str">
            <v>POSITIF</v>
          </cell>
        </row>
        <row r="1788">
          <cell r="F1788" t="str">
            <v>DJOUNGOLO</v>
          </cell>
          <cell r="G1788" t="str">
            <v>CENTRE</v>
          </cell>
          <cell r="H1788">
            <v>27</v>
          </cell>
          <cell r="I1788" t="str">
            <v>F</v>
          </cell>
          <cell r="J1788" t="str">
            <v>POSITIF</v>
          </cell>
        </row>
        <row r="1789">
          <cell r="F1789" t="str">
            <v>DJOUNGOLO</v>
          </cell>
          <cell r="G1789" t="str">
            <v>CENTRE</v>
          </cell>
          <cell r="H1789">
            <v>41</v>
          </cell>
          <cell r="I1789" t="str">
            <v>F</v>
          </cell>
          <cell r="J1789" t="str">
            <v>POSITIF</v>
          </cell>
        </row>
        <row r="1790">
          <cell r="F1790" t="str">
            <v>EFOULAN</v>
          </cell>
          <cell r="G1790" t="str">
            <v>CENTRE</v>
          </cell>
          <cell r="H1790">
            <v>30</v>
          </cell>
          <cell r="I1790" t="str">
            <v>F</v>
          </cell>
          <cell r="J1790" t="str">
            <v>POSITIF</v>
          </cell>
        </row>
        <row r="1791">
          <cell r="F1791" t="str">
            <v>MVOG ADA</v>
          </cell>
          <cell r="G1791" t="str">
            <v>CENTRE</v>
          </cell>
          <cell r="H1791">
            <v>29</v>
          </cell>
          <cell r="I1791" t="str">
            <v>F</v>
          </cell>
          <cell r="J1791" t="str">
            <v>POSITIF</v>
          </cell>
        </row>
        <row r="1792">
          <cell r="F1792" t="str">
            <v>DJOUNGOLO</v>
          </cell>
          <cell r="G1792" t="str">
            <v>CENTRE</v>
          </cell>
          <cell r="H1792">
            <v>34</v>
          </cell>
          <cell r="I1792" t="str">
            <v>F</v>
          </cell>
          <cell r="J1792" t="str">
            <v>POSITIF</v>
          </cell>
        </row>
        <row r="1793">
          <cell r="F1793" t="str">
            <v>OBALA</v>
          </cell>
          <cell r="G1793" t="str">
            <v>CENTRE</v>
          </cell>
          <cell r="H1793">
            <v>5</v>
          </cell>
          <cell r="I1793" t="str">
            <v>F</v>
          </cell>
          <cell r="J1793" t="str">
            <v>POSITIF</v>
          </cell>
        </row>
        <row r="1794">
          <cell r="F1794" t="str">
            <v>OBALA</v>
          </cell>
          <cell r="G1794" t="str">
            <v>CENTRE</v>
          </cell>
          <cell r="H1794">
            <v>21</v>
          </cell>
          <cell r="I1794" t="str">
            <v>F</v>
          </cell>
          <cell r="J1794" t="str">
            <v>POSITIF</v>
          </cell>
        </row>
        <row r="1795">
          <cell r="F1795" t="str">
            <v>NTUI</v>
          </cell>
          <cell r="G1795" t="str">
            <v>CENTRE</v>
          </cell>
          <cell r="H1795">
            <v>50</v>
          </cell>
          <cell r="I1795" t="str">
            <v>F</v>
          </cell>
          <cell r="J1795" t="str">
            <v>POSITIF</v>
          </cell>
        </row>
        <row r="1796">
          <cell r="F1796" t="str">
            <v>BIYEM ASSI</v>
          </cell>
          <cell r="G1796" t="str">
            <v>CENTRE</v>
          </cell>
          <cell r="J1796" t="str">
            <v>POSITIF</v>
          </cell>
        </row>
        <row r="1797">
          <cell r="F1797" t="str">
            <v>BIYEM ASSI</v>
          </cell>
          <cell r="G1797" t="str">
            <v>CENTRE</v>
          </cell>
          <cell r="J1797" t="str">
            <v>POSITIF</v>
          </cell>
        </row>
        <row r="1798">
          <cell r="F1798" t="str">
            <v>BIYEM ASSI</v>
          </cell>
          <cell r="G1798" t="str">
            <v>CENTRE</v>
          </cell>
          <cell r="J1798" t="str">
            <v>POSITIF</v>
          </cell>
        </row>
        <row r="1799">
          <cell r="F1799" t="str">
            <v>BIYEM ASSI</v>
          </cell>
          <cell r="G1799" t="str">
            <v>CENTRE</v>
          </cell>
          <cell r="J1799" t="str">
            <v>POSITIF</v>
          </cell>
        </row>
        <row r="1800">
          <cell r="F1800" t="str">
            <v>BIYEM ASSI</v>
          </cell>
          <cell r="G1800" t="str">
            <v>CENTRE</v>
          </cell>
          <cell r="J1800" t="str">
            <v>POSITIF</v>
          </cell>
        </row>
        <row r="1801">
          <cell r="F1801" t="str">
            <v>BIYEM ASSI</v>
          </cell>
          <cell r="G1801" t="str">
            <v>CENTRE</v>
          </cell>
          <cell r="J1801" t="str">
            <v>POSITIF</v>
          </cell>
        </row>
        <row r="1802">
          <cell r="F1802" t="str">
            <v>BIYEM ASSI</v>
          </cell>
          <cell r="G1802" t="str">
            <v>CENTRE</v>
          </cell>
          <cell r="J1802" t="str">
            <v>POSITIF</v>
          </cell>
        </row>
        <row r="1803">
          <cell r="F1803" t="str">
            <v>BIYEM ASSI</v>
          </cell>
          <cell r="G1803" t="str">
            <v>CENTRE</v>
          </cell>
          <cell r="J1803" t="str">
            <v>POSITIF</v>
          </cell>
        </row>
        <row r="1804">
          <cell r="F1804" t="str">
            <v>DJOUNGOLO</v>
          </cell>
          <cell r="G1804" t="str">
            <v>CENTRE</v>
          </cell>
          <cell r="J1804" t="str">
            <v>POSITIF</v>
          </cell>
        </row>
        <row r="1805">
          <cell r="F1805" t="str">
            <v>DJOUNGOLO</v>
          </cell>
          <cell r="G1805" t="str">
            <v>CENTRE</v>
          </cell>
          <cell r="J1805" t="str">
            <v>POSITIF</v>
          </cell>
        </row>
        <row r="1806">
          <cell r="F1806" t="str">
            <v>DJOUNGOLO</v>
          </cell>
          <cell r="G1806" t="str">
            <v>CENTRE</v>
          </cell>
          <cell r="J1806" t="str">
            <v>POSITIF</v>
          </cell>
        </row>
        <row r="1807">
          <cell r="F1807" t="str">
            <v>BIYEM ASSI</v>
          </cell>
          <cell r="G1807" t="str">
            <v>CENTRE</v>
          </cell>
          <cell r="J1807" t="str">
            <v>POSITIF</v>
          </cell>
        </row>
        <row r="1808">
          <cell r="F1808" t="str">
            <v>NTUI</v>
          </cell>
          <cell r="G1808" t="str">
            <v>CENTRE</v>
          </cell>
          <cell r="J1808" t="str">
            <v>POSITIF</v>
          </cell>
        </row>
        <row r="1809">
          <cell r="F1809" t="str">
            <v>EBEBDA</v>
          </cell>
          <cell r="G1809" t="str">
            <v>CENTRE</v>
          </cell>
          <cell r="J1809" t="str">
            <v>POSITIF</v>
          </cell>
        </row>
        <row r="1810">
          <cell r="F1810" t="str">
            <v>Saa</v>
          </cell>
          <cell r="G1810" t="str">
            <v>CENTRE</v>
          </cell>
          <cell r="J1810" t="str">
            <v>POSITIF</v>
          </cell>
        </row>
        <row r="1811">
          <cell r="F1811" t="str">
            <v>NKOLBISSON</v>
          </cell>
          <cell r="G1811" t="str">
            <v>CENTRE</v>
          </cell>
          <cell r="J1811" t="str">
            <v>POSITIF</v>
          </cell>
        </row>
        <row r="1812">
          <cell r="F1812" t="str">
            <v>NKOLBISSON</v>
          </cell>
          <cell r="G1812" t="str">
            <v>CENTRE</v>
          </cell>
          <cell r="J1812" t="str">
            <v>POSITIF</v>
          </cell>
        </row>
        <row r="1813">
          <cell r="F1813" t="str">
            <v>DJOUNGOLO</v>
          </cell>
          <cell r="G1813" t="str">
            <v>CENTRE</v>
          </cell>
          <cell r="J1813" t="str">
            <v>POSITIF</v>
          </cell>
        </row>
        <row r="1814">
          <cell r="F1814" t="str">
            <v>DJOUNGOLO</v>
          </cell>
          <cell r="G1814" t="str">
            <v>CENTRE</v>
          </cell>
          <cell r="J1814" t="str">
            <v>POSITIF</v>
          </cell>
        </row>
        <row r="1815">
          <cell r="F1815" t="str">
            <v>DJOUNGOLO</v>
          </cell>
          <cell r="G1815" t="str">
            <v>CENTRE</v>
          </cell>
          <cell r="J1815" t="str">
            <v>POSITIF</v>
          </cell>
        </row>
        <row r="1816">
          <cell r="F1816" t="str">
            <v>DJOUNGOLO</v>
          </cell>
          <cell r="G1816" t="str">
            <v>CENTRE</v>
          </cell>
          <cell r="J1816" t="str">
            <v>POSITIF</v>
          </cell>
        </row>
        <row r="1817">
          <cell r="F1817" t="str">
            <v>DJOUNGOLO</v>
          </cell>
          <cell r="G1817" t="str">
            <v>CENTRE</v>
          </cell>
          <cell r="J1817" t="str">
            <v>POSITIF</v>
          </cell>
        </row>
        <row r="1818">
          <cell r="F1818" t="str">
            <v>DJOUNGOLO</v>
          </cell>
          <cell r="G1818" t="str">
            <v>CENTRE</v>
          </cell>
          <cell r="J1818" t="str">
            <v>POSITIF</v>
          </cell>
        </row>
        <row r="1819">
          <cell r="F1819" t="str">
            <v>DJOUNGOLO</v>
          </cell>
          <cell r="G1819" t="str">
            <v>CENTRE</v>
          </cell>
          <cell r="J1819" t="str">
            <v>POSITIF</v>
          </cell>
        </row>
        <row r="1820">
          <cell r="F1820" t="str">
            <v>DJOUNGOLO</v>
          </cell>
          <cell r="G1820" t="str">
            <v>CENTRE</v>
          </cell>
          <cell r="J1820" t="str">
            <v>POSITIF</v>
          </cell>
        </row>
        <row r="1821">
          <cell r="F1821" t="str">
            <v>BIYEM ASSI</v>
          </cell>
          <cell r="G1821" t="str">
            <v>CENTRE</v>
          </cell>
          <cell r="J1821" t="str">
            <v>POSITIF</v>
          </cell>
        </row>
        <row r="1822">
          <cell r="F1822" t="str">
            <v>Mfou</v>
          </cell>
          <cell r="G1822" t="str">
            <v>CENTRE</v>
          </cell>
          <cell r="H1822">
            <v>40</v>
          </cell>
          <cell r="I1822" t="str">
            <v>M</v>
          </cell>
          <cell r="J1822" t="str">
            <v>POSITIF</v>
          </cell>
        </row>
        <row r="1823">
          <cell r="F1823" t="str">
            <v>Mfou</v>
          </cell>
          <cell r="G1823" t="str">
            <v>CENTRE</v>
          </cell>
          <cell r="H1823">
            <v>33</v>
          </cell>
          <cell r="I1823" t="str">
            <v>F</v>
          </cell>
          <cell r="J1823" t="str">
            <v>POSITIF</v>
          </cell>
        </row>
        <row r="1824">
          <cell r="F1824" t="str">
            <v>Mfou</v>
          </cell>
          <cell r="G1824" t="str">
            <v>CENTRE</v>
          </cell>
          <cell r="H1824">
            <v>7</v>
          </cell>
          <cell r="I1824" t="str">
            <v>F</v>
          </cell>
          <cell r="J1824" t="str">
            <v>POSITIF</v>
          </cell>
        </row>
        <row r="1825">
          <cell r="F1825" t="str">
            <v>DJOUNGOLO</v>
          </cell>
          <cell r="G1825" t="str">
            <v>CENTRE</v>
          </cell>
          <cell r="J1825" t="str">
            <v>POSITIF</v>
          </cell>
        </row>
        <row r="1826">
          <cell r="F1826" t="str">
            <v>BIYEM ASSI</v>
          </cell>
          <cell r="G1826" t="str">
            <v>CENTRE</v>
          </cell>
          <cell r="J1826" t="str">
            <v>POSITIF</v>
          </cell>
        </row>
        <row r="1827">
          <cell r="F1827" t="str">
            <v>BIYEM ASSI</v>
          </cell>
          <cell r="G1827" t="str">
            <v>CENTRE</v>
          </cell>
          <cell r="J1827" t="str">
            <v>POSITIF</v>
          </cell>
        </row>
        <row r="1828">
          <cell r="F1828" t="str">
            <v>Soa</v>
          </cell>
          <cell r="G1828" t="str">
            <v>CENTRE</v>
          </cell>
          <cell r="J1828" t="str">
            <v>POSITIF</v>
          </cell>
        </row>
        <row r="1829">
          <cell r="F1829" t="str">
            <v>Soa</v>
          </cell>
          <cell r="G1829" t="str">
            <v>CENTRE</v>
          </cell>
          <cell r="J1829" t="str">
            <v>POSITIF</v>
          </cell>
        </row>
        <row r="1830">
          <cell r="F1830" t="str">
            <v>EFOULAN</v>
          </cell>
          <cell r="G1830" t="str">
            <v>CENTRE</v>
          </cell>
          <cell r="J1830" t="str">
            <v>POSITIF</v>
          </cell>
        </row>
        <row r="1831">
          <cell r="F1831" t="str">
            <v>EFOULAN</v>
          </cell>
          <cell r="G1831" t="str">
            <v>CENTRE</v>
          </cell>
          <cell r="J1831" t="str">
            <v>POSITIF</v>
          </cell>
        </row>
        <row r="1832">
          <cell r="F1832" t="str">
            <v>EFOULAN</v>
          </cell>
          <cell r="G1832" t="str">
            <v>CENTRE</v>
          </cell>
          <cell r="H1832">
            <v>28</v>
          </cell>
          <cell r="I1832" t="str">
            <v>M</v>
          </cell>
          <cell r="J1832" t="str">
            <v>POSITIF</v>
          </cell>
        </row>
        <row r="1833">
          <cell r="F1833" t="str">
            <v>BIYEM ASSI</v>
          </cell>
          <cell r="G1833" t="str">
            <v>CENTRE</v>
          </cell>
          <cell r="J1833" t="str">
            <v>POSITIF</v>
          </cell>
        </row>
        <row r="1834">
          <cell r="F1834" t="str">
            <v>Mbalmayo</v>
          </cell>
          <cell r="G1834" t="str">
            <v>CENTRE</v>
          </cell>
          <cell r="J1834" t="str">
            <v>POSITIF</v>
          </cell>
        </row>
        <row r="1835">
          <cell r="F1835" t="str">
            <v>BIYEM ASSI</v>
          </cell>
          <cell r="G1835" t="str">
            <v>CENTRE</v>
          </cell>
          <cell r="J1835" t="str">
            <v>POSITIF</v>
          </cell>
        </row>
        <row r="1836">
          <cell r="F1836" t="str">
            <v>BIYEM ASSI</v>
          </cell>
          <cell r="G1836" t="str">
            <v>CENTRE</v>
          </cell>
          <cell r="J1836" t="str">
            <v>POSITIF</v>
          </cell>
        </row>
        <row r="1837">
          <cell r="F1837" t="str">
            <v>Elig Mfomo</v>
          </cell>
          <cell r="G1837" t="str">
            <v>CENTRE</v>
          </cell>
          <cell r="J1837" t="str">
            <v>POSITIF</v>
          </cell>
        </row>
        <row r="1838">
          <cell r="F1838" t="str">
            <v>NKOLNDONGO</v>
          </cell>
          <cell r="G1838" t="str">
            <v>CENTRE</v>
          </cell>
          <cell r="J1838" t="str">
            <v>POSITIF</v>
          </cell>
        </row>
        <row r="1839">
          <cell r="F1839" t="str">
            <v>NKOLNDONGO</v>
          </cell>
          <cell r="G1839" t="str">
            <v>CENTRE</v>
          </cell>
          <cell r="J1839" t="str">
            <v>POSITIF</v>
          </cell>
        </row>
        <row r="1840">
          <cell r="F1840" t="str">
            <v>NKOLNDONGO</v>
          </cell>
          <cell r="G1840" t="str">
            <v>CENTRE</v>
          </cell>
          <cell r="J1840" t="str">
            <v>POSITIF</v>
          </cell>
        </row>
        <row r="1841">
          <cell r="F1841" t="str">
            <v>ODZA</v>
          </cell>
          <cell r="G1841" t="str">
            <v>CENTRE</v>
          </cell>
          <cell r="J1841" t="str">
            <v>POSITIF</v>
          </cell>
        </row>
        <row r="1842">
          <cell r="F1842" t="str">
            <v>NKOLNDONGO</v>
          </cell>
          <cell r="G1842" t="str">
            <v>CENTRE</v>
          </cell>
          <cell r="J1842" t="str">
            <v>POSITIF</v>
          </cell>
        </row>
        <row r="1843">
          <cell r="F1843" t="str">
            <v>NKOLNDONGO</v>
          </cell>
          <cell r="G1843" t="str">
            <v>CENTRE</v>
          </cell>
          <cell r="J1843" t="str">
            <v>POSITIF</v>
          </cell>
        </row>
        <row r="1844">
          <cell r="F1844" t="str">
            <v>NKOLNDONGO</v>
          </cell>
          <cell r="G1844" t="str">
            <v>CENTRE</v>
          </cell>
          <cell r="J1844" t="str">
            <v>POSITIF</v>
          </cell>
        </row>
        <row r="1845">
          <cell r="F1845" t="str">
            <v>NKOLNDONGO</v>
          </cell>
          <cell r="G1845" t="str">
            <v>CENTRE</v>
          </cell>
          <cell r="J1845" t="str">
            <v>POSITIF</v>
          </cell>
        </row>
        <row r="1846">
          <cell r="F1846" t="str">
            <v>Elig Mfomo</v>
          </cell>
          <cell r="G1846" t="str">
            <v>CENTRE</v>
          </cell>
          <cell r="J1846" t="str">
            <v>POSITIF</v>
          </cell>
        </row>
        <row r="1847">
          <cell r="F1847" t="str">
            <v>ABONG-MBANG</v>
          </cell>
          <cell r="G1847" t="str">
            <v>EST</v>
          </cell>
          <cell r="H1847">
            <v>12</v>
          </cell>
          <cell r="I1847" t="str">
            <v>F</v>
          </cell>
          <cell r="J1847" t="str">
            <v>POSITIF</v>
          </cell>
        </row>
        <row r="1848">
          <cell r="F1848" t="str">
            <v>ABONG-MBANG</v>
          </cell>
          <cell r="G1848" t="str">
            <v>EST</v>
          </cell>
          <cell r="I1848" t="str">
            <v>F</v>
          </cell>
          <cell r="J1848" t="str">
            <v>POSITIF</v>
          </cell>
        </row>
        <row r="1849">
          <cell r="F1849" t="str">
            <v>ABONG-MBANG</v>
          </cell>
          <cell r="G1849" t="str">
            <v>EST</v>
          </cell>
          <cell r="H1849">
            <v>28</v>
          </cell>
          <cell r="I1849" t="str">
            <v>F</v>
          </cell>
          <cell r="J1849" t="str">
            <v>POSITIF</v>
          </cell>
        </row>
        <row r="1850">
          <cell r="F1850" t="str">
            <v>BIYEM ASSI</v>
          </cell>
          <cell r="G1850" t="str">
            <v>CENTRE</v>
          </cell>
          <cell r="H1850">
            <v>70</v>
          </cell>
          <cell r="I1850" t="str">
            <v>F</v>
          </cell>
          <cell r="J1850" t="str">
            <v>POSITIF</v>
          </cell>
        </row>
        <row r="1851">
          <cell r="F1851" t="str">
            <v>BIYEM ASSI</v>
          </cell>
          <cell r="G1851" t="str">
            <v>CENTRE</v>
          </cell>
          <cell r="H1851">
            <v>29</v>
          </cell>
          <cell r="I1851" t="str">
            <v>F</v>
          </cell>
          <cell r="J1851" t="str">
            <v>POSITIF</v>
          </cell>
        </row>
        <row r="1852">
          <cell r="F1852" t="str">
            <v>BIYEM ASSI</v>
          </cell>
          <cell r="G1852" t="str">
            <v>CENTRE</v>
          </cell>
          <cell r="H1852">
            <v>29</v>
          </cell>
          <cell r="I1852" t="str">
            <v>M</v>
          </cell>
          <cell r="J1852" t="str">
            <v>POSITIF</v>
          </cell>
        </row>
        <row r="1853">
          <cell r="F1853" t="str">
            <v>BERTOUA</v>
          </cell>
          <cell r="G1853" t="str">
            <v>EST</v>
          </cell>
          <cell r="J1853" t="str">
            <v>POSITIF</v>
          </cell>
        </row>
        <row r="1854">
          <cell r="F1854" t="str">
            <v>MIFI</v>
          </cell>
          <cell r="G1854" t="str">
            <v>OUEST</v>
          </cell>
          <cell r="J1854" t="str">
            <v>POSITIF</v>
          </cell>
        </row>
        <row r="1855">
          <cell r="F1855" t="str">
            <v>MIFI</v>
          </cell>
          <cell r="G1855" t="str">
            <v>OUEST</v>
          </cell>
          <cell r="J1855" t="str">
            <v>POSITIF</v>
          </cell>
        </row>
        <row r="1856">
          <cell r="F1856" t="str">
            <v>MIFI</v>
          </cell>
          <cell r="G1856" t="str">
            <v>OUEST</v>
          </cell>
          <cell r="J1856" t="str">
            <v>POSITIF</v>
          </cell>
        </row>
        <row r="1857">
          <cell r="F1857" t="str">
            <v>Kribi</v>
          </cell>
          <cell r="G1857" t="str">
            <v>SUD</v>
          </cell>
          <cell r="H1857">
            <v>20</v>
          </cell>
          <cell r="I1857" t="str">
            <v>M</v>
          </cell>
          <cell r="J1857" t="str">
            <v>POSITIF</v>
          </cell>
        </row>
        <row r="1858">
          <cell r="F1858" t="str">
            <v>Kribi</v>
          </cell>
          <cell r="G1858" t="str">
            <v>SUD</v>
          </cell>
          <cell r="H1858">
            <v>20</v>
          </cell>
          <cell r="I1858" t="str">
            <v>M</v>
          </cell>
          <cell r="J1858" t="str">
            <v>POSITIF</v>
          </cell>
        </row>
        <row r="1859">
          <cell r="F1859" t="str">
            <v>Kribi</v>
          </cell>
          <cell r="G1859" t="str">
            <v>SUD</v>
          </cell>
          <cell r="H1859">
            <v>20</v>
          </cell>
          <cell r="I1859" t="str">
            <v>M</v>
          </cell>
          <cell r="J1859" t="str">
            <v>POSITIF</v>
          </cell>
        </row>
        <row r="1860">
          <cell r="F1860" t="str">
            <v>NKOLNDONGO</v>
          </cell>
          <cell r="G1860" t="str">
            <v>CENTRE</v>
          </cell>
          <cell r="J1860" t="str">
            <v>POSITIF</v>
          </cell>
        </row>
        <row r="1861">
          <cell r="F1861" t="str">
            <v>NKOLNDONGO</v>
          </cell>
          <cell r="G1861" t="str">
            <v>CENTRE</v>
          </cell>
          <cell r="J1861" t="str">
            <v>POSITIF</v>
          </cell>
        </row>
        <row r="1862">
          <cell r="F1862" t="str">
            <v>NKOLNDONGO</v>
          </cell>
          <cell r="G1862" t="str">
            <v>CENTRE</v>
          </cell>
          <cell r="J1862" t="str">
            <v>POSITIF</v>
          </cell>
        </row>
        <row r="1863">
          <cell r="F1863" t="str">
            <v>NKOLNDONGO</v>
          </cell>
          <cell r="G1863" t="str">
            <v>CENTRE</v>
          </cell>
          <cell r="J1863" t="str">
            <v>POSITIF</v>
          </cell>
        </row>
        <row r="1864">
          <cell r="F1864" t="str">
            <v>NKOLNDONGO</v>
          </cell>
          <cell r="G1864" t="str">
            <v>CENTRE</v>
          </cell>
          <cell r="J1864" t="str">
            <v>POSITIF</v>
          </cell>
        </row>
        <row r="1865">
          <cell r="F1865" t="str">
            <v>NKOLNDONGO</v>
          </cell>
          <cell r="G1865" t="str">
            <v>CENTRE</v>
          </cell>
          <cell r="J1865" t="str">
            <v>POSITIF</v>
          </cell>
        </row>
        <row r="1866">
          <cell r="F1866" t="str">
            <v>OLAMZE</v>
          </cell>
          <cell r="G1866" t="str">
            <v>SUD</v>
          </cell>
          <cell r="J1866" t="str">
            <v>POSITIF</v>
          </cell>
        </row>
        <row r="1867">
          <cell r="F1867" t="str">
            <v>OLAMZE</v>
          </cell>
          <cell r="G1867" t="str">
            <v>SUD</v>
          </cell>
          <cell r="J1867" t="str">
            <v>POSITIF</v>
          </cell>
        </row>
        <row r="1868">
          <cell r="F1868" t="str">
            <v>MBANKOMO</v>
          </cell>
          <cell r="G1868" t="str">
            <v>CENTRE</v>
          </cell>
          <cell r="J1868" t="str">
            <v>POSITIF</v>
          </cell>
        </row>
        <row r="1869">
          <cell r="F1869" t="str">
            <v>KRIBI</v>
          </cell>
          <cell r="G1869" t="str">
            <v>SUD</v>
          </cell>
          <cell r="J1869" t="str">
            <v>POSITIF</v>
          </cell>
        </row>
        <row r="1870">
          <cell r="F1870" t="str">
            <v>AWAE</v>
          </cell>
          <cell r="G1870" t="str">
            <v>CENTRE</v>
          </cell>
          <cell r="H1870">
            <v>38</v>
          </cell>
          <cell r="I1870" t="str">
            <v>M</v>
          </cell>
          <cell r="J1870" t="str">
            <v>POSITIF</v>
          </cell>
        </row>
        <row r="1871">
          <cell r="F1871" t="str">
            <v>DEIDO</v>
          </cell>
          <cell r="G1871" t="str">
            <v>LITTORAL</v>
          </cell>
          <cell r="H1871">
            <v>39</v>
          </cell>
          <cell r="I1871" t="str">
            <v>F</v>
          </cell>
          <cell r="J1871" t="str">
            <v>POSITIF</v>
          </cell>
        </row>
        <row r="1872">
          <cell r="F1872" t="str">
            <v>CENTRE</v>
          </cell>
          <cell r="G1872" t="str">
            <v>Centre</v>
          </cell>
          <cell r="H1872">
            <v>27</v>
          </cell>
          <cell r="I1872" t="str">
            <v>F</v>
          </cell>
          <cell r="J1872" t="str">
            <v>Positif</v>
          </cell>
        </row>
        <row r="1873">
          <cell r="F1873" t="str">
            <v>Odza</v>
          </cell>
          <cell r="G1873" t="str">
            <v>Centre</v>
          </cell>
          <cell r="H1873">
            <v>20</v>
          </cell>
          <cell r="I1873" t="str">
            <v>F</v>
          </cell>
          <cell r="J1873" t="str">
            <v>Positif</v>
          </cell>
        </row>
        <row r="1874">
          <cell r="F1874" t="str">
            <v>Odza</v>
          </cell>
          <cell r="G1874" t="str">
            <v>Centre</v>
          </cell>
          <cell r="H1874">
            <v>37</v>
          </cell>
          <cell r="I1874" t="str">
            <v>F</v>
          </cell>
          <cell r="J1874" t="str">
            <v>Positif</v>
          </cell>
        </row>
        <row r="1875">
          <cell r="F1875" t="str">
            <v>Odza</v>
          </cell>
          <cell r="G1875" t="str">
            <v>Centre</v>
          </cell>
          <cell r="H1875">
            <v>38</v>
          </cell>
          <cell r="I1875" t="str">
            <v>F</v>
          </cell>
          <cell r="J1875" t="str">
            <v>Positif</v>
          </cell>
        </row>
        <row r="1876">
          <cell r="F1876" t="str">
            <v>Efoulan</v>
          </cell>
          <cell r="G1876" t="str">
            <v>Centre</v>
          </cell>
          <cell r="H1876">
            <v>20</v>
          </cell>
          <cell r="I1876" t="str">
            <v>M</v>
          </cell>
          <cell r="J1876" t="str">
            <v>Positif</v>
          </cell>
        </row>
        <row r="1877">
          <cell r="F1877" t="str">
            <v>Eseka</v>
          </cell>
          <cell r="G1877" t="str">
            <v>Centre</v>
          </cell>
          <cell r="H1877">
            <v>54</v>
          </cell>
          <cell r="I1877" t="str">
            <v>M</v>
          </cell>
          <cell r="J1877" t="str">
            <v>Positif</v>
          </cell>
        </row>
        <row r="1878">
          <cell r="F1878" t="str">
            <v>Eseka</v>
          </cell>
          <cell r="G1878" t="str">
            <v>Centre</v>
          </cell>
          <cell r="H1878">
            <v>42</v>
          </cell>
          <cell r="I1878" t="str">
            <v>F</v>
          </cell>
          <cell r="J1878" t="str">
            <v>Positif</v>
          </cell>
        </row>
        <row r="1879">
          <cell r="F1879" t="str">
            <v>Okola</v>
          </cell>
          <cell r="G1879" t="str">
            <v>Centre</v>
          </cell>
          <cell r="H1879">
            <v>7</v>
          </cell>
          <cell r="I1879" t="str">
            <v>M</v>
          </cell>
          <cell r="J1879" t="str">
            <v>Positif</v>
          </cell>
        </row>
        <row r="1880">
          <cell r="F1880" t="str">
            <v>Bamenda</v>
          </cell>
          <cell r="G1880" t="str">
            <v>Nord Ouest</v>
          </cell>
          <cell r="H1880">
            <v>25</v>
          </cell>
          <cell r="I1880" t="str">
            <v>M</v>
          </cell>
          <cell r="J1880" t="str">
            <v>Positif</v>
          </cell>
        </row>
        <row r="1881">
          <cell r="F1881" t="str">
            <v>Okola</v>
          </cell>
          <cell r="G1881" t="str">
            <v>Centre</v>
          </cell>
          <cell r="H1881">
            <v>55</v>
          </cell>
          <cell r="I1881" t="str">
            <v>M</v>
          </cell>
          <cell r="J1881" t="str">
            <v>Positif</v>
          </cell>
        </row>
        <row r="1882">
          <cell r="F1882" t="str">
            <v>Djoungolo</v>
          </cell>
          <cell r="G1882" t="str">
            <v>Centre</v>
          </cell>
          <cell r="H1882">
            <v>25</v>
          </cell>
          <cell r="I1882" t="str">
            <v>M</v>
          </cell>
          <cell r="J1882" t="str">
            <v>Positif</v>
          </cell>
        </row>
        <row r="1883">
          <cell r="F1883" t="str">
            <v>Meyomessala</v>
          </cell>
          <cell r="G1883" t="str">
            <v>Sud</v>
          </cell>
          <cell r="H1883">
            <v>28</v>
          </cell>
          <cell r="I1883" t="str">
            <v>F</v>
          </cell>
          <cell r="J1883" t="str">
            <v>Positif</v>
          </cell>
        </row>
        <row r="1884">
          <cell r="F1884" t="str">
            <v>Zoetele</v>
          </cell>
          <cell r="G1884" t="str">
            <v>Sud</v>
          </cell>
          <cell r="H1884">
            <v>5</v>
          </cell>
          <cell r="I1884" t="str">
            <v>M</v>
          </cell>
          <cell r="J1884" t="str">
            <v>Positif</v>
          </cell>
        </row>
        <row r="1885">
          <cell r="F1885" t="str">
            <v>BIYEM ASSI</v>
          </cell>
          <cell r="G1885" t="str">
            <v>CENTRE</v>
          </cell>
          <cell r="H1885">
            <v>42</v>
          </cell>
          <cell r="I1885" t="str">
            <v>F</v>
          </cell>
          <cell r="J1885" t="str">
            <v>POSITIF</v>
          </cell>
        </row>
        <row r="1886">
          <cell r="F1886" t="str">
            <v>Biyem Assi</v>
          </cell>
          <cell r="G1886" t="str">
            <v>Centre</v>
          </cell>
          <cell r="H1886">
            <v>0.5</v>
          </cell>
          <cell r="I1886" t="str">
            <v>M</v>
          </cell>
          <cell r="J1886" t="str">
            <v>Positif</v>
          </cell>
        </row>
        <row r="1887">
          <cell r="F1887" t="str">
            <v>Biyem Assi</v>
          </cell>
          <cell r="G1887" t="str">
            <v>Centre</v>
          </cell>
          <cell r="H1887">
            <v>16</v>
          </cell>
          <cell r="I1887" t="str">
            <v>?</v>
          </cell>
          <cell r="J1887" t="str">
            <v>Positif</v>
          </cell>
        </row>
        <row r="1888">
          <cell r="F1888" t="str">
            <v>Biyem Assi</v>
          </cell>
          <cell r="G1888" t="str">
            <v>Centre</v>
          </cell>
          <cell r="H1888">
            <v>15</v>
          </cell>
          <cell r="I1888" t="str">
            <v>F</v>
          </cell>
          <cell r="J1888" t="str">
            <v>Positif</v>
          </cell>
        </row>
        <row r="4700">
          <cell r="F4700" t="str">
            <v>Garoua 1</v>
          </cell>
          <cell r="G4700" t="str">
            <v>Nord</v>
          </cell>
          <cell r="H4700">
            <v>2</v>
          </cell>
          <cell r="I4700" t="str">
            <v>F</v>
          </cell>
        </row>
        <row r="4701">
          <cell r="F4701" t="str">
            <v>Garoua 2</v>
          </cell>
          <cell r="G4701" t="str">
            <v>Nord</v>
          </cell>
          <cell r="H4701">
            <v>24</v>
          </cell>
          <cell r="I4701" t="str">
            <v>M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D7A5-AF6B-4A78-90C1-6925FFA9319C}">
  <dimension ref="A1:AU1880"/>
  <sheetViews>
    <sheetView tabSelected="1" topLeftCell="Y1" workbookViewId="0">
      <selection activeCell="AM1" sqref="AM1:AU1048576"/>
    </sheetView>
  </sheetViews>
  <sheetFormatPr baseColWidth="10" defaultRowHeight="15.6" x14ac:dyDescent="0.3"/>
  <cols>
    <col min="39" max="39" width="10.5546875" style="20" customWidth="1"/>
    <col min="40" max="40" width="14.33203125" style="16" customWidth="1"/>
    <col min="41" max="41" width="11.44140625" style="16" customWidth="1"/>
    <col min="42" max="42" width="11.109375" style="16" customWidth="1"/>
    <col min="43" max="43" width="9.88671875" style="16" customWidth="1"/>
    <col min="44" max="44" width="15.44140625" style="20" customWidth="1"/>
    <col min="45" max="45" width="27.88671875" style="20" customWidth="1"/>
    <col min="46" max="47" width="13.44140625" style="21" customWidth="1"/>
  </cols>
  <sheetData>
    <row r="1" spans="1:47" ht="7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5" t="s">
        <v>29</v>
      </c>
      <c r="AE1" s="3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1"/>
      <c r="AN1" s="6" t="s">
        <v>2740</v>
      </c>
      <c r="AO1" s="6" t="s">
        <v>2741</v>
      </c>
      <c r="AP1" s="6" t="s">
        <v>2742</v>
      </c>
      <c r="AQ1" s="6" t="s">
        <v>2743</v>
      </c>
      <c r="AR1" s="1" t="s">
        <v>2744</v>
      </c>
      <c r="AS1" s="1" t="s">
        <v>2745</v>
      </c>
      <c r="AT1" s="17" t="s">
        <v>2746</v>
      </c>
      <c r="AU1" s="17" t="s">
        <v>2747</v>
      </c>
    </row>
    <row r="2" spans="1:47" x14ac:dyDescent="0.3">
      <c r="A2" t="s">
        <v>38</v>
      </c>
      <c r="B2" t="str">
        <f t="shared" ref="B2:B65" si="0">"S"&amp;(IF(_xlfn.ISOWEEKNUM(S2)&gt;9,_xlfn.ISOWEEKNUM(S2),_xlfn.CONCAT("0",_xlfn.ISOWEEKNUM(S2))))&amp;"_"&amp;(YEAR(S2+26-(_xlfn.ISOWEEKNUM(S2))))</f>
        <v>S27_2026</v>
      </c>
      <c r="C2" t="str">
        <f>"S"&amp;(IF(_xlfn.ISOWEEKNUM(Q2)&gt;9,_xlfn.ISOWEEKNUM(Q2),_xlfn.CONCAT("0",_xlfn.ISOWEEKNUM(Q2))))&amp;"_"&amp;(YEAR(Q2+26-(_xlfn.ISOWEEKNUM(Q2))))</f>
        <v>S27_2026</v>
      </c>
      <c r="D2" t="s">
        <v>39</v>
      </c>
      <c r="E2">
        <v>692429120</v>
      </c>
      <c r="F2">
        <v>55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7">
        <v>46202</v>
      </c>
      <c r="R2" s="7">
        <v>46202</v>
      </c>
      <c r="S2" s="7">
        <v>46203</v>
      </c>
      <c r="T2" t="s">
        <v>45</v>
      </c>
      <c r="U2" t="s">
        <v>47</v>
      </c>
      <c r="AA2" s="7">
        <v>46202</v>
      </c>
      <c r="AB2" t="s">
        <v>48</v>
      </c>
      <c r="AC2" t="s">
        <v>45</v>
      </c>
      <c r="AD2" t="s">
        <v>49</v>
      </c>
      <c r="AF2">
        <v>2</v>
      </c>
      <c r="AG2" t="s">
        <v>50</v>
      </c>
      <c r="AH2" t="s">
        <v>51</v>
      </c>
      <c r="AI2">
        <v>2</v>
      </c>
      <c r="AJ2" s="8"/>
      <c r="AK2" t="s">
        <v>52</v>
      </c>
      <c r="AM2"/>
      <c r="AN2"/>
      <c r="AO2"/>
      <c r="AP2"/>
      <c r="AQ2"/>
      <c r="AR2" s="18" t="str">
        <f>IFERROR(VLOOKUP(K2,[1]POP!$F:$J,1,0),M2)</f>
        <v>PITOA</v>
      </c>
      <c r="AS2" s="18" t="str">
        <f t="shared" ref="AS2:AS65" si="1">IF(AR2=K2,J2,L2)</f>
        <v>BANAYE</v>
      </c>
      <c r="AT2" s="19">
        <f>IF($AI:$AI=2,3,IF($AI:$AI=3,3,IF($AI:$AI=4,3,IF($AI:$AI=1,2,0))))</f>
        <v>3</v>
      </c>
      <c r="AU2" s="19">
        <f ca="1">IF((TODAY() - R2)&lt;=21,1,2)</f>
        <v>2</v>
      </c>
    </row>
    <row r="3" spans="1:47" x14ac:dyDescent="0.3">
      <c r="A3" t="s">
        <v>53</v>
      </c>
      <c r="B3" t="str">
        <f t="shared" si="0"/>
        <v>S28_2026</v>
      </c>
      <c r="C3" t="str">
        <f t="shared" ref="C3:C66" si="2">"S"&amp;(IF(_xlfn.ISOWEEKNUM(Q3)&gt;9,_xlfn.ISOWEEKNUM(Q3),_xlfn.CONCAT("0",_xlfn.ISOWEEKNUM(Q3))))&amp;"_"&amp;(YEAR(Q3+26-(_xlfn.ISOWEEKNUM(Q3))))</f>
        <v>S27_2026</v>
      </c>
      <c r="D3" t="s">
        <v>54</v>
      </c>
      <c r="E3">
        <v>670310081</v>
      </c>
      <c r="F3">
        <v>16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59</v>
      </c>
      <c r="N3" t="s">
        <v>45</v>
      </c>
      <c r="O3" t="s">
        <v>46</v>
      </c>
      <c r="P3">
        <v>2</v>
      </c>
      <c r="Q3" s="7">
        <v>46208</v>
      </c>
      <c r="R3" s="7">
        <v>46211</v>
      </c>
      <c r="S3" s="7">
        <v>46211</v>
      </c>
      <c r="T3" t="s">
        <v>45</v>
      </c>
      <c r="U3" s="7">
        <v>46211</v>
      </c>
      <c r="V3" t="s">
        <v>61</v>
      </c>
      <c r="X3" t="s">
        <v>45</v>
      </c>
      <c r="AA3" s="7">
        <v>46211</v>
      </c>
      <c r="AB3" t="s">
        <v>62</v>
      </c>
      <c r="AC3" t="s">
        <v>45</v>
      </c>
      <c r="AD3" t="s">
        <v>49</v>
      </c>
      <c r="AF3">
        <v>2</v>
      </c>
      <c r="AG3" t="s">
        <v>63</v>
      </c>
      <c r="AH3" t="s">
        <v>64</v>
      </c>
      <c r="AI3">
        <v>2</v>
      </c>
      <c r="AJ3" s="8"/>
      <c r="AM3"/>
      <c r="AN3" t="s">
        <v>86</v>
      </c>
      <c r="AO3" t="s">
        <v>45</v>
      </c>
      <c r="AP3">
        <v>5</v>
      </c>
      <c r="AQ3" t="s">
        <v>74</v>
      </c>
      <c r="AR3" s="18" t="str">
        <f>IFERROR(VLOOKUP(K3,[1]POP!$F:$J,1,0),M3)</f>
        <v>MIFI</v>
      </c>
      <c r="AS3" s="18" t="str">
        <f t="shared" si="1"/>
        <v>TYO</v>
      </c>
      <c r="AT3" s="19">
        <f>IF($AI:$AI=2,3,IF($AI:$AI=3,3,IF($AI:$AI=4,3,IF($AI:$AI=1,2,0))))</f>
        <v>3</v>
      </c>
      <c r="AU3" s="19">
        <f t="shared" ref="AU3:AU66" ca="1" si="3">IF((TODAY() - R3)&lt;=21,1,2)</f>
        <v>2</v>
      </c>
    </row>
    <row r="4" spans="1:47" x14ac:dyDescent="0.3">
      <c r="A4" t="s">
        <v>65</v>
      </c>
      <c r="B4" t="str">
        <f t="shared" si="0"/>
        <v>S28_2026</v>
      </c>
      <c r="C4" t="str">
        <f t="shared" si="2"/>
        <v>S28_2026</v>
      </c>
      <c r="D4" t="s">
        <v>66</v>
      </c>
      <c r="E4">
        <v>697987513</v>
      </c>
      <c r="F4">
        <v>30</v>
      </c>
      <c r="G4" t="s">
        <v>55</v>
      </c>
      <c r="H4" t="s">
        <v>41</v>
      </c>
      <c r="I4" t="s">
        <v>43</v>
      </c>
      <c r="J4" t="s">
        <v>43</v>
      </c>
      <c r="K4" t="s">
        <v>44</v>
      </c>
      <c r="L4" t="s">
        <v>43</v>
      </c>
      <c r="M4" t="s">
        <v>44</v>
      </c>
      <c r="N4" t="s">
        <v>45</v>
      </c>
      <c r="O4" t="s">
        <v>46</v>
      </c>
      <c r="P4">
        <v>1</v>
      </c>
      <c r="Q4" s="7">
        <v>46212</v>
      </c>
      <c r="R4" s="7">
        <v>46213</v>
      </c>
      <c r="S4" s="7">
        <v>46213</v>
      </c>
      <c r="T4" t="s">
        <v>45</v>
      </c>
      <c r="U4" s="7">
        <v>46213</v>
      </c>
      <c r="V4" t="s">
        <v>67</v>
      </c>
      <c r="X4" t="s">
        <v>45</v>
      </c>
      <c r="AA4" s="7">
        <v>46213</v>
      </c>
      <c r="AB4" t="s">
        <v>68</v>
      </c>
      <c r="AC4" t="s">
        <v>45</v>
      </c>
      <c r="AD4" t="s">
        <v>49</v>
      </c>
      <c r="AF4">
        <v>2</v>
      </c>
      <c r="AG4" t="s">
        <v>50</v>
      </c>
      <c r="AH4" t="s">
        <v>51</v>
      </c>
      <c r="AI4">
        <v>3</v>
      </c>
      <c r="AJ4" s="9"/>
      <c r="AK4" t="s">
        <v>52</v>
      </c>
      <c r="AM4"/>
      <c r="AN4" t="s">
        <v>86</v>
      </c>
      <c r="AO4" t="s">
        <v>45</v>
      </c>
      <c r="AP4">
        <v>7</v>
      </c>
      <c r="AQ4" t="s">
        <v>86</v>
      </c>
      <c r="AR4" s="18" t="str">
        <f>IFERROR(VLOOKUP(K4,[1]POP!$F:$J,1,0),M4)</f>
        <v>PITOA</v>
      </c>
      <c r="AS4" s="18" t="str">
        <f t="shared" si="1"/>
        <v>BANAYE</v>
      </c>
      <c r="AT4" s="19">
        <f t="shared" ref="AT4:AT67" si="4">IF($AI:$AI=2,3,IF($AI:$AI=3,3,IF($AI:$AI=4,3,IF($AI:$AI=1,2,0))))</f>
        <v>3</v>
      </c>
      <c r="AU4" s="19">
        <f t="shared" ca="1" si="3"/>
        <v>2</v>
      </c>
    </row>
    <row r="5" spans="1:47" x14ac:dyDescent="0.3">
      <c r="A5" t="s">
        <v>69</v>
      </c>
      <c r="B5" t="str">
        <f t="shared" si="0"/>
        <v>S26_2026</v>
      </c>
      <c r="C5" t="str">
        <f t="shared" si="2"/>
        <v>S26_2026</v>
      </c>
      <c r="F5">
        <v>32</v>
      </c>
      <c r="G5" t="s">
        <v>55</v>
      </c>
      <c r="H5" t="s">
        <v>70</v>
      </c>
      <c r="I5" t="s">
        <v>71</v>
      </c>
      <c r="J5" t="s">
        <v>71</v>
      </c>
      <c r="K5" t="s">
        <v>72</v>
      </c>
      <c r="L5" t="s">
        <v>72</v>
      </c>
      <c r="M5" t="s">
        <v>72</v>
      </c>
      <c r="N5" t="s">
        <v>45</v>
      </c>
      <c r="O5" t="s">
        <v>45</v>
      </c>
      <c r="P5">
        <v>2</v>
      </c>
      <c r="Q5" s="7">
        <v>46195</v>
      </c>
      <c r="R5" s="7">
        <v>46196</v>
      </c>
      <c r="S5" s="7">
        <v>46196</v>
      </c>
      <c r="T5" t="s">
        <v>45</v>
      </c>
      <c r="V5" t="s">
        <v>73</v>
      </c>
      <c r="W5" t="s">
        <v>45</v>
      </c>
      <c r="X5" t="s">
        <v>45</v>
      </c>
      <c r="Y5" t="s">
        <v>45</v>
      </c>
      <c r="Z5" t="s">
        <v>74</v>
      </c>
      <c r="AA5" s="7">
        <v>46196</v>
      </c>
      <c r="AB5" t="s">
        <v>62</v>
      </c>
      <c r="AC5" t="s">
        <v>74</v>
      </c>
      <c r="AE5" s="7">
        <v>46198</v>
      </c>
      <c r="AF5">
        <v>2</v>
      </c>
      <c r="AH5" t="s">
        <v>75</v>
      </c>
      <c r="AI5">
        <v>1</v>
      </c>
      <c r="AJ5" s="9"/>
      <c r="AK5" t="s">
        <v>74</v>
      </c>
      <c r="AM5"/>
      <c r="AN5" t="s">
        <v>86</v>
      </c>
      <c r="AO5" t="s">
        <v>45</v>
      </c>
      <c r="AP5">
        <v>5</v>
      </c>
      <c r="AQ5" t="s">
        <v>86</v>
      </c>
      <c r="AR5" s="18" t="str">
        <f>IFERROR(VLOOKUP(K5,[1]POP!$F:$J,1,0),M5)</f>
        <v>FOTOKOL</v>
      </c>
      <c r="AS5" s="18" t="str">
        <f t="shared" si="1"/>
        <v>SAGME</v>
      </c>
      <c r="AT5" s="19">
        <f t="shared" si="4"/>
        <v>2</v>
      </c>
      <c r="AU5" s="19">
        <f t="shared" ca="1" si="3"/>
        <v>2</v>
      </c>
    </row>
    <row r="6" spans="1:47" x14ac:dyDescent="0.3">
      <c r="A6" t="s">
        <v>76</v>
      </c>
      <c r="B6" t="str">
        <f t="shared" si="0"/>
        <v>S26_2026</v>
      </c>
      <c r="C6" t="str">
        <f t="shared" si="2"/>
        <v>S26_2026</v>
      </c>
      <c r="F6">
        <v>22</v>
      </c>
      <c r="G6" t="s">
        <v>40</v>
      </c>
      <c r="H6" t="s">
        <v>77</v>
      </c>
      <c r="I6" t="s">
        <v>71</v>
      </c>
      <c r="J6" t="s">
        <v>71</v>
      </c>
      <c r="K6" t="s">
        <v>72</v>
      </c>
      <c r="L6" t="s">
        <v>72</v>
      </c>
      <c r="M6" t="s">
        <v>72</v>
      </c>
      <c r="N6" t="s">
        <v>45</v>
      </c>
      <c r="O6" t="s">
        <v>45</v>
      </c>
      <c r="P6">
        <v>2</v>
      </c>
      <c r="Q6" s="7">
        <v>46197</v>
      </c>
      <c r="R6" s="7">
        <v>46197</v>
      </c>
      <c r="S6" s="7">
        <v>46197</v>
      </c>
      <c r="T6" t="s">
        <v>45</v>
      </c>
      <c r="V6" t="s">
        <v>73</v>
      </c>
      <c r="W6" t="s">
        <v>45</v>
      </c>
      <c r="X6" t="s">
        <v>45</v>
      </c>
      <c r="Y6" t="s">
        <v>45</v>
      </c>
      <c r="Z6" t="s">
        <v>74</v>
      </c>
      <c r="AA6" s="7">
        <v>46197</v>
      </c>
      <c r="AB6" t="s">
        <v>62</v>
      </c>
      <c r="AC6" t="s">
        <v>74</v>
      </c>
      <c r="AE6" s="7">
        <v>46198</v>
      </c>
      <c r="AF6">
        <v>2</v>
      </c>
      <c r="AH6" t="s">
        <v>75</v>
      </c>
      <c r="AI6">
        <v>1</v>
      </c>
      <c r="AJ6" s="9"/>
      <c r="AK6" t="s">
        <v>74</v>
      </c>
      <c r="AM6"/>
      <c r="AN6" t="s">
        <v>86</v>
      </c>
      <c r="AO6" t="s">
        <v>45</v>
      </c>
      <c r="AP6">
        <v>7</v>
      </c>
      <c r="AQ6" t="s">
        <v>74</v>
      </c>
      <c r="AR6" s="18" t="str">
        <f>IFERROR(VLOOKUP(K6,[1]POP!$F:$J,1,0),M6)</f>
        <v>FOTOKOL</v>
      </c>
      <c r="AS6" s="18" t="str">
        <f t="shared" si="1"/>
        <v>SAGME</v>
      </c>
      <c r="AT6" s="19">
        <f t="shared" si="4"/>
        <v>2</v>
      </c>
      <c r="AU6" s="19">
        <f t="shared" ca="1" si="3"/>
        <v>2</v>
      </c>
    </row>
    <row r="7" spans="1:47" x14ac:dyDescent="0.3">
      <c r="A7" t="s">
        <v>78</v>
      </c>
      <c r="B7" t="str">
        <f t="shared" si="0"/>
        <v>S25_2026</v>
      </c>
      <c r="C7" t="str">
        <f t="shared" si="2"/>
        <v>S25_2026</v>
      </c>
      <c r="F7">
        <v>29</v>
      </c>
      <c r="G7" t="s">
        <v>55</v>
      </c>
      <c r="H7" t="s">
        <v>79</v>
      </c>
      <c r="I7" t="s">
        <v>72</v>
      </c>
      <c r="J7" t="s">
        <v>80</v>
      </c>
      <c r="K7" t="s">
        <v>81</v>
      </c>
      <c r="L7" t="s">
        <v>72</v>
      </c>
      <c r="M7" t="s">
        <v>72</v>
      </c>
      <c r="N7" t="s">
        <v>45</v>
      </c>
      <c r="O7" t="s">
        <v>45</v>
      </c>
      <c r="P7">
        <v>3</v>
      </c>
      <c r="Q7" s="7">
        <v>46193</v>
      </c>
      <c r="R7" s="7">
        <v>46194</v>
      </c>
      <c r="S7" s="7">
        <v>46194</v>
      </c>
      <c r="T7" t="s">
        <v>45</v>
      </c>
      <c r="V7" t="s">
        <v>73</v>
      </c>
      <c r="W7" t="s">
        <v>74</v>
      </c>
      <c r="X7" t="s">
        <v>45</v>
      </c>
      <c r="Y7" t="s">
        <v>45</v>
      </c>
      <c r="Z7" t="s">
        <v>74</v>
      </c>
      <c r="AA7" s="7">
        <v>46193</v>
      </c>
      <c r="AB7" t="s">
        <v>62</v>
      </c>
      <c r="AC7" t="s">
        <v>74</v>
      </c>
      <c r="AF7">
        <v>3</v>
      </c>
      <c r="AH7" t="s">
        <v>75</v>
      </c>
      <c r="AI7">
        <v>3</v>
      </c>
      <c r="AJ7" s="9">
        <v>46194</v>
      </c>
      <c r="AM7"/>
      <c r="AN7" t="s">
        <v>86</v>
      </c>
      <c r="AO7" t="s">
        <v>86</v>
      </c>
      <c r="AP7">
        <v>6</v>
      </c>
      <c r="AQ7" t="s">
        <v>74</v>
      </c>
      <c r="AR7" s="18" t="str">
        <f>IFERROR(VLOOKUP(K7,[1]POP!$F:$J,1,0),M7)</f>
        <v>FOTOKOL</v>
      </c>
      <c r="AS7" s="18" t="str">
        <f t="shared" si="1"/>
        <v>FOTOKOL</v>
      </c>
      <c r="AT7" s="19">
        <f t="shared" si="4"/>
        <v>3</v>
      </c>
      <c r="AU7" s="19">
        <f t="shared" ca="1" si="3"/>
        <v>2</v>
      </c>
    </row>
    <row r="8" spans="1:47" x14ac:dyDescent="0.3">
      <c r="A8" t="s">
        <v>82</v>
      </c>
      <c r="B8" t="str">
        <f t="shared" si="0"/>
        <v>S26_2026</v>
      </c>
      <c r="C8" t="str">
        <f t="shared" si="2"/>
        <v>S26_2026</v>
      </c>
      <c r="F8">
        <v>27</v>
      </c>
      <c r="G8" t="s">
        <v>55</v>
      </c>
      <c r="H8" t="s">
        <v>70</v>
      </c>
      <c r="I8" t="s">
        <v>71</v>
      </c>
      <c r="J8" t="s">
        <v>71</v>
      </c>
      <c r="K8" t="s">
        <v>72</v>
      </c>
      <c r="L8" t="s">
        <v>71</v>
      </c>
      <c r="M8" t="s">
        <v>72</v>
      </c>
      <c r="N8" t="s">
        <v>45</v>
      </c>
      <c r="O8" t="s">
        <v>45</v>
      </c>
      <c r="P8">
        <v>2</v>
      </c>
      <c r="Q8" s="7">
        <v>46196</v>
      </c>
      <c r="R8" s="7">
        <v>46197</v>
      </c>
      <c r="S8" s="7">
        <v>46197</v>
      </c>
      <c r="T8" t="s">
        <v>45</v>
      </c>
      <c r="V8" t="s">
        <v>83</v>
      </c>
      <c r="W8" t="s">
        <v>45</v>
      </c>
      <c r="X8" t="s">
        <v>45</v>
      </c>
      <c r="Y8" t="s">
        <v>45</v>
      </c>
      <c r="Z8" t="s">
        <v>74</v>
      </c>
      <c r="AE8" s="7">
        <v>46198</v>
      </c>
      <c r="AF8">
        <v>2</v>
      </c>
      <c r="AH8" t="s">
        <v>75</v>
      </c>
      <c r="AI8">
        <v>1</v>
      </c>
      <c r="AJ8" s="9"/>
      <c r="AK8" t="s">
        <v>74</v>
      </c>
      <c r="AM8"/>
      <c r="AN8" t="s">
        <v>86</v>
      </c>
      <c r="AO8" t="s">
        <v>86</v>
      </c>
      <c r="AP8">
        <v>4</v>
      </c>
      <c r="AQ8" t="s">
        <v>86</v>
      </c>
      <c r="AR8" s="18" t="str">
        <f>IFERROR(VLOOKUP(K8,[1]POP!$F:$J,1,0),M8)</f>
        <v>FOTOKOL</v>
      </c>
      <c r="AS8" s="18" t="str">
        <f t="shared" si="1"/>
        <v>SAGME</v>
      </c>
      <c r="AT8" s="19">
        <f t="shared" si="4"/>
        <v>2</v>
      </c>
      <c r="AU8" s="19">
        <f t="shared" ca="1" si="3"/>
        <v>2</v>
      </c>
    </row>
    <row r="9" spans="1:47" x14ac:dyDescent="0.3">
      <c r="A9" t="s">
        <v>84</v>
      </c>
      <c r="B9" t="str">
        <f t="shared" si="0"/>
        <v>S26_2026</v>
      </c>
      <c r="C9" t="str">
        <f t="shared" si="2"/>
        <v>S26_2026</v>
      </c>
      <c r="F9">
        <v>3</v>
      </c>
      <c r="G9" t="s">
        <v>55</v>
      </c>
      <c r="H9" t="s">
        <v>85</v>
      </c>
      <c r="I9" t="s">
        <v>71</v>
      </c>
      <c r="J9" t="s">
        <v>71</v>
      </c>
      <c r="K9" t="s">
        <v>72</v>
      </c>
      <c r="L9" t="s">
        <v>71</v>
      </c>
      <c r="M9" t="s">
        <v>72</v>
      </c>
      <c r="N9" t="s">
        <v>45</v>
      </c>
      <c r="O9" t="s">
        <v>45</v>
      </c>
      <c r="P9">
        <v>3</v>
      </c>
      <c r="Q9" s="7">
        <v>46196</v>
      </c>
      <c r="R9" s="7">
        <v>46197</v>
      </c>
      <c r="S9" s="7">
        <v>46197</v>
      </c>
      <c r="T9" t="s">
        <v>74</v>
      </c>
      <c r="W9" t="s">
        <v>86</v>
      </c>
      <c r="X9" t="s">
        <v>86</v>
      </c>
      <c r="Y9" t="s">
        <v>74</v>
      </c>
      <c r="Z9" t="s">
        <v>86</v>
      </c>
      <c r="AF9">
        <v>3</v>
      </c>
      <c r="AH9" t="s">
        <v>75</v>
      </c>
      <c r="AI9">
        <v>3</v>
      </c>
      <c r="AJ9" s="9">
        <v>46197</v>
      </c>
      <c r="AM9"/>
      <c r="AN9" t="s">
        <v>86</v>
      </c>
      <c r="AO9" t="s">
        <v>86</v>
      </c>
      <c r="AP9">
        <v>6</v>
      </c>
      <c r="AQ9" t="s">
        <v>86</v>
      </c>
      <c r="AR9" s="18" t="str">
        <f>IFERROR(VLOOKUP(K9,[1]POP!$F:$J,1,0),M9)</f>
        <v>FOTOKOL</v>
      </c>
      <c r="AS9" s="18" t="str">
        <f t="shared" si="1"/>
        <v>SAGME</v>
      </c>
      <c r="AT9" s="19">
        <f t="shared" si="4"/>
        <v>3</v>
      </c>
      <c r="AU9" s="19">
        <f t="shared" ca="1" si="3"/>
        <v>2</v>
      </c>
    </row>
    <row r="10" spans="1:47" x14ac:dyDescent="0.3">
      <c r="A10" t="s">
        <v>87</v>
      </c>
      <c r="B10" t="str">
        <f t="shared" si="0"/>
        <v>S26_2026</v>
      </c>
      <c r="C10" t="str">
        <f t="shared" si="2"/>
        <v>S26_2026</v>
      </c>
      <c r="F10">
        <v>17</v>
      </c>
      <c r="G10" t="s">
        <v>55</v>
      </c>
      <c r="H10" t="s">
        <v>85</v>
      </c>
      <c r="I10" t="s">
        <v>71</v>
      </c>
      <c r="J10" t="s">
        <v>71</v>
      </c>
      <c r="K10" t="s">
        <v>72</v>
      </c>
      <c r="L10" t="s">
        <v>71</v>
      </c>
      <c r="M10" t="s">
        <v>72</v>
      </c>
      <c r="N10" t="s">
        <v>45</v>
      </c>
      <c r="O10" t="s">
        <v>45</v>
      </c>
      <c r="P10">
        <v>2</v>
      </c>
      <c r="Q10" s="7">
        <v>46196</v>
      </c>
      <c r="R10" s="7">
        <v>46197</v>
      </c>
      <c r="S10" s="7">
        <v>46197</v>
      </c>
      <c r="T10" t="s">
        <v>45</v>
      </c>
      <c r="V10" t="s">
        <v>83</v>
      </c>
      <c r="W10" t="s">
        <v>45</v>
      </c>
      <c r="X10" t="s">
        <v>45</v>
      </c>
      <c r="Y10" t="s">
        <v>45</v>
      </c>
      <c r="Z10" t="s">
        <v>74</v>
      </c>
      <c r="AE10" s="7">
        <v>46198</v>
      </c>
      <c r="AF10">
        <v>2</v>
      </c>
      <c r="AH10" t="s">
        <v>75</v>
      </c>
      <c r="AI10">
        <v>1</v>
      </c>
      <c r="AJ10" s="9"/>
      <c r="AK10" t="s">
        <v>74</v>
      </c>
      <c r="AM10"/>
      <c r="AN10" t="s">
        <v>86</v>
      </c>
      <c r="AO10" t="s">
        <v>86</v>
      </c>
      <c r="AP10">
        <v>4</v>
      </c>
      <c r="AQ10" t="s">
        <v>86</v>
      </c>
      <c r="AR10" s="18" t="str">
        <f>IFERROR(VLOOKUP(K10,[1]POP!$F:$J,1,0),M10)</f>
        <v>FOTOKOL</v>
      </c>
      <c r="AS10" s="18" t="str">
        <f t="shared" si="1"/>
        <v>SAGME</v>
      </c>
      <c r="AT10" s="19">
        <f t="shared" si="4"/>
        <v>2</v>
      </c>
      <c r="AU10" s="19">
        <f t="shared" ca="1" si="3"/>
        <v>2</v>
      </c>
    </row>
    <row r="11" spans="1:47" x14ac:dyDescent="0.3">
      <c r="A11" t="s">
        <v>88</v>
      </c>
      <c r="B11" t="str">
        <f t="shared" si="0"/>
        <v>S26_2026</v>
      </c>
      <c r="C11" t="str">
        <f t="shared" si="2"/>
        <v>S26_2026</v>
      </c>
      <c r="F11">
        <v>20</v>
      </c>
      <c r="G11" t="s">
        <v>55</v>
      </c>
      <c r="H11" t="s">
        <v>70</v>
      </c>
      <c r="I11" t="s">
        <v>71</v>
      </c>
      <c r="J11" t="s">
        <v>71</v>
      </c>
      <c r="K11" t="s">
        <v>72</v>
      </c>
      <c r="L11" t="s">
        <v>71</v>
      </c>
      <c r="M11" t="s">
        <v>72</v>
      </c>
      <c r="N11" t="s">
        <v>45</v>
      </c>
      <c r="O11" t="s">
        <v>45</v>
      </c>
      <c r="P11">
        <v>2</v>
      </c>
      <c r="Q11" s="7">
        <v>46196</v>
      </c>
      <c r="R11" s="7">
        <v>46197</v>
      </c>
      <c r="S11" s="7">
        <v>46197</v>
      </c>
      <c r="T11" t="s">
        <v>45</v>
      </c>
      <c r="V11" t="s">
        <v>83</v>
      </c>
      <c r="W11" t="s">
        <v>45</v>
      </c>
      <c r="X11" t="s">
        <v>45</v>
      </c>
      <c r="Y11" t="s">
        <v>45</v>
      </c>
      <c r="Z11" t="s">
        <v>74</v>
      </c>
      <c r="AF11">
        <v>2</v>
      </c>
      <c r="AH11" t="s">
        <v>75</v>
      </c>
      <c r="AI11">
        <v>1</v>
      </c>
      <c r="AJ11" s="9"/>
      <c r="AK11" t="s">
        <v>74</v>
      </c>
      <c r="AM11"/>
      <c r="AN11" t="s">
        <v>86</v>
      </c>
      <c r="AO11" t="s">
        <v>86</v>
      </c>
      <c r="AP11">
        <v>5</v>
      </c>
      <c r="AQ11" t="s">
        <v>45</v>
      </c>
      <c r="AR11" s="18" t="str">
        <f>IFERROR(VLOOKUP(K11,[1]POP!$F:$J,1,0),M11)</f>
        <v>FOTOKOL</v>
      </c>
      <c r="AS11" s="18" t="str">
        <f t="shared" si="1"/>
        <v>SAGME</v>
      </c>
      <c r="AT11" s="19">
        <f t="shared" si="4"/>
        <v>2</v>
      </c>
      <c r="AU11" s="19">
        <f t="shared" ca="1" si="3"/>
        <v>2</v>
      </c>
    </row>
    <row r="12" spans="1:47" x14ac:dyDescent="0.3">
      <c r="A12" t="s">
        <v>89</v>
      </c>
      <c r="B12" t="str">
        <f t="shared" si="0"/>
        <v>S26_2026</v>
      </c>
      <c r="C12" t="str">
        <f t="shared" si="2"/>
        <v>S26_2026</v>
      </c>
      <c r="F12">
        <v>19</v>
      </c>
      <c r="G12" t="s">
        <v>40</v>
      </c>
      <c r="H12" t="s">
        <v>77</v>
      </c>
      <c r="I12" t="s">
        <v>71</v>
      </c>
      <c r="J12" t="s">
        <v>71</v>
      </c>
      <c r="K12" t="s">
        <v>72</v>
      </c>
      <c r="L12" t="s">
        <v>71</v>
      </c>
      <c r="M12" t="s">
        <v>72</v>
      </c>
      <c r="N12" t="s">
        <v>45</v>
      </c>
      <c r="O12" t="s">
        <v>45</v>
      </c>
      <c r="P12">
        <v>2</v>
      </c>
      <c r="Q12" s="7">
        <v>46196</v>
      </c>
      <c r="R12" s="7">
        <v>46197</v>
      </c>
      <c r="S12" s="7">
        <v>46197</v>
      </c>
      <c r="T12" t="s">
        <v>45</v>
      </c>
      <c r="V12" t="s">
        <v>83</v>
      </c>
      <c r="W12" t="s">
        <v>45</v>
      </c>
      <c r="X12" t="s">
        <v>45</v>
      </c>
      <c r="Y12" t="s">
        <v>45</v>
      </c>
      <c r="Z12" t="s">
        <v>74</v>
      </c>
      <c r="AE12" s="7">
        <v>46199</v>
      </c>
      <c r="AF12">
        <v>2</v>
      </c>
      <c r="AH12" t="s">
        <v>75</v>
      </c>
      <c r="AI12">
        <v>1</v>
      </c>
      <c r="AJ12" s="9"/>
      <c r="AK12" t="s">
        <v>74</v>
      </c>
      <c r="AM12"/>
      <c r="AN12" t="s">
        <v>86</v>
      </c>
      <c r="AO12" t="s">
        <v>45</v>
      </c>
      <c r="AP12">
        <v>7</v>
      </c>
      <c r="AQ12" t="s">
        <v>86</v>
      </c>
      <c r="AR12" s="18" t="str">
        <f>IFERROR(VLOOKUP(K12,[1]POP!$F:$J,1,0),M12)</f>
        <v>FOTOKOL</v>
      </c>
      <c r="AS12" s="18" t="str">
        <f t="shared" si="1"/>
        <v>SAGME</v>
      </c>
      <c r="AT12" s="19">
        <f t="shared" si="4"/>
        <v>2</v>
      </c>
      <c r="AU12" s="19">
        <f t="shared" ca="1" si="3"/>
        <v>2</v>
      </c>
    </row>
    <row r="13" spans="1:47" x14ac:dyDescent="0.3">
      <c r="A13" t="s">
        <v>90</v>
      </c>
      <c r="B13" t="str">
        <f t="shared" si="0"/>
        <v>S26_2026</v>
      </c>
      <c r="C13" t="str">
        <f t="shared" si="2"/>
        <v>S26_2026</v>
      </c>
      <c r="F13">
        <v>6</v>
      </c>
      <c r="G13" t="s">
        <v>55</v>
      </c>
      <c r="H13" t="s">
        <v>85</v>
      </c>
      <c r="I13" t="s">
        <v>71</v>
      </c>
      <c r="J13" t="s">
        <v>71</v>
      </c>
      <c r="K13" t="s">
        <v>72</v>
      </c>
      <c r="L13" t="s">
        <v>71</v>
      </c>
      <c r="M13" t="s">
        <v>72</v>
      </c>
      <c r="N13" t="s">
        <v>45</v>
      </c>
      <c r="O13" t="s">
        <v>45</v>
      </c>
      <c r="P13">
        <v>2</v>
      </c>
      <c r="Q13" s="7">
        <v>46196</v>
      </c>
      <c r="R13" s="7">
        <v>46197</v>
      </c>
      <c r="S13" s="7">
        <v>46197</v>
      </c>
      <c r="T13" t="s">
        <v>45</v>
      </c>
      <c r="V13" t="s">
        <v>83</v>
      </c>
      <c r="W13" t="s">
        <v>45</v>
      </c>
      <c r="X13" t="s">
        <v>45</v>
      </c>
      <c r="Y13" t="s">
        <v>45</v>
      </c>
      <c r="Z13" t="s">
        <v>74</v>
      </c>
      <c r="AE13" s="7">
        <v>46198</v>
      </c>
      <c r="AF13">
        <v>2</v>
      </c>
      <c r="AH13" t="s">
        <v>75</v>
      </c>
      <c r="AI13">
        <v>1</v>
      </c>
      <c r="AJ13" s="10"/>
      <c r="AK13" t="s">
        <v>74</v>
      </c>
      <c r="AM13"/>
      <c r="AN13" t="s">
        <v>86</v>
      </c>
      <c r="AO13" t="s">
        <v>45</v>
      </c>
      <c r="AP13">
        <v>6</v>
      </c>
      <c r="AQ13" t="s">
        <v>86</v>
      </c>
      <c r="AR13" s="18" t="str">
        <f>IFERROR(VLOOKUP(K13,[1]POP!$F:$J,1,0),M13)</f>
        <v>FOTOKOL</v>
      </c>
      <c r="AS13" s="18" t="str">
        <f t="shared" si="1"/>
        <v>SAGME</v>
      </c>
      <c r="AT13" s="19">
        <f t="shared" si="4"/>
        <v>2</v>
      </c>
      <c r="AU13" s="19">
        <f t="shared" ca="1" si="3"/>
        <v>2</v>
      </c>
    </row>
    <row r="14" spans="1:47" x14ac:dyDescent="0.3">
      <c r="A14" t="s">
        <v>91</v>
      </c>
      <c r="B14" t="str">
        <f t="shared" si="0"/>
        <v>S26_2026</v>
      </c>
      <c r="C14" t="str">
        <f t="shared" si="2"/>
        <v>S26_2026</v>
      </c>
      <c r="F14">
        <v>3</v>
      </c>
      <c r="G14" t="s">
        <v>40</v>
      </c>
      <c r="H14" t="s">
        <v>85</v>
      </c>
      <c r="I14" t="s">
        <v>71</v>
      </c>
      <c r="J14" t="s">
        <v>71</v>
      </c>
      <c r="K14" t="s">
        <v>72</v>
      </c>
      <c r="L14" t="s">
        <v>71</v>
      </c>
      <c r="M14" t="s">
        <v>72</v>
      </c>
      <c r="N14" t="s">
        <v>45</v>
      </c>
      <c r="O14" t="s">
        <v>45</v>
      </c>
      <c r="P14">
        <v>2</v>
      </c>
      <c r="Q14" s="7">
        <v>46196</v>
      </c>
      <c r="R14" s="7">
        <v>46197</v>
      </c>
      <c r="S14" s="7">
        <v>46197</v>
      </c>
      <c r="T14" t="s">
        <v>45</v>
      </c>
      <c r="V14" t="s">
        <v>83</v>
      </c>
      <c r="W14" t="s">
        <v>45</v>
      </c>
      <c r="X14" t="s">
        <v>45</v>
      </c>
      <c r="Y14" t="s">
        <v>45</v>
      </c>
      <c r="Z14" t="s">
        <v>74</v>
      </c>
      <c r="AE14" s="7">
        <v>46198</v>
      </c>
      <c r="AF14">
        <v>2</v>
      </c>
      <c r="AH14" t="s">
        <v>75</v>
      </c>
      <c r="AI14">
        <v>1</v>
      </c>
      <c r="AJ14" s="10"/>
      <c r="AK14" t="s">
        <v>74</v>
      </c>
      <c r="AM14"/>
      <c r="AN14" t="s">
        <v>86</v>
      </c>
      <c r="AO14" t="s">
        <v>45</v>
      </c>
      <c r="AP14">
        <v>5</v>
      </c>
      <c r="AQ14" t="s">
        <v>86</v>
      </c>
      <c r="AR14" s="18" t="str">
        <f>IFERROR(VLOOKUP(K14,[1]POP!$F:$J,1,0),M14)</f>
        <v>FOTOKOL</v>
      </c>
      <c r="AS14" s="18" t="str">
        <f t="shared" si="1"/>
        <v>SAGME</v>
      </c>
      <c r="AT14" s="19">
        <f t="shared" si="4"/>
        <v>2</v>
      </c>
      <c r="AU14" s="19">
        <f t="shared" ca="1" si="3"/>
        <v>2</v>
      </c>
    </row>
    <row r="15" spans="1:47" x14ac:dyDescent="0.3">
      <c r="A15" t="s">
        <v>92</v>
      </c>
      <c r="B15" t="str">
        <f t="shared" si="0"/>
        <v>S26_2026</v>
      </c>
      <c r="C15" t="str">
        <f t="shared" si="2"/>
        <v>S26_2026</v>
      </c>
      <c r="F15">
        <v>33</v>
      </c>
      <c r="G15" t="s">
        <v>55</v>
      </c>
      <c r="H15" t="s">
        <v>77</v>
      </c>
      <c r="I15" t="s">
        <v>71</v>
      </c>
      <c r="J15" t="s">
        <v>71</v>
      </c>
      <c r="K15" t="s">
        <v>72</v>
      </c>
      <c r="L15" t="s">
        <v>71</v>
      </c>
      <c r="M15" t="s">
        <v>72</v>
      </c>
      <c r="N15" t="s">
        <v>45</v>
      </c>
      <c r="O15" t="s">
        <v>45</v>
      </c>
      <c r="P15">
        <v>1</v>
      </c>
      <c r="Q15" s="7">
        <v>46196</v>
      </c>
      <c r="R15" s="7">
        <v>46197</v>
      </c>
      <c r="S15" s="7">
        <v>46197</v>
      </c>
      <c r="T15" t="s">
        <v>45</v>
      </c>
      <c r="V15" t="s">
        <v>83</v>
      </c>
      <c r="W15" t="s">
        <v>45</v>
      </c>
      <c r="X15" t="s">
        <v>45</v>
      </c>
      <c r="Y15" t="s">
        <v>45</v>
      </c>
      <c r="Z15" t="s">
        <v>74</v>
      </c>
      <c r="AE15" s="7">
        <v>46199</v>
      </c>
      <c r="AF15">
        <v>2</v>
      </c>
      <c r="AH15" t="s">
        <v>75</v>
      </c>
      <c r="AI15">
        <v>1</v>
      </c>
      <c r="AJ15" s="10"/>
      <c r="AK15" t="s">
        <v>74</v>
      </c>
      <c r="AM15"/>
      <c r="AN15" t="s">
        <v>86</v>
      </c>
      <c r="AO15" t="s">
        <v>45</v>
      </c>
      <c r="AP15">
        <v>5</v>
      </c>
      <c r="AQ15" t="s">
        <v>74</v>
      </c>
      <c r="AR15" s="18" t="str">
        <f>IFERROR(VLOOKUP(K15,[1]POP!$F:$J,1,0),M15)</f>
        <v>FOTOKOL</v>
      </c>
      <c r="AS15" s="18" t="str">
        <f t="shared" si="1"/>
        <v>SAGME</v>
      </c>
      <c r="AT15" s="19">
        <f t="shared" si="4"/>
        <v>2</v>
      </c>
      <c r="AU15" s="19">
        <f t="shared" ca="1" si="3"/>
        <v>2</v>
      </c>
    </row>
    <row r="16" spans="1:47" x14ac:dyDescent="0.3">
      <c r="A16" t="s">
        <v>93</v>
      </c>
      <c r="B16" t="str">
        <f t="shared" si="0"/>
        <v>S26_2026</v>
      </c>
      <c r="C16" t="str">
        <f t="shared" si="2"/>
        <v>S26_2026</v>
      </c>
      <c r="F16">
        <v>26</v>
      </c>
      <c r="G16" t="s">
        <v>55</v>
      </c>
      <c r="H16" t="s">
        <v>70</v>
      </c>
      <c r="I16" t="s">
        <v>71</v>
      </c>
      <c r="J16" t="s">
        <v>71</v>
      </c>
      <c r="K16" t="s">
        <v>72</v>
      </c>
      <c r="L16" t="s">
        <v>71</v>
      </c>
      <c r="M16" t="s">
        <v>72</v>
      </c>
      <c r="N16" t="s">
        <v>45</v>
      </c>
      <c r="O16" t="s">
        <v>45</v>
      </c>
      <c r="P16">
        <v>2</v>
      </c>
      <c r="Q16" s="7">
        <v>46196</v>
      </c>
      <c r="R16" s="7">
        <v>46197</v>
      </c>
      <c r="S16" s="7">
        <v>46197</v>
      </c>
      <c r="T16" t="s">
        <v>45</v>
      </c>
      <c r="V16" t="s">
        <v>83</v>
      </c>
      <c r="W16" t="s">
        <v>45</v>
      </c>
      <c r="X16" t="s">
        <v>45</v>
      </c>
      <c r="Y16" t="s">
        <v>45</v>
      </c>
      <c r="Z16" t="s">
        <v>74</v>
      </c>
      <c r="AE16" s="7">
        <v>46198</v>
      </c>
      <c r="AF16">
        <v>2</v>
      </c>
      <c r="AH16" t="s">
        <v>75</v>
      </c>
      <c r="AI16">
        <v>1</v>
      </c>
      <c r="AJ16" s="10"/>
      <c r="AK16" t="s">
        <v>74</v>
      </c>
      <c r="AM16"/>
      <c r="AN16" t="s">
        <v>86</v>
      </c>
      <c r="AO16" t="s">
        <v>45</v>
      </c>
      <c r="AP16">
        <v>6</v>
      </c>
      <c r="AQ16" t="s">
        <v>74</v>
      </c>
      <c r="AR16" s="18" t="str">
        <f>IFERROR(VLOOKUP(K16,[1]POP!$F:$J,1,0),M16)</f>
        <v>FOTOKOL</v>
      </c>
      <c r="AS16" s="18" t="str">
        <f t="shared" si="1"/>
        <v>SAGME</v>
      </c>
      <c r="AT16" s="19">
        <f t="shared" si="4"/>
        <v>2</v>
      </c>
      <c r="AU16" s="19">
        <f t="shared" ca="1" si="3"/>
        <v>2</v>
      </c>
    </row>
    <row r="17" spans="1:47" x14ac:dyDescent="0.3">
      <c r="A17" t="s">
        <v>94</v>
      </c>
      <c r="B17" t="str">
        <f t="shared" si="0"/>
        <v>S26_2026</v>
      </c>
      <c r="C17" t="str">
        <f t="shared" si="2"/>
        <v>S26_2026</v>
      </c>
      <c r="F17">
        <v>3</v>
      </c>
      <c r="G17" t="s">
        <v>55</v>
      </c>
      <c r="H17" t="s">
        <v>85</v>
      </c>
      <c r="I17" t="s">
        <v>71</v>
      </c>
      <c r="J17" t="s">
        <v>71</v>
      </c>
      <c r="K17" t="s">
        <v>72</v>
      </c>
      <c r="L17" t="s">
        <v>71</v>
      </c>
      <c r="M17" t="s">
        <v>72</v>
      </c>
      <c r="N17" t="s">
        <v>45</v>
      </c>
      <c r="O17" t="s">
        <v>45</v>
      </c>
      <c r="P17">
        <v>1</v>
      </c>
      <c r="Q17" s="7">
        <v>46198</v>
      </c>
      <c r="R17" s="7">
        <v>46198</v>
      </c>
      <c r="S17" s="7">
        <v>46198</v>
      </c>
      <c r="T17" t="s">
        <v>45</v>
      </c>
      <c r="V17" t="s">
        <v>83</v>
      </c>
      <c r="W17" t="s">
        <v>45</v>
      </c>
      <c r="X17" t="s">
        <v>45</v>
      </c>
      <c r="Y17" t="s">
        <v>74</v>
      </c>
      <c r="Z17" t="s">
        <v>74</v>
      </c>
      <c r="AE17" s="7">
        <v>46199</v>
      </c>
      <c r="AF17">
        <v>2</v>
      </c>
      <c r="AH17" t="s">
        <v>75</v>
      </c>
      <c r="AI17">
        <v>1</v>
      </c>
      <c r="AJ17" s="10"/>
      <c r="AK17" t="s">
        <v>74</v>
      </c>
      <c r="AM17"/>
      <c r="AN17" t="s">
        <v>45</v>
      </c>
      <c r="AO17" t="s">
        <v>86</v>
      </c>
      <c r="AP17"/>
      <c r="AQ17" t="s">
        <v>74</v>
      </c>
      <c r="AR17" s="18" t="str">
        <f>IFERROR(VLOOKUP(K17,[1]POP!$F:$J,1,0),M17)</f>
        <v>FOTOKOL</v>
      </c>
      <c r="AS17" s="18" t="str">
        <f t="shared" si="1"/>
        <v>SAGME</v>
      </c>
      <c r="AT17" s="19">
        <f t="shared" si="4"/>
        <v>2</v>
      </c>
      <c r="AU17" s="19">
        <f t="shared" ca="1" si="3"/>
        <v>2</v>
      </c>
    </row>
    <row r="18" spans="1:47" x14ac:dyDescent="0.3">
      <c r="A18" t="s">
        <v>95</v>
      </c>
      <c r="B18" t="str">
        <f t="shared" si="0"/>
        <v>S26_2026</v>
      </c>
      <c r="C18" t="str">
        <f t="shared" si="2"/>
        <v>S26_2026</v>
      </c>
      <c r="F18">
        <v>40</v>
      </c>
      <c r="G18" t="s">
        <v>40</v>
      </c>
      <c r="H18" t="s">
        <v>77</v>
      </c>
      <c r="I18" t="s">
        <v>71</v>
      </c>
      <c r="J18" t="s">
        <v>71</v>
      </c>
      <c r="K18" t="s">
        <v>72</v>
      </c>
      <c r="L18" t="s">
        <v>71</v>
      </c>
      <c r="M18" t="s">
        <v>72</v>
      </c>
      <c r="N18" t="s">
        <v>45</v>
      </c>
      <c r="O18" t="s">
        <v>45</v>
      </c>
      <c r="P18">
        <v>2</v>
      </c>
      <c r="Q18" s="7">
        <v>46198</v>
      </c>
      <c r="R18" s="7">
        <v>46198</v>
      </c>
      <c r="S18" s="7">
        <v>46198</v>
      </c>
      <c r="T18" t="s">
        <v>45</v>
      </c>
      <c r="V18" t="s">
        <v>83</v>
      </c>
      <c r="W18" t="s">
        <v>45</v>
      </c>
      <c r="X18" t="s">
        <v>45</v>
      </c>
      <c r="Y18" t="s">
        <v>74</v>
      </c>
      <c r="Z18" t="s">
        <v>74</v>
      </c>
      <c r="AE18" s="7">
        <v>46199</v>
      </c>
      <c r="AF18">
        <v>2</v>
      </c>
      <c r="AH18" t="s">
        <v>75</v>
      </c>
      <c r="AI18">
        <v>1</v>
      </c>
      <c r="AJ18" s="10"/>
      <c r="AK18" t="s">
        <v>74</v>
      </c>
      <c r="AL18" t="s">
        <v>96</v>
      </c>
      <c r="AM18"/>
      <c r="AN18" t="s">
        <v>45</v>
      </c>
      <c r="AO18" t="s">
        <v>86</v>
      </c>
      <c r="AP18"/>
      <c r="AQ18" t="s">
        <v>74</v>
      </c>
      <c r="AR18" s="18" t="str">
        <f>IFERROR(VLOOKUP(K18,[1]POP!$F:$J,1,0),M18)</f>
        <v>FOTOKOL</v>
      </c>
      <c r="AS18" s="18" t="str">
        <f t="shared" si="1"/>
        <v>SAGME</v>
      </c>
      <c r="AT18" s="19">
        <f t="shared" si="4"/>
        <v>2</v>
      </c>
      <c r="AU18" s="19">
        <f t="shared" ca="1" si="3"/>
        <v>2</v>
      </c>
    </row>
    <row r="19" spans="1:47" x14ac:dyDescent="0.3">
      <c r="A19" t="s">
        <v>97</v>
      </c>
      <c r="B19" t="str">
        <f t="shared" si="0"/>
        <v>S26_2026</v>
      </c>
      <c r="C19" t="str">
        <f t="shared" si="2"/>
        <v>S26_2026</v>
      </c>
      <c r="F19">
        <v>40</v>
      </c>
      <c r="G19" t="s">
        <v>40</v>
      </c>
      <c r="H19" t="s">
        <v>77</v>
      </c>
      <c r="I19" t="s">
        <v>71</v>
      </c>
      <c r="J19" t="s">
        <v>71</v>
      </c>
      <c r="K19" t="s">
        <v>72</v>
      </c>
      <c r="L19" t="s">
        <v>71</v>
      </c>
      <c r="M19" t="s">
        <v>72</v>
      </c>
      <c r="N19" t="s">
        <v>45</v>
      </c>
      <c r="O19" t="s">
        <v>45</v>
      </c>
      <c r="P19">
        <v>2</v>
      </c>
      <c r="Q19" s="7">
        <v>46198</v>
      </c>
      <c r="R19" s="7">
        <v>46198</v>
      </c>
      <c r="S19" s="7">
        <v>46198</v>
      </c>
      <c r="T19" t="s">
        <v>45</v>
      </c>
      <c r="V19" t="s">
        <v>83</v>
      </c>
      <c r="W19" t="s">
        <v>45</v>
      </c>
      <c r="X19" t="s">
        <v>45</v>
      </c>
      <c r="Y19" t="s">
        <v>45</v>
      </c>
      <c r="Z19" t="s">
        <v>74</v>
      </c>
      <c r="AE19" s="7">
        <v>46199</v>
      </c>
      <c r="AF19">
        <v>2</v>
      </c>
      <c r="AH19" t="s">
        <v>75</v>
      </c>
      <c r="AI19">
        <v>1</v>
      </c>
      <c r="AJ19" s="10"/>
      <c r="AK19" t="s">
        <v>74</v>
      </c>
      <c r="AL19" t="s">
        <v>98</v>
      </c>
      <c r="AM19"/>
      <c r="AN19" t="s">
        <v>45</v>
      </c>
      <c r="AO19" t="s">
        <v>86</v>
      </c>
      <c r="AP19"/>
      <c r="AQ19" t="s">
        <v>74</v>
      </c>
      <c r="AR19" s="18" t="str">
        <f>IFERROR(VLOOKUP(K19,[1]POP!$F:$J,1,0),M19)</f>
        <v>FOTOKOL</v>
      </c>
      <c r="AS19" s="18" t="str">
        <f t="shared" si="1"/>
        <v>SAGME</v>
      </c>
      <c r="AT19" s="19">
        <f t="shared" si="4"/>
        <v>2</v>
      </c>
      <c r="AU19" s="19">
        <f t="shared" ca="1" si="3"/>
        <v>2</v>
      </c>
    </row>
    <row r="20" spans="1:47" x14ac:dyDescent="0.3">
      <c r="A20" t="s">
        <v>99</v>
      </c>
      <c r="B20" t="str">
        <f t="shared" si="0"/>
        <v>S26_2026</v>
      </c>
      <c r="C20" t="str">
        <f t="shared" si="2"/>
        <v>S26_2026</v>
      </c>
      <c r="F20">
        <v>40</v>
      </c>
      <c r="G20" t="s">
        <v>40</v>
      </c>
      <c r="H20" t="s">
        <v>77</v>
      </c>
      <c r="I20" t="s">
        <v>71</v>
      </c>
      <c r="J20" t="s">
        <v>71</v>
      </c>
      <c r="K20" t="s">
        <v>72</v>
      </c>
      <c r="L20" t="s">
        <v>71</v>
      </c>
      <c r="M20" t="s">
        <v>72</v>
      </c>
      <c r="N20" t="s">
        <v>45</v>
      </c>
      <c r="O20" t="s">
        <v>45</v>
      </c>
      <c r="P20">
        <v>1</v>
      </c>
      <c r="Q20" s="7">
        <v>46198</v>
      </c>
      <c r="R20" s="7">
        <v>46198</v>
      </c>
      <c r="S20" s="7">
        <v>46198</v>
      </c>
      <c r="T20" t="s">
        <v>45</v>
      </c>
      <c r="V20" t="s">
        <v>83</v>
      </c>
      <c r="W20" t="s">
        <v>45</v>
      </c>
      <c r="X20" t="s">
        <v>45</v>
      </c>
      <c r="Y20" t="s">
        <v>74</v>
      </c>
      <c r="Z20" t="s">
        <v>74</v>
      </c>
      <c r="AE20" s="7">
        <v>46199</v>
      </c>
      <c r="AF20">
        <v>2</v>
      </c>
      <c r="AH20" t="s">
        <v>75</v>
      </c>
      <c r="AI20">
        <v>1</v>
      </c>
      <c r="AJ20" s="10"/>
      <c r="AK20" t="s">
        <v>74</v>
      </c>
      <c r="AL20" t="s">
        <v>98</v>
      </c>
      <c r="AM20"/>
      <c r="AN20" t="s">
        <v>45</v>
      </c>
      <c r="AO20" t="s">
        <v>86</v>
      </c>
      <c r="AP20"/>
      <c r="AQ20" t="s">
        <v>74</v>
      </c>
      <c r="AR20" s="18" t="str">
        <f>IFERROR(VLOOKUP(K20,[1]POP!$F:$J,1,0),M20)</f>
        <v>FOTOKOL</v>
      </c>
      <c r="AS20" s="18" t="str">
        <f t="shared" si="1"/>
        <v>SAGME</v>
      </c>
      <c r="AT20" s="19">
        <f t="shared" si="4"/>
        <v>2</v>
      </c>
      <c r="AU20" s="19">
        <f t="shared" ca="1" si="3"/>
        <v>2</v>
      </c>
    </row>
    <row r="21" spans="1:47" x14ac:dyDescent="0.3">
      <c r="A21" t="s">
        <v>100</v>
      </c>
      <c r="B21" t="str">
        <f t="shared" si="0"/>
        <v>S26_2026</v>
      </c>
      <c r="C21" t="str">
        <f t="shared" si="2"/>
        <v>S26_2026</v>
      </c>
      <c r="F21">
        <v>20</v>
      </c>
      <c r="G21" t="s">
        <v>55</v>
      </c>
      <c r="H21" t="s">
        <v>101</v>
      </c>
      <c r="I21" t="s">
        <v>71</v>
      </c>
      <c r="J21" t="s">
        <v>71</v>
      </c>
      <c r="K21" t="s">
        <v>72</v>
      </c>
      <c r="L21" t="s">
        <v>71</v>
      </c>
      <c r="M21" t="s">
        <v>72</v>
      </c>
      <c r="N21" t="s">
        <v>45</v>
      </c>
      <c r="O21" t="s">
        <v>45</v>
      </c>
      <c r="P21">
        <v>1</v>
      </c>
      <c r="Q21" s="7">
        <v>46198</v>
      </c>
      <c r="R21" s="7">
        <v>46198</v>
      </c>
      <c r="S21" s="7">
        <v>46198</v>
      </c>
      <c r="T21" t="s">
        <v>45</v>
      </c>
      <c r="V21" t="s">
        <v>83</v>
      </c>
      <c r="W21" t="s">
        <v>45</v>
      </c>
      <c r="X21" t="s">
        <v>45</v>
      </c>
      <c r="Y21" t="s">
        <v>74</v>
      </c>
      <c r="Z21" t="s">
        <v>74</v>
      </c>
      <c r="AE21" s="7">
        <v>46199</v>
      </c>
      <c r="AF21">
        <v>2</v>
      </c>
      <c r="AH21" t="s">
        <v>75</v>
      </c>
      <c r="AI21">
        <v>1</v>
      </c>
      <c r="AJ21" s="10"/>
      <c r="AK21" t="s">
        <v>74</v>
      </c>
      <c r="AL21" t="s">
        <v>98</v>
      </c>
      <c r="AM21"/>
      <c r="AN21" t="s">
        <v>45</v>
      </c>
      <c r="AO21" t="s">
        <v>86</v>
      </c>
      <c r="AP21"/>
      <c r="AQ21" t="s">
        <v>74</v>
      </c>
      <c r="AR21" s="18" t="str">
        <f>IFERROR(VLOOKUP(K21,[1]POP!$F:$J,1,0),M21)</f>
        <v>FOTOKOL</v>
      </c>
      <c r="AS21" s="18" t="str">
        <f t="shared" si="1"/>
        <v>SAGME</v>
      </c>
      <c r="AT21" s="19">
        <f t="shared" si="4"/>
        <v>2</v>
      </c>
      <c r="AU21" s="19">
        <f t="shared" ca="1" si="3"/>
        <v>2</v>
      </c>
    </row>
    <row r="22" spans="1:47" x14ac:dyDescent="0.3">
      <c r="A22" t="s">
        <v>102</v>
      </c>
      <c r="B22" t="str">
        <f t="shared" si="0"/>
        <v>S26_2026</v>
      </c>
      <c r="C22" t="str">
        <f t="shared" si="2"/>
        <v>S26_2026</v>
      </c>
      <c r="F22">
        <v>12</v>
      </c>
      <c r="G22" t="s">
        <v>55</v>
      </c>
      <c r="H22" t="s">
        <v>85</v>
      </c>
      <c r="I22" t="s">
        <v>71</v>
      </c>
      <c r="J22" t="s">
        <v>71</v>
      </c>
      <c r="K22" t="s">
        <v>72</v>
      </c>
      <c r="L22" t="s">
        <v>71</v>
      </c>
      <c r="M22" t="s">
        <v>72</v>
      </c>
      <c r="N22" t="s">
        <v>45</v>
      </c>
      <c r="O22" t="s">
        <v>45</v>
      </c>
      <c r="P22">
        <v>2</v>
      </c>
      <c r="Q22" s="7">
        <v>46199</v>
      </c>
      <c r="R22" s="7">
        <v>46199</v>
      </c>
      <c r="S22" s="7">
        <v>46199</v>
      </c>
      <c r="T22" t="s">
        <v>45</v>
      </c>
      <c r="V22" t="s">
        <v>83</v>
      </c>
      <c r="W22" t="s">
        <v>45</v>
      </c>
      <c r="X22" t="s">
        <v>45</v>
      </c>
      <c r="Y22" t="s">
        <v>74</v>
      </c>
      <c r="Z22" t="s">
        <v>74</v>
      </c>
      <c r="AE22" s="7">
        <v>46200</v>
      </c>
      <c r="AF22">
        <v>2</v>
      </c>
      <c r="AH22" t="s">
        <v>75</v>
      </c>
      <c r="AI22">
        <v>1</v>
      </c>
      <c r="AJ22" s="11"/>
      <c r="AK22" t="s">
        <v>74</v>
      </c>
      <c r="AL22" t="s">
        <v>98</v>
      </c>
      <c r="AM22"/>
      <c r="AN22" t="s">
        <v>86</v>
      </c>
      <c r="AO22" t="s">
        <v>86</v>
      </c>
      <c r="AP22"/>
      <c r="AQ22" t="s">
        <v>74</v>
      </c>
      <c r="AR22" s="18" t="str">
        <f>IFERROR(VLOOKUP(K22,[1]POP!$F:$J,1,0),M22)</f>
        <v>FOTOKOL</v>
      </c>
      <c r="AS22" s="18" t="str">
        <f t="shared" si="1"/>
        <v>SAGME</v>
      </c>
      <c r="AT22" s="19">
        <f t="shared" si="4"/>
        <v>2</v>
      </c>
      <c r="AU22" s="19">
        <f t="shared" ca="1" si="3"/>
        <v>2</v>
      </c>
    </row>
    <row r="23" spans="1:47" x14ac:dyDescent="0.3">
      <c r="A23" t="s">
        <v>103</v>
      </c>
      <c r="B23" t="str">
        <f t="shared" si="0"/>
        <v>S26_2026</v>
      </c>
      <c r="C23" t="str">
        <f t="shared" si="2"/>
        <v>S26_2026</v>
      </c>
      <c r="F23">
        <v>4</v>
      </c>
      <c r="G23" t="s">
        <v>40</v>
      </c>
      <c r="H23" t="s">
        <v>85</v>
      </c>
      <c r="I23" t="s">
        <v>71</v>
      </c>
      <c r="J23" t="s">
        <v>71</v>
      </c>
      <c r="K23" t="s">
        <v>72</v>
      </c>
      <c r="L23" t="s">
        <v>71</v>
      </c>
      <c r="M23" t="s">
        <v>72</v>
      </c>
      <c r="N23" t="s">
        <v>45</v>
      </c>
      <c r="O23" t="s">
        <v>45</v>
      </c>
      <c r="P23">
        <v>1</v>
      </c>
      <c r="Q23" s="7">
        <v>46199</v>
      </c>
      <c r="R23" s="7">
        <v>46199</v>
      </c>
      <c r="S23" s="7">
        <v>46199</v>
      </c>
      <c r="T23" t="s">
        <v>45</v>
      </c>
      <c r="V23" t="s">
        <v>83</v>
      </c>
      <c r="W23" t="s">
        <v>45</v>
      </c>
      <c r="X23" t="s">
        <v>45</v>
      </c>
      <c r="Y23" t="s">
        <v>74</v>
      </c>
      <c r="Z23" t="s">
        <v>74</v>
      </c>
      <c r="AE23" s="7">
        <v>46201</v>
      </c>
      <c r="AF23">
        <v>2</v>
      </c>
      <c r="AH23" t="s">
        <v>75</v>
      </c>
      <c r="AI23">
        <v>1</v>
      </c>
      <c r="AJ23" s="11"/>
      <c r="AK23" t="s">
        <v>74</v>
      </c>
      <c r="AL23" t="s">
        <v>98</v>
      </c>
      <c r="AM23"/>
      <c r="AN23" t="s">
        <v>45</v>
      </c>
      <c r="AO23" t="s">
        <v>86</v>
      </c>
      <c r="AP23"/>
      <c r="AQ23" t="s">
        <v>74</v>
      </c>
      <c r="AR23" s="18" t="str">
        <f>IFERROR(VLOOKUP(K23,[1]POP!$F:$J,1,0),M23)</f>
        <v>FOTOKOL</v>
      </c>
      <c r="AS23" s="18" t="str">
        <f t="shared" si="1"/>
        <v>SAGME</v>
      </c>
      <c r="AT23" s="19">
        <f t="shared" si="4"/>
        <v>2</v>
      </c>
      <c r="AU23" s="19">
        <f t="shared" ca="1" si="3"/>
        <v>2</v>
      </c>
    </row>
    <row r="24" spans="1:47" x14ac:dyDescent="0.3">
      <c r="A24" t="s">
        <v>104</v>
      </c>
      <c r="B24" t="str">
        <f t="shared" si="0"/>
        <v>S26_2026</v>
      </c>
      <c r="C24" t="str">
        <f t="shared" si="2"/>
        <v>S26_2026</v>
      </c>
      <c r="F24">
        <v>3</v>
      </c>
      <c r="G24" t="s">
        <v>55</v>
      </c>
      <c r="H24" t="s">
        <v>85</v>
      </c>
      <c r="I24" t="s">
        <v>71</v>
      </c>
      <c r="J24" t="s">
        <v>71</v>
      </c>
      <c r="K24" t="s">
        <v>72</v>
      </c>
      <c r="L24" t="s">
        <v>71</v>
      </c>
      <c r="M24" t="s">
        <v>72</v>
      </c>
      <c r="N24" t="s">
        <v>45</v>
      </c>
      <c r="O24" t="s">
        <v>45</v>
      </c>
      <c r="P24">
        <v>2</v>
      </c>
      <c r="Q24" s="7">
        <v>46199</v>
      </c>
      <c r="R24" s="7">
        <v>46199</v>
      </c>
      <c r="S24" s="7">
        <v>46199</v>
      </c>
      <c r="T24" t="s">
        <v>45</v>
      </c>
      <c r="V24" t="s">
        <v>83</v>
      </c>
      <c r="W24" t="s">
        <v>45</v>
      </c>
      <c r="X24" t="s">
        <v>45</v>
      </c>
      <c r="Y24" t="s">
        <v>74</v>
      </c>
      <c r="Z24" t="s">
        <v>74</v>
      </c>
      <c r="AE24" s="7">
        <v>46201</v>
      </c>
      <c r="AF24">
        <v>2</v>
      </c>
      <c r="AH24" t="s">
        <v>75</v>
      </c>
      <c r="AI24">
        <v>1</v>
      </c>
      <c r="AJ24" s="11"/>
      <c r="AK24" t="s">
        <v>74</v>
      </c>
      <c r="AM24"/>
      <c r="AN24"/>
      <c r="AO24" t="s">
        <v>45</v>
      </c>
      <c r="AP24">
        <v>7</v>
      </c>
      <c r="AQ24" t="s">
        <v>45</v>
      </c>
      <c r="AR24" s="18" t="str">
        <f>IFERROR(VLOOKUP(K24,[1]POP!$F:$J,1,0),M24)</f>
        <v>FOTOKOL</v>
      </c>
      <c r="AS24" s="18" t="str">
        <f t="shared" si="1"/>
        <v>SAGME</v>
      </c>
      <c r="AT24" s="19">
        <f t="shared" si="4"/>
        <v>2</v>
      </c>
      <c r="AU24" s="19">
        <f t="shared" ca="1" si="3"/>
        <v>2</v>
      </c>
    </row>
    <row r="25" spans="1:47" x14ac:dyDescent="0.3">
      <c r="A25" t="s">
        <v>105</v>
      </c>
      <c r="B25" t="str">
        <f t="shared" si="0"/>
        <v>S26_2026</v>
      </c>
      <c r="C25" t="str">
        <f t="shared" si="2"/>
        <v>S26_2026</v>
      </c>
      <c r="E25">
        <v>671894868</v>
      </c>
      <c r="F25">
        <v>12</v>
      </c>
      <c r="G25" t="s">
        <v>40</v>
      </c>
      <c r="H25" t="s">
        <v>85</v>
      </c>
      <c r="I25" t="s">
        <v>106</v>
      </c>
      <c r="J25" t="s">
        <v>71</v>
      </c>
      <c r="K25" t="s">
        <v>72</v>
      </c>
      <c r="L25" t="s">
        <v>72</v>
      </c>
      <c r="M25" t="s">
        <v>72</v>
      </c>
      <c r="N25" t="s">
        <v>45</v>
      </c>
      <c r="O25" t="s">
        <v>45</v>
      </c>
      <c r="P25">
        <v>2</v>
      </c>
      <c r="Q25" s="7">
        <v>46199</v>
      </c>
      <c r="R25" s="7">
        <v>46199</v>
      </c>
      <c r="S25" s="7">
        <v>46200</v>
      </c>
      <c r="T25" t="s">
        <v>45</v>
      </c>
      <c r="V25" t="s">
        <v>73</v>
      </c>
      <c r="W25" t="s">
        <v>45</v>
      </c>
      <c r="X25" t="s">
        <v>45</v>
      </c>
      <c r="Y25" t="s">
        <v>45</v>
      </c>
      <c r="Z25" t="s">
        <v>74</v>
      </c>
      <c r="AA25" s="7">
        <v>46200</v>
      </c>
      <c r="AB25" t="s">
        <v>62</v>
      </c>
      <c r="AC25" t="s">
        <v>74</v>
      </c>
      <c r="AE25" s="7">
        <v>46201</v>
      </c>
      <c r="AF25">
        <v>2</v>
      </c>
      <c r="AH25" t="s">
        <v>75</v>
      </c>
      <c r="AI25">
        <v>1</v>
      </c>
      <c r="AJ25" s="11"/>
      <c r="AK25" t="s">
        <v>74</v>
      </c>
      <c r="AM25"/>
      <c r="AN25" t="s">
        <v>86</v>
      </c>
      <c r="AO25" t="s">
        <v>74</v>
      </c>
      <c r="AP25">
        <v>6</v>
      </c>
      <c r="AQ25" t="s">
        <v>45</v>
      </c>
      <c r="AR25" s="18" t="str">
        <f>IFERROR(VLOOKUP(K25,[1]POP!$F:$J,1,0),M25)</f>
        <v>FOTOKOL</v>
      </c>
      <c r="AS25" s="18" t="str">
        <f t="shared" si="1"/>
        <v>SAGME</v>
      </c>
      <c r="AT25" s="19">
        <f t="shared" si="4"/>
        <v>2</v>
      </c>
      <c r="AU25" s="19">
        <f t="shared" ca="1" si="3"/>
        <v>2</v>
      </c>
    </row>
    <row r="26" spans="1:47" x14ac:dyDescent="0.3">
      <c r="A26" t="s">
        <v>107</v>
      </c>
      <c r="B26" t="str">
        <f t="shared" si="0"/>
        <v>S26_2026</v>
      </c>
      <c r="C26" t="str">
        <f t="shared" si="2"/>
        <v>S26_2026</v>
      </c>
      <c r="E26">
        <v>680502631</v>
      </c>
      <c r="F26">
        <v>10</v>
      </c>
      <c r="G26" t="s">
        <v>40</v>
      </c>
      <c r="H26" t="s">
        <v>85</v>
      </c>
      <c r="I26" t="s">
        <v>108</v>
      </c>
      <c r="J26" t="s">
        <v>71</v>
      </c>
      <c r="K26" t="s">
        <v>72</v>
      </c>
      <c r="L26" t="s">
        <v>72</v>
      </c>
      <c r="M26" t="s">
        <v>72</v>
      </c>
      <c r="N26" t="s">
        <v>45</v>
      </c>
      <c r="O26" t="s">
        <v>45</v>
      </c>
      <c r="P26">
        <v>3</v>
      </c>
      <c r="Q26" s="7">
        <v>46199</v>
      </c>
      <c r="R26" s="7">
        <v>46200</v>
      </c>
      <c r="S26" s="7">
        <v>46200</v>
      </c>
      <c r="T26" t="s">
        <v>45</v>
      </c>
      <c r="V26" t="s">
        <v>73</v>
      </c>
      <c r="W26" t="s">
        <v>45</v>
      </c>
      <c r="X26" t="s">
        <v>45</v>
      </c>
      <c r="Y26" t="s">
        <v>45</v>
      </c>
      <c r="Z26" t="s">
        <v>74</v>
      </c>
      <c r="AA26" s="7">
        <v>46200</v>
      </c>
      <c r="AB26" t="s">
        <v>62</v>
      </c>
      <c r="AC26" t="s">
        <v>45</v>
      </c>
      <c r="AD26" t="s">
        <v>62</v>
      </c>
      <c r="AE26" s="7">
        <v>46201</v>
      </c>
      <c r="AF26">
        <v>2</v>
      </c>
      <c r="AH26" t="s">
        <v>75</v>
      </c>
      <c r="AI26">
        <v>1</v>
      </c>
      <c r="AJ26" s="11"/>
      <c r="AK26" t="s">
        <v>74</v>
      </c>
      <c r="AL26" t="s">
        <v>98</v>
      </c>
      <c r="AM26"/>
      <c r="AN26" t="s">
        <v>45</v>
      </c>
      <c r="AO26" t="s">
        <v>86</v>
      </c>
      <c r="AP26">
        <v>9</v>
      </c>
      <c r="AQ26" t="s">
        <v>74</v>
      </c>
      <c r="AR26" s="18" t="str">
        <f>IFERROR(VLOOKUP(K26,[1]POP!$F:$J,1,0),M26)</f>
        <v>FOTOKOL</v>
      </c>
      <c r="AS26" s="18" t="str">
        <f t="shared" si="1"/>
        <v>SAGME</v>
      </c>
      <c r="AT26" s="19">
        <f t="shared" si="4"/>
        <v>2</v>
      </c>
      <c r="AU26" s="19">
        <f t="shared" ca="1" si="3"/>
        <v>2</v>
      </c>
    </row>
    <row r="27" spans="1:47" x14ac:dyDescent="0.3">
      <c r="A27" t="s">
        <v>109</v>
      </c>
      <c r="B27" t="str">
        <f t="shared" si="0"/>
        <v>S26_2026</v>
      </c>
      <c r="C27" t="str">
        <f t="shared" si="2"/>
        <v>S26_2026</v>
      </c>
      <c r="E27" t="s">
        <v>110</v>
      </c>
      <c r="F27">
        <v>1</v>
      </c>
      <c r="G27" t="s">
        <v>55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116</v>
      </c>
      <c r="N27" t="s">
        <v>117</v>
      </c>
      <c r="O27" t="s">
        <v>117</v>
      </c>
      <c r="P27">
        <v>3</v>
      </c>
      <c r="Q27" s="7">
        <v>46197</v>
      </c>
      <c r="R27" s="7">
        <v>46198</v>
      </c>
      <c r="S27" s="7">
        <v>46198</v>
      </c>
      <c r="T27" t="s">
        <v>117</v>
      </c>
      <c r="V27" t="s">
        <v>118</v>
      </c>
      <c r="W27" t="s">
        <v>117</v>
      </c>
      <c r="X27" t="s">
        <v>117</v>
      </c>
      <c r="Y27" t="s">
        <v>117</v>
      </c>
      <c r="Z27" t="s">
        <v>117</v>
      </c>
      <c r="AA27" s="7">
        <v>46198</v>
      </c>
      <c r="AB27" t="s">
        <v>48</v>
      </c>
      <c r="AC27" t="s">
        <v>45</v>
      </c>
      <c r="AD27" t="s">
        <v>62</v>
      </c>
      <c r="AE27" s="7">
        <v>46201</v>
      </c>
      <c r="AF27">
        <v>2</v>
      </c>
      <c r="AH27" t="s">
        <v>75</v>
      </c>
      <c r="AI27">
        <v>1</v>
      </c>
      <c r="AJ27" s="11"/>
      <c r="AK27" t="s">
        <v>74</v>
      </c>
      <c r="AL27" t="s">
        <v>98</v>
      </c>
      <c r="AM27"/>
      <c r="AN27" t="s">
        <v>45</v>
      </c>
      <c r="AO27" t="s">
        <v>86</v>
      </c>
      <c r="AP27">
        <v>7</v>
      </c>
      <c r="AQ27" t="s">
        <v>74</v>
      </c>
      <c r="AR27" s="18" t="str">
        <f>IFERROR(VLOOKUP(K27,[1]POP!$F:$J,1,0),M27)</f>
        <v>FOTOKOL</v>
      </c>
      <c r="AS27" s="18" t="str">
        <f t="shared" si="1"/>
        <v>sagmé</v>
      </c>
      <c r="AT27" s="19">
        <f t="shared" si="4"/>
        <v>2</v>
      </c>
      <c r="AU27" s="19">
        <f t="shared" ca="1" si="3"/>
        <v>2</v>
      </c>
    </row>
    <row r="28" spans="1:47" x14ac:dyDescent="0.3">
      <c r="A28" t="s">
        <v>119</v>
      </c>
      <c r="B28" t="str">
        <f t="shared" si="0"/>
        <v>S26_2026</v>
      </c>
      <c r="C28" t="str">
        <f t="shared" si="2"/>
        <v>S26_2026</v>
      </c>
      <c r="E28" t="s">
        <v>120</v>
      </c>
      <c r="F28">
        <v>3</v>
      </c>
      <c r="G28" t="s">
        <v>40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116</v>
      </c>
      <c r="N28" t="s">
        <v>117</v>
      </c>
      <c r="O28" t="s">
        <v>117</v>
      </c>
      <c r="P28">
        <v>3</v>
      </c>
      <c r="Q28" s="7">
        <v>46197</v>
      </c>
      <c r="R28" s="7">
        <v>46198</v>
      </c>
      <c r="S28" s="7">
        <v>46198</v>
      </c>
      <c r="T28" t="s">
        <v>117</v>
      </c>
      <c r="V28" t="s">
        <v>118</v>
      </c>
      <c r="W28" t="s">
        <v>117</v>
      </c>
      <c r="X28" t="s">
        <v>117</v>
      </c>
      <c r="Y28" t="s">
        <v>117</v>
      </c>
      <c r="Z28" t="s">
        <v>117</v>
      </c>
      <c r="AA28" s="7">
        <v>46198</v>
      </c>
      <c r="AB28" t="s">
        <v>48</v>
      </c>
      <c r="AC28" t="s">
        <v>45</v>
      </c>
      <c r="AD28" t="s">
        <v>48</v>
      </c>
      <c r="AE28" s="7">
        <v>46201</v>
      </c>
      <c r="AF28">
        <v>2</v>
      </c>
      <c r="AH28" t="s">
        <v>75</v>
      </c>
      <c r="AI28">
        <v>1</v>
      </c>
      <c r="AJ28" s="11"/>
      <c r="AK28" t="s">
        <v>74</v>
      </c>
      <c r="AM28"/>
      <c r="AN28" t="s">
        <v>86</v>
      </c>
      <c r="AO28" t="s">
        <v>45</v>
      </c>
      <c r="AP28">
        <v>4</v>
      </c>
      <c r="AQ28" t="s">
        <v>74</v>
      </c>
      <c r="AR28" s="18" t="str">
        <f>IFERROR(VLOOKUP(K28,[1]POP!$F:$J,1,0),M28)</f>
        <v>FOTOKOL</v>
      </c>
      <c r="AS28" s="18" t="str">
        <f t="shared" si="1"/>
        <v>sagmé</v>
      </c>
      <c r="AT28" s="19">
        <f t="shared" si="4"/>
        <v>2</v>
      </c>
      <c r="AU28" s="19">
        <f t="shared" ca="1" si="3"/>
        <v>2</v>
      </c>
    </row>
    <row r="29" spans="1:47" x14ac:dyDescent="0.3">
      <c r="A29" t="s">
        <v>121</v>
      </c>
      <c r="B29" t="str">
        <f t="shared" si="0"/>
        <v>S26_2026</v>
      </c>
      <c r="C29" t="str">
        <f t="shared" si="2"/>
        <v>S26_2026</v>
      </c>
      <c r="E29" t="s">
        <v>122</v>
      </c>
      <c r="F29">
        <v>1</v>
      </c>
      <c r="G29" t="s">
        <v>55</v>
      </c>
      <c r="H29" t="s">
        <v>111</v>
      </c>
      <c r="I29" t="s">
        <v>123</v>
      </c>
      <c r="J29" t="s">
        <v>123</v>
      </c>
      <c r="K29" t="s">
        <v>124</v>
      </c>
      <c r="L29" t="s">
        <v>115</v>
      </c>
      <c r="M29" t="s">
        <v>116</v>
      </c>
      <c r="N29" t="s">
        <v>117</v>
      </c>
      <c r="O29" t="s">
        <v>117</v>
      </c>
      <c r="P29">
        <v>3</v>
      </c>
      <c r="Q29" s="7">
        <v>46198</v>
      </c>
      <c r="R29" s="7">
        <v>46198</v>
      </c>
      <c r="S29" s="7">
        <v>46198</v>
      </c>
      <c r="T29" t="s">
        <v>117</v>
      </c>
      <c r="V29" t="s">
        <v>118</v>
      </c>
      <c r="W29" t="s">
        <v>117</v>
      </c>
      <c r="X29" t="s">
        <v>117</v>
      </c>
      <c r="Y29" t="s">
        <v>117</v>
      </c>
      <c r="Z29" t="s">
        <v>117</v>
      </c>
      <c r="AA29" s="7">
        <v>46198</v>
      </c>
      <c r="AB29" t="s">
        <v>48</v>
      </c>
      <c r="AC29" t="s">
        <v>74</v>
      </c>
      <c r="AE29" s="7">
        <v>46201</v>
      </c>
      <c r="AF29">
        <v>2</v>
      </c>
      <c r="AH29" t="s">
        <v>75</v>
      </c>
      <c r="AI29">
        <v>1</v>
      </c>
      <c r="AJ29" s="11"/>
      <c r="AK29" t="s">
        <v>74</v>
      </c>
      <c r="AM29"/>
      <c r="AN29" t="s">
        <v>86</v>
      </c>
      <c r="AO29" t="s">
        <v>45</v>
      </c>
      <c r="AP29">
        <v>6</v>
      </c>
      <c r="AQ29" t="s">
        <v>74</v>
      </c>
      <c r="AR29" s="18" t="str">
        <f>IFERROR(VLOOKUP(K29,[1]POP!$F:$J,1,0),M29)</f>
        <v>MAKARY</v>
      </c>
      <c r="AS29" s="18" t="str">
        <f t="shared" si="1"/>
        <v>makary</v>
      </c>
      <c r="AT29" s="19">
        <f t="shared" si="4"/>
        <v>2</v>
      </c>
      <c r="AU29" s="19">
        <f t="shared" ca="1" si="3"/>
        <v>2</v>
      </c>
    </row>
    <row r="30" spans="1:47" x14ac:dyDescent="0.3">
      <c r="A30" t="s">
        <v>125</v>
      </c>
      <c r="B30" t="str">
        <f t="shared" si="0"/>
        <v>S26_2026</v>
      </c>
      <c r="C30" t="str">
        <f t="shared" si="2"/>
        <v>S25_2026</v>
      </c>
      <c r="E30" t="s">
        <v>126</v>
      </c>
      <c r="F30">
        <v>2</v>
      </c>
      <c r="G30" t="s">
        <v>55</v>
      </c>
      <c r="H30" t="s">
        <v>111</v>
      </c>
      <c r="I30" t="s">
        <v>127</v>
      </c>
      <c r="J30" t="s">
        <v>128</v>
      </c>
      <c r="K30" t="s">
        <v>124</v>
      </c>
      <c r="L30" t="s">
        <v>115</v>
      </c>
      <c r="M30" t="s">
        <v>116</v>
      </c>
      <c r="N30" t="s">
        <v>117</v>
      </c>
      <c r="O30" t="s">
        <v>117</v>
      </c>
      <c r="P30">
        <v>3</v>
      </c>
      <c r="Q30" s="7">
        <v>46193</v>
      </c>
      <c r="R30" s="7">
        <v>46198</v>
      </c>
      <c r="S30" s="7">
        <v>46198</v>
      </c>
      <c r="T30" t="s">
        <v>117</v>
      </c>
      <c r="V30" t="s">
        <v>118</v>
      </c>
      <c r="W30" t="s">
        <v>117</v>
      </c>
      <c r="X30" t="s">
        <v>117</v>
      </c>
      <c r="Y30" t="s">
        <v>117</v>
      </c>
      <c r="Z30" t="s">
        <v>117</v>
      </c>
      <c r="AA30" s="7">
        <v>46198</v>
      </c>
      <c r="AB30" t="s">
        <v>48</v>
      </c>
      <c r="AC30" t="s">
        <v>74</v>
      </c>
      <c r="AE30" s="7">
        <v>46201</v>
      </c>
      <c r="AF30">
        <v>2</v>
      </c>
      <c r="AH30" t="s">
        <v>75</v>
      </c>
      <c r="AI30">
        <v>1</v>
      </c>
      <c r="AJ30" s="11"/>
      <c r="AK30" t="s">
        <v>74</v>
      </c>
      <c r="AM30"/>
      <c r="AN30"/>
      <c r="AO30"/>
      <c r="AP30"/>
      <c r="AQ30"/>
      <c r="AR30" s="18" t="str">
        <f>IFERROR(VLOOKUP(K30,[1]POP!$F:$J,1,0),M30)</f>
        <v>MAKARY</v>
      </c>
      <c r="AS30" s="18" t="str">
        <f t="shared" si="1"/>
        <v>makary</v>
      </c>
      <c r="AT30" s="19">
        <f t="shared" si="4"/>
        <v>2</v>
      </c>
      <c r="AU30" s="19">
        <f t="shared" ca="1" si="3"/>
        <v>2</v>
      </c>
    </row>
    <row r="31" spans="1:47" x14ac:dyDescent="0.3">
      <c r="A31" t="s">
        <v>129</v>
      </c>
      <c r="B31" t="str">
        <f t="shared" si="0"/>
        <v>S26_2026</v>
      </c>
      <c r="C31" t="str">
        <f t="shared" si="2"/>
        <v>S25_2026</v>
      </c>
      <c r="E31" t="s">
        <v>122</v>
      </c>
      <c r="F31">
        <v>1</v>
      </c>
      <c r="G31" t="s">
        <v>40</v>
      </c>
      <c r="H31" t="s">
        <v>111</v>
      </c>
      <c r="I31" t="s">
        <v>123</v>
      </c>
      <c r="J31" t="s">
        <v>123</v>
      </c>
      <c r="K31" t="s">
        <v>124</v>
      </c>
      <c r="L31" t="s">
        <v>115</v>
      </c>
      <c r="M31" t="s">
        <v>116</v>
      </c>
      <c r="N31" t="s">
        <v>117</v>
      </c>
      <c r="O31" t="s">
        <v>117</v>
      </c>
      <c r="P31">
        <v>3</v>
      </c>
      <c r="Q31" s="7">
        <v>46191</v>
      </c>
      <c r="R31" s="7">
        <v>46198</v>
      </c>
      <c r="S31" s="7">
        <v>46198</v>
      </c>
      <c r="T31" t="s">
        <v>117</v>
      </c>
      <c r="V31" t="s">
        <v>118</v>
      </c>
      <c r="W31" t="s">
        <v>117</v>
      </c>
      <c r="X31" t="s">
        <v>117</v>
      </c>
      <c r="Y31" t="s">
        <v>117</v>
      </c>
      <c r="Z31" t="s">
        <v>117</v>
      </c>
      <c r="AA31" s="7">
        <v>46198</v>
      </c>
      <c r="AB31" t="s">
        <v>62</v>
      </c>
      <c r="AC31" t="s">
        <v>74</v>
      </c>
      <c r="AE31" s="7">
        <v>46201</v>
      </c>
      <c r="AF31">
        <v>2</v>
      </c>
      <c r="AH31" t="s">
        <v>75</v>
      </c>
      <c r="AI31">
        <v>1</v>
      </c>
      <c r="AJ31" s="10"/>
      <c r="AK31" t="s">
        <v>74</v>
      </c>
      <c r="AL31" t="s">
        <v>98</v>
      </c>
      <c r="AM31"/>
      <c r="AN31" t="s">
        <v>45</v>
      </c>
      <c r="AO31" t="s">
        <v>86</v>
      </c>
      <c r="AP31">
        <v>8</v>
      </c>
      <c r="AQ31" t="s">
        <v>74</v>
      </c>
      <c r="AR31" s="18" t="str">
        <f>IFERROR(VLOOKUP(K31,[1]POP!$F:$J,1,0),M31)</f>
        <v>MAKARY</v>
      </c>
      <c r="AS31" s="18" t="str">
        <f t="shared" si="1"/>
        <v>makary</v>
      </c>
      <c r="AT31" s="19">
        <f t="shared" si="4"/>
        <v>2</v>
      </c>
      <c r="AU31" s="19">
        <f t="shared" ca="1" si="3"/>
        <v>2</v>
      </c>
    </row>
    <row r="32" spans="1:47" x14ac:dyDescent="0.3">
      <c r="A32" t="s">
        <v>130</v>
      </c>
      <c r="B32" t="str">
        <f t="shared" si="0"/>
        <v>S26_2026</v>
      </c>
      <c r="C32" t="str">
        <f t="shared" si="2"/>
        <v>S26_2026</v>
      </c>
      <c r="E32" t="s">
        <v>131</v>
      </c>
      <c r="F32">
        <v>18</v>
      </c>
      <c r="G32" t="s">
        <v>55</v>
      </c>
      <c r="H32" t="s">
        <v>70</v>
      </c>
      <c r="I32" t="s">
        <v>132</v>
      </c>
      <c r="J32" t="s">
        <v>133</v>
      </c>
      <c r="K32" t="s">
        <v>116</v>
      </c>
      <c r="L32" t="s">
        <v>115</v>
      </c>
      <c r="M32" t="s">
        <v>116</v>
      </c>
      <c r="N32" t="s">
        <v>117</v>
      </c>
      <c r="O32" t="s">
        <v>117</v>
      </c>
      <c r="P32">
        <v>3</v>
      </c>
      <c r="Q32" s="7">
        <v>46199</v>
      </c>
      <c r="R32" s="7">
        <v>46200</v>
      </c>
      <c r="S32" s="7">
        <v>46200</v>
      </c>
      <c r="T32" t="s">
        <v>117</v>
      </c>
      <c r="V32" t="s">
        <v>118</v>
      </c>
      <c r="W32" t="s">
        <v>117</v>
      </c>
      <c r="X32" t="s">
        <v>117</v>
      </c>
      <c r="Y32" t="s">
        <v>117</v>
      </c>
      <c r="Z32" t="s">
        <v>117</v>
      </c>
      <c r="AB32" t="s">
        <v>48</v>
      </c>
      <c r="AC32" t="s">
        <v>74</v>
      </c>
      <c r="AE32" s="7">
        <v>46201</v>
      </c>
      <c r="AF32">
        <v>2</v>
      </c>
      <c r="AH32" t="s">
        <v>75</v>
      </c>
      <c r="AI32">
        <v>1</v>
      </c>
      <c r="AJ32" s="10"/>
      <c r="AK32" t="s">
        <v>74</v>
      </c>
      <c r="AL32" t="s">
        <v>98</v>
      </c>
      <c r="AM32"/>
      <c r="AN32" t="s">
        <v>45</v>
      </c>
      <c r="AO32" t="s">
        <v>86</v>
      </c>
      <c r="AP32">
        <v>6</v>
      </c>
      <c r="AQ32" t="s">
        <v>74</v>
      </c>
      <c r="AR32" s="18" t="str">
        <f>IFERROR(VLOOKUP(K32,[1]POP!$F:$J,1,0),M32)</f>
        <v>MAKARY</v>
      </c>
      <c r="AS32" s="18" t="str">
        <f t="shared" si="1"/>
        <v>NGOUMA</v>
      </c>
      <c r="AT32" s="19">
        <f t="shared" si="4"/>
        <v>2</v>
      </c>
      <c r="AU32" s="19">
        <f t="shared" ca="1" si="3"/>
        <v>2</v>
      </c>
    </row>
    <row r="33" spans="1:47" x14ac:dyDescent="0.3">
      <c r="A33" t="s">
        <v>134</v>
      </c>
      <c r="B33" t="str">
        <f t="shared" si="0"/>
        <v>S26_2026</v>
      </c>
      <c r="C33" t="str">
        <f t="shared" si="2"/>
        <v>S26_2026</v>
      </c>
      <c r="E33" t="s">
        <v>135</v>
      </c>
      <c r="F33">
        <v>25</v>
      </c>
      <c r="G33" t="s">
        <v>40</v>
      </c>
      <c r="H33" t="s">
        <v>136</v>
      </c>
      <c r="I33" t="s">
        <v>112</v>
      </c>
      <c r="J33" t="s">
        <v>137</v>
      </c>
      <c r="K33" t="s">
        <v>114</v>
      </c>
      <c r="L33" t="s">
        <v>115</v>
      </c>
      <c r="M33" t="s">
        <v>116</v>
      </c>
      <c r="N33" t="s">
        <v>117</v>
      </c>
      <c r="O33" t="s">
        <v>117</v>
      </c>
      <c r="P33">
        <v>1</v>
      </c>
      <c r="Q33" s="7">
        <v>46201</v>
      </c>
      <c r="R33" s="7">
        <v>46201</v>
      </c>
      <c r="S33" s="7">
        <v>46201</v>
      </c>
      <c r="T33" t="s">
        <v>117</v>
      </c>
      <c r="V33" t="s">
        <v>118</v>
      </c>
      <c r="W33" t="s">
        <v>117</v>
      </c>
      <c r="X33" t="s">
        <v>117</v>
      </c>
      <c r="Y33" t="s">
        <v>117</v>
      </c>
      <c r="Z33" t="s">
        <v>117</v>
      </c>
      <c r="AB33" t="s">
        <v>48</v>
      </c>
      <c r="AC33" t="s">
        <v>74</v>
      </c>
      <c r="AF33">
        <v>2</v>
      </c>
      <c r="AH33" t="s">
        <v>75</v>
      </c>
      <c r="AI33">
        <v>1</v>
      </c>
      <c r="AJ33" s="12"/>
      <c r="AK33" t="s">
        <v>74</v>
      </c>
      <c r="AM33"/>
      <c r="AN33" t="s">
        <v>86</v>
      </c>
      <c r="AO33" t="s">
        <v>45</v>
      </c>
      <c r="AP33">
        <v>4</v>
      </c>
      <c r="AQ33" t="s">
        <v>86</v>
      </c>
      <c r="AR33" s="18" t="str">
        <f>IFERROR(VLOOKUP(K33,[1]POP!$F:$J,1,0),M33)</f>
        <v>FOTOKOL</v>
      </c>
      <c r="AS33" s="18" t="str">
        <f t="shared" si="1"/>
        <v>Sagmé</v>
      </c>
      <c r="AT33" s="19">
        <f t="shared" si="4"/>
        <v>2</v>
      </c>
      <c r="AU33" s="19">
        <f t="shared" ca="1" si="3"/>
        <v>2</v>
      </c>
    </row>
    <row r="34" spans="1:47" x14ac:dyDescent="0.3">
      <c r="A34" t="s">
        <v>138</v>
      </c>
      <c r="B34" t="str">
        <f t="shared" si="0"/>
        <v>S26_2026</v>
      </c>
      <c r="C34" t="str">
        <f t="shared" si="2"/>
        <v>S26_2026</v>
      </c>
      <c r="E34">
        <v>698977156</v>
      </c>
      <c r="F34">
        <v>1</v>
      </c>
      <c r="G34" t="s">
        <v>40</v>
      </c>
      <c r="H34" t="s">
        <v>85</v>
      </c>
      <c r="I34" t="s">
        <v>139</v>
      </c>
      <c r="J34" t="s">
        <v>140</v>
      </c>
      <c r="K34" t="s">
        <v>116</v>
      </c>
      <c r="L34" t="s">
        <v>140</v>
      </c>
      <c r="M34" t="s">
        <v>116</v>
      </c>
      <c r="N34" t="s">
        <v>45</v>
      </c>
      <c r="O34" t="s">
        <v>45</v>
      </c>
      <c r="P34">
        <v>2</v>
      </c>
      <c r="Q34" s="7">
        <v>46198</v>
      </c>
      <c r="R34" s="7">
        <v>46198</v>
      </c>
      <c r="S34" s="7">
        <v>46198</v>
      </c>
      <c r="T34" t="s">
        <v>45</v>
      </c>
      <c r="V34" t="s">
        <v>141</v>
      </c>
      <c r="W34" t="s">
        <v>45</v>
      </c>
      <c r="X34" t="s">
        <v>74</v>
      </c>
      <c r="Y34" t="s">
        <v>74</v>
      </c>
      <c r="Z34" t="s">
        <v>74</v>
      </c>
      <c r="AB34" t="s">
        <v>62</v>
      </c>
      <c r="AF34">
        <v>2</v>
      </c>
      <c r="AH34" t="s">
        <v>75</v>
      </c>
      <c r="AI34">
        <v>1</v>
      </c>
      <c r="AJ34" s="10"/>
      <c r="AK34" t="s">
        <v>74</v>
      </c>
      <c r="AM34"/>
      <c r="AN34" t="s">
        <v>86</v>
      </c>
      <c r="AO34" t="s">
        <v>45</v>
      </c>
      <c r="AP34">
        <v>6</v>
      </c>
      <c r="AQ34" t="s">
        <v>86</v>
      </c>
      <c r="AR34" s="18" t="str">
        <f>IFERROR(VLOOKUP(K34,[1]POP!$F:$J,1,0),M34)</f>
        <v>MAKARY</v>
      </c>
      <c r="AS34" s="18" t="str">
        <f t="shared" si="1"/>
        <v>BIAMO</v>
      </c>
      <c r="AT34" s="19">
        <f t="shared" si="4"/>
        <v>2</v>
      </c>
      <c r="AU34" s="19">
        <f t="shared" ca="1" si="3"/>
        <v>2</v>
      </c>
    </row>
    <row r="35" spans="1:47" x14ac:dyDescent="0.3">
      <c r="A35" t="s">
        <v>142</v>
      </c>
      <c r="B35" t="str">
        <f t="shared" si="0"/>
        <v>S24_2026</v>
      </c>
      <c r="C35" t="str">
        <f t="shared" si="2"/>
        <v>S23_2026</v>
      </c>
      <c r="E35" t="s">
        <v>143</v>
      </c>
      <c r="F35">
        <v>1.25</v>
      </c>
      <c r="G35" t="s">
        <v>55</v>
      </c>
      <c r="H35" t="s">
        <v>85</v>
      </c>
      <c r="I35" t="s">
        <v>144</v>
      </c>
      <c r="J35" t="s">
        <v>145</v>
      </c>
      <c r="K35" t="s">
        <v>146</v>
      </c>
      <c r="L35" t="s">
        <v>145</v>
      </c>
      <c r="M35" t="s">
        <v>146</v>
      </c>
      <c r="N35" t="s">
        <v>45</v>
      </c>
      <c r="O35" t="s">
        <v>45</v>
      </c>
      <c r="P35">
        <v>2</v>
      </c>
      <c r="Q35" s="7">
        <v>46179</v>
      </c>
      <c r="R35" s="7">
        <v>46209</v>
      </c>
      <c r="S35" s="7">
        <v>46182</v>
      </c>
      <c r="T35" t="s">
        <v>45</v>
      </c>
      <c r="V35" t="s">
        <v>147</v>
      </c>
      <c r="W35" t="s">
        <v>45</v>
      </c>
      <c r="X35" t="s">
        <v>45</v>
      </c>
      <c r="Y35" t="s">
        <v>45</v>
      </c>
      <c r="Z35" t="s">
        <v>45</v>
      </c>
      <c r="AB35" t="s">
        <v>48</v>
      </c>
      <c r="AC35" t="s">
        <v>74</v>
      </c>
      <c r="AE35" s="7">
        <v>46301</v>
      </c>
      <c r="AF35">
        <v>2</v>
      </c>
      <c r="AH35" t="s">
        <v>75</v>
      </c>
      <c r="AI35">
        <v>1</v>
      </c>
      <c r="AJ35" s="9"/>
      <c r="AK35" t="s">
        <v>74</v>
      </c>
      <c r="AM35"/>
      <c r="AN35" t="s">
        <v>86</v>
      </c>
      <c r="AO35" t="s">
        <v>45</v>
      </c>
      <c r="AP35">
        <v>4</v>
      </c>
      <c r="AQ35" t="s">
        <v>86</v>
      </c>
      <c r="AR35" s="18" t="str">
        <f>IFERROR(VLOOKUP(K35,[1]POP!$F:$J,1,0),M35)</f>
        <v>KOLOFATA</v>
      </c>
      <c r="AS35" s="18" t="str">
        <f t="shared" si="1"/>
        <v>AMCHIDE</v>
      </c>
      <c r="AT35" s="19">
        <f t="shared" si="4"/>
        <v>2</v>
      </c>
      <c r="AU35" s="19">
        <f t="shared" ca="1" si="3"/>
        <v>2</v>
      </c>
    </row>
    <row r="36" spans="1:47" x14ac:dyDescent="0.3">
      <c r="A36" t="s">
        <v>148</v>
      </c>
      <c r="B36" t="str">
        <f t="shared" si="0"/>
        <v>S27_2026</v>
      </c>
      <c r="C36" t="str">
        <f t="shared" si="2"/>
        <v>S26_2026</v>
      </c>
      <c r="E36" t="s">
        <v>149</v>
      </c>
      <c r="F36">
        <v>9</v>
      </c>
      <c r="G36" t="s">
        <v>55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  <c r="N36" t="s">
        <v>117</v>
      </c>
      <c r="O36" t="s">
        <v>117</v>
      </c>
      <c r="P36">
        <v>2</v>
      </c>
      <c r="Q36" s="7">
        <v>46197</v>
      </c>
      <c r="R36" s="7">
        <v>46202</v>
      </c>
      <c r="S36" s="7">
        <v>46202</v>
      </c>
      <c r="T36" t="s">
        <v>117</v>
      </c>
      <c r="V36" t="s">
        <v>118</v>
      </c>
      <c r="W36" t="s">
        <v>117</v>
      </c>
      <c r="X36" t="s">
        <v>117</v>
      </c>
      <c r="Y36" t="s">
        <v>150</v>
      </c>
      <c r="Z36" t="s">
        <v>117</v>
      </c>
      <c r="AB36" t="s">
        <v>48</v>
      </c>
      <c r="AC36" t="s">
        <v>74</v>
      </c>
      <c r="AF36">
        <v>2</v>
      </c>
      <c r="AH36" t="s">
        <v>75</v>
      </c>
      <c r="AI36">
        <v>1</v>
      </c>
      <c r="AJ36" s="9"/>
      <c r="AK36" t="s">
        <v>74</v>
      </c>
      <c r="AM36"/>
      <c r="AN36" t="s">
        <v>86</v>
      </c>
      <c r="AO36" t="s">
        <v>45</v>
      </c>
      <c r="AP36">
        <v>6</v>
      </c>
      <c r="AQ36" t="s">
        <v>86</v>
      </c>
      <c r="AR36" s="18" t="str">
        <f>IFERROR(VLOOKUP(K36,[1]POP!$F:$J,1,0),M36)</f>
        <v>FOTOKOL</v>
      </c>
      <c r="AS36" s="18" t="str">
        <f t="shared" si="1"/>
        <v>sagmé</v>
      </c>
      <c r="AT36" s="19">
        <f t="shared" si="4"/>
        <v>2</v>
      </c>
      <c r="AU36" s="19">
        <f t="shared" ca="1" si="3"/>
        <v>2</v>
      </c>
    </row>
    <row r="37" spans="1:47" x14ac:dyDescent="0.3">
      <c r="A37" t="s">
        <v>151</v>
      </c>
      <c r="B37" t="str">
        <f t="shared" si="0"/>
        <v>S27_2026</v>
      </c>
      <c r="C37" t="str">
        <f t="shared" si="2"/>
        <v>S26_2026</v>
      </c>
      <c r="E37" t="s">
        <v>149</v>
      </c>
      <c r="F37">
        <v>2</v>
      </c>
      <c r="G37" t="s">
        <v>40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116</v>
      </c>
      <c r="N37" t="s">
        <v>117</v>
      </c>
      <c r="O37" t="s">
        <v>117</v>
      </c>
      <c r="P37">
        <v>3</v>
      </c>
      <c r="Q37" s="7">
        <v>46201</v>
      </c>
      <c r="R37" s="7">
        <v>46202</v>
      </c>
      <c r="S37" s="7">
        <v>46202</v>
      </c>
      <c r="T37" t="s">
        <v>117</v>
      </c>
      <c r="V37" t="s">
        <v>118</v>
      </c>
      <c r="W37" t="s">
        <v>117</v>
      </c>
      <c r="X37" t="s">
        <v>117</v>
      </c>
      <c r="Y37" t="s">
        <v>117</v>
      </c>
      <c r="Z37" t="s">
        <v>117</v>
      </c>
      <c r="AB37" t="s">
        <v>48</v>
      </c>
      <c r="AC37" t="s">
        <v>74</v>
      </c>
      <c r="AF37">
        <v>2</v>
      </c>
      <c r="AH37" t="s">
        <v>75</v>
      </c>
      <c r="AI37">
        <v>1</v>
      </c>
      <c r="AJ37" s="9"/>
      <c r="AK37" t="s">
        <v>74</v>
      </c>
      <c r="AL37" t="s">
        <v>96</v>
      </c>
      <c r="AM37"/>
      <c r="AN37" t="s">
        <v>45</v>
      </c>
      <c r="AO37" t="s">
        <v>74</v>
      </c>
      <c r="AP37">
        <v>6</v>
      </c>
      <c r="AQ37" t="s">
        <v>74</v>
      </c>
      <c r="AR37" s="18" t="str">
        <f>IFERROR(VLOOKUP(K37,[1]POP!$F:$J,1,0),M37)</f>
        <v>FOTOKOL</v>
      </c>
      <c r="AS37" s="18" t="str">
        <f t="shared" si="1"/>
        <v>sagmé</v>
      </c>
      <c r="AT37" s="19">
        <f t="shared" si="4"/>
        <v>2</v>
      </c>
      <c r="AU37" s="19">
        <f t="shared" ca="1" si="3"/>
        <v>2</v>
      </c>
    </row>
    <row r="38" spans="1:47" x14ac:dyDescent="0.3">
      <c r="A38" t="s">
        <v>152</v>
      </c>
      <c r="B38" t="str">
        <f t="shared" si="0"/>
        <v>S26_2026</v>
      </c>
      <c r="C38" t="str">
        <f t="shared" si="2"/>
        <v>S26_2026</v>
      </c>
      <c r="F38">
        <v>10</v>
      </c>
      <c r="G38" t="s">
        <v>40</v>
      </c>
      <c r="H38" t="s">
        <v>77</v>
      </c>
      <c r="I38" t="s">
        <v>71</v>
      </c>
      <c r="J38" t="s">
        <v>71</v>
      </c>
      <c r="K38" t="s">
        <v>72</v>
      </c>
      <c r="L38" t="s">
        <v>71</v>
      </c>
      <c r="M38" t="s">
        <v>72</v>
      </c>
      <c r="N38" t="s">
        <v>45</v>
      </c>
      <c r="O38" t="s">
        <v>45</v>
      </c>
      <c r="P38">
        <v>3</v>
      </c>
      <c r="Q38" s="7">
        <v>46200</v>
      </c>
      <c r="R38" s="7">
        <v>46201</v>
      </c>
      <c r="S38" s="7">
        <v>46201</v>
      </c>
      <c r="T38" t="s">
        <v>45</v>
      </c>
      <c r="V38" t="s">
        <v>83</v>
      </c>
      <c r="W38" t="s">
        <v>45</v>
      </c>
      <c r="X38" t="s">
        <v>45</v>
      </c>
      <c r="Y38" t="s">
        <v>45</v>
      </c>
      <c r="Z38" t="s">
        <v>74</v>
      </c>
      <c r="AE38" s="7">
        <v>46203</v>
      </c>
      <c r="AF38">
        <v>2</v>
      </c>
      <c r="AH38" t="s">
        <v>75</v>
      </c>
      <c r="AI38">
        <v>1</v>
      </c>
      <c r="AJ38" s="9"/>
      <c r="AK38" t="s">
        <v>74</v>
      </c>
      <c r="AM38"/>
      <c r="AN38" t="s">
        <v>45</v>
      </c>
      <c r="AO38" t="s">
        <v>74</v>
      </c>
      <c r="AP38"/>
      <c r="AQ38" t="s">
        <v>74</v>
      </c>
      <c r="AR38" s="18" t="str">
        <f>IFERROR(VLOOKUP(K38,[1]POP!$F:$J,1,0),M38)</f>
        <v>FOTOKOL</v>
      </c>
      <c r="AS38" s="18" t="str">
        <f t="shared" si="1"/>
        <v>SAGME</v>
      </c>
      <c r="AT38" s="19">
        <f t="shared" si="4"/>
        <v>2</v>
      </c>
      <c r="AU38" s="19">
        <f t="shared" ca="1" si="3"/>
        <v>2</v>
      </c>
    </row>
    <row r="39" spans="1:47" x14ac:dyDescent="0.3">
      <c r="A39" t="s">
        <v>153</v>
      </c>
      <c r="B39" t="str">
        <f t="shared" si="0"/>
        <v>S27_2026</v>
      </c>
      <c r="C39" t="str">
        <f t="shared" si="2"/>
        <v>S26_2026</v>
      </c>
      <c r="F39">
        <v>1.5</v>
      </c>
      <c r="G39" t="s">
        <v>55</v>
      </c>
      <c r="H39" t="s">
        <v>85</v>
      </c>
      <c r="I39" t="s">
        <v>71</v>
      </c>
      <c r="J39" t="s">
        <v>71</v>
      </c>
      <c r="K39" t="s">
        <v>72</v>
      </c>
      <c r="L39" t="s">
        <v>71</v>
      </c>
      <c r="M39" t="s">
        <v>72</v>
      </c>
      <c r="N39" t="s">
        <v>45</v>
      </c>
      <c r="O39" t="s">
        <v>45</v>
      </c>
      <c r="P39">
        <v>2</v>
      </c>
      <c r="Q39" s="7">
        <v>46201</v>
      </c>
      <c r="R39" s="7">
        <v>46202</v>
      </c>
      <c r="S39" s="7">
        <v>46202</v>
      </c>
      <c r="T39" t="s">
        <v>45</v>
      </c>
      <c r="V39" t="s">
        <v>83</v>
      </c>
      <c r="W39" t="s">
        <v>45</v>
      </c>
      <c r="X39" t="s">
        <v>45</v>
      </c>
      <c r="Y39" t="s">
        <v>45</v>
      </c>
      <c r="Z39" t="s">
        <v>74</v>
      </c>
      <c r="AE39" s="7">
        <v>46203</v>
      </c>
      <c r="AF39">
        <v>2</v>
      </c>
      <c r="AH39" t="s">
        <v>75</v>
      </c>
      <c r="AI39">
        <v>1</v>
      </c>
      <c r="AJ39" s="9"/>
      <c r="AK39" t="s">
        <v>74</v>
      </c>
      <c r="AM39"/>
      <c r="AN39" t="s">
        <v>45</v>
      </c>
      <c r="AO39" t="s">
        <v>74</v>
      </c>
      <c r="AP39"/>
      <c r="AQ39" t="s">
        <v>74</v>
      </c>
      <c r="AR39" s="18" t="str">
        <f>IFERROR(VLOOKUP(K39,[1]POP!$F:$J,1,0),M39)</f>
        <v>FOTOKOL</v>
      </c>
      <c r="AS39" s="18" t="str">
        <f t="shared" si="1"/>
        <v>SAGME</v>
      </c>
      <c r="AT39" s="19">
        <f t="shared" si="4"/>
        <v>2</v>
      </c>
      <c r="AU39" s="19">
        <f t="shared" ca="1" si="3"/>
        <v>2</v>
      </c>
    </row>
    <row r="40" spans="1:47" x14ac:dyDescent="0.3">
      <c r="A40" t="s">
        <v>154</v>
      </c>
      <c r="B40" t="str">
        <f t="shared" si="0"/>
        <v>S27_2026</v>
      </c>
      <c r="C40" t="str">
        <f t="shared" si="2"/>
        <v>S27_2026</v>
      </c>
      <c r="F40">
        <v>13</v>
      </c>
      <c r="G40" t="s">
        <v>55</v>
      </c>
      <c r="H40" t="s">
        <v>85</v>
      </c>
      <c r="I40" t="s">
        <v>71</v>
      </c>
      <c r="J40" t="s">
        <v>71</v>
      </c>
      <c r="K40" t="s">
        <v>72</v>
      </c>
      <c r="L40" t="s">
        <v>71</v>
      </c>
      <c r="M40" t="s">
        <v>72</v>
      </c>
      <c r="N40" t="s">
        <v>45</v>
      </c>
      <c r="O40" t="s">
        <v>45</v>
      </c>
      <c r="P40">
        <v>2</v>
      </c>
      <c r="Q40" s="7">
        <v>46204</v>
      </c>
      <c r="R40" s="7">
        <v>46204</v>
      </c>
      <c r="S40" s="7">
        <v>46204</v>
      </c>
      <c r="T40" t="s">
        <v>45</v>
      </c>
      <c r="V40" t="s">
        <v>83</v>
      </c>
      <c r="W40" t="s">
        <v>45</v>
      </c>
      <c r="X40" t="s">
        <v>45</v>
      </c>
      <c r="Y40" t="s">
        <v>45</v>
      </c>
      <c r="Z40" t="s">
        <v>74</v>
      </c>
      <c r="AE40" s="7">
        <v>46205</v>
      </c>
      <c r="AF40">
        <v>2</v>
      </c>
      <c r="AH40" t="s">
        <v>75</v>
      </c>
      <c r="AI40">
        <v>1</v>
      </c>
      <c r="AJ40" s="9"/>
      <c r="AM40"/>
      <c r="AN40" t="s">
        <v>45</v>
      </c>
      <c r="AO40" t="s">
        <v>74</v>
      </c>
      <c r="AP40"/>
      <c r="AQ40" t="s">
        <v>74</v>
      </c>
      <c r="AR40" s="18" t="str">
        <f>IFERROR(VLOOKUP(K40,[1]POP!$F:$J,1,0),M40)</f>
        <v>FOTOKOL</v>
      </c>
      <c r="AS40" s="18" t="str">
        <f t="shared" si="1"/>
        <v>SAGME</v>
      </c>
      <c r="AT40" s="19">
        <f t="shared" si="4"/>
        <v>2</v>
      </c>
      <c r="AU40" s="19">
        <f t="shared" ca="1" si="3"/>
        <v>2</v>
      </c>
    </row>
    <row r="41" spans="1:47" x14ac:dyDescent="0.3">
      <c r="A41" t="s">
        <v>155</v>
      </c>
      <c r="B41" t="str">
        <f t="shared" si="0"/>
        <v>S27_2026</v>
      </c>
      <c r="C41" t="str">
        <f t="shared" si="2"/>
        <v>S27_2026</v>
      </c>
      <c r="E41" t="s">
        <v>156</v>
      </c>
      <c r="F41">
        <v>2</v>
      </c>
      <c r="G41" t="s">
        <v>55</v>
      </c>
      <c r="H41" t="s">
        <v>111</v>
      </c>
      <c r="I41" t="s">
        <v>112</v>
      </c>
      <c r="J41" t="s">
        <v>113</v>
      </c>
      <c r="K41" t="s">
        <v>114</v>
      </c>
      <c r="L41" t="s">
        <v>115</v>
      </c>
      <c r="M41" t="s">
        <v>116</v>
      </c>
      <c r="N41" t="s">
        <v>117</v>
      </c>
      <c r="O41" t="s">
        <v>117</v>
      </c>
      <c r="P41">
        <v>3</v>
      </c>
      <c r="Q41" s="7">
        <v>46203</v>
      </c>
      <c r="R41" s="7">
        <v>46204</v>
      </c>
      <c r="S41" s="7">
        <v>46204</v>
      </c>
      <c r="T41" t="s">
        <v>117</v>
      </c>
      <c r="V41" t="s">
        <v>118</v>
      </c>
      <c r="W41" t="s">
        <v>117</v>
      </c>
      <c r="X41" t="s">
        <v>117</v>
      </c>
      <c r="Y41" t="s">
        <v>117</v>
      </c>
      <c r="Z41" t="s">
        <v>117</v>
      </c>
      <c r="AB41" t="s">
        <v>48</v>
      </c>
      <c r="AC41" t="s">
        <v>74</v>
      </c>
      <c r="AF41">
        <v>2</v>
      </c>
      <c r="AH41" t="s">
        <v>75</v>
      </c>
      <c r="AI41">
        <v>1</v>
      </c>
      <c r="AJ41" s="9"/>
      <c r="AK41" t="s">
        <v>74</v>
      </c>
      <c r="AL41" t="s">
        <v>96</v>
      </c>
      <c r="AM41"/>
      <c r="AN41" t="s">
        <v>45</v>
      </c>
      <c r="AO41" t="s">
        <v>74</v>
      </c>
      <c r="AP41"/>
      <c r="AQ41" t="s">
        <v>74</v>
      </c>
      <c r="AR41" s="18" t="str">
        <f>IFERROR(VLOOKUP(K41,[1]POP!$F:$J,1,0),M41)</f>
        <v>FOTOKOL</v>
      </c>
      <c r="AS41" s="18" t="str">
        <f t="shared" si="1"/>
        <v>sagmé</v>
      </c>
      <c r="AT41" s="19">
        <f t="shared" si="4"/>
        <v>2</v>
      </c>
      <c r="AU41" s="19">
        <f t="shared" ca="1" si="3"/>
        <v>2</v>
      </c>
    </row>
    <row r="42" spans="1:47" x14ac:dyDescent="0.3">
      <c r="A42" t="s">
        <v>157</v>
      </c>
      <c r="B42" t="str">
        <f t="shared" si="0"/>
        <v>S27_2026</v>
      </c>
      <c r="C42" t="str">
        <f t="shared" si="2"/>
        <v>S27_2026</v>
      </c>
      <c r="E42" t="s">
        <v>158</v>
      </c>
      <c r="F42">
        <v>2</v>
      </c>
      <c r="G42" t="s">
        <v>55</v>
      </c>
      <c r="H42" t="s">
        <v>111</v>
      </c>
      <c r="I42" t="s">
        <v>159</v>
      </c>
      <c r="J42" t="s">
        <v>123</v>
      </c>
      <c r="K42" t="s">
        <v>124</v>
      </c>
      <c r="L42" t="s">
        <v>115</v>
      </c>
      <c r="M42" t="s">
        <v>116</v>
      </c>
      <c r="N42" t="s">
        <v>117</v>
      </c>
      <c r="O42" t="s">
        <v>117</v>
      </c>
      <c r="P42">
        <v>3</v>
      </c>
      <c r="Q42" s="7">
        <v>46203</v>
      </c>
      <c r="R42" s="7">
        <v>46204</v>
      </c>
      <c r="S42" s="7">
        <v>46204</v>
      </c>
      <c r="T42" t="s">
        <v>117</v>
      </c>
      <c r="V42" t="s">
        <v>118</v>
      </c>
      <c r="W42" t="s">
        <v>117</v>
      </c>
      <c r="X42" t="s">
        <v>117</v>
      </c>
      <c r="Y42" t="s">
        <v>117</v>
      </c>
      <c r="Z42" t="s">
        <v>117</v>
      </c>
      <c r="AB42" t="s">
        <v>48</v>
      </c>
      <c r="AC42" t="s">
        <v>74</v>
      </c>
      <c r="AF42">
        <v>2</v>
      </c>
      <c r="AH42" t="s">
        <v>75</v>
      </c>
      <c r="AI42">
        <v>1</v>
      </c>
      <c r="AJ42" s="9"/>
      <c r="AK42" t="s">
        <v>74</v>
      </c>
      <c r="AM42"/>
      <c r="AN42" t="s">
        <v>45</v>
      </c>
      <c r="AO42" t="s">
        <v>74</v>
      </c>
      <c r="AP42"/>
      <c r="AQ42" t="s">
        <v>74</v>
      </c>
      <c r="AR42" s="18" t="str">
        <f>IFERROR(VLOOKUP(K42,[1]POP!$F:$J,1,0),M42)</f>
        <v>MAKARY</v>
      </c>
      <c r="AS42" s="18" t="str">
        <f t="shared" si="1"/>
        <v>makary</v>
      </c>
      <c r="AT42" s="19">
        <f t="shared" si="4"/>
        <v>2</v>
      </c>
      <c r="AU42" s="19">
        <f t="shared" ca="1" si="3"/>
        <v>2</v>
      </c>
    </row>
    <row r="43" spans="1:47" x14ac:dyDescent="0.3">
      <c r="A43" t="s">
        <v>160</v>
      </c>
      <c r="B43" t="str">
        <f t="shared" si="0"/>
        <v>S27_2026</v>
      </c>
      <c r="C43" t="str">
        <f t="shared" si="2"/>
        <v>S27_2026</v>
      </c>
      <c r="F43">
        <v>12</v>
      </c>
      <c r="G43" t="s">
        <v>55</v>
      </c>
      <c r="H43" t="s">
        <v>85</v>
      </c>
      <c r="I43" t="s">
        <v>71</v>
      </c>
      <c r="J43" t="s">
        <v>71</v>
      </c>
      <c r="K43" t="s">
        <v>72</v>
      </c>
      <c r="L43" t="s">
        <v>71</v>
      </c>
      <c r="M43" t="s">
        <v>72</v>
      </c>
      <c r="N43" t="s">
        <v>45</v>
      </c>
      <c r="O43" t="s">
        <v>45</v>
      </c>
      <c r="P43">
        <v>1</v>
      </c>
      <c r="Q43" s="7">
        <v>46205</v>
      </c>
      <c r="R43" s="7">
        <v>46205</v>
      </c>
      <c r="S43" s="7">
        <v>46205</v>
      </c>
      <c r="T43" t="s">
        <v>45</v>
      </c>
      <c r="V43" t="s">
        <v>83</v>
      </c>
      <c r="W43" t="s">
        <v>45</v>
      </c>
      <c r="X43" t="s">
        <v>45</v>
      </c>
      <c r="Y43" t="s">
        <v>74</v>
      </c>
      <c r="Z43" t="s">
        <v>74</v>
      </c>
      <c r="AE43" s="7">
        <v>46207</v>
      </c>
      <c r="AF43">
        <v>2</v>
      </c>
      <c r="AH43" t="s">
        <v>75</v>
      </c>
      <c r="AI43">
        <v>1</v>
      </c>
      <c r="AJ43" s="9"/>
      <c r="AK43" t="s">
        <v>74</v>
      </c>
      <c r="AM43"/>
      <c r="AN43" t="s">
        <v>74</v>
      </c>
      <c r="AO43" t="s">
        <v>74</v>
      </c>
      <c r="AP43"/>
      <c r="AQ43"/>
      <c r="AR43" s="18" t="str">
        <f>IFERROR(VLOOKUP(K43,[1]POP!$F:$J,1,0),M43)</f>
        <v>FOTOKOL</v>
      </c>
      <c r="AS43" s="18" t="str">
        <f t="shared" si="1"/>
        <v>SAGME</v>
      </c>
      <c r="AT43" s="19">
        <f t="shared" si="4"/>
        <v>2</v>
      </c>
      <c r="AU43" s="19">
        <f t="shared" ca="1" si="3"/>
        <v>2</v>
      </c>
    </row>
    <row r="44" spans="1:47" x14ac:dyDescent="0.3">
      <c r="A44" t="s">
        <v>161</v>
      </c>
      <c r="B44" t="str">
        <f t="shared" si="0"/>
        <v>S27_2026</v>
      </c>
      <c r="C44" t="str">
        <f t="shared" si="2"/>
        <v>S27_2026</v>
      </c>
      <c r="F44">
        <v>2</v>
      </c>
      <c r="G44" t="s">
        <v>55</v>
      </c>
      <c r="H44" t="s">
        <v>85</v>
      </c>
      <c r="I44" t="s">
        <v>71</v>
      </c>
      <c r="J44" t="s">
        <v>71</v>
      </c>
      <c r="K44" t="s">
        <v>72</v>
      </c>
      <c r="L44" t="s">
        <v>71</v>
      </c>
      <c r="M44" t="s">
        <v>72</v>
      </c>
      <c r="N44" t="s">
        <v>45</v>
      </c>
      <c r="O44" t="s">
        <v>45</v>
      </c>
      <c r="P44">
        <v>2</v>
      </c>
      <c r="Q44" s="7">
        <v>46205</v>
      </c>
      <c r="R44" s="7">
        <v>46205</v>
      </c>
      <c r="S44" s="7">
        <v>46205</v>
      </c>
      <c r="T44" t="s">
        <v>45</v>
      </c>
      <c r="V44" t="s">
        <v>83</v>
      </c>
      <c r="W44" t="s">
        <v>45</v>
      </c>
      <c r="X44" t="s">
        <v>45</v>
      </c>
      <c r="Y44" t="s">
        <v>45</v>
      </c>
      <c r="Z44" t="s">
        <v>74</v>
      </c>
      <c r="AE44" s="7">
        <v>46213</v>
      </c>
      <c r="AF44">
        <v>2</v>
      </c>
      <c r="AH44" t="s">
        <v>75</v>
      </c>
      <c r="AI44">
        <v>1</v>
      </c>
      <c r="AJ44" s="9"/>
      <c r="AK44" t="s">
        <v>74</v>
      </c>
      <c r="AM44"/>
      <c r="AN44" t="s">
        <v>45</v>
      </c>
      <c r="AO44" t="s">
        <v>74</v>
      </c>
      <c r="AP44"/>
      <c r="AQ44" t="s">
        <v>74</v>
      </c>
      <c r="AR44" s="18" t="str">
        <f>IFERROR(VLOOKUP(K44,[1]POP!$F:$J,1,0),M44)</f>
        <v>FOTOKOL</v>
      </c>
      <c r="AS44" s="18" t="str">
        <f t="shared" si="1"/>
        <v>SAGME</v>
      </c>
      <c r="AT44" s="19">
        <f t="shared" si="4"/>
        <v>2</v>
      </c>
      <c r="AU44" s="19">
        <f t="shared" ca="1" si="3"/>
        <v>2</v>
      </c>
    </row>
    <row r="45" spans="1:47" x14ac:dyDescent="0.3">
      <c r="A45" t="s">
        <v>162</v>
      </c>
      <c r="B45" t="str">
        <f t="shared" si="0"/>
        <v>S27_2026</v>
      </c>
      <c r="C45" t="str">
        <f t="shared" si="2"/>
        <v>S27_2026</v>
      </c>
      <c r="F45">
        <v>9</v>
      </c>
      <c r="G45" t="s">
        <v>40</v>
      </c>
      <c r="H45" t="s">
        <v>85</v>
      </c>
      <c r="I45" t="s">
        <v>71</v>
      </c>
      <c r="J45" t="s">
        <v>71</v>
      </c>
      <c r="K45" t="s">
        <v>72</v>
      </c>
      <c r="L45" t="s">
        <v>71</v>
      </c>
      <c r="M45" t="s">
        <v>72</v>
      </c>
      <c r="N45" t="s">
        <v>45</v>
      </c>
      <c r="O45" t="s">
        <v>45</v>
      </c>
      <c r="P45">
        <v>2</v>
      </c>
      <c r="Q45" s="7">
        <v>46206</v>
      </c>
      <c r="R45" s="7">
        <v>46206</v>
      </c>
      <c r="S45" s="7">
        <v>46206</v>
      </c>
      <c r="T45" t="s">
        <v>45</v>
      </c>
      <c r="V45" t="s">
        <v>83</v>
      </c>
      <c r="W45" t="s">
        <v>45</v>
      </c>
      <c r="X45" t="s">
        <v>45</v>
      </c>
      <c r="Y45" t="s">
        <v>45</v>
      </c>
      <c r="Z45" t="s">
        <v>74</v>
      </c>
      <c r="AE45" s="7">
        <v>46208</v>
      </c>
      <c r="AF45">
        <v>2</v>
      </c>
      <c r="AH45" t="s">
        <v>75</v>
      </c>
      <c r="AI45">
        <v>1</v>
      </c>
      <c r="AJ45" s="9"/>
      <c r="AK45" t="s">
        <v>74</v>
      </c>
      <c r="AM45"/>
      <c r="AN45" t="s">
        <v>45</v>
      </c>
      <c r="AO45" t="s">
        <v>74</v>
      </c>
      <c r="AP45"/>
      <c r="AQ45" t="s">
        <v>74</v>
      </c>
      <c r="AR45" s="18" t="str">
        <f>IFERROR(VLOOKUP(K45,[1]POP!$F:$J,1,0),M45)</f>
        <v>FOTOKOL</v>
      </c>
      <c r="AS45" s="18" t="str">
        <f t="shared" si="1"/>
        <v>SAGME</v>
      </c>
      <c r="AT45" s="19">
        <f t="shared" si="4"/>
        <v>2</v>
      </c>
      <c r="AU45" s="19">
        <f t="shared" ca="1" si="3"/>
        <v>2</v>
      </c>
    </row>
    <row r="46" spans="1:47" x14ac:dyDescent="0.3">
      <c r="A46" t="s">
        <v>163</v>
      </c>
      <c r="B46" t="str">
        <f t="shared" si="0"/>
        <v>S27_2026</v>
      </c>
      <c r="C46" t="str">
        <f t="shared" si="2"/>
        <v>S27_2026</v>
      </c>
      <c r="F46">
        <v>60</v>
      </c>
      <c r="G46" t="s">
        <v>55</v>
      </c>
      <c r="H46" t="s">
        <v>164</v>
      </c>
      <c r="I46" t="s">
        <v>71</v>
      </c>
      <c r="J46" t="s">
        <v>71</v>
      </c>
      <c r="K46" t="s">
        <v>72</v>
      </c>
      <c r="L46" t="s">
        <v>71</v>
      </c>
      <c r="M46" t="s">
        <v>72</v>
      </c>
      <c r="N46" t="s">
        <v>45</v>
      </c>
      <c r="O46" t="s">
        <v>45</v>
      </c>
      <c r="P46">
        <v>3</v>
      </c>
      <c r="Q46" s="7">
        <v>46206</v>
      </c>
      <c r="R46" s="7">
        <v>46206</v>
      </c>
      <c r="S46" s="7">
        <v>46206</v>
      </c>
      <c r="T46" t="s">
        <v>45</v>
      </c>
      <c r="V46" t="s">
        <v>83</v>
      </c>
      <c r="W46" t="s">
        <v>45</v>
      </c>
      <c r="X46" t="s">
        <v>45</v>
      </c>
      <c r="Y46" t="s">
        <v>45</v>
      </c>
      <c r="Z46" t="s">
        <v>74</v>
      </c>
      <c r="AE46" s="7">
        <v>46208</v>
      </c>
      <c r="AF46">
        <v>2</v>
      </c>
      <c r="AH46" t="s">
        <v>75</v>
      </c>
      <c r="AI46">
        <v>1</v>
      </c>
      <c r="AJ46" s="9"/>
      <c r="AK46" t="s">
        <v>74</v>
      </c>
      <c r="AM46"/>
      <c r="AN46" t="s">
        <v>45</v>
      </c>
      <c r="AO46" t="s">
        <v>74</v>
      </c>
      <c r="AP46"/>
      <c r="AQ46" t="s">
        <v>74</v>
      </c>
      <c r="AR46" s="18" t="str">
        <f>IFERROR(VLOOKUP(K46,[1]POP!$F:$J,1,0),M46)</f>
        <v>FOTOKOL</v>
      </c>
      <c r="AS46" s="18" t="str">
        <f t="shared" si="1"/>
        <v>SAGME</v>
      </c>
      <c r="AT46" s="19">
        <f t="shared" si="4"/>
        <v>2</v>
      </c>
      <c r="AU46" s="19">
        <f t="shared" ca="1" si="3"/>
        <v>2</v>
      </c>
    </row>
    <row r="47" spans="1:47" x14ac:dyDescent="0.3">
      <c r="A47" t="s">
        <v>165</v>
      </c>
      <c r="B47" t="str">
        <f t="shared" si="0"/>
        <v>S26_2026</v>
      </c>
      <c r="C47" t="str">
        <f t="shared" si="2"/>
        <v>S26_2026</v>
      </c>
      <c r="F47">
        <v>8</v>
      </c>
      <c r="G47" t="s">
        <v>40</v>
      </c>
      <c r="I47" t="s">
        <v>166</v>
      </c>
      <c r="J47" t="s">
        <v>166</v>
      </c>
      <c r="K47" t="s">
        <v>124</v>
      </c>
      <c r="L47" t="s">
        <v>166</v>
      </c>
      <c r="M47" t="s">
        <v>124</v>
      </c>
      <c r="N47" t="s">
        <v>117</v>
      </c>
      <c r="O47" t="s">
        <v>117</v>
      </c>
      <c r="P47">
        <v>3</v>
      </c>
      <c r="Q47" s="7">
        <v>46198</v>
      </c>
      <c r="R47" s="7">
        <v>46198</v>
      </c>
      <c r="S47" s="7">
        <v>46198</v>
      </c>
      <c r="T47" t="s">
        <v>45</v>
      </c>
      <c r="V47" t="s">
        <v>167</v>
      </c>
      <c r="W47" t="s">
        <v>45</v>
      </c>
      <c r="X47" t="s">
        <v>45</v>
      </c>
      <c r="Y47" t="s">
        <v>45</v>
      </c>
      <c r="Z47" t="s">
        <v>74</v>
      </c>
      <c r="AA47" s="7">
        <v>46199</v>
      </c>
      <c r="AB47" t="s">
        <v>48</v>
      </c>
      <c r="AC47" t="s">
        <v>45</v>
      </c>
      <c r="AD47" t="s">
        <v>48</v>
      </c>
      <c r="AF47">
        <v>2</v>
      </c>
      <c r="AH47" t="s">
        <v>75</v>
      </c>
      <c r="AI47">
        <v>1</v>
      </c>
      <c r="AJ47" s="9"/>
      <c r="AK47" t="s">
        <v>74</v>
      </c>
      <c r="AM47"/>
      <c r="AN47" t="s">
        <v>45</v>
      </c>
      <c r="AO47" t="s">
        <v>74</v>
      </c>
      <c r="AP47"/>
      <c r="AQ47" t="s">
        <v>74</v>
      </c>
      <c r="AR47" s="18" t="str">
        <f>IFERROR(VLOOKUP(K47,[1]POP!$F:$J,1,0),M47)</f>
        <v>MADA</v>
      </c>
      <c r="AS47" s="18" t="str">
        <f t="shared" si="1"/>
        <v>BARGARAM</v>
      </c>
      <c r="AT47" s="19">
        <f t="shared" si="4"/>
        <v>2</v>
      </c>
      <c r="AU47" s="19">
        <f t="shared" ca="1" si="3"/>
        <v>2</v>
      </c>
    </row>
    <row r="48" spans="1:47" x14ac:dyDescent="0.3">
      <c r="A48" t="s">
        <v>168</v>
      </c>
      <c r="B48" t="str">
        <f t="shared" si="0"/>
        <v>S26_2026</v>
      </c>
      <c r="C48" t="str">
        <f t="shared" si="2"/>
        <v>S26_2026</v>
      </c>
      <c r="F48">
        <v>8</v>
      </c>
      <c r="G48" t="s">
        <v>55</v>
      </c>
      <c r="I48" t="s">
        <v>166</v>
      </c>
      <c r="J48" t="s">
        <v>166</v>
      </c>
      <c r="K48" t="s">
        <v>124</v>
      </c>
      <c r="L48" t="s">
        <v>166</v>
      </c>
      <c r="M48" t="s">
        <v>124</v>
      </c>
      <c r="N48" t="s">
        <v>117</v>
      </c>
      <c r="O48" t="s">
        <v>117</v>
      </c>
      <c r="P48">
        <v>3</v>
      </c>
      <c r="Q48" s="7">
        <v>46198</v>
      </c>
      <c r="R48" s="7">
        <v>46198</v>
      </c>
      <c r="S48" s="7">
        <v>46198</v>
      </c>
      <c r="T48" t="s">
        <v>45</v>
      </c>
      <c r="V48" t="s">
        <v>167</v>
      </c>
      <c r="W48" t="s">
        <v>45</v>
      </c>
      <c r="X48" t="s">
        <v>45</v>
      </c>
      <c r="Y48" t="s">
        <v>45</v>
      </c>
      <c r="Z48" t="s">
        <v>74</v>
      </c>
      <c r="AF48">
        <v>3</v>
      </c>
      <c r="AH48" t="s">
        <v>75</v>
      </c>
      <c r="AI48">
        <v>3</v>
      </c>
      <c r="AJ48" s="9">
        <v>46197</v>
      </c>
      <c r="AK48" t="s">
        <v>74</v>
      </c>
      <c r="AM48"/>
      <c r="AN48" t="s">
        <v>45</v>
      </c>
      <c r="AO48" t="s">
        <v>74</v>
      </c>
      <c r="AP48"/>
      <c r="AQ48" t="s">
        <v>74</v>
      </c>
      <c r="AR48" s="18" t="str">
        <f>IFERROR(VLOOKUP(K48,[1]POP!$F:$J,1,0),M48)</f>
        <v>MADA</v>
      </c>
      <c r="AS48" s="18" t="str">
        <f t="shared" si="1"/>
        <v>BARGARAM</v>
      </c>
      <c r="AT48" s="19">
        <f t="shared" si="4"/>
        <v>3</v>
      </c>
      <c r="AU48" s="19">
        <f t="shared" ca="1" si="3"/>
        <v>2</v>
      </c>
    </row>
    <row r="49" spans="1:47" x14ac:dyDescent="0.3">
      <c r="A49" t="s">
        <v>169</v>
      </c>
      <c r="B49" t="str">
        <f t="shared" si="0"/>
        <v>S26_2026</v>
      </c>
      <c r="C49" t="str">
        <f t="shared" si="2"/>
        <v>S26_2026</v>
      </c>
      <c r="F49">
        <v>5</v>
      </c>
      <c r="G49" t="s">
        <v>55</v>
      </c>
      <c r="I49" t="s">
        <v>166</v>
      </c>
      <c r="J49" t="s">
        <v>166</v>
      </c>
      <c r="K49" t="s">
        <v>124</v>
      </c>
      <c r="L49" t="s">
        <v>166</v>
      </c>
      <c r="M49" t="s">
        <v>124</v>
      </c>
      <c r="N49" t="s">
        <v>117</v>
      </c>
      <c r="O49" t="s">
        <v>117</v>
      </c>
      <c r="P49">
        <v>3</v>
      </c>
      <c r="Q49" s="7">
        <v>46198</v>
      </c>
      <c r="R49" s="7">
        <v>46198</v>
      </c>
      <c r="S49" s="7">
        <v>46198</v>
      </c>
      <c r="T49" t="s">
        <v>45</v>
      </c>
      <c r="V49" t="s">
        <v>167</v>
      </c>
      <c r="W49" t="s">
        <v>45</v>
      </c>
      <c r="X49" t="s">
        <v>45</v>
      </c>
      <c r="Y49" t="s">
        <v>45</v>
      </c>
      <c r="Z49" t="s">
        <v>74</v>
      </c>
      <c r="AF49">
        <v>2</v>
      </c>
      <c r="AH49" t="s">
        <v>75</v>
      </c>
      <c r="AI49">
        <v>1</v>
      </c>
      <c r="AJ49" s="9"/>
      <c r="AK49" t="s">
        <v>74</v>
      </c>
      <c r="AM49"/>
      <c r="AN49" t="s">
        <v>45</v>
      </c>
      <c r="AO49" t="s">
        <v>45</v>
      </c>
      <c r="AP49"/>
      <c r="AQ49" t="s">
        <v>74</v>
      </c>
      <c r="AR49" s="18" t="str">
        <f>IFERROR(VLOOKUP(K49,[1]POP!$F:$J,1,0),M49)</f>
        <v>MADA</v>
      </c>
      <c r="AS49" s="18" t="str">
        <f t="shared" si="1"/>
        <v>BARGARAM</v>
      </c>
      <c r="AT49" s="19">
        <f t="shared" si="4"/>
        <v>2</v>
      </c>
      <c r="AU49" s="19">
        <f t="shared" ca="1" si="3"/>
        <v>2</v>
      </c>
    </row>
    <row r="50" spans="1:47" x14ac:dyDescent="0.3">
      <c r="A50" t="s">
        <v>170</v>
      </c>
      <c r="B50" t="str">
        <f t="shared" si="0"/>
        <v>S26_2026</v>
      </c>
      <c r="C50" t="str">
        <f t="shared" si="2"/>
        <v>S26_2026</v>
      </c>
      <c r="F50">
        <v>6</v>
      </c>
      <c r="G50" t="s">
        <v>55</v>
      </c>
      <c r="I50" t="s">
        <v>166</v>
      </c>
      <c r="J50" t="s">
        <v>166</v>
      </c>
      <c r="K50" t="s">
        <v>124</v>
      </c>
      <c r="L50" t="s">
        <v>166</v>
      </c>
      <c r="M50" t="s">
        <v>124</v>
      </c>
      <c r="N50" t="s">
        <v>117</v>
      </c>
      <c r="O50" t="s">
        <v>117</v>
      </c>
      <c r="P50">
        <v>3</v>
      </c>
      <c r="Q50" s="7">
        <v>46198</v>
      </c>
      <c r="R50" s="7">
        <v>46198</v>
      </c>
      <c r="S50" s="7">
        <v>46198</v>
      </c>
      <c r="T50" t="s">
        <v>45</v>
      </c>
      <c r="V50" t="s">
        <v>167</v>
      </c>
      <c r="W50" t="s">
        <v>45</v>
      </c>
      <c r="X50" t="s">
        <v>45</v>
      </c>
      <c r="Y50" t="s">
        <v>45</v>
      </c>
      <c r="Z50" t="s">
        <v>74</v>
      </c>
      <c r="AF50">
        <v>2</v>
      </c>
      <c r="AH50" t="s">
        <v>75</v>
      </c>
      <c r="AI50">
        <v>1</v>
      </c>
      <c r="AJ50" s="9"/>
      <c r="AK50" t="s">
        <v>74</v>
      </c>
      <c r="AM50"/>
      <c r="AN50" t="s">
        <v>45</v>
      </c>
      <c r="AO50" t="s">
        <v>74</v>
      </c>
      <c r="AP50"/>
      <c r="AQ50" t="s">
        <v>74</v>
      </c>
      <c r="AR50" s="18" t="str">
        <f>IFERROR(VLOOKUP(K50,[1]POP!$F:$J,1,0),M50)</f>
        <v>MADA</v>
      </c>
      <c r="AS50" s="18" t="str">
        <f t="shared" si="1"/>
        <v>BARGARAM</v>
      </c>
      <c r="AT50" s="19">
        <f t="shared" si="4"/>
        <v>2</v>
      </c>
      <c r="AU50" s="19">
        <f t="shared" ca="1" si="3"/>
        <v>2</v>
      </c>
    </row>
    <row r="51" spans="1:47" x14ac:dyDescent="0.3">
      <c r="A51" t="s">
        <v>171</v>
      </c>
      <c r="B51" t="str">
        <f t="shared" si="0"/>
        <v>S26_2026</v>
      </c>
      <c r="C51" t="str">
        <f t="shared" si="2"/>
        <v>S26_2026</v>
      </c>
      <c r="F51">
        <v>35</v>
      </c>
      <c r="G51" t="s">
        <v>55</v>
      </c>
      <c r="I51" t="s">
        <v>172</v>
      </c>
      <c r="J51" t="s">
        <v>173</v>
      </c>
      <c r="K51" t="s">
        <v>124</v>
      </c>
      <c r="L51" t="s">
        <v>174</v>
      </c>
      <c r="M51" t="s">
        <v>124</v>
      </c>
      <c r="N51" t="s">
        <v>117</v>
      </c>
      <c r="O51" t="s">
        <v>117</v>
      </c>
      <c r="P51">
        <v>3</v>
      </c>
      <c r="Q51" s="7">
        <v>46198</v>
      </c>
      <c r="R51" s="7">
        <v>46198</v>
      </c>
      <c r="S51" s="7">
        <v>46198</v>
      </c>
      <c r="T51" t="s">
        <v>45</v>
      </c>
      <c r="V51" t="s">
        <v>175</v>
      </c>
      <c r="W51" t="s">
        <v>45</v>
      </c>
      <c r="X51" t="s">
        <v>45</v>
      </c>
      <c r="Y51" t="s">
        <v>45</v>
      </c>
      <c r="Z51" t="s">
        <v>74</v>
      </c>
      <c r="AA51" s="7">
        <v>46199</v>
      </c>
      <c r="AB51" t="s">
        <v>48</v>
      </c>
      <c r="AC51" t="s">
        <v>45</v>
      </c>
      <c r="AD51" t="s">
        <v>48</v>
      </c>
      <c r="AF51">
        <v>2</v>
      </c>
      <c r="AH51" t="s">
        <v>75</v>
      </c>
      <c r="AI51">
        <v>1</v>
      </c>
      <c r="AJ51" s="9"/>
      <c r="AK51" t="s">
        <v>74</v>
      </c>
      <c r="AM51"/>
      <c r="AN51" t="s">
        <v>45</v>
      </c>
      <c r="AO51" t="s">
        <v>45</v>
      </c>
      <c r="AP51"/>
      <c r="AQ51" t="s">
        <v>74</v>
      </c>
      <c r="AR51" s="18" t="str">
        <f>IFERROR(VLOOKUP(K51,[1]POP!$F:$J,1,0),M51)</f>
        <v>MADA</v>
      </c>
      <c r="AS51" s="18" t="str">
        <f t="shared" si="1"/>
        <v>TCHIKA</v>
      </c>
      <c r="AT51" s="19">
        <f t="shared" si="4"/>
        <v>2</v>
      </c>
      <c r="AU51" s="19">
        <f t="shared" ca="1" si="3"/>
        <v>2</v>
      </c>
    </row>
    <row r="52" spans="1:47" x14ac:dyDescent="0.3">
      <c r="A52" t="s">
        <v>176</v>
      </c>
      <c r="B52" t="str">
        <f t="shared" si="0"/>
        <v>S26_2026</v>
      </c>
      <c r="C52" t="str">
        <f t="shared" si="2"/>
        <v>S26_2026</v>
      </c>
      <c r="F52">
        <v>30</v>
      </c>
      <c r="G52" t="s">
        <v>55</v>
      </c>
      <c r="I52" t="s">
        <v>172</v>
      </c>
      <c r="J52" t="s">
        <v>173</v>
      </c>
      <c r="K52" t="s">
        <v>124</v>
      </c>
      <c r="L52" t="s">
        <v>174</v>
      </c>
      <c r="M52" t="s">
        <v>124</v>
      </c>
      <c r="N52" t="s">
        <v>117</v>
      </c>
      <c r="O52" t="s">
        <v>117</v>
      </c>
      <c r="P52">
        <v>3</v>
      </c>
      <c r="Q52" s="7">
        <v>46198</v>
      </c>
      <c r="R52" s="7">
        <v>46198</v>
      </c>
      <c r="S52" s="7">
        <v>46198</v>
      </c>
      <c r="T52" t="s">
        <v>45</v>
      </c>
      <c r="V52" t="s">
        <v>175</v>
      </c>
      <c r="W52" t="s">
        <v>45</v>
      </c>
      <c r="X52" t="s">
        <v>45</v>
      </c>
      <c r="Y52" t="s">
        <v>45</v>
      </c>
      <c r="Z52" t="s">
        <v>74</v>
      </c>
      <c r="AF52">
        <v>2</v>
      </c>
      <c r="AH52" t="s">
        <v>75</v>
      </c>
      <c r="AI52">
        <v>1</v>
      </c>
      <c r="AJ52" s="9"/>
      <c r="AK52" t="s">
        <v>74</v>
      </c>
      <c r="AM52"/>
      <c r="AN52" t="s">
        <v>45</v>
      </c>
      <c r="AO52" t="s">
        <v>74</v>
      </c>
      <c r="AP52"/>
      <c r="AQ52" t="s">
        <v>74</v>
      </c>
      <c r="AR52" s="18" t="str">
        <f>IFERROR(VLOOKUP(K52,[1]POP!$F:$J,1,0),M52)</f>
        <v>MADA</v>
      </c>
      <c r="AS52" s="18" t="str">
        <f t="shared" si="1"/>
        <v>TCHIKA</v>
      </c>
      <c r="AT52" s="19">
        <f t="shared" si="4"/>
        <v>2</v>
      </c>
      <c r="AU52" s="19">
        <f t="shared" ca="1" si="3"/>
        <v>2</v>
      </c>
    </row>
    <row r="53" spans="1:47" x14ac:dyDescent="0.3">
      <c r="A53" t="s">
        <v>177</v>
      </c>
      <c r="B53" t="str">
        <f t="shared" si="0"/>
        <v>S26_2026</v>
      </c>
      <c r="C53" t="str">
        <f t="shared" si="2"/>
        <v>S26_2026</v>
      </c>
      <c r="F53">
        <v>45</v>
      </c>
      <c r="G53" t="s">
        <v>55</v>
      </c>
      <c r="H53" t="s">
        <v>70</v>
      </c>
      <c r="I53" t="s">
        <v>178</v>
      </c>
      <c r="J53" t="s">
        <v>173</v>
      </c>
      <c r="K53" t="s">
        <v>124</v>
      </c>
      <c r="L53" t="s">
        <v>174</v>
      </c>
      <c r="M53" t="s">
        <v>124</v>
      </c>
      <c r="N53" t="s">
        <v>45</v>
      </c>
      <c r="O53" t="s">
        <v>45</v>
      </c>
      <c r="P53">
        <v>3</v>
      </c>
      <c r="Q53" s="7">
        <v>46198</v>
      </c>
      <c r="R53" s="7">
        <v>46198</v>
      </c>
      <c r="S53" s="7">
        <v>46198</v>
      </c>
      <c r="T53" t="s">
        <v>74</v>
      </c>
      <c r="V53" t="s">
        <v>175</v>
      </c>
      <c r="AF53">
        <v>3</v>
      </c>
      <c r="AH53" t="s">
        <v>75</v>
      </c>
      <c r="AI53">
        <v>3</v>
      </c>
      <c r="AJ53" s="9">
        <v>46198</v>
      </c>
      <c r="AK53" t="s">
        <v>74</v>
      </c>
      <c r="AM53"/>
      <c r="AN53" t="s">
        <v>45</v>
      </c>
      <c r="AO53" t="s">
        <v>74</v>
      </c>
      <c r="AP53"/>
      <c r="AQ53" t="s">
        <v>74</v>
      </c>
      <c r="AR53" s="18" t="str">
        <f>IFERROR(VLOOKUP(K53,[1]POP!$F:$J,1,0),M53)</f>
        <v>MADA</v>
      </c>
      <c r="AS53" s="18" t="str">
        <f t="shared" si="1"/>
        <v>TCHIKA</v>
      </c>
      <c r="AT53" s="19">
        <f t="shared" si="4"/>
        <v>3</v>
      </c>
      <c r="AU53" s="19">
        <f t="shared" ca="1" si="3"/>
        <v>2</v>
      </c>
    </row>
    <row r="54" spans="1:47" x14ac:dyDescent="0.3">
      <c r="A54" t="s">
        <v>179</v>
      </c>
      <c r="B54" t="str">
        <f t="shared" si="0"/>
        <v>S26_2026</v>
      </c>
      <c r="C54" t="str">
        <f t="shared" si="2"/>
        <v>S26_2026</v>
      </c>
      <c r="F54">
        <v>4</v>
      </c>
      <c r="G54" t="s">
        <v>55</v>
      </c>
      <c r="I54" t="s">
        <v>166</v>
      </c>
      <c r="J54" t="s">
        <v>166</v>
      </c>
      <c r="K54" t="s">
        <v>124</v>
      </c>
      <c r="L54" t="s">
        <v>166</v>
      </c>
      <c r="M54" t="s">
        <v>124</v>
      </c>
      <c r="N54" t="s">
        <v>45</v>
      </c>
      <c r="O54" t="s">
        <v>117</v>
      </c>
      <c r="P54">
        <v>3</v>
      </c>
      <c r="Q54" s="7">
        <v>46199</v>
      </c>
      <c r="R54" s="7">
        <v>46199</v>
      </c>
      <c r="S54" s="7">
        <v>46199</v>
      </c>
      <c r="T54" t="s">
        <v>45</v>
      </c>
      <c r="V54" t="s">
        <v>167</v>
      </c>
      <c r="W54" t="s">
        <v>45</v>
      </c>
      <c r="X54" t="s">
        <v>45</v>
      </c>
      <c r="Y54" t="s">
        <v>45</v>
      </c>
      <c r="Z54" t="s">
        <v>74</v>
      </c>
      <c r="AF54">
        <v>2</v>
      </c>
      <c r="AH54" t="s">
        <v>75</v>
      </c>
      <c r="AI54">
        <v>1</v>
      </c>
      <c r="AJ54" s="9"/>
      <c r="AK54" t="s">
        <v>74</v>
      </c>
      <c r="AM54"/>
      <c r="AN54" t="s">
        <v>45</v>
      </c>
      <c r="AO54" t="s">
        <v>74</v>
      </c>
      <c r="AP54"/>
      <c r="AQ54" t="s">
        <v>74</v>
      </c>
      <c r="AR54" s="18" t="str">
        <f>IFERROR(VLOOKUP(K54,[1]POP!$F:$J,1,0),M54)</f>
        <v>MADA</v>
      </c>
      <c r="AS54" s="18" t="str">
        <f t="shared" si="1"/>
        <v>BARGARAM</v>
      </c>
      <c r="AT54" s="19">
        <f t="shared" si="4"/>
        <v>2</v>
      </c>
      <c r="AU54" s="19">
        <f t="shared" ca="1" si="3"/>
        <v>2</v>
      </c>
    </row>
    <row r="55" spans="1:47" x14ac:dyDescent="0.3">
      <c r="A55" t="s">
        <v>180</v>
      </c>
      <c r="B55" t="str">
        <f t="shared" si="0"/>
        <v>S26_2026</v>
      </c>
      <c r="C55" t="str">
        <f t="shared" si="2"/>
        <v>S26_2026</v>
      </c>
      <c r="F55">
        <v>24</v>
      </c>
      <c r="G55" t="s">
        <v>55</v>
      </c>
      <c r="I55" t="s">
        <v>166</v>
      </c>
      <c r="J55" t="s">
        <v>166</v>
      </c>
      <c r="K55" t="s">
        <v>124</v>
      </c>
      <c r="L55" t="s">
        <v>166</v>
      </c>
      <c r="M55" t="s">
        <v>124</v>
      </c>
      <c r="N55" t="s">
        <v>45</v>
      </c>
      <c r="O55" t="s">
        <v>117</v>
      </c>
      <c r="P55">
        <v>3</v>
      </c>
      <c r="Q55" s="7">
        <v>46199</v>
      </c>
      <c r="R55" s="7">
        <v>46199</v>
      </c>
      <c r="S55" s="7">
        <v>46199</v>
      </c>
      <c r="T55" t="s">
        <v>45</v>
      </c>
      <c r="V55" t="s">
        <v>167</v>
      </c>
      <c r="W55" t="s">
        <v>45</v>
      </c>
      <c r="X55" t="s">
        <v>45</v>
      </c>
      <c r="Y55" t="s">
        <v>45</v>
      </c>
      <c r="Z55" t="s">
        <v>74</v>
      </c>
      <c r="AF55">
        <v>2</v>
      </c>
      <c r="AH55" t="s">
        <v>75</v>
      </c>
      <c r="AI55">
        <v>1</v>
      </c>
      <c r="AJ55" s="9"/>
      <c r="AK55" t="s">
        <v>74</v>
      </c>
      <c r="AM55"/>
      <c r="AN55" t="s">
        <v>45</v>
      </c>
      <c r="AO55" t="s">
        <v>74</v>
      </c>
      <c r="AP55"/>
      <c r="AQ55" t="s">
        <v>74</v>
      </c>
      <c r="AR55" s="18" t="str">
        <f>IFERROR(VLOOKUP(K55,[1]POP!$F:$J,1,0),M55)</f>
        <v>MADA</v>
      </c>
      <c r="AS55" s="18" t="str">
        <f t="shared" si="1"/>
        <v>BARGARAM</v>
      </c>
      <c r="AT55" s="19">
        <f t="shared" si="4"/>
        <v>2</v>
      </c>
      <c r="AU55" s="19">
        <f t="shared" ca="1" si="3"/>
        <v>2</v>
      </c>
    </row>
    <row r="56" spans="1:47" x14ac:dyDescent="0.3">
      <c r="A56" t="s">
        <v>181</v>
      </c>
      <c r="B56" t="str">
        <f t="shared" si="0"/>
        <v>S26_2026</v>
      </c>
      <c r="C56" t="str">
        <f t="shared" si="2"/>
        <v>S26_2026</v>
      </c>
      <c r="F56">
        <v>24</v>
      </c>
      <c r="G56" t="s">
        <v>55</v>
      </c>
      <c r="I56" t="s">
        <v>166</v>
      </c>
      <c r="J56" t="s">
        <v>166</v>
      </c>
      <c r="K56" t="s">
        <v>124</v>
      </c>
      <c r="L56" t="s">
        <v>166</v>
      </c>
      <c r="M56" t="s">
        <v>124</v>
      </c>
      <c r="N56" t="s">
        <v>45</v>
      </c>
      <c r="O56" t="s">
        <v>117</v>
      </c>
      <c r="P56">
        <v>3</v>
      </c>
      <c r="Q56" s="7">
        <v>46199</v>
      </c>
      <c r="R56" s="7">
        <v>46199</v>
      </c>
      <c r="S56" s="7">
        <v>46199</v>
      </c>
      <c r="T56" t="s">
        <v>45</v>
      </c>
      <c r="V56" t="s">
        <v>167</v>
      </c>
      <c r="W56" t="s">
        <v>45</v>
      </c>
      <c r="X56" t="s">
        <v>45</v>
      </c>
      <c r="Y56" t="s">
        <v>45</v>
      </c>
      <c r="Z56" t="s">
        <v>74</v>
      </c>
      <c r="AB56" t="s">
        <v>48</v>
      </c>
      <c r="AF56">
        <v>2</v>
      </c>
      <c r="AH56" t="s">
        <v>75</v>
      </c>
      <c r="AI56">
        <v>1</v>
      </c>
      <c r="AJ56" s="9"/>
      <c r="AK56" t="s">
        <v>74</v>
      </c>
      <c r="AM56"/>
      <c r="AN56" t="s">
        <v>45</v>
      </c>
      <c r="AO56" t="s">
        <v>74</v>
      </c>
      <c r="AP56"/>
      <c r="AQ56" t="s">
        <v>74</v>
      </c>
      <c r="AR56" s="18" t="str">
        <f>IFERROR(VLOOKUP(K56,[1]POP!$F:$J,1,0),M56)</f>
        <v>MADA</v>
      </c>
      <c r="AS56" s="18" t="str">
        <f t="shared" si="1"/>
        <v>BARGARAM</v>
      </c>
      <c r="AT56" s="19">
        <f t="shared" si="4"/>
        <v>2</v>
      </c>
      <c r="AU56" s="19">
        <f t="shared" ca="1" si="3"/>
        <v>2</v>
      </c>
    </row>
    <row r="57" spans="1:47" x14ac:dyDescent="0.3">
      <c r="A57" t="s">
        <v>182</v>
      </c>
      <c r="B57" t="str">
        <f t="shared" si="0"/>
        <v>S26_2026</v>
      </c>
      <c r="C57" t="str">
        <f t="shared" si="2"/>
        <v>S26_2026</v>
      </c>
      <c r="F57">
        <v>10</v>
      </c>
      <c r="G57" t="s">
        <v>40</v>
      </c>
      <c r="I57" t="s">
        <v>166</v>
      </c>
      <c r="J57" t="s">
        <v>166</v>
      </c>
      <c r="K57" t="s">
        <v>124</v>
      </c>
      <c r="L57" t="s">
        <v>166</v>
      </c>
      <c r="M57" t="s">
        <v>124</v>
      </c>
      <c r="N57" t="s">
        <v>45</v>
      </c>
      <c r="O57" t="s">
        <v>117</v>
      </c>
      <c r="P57">
        <v>3</v>
      </c>
      <c r="Q57" s="7">
        <v>46199</v>
      </c>
      <c r="R57" s="7">
        <v>46199</v>
      </c>
      <c r="S57" s="7">
        <v>46199</v>
      </c>
      <c r="T57" t="s">
        <v>45</v>
      </c>
      <c r="V57" t="s">
        <v>167</v>
      </c>
      <c r="W57" t="s">
        <v>45</v>
      </c>
      <c r="X57" t="s">
        <v>45</v>
      </c>
      <c r="Y57" t="s">
        <v>45</v>
      </c>
      <c r="Z57" t="s">
        <v>74</v>
      </c>
      <c r="AF57">
        <v>2</v>
      </c>
      <c r="AH57" t="s">
        <v>75</v>
      </c>
      <c r="AI57">
        <v>1</v>
      </c>
      <c r="AJ57" s="9"/>
      <c r="AK57" t="s">
        <v>74</v>
      </c>
      <c r="AM57"/>
      <c r="AN57" t="s">
        <v>45</v>
      </c>
      <c r="AO57" t="s">
        <v>74</v>
      </c>
      <c r="AP57"/>
      <c r="AQ57" t="s">
        <v>74</v>
      </c>
      <c r="AR57" s="18" t="str">
        <f>IFERROR(VLOOKUP(K57,[1]POP!$F:$J,1,0),M57)</f>
        <v>MADA</v>
      </c>
      <c r="AS57" s="18" t="str">
        <f t="shared" si="1"/>
        <v>BARGARAM</v>
      </c>
      <c r="AT57" s="19">
        <f t="shared" si="4"/>
        <v>2</v>
      </c>
      <c r="AU57" s="19">
        <f t="shared" ca="1" si="3"/>
        <v>2</v>
      </c>
    </row>
    <row r="58" spans="1:47" x14ac:dyDescent="0.3">
      <c r="A58" t="s">
        <v>183</v>
      </c>
      <c r="B58" t="str">
        <f t="shared" si="0"/>
        <v>S26_2026</v>
      </c>
      <c r="C58" t="str">
        <f t="shared" si="2"/>
        <v>S26_2026</v>
      </c>
      <c r="F58">
        <v>24</v>
      </c>
      <c r="G58" t="s">
        <v>55</v>
      </c>
      <c r="I58" t="s">
        <v>166</v>
      </c>
      <c r="J58" t="s">
        <v>166</v>
      </c>
      <c r="K58" t="s">
        <v>124</v>
      </c>
      <c r="L58" t="s">
        <v>166</v>
      </c>
      <c r="M58" t="s">
        <v>124</v>
      </c>
      <c r="N58" t="s">
        <v>45</v>
      </c>
      <c r="O58" t="s">
        <v>117</v>
      </c>
      <c r="P58">
        <v>3</v>
      </c>
      <c r="Q58" s="7">
        <v>46199</v>
      </c>
      <c r="R58" s="7">
        <v>46199</v>
      </c>
      <c r="S58" s="7">
        <v>46199</v>
      </c>
      <c r="T58" t="s">
        <v>45</v>
      </c>
      <c r="V58" t="s">
        <v>167</v>
      </c>
      <c r="W58" t="s">
        <v>45</v>
      </c>
      <c r="X58" t="s">
        <v>45</v>
      </c>
      <c r="Y58" t="s">
        <v>45</v>
      </c>
      <c r="Z58" t="s">
        <v>74</v>
      </c>
      <c r="AF58">
        <v>2</v>
      </c>
      <c r="AH58" t="s">
        <v>75</v>
      </c>
      <c r="AI58">
        <v>1</v>
      </c>
      <c r="AJ58" s="9"/>
      <c r="AK58" t="s">
        <v>74</v>
      </c>
      <c r="AM58"/>
      <c r="AN58" t="s">
        <v>45</v>
      </c>
      <c r="AO58" t="s">
        <v>74</v>
      </c>
      <c r="AP58"/>
      <c r="AQ58" t="s">
        <v>74</v>
      </c>
      <c r="AR58" s="18" t="str">
        <f>IFERROR(VLOOKUP(K58,[1]POP!$F:$J,1,0),M58)</f>
        <v>MADA</v>
      </c>
      <c r="AS58" s="18" t="str">
        <f t="shared" si="1"/>
        <v>BARGARAM</v>
      </c>
      <c r="AT58" s="19">
        <f t="shared" si="4"/>
        <v>2</v>
      </c>
      <c r="AU58" s="19">
        <f t="shared" ca="1" si="3"/>
        <v>2</v>
      </c>
    </row>
    <row r="59" spans="1:47" x14ac:dyDescent="0.3">
      <c r="A59" t="s">
        <v>184</v>
      </c>
      <c r="B59" t="str">
        <f t="shared" si="0"/>
        <v>S26_2026</v>
      </c>
      <c r="C59" t="str">
        <f t="shared" si="2"/>
        <v>S26_2026</v>
      </c>
      <c r="F59">
        <v>6</v>
      </c>
      <c r="G59" t="s">
        <v>40</v>
      </c>
      <c r="I59" t="s">
        <v>166</v>
      </c>
      <c r="J59" t="s">
        <v>166</v>
      </c>
      <c r="K59" t="s">
        <v>124</v>
      </c>
      <c r="L59" t="s">
        <v>166</v>
      </c>
      <c r="M59" t="s">
        <v>124</v>
      </c>
      <c r="N59" t="s">
        <v>45</v>
      </c>
      <c r="O59" t="s">
        <v>117</v>
      </c>
      <c r="P59">
        <v>3</v>
      </c>
      <c r="Q59" s="7">
        <v>46199</v>
      </c>
      <c r="R59" s="7">
        <v>46199</v>
      </c>
      <c r="S59" s="7">
        <v>46199</v>
      </c>
      <c r="T59" t="s">
        <v>45</v>
      </c>
      <c r="V59" t="s">
        <v>167</v>
      </c>
      <c r="W59" t="s">
        <v>45</v>
      </c>
      <c r="X59" t="s">
        <v>45</v>
      </c>
      <c r="Y59" t="s">
        <v>45</v>
      </c>
      <c r="Z59" t="s">
        <v>74</v>
      </c>
      <c r="AF59">
        <v>2</v>
      </c>
      <c r="AH59" t="s">
        <v>75</v>
      </c>
      <c r="AI59">
        <v>1</v>
      </c>
      <c r="AJ59" s="9"/>
      <c r="AK59" t="s">
        <v>74</v>
      </c>
      <c r="AM59"/>
      <c r="AN59" t="s">
        <v>45</v>
      </c>
      <c r="AO59" t="s">
        <v>74</v>
      </c>
      <c r="AP59"/>
      <c r="AQ59" t="s">
        <v>74</v>
      </c>
      <c r="AR59" s="18" t="str">
        <f>IFERROR(VLOOKUP(K59,[1]POP!$F:$J,1,0),M59)</f>
        <v>MADA</v>
      </c>
      <c r="AS59" s="18" t="str">
        <f t="shared" si="1"/>
        <v>BARGARAM</v>
      </c>
      <c r="AT59" s="19">
        <f t="shared" si="4"/>
        <v>2</v>
      </c>
      <c r="AU59" s="19">
        <f t="shared" ca="1" si="3"/>
        <v>2</v>
      </c>
    </row>
    <row r="60" spans="1:47" x14ac:dyDescent="0.3">
      <c r="A60" t="s">
        <v>185</v>
      </c>
      <c r="B60" t="str">
        <f t="shared" si="0"/>
        <v>S26_2026</v>
      </c>
      <c r="C60" t="str">
        <f t="shared" si="2"/>
        <v>S26_2026</v>
      </c>
      <c r="F60">
        <v>9</v>
      </c>
      <c r="G60" t="s">
        <v>40</v>
      </c>
      <c r="I60" t="s">
        <v>166</v>
      </c>
      <c r="J60" t="s">
        <v>166</v>
      </c>
      <c r="K60" t="s">
        <v>124</v>
      </c>
      <c r="L60" t="s">
        <v>166</v>
      </c>
      <c r="M60" t="s">
        <v>124</v>
      </c>
      <c r="N60" t="s">
        <v>45</v>
      </c>
      <c r="O60" t="s">
        <v>117</v>
      </c>
      <c r="P60">
        <v>2</v>
      </c>
      <c r="Q60" s="7">
        <v>46199</v>
      </c>
      <c r="R60" s="7">
        <v>46199</v>
      </c>
      <c r="S60" s="7">
        <v>46199</v>
      </c>
      <c r="T60" t="s">
        <v>45</v>
      </c>
      <c r="V60" t="s">
        <v>167</v>
      </c>
      <c r="W60" t="s">
        <v>45</v>
      </c>
      <c r="X60" t="s">
        <v>45</v>
      </c>
      <c r="Y60" t="s">
        <v>45</v>
      </c>
      <c r="Z60" t="s">
        <v>74</v>
      </c>
      <c r="AF60">
        <v>2</v>
      </c>
      <c r="AH60" t="s">
        <v>75</v>
      </c>
      <c r="AI60">
        <v>1</v>
      </c>
      <c r="AJ60" s="9"/>
      <c r="AK60" t="s">
        <v>74</v>
      </c>
      <c r="AM60"/>
      <c r="AN60" t="s">
        <v>45</v>
      </c>
      <c r="AO60" t="s">
        <v>74</v>
      </c>
      <c r="AP60"/>
      <c r="AQ60" t="s">
        <v>74</v>
      </c>
      <c r="AR60" s="18" t="str">
        <f>IFERROR(VLOOKUP(K60,[1]POP!$F:$J,1,0),M60)</f>
        <v>MADA</v>
      </c>
      <c r="AS60" s="18" t="str">
        <f t="shared" si="1"/>
        <v>BARGARAM</v>
      </c>
      <c r="AT60" s="19">
        <f t="shared" si="4"/>
        <v>2</v>
      </c>
      <c r="AU60" s="19">
        <f t="shared" ca="1" si="3"/>
        <v>2</v>
      </c>
    </row>
    <row r="61" spans="1:47" x14ac:dyDescent="0.3">
      <c r="A61" t="s">
        <v>186</v>
      </c>
      <c r="B61" t="str">
        <f t="shared" si="0"/>
        <v>S26_2026</v>
      </c>
      <c r="C61" t="str">
        <f t="shared" si="2"/>
        <v>S26_2026</v>
      </c>
      <c r="F61">
        <v>12</v>
      </c>
      <c r="G61" t="s">
        <v>55</v>
      </c>
      <c r="I61" t="s">
        <v>166</v>
      </c>
      <c r="J61" t="s">
        <v>166</v>
      </c>
      <c r="K61" t="s">
        <v>124</v>
      </c>
      <c r="L61" t="s">
        <v>166</v>
      </c>
      <c r="M61" t="s">
        <v>124</v>
      </c>
      <c r="N61" t="s">
        <v>45</v>
      </c>
      <c r="O61" t="s">
        <v>117</v>
      </c>
      <c r="P61">
        <v>3</v>
      </c>
      <c r="Q61" s="7">
        <v>46199</v>
      </c>
      <c r="R61" s="7">
        <v>46199</v>
      </c>
      <c r="S61" s="7">
        <v>46199</v>
      </c>
      <c r="T61" t="s">
        <v>45</v>
      </c>
      <c r="V61" t="s">
        <v>167</v>
      </c>
      <c r="W61" t="s">
        <v>45</v>
      </c>
      <c r="X61" t="s">
        <v>45</v>
      </c>
      <c r="Y61" t="s">
        <v>45</v>
      </c>
      <c r="Z61" t="s">
        <v>74</v>
      </c>
      <c r="AF61">
        <v>2</v>
      </c>
      <c r="AH61" t="s">
        <v>75</v>
      </c>
      <c r="AI61">
        <v>1</v>
      </c>
      <c r="AJ61" s="9"/>
      <c r="AK61" t="s">
        <v>74</v>
      </c>
      <c r="AM61"/>
      <c r="AN61" t="s">
        <v>45</v>
      </c>
      <c r="AO61" t="s">
        <v>74</v>
      </c>
      <c r="AP61"/>
      <c r="AQ61" t="s">
        <v>74</v>
      </c>
      <c r="AR61" s="18" t="str">
        <f>IFERROR(VLOOKUP(K61,[1]POP!$F:$J,1,0),M61)</f>
        <v>MADA</v>
      </c>
      <c r="AS61" s="18" t="str">
        <f t="shared" si="1"/>
        <v>BARGARAM</v>
      </c>
      <c r="AT61" s="19">
        <f t="shared" si="4"/>
        <v>2</v>
      </c>
      <c r="AU61" s="19">
        <f t="shared" ca="1" si="3"/>
        <v>2</v>
      </c>
    </row>
    <row r="62" spans="1:47" x14ac:dyDescent="0.3">
      <c r="A62" t="s">
        <v>187</v>
      </c>
      <c r="B62" t="str">
        <f t="shared" si="0"/>
        <v>S26_2026</v>
      </c>
      <c r="C62" t="str">
        <f t="shared" si="2"/>
        <v>S26_2026</v>
      </c>
      <c r="F62">
        <v>19</v>
      </c>
      <c r="G62" t="s">
        <v>40</v>
      </c>
      <c r="I62" t="s">
        <v>166</v>
      </c>
      <c r="J62" t="s">
        <v>166</v>
      </c>
      <c r="K62" t="s">
        <v>124</v>
      </c>
      <c r="L62" t="s">
        <v>166</v>
      </c>
      <c r="M62" t="s">
        <v>124</v>
      </c>
      <c r="N62" t="s">
        <v>45</v>
      </c>
      <c r="O62" t="s">
        <v>117</v>
      </c>
      <c r="P62">
        <v>3</v>
      </c>
      <c r="Q62" s="7">
        <v>46199</v>
      </c>
      <c r="R62" s="7">
        <v>46199</v>
      </c>
      <c r="S62" s="7">
        <v>46199</v>
      </c>
      <c r="T62" t="s">
        <v>45</v>
      </c>
      <c r="V62" t="s">
        <v>167</v>
      </c>
      <c r="W62" t="s">
        <v>45</v>
      </c>
      <c r="X62" t="s">
        <v>45</v>
      </c>
      <c r="Y62" t="s">
        <v>45</v>
      </c>
      <c r="Z62" t="s">
        <v>74</v>
      </c>
      <c r="AF62">
        <v>2</v>
      </c>
      <c r="AH62" t="s">
        <v>75</v>
      </c>
      <c r="AI62">
        <v>1</v>
      </c>
      <c r="AJ62" s="9"/>
      <c r="AK62" t="s">
        <v>74</v>
      </c>
      <c r="AL62" t="s">
        <v>96</v>
      </c>
      <c r="AM62"/>
      <c r="AN62" t="s">
        <v>45</v>
      </c>
      <c r="AO62" t="s">
        <v>74</v>
      </c>
      <c r="AP62"/>
      <c r="AQ62" t="s">
        <v>74</v>
      </c>
      <c r="AR62" s="18" t="str">
        <f>IFERROR(VLOOKUP(K62,[1]POP!$F:$J,1,0),M62)</f>
        <v>MADA</v>
      </c>
      <c r="AS62" s="18" t="str">
        <f t="shared" si="1"/>
        <v>BARGARAM</v>
      </c>
      <c r="AT62" s="19">
        <f t="shared" si="4"/>
        <v>2</v>
      </c>
      <c r="AU62" s="19">
        <f t="shared" ca="1" si="3"/>
        <v>2</v>
      </c>
    </row>
    <row r="63" spans="1:47" x14ac:dyDescent="0.3">
      <c r="A63" t="s">
        <v>188</v>
      </c>
      <c r="B63" t="str">
        <f t="shared" si="0"/>
        <v>S26_2026</v>
      </c>
      <c r="C63" t="str">
        <f t="shared" si="2"/>
        <v>S26_2026</v>
      </c>
      <c r="F63">
        <v>15</v>
      </c>
      <c r="G63" t="s">
        <v>55</v>
      </c>
      <c r="I63" t="s">
        <v>166</v>
      </c>
      <c r="J63" t="s">
        <v>166</v>
      </c>
      <c r="K63" t="s">
        <v>124</v>
      </c>
      <c r="L63" t="s">
        <v>166</v>
      </c>
      <c r="M63" t="s">
        <v>124</v>
      </c>
      <c r="N63" t="s">
        <v>45</v>
      </c>
      <c r="O63" t="s">
        <v>117</v>
      </c>
      <c r="P63">
        <v>3</v>
      </c>
      <c r="Q63" s="7">
        <v>46199</v>
      </c>
      <c r="R63" s="7">
        <v>46199</v>
      </c>
      <c r="S63" s="7">
        <v>46199</v>
      </c>
      <c r="T63" t="s">
        <v>45</v>
      </c>
      <c r="V63" t="s">
        <v>167</v>
      </c>
      <c r="W63" t="s">
        <v>45</v>
      </c>
      <c r="X63" t="s">
        <v>45</v>
      </c>
      <c r="Y63" t="s">
        <v>45</v>
      </c>
      <c r="Z63" t="s">
        <v>74</v>
      </c>
      <c r="AF63">
        <v>2</v>
      </c>
      <c r="AH63" t="s">
        <v>75</v>
      </c>
      <c r="AI63">
        <v>1</v>
      </c>
      <c r="AJ63" s="9"/>
      <c r="AK63" t="s">
        <v>74</v>
      </c>
      <c r="AM63"/>
      <c r="AN63" t="s">
        <v>45</v>
      </c>
      <c r="AO63" t="s">
        <v>74</v>
      </c>
      <c r="AP63"/>
      <c r="AQ63" t="s">
        <v>74</v>
      </c>
      <c r="AR63" s="18" t="str">
        <f>IFERROR(VLOOKUP(K63,[1]POP!$F:$J,1,0),M63)</f>
        <v>MADA</v>
      </c>
      <c r="AS63" s="18" t="str">
        <f t="shared" si="1"/>
        <v>BARGARAM</v>
      </c>
      <c r="AT63" s="19">
        <f t="shared" si="4"/>
        <v>2</v>
      </c>
      <c r="AU63" s="19">
        <f t="shared" ca="1" si="3"/>
        <v>2</v>
      </c>
    </row>
    <row r="64" spans="1:47" x14ac:dyDescent="0.3">
      <c r="A64" t="s">
        <v>189</v>
      </c>
      <c r="B64" t="str">
        <f t="shared" si="0"/>
        <v>S26_2026</v>
      </c>
      <c r="C64" t="str">
        <f t="shared" si="2"/>
        <v>S26_2026</v>
      </c>
      <c r="F64">
        <v>9</v>
      </c>
      <c r="G64" t="s">
        <v>55</v>
      </c>
      <c r="I64" t="s">
        <v>166</v>
      </c>
      <c r="J64" t="s">
        <v>166</v>
      </c>
      <c r="K64" t="s">
        <v>124</v>
      </c>
      <c r="L64" t="s">
        <v>166</v>
      </c>
      <c r="M64" t="s">
        <v>124</v>
      </c>
      <c r="N64" t="s">
        <v>45</v>
      </c>
      <c r="O64" t="s">
        <v>117</v>
      </c>
      <c r="P64">
        <v>3</v>
      </c>
      <c r="Q64" s="7">
        <v>46199</v>
      </c>
      <c r="R64" s="7">
        <v>46199</v>
      </c>
      <c r="S64" s="7">
        <v>46199</v>
      </c>
      <c r="T64" t="s">
        <v>45</v>
      </c>
      <c r="V64" t="s">
        <v>167</v>
      </c>
      <c r="W64" t="s">
        <v>45</v>
      </c>
      <c r="X64" t="s">
        <v>45</v>
      </c>
      <c r="Y64" t="s">
        <v>45</v>
      </c>
      <c r="Z64" t="s">
        <v>74</v>
      </c>
      <c r="AF64">
        <v>2</v>
      </c>
      <c r="AH64" t="s">
        <v>75</v>
      </c>
      <c r="AI64">
        <v>1</v>
      </c>
      <c r="AJ64" s="9"/>
      <c r="AK64" t="s">
        <v>74</v>
      </c>
      <c r="AM64"/>
      <c r="AN64" t="s">
        <v>74</v>
      </c>
      <c r="AO64" t="s">
        <v>74</v>
      </c>
      <c r="AP64"/>
      <c r="AQ64" t="s">
        <v>74</v>
      </c>
      <c r="AR64" s="18" t="str">
        <f>IFERROR(VLOOKUP(K64,[1]POP!$F:$J,1,0),M64)</f>
        <v>MADA</v>
      </c>
      <c r="AS64" s="18" t="str">
        <f t="shared" si="1"/>
        <v>BARGARAM</v>
      </c>
      <c r="AT64" s="19">
        <f t="shared" si="4"/>
        <v>2</v>
      </c>
      <c r="AU64" s="19">
        <f t="shared" ca="1" si="3"/>
        <v>2</v>
      </c>
    </row>
    <row r="65" spans="1:47" x14ac:dyDescent="0.3">
      <c r="A65" t="s">
        <v>190</v>
      </c>
      <c r="B65" t="str">
        <f t="shared" si="0"/>
        <v>S26_2026</v>
      </c>
      <c r="C65" t="str">
        <f t="shared" si="2"/>
        <v>S26_2026</v>
      </c>
      <c r="F65">
        <v>8</v>
      </c>
      <c r="G65" t="s">
        <v>55</v>
      </c>
      <c r="I65" t="s">
        <v>166</v>
      </c>
      <c r="J65" t="s">
        <v>166</v>
      </c>
      <c r="K65" t="s">
        <v>124</v>
      </c>
      <c r="L65" t="s">
        <v>166</v>
      </c>
      <c r="M65" t="s">
        <v>124</v>
      </c>
      <c r="N65" t="s">
        <v>45</v>
      </c>
      <c r="O65" t="s">
        <v>117</v>
      </c>
      <c r="P65">
        <v>2</v>
      </c>
      <c r="Q65" s="7">
        <v>46199</v>
      </c>
      <c r="R65" s="7">
        <v>46199</v>
      </c>
      <c r="S65" s="7">
        <v>46199</v>
      </c>
      <c r="T65" t="s">
        <v>45</v>
      </c>
      <c r="V65" t="s">
        <v>167</v>
      </c>
      <c r="W65" t="s">
        <v>45</v>
      </c>
      <c r="X65" t="s">
        <v>45</v>
      </c>
      <c r="Y65" t="s">
        <v>74</v>
      </c>
      <c r="Z65" t="s">
        <v>74</v>
      </c>
      <c r="AF65">
        <v>2</v>
      </c>
      <c r="AH65" t="s">
        <v>75</v>
      </c>
      <c r="AI65">
        <v>1</v>
      </c>
      <c r="AJ65" s="9"/>
      <c r="AK65" t="s">
        <v>74</v>
      </c>
      <c r="AM65"/>
      <c r="AN65" t="s">
        <v>74</v>
      </c>
      <c r="AO65" t="s">
        <v>74</v>
      </c>
      <c r="AP65"/>
      <c r="AQ65" t="s">
        <v>74</v>
      </c>
      <c r="AR65" s="18" t="str">
        <f>IFERROR(VLOOKUP(K65,[1]POP!$F:$J,1,0),M65)</f>
        <v>MADA</v>
      </c>
      <c r="AS65" s="18" t="str">
        <f t="shared" si="1"/>
        <v>BARGARAM</v>
      </c>
      <c r="AT65" s="19">
        <f t="shared" si="4"/>
        <v>2</v>
      </c>
      <c r="AU65" s="19">
        <f t="shared" ca="1" si="3"/>
        <v>2</v>
      </c>
    </row>
    <row r="66" spans="1:47" x14ac:dyDescent="0.3">
      <c r="A66" t="s">
        <v>191</v>
      </c>
      <c r="B66" t="str">
        <f t="shared" ref="B66:B129" si="5">"S"&amp;(IF(_xlfn.ISOWEEKNUM(S66)&gt;9,_xlfn.ISOWEEKNUM(S66),_xlfn.CONCAT("0",_xlfn.ISOWEEKNUM(S66))))&amp;"_"&amp;(YEAR(S66+26-(_xlfn.ISOWEEKNUM(S66))))</f>
        <v>S26_2026</v>
      </c>
      <c r="C66" t="str">
        <f t="shared" si="2"/>
        <v>S26_2026</v>
      </c>
      <c r="F66">
        <v>6</v>
      </c>
      <c r="G66" t="s">
        <v>40</v>
      </c>
      <c r="I66" t="s">
        <v>166</v>
      </c>
      <c r="J66" t="s">
        <v>166</v>
      </c>
      <c r="K66" t="s">
        <v>124</v>
      </c>
      <c r="L66" t="s">
        <v>166</v>
      </c>
      <c r="M66" t="s">
        <v>124</v>
      </c>
      <c r="N66" t="s">
        <v>45</v>
      </c>
      <c r="O66" t="s">
        <v>117</v>
      </c>
      <c r="P66">
        <v>3</v>
      </c>
      <c r="Q66" s="7">
        <v>46199</v>
      </c>
      <c r="R66" s="7">
        <v>46199</v>
      </c>
      <c r="S66" s="7">
        <v>46199</v>
      </c>
      <c r="T66" t="s">
        <v>45</v>
      </c>
      <c r="V66" t="s">
        <v>167</v>
      </c>
      <c r="W66" t="s">
        <v>45</v>
      </c>
      <c r="X66" t="s">
        <v>45</v>
      </c>
      <c r="Y66" t="s">
        <v>45</v>
      </c>
      <c r="Z66" t="s">
        <v>74</v>
      </c>
      <c r="AF66">
        <v>2</v>
      </c>
      <c r="AH66" t="s">
        <v>75</v>
      </c>
      <c r="AI66">
        <v>1</v>
      </c>
      <c r="AJ66" s="9"/>
      <c r="AK66" t="s">
        <v>74</v>
      </c>
      <c r="AM66"/>
      <c r="AN66" t="s">
        <v>74</v>
      </c>
      <c r="AO66" t="s">
        <v>74</v>
      </c>
      <c r="AP66"/>
      <c r="AQ66" t="s">
        <v>74</v>
      </c>
      <c r="AR66" s="18" t="str">
        <f>IFERROR(VLOOKUP(K66,[1]POP!$F:$J,1,0),M66)</f>
        <v>MADA</v>
      </c>
      <c r="AS66" s="18" t="str">
        <f t="shared" ref="AS66:AS129" si="6">IF(AR66=K66,J66,L66)</f>
        <v>BARGARAM</v>
      </c>
      <c r="AT66" s="19">
        <f t="shared" si="4"/>
        <v>2</v>
      </c>
      <c r="AU66" s="19">
        <f t="shared" ca="1" si="3"/>
        <v>2</v>
      </c>
    </row>
    <row r="67" spans="1:47" x14ac:dyDescent="0.3">
      <c r="A67" t="s">
        <v>192</v>
      </c>
      <c r="B67" t="str">
        <f t="shared" si="5"/>
        <v>S26_2026</v>
      </c>
      <c r="C67" t="str">
        <f t="shared" ref="C67:C130" si="7">"S"&amp;(IF(_xlfn.ISOWEEKNUM(Q67)&gt;9,_xlfn.ISOWEEKNUM(Q67),_xlfn.CONCAT("0",_xlfn.ISOWEEKNUM(Q67))))&amp;"_"&amp;(YEAR(Q67+26-(_xlfn.ISOWEEKNUM(Q67))))</f>
        <v>S26_2026</v>
      </c>
      <c r="F67">
        <v>19</v>
      </c>
      <c r="G67" t="s">
        <v>40</v>
      </c>
      <c r="I67" t="s">
        <v>166</v>
      </c>
      <c r="J67" t="s">
        <v>166</v>
      </c>
      <c r="K67" t="s">
        <v>124</v>
      </c>
      <c r="L67" t="s">
        <v>166</v>
      </c>
      <c r="M67" t="s">
        <v>124</v>
      </c>
      <c r="N67" t="s">
        <v>45</v>
      </c>
      <c r="O67" t="s">
        <v>117</v>
      </c>
      <c r="P67">
        <v>2</v>
      </c>
      <c r="Q67" s="7">
        <v>46199</v>
      </c>
      <c r="R67" s="7">
        <v>46199</v>
      </c>
      <c r="S67" s="7">
        <v>46199</v>
      </c>
      <c r="T67" t="s">
        <v>45</v>
      </c>
      <c r="V67" t="s">
        <v>167</v>
      </c>
      <c r="W67" t="s">
        <v>45</v>
      </c>
      <c r="X67" t="s">
        <v>45</v>
      </c>
      <c r="Y67" t="s">
        <v>74</v>
      </c>
      <c r="Z67" t="s">
        <v>74</v>
      </c>
      <c r="AF67">
        <v>2</v>
      </c>
      <c r="AH67" t="s">
        <v>75</v>
      </c>
      <c r="AI67">
        <v>1</v>
      </c>
      <c r="AJ67" s="9"/>
      <c r="AK67" t="s">
        <v>74</v>
      </c>
      <c r="AM67"/>
      <c r="AN67" t="s">
        <v>74</v>
      </c>
      <c r="AO67" t="s">
        <v>74</v>
      </c>
      <c r="AP67"/>
      <c r="AQ67" t="s">
        <v>74</v>
      </c>
      <c r="AR67" s="18" t="str">
        <f>IFERROR(VLOOKUP(K67,[1]POP!$F:$J,1,0),M67)</f>
        <v>MADA</v>
      </c>
      <c r="AS67" s="18" t="str">
        <f t="shared" si="6"/>
        <v>BARGARAM</v>
      </c>
      <c r="AT67" s="19">
        <f t="shared" si="4"/>
        <v>2</v>
      </c>
      <c r="AU67" s="19">
        <f t="shared" ref="AU67:AU130" ca="1" si="8">IF((TODAY() - R67)&lt;=21,1,2)</f>
        <v>2</v>
      </c>
    </row>
    <row r="68" spans="1:47" x14ac:dyDescent="0.3">
      <c r="A68" t="s">
        <v>193</v>
      </c>
      <c r="B68" t="str">
        <f t="shared" si="5"/>
        <v>S26_2026</v>
      </c>
      <c r="C68" t="str">
        <f t="shared" si="7"/>
        <v>S26_2026</v>
      </c>
      <c r="F68">
        <v>21</v>
      </c>
      <c r="G68" t="s">
        <v>55</v>
      </c>
      <c r="H68" t="s">
        <v>79</v>
      </c>
      <c r="I68" t="s">
        <v>166</v>
      </c>
      <c r="J68" t="s">
        <v>166</v>
      </c>
      <c r="K68" t="s">
        <v>124</v>
      </c>
      <c r="L68" t="s">
        <v>166</v>
      </c>
      <c r="M68" t="s">
        <v>124</v>
      </c>
      <c r="N68" t="s">
        <v>45</v>
      </c>
      <c r="O68" t="s">
        <v>117</v>
      </c>
      <c r="P68">
        <v>3</v>
      </c>
      <c r="Q68" s="7">
        <v>46199</v>
      </c>
      <c r="R68" s="7">
        <v>46199</v>
      </c>
      <c r="S68" s="7">
        <v>46199</v>
      </c>
      <c r="T68" t="s">
        <v>45</v>
      </c>
      <c r="V68" t="s">
        <v>167</v>
      </c>
      <c r="W68" t="s">
        <v>45</v>
      </c>
      <c r="X68" t="s">
        <v>45</v>
      </c>
      <c r="Y68" t="s">
        <v>45</v>
      </c>
      <c r="Z68" t="s">
        <v>74</v>
      </c>
      <c r="AF68">
        <v>2</v>
      </c>
      <c r="AH68" t="s">
        <v>75</v>
      </c>
      <c r="AI68">
        <v>1</v>
      </c>
      <c r="AJ68" s="9"/>
      <c r="AK68" t="s">
        <v>74</v>
      </c>
      <c r="AM68"/>
      <c r="AN68" t="s">
        <v>74</v>
      </c>
      <c r="AO68" t="s">
        <v>74</v>
      </c>
      <c r="AP68"/>
      <c r="AQ68" t="s">
        <v>74</v>
      </c>
      <c r="AR68" s="18" t="str">
        <f>IFERROR(VLOOKUP(K68,[1]POP!$F:$J,1,0),M68)</f>
        <v>MADA</v>
      </c>
      <c r="AS68" s="18" t="str">
        <f t="shared" si="6"/>
        <v>BARGARAM</v>
      </c>
      <c r="AT68" s="19">
        <f t="shared" ref="AT68:AT131" si="9">IF($AI:$AI=2,3,IF($AI:$AI=3,3,IF($AI:$AI=4,3,IF($AI:$AI=1,2,0))))</f>
        <v>2</v>
      </c>
      <c r="AU68" s="19">
        <f t="shared" ca="1" si="8"/>
        <v>2</v>
      </c>
    </row>
    <row r="69" spans="1:47" x14ac:dyDescent="0.3">
      <c r="A69" t="s">
        <v>194</v>
      </c>
      <c r="B69" t="str">
        <f t="shared" si="5"/>
        <v>S26_2026</v>
      </c>
      <c r="C69" t="str">
        <f t="shared" si="7"/>
        <v>S26_2026</v>
      </c>
      <c r="F69">
        <v>30</v>
      </c>
      <c r="G69" t="s">
        <v>40</v>
      </c>
      <c r="H69" t="s">
        <v>77</v>
      </c>
      <c r="I69" t="s">
        <v>166</v>
      </c>
      <c r="J69" t="s">
        <v>166</v>
      </c>
      <c r="K69" t="s">
        <v>124</v>
      </c>
      <c r="L69" t="s">
        <v>166</v>
      </c>
      <c r="M69" t="s">
        <v>124</v>
      </c>
      <c r="N69" t="s">
        <v>45</v>
      </c>
      <c r="O69" t="s">
        <v>117</v>
      </c>
      <c r="P69">
        <v>3</v>
      </c>
      <c r="Q69" s="7">
        <v>46199</v>
      </c>
      <c r="R69" s="7">
        <v>46199</v>
      </c>
      <c r="S69" s="7">
        <v>46199</v>
      </c>
      <c r="T69" t="s">
        <v>45</v>
      </c>
      <c r="V69" t="s">
        <v>167</v>
      </c>
      <c r="W69" t="s">
        <v>45</v>
      </c>
      <c r="X69" t="s">
        <v>45</v>
      </c>
      <c r="Y69" t="s">
        <v>45</v>
      </c>
      <c r="Z69" t="s">
        <v>74</v>
      </c>
      <c r="AB69" t="s">
        <v>48</v>
      </c>
      <c r="AF69">
        <v>2</v>
      </c>
      <c r="AH69" t="s">
        <v>75</v>
      </c>
      <c r="AI69">
        <v>1</v>
      </c>
      <c r="AJ69" s="9"/>
      <c r="AK69" t="s">
        <v>74</v>
      </c>
      <c r="AM69"/>
      <c r="AN69" t="s">
        <v>74</v>
      </c>
      <c r="AO69" t="s">
        <v>74</v>
      </c>
      <c r="AP69"/>
      <c r="AQ69" t="s">
        <v>74</v>
      </c>
      <c r="AR69" s="18" t="str">
        <f>IFERROR(VLOOKUP(K69,[1]POP!$F:$J,1,0),M69)</f>
        <v>MADA</v>
      </c>
      <c r="AS69" s="18" t="str">
        <f t="shared" si="6"/>
        <v>BARGARAM</v>
      </c>
      <c r="AT69" s="19">
        <f t="shared" si="9"/>
        <v>2</v>
      </c>
      <c r="AU69" s="19">
        <f t="shared" ca="1" si="8"/>
        <v>2</v>
      </c>
    </row>
    <row r="70" spans="1:47" x14ac:dyDescent="0.3">
      <c r="A70" t="s">
        <v>195</v>
      </c>
      <c r="B70" t="str">
        <f t="shared" si="5"/>
        <v>S26_2026</v>
      </c>
      <c r="C70" t="str">
        <f t="shared" si="7"/>
        <v>S26_2026</v>
      </c>
      <c r="F70">
        <v>6</v>
      </c>
      <c r="G70" t="s">
        <v>40</v>
      </c>
      <c r="I70" t="s">
        <v>166</v>
      </c>
      <c r="J70" t="s">
        <v>166</v>
      </c>
      <c r="K70" t="s">
        <v>124</v>
      </c>
      <c r="L70" t="s">
        <v>166</v>
      </c>
      <c r="M70" t="s">
        <v>124</v>
      </c>
      <c r="N70" t="s">
        <v>45</v>
      </c>
      <c r="O70" t="s">
        <v>117</v>
      </c>
      <c r="P70">
        <v>3</v>
      </c>
      <c r="Q70" s="7">
        <v>46199</v>
      </c>
      <c r="R70" s="7">
        <v>46199</v>
      </c>
      <c r="S70" s="7">
        <v>46199</v>
      </c>
      <c r="T70" t="s">
        <v>45</v>
      </c>
      <c r="V70" t="s">
        <v>167</v>
      </c>
      <c r="W70" t="s">
        <v>45</v>
      </c>
      <c r="X70" t="s">
        <v>45</v>
      </c>
      <c r="Y70" t="s">
        <v>45</v>
      </c>
      <c r="Z70" t="s">
        <v>74</v>
      </c>
      <c r="AF70">
        <v>2</v>
      </c>
      <c r="AH70" t="s">
        <v>75</v>
      </c>
      <c r="AI70">
        <v>1</v>
      </c>
      <c r="AJ70" s="9"/>
      <c r="AK70" t="s">
        <v>74</v>
      </c>
      <c r="AM70"/>
      <c r="AN70" t="s">
        <v>74</v>
      </c>
      <c r="AO70" t="s">
        <v>74</v>
      </c>
      <c r="AP70"/>
      <c r="AQ70" t="s">
        <v>74</v>
      </c>
      <c r="AR70" s="18" t="str">
        <f>IFERROR(VLOOKUP(K70,[1]POP!$F:$J,1,0),M70)</f>
        <v>MADA</v>
      </c>
      <c r="AS70" s="18" t="str">
        <f t="shared" si="6"/>
        <v>BARGARAM</v>
      </c>
      <c r="AT70" s="19">
        <f t="shared" si="9"/>
        <v>2</v>
      </c>
      <c r="AU70" s="19">
        <f t="shared" ca="1" si="8"/>
        <v>2</v>
      </c>
    </row>
    <row r="71" spans="1:47" x14ac:dyDescent="0.3">
      <c r="A71" t="s">
        <v>196</v>
      </c>
      <c r="B71" t="str">
        <f t="shared" si="5"/>
        <v>S26_2026</v>
      </c>
      <c r="C71" t="str">
        <f t="shared" si="7"/>
        <v>S26_2026</v>
      </c>
      <c r="F71">
        <v>11</v>
      </c>
      <c r="G71" t="s">
        <v>40</v>
      </c>
      <c r="I71" t="s">
        <v>166</v>
      </c>
      <c r="J71" t="s">
        <v>166</v>
      </c>
      <c r="K71" t="s">
        <v>124</v>
      </c>
      <c r="L71" t="s">
        <v>166</v>
      </c>
      <c r="M71" t="s">
        <v>124</v>
      </c>
      <c r="N71" t="s">
        <v>45</v>
      </c>
      <c r="O71" t="s">
        <v>117</v>
      </c>
      <c r="P71">
        <v>3</v>
      </c>
      <c r="Q71" s="7">
        <v>46199</v>
      </c>
      <c r="R71" s="7">
        <v>46199</v>
      </c>
      <c r="S71" s="7">
        <v>46199</v>
      </c>
      <c r="T71" t="s">
        <v>45</v>
      </c>
      <c r="V71" t="s">
        <v>167</v>
      </c>
      <c r="W71" t="s">
        <v>45</v>
      </c>
      <c r="X71" t="s">
        <v>45</v>
      </c>
      <c r="Y71" t="s">
        <v>45</v>
      </c>
      <c r="Z71" t="s">
        <v>74</v>
      </c>
      <c r="AF71">
        <v>2</v>
      </c>
      <c r="AH71" t="s">
        <v>75</v>
      </c>
      <c r="AI71">
        <v>1</v>
      </c>
      <c r="AJ71" s="9"/>
      <c r="AK71" t="s">
        <v>74</v>
      </c>
      <c r="AM71"/>
      <c r="AN71" t="s">
        <v>74</v>
      </c>
      <c r="AO71" t="s">
        <v>74</v>
      </c>
      <c r="AP71"/>
      <c r="AQ71" t="s">
        <v>74</v>
      </c>
      <c r="AR71" s="18" t="str">
        <f>IFERROR(VLOOKUP(K71,[1]POP!$F:$J,1,0),M71)</f>
        <v>MADA</v>
      </c>
      <c r="AS71" s="18" t="str">
        <f t="shared" si="6"/>
        <v>BARGARAM</v>
      </c>
      <c r="AT71" s="19">
        <f t="shared" si="9"/>
        <v>2</v>
      </c>
      <c r="AU71" s="19">
        <f t="shared" ca="1" si="8"/>
        <v>2</v>
      </c>
    </row>
    <row r="72" spans="1:47" x14ac:dyDescent="0.3">
      <c r="A72" t="s">
        <v>197</v>
      </c>
      <c r="B72" t="str">
        <f t="shared" si="5"/>
        <v>S26_2026</v>
      </c>
      <c r="C72" t="str">
        <f t="shared" si="7"/>
        <v>S26_2026</v>
      </c>
      <c r="F72">
        <v>12</v>
      </c>
      <c r="G72" t="s">
        <v>55</v>
      </c>
      <c r="I72" t="s">
        <v>166</v>
      </c>
      <c r="J72" t="s">
        <v>166</v>
      </c>
      <c r="K72" t="s">
        <v>124</v>
      </c>
      <c r="L72" t="s">
        <v>166</v>
      </c>
      <c r="M72" t="s">
        <v>124</v>
      </c>
      <c r="N72" t="s">
        <v>45</v>
      </c>
      <c r="O72" t="s">
        <v>117</v>
      </c>
      <c r="P72">
        <v>3</v>
      </c>
      <c r="Q72" s="7">
        <v>46199</v>
      </c>
      <c r="R72" s="7">
        <v>46199</v>
      </c>
      <c r="S72" s="7">
        <v>46199</v>
      </c>
      <c r="T72" t="s">
        <v>45</v>
      </c>
      <c r="V72" t="s">
        <v>167</v>
      </c>
      <c r="W72" t="s">
        <v>45</v>
      </c>
      <c r="X72" t="s">
        <v>45</v>
      </c>
      <c r="Y72" t="s">
        <v>45</v>
      </c>
      <c r="Z72" t="s">
        <v>74</v>
      </c>
      <c r="AA72" s="7">
        <v>46199</v>
      </c>
      <c r="AB72" t="s">
        <v>48</v>
      </c>
      <c r="AC72" t="s">
        <v>45</v>
      </c>
      <c r="AD72" t="s">
        <v>48</v>
      </c>
      <c r="AF72">
        <v>2</v>
      </c>
      <c r="AH72" t="s">
        <v>75</v>
      </c>
      <c r="AI72">
        <v>1</v>
      </c>
      <c r="AJ72" s="9"/>
      <c r="AK72" t="s">
        <v>74</v>
      </c>
      <c r="AM72"/>
      <c r="AN72" t="s">
        <v>74</v>
      </c>
      <c r="AO72" t="s">
        <v>74</v>
      </c>
      <c r="AP72"/>
      <c r="AQ72" t="s">
        <v>74</v>
      </c>
      <c r="AR72" s="18" t="str">
        <f>IFERROR(VLOOKUP(K72,[1]POP!$F:$J,1,0),M72)</f>
        <v>MADA</v>
      </c>
      <c r="AS72" s="18" t="str">
        <f t="shared" si="6"/>
        <v>BARGARAM</v>
      </c>
      <c r="AT72" s="19">
        <f t="shared" si="9"/>
        <v>2</v>
      </c>
      <c r="AU72" s="19">
        <f t="shared" ca="1" si="8"/>
        <v>2</v>
      </c>
    </row>
    <row r="73" spans="1:47" x14ac:dyDescent="0.3">
      <c r="A73" t="s">
        <v>198</v>
      </c>
      <c r="B73" t="str">
        <f t="shared" si="5"/>
        <v>S26_2026</v>
      </c>
      <c r="C73" t="str">
        <f t="shared" si="7"/>
        <v>S26_2026</v>
      </c>
      <c r="F73">
        <v>6</v>
      </c>
      <c r="G73" t="s">
        <v>55</v>
      </c>
      <c r="I73" t="s">
        <v>166</v>
      </c>
      <c r="J73" t="s">
        <v>166</v>
      </c>
      <c r="K73" t="s">
        <v>124</v>
      </c>
      <c r="L73" t="s">
        <v>166</v>
      </c>
      <c r="M73" t="s">
        <v>124</v>
      </c>
      <c r="N73" t="s">
        <v>45</v>
      </c>
      <c r="O73" t="s">
        <v>74</v>
      </c>
      <c r="P73">
        <v>2</v>
      </c>
      <c r="Q73" s="7">
        <v>46199</v>
      </c>
      <c r="R73" s="7">
        <v>46199</v>
      </c>
      <c r="S73" s="7">
        <v>46199</v>
      </c>
      <c r="T73" t="s">
        <v>45</v>
      </c>
      <c r="V73" t="s">
        <v>167</v>
      </c>
      <c r="W73" t="s">
        <v>45</v>
      </c>
      <c r="X73" t="s">
        <v>45</v>
      </c>
      <c r="Y73" t="s">
        <v>74</v>
      </c>
      <c r="Z73" t="s">
        <v>74</v>
      </c>
      <c r="AF73">
        <v>2</v>
      </c>
      <c r="AH73" t="s">
        <v>75</v>
      </c>
      <c r="AI73">
        <v>1</v>
      </c>
      <c r="AJ73" s="9"/>
      <c r="AK73" t="s">
        <v>74</v>
      </c>
      <c r="AM73"/>
      <c r="AN73" t="s">
        <v>74</v>
      </c>
      <c r="AO73" t="s">
        <v>74</v>
      </c>
      <c r="AP73"/>
      <c r="AQ73" t="s">
        <v>74</v>
      </c>
      <c r="AR73" s="18" t="str">
        <f>IFERROR(VLOOKUP(K73,[1]POP!$F:$J,1,0),M73)</f>
        <v>MADA</v>
      </c>
      <c r="AS73" s="18" t="str">
        <f t="shared" si="6"/>
        <v>BARGARAM</v>
      </c>
      <c r="AT73" s="19">
        <f t="shared" si="9"/>
        <v>2</v>
      </c>
      <c r="AU73" s="19">
        <f t="shared" ca="1" si="8"/>
        <v>2</v>
      </c>
    </row>
    <row r="74" spans="1:47" x14ac:dyDescent="0.3">
      <c r="A74" t="s">
        <v>199</v>
      </c>
      <c r="B74" t="str">
        <f t="shared" si="5"/>
        <v>S26_2026</v>
      </c>
      <c r="C74" t="str">
        <f t="shared" si="7"/>
        <v>S26_2026</v>
      </c>
      <c r="F74">
        <v>31</v>
      </c>
      <c r="G74" t="s">
        <v>55</v>
      </c>
      <c r="H74" t="s">
        <v>70</v>
      </c>
      <c r="I74" t="s">
        <v>178</v>
      </c>
      <c r="J74" t="s">
        <v>173</v>
      </c>
      <c r="K74" t="s">
        <v>124</v>
      </c>
      <c r="L74" t="s">
        <v>174</v>
      </c>
      <c r="M74" t="s">
        <v>124</v>
      </c>
      <c r="N74" t="s">
        <v>45</v>
      </c>
      <c r="O74" t="s">
        <v>45</v>
      </c>
      <c r="P74">
        <v>2</v>
      </c>
      <c r="Q74" s="7">
        <v>46199</v>
      </c>
      <c r="R74" s="7">
        <v>46199</v>
      </c>
      <c r="S74" s="7">
        <v>46199</v>
      </c>
      <c r="T74" t="s">
        <v>46</v>
      </c>
      <c r="V74" t="s">
        <v>175</v>
      </c>
      <c r="W74" t="s">
        <v>46</v>
      </c>
      <c r="X74" t="s">
        <v>45</v>
      </c>
      <c r="Y74" t="s">
        <v>46</v>
      </c>
      <c r="Z74" t="s">
        <v>150</v>
      </c>
      <c r="AF74">
        <v>2</v>
      </c>
      <c r="AH74" t="s">
        <v>75</v>
      </c>
      <c r="AI74">
        <v>1</v>
      </c>
      <c r="AJ74" s="9"/>
      <c r="AK74" t="s">
        <v>74</v>
      </c>
      <c r="AM74"/>
      <c r="AN74" t="s">
        <v>74</v>
      </c>
      <c r="AO74" t="s">
        <v>74</v>
      </c>
      <c r="AP74"/>
      <c r="AQ74" t="s">
        <v>74</v>
      </c>
      <c r="AR74" s="18" t="str">
        <f>IFERROR(VLOOKUP(K74,[1]POP!$F:$J,1,0),M74)</f>
        <v>MADA</v>
      </c>
      <c r="AS74" s="18" t="str">
        <f t="shared" si="6"/>
        <v>TCHIKA</v>
      </c>
      <c r="AT74" s="19">
        <f t="shared" si="9"/>
        <v>2</v>
      </c>
      <c r="AU74" s="19">
        <f t="shared" ca="1" si="8"/>
        <v>2</v>
      </c>
    </row>
    <row r="75" spans="1:47" x14ac:dyDescent="0.3">
      <c r="A75" t="s">
        <v>200</v>
      </c>
      <c r="B75" t="str">
        <f t="shared" si="5"/>
        <v>S26_2026</v>
      </c>
      <c r="C75" t="str">
        <f t="shared" si="7"/>
        <v>S26_2026</v>
      </c>
      <c r="F75">
        <v>27</v>
      </c>
      <c r="G75" t="s">
        <v>55</v>
      </c>
      <c r="H75" t="s">
        <v>70</v>
      </c>
      <c r="I75" t="s">
        <v>178</v>
      </c>
      <c r="J75" t="s">
        <v>173</v>
      </c>
      <c r="K75" t="s">
        <v>124</v>
      </c>
      <c r="L75" t="s">
        <v>174</v>
      </c>
      <c r="M75" t="s">
        <v>124</v>
      </c>
      <c r="N75" t="s">
        <v>45</v>
      </c>
      <c r="O75" t="s">
        <v>45</v>
      </c>
      <c r="P75">
        <v>2</v>
      </c>
      <c r="Q75" s="7">
        <v>46199</v>
      </c>
      <c r="R75" s="7">
        <v>46199</v>
      </c>
      <c r="S75" s="7">
        <v>46199</v>
      </c>
      <c r="T75" t="s">
        <v>46</v>
      </c>
      <c r="V75" t="s">
        <v>175</v>
      </c>
      <c r="W75" t="s">
        <v>46</v>
      </c>
      <c r="X75" t="s">
        <v>45</v>
      </c>
      <c r="Y75" t="s">
        <v>46</v>
      </c>
      <c r="Z75" t="s">
        <v>150</v>
      </c>
      <c r="AF75">
        <v>2</v>
      </c>
      <c r="AH75" t="s">
        <v>75</v>
      </c>
      <c r="AI75">
        <v>1</v>
      </c>
      <c r="AJ75" s="9"/>
      <c r="AK75" t="s">
        <v>74</v>
      </c>
      <c r="AM75"/>
      <c r="AN75" t="s">
        <v>74</v>
      </c>
      <c r="AO75" t="s">
        <v>74</v>
      </c>
      <c r="AP75"/>
      <c r="AQ75" t="s">
        <v>74</v>
      </c>
      <c r="AR75" s="18" t="str">
        <f>IFERROR(VLOOKUP(K75,[1]POP!$F:$J,1,0),M75)</f>
        <v>MADA</v>
      </c>
      <c r="AS75" s="18" t="str">
        <f t="shared" si="6"/>
        <v>TCHIKA</v>
      </c>
      <c r="AT75" s="19">
        <f t="shared" si="9"/>
        <v>2</v>
      </c>
      <c r="AU75" s="19">
        <f t="shared" ca="1" si="8"/>
        <v>2</v>
      </c>
    </row>
    <row r="76" spans="1:47" x14ac:dyDescent="0.3">
      <c r="A76" t="s">
        <v>201</v>
      </c>
      <c r="B76" t="str">
        <f t="shared" si="5"/>
        <v>S26_2026</v>
      </c>
      <c r="C76" t="str">
        <f t="shared" si="7"/>
        <v>S26_2026</v>
      </c>
      <c r="F76">
        <v>1</v>
      </c>
      <c r="G76" t="s">
        <v>55</v>
      </c>
      <c r="I76" t="s">
        <v>166</v>
      </c>
      <c r="J76" t="s">
        <v>166</v>
      </c>
      <c r="K76" t="s">
        <v>124</v>
      </c>
      <c r="L76" t="s">
        <v>166</v>
      </c>
      <c r="M76" t="s">
        <v>124</v>
      </c>
      <c r="N76" t="s">
        <v>45</v>
      </c>
      <c r="O76" t="s">
        <v>45</v>
      </c>
      <c r="P76">
        <v>2</v>
      </c>
      <c r="Q76" s="7">
        <v>46199</v>
      </c>
      <c r="R76" s="7">
        <v>46199</v>
      </c>
      <c r="S76" s="7">
        <v>46199</v>
      </c>
      <c r="T76" t="s">
        <v>46</v>
      </c>
      <c r="V76" t="s">
        <v>167</v>
      </c>
      <c r="W76" t="s">
        <v>45</v>
      </c>
      <c r="X76" t="s">
        <v>45</v>
      </c>
      <c r="Y76" t="s">
        <v>45</v>
      </c>
      <c r="Z76" t="s">
        <v>74</v>
      </c>
      <c r="AF76">
        <v>2</v>
      </c>
      <c r="AH76" t="s">
        <v>75</v>
      </c>
      <c r="AI76">
        <v>1</v>
      </c>
      <c r="AJ76" s="9"/>
      <c r="AK76" t="s">
        <v>74</v>
      </c>
      <c r="AM76"/>
      <c r="AN76" t="s">
        <v>74</v>
      </c>
      <c r="AO76" t="s">
        <v>74</v>
      </c>
      <c r="AP76"/>
      <c r="AQ76" t="s">
        <v>74</v>
      </c>
      <c r="AR76" s="18" t="str">
        <f>IFERROR(VLOOKUP(K76,[1]POP!$F:$J,1,0),M76)</f>
        <v>MADA</v>
      </c>
      <c r="AS76" s="18" t="str">
        <f t="shared" si="6"/>
        <v>BARGARAM</v>
      </c>
      <c r="AT76" s="19">
        <f t="shared" si="9"/>
        <v>2</v>
      </c>
      <c r="AU76" s="19">
        <f t="shared" ca="1" si="8"/>
        <v>2</v>
      </c>
    </row>
    <row r="77" spans="1:47" x14ac:dyDescent="0.3">
      <c r="A77" t="s">
        <v>202</v>
      </c>
      <c r="B77" t="str">
        <f t="shared" si="5"/>
        <v>S26_2026</v>
      </c>
      <c r="C77" t="str">
        <f t="shared" si="7"/>
        <v>S26_2026</v>
      </c>
      <c r="F77">
        <v>1.6</v>
      </c>
      <c r="G77" t="s">
        <v>55</v>
      </c>
      <c r="I77" t="s">
        <v>166</v>
      </c>
      <c r="J77" t="s">
        <v>166</v>
      </c>
      <c r="K77" t="s">
        <v>124</v>
      </c>
      <c r="L77" t="s">
        <v>166</v>
      </c>
      <c r="M77" t="s">
        <v>124</v>
      </c>
      <c r="N77" t="s">
        <v>45</v>
      </c>
      <c r="O77" t="s">
        <v>45</v>
      </c>
      <c r="P77">
        <v>2</v>
      </c>
      <c r="Q77" s="7">
        <v>46199</v>
      </c>
      <c r="R77" s="7">
        <v>46199</v>
      </c>
      <c r="S77" s="7">
        <v>46199</v>
      </c>
      <c r="T77" t="s">
        <v>46</v>
      </c>
      <c r="V77" t="s">
        <v>167</v>
      </c>
      <c r="W77" t="s">
        <v>45</v>
      </c>
      <c r="X77" t="s">
        <v>45</v>
      </c>
      <c r="Y77" t="s">
        <v>45</v>
      </c>
      <c r="Z77" t="s">
        <v>74</v>
      </c>
      <c r="AF77">
        <v>2</v>
      </c>
      <c r="AH77" t="s">
        <v>75</v>
      </c>
      <c r="AI77">
        <v>1</v>
      </c>
      <c r="AJ77" s="9"/>
      <c r="AK77" t="s">
        <v>74</v>
      </c>
      <c r="AM77"/>
      <c r="AN77" t="s">
        <v>74</v>
      </c>
      <c r="AO77" t="s">
        <v>74</v>
      </c>
      <c r="AP77"/>
      <c r="AQ77" t="s">
        <v>74</v>
      </c>
      <c r="AR77" s="18" t="str">
        <f>IFERROR(VLOOKUP(K77,[1]POP!$F:$J,1,0),M77)</f>
        <v>MADA</v>
      </c>
      <c r="AS77" s="18" t="str">
        <f t="shared" si="6"/>
        <v>BARGARAM</v>
      </c>
      <c r="AT77" s="19">
        <f t="shared" si="9"/>
        <v>2</v>
      </c>
      <c r="AU77" s="19">
        <f t="shared" ca="1" si="8"/>
        <v>2</v>
      </c>
    </row>
    <row r="78" spans="1:47" x14ac:dyDescent="0.3">
      <c r="A78" t="s">
        <v>203</v>
      </c>
      <c r="B78" t="str">
        <f t="shared" si="5"/>
        <v>S26_2026</v>
      </c>
      <c r="C78" t="str">
        <f t="shared" si="7"/>
        <v>S26_2026</v>
      </c>
      <c r="F78">
        <v>2</v>
      </c>
      <c r="G78" t="s">
        <v>55</v>
      </c>
      <c r="I78" t="s">
        <v>166</v>
      </c>
      <c r="J78" t="s">
        <v>166</v>
      </c>
      <c r="K78" t="s">
        <v>124</v>
      </c>
      <c r="L78" t="s">
        <v>166</v>
      </c>
      <c r="M78" t="s">
        <v>124</v>
      </c>
      <c r="N78" t="s">
        <v>45</v>
      </c>
      <c r="O78" t="s">
        <v>45</v>
      </c>
      <c r="P78">
        <v>2</v>
      </c>
      <c r="Q78" s="7">
        <v>46199</v>
      </c>
      <c r="R78" s="7">
        <v>46199</v>
      </c>
      <c r="S78" s="7">
        <v>46199</v>
      </c>
      <c r="T78" t="s">
        <v>46</v>
      </c>
      <c r="V78" t="s">
        <v>167</v>
      </c>
      <c r="W78" t="s">
        <v>45</v>
      </c>
      <c r="X78" t="s">
        <v>45</v>
      </c>
      <c r="Y78" t="s">
        <v>45</v>
      </c>
      <c r="Z78" t="s">
        <v>74</v>
      </c>
      <c r="AF78">
        <v>2</v>
      </c>
      <c r="AH78" t="s">
        <v>75</v>
      </c>
      <c r="AI78">
        <v>1</v>
      </c>
      <c r="AJ78" s="9"/>
      <c r="AK78" t="s">
        <v>74</v>
      </c>
      <c r="AM78"/>
      <c r="AN78" t="s">
        <v>74</v>
      </c>
      <c r="AO78" t="s">
        <v>74</v>
      </c>
      <c r="AP78"/>
      <c r="AQ78" t="s">
        <v>74</v>
      </c>
      <c r="AR78" s="18" t="str">
        <f>IFERROR(VLOOKUP(K78,[1]POP!$F:$J,1,0),M78)</f>
        <v>MADA</v>
      </c>
      <c r="AS78" s="18" t="str">
        <f t="shared" si="6"/>
        <v>BARGARAM</v>
      </c>
      <c r="AT78" s="19">
        <f t="shared" si="9"/>
        <v>2</v>
      </c>
      <c r="AU78" s="19">
        <f t="shared" ca="1" si="8"/>
        <v>2</v>
      </c>
    </row>
    <row r="79" spans="1:47" x14ac:dyDescent="0.3">
      <c r="A79" t="s">
        <v>204</v>
      </c>
      <c r="B79" t="str">
        <f t="shared" si="5"/>
        <v>S26_2026</v>
      </c>
      <c r="C79" t="str">
        <f t="shared" si="7"/>
        <v>S26_2026</v>
      </c>
      <c r="F79">
        <v>1</v>
      </c>
      <c r="G79" t="s">
        <v>55</v>
      </c>
      <c r="I79" t="s">
        <v>166</v>
      </c>
      <c r="J79" t="s">
        <v>166</v>
      </c>
      <c r="K79" t="s">
        <v>124</v>
      </c>
      <c r="L79" t="s">
        <v>166</v>
      </c>
      <c r="M79" t="s">
        <v>124</v>
      </c>
      <c r="N79" t="s">
        <v>45</v>
      </c>
      <c r="O79" t="s">
        <v>45</v>
      </c>
      <c r="P79">
        <v>2</v>
      </c>
      <c r="Q79" s="7">
        <v>46199</v>
      </c>
      <c r="R79" s="7">
        <v>46199</v>
      </c>
      <c r="S79" s="7">
        <v>46199</v>
      </c>
      <c r="T79" t="s">
        <v>46</v>
      </c>
      <c r="V79" t="s">
        <v>167</v>
      </c>
      <c r="W79" t="s">
        <v>45</v>
      </c>
      <c r="X79" t="s">
        <v>45</v>
      </c>
      <c r="Y79" t="s">
        <v>45</v>
      </c>
      <c r="Z79" t="s">
        <v>74</v>
      </c>
      <c r="AF79">
        <v>2</v>
      </c>
      <c r="AH79" t="s">
        <v>75</v>
      </c>
      <c r="AI79">
        <v>1</v>
      </c>
      <c r="AJ79" s="9"/>
      <c r="AK79" t="s">
        <v>74</v>
      </c>
      <c r="AM79"/>
      <c r="AN79" t="s">
        <v>74</v>
      </c>
      <c r="AO79" t="s">
        <v>74</v>
      </c>
      <c r="AP79"/>
      <c r="AQ79" t="s">
        <v>74</v>
      </c>
      <c r="AR79" s="18" t="str">
        <f>IFERROR(VLOOKUP(K79,[1]POP!$F:$J,1,0),M79)</f>
        <v>MADA</v>
      </c>
      <c r="AS79" s="18" t="str">
        <f t="shared" si="6"/>
        <v>BARGARAM</v>
      </c>
      <c r="AT79" s="19">
        <f t="shared" si="9"/>
        <v>2</v>
      </c>
      <c r="AU79" s="19">
        <f t="shared" ca="1" si="8"/>
        <v>2</v>
      </c>
    </row>
    <row r="80" spans="1:47" x14ac:dyDescent="0.3">
      <c r="A80" t="s">
        <v>205</v>
      </c>
      <c r="B80" t="str">
        <f t="shared" si="5"/>
        <v>S26_2026</v>
      </c>
      <c r="C80" t="str">
        <f t="shared" si="7"/>
        <v>S26_2026</v>
      </c>
      <c r="F80">
        <v>1</v>
      </c>
      <c r="G80" t="s">
        <v>40</v>
      </c>
      <c r="I80" t="s">
        <v>166</v>
      </c>
      <c r="J80" t="s">
        <v>166</v>
      </c>
      <c r="K80" t="s">
        <v>124</v>
      </c>
      <c r="L80" t="s">
        <v>166</v>
      </c>
      <c r="M80" t="s">
        <v>124</v>
      </c>
      <c r="N80" t="s">
        <v>45</v>
      </c>
      <c r="O80" t="s">
        <v>45</v>
      </c>
      <c r="P80">
        <v>2</v>
      </c>
      <c r="Q80" s="7">
        <v>46199</v>
      </c>
      <c r="R80" s="7">
        <v>46199</v>
      </c>
      <c r="S80" s="7">
        <v>46199</v>
      </c>
      <c r="T80" t="s">
        <v>46</v>
      </c>
      <c r="V80" t="s">
        <v>167</v>
      </c>
      <c r="W80" t="s">
        <v>45</v>
      </c>
      <c r="X80" t="s">
        <v>45</v>
      </c>
      <c r="Y80" t="s">
        <v>45</v>
      </c>
      <c r="Z80" t="s">
        <v>74</v>
      </c>
      <c r="AF80">
        <v>2</v>
      </c>
      <c r="AH80" t="s">
        <v>75</v>
      </c>
      <c r="AI80">
        <v>1</v>
      </c>
      <c r="AJ80" s="9"/>
      <c r="AK80" t="s">
        <v>74</v>
      </c>
      <c r="AM80"/>
      <c r="AN80" t="s">
        <v>74</v>
      </c>
      <c r="AO80" t="s">
        <v>74</v>
      </c>
      <c r="AP80"/>
      <c r="AQ80" t="s">
        <v>74</v>
      </c>
      <c r="AR80" s="18" t="str">
        <f>IFERROR(VLOOKUP(K80,[1]POP!$F:$J,1,0),M80)</f>
        <v>MADA</v>
      </c>
      <c r="AS80" s="18" t="str">
        <f t="shared" si="6"/>
        <v>BARGARAM</v>
      </c>
      <c r="AT80" s="19">
        <f t="shared" si="9"/>
        <v>2</v>
      </c>
      <c r="AU80" s="19">
        <f t="shared" ca="1" si="8"/>
        <v>2</v>
      </c>
    </row>
    <row r="81" spans="1:47" x14ac:dyDescent="0.3">
      <c r="A81" t="s">
        <v>206</v>
      </c>
      <c r="B81" t="str">
        <f t="shared" si="5"/>
        <v>S26_2026</v>
      </c>
      <c r="C81" t="str">
        <f t="shared" si="7"/>
        <v>S26_2026</v>
      </c>
      <c r="F81">
        <v>13</v>
      </c>
      <c r="G81" t="s">
        <v>55</v>
      </c>
      <c r="H81" t="s">
        <v>70</v>
      </c>
      <c r="I81" t="s">
        <v>178</v>
      </c>
      <c r="J81" t="s">
        <v>173</v>
      </c>
      <c r="K81" t="s">
        <v>124</v>
      </c>
      <c r="L81" t="s">
        <v>174</v>
      </c>
      <c r="M81" t="s">
        <v>124</v>
      </c>
      <c r="N81" t="s">
        <v>45</v>
      </c>
      <c r="O81" t="s">
        <v>45</v>
      </c>
      <c r="P81">
        <v>2</v>
      </c>
      <c r="Q81" s="7">
        <v>46199</v>
      </c>
      <c r="R81" s="7">
        <v>46199</v>
      </c>
      <c r="S81" s="7">
        <v>46199</v>
      </c>
      <c r="T81" t="s">
        <v>46</v>
      </c>
      <c r="V81" t="s">
        <v>175</v>
      </c>
      <c r="W81" t="s">
        <v>46</v>
      </c>
      <c r="X81" t="s">
        <v>45</v>
      </c>
      <c r="Y81" t="s">
        <v>46</v>
      </c>
      <c r="Z81" t="s">
        <v>150</v>
      </c>
      <c r="AF81">
        <v>2</v>
      </c>
      <c r="AH81" t="s">
        <v>75</v>
      </c>
      <c r="AI81">
        <v>1</v>
      </c>
      <c r="AJ81" s="9"/>
      <c r="AK81" t="s">
        <v>74</v>
      </c>
      <c r="AM81"/>
      <c r="AN81" t="s">
        <v>74</v>
      </c>
      <c r="AO81" t="s">
        <v>74</v>
      </c>
      <c r="AP81"/>
      <c r="AQ81" t="s">
        <v>74</v>
      </c>
      <c r="AR81" s="18" t="str">
        <f>IFERROR(VLOOKUP(K81,[1]POP!$F:$J,1,0),M81)</f>
        <v>MADA</v>
      </c>
      <c r="AS81" s="18" t="str">
        <f t="shared" si="6"/>
        <v>TCHIKA</v>
      </c>
      <c r="AT81" s="19">
        <f t="shared" si="9"/>
        <v>2</v>
      </c>
      <c r="AU81" s="19">
        <f t="shared" ca="1" si="8"/>
        <v>2</v>
      </c>
    </row>
    <row r="82" spans="1:47" x14ac:dyDescent="0.3">
      <c r="A82" t="s">
        <v>207</v>
      </c>
      <c r="B82" t="str">
        <f t="shared" si="5"/>
        <v>S26_2026</v>
      </c>
      <c r="C82" t="str">
        <f t="shared" si="7"/>
        <v>S26_2026</v>
      </c>
      <c r="F82">
        <v>21</v>
      </c>
      <c r="G82" t="s">
        <v>55</v>
      </c>
      <c r="H82" t="s">
        <v>70</v>
      </c>
      <c r="I82" t="s">
        <v>178</v>
      </c>
      <c r="J82" t="s">
        <v>173</v>
      </c>
      <c r="K82" t="s">
        <v>124</v>
      </c>
      <c r="L82" t="s">
        <v>174</v>
      </c>
      <c r="M82" t="s">
        <v>124</v>
      </c>
      <c r="N82" t="s">
        <v>45</v>
      </c>
      <c r="O82" t="s">
        <v>45</v>
      </c>
      <c r="P82">
        <v>2</v>
      </c>
      <c r="Q82" s="7">
        <v>46198</v>
      </c>
      <c r="R82" s="7">
        <v>46198</v>
      </c>
      <c r="S82" s="7">
        <v>46198</v>
      </c>
      <c r="T82" t="s">
        <v>46</v>
      </c>
      <c r="V82" t="s">
        <v>175</v>
      </c>
      <c r="W82" t="s">
        <v>46</v>
      </c>
      <c r="X82" t="s">
        <v>45</v>
      </c>
      <c r="Y82" t="s">
        <v>46</v>
      </c>
      <c r="Z82" t="s">
        <v>150</v>
      </c>
      <c r="AF82">
        <v>2</v>
      </c>
      <c r="AH82" t="s">
        <v>75</v>
      </c>
      <c r="AI82">
        <v>1</v>
      </c>
      <c r="AJ82" s="9"/>
      <c r="AK82" t="s">
        <v>74</v>
      </c>
      <c r="AM82"/>
      <c r="AN82" t="s">
        <v>74</v>
      </c>
      <c r="AO82" t="s">
        <v>74</v>
      </c>
      <c r="AP82"/>
      <c r="AQ82" t="s">
        <v>74</v>
      </c>
      <c r="AR82" s="18" t="str">
        <f>IFERROR(VLOOKUP(K82,[1]POP!$F:$J,1,0),M82)</f>
        <v>MADA</v>
      </c>
      <c r="AS82" s="18" t="str">
        <f t="shared" si="6"/>
        <v>TCHIKA</v>
      </c>
      <c r="AT82" s="19">
        <f t="shared" si="9"/>
        <v>2</v>
      </c>
      <c r="AU82" s="19">
        <f t="shared" ca="1" si="8"/>
        <v>2</v>
      </c>
    </row>
    <row r="83" spans="1:47" x14ac:dyDescent="0.3">
      <c r="A83" t="s">
        <v>208</v>
      </c>
      <c r="B83" t="str">
        <f t="shared" si="5"/>
        <v>S26_2026</v>
      </c>
      <c r="C83" t="str">
        <f t="shared" si="7"/>
        <v>S26_2026</v>
      </c>
      <c r="F83">
        <v>63</v>
      </c>
      <c r="G83" t="s">
        <v>55</v>
      </c>
      <c r="H83" t="s">
        <v>70</v>
      </c>
      <c r="I83" t="s">
        <v>178</v>
      </c>
      <c r="J83" t="s">
        <v>173</v>
      </c>
      <c r="K83" t="s">
        <v>124</v>
      </c>
      <c r="L83" t="s">
        <v>174</v>
      </c>
      <c r="M83" t="s">
        <v>124</v>
      </c>
      <c r="N83" t="s">
        <v>45</v>
      </c>
      <c r="O83" t="s">
        <v>74</v>
      </c>
      <c r="P83">
        <v>2</v>
      </c>
      <c r="Q83" s="7">
        <v>46199</v>
      </c>
      <c r="R83" s="7">
        <v>46199</v>
      </c>
      <c r="S83" s="7">
        <v>46199</v>
      </c>
      <c r="T83" t="s">
        <v>46</v>
      </c>
      <c r="V83" t="s">
        <v>175</v>
      </c>
      <c r="W83" t="s">
        <v>46</v>
      </c>
      <c r="X83" t="s">
        <v>45</v>
      </c>
      <c r="Y83" t="s">
        <v>46</v>
      </c>
      <c r="Z83" t="s">
        <v>150</v>
      </c>
      <c r="AF83">
        <v>2</v>
      </c>
      <c r="AH83" t="s">
        <v>75</v>
      </c>
      <c r="AI83">
        <v>1</v>
      </c>
      <c r="AJ83" s="9"/>
      <c r="AK83" t="s">
        <v>74</v>
      </c>
      <c r="AM83"/>
      <c r="AN83" t="s">
        <v>74</v>
      </c>
      <c r="AO83" t="s">
        <v>74</v>
      </c>
      <c r="AP83"/>
      <c r="AQ83" t="s">
        <v>74</v>
      </c>
      <c r="AR83" s="18" t="str">
        <f>IFERROR(VLOOKUP(K83,[1]POP!$F:$J,1,0),M83)</f>
        <v>MADA</v>
      </c>
      <c r="AS83" s="18" t="str">
        <f t="shared" si="6"/>
        <v>TCHIKA</v>
      </c>
      <c r="AT83" s="19">
        <f t="shared" si="9"/>
        <v>2</v>
      </c>
      <c r="AU83" s="19">
        <f t="shared" ca="1" si="8"/>
        <v>2</v>
      </c>
    </row>
    <row r="84" spans="1:47" x14ac:dyDescent="0.3">
      <c r="A84" t="s">
        <v>209</v>
      </c>
      <c r="B84" t="str">
        <f t="shared" si="5"/>
        <v>S26_2026</v>
      </c>
      <c r="C84" t="str">
        <f t="shared" si="7"/>
        <v>S26_2026</v>
      </c>
      <c r="F84">
        <v>18</v>
      </c>
      <c r="G84" t="s">
        <v>40</v>
      </c>
      <c r="I84" t="s">
        <v>166</v>
      </c>
      <c r="J84" t="s">
        <v>166</v>
      </c>
      <c r="K84" t="s">
        <v>124</v>
      </c>
      <c r="L84" t="s">
        <v>166</v>
      </c>
      <c r="M84" t="s">
        <v>124</v>
      </c>
      <c r="N84" t="s">
        <v>117</v>
      </c>
      <c r="O84" t="s">
        <v>117</v>
      </c>
      <c r="P84">
        <v>3</v>
      </c>
      <c r="Q84" s="7">
        <v>46200</v>
      </c>
      <c r="R84" s="7">
        <v>46200</v>
      </c>
      <c r="S84" s="7">
        <v>46200</v>
      </c>
      <c r="T84" t="s">
        <v>45</v>
      </c>
      <c r="V84" t="s">
        <v>167</v>
      </c>
      <c r="W84" t="s">
        <v>45</v>
      </c>
      <c r="X84" t="s">
        <v>45</v>
      </c>
      <c r="Y84" t="s">
        <v>74</v>
      </c>
      <c r="Z84" t="s">
        <v>74</v>
      </c>
      <c r="AB84" t="s">
        <v>48</v>
      </c>
      <c r="AF84">
        <v>2</v>
      </c>
      <c r="AH84" t="s">
        <v>75</v>
      </c>
      <c r="AI84">
        <v>1</v>
      </c>
      <c r="AJ84" s="9"/>
      <c r="AK84" t="s">
        <v>74</v>
      </c>
      <c r="AM84"/>
      <c r="AN84" t="s">
        <v>74</v>
      </c>
      <c r="AO84" t="s">
        <v>74</v>
      </c>
      <c r="AP84"/>
      <c r="AQ84" t="s">
        <v>74</v>
      </c>
      <c r="AR84" s="18" t="str">
        <f>IFERROR(VLOOKUP(K84,[1]POP!$F:$J,1,0),M84)</f>
        <v>MADA</v>
      </c>
      <c r="AS84" s="18" t="str">
        <f t="shared" si="6"/>
        <v>BARGARAM</v>
      </c>
      <c r="AT84" s="19">
        <f t="shared" si="9"/>
        <v>2</v>
      </c>
      <c r="AU84" s="19">
        <f t="shared" ca="1" si="8"/>
        <v>2</v>
      </c>
    </row>
    <row r="85" spans="1:47" x14ac:dyDescent="0.3">
      <c r="A85" t="s">
        <v>210</v>
      </c>
      <c r="B85" t="str">
        <f t="shared" si="5"/>
        <v>S26_2026</v>
      </c>
      <c r="C85" t="str">
        <f t="shared" si="7"/>
        <v>S26_2026</v>
      </c>
      <c r="F85">
        <v>9</v>
      </c>
      <c r="G85" t="s">
        <v>40</v>
      </c>
      <c r="I85" t="s">
        <v>166</v>
      </c>
      <c r="J85" t="s">
        <v>166</v>
      </c>
      <c r="K85" t="s">
        <v>124</v>
      </c>
      <c r="L85" t="s">
        <v>166</v>
      </c>
      <c r="M85" t="s">
        <v>124</v>
      </c>
      <c r="N85" t="s">
        <v>117</v>
      </c>
      <c r="O85" t="s">
        <v>211</v>
      </c>
      <c r="P85">
        <v>2</v>
      </c>
      <c r="Q85" s="7">
        <v>46200</v>
      </c>
      <c r="R85" s="7">
        <v>46200</v>
      </c>
      <c r="S85" s="7">
        <v>46200</v>
      </c>
      <c r="T85" t="s">
        <v>45</v>
      </c>
      <c r="V85" t="s">
        <v>167</v>
      </c>
      <c r="W85" t="s">
        <v>45</v>
      </c>
      <c r="X85" t="s">
        <v>45</v>
      </c>
      <c r="Y85" t="s">
        <v>45</v>
      </c>
      <c r="Z85" t="s">
        <v>74</v>
      </c>
      <c r="AF85">
        <v>2</v>
      </c>
      <c r="AH85" t="s">
        <v>75</v>
      </c>
      <c r="AI85">
        <v>1</v>
      </c>
      <c r="AJ85" s="9"/>
      <c r="AK85" t="s">
        <v>74</v>
      </c>
      <c r="AM85"/>
      <c r="AN85" t="s">
        <v>74</v>
      </c>
      <c r="AO85" t="s">
        <v>74</v>
      </c>
      <c r="AP85"/>
      <c r="AQ85" t="s">
        <v>74</v>
      </c>
      <c r="AR85" s="18" t="str">
        <f>IFERROR(VLOOKUP(K85,[1]POP!$F:$J,1,0),M85)</f>
        <v>MADA</v>
      </c>
      <c r="AS85" s="18" t="str">
        <f t="shared" si="6"/>
        <v>BARGARAM</v>
      </c>
      <c r="AT85" s="19">
        <f t="shared" si="9"/>
        <v>2</v>
      </c>
      <c r="AU85" s="19">
        <f t="shared" ca="1" si="8"/>
        <v>2</v>
      </c>
    </row>
    <row r="86" spans="1:47" x14ac:dyDescent="0.3">
      <c r="A86" t="s">
        <v>212</v>
      </c>
      <c r="B86" t="str">
        <f t="shared" si="5"/>
        <v>S26_2026</v>
      </c>
      <c r="C86" t="str">
        <f t="shared" si="7"/>
        <v>S26_2026</v>
      </c>
      <c r="F86">
        <v>20</v>
      </c>
      <c r="G86" t="s">
        <v>40</v>
      </c>
      <c r="I86" t="s">
        <v>166</v>
      </c>
      <c r="J86" t="s">
        <v>166</v>
      </c>
      <c r="K86" t="s">
        <v>124</v>
      </c>
      <c r="L86" t="s">
        <v>166</v>
      </c>
      <c r="M86" t="s">
        <v>124</v>
      </c>
      <c r="N86" t="s">
        <v>117</v>
      </c>
      <c r="O86" t="s">
        <v>117</v>
      </c>
      <c r="P86">
        <v>3</v>
      </c>
      <c r="Q86" s="7">
        <v>46200</v>
      </c>
      <c r="R86" s="7">
        <v>46200</v>
      </c>
      <c r="S86" s="7">
        <v>46200</v>
      </c>
      <c r="T86" t="s">
        <v>45</v>
      </c>
      <c r="V86" t="s">
        <v>167</v>
      </c>
      <c r="W86" t="s">
        <v>45</v>
      </c>
      <c r="X86" t="s">
        <v>45</v>
      </c>
      <c r="Y86" t="s">
        <v>74</v>
      </c>
      <c r="Z86" t="s">
        <v>45</v>
      </c>
      <c r="AF86">
        <v>2</v>
      </c>
      <c r="AH86" t="s">
        <v>75</v>
      </c>
      <c r="AI86">
        <v>1</v>
      </c>
      <c r="AJ86" s="9"/>
      <c r="AK86" t="s">
        <v>74</v>
      </c>
      <c r="AM86"/>
      <c r="AN86" t="s">
        <v>74</v>
      </c>
      <c r="AO86" t="s">
        <v>74</v>
      </c>
      <c r="AP86"/>
      <c r="AQ86" t="s">
        <v>74</v>
      </c>
      <c r="AR86" s="18" t="str">
        <f>IFERROR(VLOOKUP(K86,[1]POP!$F:$J,1,0),M86)</f>
        <v>MADA</v>
      </c>
      <c r="AS86" s="18" t="str">
        <f t="shared" si="6"/>
        <v>BARGARAM</v>
      </c>
      <c r="AT86" s="19">
        <f t="shared" si="9"/>
        <v>2</v>
      </c>
      <c r="AU86" s="19">
        <f t="shared" ca="1" si="8"/>
        <v>2</v>
      </c>
    </row>
    <row r="87" spans="1:47" x14ac:dyDescent="0.3">
      <c r="A87" t="s">
        <v>213</v>
      </c>
      <c r="B87" t="str">
        <f t="shared" si="5"/>
        <v>S26_2026</v>
      </c>
      <c r="C87" t="str">
        <f t="shared" si="7"/>
        <v>S26_2026</v>
      </c>
      <c r="F87">
        <v>7</v>
      </c>
      <c r="G87" t="s">
        <v>55</v>
      </c>
      <c r="I87" t="s">
        <v>166</v>
      </c>
      <c r="J87" t="s">
        <v>166</v>
      </c>
      <c r="K87" t="s">
        <v>124</v>
      </c>
      <c r="L87" t="s">
        <v>166</v>
      </c>
      <c r="M87" t="s">
        <v>124</v>
      </c>
      <c r="N87" t="s">
        <v>117</v>
      </c>
      <c r="O87" t="s">
        <v>117</v>
      </c>
      <c r="P87">
        <v>2</v>
      </c>
      <c r="Q87" s="7">
        <v>46200</v>
      </c>
      <c r="R87" s="7">
        <v>46200</v>
      </c>
      <c r="S87" s="7">
        <v>46200</v>
      </c>
      <c r="T87" t="s">
        <v>45</v>
      </c>
      <c r="V87" t="s">
        <v>167</v>
      </c>
      <c r="W87" t="s">
        <v>45</v>
      </c>
      <c r="X87" t="s">
        <v>45</v>
      </c>
      <c r="Y87" t="s">
        <v>45</v>
      </c>
      <c r="Z87" t="s">
        <v>74</v>
      </c>
      <c r="AF87">
        <v>2</v>
      </c>
      <c r="AH87" t="s">
        <v>75</v>
      </c>
      <c r="AI87">
        <v>1</v>
      </c>
      <c r="AJ87" s="9"/>
      <c r="AK87" t="s">
        <v>74</v>
      </c>
      <c r="AM87"/>
      <c r="AN87" t="s">
        <v>74</v>
      </c>
      <c r="AO87" t="s">
        <v>74</v>
      </c>
      <c r="AP87"/>
      <c r="AQ87" t="s">
        <v>74</v>
      </c>
      <c r="AR87" s="18" t="str">
        <f>IFERROR(VLOOKUP(K87,[1]POP!$F:$J,1,0),M87)</f>
        <v>MADA</v>
      </c>
      <c r="AS87" s="18" t="str">
        <f t="shared" si="6"/>
        <v>BARGARAM</v>
      </c>
      <c r="AT87" s="19">
        <f t="shared" si="9"/>
        <v>2</v>
      </c>
      <c r="AU87" s="19">
        <f t="shared" ca="1" si="8"/>
        <v>2</v>
      </c>
    </row>
    <row r="88" spans="1:47" x14ac:dyDescent="0.3">
      <c r="A88" t="s">
        <v>214</v>
      </c>
      <c r="B88" t="str">
        <f t="shared" si="5"/>
        <v>S26_2026</v>
      </c>
      <c r="C88" t="str">
        <f t="shared" si="7"/>
        <v>S26_2026</v>
      </c>
      <c r="F88">
        <v>18</v>
      </c>
      <c r="G88" t="s">
        <v>40</v>
      </c>
      <c r="I88" t="s">
        <v>166</v>
      </c>
      <c r="J88" t="s">
        <v>166</v>
      </c>
      <c r="K88" t="s">
        <v>124</v>
      </c>
      <c r="L88" t="s">
        <v>166</v>
      </c>
      <c r="M88" t="s">
        <v>124</v>
      </c>
      <c r="N88" t="s">
        <v>117</v>
      </c>
      <c r="O88" t="s">
        <v>117</v>
      </c>
      <c r="P88">
        <v>2</v>
      </c>
      <c r="Q88" s="7">
        <v>46200</v>
      </c>
      <c r="R88" s="7">
        <v>46200</v>
      </c>
      <c r="S88" s="7">
        <v>46200</v>
      </c>
      <c r="T88" t="s">
        <v>45</v>
      </c>
      <c r="V88" t="s">
        <v>167</v>
      </c>
      <c r="W88" t="s">
        <v>45</v>
      </c>
      <c r="X88" t="s">
        <v>45</v>
      </c>
      <c r="Y88" t="s">
        <v>45</v>
      </c>
      <c r="Z88" t="s">
        <v>74</v>
      </c>
      <c r="AF88">
        <v>2</v>
      </c>
      <c r="AH88" t="s">
        <v>75</v>
      </c>
      <c r="AI88">
        <v>1</v>
      </c>
      <c r="AJ88" s="9"/>
      <c r="AK88" t="s">
        <v>74</v>
      </c>
      <c r="AM88"/>
      <c r="AN88" t="s">
        <v>74</v>
      </c>
      <c r="AO88" t="s">
        <v>74</v>
      </c>
      <c r="AP88"/>
      <c r="AQ88" t="s">
        <v>74</v>
      </c>
      <c r="AR88" s="18" t="str">
        <f>IFERROR(VLOOKUP(K88,[1]POP!$F:$J,1,0),M88)</f>
        <v>MADA</v>
      </c>
      <c r="AS88" s="18" t="str">
        <f t="shared" si="6"/>
        <v>BARGARAM</v>
      </c>
      <c r="AT88" s="19">
        <f t="shared" si="9"/>
        <v>2</v>
      </c>
      <c r="AU88" s="19">
        <f t="shared" ca="1" si="8"/>
        <v>2</v>
      </c>
    </row>
    <row r="89" spans="1:47" x14ac:dyDescent="0.3">
      <c r="A89" t="s">
        <v>215</v>
      </c>
      <c r="B89" t="str">
        <f t="shared" si="5"/>
        <v>S26_2026</v>
      </c>
      <c r="C89" t="str">
        <f t="shared" si="7"/>
        <v>S26_2026</v>
      </c>
      <c r="F89">
        <v>3</v>
      </c>
      <c r="G89" t="s">
        <v>40</v>
      </c>
      <c r="I89" t="s">
        <v>166</v>
      </c>
      <c r="J89" t="s">
        <v>166</v>
      </c>
      <c r="K89" t="s">
        <v>124</v>
      </c>
      <c r="L89" t="s">
        <v>166</v>
      </c>
      <c r="M89" t="s">
        <v>124</v>
      </c>
      <c r="N89" t="s">
        <v>117</v>
      </c>
      <c r="O89" t="s">
        <v>117</v>
      </c>
      <c r="P89">
        <v>2</v>
      </c>
      <c r="Q89" s="7">
        <v>46200</v>
      </c>
      <c r="R89" s="7">
        <v>46200</v>
      </c>
      <c r="S89" s="7">
        <v>46200</v>
      </c>
      <c r="T89" t="s">
        <v>45</v>
      </c>
      <c r="V89" t="s">
        <v>167</v>
      </c>
      <c r="W89" t="s">
        <v>45</v>
      </c>
      <c r="X89" t="s">
        <v>45</v>
      </c>
      <c r="Y89" t="s">
        <v>45</v>
      </c>
      <c r="Z89" t="s">
        <v>74</v>
      </c>
      <c r="AF89">
        <v>2</v>
      </c>
      <c r="AH89" t="s">
        <v>75</v>
      </c>
      <c r="AI89">
        <v>1</v>
      </c>
      <c r="AJ89" s="9"/>
      <c r="AK89" t="s">
        <v>74</v>
      </c>
      <c r="AM89"/>
      <c r="AN89" t="s">
        <v>74</v>
      </c>
      <c r="AO89" t="s">
        <v>74</v>
      </c>
      <c r="AP89"/>
      <c r="AQ89" t="s">
        <v>74</v>
      </c>
      <c r="AR89" s="18" t="str">
        <f>IFERROR(VLOOKUP(K89,[1]POP!$F:$J,1,0),M89)</f>
        <v>MADA</v>
      </c>
      <c r="AS89" s="18" t="str">
        <f t="shared" si="6"/>
        <v>BARGARAM</v>
      </c>
      <c r="AT89" s="19">
        <f t="shared" si="9"/>
        <v>2</v>
      </c>
      <c r="AU89" s="19">
        <f t="shared" ca="1" si="8"/>
        <v>2</v>
      </c>
    </row>
    <row r="90" spans="1:47" x14ac:dyDescent="0.3">
      <c r="A90" t="s">
        <v>216</v>
      </c>
      <c r="B90" t="str">
        <f t="shared" si="5"/>
        <v>S26_2026</v>
      </c>
      <c r="C90" t="str">
        <f t="shared" si="7"/>
        <v>S26_2026</v>
      </c>
      <c r="F90">
        <v>59</v>
      </c>
      <c r="G90" t="s">
        <v>55</v>
      </c>
      <c r="I90" t="s">
        <v>166</v>
      </c>
      <c r="J90" t="s">
        <v>166</v>
      </c>
      <c r="K90" t="s">
        <v>124</v>
      </c>
      <c r="L90" t="s">
        <v>166</v>
      </c>
      <c r="M90" t="s">
        <v>124</v>
      </c>
      <c r="N90" t="s">
        <v>117</v>
      </c>
      <c r="O90" t="s">
        <v>117</v>
      </c>
      <c r="P90">
        <v>3</v>
      </c>
      <c r="Q90" s="7">
        <v>46200</v>
      </c>
      <c r="R90" s="7">
        <v>46200</v>
      </c>
      <c r="S90" s="7">
        <v>46200</v>
      </c>
      <c r="T90" t="s">
        <v>45</v>
      </c>
      <c r="V90" t="s">
        <v>167</v>
      </c>
      <c r="W90" t="s">
        <v>45</v>
      </c>
      <c r="X90" t="s">
        <v>45</v>
      </c>
      <c r="Y90" t="s">
        <v>45</v>
      </c>
      <c r="Z90" t="s">
        <v>74</v>
      </c>
      <c r="AB90" t="s">
        <v>62</v>
      </c>
      <c r="AF90">
        <v>2</v>
      </c>
      <c r="AH90" t="s">
        <v>75</v>
      </c>
      <c r="AI90">
        <v>1</v>
      </c>
      <c r="AJ90" s="9"/>
      <c r="AK90" t="s">
        <v>74</v>
      </c>
      <c r="AM90"/>
      <c r="AN90" t="s">
        <v>74</v>
      </c>
      <c r="AO90" t="s">
        <v>74</v>
      </c>
      <c r="AP90"/>
      <c r="AQ90" t="s">
        <v>74</v>
      </c>
      <c r="AR90" s="18" t="str">
        <f>IFERROR(VLOOKUP(K90,[1]POP!$F:$J,1,0),M90)</f>
        <v>MADA</v>
      </c>
      <c r="AS90" s="18" t="str">
        <f t="shared" si="6"/>
        <v>BARGARAM</v>
      </c>
      <c r="AT90" s="19">
        <f t="shared" si="9"/>
        <v>2</v>
      </c>
      <c r="AU90" s="19">
        <f t="shared" ca="1" si="8"/>
        <v>2</v>
      </c>
    </row>
    <row r="91" spans="1:47" x14ac:dyDescent="0.3">
      <c r="A91" t="s">
        <v>217</v>
      </c>
      <c r="B91" t="str">
        <f t="shared" si="5"/>
        <v>S26_2026</v>
      </c>
      <c r="C91" t="str">
        <f t="shared" si="7"/>
        <v>S26_2026</v>
      </c>
      <c r="F91">
        <v>3</v>
      </c>
      <c r="G91" t="s">
        <v>55</v>
      </c>
      <c r="I91" t="s">
        <v>166</v>
      </c>
      <c r="J91" t="s">
        <v>166</v>
      </c>
      <c r="K91" t="s">
        <v>124</v>
      </c>
      <c r="L91" t="s">
        <v>166</v>
      </c>
      <c r="M91" t="s">
        <v>124</v>
      </c>
      <c r="N91" t="s">
        <v>117</v>
      </c>
      <c r="O91" t="s">
        <v>117</v>
      </c>
      <c r="P91">
        <v>2</v>
      </c>
      <c r="Q91" s="7">
        <v>46200</v>
      </c>
      <c r="R91" s="7">
        <v>46200</v>
      </c>
      <c r="S91" s="7">
        <v>46200</v>
      </c>
      <c r="T91" t="s">
        <v>45</v>
      </c>
      <c r="V91" t="s">
        <v>167</v>
      </c>
      <c r="W91" t="s">
        <v>45</v>
      </c>
      <c r="X91" t="s">
        <v>45</v>
      </c>
      <c r="Y91" t="s">
        <v>45</v>
      </c>
      <c r="Z91" t="s">
        <v>74</v>
      </c>
      <c r="AF91">
        <v>2</v>
      </c>
      <c r="AH91" t="s">
        <v>75</v>
      </c>
      <c r="AI91">
        <v>1</v>
      </c>
      <c r="AJ91" s="9"/>
      <c r="AK91" t="s">
        <v>74</v>
      </c>
      <c r="AM91"/>
      <c r="AN91" t="s">
        <v>74</v>
      </c>
      <c r="AO91" t="s">
        <v>74</v>
      </c>
      <c r="AP91"/>
      <c r="AQ91" t="s">
        <v>74</v>
      </c>
      <c r="AR91" s="18" t="str">
        <f>IFERROR(VLOOKUP(K91,[1]POP!$F:$J,1,0),M91)</f>
        <v>MADA</v>
      </c>
      <c r="AS91" s="18" t="str">
        <f t="shared" si="6"/>
        <v>BARGARAM</v>
      </c>
      <c r="AT91" s="19">
        <f t="shared" si="9"/>
        <v>2</v>
      </c>
      <c r="AU91" s="19">
        <f t="shared" ca="1" si="8"/>
        <v>2</v>
      </c>
    </row>
    <row r="92" spans="1:47" x14ac:dyDescent="0.3">
      <c r="A92" t="s">
        <v>218</v>
      </c>
      <c r="B92" t="str">
        <f t="shared" si="5"/>
        <v>S26_2026</v>
      </c>
      <c r="C92" t="str">
        <f t="shared" si="7"/>
        <v>S26_2026</v>
      </c>
      <c r="F92">
        <v>5</v>
      </c>
      <c r="G92" t="s">
        <v>40</v>
      </c>
      <c r="I92" t="s">
        <v>166</v>
      </c>
      <c r="J92" t="s">
        <v>166</v>
      </c>
      <c r="K92" t="s">
        <v>124</v>
      </c>
      <c r="L92" t="s">
        <v>166</v>
      </c>
      <c r="M92" t="s">
        <v>124</v>
      </c>
      <c r="N92" t="s">
        <v>117</v>
      </c>
      <c r="O92" t="s">
        <v>117</v>
      </c>
      <c r="P92">
        <v>3</v>
      </c>
      <c r="Q92" s="7">
        <v>46200</v>
      </c>
      <c r="R92" s="7">
        <v>46200</v>
      </c>
      <c r="S92" s="7">
        <v>46200</v>
      </c>
      <c r="T92" t="s">
        <v>45</v>
      </c>
      <c r="V92" t="s">
        <v>167</v>
      </c>
      <c r="W92" t="s">
        <v>45</v>
      </c>
      <c r="X92" t="s">
        <v>45</v>
      </c>
      <c r="Y92" t="s">
        <v>45</v>
      </c>
      <c r="Z92" t="s">
        <v>74</v>
      </c>
      <c r="AF92">
        <v>3</v>
      </c>
      <c r="AH92" t="s">
        <v>75</v>
      </c>
      <c r="AI92">
        <v>2</v>
      </c>
      <c r="AJ92" s="13">
        <v>46200</v>
      </c>
      <c r="AK92" t="s">
        <v>74</v>
      </c>
      <c r="AM92"/>
      <c r="AN92" t="s">
        <v>74</v>
      </c>
      <c r="AO92" t="s">
        <v>74</v>
      </c>
      <c r="AP92"/>
      <c r="AQ92" t="s">
        <v>74</v>
      </c>
      <c r="AR92" s="18" t="str">
        <f>IFERROR(VLOOKUP(K92,[1]POP!$F:$J,1,0),M92)</f>
        <v>MADA</v>
      </c>
      <c r="AS92" s="18" t="str">
        <f t="shared" si="6"/>
        <v>BARGARAM</v>
      </c>
      <c r="AT92" s="19">
        <f t="shared" si="9"/>
        <v>3</v>
      </c>
      <c r="AU92" s="19">
        <f t="shared" ca="1" si="8"/>
        <v>2</v>
      </c>
    </row>
    <row r="93" spans="1:47" x14ac:dyDescent="0.3">
      <c r="A93" t="s">
        <v>219</v>
      </c>
      <c r="B93" t="str">
        <f t="shared" si="5"/>
        <v>S26_2026</v>
      </c>
      <c r="C93" t="str">
        <f t="shared" si="7"/>
        <v>S26_2026</v>
      </c>
      <c r="F93">
        <v>3</v>
      </c>
      <c r="G93" t="s">
        <v>55</v>
      </c>
      <c r="I93" t="s">
        <v>166</v>
      </c>
      <c r="J93" t="s">
        <v>166</v>
      </c>
      <c r="K93" t="s">
        <v>124</v>
      </c>
      <c r="L93" t="s">
        <v>166</v>
      </c>
      <c r="M93" t="s">
        <v>124</v>
      </c>
      <c r="N93" t="s">
        <v>117</v>
      </c>
      <c r="O93" t="s">
        <v>117</v>
      </c>
      <c r="P93">
        <v>3</v>
      </c>
      <c r="Q93" s="7">
        <v>46201</v>
      </c>
      <c r="R93" s="7">
        <v>46201</v>
      </c>
      <c r="S93" s="7">
        <v>46201</v>
      </c>
      <c r="T93" t="s">
        <v>45</v>
      </c>
      <c r="V93" t="s">
        <v>167</v>
      </c>
      <c r="W93" t="s">
        <v>45</v>
      </c>
      <c r="X93" t="s">
        <v>45</v>
      </c>
      <c r="Y93" t="s">
        <v>45</v>
      </c>
      <c r="Z93" t="s">
        <v>74</v>
      </c>
      <c r="AF93">
        <v>2</v>
      </c>
      <c r="AH93" t="s">
        <v>75</v>
      </c>
      <c r="AI93">
        <v>1</v>
      </c>
      <c r="AJ93" s="13"/>
      <c r="AK93" t="s">
        <v>74</v>
      </c>
      <c r="AM93"/>
      <c r="AN93" t="s">
        <v>74</v>
      </c>
      <c r="AO93" t="s">
        <v>74</v>
      </c>
      <c r="AP93"/>
      <c r="AQ93" t="s">
        <v>74</v>
      </c>
      <c r="AR93" s="18" t="str">
        <f>IFERROR(VLOOKUP(K93,[1]POP!$F:$J,1,0),M93)</f>
        <v>MADA</v>
      </c>
      <c r="AS93" s="18" t="str">
        <f t="shared" si="6"/>
        <v>BARGARAM</v>
      </c>
      <c r="AT93" s="19">
        <f t="shared" si="9"/>
        <v>2</v>
      </c>
      <c r="AU93" s="19">
        <f t="shared" ca="1" si="8"/>
        <v>2</v>
      </c>
    </row>
    <row r="94" spans="1:47" x14ac:dyDescent="0.3">
      <c r="A94" t="s">
        <v>220</v>
      </c>
      <c r="B94" t="str">
        <f t="shared" si="5"/>
        <v>S26_2026</v>
      </c>
      <c r="C94" t="str">
        <f t="shared" si="7"/>
        <v>S26_2026</v>
      </c>
      <c r="F94">
        <v>5</v>
      </c>
      <c r="G94" t="s">
        <v>55</v>
      </c>
      <c r="I94" t="s">
        <v>166</v>
      </c>
      <c r="J94" t="s">
        <v>166</v>
      </c>
      <c r="K94" t="s">
        <v>124</v>
      </c>
      <c r="L94" t="s">
        <v>166</v>
      </c>
      <c r="M94" t="s">
        <v>124</v>
      </c>
      <c r="N94" t="s">
        <v>117</v>
      </c>
      <c r="O94" t="s">
        <v>117</v>
      </c>
      <c r="P94">
        <v>3</v>
      </c>
      <c r="Q94" s="7">
        <v>46201</v>
      </c>
      <c r="R94" s="7">
        <v>46201</v>
      </c>
      <c r="S94" s="7">
        <v>46201</v>
      </c>
      <c r="T94" t="s">
        <v>45</v>
      </c>
      <c r="V94" t="s">
        <v>167</v>
      </c>
      <c r="W94" t="s">
        <v>45</v>
      </c>
      <c r="X94" t="s">
        <v>45</v>
      </c>
      <c r="Y94" t="s">
        <v>45</v>
      </c>
      <c r="Z94" t="s">
        <v>74</v>
      </c>
      <c r="AF94">
        <v>2</v>
      </c>
      <c r="AH94" t="s">
        <v>75</v>
      </c>
      <c r="AI94">
        <v>1</v>
      </c>
      <c r="AJ94" s="13"/>
      <c r="AK94" t="s">
        <v>74</v>
      </c>
      <c r="AM94"/>
      <c r="AN94" t="s">
        <v>74</v>
      </c>
      <c r="AO94" t="s">
        <v>74</v>
      </c>
      <c r="AP94"/>
      <c r="AQ94" t="s">
        <v>74</v>
      </c>
      <c r="AR94" s="18" t="str">
        <f>IFERROR(VLOOKUP(K94,[1]POP!$F:$J,1,0),M94)</f>
        <v>MADA</v>
      </c>
      <c r="AS94" s="18" t="str">
        <f t="shared" si="6"/>
        <v>BARGARAM</v>
      </c>
      <c r="AT94" s="19">
        <f t="shared" si="9"/>
        <v>2</v>
      </c>
      <c r="AU94" s="19">
        <f t="shared" ca="1" si="8"/>
        <v>2</v>
      </c>
    </row>
    <row r="95" spans="1:47" x14ac:dyDescent="0.3">
      <c r="A95" t="s">
        <v>221</v>
      </c>
      <c r="B95" t="str">
        <f t="shared" si="5"/>
        <v>S26_2026</v>
      </c>
      <c r="C95" t="str">
        <f t="shared" si="7"/>
        <v>S26_2026</v>
      </c>
      <c r="F95">
        <v>2</v>
      </c>
      <c r="G95" t="s">
        <v>40</v>
      </c>
      <c r="I95" t="s">
        <v>166</v>
      </c>
      <c r="J95" t="s">
        <v>166</v>
      </c>
      <c r="K95" t="s">
        <v>124</v>
      </c>
      <c r="L95" t="s">
        <v>166</v>
      </c>
      <c r="M95" t="s">
        <v>124</v>
      </c>
      <c r="N95" t="s">
        <v>117</v>
      </c>
      <c r="O95" t="s">
        <v>117</v>
      </c>
      <c r="P95">
        <v>3</v>
      </c>
      <c r="Q95" s="7">
        <v>46201</v>
      </c>
      <c r="R95" s="7">
        <v>46201</v>
      </c>
      <c r="S95" s="7">
        <v>46201</v>
      </c>
      <c r="T95" t="s">
        <v>45</v>
      </c>
      <c r="V95" t="s">
        <v>167</v>
      </c>
      <c r="W95" t="s">
        <v>45</v>
      </c>
      <c r="X95" t="s">
        <v>45</v>
      </c>
      <c r="Y95" t="s">
        <v>45</v>
      </c>
      <c r="Z95" t="s">
        <v>74</v>
      </c>
      <c r="AF95">
        <v>2</v>
      </c>
      <c r="AH95" t="s">
        <v>75</v>
      </c>
      <c r="AI95">
        <v>1</v>
      </c>
      <c r="AJ95" s="13"/>
      <c r="AK95" t="s">
        <v>74</v>
      </c>
      <c r="AM95"/>
      <c r="AN95" t="s">
        <v>74</v>
      </c>
      <c r="AO95" t="s">
        <v>74</v>
      </c>
      <c r="AP95"/>
      <c r="AQ95" t="s">
        <v>74</v>
      </c>
      <c r="AR95" s="18" t="str">
        <f>IFERROR(VLOOKUP(K95,[1]POP!$F:$J,1,0),M95)</f>
        <v>MADA</v>
      </c>
      <c r="AS95" s="18" t="str">
        <f t="shared" si="6"/>
        <v>BARGARAM</v>
      </c>
      <c r="AT95" s="19">
        <f t="shared" si="9"/>
        <v>2</v>
      </c>
      <c r="AU95" s="19">
        <f t="shared" ca="1" si="8"/>
        <v>2</v>
      </c>
    </row>
    <row r="96" spans="1:47" x14ac:dyDescent="0.3">
      <c r="A96" t="s">
        <v>222</v>
      </c>
      <c r="B96" t="str">
        <f t="shared" si="5"/>
        <v>S26_2026</v>
      </c>
      <c r="C96" t="str">
        <f t="shared" si="7"/>
        <v>S26_2026</v>
      </c>
      <c r="F96">
        <v>3</v>
      </c>
      <c r="G96" t="s">
        <v>40</v>
      </c>
      <c r="I96" t="s">
        <v>166</v>
      </c>
      <c r="J96" t="s">
        <v>166</v>
      </c>
      <c r="K96" t="s">
        <v>124</v>
      </c>
      <c r="L96" t="s">
        <v>166</v>
      </c>
      <c r="M96" t="s">
        <v>124</v>
      </c>
      <c r="N96" t="s">
        <v>117</v>
      </c>
      <c r="O96" t="s">
        <v>117</v>
      </c>
      <c r="P96">
        <v>3</v>
      </c>
      <c r="Q96" s="7">
        <v>46201</v>
      </c>
      <c r="R96" s="7">
        <v>46201</v>
      </c>
      <c r="S96" s="7">
        <v>46201</v>
      </c>
      <c r="T96" t="s">
        <v>45</v>
      </c>
      <c r="V96" t="s">
        <v>167</v>
      </c>
      <c r="W96" t="s">
        <v>45</v>
      </c>
      <c r="X96" t="s">
        <v>45</v>
      </c>
      <c r="Y96" t="s">
        <v>45</v>
      </c>
      <c r="Z96" t="s">
        <v>74</v>
      </c>
      <c r="AF96">
        <v>2</v>
      </c>
      <c r="AH96" t="s">
        <v>75</v>
      </c>
      <c r="AI96">
        <v>1</v>
      </c>
      <c r="AJ96" s="13"/>
      <c r="AK96" t="s">
        <v>74</v>
      </c>
      <c r="AM96"/>
      <c r="AN96" t="s">
        <v>74</v>
      </c>
      <c r="AO96" t="s">
        <v>74</v>
      </c>
      <c r="AP96"/>
      <c r="AQ96" t="s">
        <v>74</v>
      </c>
      <c r="AR96" s="18" t="str">
        <f>IFERROR(VLOOKUP(K96,[1]POP!$F:$J,1,0),M96)</f>
        <v>MADA</v>
      </c>
      <c r="AS96" s="18" t="str">
        <f t="shared" si="6"/>
        <v>BARGARAM</v>
      </c>
      <c r="AT96" s="19">
        <f t="shared" si="9"/>
        <v>2</v>
      </c>
      <c r="AU96" s="19">
        <f t="shared" ca="1" si="8"/>
        <v>2</v>
      </c>
    </row>
    <row r="97" spans="1:47" x14ac:dyDescent="0.3">
      <c r="A97" t="s">
        <v>223</v>
      </c>
      <c r="B97" t="str">
        <f t="shared" si="5"/>
        <v>S26_2026</v>
      </c>
      <c r="C97" t="str">
        <f t="shared" si="7"/>
        <v>S26_2026</v>
      </c>
      <c r="F97">
        <v>3</v>
      </c>
      <c r="G97" t="s">
        <v>40</v>
      </c>
      <c r="I97" t="s">
        <v>166</v>
      </c>
      <c r="J97" t="s">
        <v>166</v>
      </c>
      <c r="K97" t="s">
        <v>124</v>
      </c>
      <c r="L97" t="s">
        <v>166</v>
      </c>
      <c r="M97" t="s">
        <v>124</v>
      </c>
      <c r="N97" t="s">
        <v>117</v>
      </c>
      <c r="O97" t="s">
        <v>117</v>
      </c>
      <c r="P97">
        <v>3</v>
      </c>
      <c r="Q97" s="7">
        <v>46201</v>
      </c>
      <c r="R97" s="7">
        <v>46201</v>
      </c>
      <c r="S97" s="7">
        <v>46201</v>
      </c>
      <c r="T97" t="s">
        <v>45</v>
      </c>
      <c r="V97" t="s">
        <v>167</v>
      </c>
      <c r="W97" t="s">
        <v>45</v>
      </c>
      <c r="X97" t="s">
        <v>45</v>
      </c>
      <c r="Y97" t="s">
        <v>45</v>
      </c>
      <c r="Z97" t="s">
        <v>74</v>
      </c>
      <c r="AF97">
        <v>2</v>
      </c>
      <c r="AH97" t="s">
        <v>75</v>
      </c>
      <c r="AI97">
        <v>1</v>
      </c>
      <c r="AJ97" s="9"/>
      <c r="AK97" t="s">
        <v>74</v>
      </c>
      <c r="AM97"/>
      <c r="AN97" t="s">
        <v>74</v>
      </c>
      <c r="AO97" t="s">
        <v>74</v>
      </c>
      <c r="AP97"/>
      <c r="AQ97" t="s">
        <v>74</v>
      </c>
      <c r="AR97" s="18" t="str">
        <f>IFERROR(VLOOKUP(K97,[1]POP!$F:$J,1,0),M97)</f>
        <v>MADA</v>
      </c>
      <c r="AS97" s="18" t="str">
        <f t="shared" si="6"/>
        <v>BARGARAM</v>
      </c>
      <c r="AT97" s="19">
        <f t="shared" si="9"/>
        <v>2</v>
      </c>
      <c r="AU97" s="19">
        <f t="shared" ca="1" si="8"/>
        <v>2</v>
      </c>
    </row>
    <row r="98" spans="1:47" x14ac:dyDescent="0.3">
      <c r="A98" t="s">
        <v>224</v>
      </c>
      <c r="B98" t="str">
        <f t="shared" si="5"/>
        <v>S26_2026</v>
      </c>
      <c r="C98" t="str">
        <f t="shared" si="7"/>
        <v>S26_2026</v>
      </c>
      <c r="F98">
        <v>45</v>
      </c>
      <c r="G98" t="s">
        <v>40</v>
      </c>
      <c r="I98" t="s">
        <v>166</v>
      </c>
      <c r="J98" t="s">
        <v>166</v>
      </c>
      <c r="K98" t="s">
        <v>124</v>
      </c>
      <c r="L98" t="s">
        <v>166</v>
      </c>
      <c r="M98" t="s">
        <v>124</v>
      </c>
      <c r="N98" t="s">
        <v>117</v>
      </c>
      <c r="O98" t="s">
        <v>117</v>
      </c>
      <c r="P98">
        <v>3</v>
      </c>
      <c r="Q98" s="7">
        <v>46201</v>
      </c>
      <c r="R98" s="7">
        <v>46201</v>
      </c>
      <c r="S98" s="7">
        <v>46201</v>
      </c>
      <c r="T98" t="s">
        <v>45</v>
      </c>
      <c r="V98" t="s">
        <v>167</v>
      </c>
      <c r="W98" t="s">
        <v>45</v>
      </c>
      <c r="X98" t="s">
        <v>45</v>
      </c>
      <c r="Y98" t="s">
        <v>45</v>
      </c>
      <c r="Z98" t="s">
        <v>74</v>
      </c>
      <c r="AF98">
        <v>2</v>
      </c>
      <c r="AH98" t="s">
        <v>75</v>
      </c>
      <c r="AI98">
        <v>1</v>
      </c>
      <c r="AJ98" s="9"/>
      <c r="AK98" t="s">
        <v>74</v>
      </c>
      <c r="AM98"/>
      <c r="AN98" t="s">
        <v>74</v>
      </c>
      <c r="AO98" t="s">
        <v>74</v>
      </c>
      <c r="AP98"/>
      <c r="AQ98" t="s">
        <v>74</v>
      </c>
      <c r="AR98" s="18" t="str">
        <f>IFERROR(VLOOKUP(K98,[1]POP!$F:$J,1,0),M98)</f>
        <v>MADA</v>
      </c>
      <c r="AS98" s="18" t="str">
        <f t="shared" si="6"/>
        <v>BARGARAM</v>
      </c>
      <c r="AT98" s="19">
        <f t="shared" si="9"/>
        <v>2</v>
      </c>
      <c r="AU98" s="19">
        <f t="shared" ca="1" si="8"/>
        <v>2</v>
      </c>
    </row>
    <row r="99" spans="1:47" x14ac:dyDescent="0.3">
      <c r="A99" t="s">
        <v>225</v>
      </c>
      <c r="B99" t="str">
        <f t="shared" si="5"/>
        <v>S26_2026</v>
      </c>
      <c r="C99" t="str">
        <f t="shared" si="7"/>
        <v>S26_2026</v>
      </c>
      <c r="F99">
        <v>25</v>
      </c>
      <c r="G99" t="s">
        <v>40</v>
      </c>
      <c r="I99" t="s">
        <v>166</v>
      </c>
      <c r="J99" t="s">
        <v>166</v>
      </c>
      <c r="K99" t="s">
        <v>124</v>
      </c>
      <c r="L99" t="s">
        <v>166</v>
      </c>
      <c r="M99" t="s">
        <v>124</v>
      </c>
      <c r="N99" t="s">
        <v>117</v>
      </c>
      <c r="O99" t="s">
        <v>117</v>
      </c>
      <c r="P99">
        <v>3</v>
      </c>
      <c r="Q99" s="7">
        <v>46201</v>
      </c>
      <c r="R99" s="7">
        <v>46201</v>
      </c>
      <c r="S99" s="7">
        <v>46201</v>
      </c>
      <c r="T99" t="s">
        <v>45</v>
      </c>
      <c r="V99" t="s">
        <v>167</v>
      </c>
      <c r="W99" t="s">
        <v>45</v>
      </c>
      <c r="X99" t="s">
        <v>45</v>
      </c>
      <c r="Y99" t="s">
        <v>45</v>
      </c>
      <c r="Z99" t="s">
        <v>74</v>
      </c>
      <c r="AF99">
        <v>2</v>
      </c>
      <c r="AH99" t="s">
        <v>75</v>
      </c>
      <c r="AI99">
        <v>1</v>
      </c>
      <c r="AJ99" s="9"/>
      <c r="AK99" t="s">
        <v>74</v>
      </c>
      <c r="AM99"/>
      <c r="AN99" t="s">
        <v>74</v>
      </c>
      <c r="AO99" t="s">
        <v>74</v>
      </c>
      <c r="AP99"/>
      <c r="AQ99" t="s">
        <v>74</v>
      </c>
      <c r="AR99" s="18" t="str">
        <f>IFERROR(VLOOKUP(K99,[1]POP!$F:$J,1,0),M99)</f>
        <v>MADA</v>
      </c>
      <c r="AS99" s="18" t="str">
        <f t="shared" si="6"/>
        <v>BARGARAM</v>
      </c>
      <c r="AT99" s="19">
        <f t="shared" si="9"/>
        <v>2</v>
      </c>
      <c r="AU99" s="19">
        <f t="shared" ca="1" si="8"/>
        <v>2</v>
      </c>
    </row>
    <row r="100" spans="1:47" x14ac:dyDescent="0.3">
      <c r="A100" t="s">
        <v>226</v>
      </c>
      <c r="B100" t="str">
        <f t="shared" si="5"/>
        <v>S26_2026</v>
      </c>
      <c r="C100" t="str">
        <f t="shared" si="7"/>
        <v>S26_2026</v>
      </c>
      <c r="F100">
        <v>50</v>
      </c>
      <c r="G100" t="s">
        <v>40</v>
      </c>
      <c r="I100" t="s">
        <v>166</v>
      </c>
      <c r="J100" t="s">
        <v>166</v>
      </c>
      <c r="K100" t="s">
        <v>124</v>
      </c>
      <c r="L100" t="s">
        <v>166</v>
      </c>
      <c r="M100" t="s">
        <v>124</v>
      </c>
      <c r="N100" t="s">
        <v>117</v>
      </c>
      <c r="O100" t="s">
        <v>117</v>
      </c>
      <c r="P100">
        <v>3</v>
      </c>
      <c r="Q100" s="7">
        <v>46201</v>
      </c>
      <c r="R100" s="7">
        <v>46201</v>
      </c>
      <c r="S100" s="7">
        <v>46201</v>
      </c>
      <c r="T100" t="s">
        <v>45</v>
      </c>
      <c r="V100" t="s">
        <v>167</v>
      </c>
      <c r="W100" t="s">
        <v>45</v>
      </c>
      <c r="X100" t="s">
        <v>45</v>
      </c>
      <c r="Y100" t="s">
        <v>45</v>
      </c>
      <c r="Z100" t="s">
        <v>74</v>
      </c>
      <c r="AF100">
        <v>2</v>
      </c>
      <c r="AH100" t="s">
        <v>75</v>
      </c>
      <c r="AI100">
        <v>1</v>
      </c>
      <c r="AJ100" s="9"/>
      <c r="AK100" t="s">
        <v>74</v>
      </c>
      <c r="AM100"/>
      <c r="AN100" t="s">
        <v>74</v>
      </c>
      <c r="AO100" t="s">
        <v>74</v>
      </c>
      <c r="AP100"/>
      <c r="AQ100" t="s">
        <v>74</v>
      </c>
      <c r="AR100" s="18" t="str">
        <f>IFERROR(VLOOKUP(K100,[1]POP!$F:$J,1,0),M100)</f>
        <v>MADA</v>
      </c>
      <c r="AS100" s="18" t="str">
        <f t="shared" si="6"/>
        <v>BARGARAM</v>
      </c>
      <c r="AT100" s="19">
        <f t="shared" si="9"/>
        <v>2</v>
      </c>
      <c r="AU100" s="19">
        <f t="shared" ca="1" si="8"/>
        <v>2</v>
      </c>
    </row>
    <row r="101" spans="1:47" x14ac:dyDescent="0.3">
      <c r="A101" t="s">
        <v>227</v>
      </c>
      <c r="B101" t="str">
        <f t="shared" si="5"/>
        <v>S27_2026</v>
      </c>
      <c r="C101" t="str">
        <f t="shared" si="7"/>
        <v>S27_2026</v>
      </c>
      <c r="F101">
        <v>43</v>
      </c>
      <c r="G101" t="s">
        <v>40</v>
      </c>
      <c r="I101" t="s">
        <v>166</v>
      </c>
      <c r="J101" t="s">
        <v>166</v>
      </c>
      <c r="K101" t="s">
        <v>124</v>
      </c>
      <c r="L101" t="s">
        <v>166</v>
      </c>
      <c r="M101" t="s">
        <v>124</v>
      </c>
      <c r="N101" t="s">
        <v>117</v>
      </c>
      <c r="O101" t="s">
        <v>117</v>
      </c>
      <c r="P101">
        <v>3</v>
      </c>
      <c r="Q101" s="7">
        <v>46202</v>
      </c>
      <c r="R101" s="7">
        <v>46202</v>
      </c>
      <c r="S101" s="7">
        <v>46202</v>
      </c>
      <c r="T101" t="s">
        <v>45</v>
      </c>
      <c r="V101" t="s">
        <v>167</v>
      </c>
      <c r="W101" t="s">
        <v>45</v>
      </c>
      <c r="X101" t="s">
        <v>45</v>
      </c>
      <c r="Y101" t="s">
        <v>45</v>
      </c>
      <c r="Z101" t="s">
        <v>74</v>
      </c>
      <c r="AF101">
        <v>2</v>
      </c>
      <c r="AH101" t="s">
        <v>75</v>
      </c>
      <c r="AI101">
        <v>1</v>
      </c>
      <c r="AJ101" s="9"/>
      <c r="AK101" t="s">
        <v>74</v>
      </c>
      <c r="AM101"/>
      <c r="AN101" t="s">
        <v>74</v>
      </c>
      <c r="AO101" t="s">
        <v>74</v>
      </c>
      <c r="AP101"/>
      <c r="AQ101" t="s">
        <v>74</v>
      </c>
      <c r="AR101" s="18" t="str">
        <f>IFERROR(VLOOKUP(K101,[1]POP!$F:$J,1,0),M101)</f>
        <v>MADA</v>
      </c>
      <c r="AS101" s="18" t="str">
        <f t="shared" si="6"/>
        <v>BARGARAM</v>
      </c>
      <c r="AT101" s="19">
        <f t="shared" si="9"/>
        <v>2</v>
      </c>
      <c r="AU101" s="19">
        <f t="shared" ca="1" si="8"/>
        <v>2</v>
      </c>
    </row>
    <row r="102" spans="1:47" x14ac:dyDescent="0.3">
      <c r="A102" t="s">
        <v>228</v>
      </c>
      <c r="B102" t="str">
        <f t="shared" si="5"/>
        <v>S27_2026</v>
      </c>
      <c r="C102" t="str">
        <f t="shared" si="7"/>
        <v>S27_2026</v>
      </c>
      <c r="F102">
        <v>36</v>
      </c>
      <c r="G102" t="s">
        <v>55</v>
      </c>
      <c r="I102" t="s">
        <v>166</v>
      </c>
      <c r="J102" t="s">
        <v>166</v>
      </c>
      <c r="K102" t="s">
        <v>124</v>
      </c>
      <c r="L102" t="s">
        <v>166</v>
      </c>
      <c r="M102" t="s">
        <v>124</v>
      </c>
      <c r="N102" t="s">
        <v>117</v>
      </c>
      <c r="O102" t="s">
        <v>117</v>
      </c>
      <c r="P102">
        <v>3</v>
      </c>
      <c r="Q102" s="7">
        <v>46202</v>
      </c>
      <c r="R102" s="7">
        <v>46202</v>
      </c>
      <c r="S102" s="7">
        <v>46202</v>
      </c>
      <c r="T102" t="s">
        <v>45</v>
      </c>
      <c r="V102" t="s">
        <v>167</v>
      </c>
      <c r="W102" t="s">
        <v>45</v>
      </c>
      <c r="X102" t="s">
        <v>45</v>
      </c>
      <c r="Y102" t="s">
        <v>45</v>
      </c>
      <c r="Z102" t="s">
        <v>74</v>
      </c>
      <c r="AF102">
        <v>2</v>
      </c>
      <c r="AH102" t="s">
        <v>75</v>
      </c>
      <c r="AI102">
        <v>1</v>
      </c>
      <c r="AJ102" s="9"/>
      <c r="AK102" t="s">
        <v>74</v>
      </c>
      <c r="AM102"/>
      <c r="AN102" t="s">
        <v>74</v>
      </c>
      <c r="AO102" t="s">
        <v>74</v>
      </c>
      <c r="AP102"/>
      <c r="AQ102" t="s">
        <v>74</v>
      </c>
      <c r="AR102" s="18" t="str">
        <f>IFERROR(VLOOKUP(K102,[1]POP!$F:$J,1,0),M102)</f>
        <v>MADA</v>
      </c>
      <c r="AS102" s="18" t="str">
        <f t="shared" si="6"/>
        <v>BARGARAM</v>
      </c>
      <c r="AT102" s="19">
        <f t="shared" si="9"/>
        <v>2</v>
      </c>
      <c r="AU102" s="19">
        <f t="shared" ca="1" si="8"/>
        <v>2</v>
      </c>
    </row>
    <row r="103" spans="1:47" x14ac:dyDescent="0.3">
      <c r="A103" t="s">
        <v>229</v>
      </c>
      <c r="B103" t="str">
        <f t="shared" si="5"/>
        <v>S27_2026</v>
      </c>
      <c r="C103" t="str">
        <f t="shared" si="7"/>
        <v>S27_2026</v>
      </c>
      <c r="F103">
        <v>20</v>
      </c>
      <c r="G103" t="s">
        <v>40</v>
      </c>
      <c r="I103" t="s">
        <v>166</v>
      </c>
      <c r="J103" t="s">
        <v>166</v>
      </c>
      <c r="K103" t="s">
        <v>124</v>
      </c>
      <c r="L103" t="s">
        <v>166</v>
      </c>
      <c r="M103" t="s">
        <v>124</v>
      </c>
      <c r="N103" t="s">
        <v>117</v>
      </c>
      <c r="O103" t="s">
        <v>117</v>
      </c>
      <c r="P103">
        <v>3</v>
      </c>
      <c r="Q103" s="7">
        <v>46202</v>
      </c>
      <c r="R103" s="7">
        <v>46202</v>
      </c>
      <c r="S103" s="7">
        <v>46202</v>
      </c>
      <c r="T103" t="s">
        <v>45</v>
      </c>
      <c r="V103" t="s">
        <v>167</v>
      </c>
      <c r="W103" t="s">
        <v>45</v>
      </c>
      <c r="X103" t="s">
        <v>45</v>
      </c>
      <c r="Y103" t="s">
        <v>45</v>
      </c>
      <c r="Z103" t="s">
        <v>74</v>
      </c>
      <c r="AF103">
        <v>2</v>
      </c>
      <c r="AH103" t="s">
        <v>75</v>
      </c>
      <c r="AI103">
        <v>1</v>
      </c>
      <c r="AJ103" s="9"/>
      <c r="AK103" t="s">
        <v>74</v>
      </c>
      <c r="AM103"/>
      <c r="AN103" t="s">
        <v>74</v>
      </c>
      <c r="AO103" t="s">
        <v>74</v>
      </c>
      <c r="AP103"/>
      <c r="AQ103" t="s">
        <v>74</v>
      </c>
      <c r="AR103" s="18" t="str">
        <f>IFERROR(VLOOKUP(K103,[1]POP!$F:$J,1,0),M103)</f>
        <v>MADA</v>
      </c>
      <c r="AS103" s="18" t="str">
        <f t="shared" si="6"/>
        <v>BARGARAM</v>
      </c>
      <c r="AT103" s="19">
        <f t="shared" si="9"/>
        <v>2</v>
      </c>
      <c r="AU103" s="19">
        <f t="shared" ca="1" si="8"/>
        <v>2</v>
      </c>
    </row>
    <row r="104" spans="1:47" x14ac:dyDescent="0.3">
      <c r="A104" t="s">
        <v>230</v>
      </c>
      <c r="B104" t="str">
        <f t="shared" si="5"/>
        <v>S27_2026</v>
      </c>
      <c r="C104" t="str">
        <f t="shared" si="7"/>
        <v>S27_2026</v>
      </c>
      <c r="F104">
        <v>23</v>
      </c>
      <c r="G104" t="s">
        <v>55</v>
      </c>
      <c r="I104" t="s">
        <v>166</v>
      </c>
      <c r="J104" t="s">
        <v>166</v>
      </c>
      <c r="K104" t="s">
        <v>124</v>
      </c>
      <c r="L104" t="s">
        <v>166</v>
      </c>
      <c r="M104" t="s">
        <v>124</v>
      </c>
      <c r="N104" t="s">
        <v>117</v>
      </c>
      <c r="O104" t="s">
        <v>117</v>
      </c>
      <c r="P104">
        <v>3</v>
      </c>
      <c r="Q104" s="7">
        <v>46202</v>
      </c>
      <c r="R104" s="7">
        <v>46202</v>
      </c>
      <c r="S104" s="7">
        <v>46202</v>
      </c>
      <c r="T104" t="s">
        <v>45</v>
      </c>
      <c r="V104" t="s">
        <v>167</v>
      </c>
      <c r="W104" t="s">
        <v>45</v>
      </c>
      <c r="X104" t="s">
        <v>45</v>
      </c>
      <c r="Y104" t="s">
        <v>45</v>
      </c>
      <c r="Z104" t="s">
        <v>74</v>
      </c>
      <c r="AF104">
        <v>2</v>
      </c>
      <c r="AH104" t="s">
        <v>75</v>
      </c>
      <c r="AI104">
        <v>1</v>
      </c>
      <c r="AJ104" s="9"/>
      <c r="AK104" t="s">
        <v>74</v>
      </c>
      <c r="AM104"/>
      <c r="AN104" t="s">
        <v>74</v>
      </c>
      <c r="AO104" t="s">
        <v>74</v>
      </c>
      <c r="AP104"/>
      <c r="AQ104" t="s">
        <v>74</v>
      </c>
      <c r="AR104" s="18" t="str">
        <f>IFERROR(VLOOKUP(K104,[1]POP!$F:$J,1,0),M104)</f>
        <v>MADA</v>
      </c>
      <c r="AS104" s="18" t="str">
        <f t="shared" si="6"/>
        <v>BARGARAM</v>
      </c>
      <c r="AT104" s="19">
        <f t="shared" si="9"/>
        <v>2</v>
      </c>
      <c r="AU104" s="19">
        <f t="shared" ca="1" si="8"/>
        <v>2</v>
      </c>
    </row>
    <row r="105" spans="1:47" x14ac:dyDescent="0.3">
      <c r="A105" t="s">
        <v>231</v>
      </c>
      <c r="B105" t="str">
        <f t="shared" si="5"/>
        <v>S27_2026</v>
      </c>
      <c r="C105" t="str">
        <f t="shared" si="7"/>
        <v>S27_2026</v>
      </c>
      <c r="F105">
        <v>7</v>
      </c>
      <c r="G105" t="s">
        <v>40</v>
      </c>
      <c r="I105" t="s">
        <v>166</v>
      </c>
      <c r="J105" t="s">
        <v>166</v>
      </c>
      <c r="K105" t="s">
        <v>124</v>
      </c>
      <c r="L105" t="s">
        <v>166</v>
      </c>
      <c r="M105" t="s">
        <v>124</v>
      </c>
      <c r="N105" t="s">
        <v>117</v>
      </c>
      <c r="O105" t="s">
        <v>117</v>
      </c>
      <c r="P105">
        <v>3</v>
      </c>
      <c r="Q105" s="7">
        <v>46202</v>
      </c>
      <c r="R105" s="7">
        <v>46202</v>
      </c>
      <c r="S105" s="7">
        <v>46202</v>
      </c>
      <c r="T105" t="s">
        <v>45</v>
      </c>
      <c r="V105" t="s">
        <v>167</v>
      </c>
      <c r="W105" t="s">
        <v>45</v>
      </c>
      <c r="X105" t="s">
        <v>45</v>
      </c>
      <c r="Y105" t="s">
        <v>45</v>
      </c>
      <c r="Z105" t="s">
        <v>74</v>
      </c>
      <c r="AF105">
        <v>2</v>
      </c>
      <c r="AH105" t="s">
        <v>75</v>
      </c>
      <c r="AI105">
        <v>1</v>
      </c>
      <c r="AJ105" s="9"/>
      <c r="AK105" t="s">
        <v>74</v>
      </c>
      <c r="AM105"/>
      <c r="AN105" t="s">
        <v>74</v>
      </c>
      <c r="AO105" t="s">
        <v>74</v>
      </c>
      <c r="AP105"/>
      <c r="AQ105" t="s">
        <v>74</v>
      </c>
      <c r="AR105" s="18" t="str">
        <f>IFERROR(VLOOKUP(K105,[1]POP!$F:$J,1,0),M105)</f>
        <v>MADA</v>
      </c>
      <c r="AS105" s="18" t="str">
        <f t="shared" si="6"/>
        <v>BARGARAM</v>
      </c>
      <c r="AT105" s="19">
        <f t="shared" si="9"/>
        <v>2</v>
      </c>
      <c r="AU105" s="19">
        <f t="shared" ca="1" si="8"/>
        <v>2</v>
      </c>
    </row>
    <row r="106" spans="1:47" x14ac:dyDescent="0.3">
      <c r="A106" t="s">
        <v>232</v>
      </c>
      <c r="B106" t="str">
        <f t="shared" si="5"/>
        <v>S27_2026</v>
      </c>
      <c r="C106" t="str">
        <f t="shared" si="7"/>
        <v>S27_2026</v>
      </c>
      <c r="F106">
        <v>32</v>
      </c>
      <c r="G106" t="s">
        <v>40</v>
      </c>
      <c r="I106" t="s">
        <v>166</v>
      </c>
      <c r="J106" t="s">
        <v>166</v>
      </c>
      <c r="K106" t="s">
        <v>124</v>
      </c>
      <c r="L106" t="s">
        <v>166</v>
      </c>
      <c r="M106" t="s">
        <v>124</v>
      </c>
      <c r="N106" t="s">
        <v>117</v>
      </c>
      <c r="O106" t="s">
        <v>117</v>
      </c>
      <c r="P106">
        <v>3</v>
      </c>
      <c r="Q106" s="7">
        <v>46202</v>
      </c>
      <c r="R106" s="7">
        <v>46202</v>
      </c>
      <c r="S106" s="7">
        <v>46202</v>
      </c>
      <c r="T106" t="s">
        <v>45</v>
      </c>
      <c r="V106" t="s">
        <v>167</v>
      </c>
      <c r="W106" t="s">
        <v>45</v>
      </c>
      <c r="X106" t="s">
        <v>45</v>
      </c>
      <c r="Y106" t="s">
        <v>45</v>
      </c>
      <c r="Z106" t="s">
        <v>74</v>
      </c>
      <c r="AF106">
        <v>2</v>
      </c>
      <c r="AH106" t="s">
        <v>75</v>
      </c>
      <c r="AI106">
        <v>1</v>
      </c>
      <c r="AJ106" s="9"/>
      <c r="AK106" t="s">
        <v>74</v>
      </c>
      <c r="AM106"/>
      <c r="AN106" t="s">
        <v>74</v>
      </c>
      <c r="AO106" t="s">
        <v>74</v>
      </c>
      <c r="AP106"/>
      <c r="AQ106" t="s">
        <v>74</v>
      </c>
      <c r="AR106" s="18" t="str">
        <f>IFERROR(VLOOKUP(K106,[1]POP!$F:$J,1,0),M106)</f>
        <v>MADA</v>
      </c>
      <c r="AS106" s="18" t="str">
        <f t="shared" si="6"/>
        <v>BARGARAM</v>
      </c>
      <c r="AT106" s="19">
        <f t="shared" si="9"/>
        <v>2</v>
      </c>
      <c r="AU106" s="19">
        <f t="shared" ca="1" si="8"/>
        <v>2</v>
      </c>
    </row>
    <row r="107" spans="1:47" x14ac:dyDescent="0.3">
      <c r="A107" t="s">
        <v>233</v>
      </c>
      <c r="B107" t="str">
        <f t="shared" si="5"/>
        <v>S27_2026</v>
      </c>
      <c r="C107" t="str">
        <f t="shared" si="7"/>
        <v>S27_2026</v>
      </c>
      <c r="F107">
        <v>13</v>
      </c>
      <c r="G107" t="s">
        <v>40</v>
      </c>
      <c r="I107" t="s">
        <v>234</v>
      </c>
      <c r="J107" t="s">
        <v>166</v>
      </c>
      <c r="K107" t="s">
        <v>124</v>
      </c>
      <c r="L107" t="s">
        <v>166</v>
      </c>
      <c r="M107" t="s">
        <v>124</v>
      </c>
      <c r="N107" t="s">
        <v>117</v>
      </c>
      <c r="O107" t="s">
        <v>117</v>
      </c>
      <c r="P107">
        <v>3</v>
      </c>
      <c r="Q107" s="7">
        <v>46202</v>
      </c>
      <c r="R107" s="7">
        <v>46202</v>
      </c>
      <c r="S107" s="7">
        <v>46202</v>
      </c>
      <c r="T107" t="s">
        <v>45</v>
      </c>
      <c r="V107" t="s">
        <v>167</v>
      </c>
      <c r="W107" t="s">
        <v>45</v>
      </c>
      <c r="X107" t="s">
        <v>45</v>
      </c>
      <c r="Y107" t="s">
        <v>45</v>
      </c>
      <c r="Z107" t="s">
        <v>74</v>
      </c>
      <c r="AF107">
        <v>2</v>
      </c>
      <c r="AH107" t="s">
        <v>75</v>
      </c>
      <c r="AI107">
        <v>1</v>
      </c>
      <c r="AJ107" s="9"/>
      <c r="AK107" t="s">
        <v>74</v>
      </c>
      <c r="AM107"/>
      <c r="AN107" t="s">
        <v>74</v>
      </c>
      <c r="AO107" t="s">
        <v>74</v>
      </c>
      <c r="AP107"/>
      <c r="AQ107" t="s">
        <v>74</v>
      </c>
      <c r="AR107" s="18" t="str">
        <f>IFERROR(VLOOKUP(K107,[1]POP!$F:$J,1,0),M107)</f>
        <v>MADA</v>
      </c>
      <c r="AS107" s="18" t="str">
        <f t="shared" si="6"/>
        <v>BARGARAM</v>
      </c>
      <c r="AT107" s="19">
        <f t="shared" si="9"/>
        <v>2</v>
      </c>
      <c r="AU107" s="19">
        <f t="shared" ca="1" si="8"/>
        <v>2</v>
      </c>
    </row>
    <row r="108" spans="1:47" x14ac:dyDescent="0.3">
      <c r="A108" t="s">
        <v>235</v>
      </c>
      <c r="B108" t="str">
        <f t="shared" si="5"/>
        <v>S27_2026</v>
      </c>
      <c r="C108" t="str">
        <f t="shared" si="7"/>
        <v>S27_2026</v>
      </c>
      <c r="F108">
        <v>10</v>
      </c>
      <c r="G108" t="s">
        <v>55</v>
      </c>
      <c r="I108" t="s">
        <v>166</v>
      </c>
      <c r="J108" t="s">
        <v>166</v>
      </c>
      <c r="K108" t="s">
        <v>124</v>
      </c>
      <c r="L108" t="s">
        <v>166</v>
      </c>
      <c r="M108" t="s">
        <v>124</v>
      </c>
      <c r="N108" t="s">
        <v>117</v>
      </c>
      <c r="O108" t="s">
        <v>117</v>
      </c>
      <c r="P108">
        <v>3</v>
      </c>
      <c r="Q108" s="7">
        <v>46202</v>
      </c>
      <c r="R108" s="7">
        <v>46202</v>
      </c>
      <c r="S108" s="7">
        <v>46202</v>
      </c>
      <c r="T108" t="s">
        <v>45</v>
      </c>
      <c r="V108" t="s">
        <v>167</v>
      </c>
      <c r="W108" t="s">
        <v>45</v>
      </c>
      <c r="X108" t="s">
        <v>45</v>
      </c>
      <c r="Y108" t="s">
        <v>45</v>
      </c>
      <c r="Z108" t="s">
        <v>74</v>
      </c>
      <c r="AF108">
        <v>2</v>
      </c>
      <c r="AH108" t="s">
        <v>75</v>
      </c>
      <c r="AI108">
        <v>1</v>
      </c>
      <c r="AJ108" s="9"/>
      <c r="AK108" t="s">
        <v>74</v>
      </c>
      <c r="AM108"/>
      <c r="AN108" t="s">
        <v>74</v>
      </c>
      <c r="AO108" t="s">
        <v>74</v>
      </c>
      <c r="AP108"/>
      <c r="AQ108" t="s">
        <v>74</v>
      </c>
      <c r="AR108" s="18" t="str">
        <f>IFERROR(VLOOKUP(K108,[1]POP!$F:$J,1,0),M108)</f>
        <v>MADA</v>
      </c>
      <c r="AS108" s="18" t="str">
        <f t="shared" si="6"/>
        <v>BARGARAM</v>
      </c>
      <c r="AT108" s="19">
        <f t="shared" si="9"/>
        <v>2</v>
      </c>
      <c r="AU108" s="19">
        <f t="shared" ca="1" si="8"/>
        <v>2</v>
      </c>
    </row>
    <row r="109" spans="1:47" x14ac:dyDescent="0.3">
      <c r="A109" t="s">
        <v>236</v>
      </c>
      <c r="B109" t="str">
        <f t="shared" si="5"/>
        <v>S27_2026</v>
      </c>
      <c r="C109" t="str">
        <f t="shared" si="7"/>
        <v>S27_2026</v>
      </c>
      <c r="F109">
        <v>8</v>
      </c>
      <c r="G109" t="s">
        <v>40</v>
      </c>
      <c r="I109" t="s">
        <v>166</v>
      </c>
      <c r="J109" t="s">
        <v>166</v>
      </c>
      <c r="K109" t="s">
        <v>124</v>
      </c>
      <c r="L109" t="s">
        <v>166</v>
      </c>
      <c r="M109" t="s">
        <v>124</v>
      </c>
      <c r="N109" t="s">
        <v>117</v>
      </c>
      <c r="O109" t="s">
        <v>117</v>
      </c>
      <c r="P109">
        <v>3</v>
      </c>
      <c r="Q109" s="7">
        <v>46202</v>
      </c>
      <c r="R109" s="7">
        <v>46202</v>
      </c>
      <c r="S109" s="7">
        <v>46202</v>
      </c>
      <c r="T109" t="s">
        <v>45</v>
      </c>
      <c r="V109" t="s">
        <v>167</v>
      </c>
      <c r="W109" t="s">
        <v>45</v>
      </c>
      <c r="X109" t="s">
        <v>45</v>
      </c>
      <c r="Y109" t="s">
        <v>45</v>
      </c>
      <c r="Z109" t="s">
        <v>74</v>
      </c>
      <c r="AF109">
        <v>2</v>
      </c>
      <c r="AH109" t="s">
        <v>75</v>
      </c>
      <c r="AI109">
        <v>1</v>
      </c>
      <c r="AJ109" s="9"/>
      <c r="AK109" t="s">
        <v>74</v>
      </c>
      <c r="AM109"/>
      <c r="AN109" t="s">
        <v>74</v>
      </c>
      <c r="AO109" t="s">
        <v>74</v>
      </c>
      <c r="AP109"/>
      <c r="AQ109" t="s">
        <v>74</v>
      </c>
      <c r="AR109" s="18" t="str">
        <f>IFERROR(VLOOKUP(K109,[1]POP!$F:$J,1,0),M109)</f>
        <v>MADA</v>
      </c>
      <c r="AS109" s="18" t="str">
        <f t="shared" si="6"/>
        <v>BARGARAM</v>
      </c>
      <c r="AT109" s="19">
        <f t="shared" si="9"/>
        <v>2</v>
      </c>
      <c r="AU109" s="19">
        <f t="shared" ca="1" si="8"/>
        <v>2</v>
      </c>
    </row>
    <row r="110" spans="1:47" x14ac:dyDescent="0.3">
      <c r="A110" t="s">
        <v>237</v>
      </c>
      <c r="B110" t="str">
        <f t="shared" si="5"/>
        <v>S27_2026</v>
      </c>
      <c r="C110" t="str">
        <f t="shared" si="7"/>
        <v>S27_2026</v>
      </c>
      <c r="F110">
        <v>28</v>
      </c>
      <c r="G110" t="s">
        <v>40</v>
      </c>
      <c r="I110" t="s">
        <v>238</v>
      </c>
      <c r="J110" t="s">
        <v>166</v>
      </c>
      <c r="K110" t="s">
        <v>124</v>
      </c>
      <c r="L110" t="s">
        <v>166</v>
      </c>
      <c r="M110" t="s">
        <v>124</v>
      </c>
      <c r="N110" t="s">
        <v>117</v>
      </c>
      <c r="O110" t="s">
        <v>117</v>
      </c>
      <c r="P110">
        <v>3</v>
      </c>
      <c r="Q110" s="7">
        <v>46202</v>
      </c>
      <c r="R110" s="7">
        <v>46202</v>
      </c>
      <c r="S110" s="7">
        <v>46202</v>
      </c>
      <c r="T110" t="s">
        <v>45</v>
      </c>
      <c r="V110" t="s">
        <v>167</v>
      </c>
      <c r="W110" t="s">
        <v>45</v>
      </c>
      <c r="X110" t="s">
        <v>45</v>
      </c>
      <c r="Y110" t="s">
        <v>45</v>
      </c>
      <c r="Z110" t="s">
        <v>74</v>
      </c>
      <c r="AF110">
        <v>2</v>
      </c>
      <c r="AH110" t="s">
        <v>75</v>
      </c>
      <c r="AI110">
        <v>1</v>
      </c>
      <c r="AJ110" s="9"/>
      <c r="AK110" t="s">
        <v>74</v>
      </c>
      <c r="AM110"/>
      <c r="AN110" t="s">
        <v>74</v>
      </c>
      <c r="AO110" t="s">
        <v>74</v>
      </c>
      <c r="AP110"/>
      <c r="AQ110" t="s">
        <v>74</v>
      </c>
      <c r="AR110" s="18" t="str">
        <f>IFERROR(VLOOKUP(K110,[1]POP!$F:$J,1,0),M110)</f>
        <v>MADA</v>
      </c>
      <c r="AS110" s="18" t="str">
        <f t="shared" si="6"/>
        <v>BARGARAM</v>
      </c>
      <c r="AT110" s="19">
        <f t="shared" si="9"/>
        <v>2</v>
      </c>
      <c r="AU110" s="19">
        <f t="shared" ca="1" si="8"/>
        <v>2</v>
      </c>
    </row>
    <row r="111" spans="1:47" x14ac:dyDescent="0.3">
      <c r="A111" t="s">
        <v>239</v>
      </c>
      <c r="B111" t="str">
        <f t="shared" si="5"/>
        <v>S27_2026</v>
      </c>
      <c r="C111" t="str">
        <f t="shared" si="7"/>
        <v>S27_2026</v>
      </c>
      <c r="F111">
        <v>12</v>
      </c>
      <c r="G111" t="s">
        <v>55</v>
      </c>
      <c r="I111" t="s">
        <v>238</v>
      </c>
      <c r="J111" t="s">
        <v>166</v>
      </c>
      <c r="K111" t="s">
        <v>124</v>
      </c>
      <c r="L111" t="s">
        <v>166</v>
      </c>
      <c r="M111" t="s">
        <v>124</v>
      </c>
      <c r="N111" t="s">
        <v>117</v>
      </c>
      <c r="O111" t="s">
        <v>117</v>
      </c>
      <c r="P111">
        <v>3</v>
      </c>
      <c r="Q111" s="7">
        <v>46202</v>
      </c>
      <c r="R111" s="7">
        <v>46202</v>
      </c>
      <c r="S111" s="7">
        <v>46202</v>
      </c>
      <c r="T111" t="s">
        <v>45</v>
      </c>
      <c r="V111" t="s">
        <v>167</v>
      </c>
      <c r="W111" t="s">
        <v>45</v>
      </c>
      <c r="X111" t="s">
        <v>45</v>
      </c>
      <c r="Y111" t="s">
        <v>45</v>
      </c>
      <c r="Z111" t="s">
        <v>74</v>
      </c>
      <c r="AF111">
        <v>2</v>
      </c>
      <c r="AH111" t="s">
        <v>75</v>
      </c>
      <c r="AI111">
        <v>1</v>
      </c>
      <c r="AJ111" s="9"/>
      <c r="AK111" t="s">
        <v>74</v>
      </c>
      <c r="AM111"/>
      <c r="AN111" t="s">
        <v>74</v>
      </c>
      <c r="AO111" t="s">
        <v>74</v>
      </c>
      <c r="AP111"/>
      <c r="AQ111" t="s">
        <v>74</v>
      </c>
      <c r="AR111" s="18" t="str">
        <f>IFERROR(VLOOKUP(K111,[1]POP!$F:$J,1,0),M111)</f>
        <v>MADA</v>
      </c>
      <c r="AS111" s="18" t="str">
        <f t="shared" si="6"/>
        <v>BARGARAM</v>
      </c>
      <c r="AT111" s="19">
        <f t="shared" si="9"/>
        <v>2</v>
      </c>
      <c r="AU111" s="19">
        <f t="shared" ca="1" si="8"/>
        <v>2</v>
      </c>
    </row>
    <row r="112" spans="1:47" x14ac:dyDescent="0.3">
      <c r="A112" t="s">
        <v>240</v>
      </c>
      <c r="B112" t="str">
        <f t="shared" si="5"/>
        <v>S27_2026</v>
      </c>
      <c r="C112" t="str">
        <f t="shared" si="7"/>
        <v>S27_2026</v>
      </c>
      <c r="F112">
        <v>30</v>
      </c>
      <c r="G112" t="s">
        <v>55</v>
      </c>
      <c r="H112" t="s">
        <v>70</v>
      </c>
      <c r="I112" t="s">
        <v>178</v>
      </c>
      <c r="J112" t="s">
        <v>173</v>
      </c>
      <c r="K112" t="s">
        <v>124</v>
      </c>
      <c r="L112" t="s">
        <v>174</v>
      </c>
      <c r="M112" t="s">
        <v>124</v>
      </c>
      <c r="N112" t="s">
        <v>117</v>
      </c>
      <c r="O112" t="s">
        <v>117</v>
      </c>
      <c r="P112">
        <v>3</v>
      </c>
      <c r="Q112" s="7">
        <v>46202</v>
      </c>
      <c r="R112" s="7">
        <v>46202</v>
      </c>
      <c r="S112" s="7">
        <v>46202</v>
      </c>
      <c r="T112" t="s">
        <v>46</v>
      </c>
      <c r="V112" t="s">
        <v>175</v>
      </c>
      <c r="W112" t="s">
        <v>46</v>
      </c>
      <c r="X112" t="s">
        <v>45</v>
      </c>
      <c r="Y112" t="s">
        <v>45</v>
      </c>
      <c r="Z112" t="s">
        <v>45</v>
      </c>
      <c r="AF112">
        <v>2</v>
      </c>
      <c r="AH112" t="s">
        <v>75</v>
      </c>
      <c r="AI112">
        <v>1</v>
      </c>
      <c r="AJ112" s="9"/>
      <c r="AK112" t="s">
        <v>74</v>
      </c>
      <c r="AM112"/>
      <c r="AN112" t="s">
        <v>74</v>
      </c>
      <c r="AO112" t="s">
        <v>74</v>
      </c>
      <c r="AP112"/>
      <c r="AQ112" t="s">
        <v>74</v>
      </c>
      <c r="AR112" s="18" t="str">
        <f>IFERROR(VLOOKUP(K112,[1]POP!$F:$J,1,0),M112)</f>
        <v>MADA</v>
      </c>
      <c r="AS112" s="18" t="str">
        <f t="shared" si="6"/>
        <v>TCHIKA</v>
      </c>
      <c r="AT112" s="19">
        <f t="shared" si="9"/>
        <v>2</v>
      </c>
      <c r="AU112" s="19">
        <f t="shared" ca="1" si="8"/>
        <v>2</v>
      </c>
    </row>
    <row r="113" spans="1:47" x14ac:dyDescent="0.3">
      <c r="A113" t="s">
        <v>241</v>
      </c>
      <c r="B113" t="str">
        <f t="shared" si="5"/>
        <v>S27_2026</v>
      </c>
      <c r="C113" t="str">
        <f t="shared" si="7"/>
        <v>S27_2026</v>
      </c>
      <c r="F113">
        <v>18</v>
      </c>
      <c r="G113" t="s">
        <v>55</v>
      </c>
      <c r="H113" t="s">
        <v>70</v>
      </c>
      <c r="I113" t="s">
        <v>178</v>
      </c>
      <c r="J113" t="s">
        <v>173</v>
      </c>
      <c r="K113" t="s">
        <v>124</v>
      </c>
      <c r="L113" t="s">
        <v>174</v>
      </c>
      <c r="M113" t="s">
        <v>124</v>
      </c>
      <c r="N113" t="s">
        <v>117</v>
      </c>
      <c r="O113" t="s">
        <v>117</v>
      </c>
      <c r="P113">
        <v>3</v>
      </c>
      <c r="Q113" s="7">
        <v>46202</v>
      </c>
      <c r="R113" s="7">
        <v>46202</v>
      </c>
      <c r="S113" s="7">
        <v>46202</v>
      </c>
      <c r="T113" t="s">
        <v>46</v>
      </c>
      <c r="V113" t="s">
        <v>175</v>
      </c>
      <c r="W113" t="s">
        <v>46</v>
      </c>
      <c r="X113" t="s">
        <v>45</v>
      </c>
      <c r="Y113" t="s">
        <v>45</v>
      </c>
      <c r="Z113" t="s">
        <v>45</v>
      </c>
      <c r="AF113">
        <v>2</v>
      </c>
      <c r="AH113" t="s">
        <v>75</v>
      </c>
      <c r="AI113">
        <v>1</v>
      </c>
      <c r="AJ113" s="9"/>
      <c r="AK113" t="s">
        <v>74</v>
      </c>
      <c r="AM113"/>
      <c r="AN113" t="s">
        <v>74</v>
      </c>
      <c r="AO113" t="s">
        <v>74</v>
      </c>
      <c r="AP113"/>
      <c r="AQ113" t="s">
        <v>74</v>
      </c>
      <c r="AR113" s="18" t="str">
        <f>IFERROR(VLOOKUP(K113,[1]POP!$F:$J,1,0),M113)</f>
        <v>MADA</v>
      </c>
      <c r="AS113" s="18" t="str">
        <f t="shared" si="6"/>
        <v>TCHIKA</v>
      </c>
      <c r="AT113" s="19">
        <f t="shared" si="9"/>
        <v>2</v>
      </c>
      <c r="AU113" s="19">
        <f t="shared" ca="1" si="8"/>
        <v>2</v>
      </c>
    </row>
    <row r="114" spans="1:47" x14ac:dyDescent="0.3">
      <c r="A114" t="s">
        <v>242</v>
      </c>
      <c r="B114" t="str">
        <f t="shared" si="5"/>
        <v>S27_2026</v>
      </c>
      <c r="C114" t="str">
        <f t="shared" si="7"/>
        <v>S27_2026</v>
      </c>
      <c r="F114">
        <v>2</v>
      </c>
      <c r="G114" t="s">
        <v>55</v>
      </c>
      <c r="I114" t="s">
        <v>178</v>
      </c>
      <c r="J114" t="s">
        <v>173</v>
      </c>
      <c r="K114" t="s">
        <v>124</v>
      </c>
      <c r="L114" t="s">
        <v>174</v>
      </c>
      <c r="M114" t="s">
        <v>124</v>
      </c>
      <c r="N114" t="s">
        <v>117</v>
      </c>
      <c r="O114" t="s">
        <v>117</v>
      </c>
      <c r="P114">
        <v>2</v>
      </c>
      <c r="Q114" s="7">
        <v>46202</v>
      </c>
      <c r="R114" s="7">
        <v>46202</v>
      </c>
      <c r="S114" s="7">
        <v>46202</v>
      </c>
      <c r="T114" t="s">
        <v>46</v>
      </c>
      <c r="V114" t="s">
        <v>175</v>
      </c>
      <c r="W114" t="s">
        <v>46</v>
      </c>
      <c r="X114" t="s">
        <v>45</v>
      </c>
      <c r="Y114" t="s">
        <v>45</v>
      </c>
      <c r="Z114" t="s">
        <v>45</v>
      </c>
      <c r="AF114">
        <v>2</v>
      </c>
      <c r="AH114" t="s">
        <v>75</v>
      </c>
      <c r="AI114">
        <v>1</v>
      </c>
      <c r="AJ114" s="9"/>
      <c r="AK114" t="s">
        <v>74</v>
      </c>
      <c r="AM114"/>
      <c r="AN114" t="s">
        <v>74</v>
      </c>
      <c r="AO114" t="s">
        <v>74</v>
      </c>
      <c r="AP114"/>
      <c r="AQ114"/>
      <c r="AR114" s="18" t="str">
        <f>IFERROR(VLOOKUP(K114,[1]POP!$F:$J,1,0),M114)</f>
        <v>MADA</v>
      </c>
      <c r="AS114" s="18" t="str">
        <f t="shared" si="6"/>
        <v>TCHIKA</v>
      </c>
      <c r="AT114" s="19">
        <f t="shared" si="9"/>
        <v>2</v>
      </c>
      <c r="AU114" s="19">
        <f t="shared" ca="1" si="8"/>
        <v>2</v>
      </c>
    </row>
    <row r="115" spans="1:47" x14ac:dyDescent="0.3">
      <c r="A115" t="s">
        <v>243</v>
      </c>
      <c r="B115" t="str">
        <f t="shared" si="5"/>
        <v>S27_2026</v>
      </c>
      <c r="C115" t="str">
        <f t="shared" si="7"/>
        <v>S27_2026</v>
      </c>
      <c r="F115">
        <v>1</v>
      </c>
      <c r="G115" t="s">
        <v>55</v>
      </c>
      <c r="I115" t="s">
        <v>178</v>
      </c>
      <c r="J115" t="s">
        <v>173</v>
      </c>
      <c r="K115" t="s">
        <v>124</v>
      </c>
      <c r="L115" t="s">
        <v>174</v>
      </c>
      <c r="M115" t="s">
        <v>124</v>
      </c>
      <c r="N115" t="s">
        <v>117</v>
      </c>
      <c r="O115" t="s">
        <v>117</v>
      </c>
      <c r="P115">
        <v>2</v>
      </c>
      <c r="Q115" s="7">
        <v>46202</v>
      </c>
      <c r="R115" s="7">
        <v>46202</v>
      </c>
      <c r="S115" s="7">
        <v>46202</v>
      </c>
      <c r="T115" t="s">
        <v>46</v>
      </c>
      <c r="V115" t="s">
        <v>175</v>
      </c>
      <c r="W115" t="s">
        <v>46</v>
      </c>
      <c r="X115" t="s">
        <v>45</v>
      </c>
      <c r="Y115" t="s">
        <v>45</v>
      </c>
      <c r="Z115" t="s">
        <v>45</v>
      </c>
      <c r="AF115">
        <v>2</v>
      </c>
      <c r="AH115" t="s">
        <v>75</v>
      </c>
      <c r="AI115">
        <v>1</v>
      </c>
      <c r="AJ115" s="9"/>
      <c r="AK115" t="s">
        <v>74</v>
      </c>
      <c r="AM115"/>
      <c r="AN115"/>
      <c r="AO115"/>
      <c r="AP115"/>
      <c r="AQ115"/>
      <c r="AR115" s="18" t="str">
        <f>IFERROR(VLOOKUP(K115,[1]POP!$F:$J,1,0),M115)</f>
        <v>MADA</v>
      </c>
      <c r="AS115" s="18" t="str">
        <f t="shared" si="6"/>
        <v>TCHIKA</v>
      </c>
      <c r="AT115" s="19">
        <f t="shared" si="9"/>
        <v>2</v>
      </c>
      <c r="AU115" s="19">
        <f t="shared" ca="1" si="8"/>
        <v>2</v>
      </c>
    </row>
    <row r="116" spans="1:47" x14ac:dyDescent="0.3">
      <c r="A116" t="s">
        <v>244</v>
      </c>
      <c r="B116" t="str">
        <f t="shared" si="5"/>
        <v>S27_2026</v>
      </c>
      <c r="C116" t="str">
        <f t="shared" si="7"/>
        <v>S27_2026</v>
      </c>
      <c r="F116">
        <v>10</v>
      </c>
      <c r="G116" t="s">
        <v>55</v>
      </c>
      <c r="I116" t="s">
        <v>178</v>
      </c>
      <c r="J116" t="s">
        <v>173</v>
      </c>
      <c r="K116" t="s">
        <v>124</v>
      </c>
      <c r="L116" t="s">
        <v>174</v>
      </c>
      <c r="M116" t="s">
        <v>124</v>
      </c>
      <c r="N116" t="s">
        <v>117</v>
      </c>
      <c r="O116" t="s">
        <v>117</v>
      </c>
      <c r="P116">
        <v>3</v>
      </c>
      <c r="Q116" s="7">
        <v>46202</v>
      </c>
      <c r="R116" s="7">
        <v>46202</v>
      </c>
      <c r="S116" s="7">
        <v>46202</v>
      </c>
      <c r="T116" t="s">
        <v>46</v>
      </c>
      <c r="V116" t="s">
        <v>175</v>
      </c>
      <c r="W116" t="s">
        <v>46</v>
      </c>
      <c r="X116" t="s">
        <v>45</v>
      </c>
      <c r="Y116" t="s">
        <v>45</v>
      </c>
      <c r="Z116" t="s">
        <v>45</v>
      </c>
      <c r="AF116">
        <v>2</v>
      </c>
      <c r="AH116" t="s">
        <v>75</v>
      </c>
      <c r="AI116">
        <v>1</v>
      </c>
      <c r="AJ116" s="9"/>
      <c r="AK116" t="s">
        <v>74</v>
      </c>
      <c r="AM116"/>
      <c r="AN116"/>
      <c r="AO116"/>
      <c r="AP116"/>
      <c r="AQ116"/>
      <c r="AR116" s="18" t="str">
        <f>IFERROR(VLOOKUP(K116,[1]POP!$F:$J,1,0),M116)</f>
        <v>MADA</v>
      </c>
      <c r="AS116" s="18" t="str">
        <f t="shared" si="6"/>
        <v>TCHIKA</v>
      </c>
      <c r="AT116" s="19">
        <f t="shared" si="9"/>
        <v>2</v>
      </c>
      <c r="AU116" s="19">
        <f t="shared" ca="1" si="8"/>
        <v>2</v>
      </c>
    </row>
    <row r="117" spans="1:47" x14ac:dyDescent="0.3">
      <c r="A117" t="s">
        <v>245</v>
      </c>
      <c r="B117" t="str">
        <f t="shared" si="5"/>
        <v>S27_2026</v>
      </c>
      <c r="C117" t="str">
        <f t="shared" si="7"/>
        <v>S27_2026</v>
      </c>
      <c r="F117">
        <v>3</v>
      </c>
      <c r="G117" t="s">
        <v>40</v>
      </c>
      <c r="I117" t="s">
        <v>178</v>
      </c>
      <c r="J117" t="s">
        <v>173</v>
      </c>
      <c r="K117" t="s">
        <v>124</v>
      </c>
      <c r="L117" t="s">
        <v>174</v>
      </c>
      <c r="M117" t="s">
        <v>124</v>
      </c>
      <c r="N117" t="s">
        <v>117</v>
      </c>
      <c r="O117" t="s">
        <v>117</v>
      </c>
      <c r="P117">
        <v>3</v>
      </c>
      <c r="Q117" s="7">
        <v>46202</v>
      </c>
      <c r="R117" s="7">
        <v>46202</v>
      </c>
      <c r="S117" s="7">
        <v>46202</v>
      </c>
      <c r="T117" t="s">
        <v>46</v>
      </c>
      <c r="V117" t="s">
        <v>175</v>
      </c>
      <c r="W117" t="s">
        <v>46</v>
      </c>
      <c r="X117" t="s">
        <v>45</v>
      </c>
      <c r="Y117" t="s">
        <v>45</v>
      </c>
      <c r="Z117" t="s">
        <v>45</v>
      </c>
      <c r="AF117">
        <v>2</v>
      </c>
      <c r="AH117" t="s">
        <v>75</v>
      </c>
      <c r="AI117">
        <v>1</v>
      </c>
      <c r="AJ117" s="9"/>
      <c r="AK117" t="s">
        <v>74</v>
      </c>
      <c r="AM117"/>
      <c r="AN117"/>
      <c r="AO117"/>
      <c r="AP117"/>
      <c r="AQ117"/>
      <c r="AR117" s="18" t="str">
        <f>IFERROR(VLOOKUP(K117,[1]POP!$F:$J,1,0),M117)</f>
        <v>MADA</v>
      </c>
      <c r="AS117" s="18" t="str">
        <f t="shared" si="6"/>
        <v>TCHIKA</v>
      </c>
      <c r="AT117" s="19">
        <f t="shared" si="9"/>
        <v>2</v>
      </c>
      <c r="AU117" s="19">
        <f t="shared" ca="1" si="8"/>
        <v>2</v>
      </c>
    </row>
    <row r="118" spans="1:47" x14ac:dyDescent="0.3">
      <c r="A118" t="s">
        <v>246</v>
      </c>
      <c r="B118" t="str">
        <f t="shared" si="5"/>
        <v>S27_2026</v>
      </c>
      <c r="C118" t="str">
        <f t="shared" si="7"/>
        <v>S27_2026</v>
      </c>
      <c r="F118">
        <v>7</v>
      </c>
      <c r="G118" t="s">
        <v>40</v>
      </c>
      <c r="I118" t="s">
        <v>178</v>
      </c>
      <c r="J118" t="s">
        <v>173</v>
      </c>
      <c r="K118" t="s">
        <v>124</v>
      </c>
      <c r="L118" t="s">
        <v>174</v>
      </c>
      <c r="M118" t="s">
        <v>124</v>
      </c>
      <c r="N118" t="s">
        <v>117</v>
      </c>
      <c r="O118" t="s">
        <v>117</v>
      </c>
      <c r="P118">
        <v>2</v>
      </c>
      <c r="Q118" s="7">
        <v>46202</v>
      </c>
      <c r="R118" s="7">
        <v>46202</v>
      </c>
      <c r="S118" s="7">
        <v>46202</v>
      </c>
      <c r="T118" t="s">
        <v>46</v>
      </c>
      <c r="V118" t="s">
        <v>175</v>
      </c>
      <c r="W118" t="s">
        <v>46</v>
      </c>
      <c r="X118" t="s">
        <v>45</v>
      </c>
      <c r="Y118" t="s">
        <v>45</v>
      </c>
      <c r="Z118" t="s">
        <v>45</v>
      </c>
      <c r="AF118">
        <v>2</v>
      </c>
      <c r="AH118" t="s">
        <v>75</v>
      </c>
      <c r="AI118">
        <v>1</v>
      </c>
      <c r="AJ118" s="9"/>
      <c r="AK118" t="s">
        <v>74</v>
      </c>
      <c r="AM118"/>
      <c r="AN118" t="s">
        <v>74</v>
      </c>
      <c r="AO118" t="s">
        <v>74</v>
      </c>
      <c r="AP118"/>
      <c r="AQ118" t="s">
        <v>74</v>
      </c>
      <c r="AR118" s="18" t="str">
        <f>IFERROR(VLOOKUP(K118,[1]POP!$F:$J,1,0),M118)</f>
        <v>MADA</v>
      </c>
      <c r="AS118" s="18" t="str">
        <f t="shared" si="6"/>
        <v>TCHIKA</v>
      </c>
      <c r="AT118" s="19">
        <f t="shared" si="9"/>
        <v>2</v>
      </c>
      <c r="AU118" s="19">
        <f t="shared" ca="1" si="8"/>
        <v>2</v>
      </c>
    </row>
    <row r="119" spans="1:47" x14ac:dyDescent="0.3">
      <c r="A119" t="s">
        <v>247</v>
      </c>
      <c r="B119" t="str">
        <f t="shared" si="5"/>
        <v>S27_2026</v>
      </c>
      <c r="C119" t="str">
        <f t="shared" si="7"/>
        <v>S27_2026</v>
      </c>
      <c r="F119">
        <v>1</v>
      </c>
      <c r="G119" t="s">
        <v>55</v>
      </c>
      <c r="I119" t="s">
        <v>178</v>
      </c>
      <c r="J119" t="s">
        <v>173</v>
      </c>
      <c r="K119" t="s">
        <v>124</v>
      </c>
      <c r="L119" t="s">
        <v>174</v>
      </c>
      <c r="M119" t="s">
        <v>124</v>
      </c>
      <c r="N119" t="s">
        <v>117</v>
      </c>
      <c r="O119" t="s">
        <v>117</v>
      </c>
      <c r="P119">
        <v>2</v>
      </c>
      <c r="Q119" s="7">
        <v>46202</v>
      </c>
      <c r="R119" s="7">
        <v>46202</v>
      </c>
      <c r="S119" s="7">
        <v>46202</v>
      </c>
      <c r="T119" t="s">
        <v>46</v>
      </c>
      <c r="V119" t="s">
        <v>175</v>
      </c>
      <c r="W119" t="s">
        <v>46</v>
      </c>
      <c r="X119" t="s">
        <v>45</v>
      </c>
      <c r="Y119" t="s">
        <v>45</v>
      </c>
      <c r="Z119" t="s">
        <v>45</v>
      </c>
      <c r="AF119">
        <v>2</v>
      </c>
      <c r="AH119" t="s">
        <v>75</v>
      </c>
      <c r="AI119">
        <v>1</v>
      </c>
      <c r="AJ119" s="9"/>
      <c r="AK119" t="s">
        <v>74</v>
      </c>
      <c r="AM119"/>
      <c r="AN119" t="s">
        <v>74</v>
      </c>
      <c r="AO119" t="s">
        <v>74</v>
      </c>
      <c r="AP119"/>
      <c r="AQ119" t="s">
        <v>74</v>
      </c>
      <c r="AR119" s="18" t="str">
        <f>IFERROR(VLOOKUP(K119,[1]POP!$F:$J,1,0),M119)</f>
        <v>MADA</v>
      </c>
      <c r="AS119" s="18" t="str">
        <f t="shared" si="6"/>
        <v>TCHIKA</v>
      </c>
      <c r="AT119" s="19">
        <f t="shared" si="9"/>
        <v>2</v>
      </c>
      <c r="AU119" s="19">
        <f t="shared" ca="1" si="8"/>
        <v>2</v>
      </c>
    </row>
    <row r="120" spans="1:47" x14ac:dyDescent="0.3">
      <c r="A120" t="s">
        <v>248</v>
      </c>
      <c r="B120" t="str">
        <f t="shared" si="5"/>
        <v>S27_2026</v>
      </c>
      <c r="C120" t="str">
        <f t="shared" si="7"/>
        <v>S27_2026</v>
      </c>
      <c r="F120">
        <v>14</v>
      </c>
      <c r="G120" t="s">
        <v>55</v>
      </c>
      <c r="I120" t="s">
        <v>178</v>
      </c>
      <c r="J120" t="s">
        <v>173</v>
      </c>
      <c r="K120" t="s">
        <v>124</v>
      </c>
      <c r="L120" t="s">
        <v>174</v>
      </c>
      <c r="M120" t="s">
        <v>124</v>
      </c>
      <c r="N120" t="s">
        <v>117</v>
      </c>
      <c r="O120" t="s">
        <v>117</v>
      </c>
      <c r="P120">
        <v>3</v>
      </c>
      <c r="Q120" s="7">
        <v>46202</v>
      </c>
      <c r="R120" s="7">
        <v>46202</v>
      </c>
      <c r="S120" s="7">
        <v>46202</v>
      </c>
      <c r="T120" t="s">
        <v>46</v>
      </c>
      <c r="V120" t="s">
        <v>175</v>
      </c>
      <c r="W120" t="s">
        <v>46</v>
      </c>
      <c r="X120" t="s">
        <v>45</v>
      </c>
      <c r="Y120" t="s">
        <v>45</v>
      </c>
      <c r="Z120" t="s">
        <v>45</v>
      </c>
      <c r="AF120">
        <v>2</v>
      </c>
      <c r="AH120" t="s">
        <v>75</v>
      </c>
      <c r="AI120">
        <v>1</v>
      </c>
      <c r="AJ120" s="9"/>
      <c r="AK120" t="s">
        <v>74</v>
      </c>
      <c r="AM120"/>
      <c r="AN120" t="s">
        <v>74</v>
      </c>
      <c r="AO120" t="s">
        <v>74</v>
      </c>
      <c r="AP120"/>
      <c r="AQ120" t="s">
        <v>74</v>
      </c>
      <c r="AR120" s="18" t="str">
        <f>IFERROR(VLOOKUP(K120,[1]POP!$F:$J,1,0),M120)</f>
        <v>MADA</v>
      </c>
      <c r="AS120" s="18" t="str">
        <f t="shared" si="6"/>
        <v>TCHIKA</v>
      </c>
      <c r="AT120" s="19">
        <f t="shared" si="9"/>
        <v>2</v>
      </c>
      <c r="AU120" s="19">
        <f t="shared" ca="1" si="8"/>
        <v>2</v>
      </c>
    </row>
    <row r="121" spans="1:47" x14ac:dyDescent="0.3">
      <c r="A121" t="s">
        <v>249</v>
      </c>
      <c r="B121" t="str">
        <f t="shared" si="5"/>
        <v>S27_2026</v>
      </c>
      <c r="C121" t="str">
        <f t="shared" si="7"/>
        <v>S27_2026</v>
      </c>
      <c r="F121">
        <v>1</v>
      </c>
      <c r="G121" t="s">
        <v>40</v>
      </c>
      <c r="I121" t="s">
        <v>178</v>
      </c>
      <c r="J121" t="s">
        <v>173</v>
      </c>
      <c r="K121" t="s">
        <v>124</v>
      </c>
      <c r="L121" t="s">
        <v>174</v>
      </c>
      <c r="M121" t="s">
        <v>124</v>
      </c>
      <c r="N121" t="s">
        <v>117</v>
      </c>
      <c r="O121" t="s">
        <v>117</v>
      </c>
      <c r="P121">
        <v>2</v>
      </c>
      <c r="Q121" s="7">
        <v>46202</v>
      </c>
      <c r="R121" s="7">
        <v>46202</v>
      </c>
      <c r="S121" s="7">
        <v>46202</v>
      </c>
      <c r="T121" t="s">
        <v>46</v>
      </c>
      <c r="V121" t="s">
        <v>175</v>
      </c>
      <c r="W121" t="s">
        <v>46</v>
      </c>
      <c r="X121" t="s">
        <v>45</v>
      </c>
      <c r="Y121" t="s">
        <v>45</v>
      </c>
      <c r="Z121" t="s">
        <v>45</v>
      </c>
      <c r="AF121">
        <v>2</v>
      </c>
      <c r="AH121" t="s">
        <v>75</v>
      </c>
      <c r="AI121">
        <v>1</v>
      </c>
      <c r="AJ121" s="9"/>
      <c r="AK121" t="s">
        <v>74</v>
      </c>
      <c r="AM121"/>
      <c r="AN121" t="s">
        <v>74</v>
      </c>
      <c r="AO121" t="s">
        <v>74</v>
      </c>
      <c r="AP121"/>
      <c r="AQ121" t="s">
        <v>74</v>
      </c>
      <c r="AR121" s="18" t="str">
        <f>IFERROR(VLOOKUP(K121,[1]POP!$F:$J,1,0),M121)</f>
        <v>MADA</v>
      </c>
      <c r="AS121" s="18" t="str">
        <f t="shared" si="6"/>
        <v>TCHIKA</v>
      </c>
      <c r="AT121" s="19">
        <f t="shared" si="9"/>
        <v>2</v>
      </c>
      <c r="AU121" s="19">
        <f t="shared" ca="1" si="8"/>
        <v>2</v>
      </c>
    </row>
    <row r="122" spans="1:47" x14ac:dyDescent="0.3">
      <c r="A122" t="s">
        <v>250</v>
      </c>
      <c r="B122" t="str">
        <f t="shared" si="5"/>
        <v>S27_2026</v>
      </c>
      <c r="C122" t="str">
        <f t="shared" si="7"/>
        <v>S27_2026</v>
      </c>
      <c r="F122">
        <v>28</v>
      </c>
      <c r="G122" t="s">
        <v>40</v>
      </c>
      <c r="H122" t="s">
        <v>77</v>
      </c>
      <c r="I122" t="s">
        <v>178</v>
      </c>
      <c r="J122" t="s">
        <v>173</v>
      </c>
      <c r="K122" t="s">
        <v>124</v>
      </c>
      <c r="L122" t="s">
        <v>174</v>
      </c>
      <c r="M122" t="s">
        <v>124</v>
      </c>
      <c r="N122" t="s">
        <v>117</v>
      </c>
      <c r="O122" t="s">
        <v>117</v>
      </c>
      <c r="P122">
        <v>3</v>
      </c>
      <c r="Q122" s="7">
        <v>46202</v>
      </c>
      <c r="R122" s="7">
        <v>46202</v>
      </c>
      <c r="S122" s="7">
        <v>46202</v>
      </c>
      <c r="T122" t="s">
        <v>46</v>
      </c>
      <c r="V122" t="s">
        <v>175</v>
      </c>
      <c r="W122" t="s">
        <v>46</v>
      </c>
      <c r="X122" t="s">
        <v>45</v>
      </c>
      <c r="Y122" t="s">
        <v>45</v>
      </c>
      <c r="Z122" t="s">
        <v>45</v>
      </c>
      <c r="AF122">
        <v>2</v>
      </c>
      <c r="AH122" t="s">
        <v>75</v>
      </c>
      <c r="AI122">
        <v>1</v>
      </c>
      <c r="AJ122" s="9"/>
      <c r="AK122" t="s">
        <v>74</v>
      </c>
      <c r="AM122"/>
      <c r="AN122" t="s">
        <v>74</v>
      </c>
      <c r="AO122" t="s">
        <v>74</v>
      </c>
      <c r="AP122"/>
      <c r="AQ122" t="s">
        <v>74</v>
      </c>
      <c r="AR122" s="18" t="str">
        <f>IFERROR(VLOOKUP(K122,[1]POP!$F:$J,1,0),M122)</f>
        <v>MADA</v>
      </c>
      <c r="AS122" s="18" t="str">
        <f t="shared" si="6"/>
        <v>TCHIKA</v>
      </c>
      <c r="AT122" s="19">
        <f t="shared" si="9"/>
        <v>2</v>
      </c>
      <c r="AU122" s="19">
        <f t="shared" ca="1" si="8"/>
        <v>2</v>
      </c>
    </row>
    <row r="123" spans="1:47" x14ac:dyDescent="0.3">
      <c r="A123" t="s">
        <v>251</v>
      </c>
      <c r="B123" t="str">
        <f t="shared" si="5"/>
        <v>S27_2026</v>
      </c>
      <c r="C123" t="str">
        <f t="shared" si="7"/>
        <v>S27_2026</v>
      </c>
      <c r="F123">
        <v>2</v>
      </c>
      <c r="G123" t="s">
        <v>55</v>
      </c>
      <c r="I123" t="s">
        <v>178</v>
      </c>
      <c r="J123" t="s">
        <v>173</v>
      </c>
      <c r="K123" t="s">
        <v>124</v>
      </c>
      <c r="L123" t="s">
        <v>174</v>
      </c>
      <c r="M123" t="s">
        <v>124</v>
      </c>
      <c r="N123" t="s">
        <v>117</v>
      </c>
      <c r="O123" t="s">
        <v>117</v>
      </c>
      <c r="P123">
        <v>2</v>
      </c>
      <c r="Q123" s="7">
        <v>46202</v>
      </c>
      <c r="R123" s="7">
        <v>46202</v>
      </c>
      <c r="S123" s="7">
        <v>46202</v>
      </c>
      <c r="T123" t="s">
        <v>46</v>
      </c>
      <c r="V123" t="s">
        <v>175</v>
      </c>
      <c r="W123" t="s">
        <v>46</v>
      </c>
      <c r="X123" t="s">
        <v>45</v>
      </c>
      <c r="Y123" t="s">
        <v>45</v>
      </c>
      <c r="Z123" t="s">
        <v>45</v>
      </c>
      <c r="AF123">
        <v>2</v>
      </c>
      <c r="AH123" t="s">
        <v>75</v>
      </c>
      <c r="AI123">
        <v>1</v>
      </c>
      <c r="AJ123" s="9"/>
      <c r="AK123" t="s">
        <v>74</v>
      </c>
      <c r="AM123"/>
      <c r="AN123" t="s">
        <v>74</v>
      </c>
      <c r="AO123" t="s">
        <v>74</v>
      </c>
      <c r="AP123"/>
      <c r="AQ123" t="s">
        <v>74</v>
      </c>
      <c r="AR123" s="18" t="str">
        <f>IFERROR(VLOOKUP(K123,[1]POP!$F:$J,1,0),M123)</f>
        <v>MADA</v>
      </c>
      <c r="AS123" s="18" t="str">
        <f t="shared" si="6"/>
        <v>TCHIKA</v>
      </c>
      <c r="AT123" s="19">
        <f t="shared" si="9"/>
        <v>2</v>
      </c>
      <c r="AU123" s="19">
        <f t="shared" ca="1" si="8"/>
        <v>2</v>
      </c>
    </row>
    <row r="124" spans="1:47" x14ac:dyDescent="0.3">
      <c r="A124" t="s">
        <v>252</v>
      </c>
      <c r="B124" t="str">
        <f t="shared" si="5"/>
        <v>S27_2026</v>
      </c>
      <c r="C124" t="str">
        <f t="shared" si="7"/>
        <v>S27_2026</v>
      </c>
      <c r="F124">
        <v>50</v>
      </c>
      <c r="G124" t="s">
        <v>55</v>
      </c>
      <c r="H124" t="s">
        <v>70</v>
      </c>
      <c r="I124" t="s">
        <v>166</v>
      </c>
      <c r="J124" t="s">
        <v>173</v>
      </c>
      <c r="K124" t="s">
        <v>124</v>
      </c>
      <c r="L124" t="s">
        <v>174</v>
      </c>
      <c r="M124" t="s">
        <v>124</v>
      </c>
      <c r="N124" t="s">
        <v>45</v>
      </c>
      <c r="O124" t="s">
        <v>45</v>
      </c>
      <c r="P124">
        <v>3</v>
      </c>
      <c r="Q124" s="7">
        <v>46202</v>
      </c>
      <c r="R124" s="7">
        <v>46202</v>
      </c>
      <c r="S124" s="7">
        <v>46202</v>
      </c>
      <c r="T124" t="s">
        <v>46</v>
      </c>
      <c r="V124" t="s">
        <v>175</v>
      </c>
      <c r="W124" t="s">
        <v>46</v>
      </c>
      <c r="X124" t="s">
        <v>45</v>
      </c>
      <c r="Y124" t="s">
        <v>45</v>
      </c>
      <c r="Z124" t="s">
        <v>45</v>
      </c>
      <c r="AF124">
        <v>3</v>
      </c>
      <c r="AH124" t="s">
        <v>75</v>
      </c>
      <c r="AI124">
        <v>2</v>
      </c>
      <c r="AJ124" s="9">
        <v>46203</v>
      </c>
      <c r="AK124" t="s">
        <v>74</v>
      </c>
      <c r="AM124"/>
      <c r="AN124" t="s">
        <v>74</v>
      </c>
      <c r="AO124" t="s">
        <v>74</v>
      </c>
      <c r="AP124"/>
      <c r="AQ124" t="s">
        <v>74</v>
      </c>
      <c r="AR124" s="18" t="str">
        <f>IFERROR(VLOOKUP(K124,[1]POP!$F:$J,1,0),M124)</f>
        <v>MADA</v>
      </c>
      <c r="AS124" s="18" t="str">
        <f t="shared" si="6"/>
        <v>TCHIKA</v>
      </c>
      <c r="AT124" s="19">
        <f t="shared" si="9"/>
        <v>3</v>
      </c>
      <c r="AU124" s="19">
        <f t="shared" ca="1" si="8"/>
        <v>2</v>
      </c>
    </row>
    <row r="125" spans="1:47" x14ac:dyDescent="0.3">
      <c r="A125" t="s">
        <v>253</v>
      </c>
      <c r="B125" t="str">
        <f t="shared" si="5"/>
        <v>S27_2026</v>
      </c>
      <c r="C125" t="str">
        <f t="shared" si="7"/>
        <v>S27_2026</v>
      </c>
      <c r="F125">
        <v>2</v>
      </c>
      <c r="G125" t="s">
        <v>55</v>
      </c>
      <c r="I125" t="s">
        <v>178</v>
      </c>
      <c r="J125" t="s">
        <v>173</v>
      </c>
      <c r="K125" t="s">
        <v>124</v>
      </c>
      <c r="L125" t="s">
        <v>174</v>
      </c>
      <c r="M125" t="s">
        <v>124</v>
      </c>
      <c r="N125" t="s">
        <v>45</v>
      </c>
      <c r="O125" t="s">
        <v>45</v>
      </c>
      <c r="P125">
        <v>2</v>
      </c>
      <c r="Q125" s="7">
        <v>46202</v>
      </c>
      <c r="R125" s="7">
        <v>46202</v>
      </c>
      <c r="S125" s="7">
        <v>46202</v>
      </c>
      <c r="T125" t="s">
        <v>45</v>
      </c>
      <c r="V125" t="s">
        <v>175</v>
      </c>
      <c r="W125" t="s">
        <v>45</v>
      </c>
      <c r="X125" t="s">
        <v>45</v>
      </c>
      <c r="Y125" t="s">
        <v>45</v>
      </c>
      <c r="Z125" t="s">
        <v>45</v>
      </c>
      <c r="AF125">
        <v>2</v>
      </c>
      <c r="AH125" t="s">
        <v>75</v>
      </c>
      <c r="AI125">
        <v>1</v>
      </c>
      <c r="AJ125" s="9"/>
      <c r="AM125"/>
      <c r="AN125" t="s">
        <v>74</v>
      </c>
      <c r="AO125" t="s">
        <v>74</v>
      </c>
      <c r="AP125"/>
      <c r="AQ125" t="s">
        <v>74</v>
      </c>
      <c r="AR125" s="18" t="str">
        <f>IFERROR(VLOOKUP(K125,[1]POP!$F:$J,1,0),M125)</f>
        <v>MADA</v>
      </c>
      <c r="AS125" s="18" t="str">
        <f t="shared" si="6"/>
        <v>TCHIKA</v>
      </c>
      <c r="AT125" s="19">
        <f t="shared" si="9"/>
        <v>2</v>
      </c>
      <c r="AU125" s="19">
        <f t="shared" ca="1" si="8"/>
        <v>2</v>
      </c>
    </row>
    <row r="126" spans="1:47" x14ac:dyDescent="0.3">
      <c r="A126" t="s">
        <v>254</v>
      </c>
      <c r="B126" t="str">
        <f t="shared" si="5"/>
        <v>S27_2026</v>
      </c>
      <c r="C126" t="str">
        <f t="shared" si="7"/>
        <v>S27_2026</v>
      </c>
      <c r="F126">
        <v>3</v>
      </c>
      <c r="G126" t="s">
        <v>55</v>
      </c>
      <c r="I126" t="s">
        <v>178</v>
      </c>
      <c r="J126" t="s">
        <v>173</v>
      </c>
      <c r="K126" t="s">
        <v>124</v>
      </c>
      <c r="L126" t="s">
        <v>174</v>
      </c>
      <c r="M126" t="s">
        <v>124</v>
      </c>
      <c r="N126" t="s">
        <v>45</v>
      </c>
      <c r="O126" t="s">
        <v>45</v>
      </c>
      <c r="P126">
        <v>2</v>
      </c>
      <c r="Q126" s="7">
        <v>46202</v>
      </c>
      <c r="R126" s="7">
        <v>46202</v>
      </c>
      <c r="S126" s="7">
        <v>46202</v>
      </c>
      <c r="T126" t="s">
        <v>45</v>
      </c>
      <c r="V126" t="s">
        <v>175</v>
      </c>
      <c r="W126" t="s">
        <v>45</v>
      </c>
      <c r="X126" t="s">
        <v>45</v>
      </c>
      <c r="Y126" t="s">
        <v>45</v>
      </c>
      <c r="Z126" t="s">
        <v>45</v>
      </c>
      <c r="AF126">
        <v>2</v>
      </c>
      <c r="AH126" t="s">
        <v>75</v>
      </c>
      <c r="AI126">
        <v>1</v>
      </c>
      <c r="AJ126" s="9"/>
      <c r="AM126"/>
      <c r="AN126" t="s">
        <v>74</v>
      </c>
      <c r="AO126" t="s">
        <v>74</v>
      </c>
      <c r="AP126"/>
      <c r="AQ126" t="s">
        <v>74</v>
      </c>
      <c r="AR126" s="18" t="str">
        <f>IFERROR(VLOOKUP(K126,[1]POP!$F:$J,1,0),M126)</f>
        <v>MADA</v>
      </c>
      <c r="AS126" s="18" t="str">
        <f t="shared" si="6"/>
        <v>TCHIKA</v>
      </c>
      <c r="AT126" s="19">
        <f t="shared" si="9"/>
        <v>2</v>
      </c>
      <c r="AU126" s="19">
        <f t="shared" ca="1" si="8"/>
        <v>2</v>
      </c>
    </row>
    <row r="127" spans="1:47" x14ac:dyDescent="0.3">
      <c r="A127" t="s">
        <v>255</v>
      </c>
      <c r="B127" t="str">
        <f t="shared" si="5"/>
        <v>S27_2026</v>
      </c>
      <c r="C127" t="str">
        <f t="shared" si="7"/>
        <v>S27_2026</v>
      </c>
      <c r="F127">
        <v>2</v>
      </c>
      <c r="G127" t="s">
        <v>55</v>
      </c>
      <c r="I127" t="s">
        <v>178</v>
      </c>
      <c r="J127" t="s">
        <v>173</v>
      </c>
      <c r="K127" t="s">
        <v>124</v>
      </c>
      <c r="L127" t="s">
        <v>174</v>
      </c>
      <c r="M127" t="s">
        <v>124</v>
      </c>
      <c r="N127" t="s">
        <v>45</v>
      </c>
      <c r="O127" t="s">
        <v>45</v>
      </c>
      <c r="P127">
        <v>2</v>
      </c>
      <c r="Q127" s="7">
        <v>46202</v>
      </c>
      <c r="R127" s="7">
        <v>46202</v>
      </c>
      <c r="S127" s="7">
        <v>46202</v>
      </c>
      <c r="T127" t="s">
        <v>45</v>
      </c>
      <c r="V127" t="s">
        <v>175</v>
      </c>
      <c r="W127" t="s">
        <v>45</v>
      </c>
      <c r="X127" t="s">
        <v>45</v>
      </c>
      <c r="Y127" t="s">
        <v>45</v>
      </c>
      <c r="Z127" t="s">
        <v>45</v>
      </c>
      <c r="AF127">
        <v>2</v>
      </c>
      <c r="AH127" t="s">
        <v>75</v>
      </c>
      <c r="AI127">
        <v>1</v>
      </c>
      <c r="AJ127" s="9"/>
      <c r="AM127"/>
      <c r="AN127" t="s">
        <v>74</v>
      </c>
      <c r="AO127" t="s">
        <v>74</v>
      </c>
      <c r="AP127"/>
      <c r="AQ127" t="s">
        <v>74</v>
      </c>
      <c r="AR127" s="18" t="str">
        <f>IFERROR(VLOOKUP(K127,[1]POP!$F:$J,1,0),M127)</f>
        <v>MADA</v>
      </c>
      <c r="AS127" s="18" t="str">
        <f t="shared" si="6"/>
        <v>TCHIKA</v>
      </c>
      <c r="AT127" s="19">
        <f t="shared" si="9"/>
        <v>2</v>
      </c>
      <c r="AU127" s="19">
        <f t="shared" ca="1" si="8"/>
        <v>2</v>
      </c>
    </row>
    <row r="128" spans="1:47" x14ac:dyDescent="0.3">
      <c r="A128" t="s">
        <v>256</v>
      </c>
      <c r="B128" t="str">
        <f t="shared" si="5"/>
        <v>S27_2026</v>
      </c>
      <c r="C128" t="str">
        <f t="shared" si="7"/>
        <v>S27_2026</v>
      </c>
      <c r="F128">
        <v>3</v>
      </c>
      <c r="G128" t="s">
        <v>55</v>
      </c>
      <c r="I128" t="s">
        <v>178</v>
      </c>
      <c r="J128" t="s">
        <v>173</v>
      </c>
      <c r="K128" t="s">
        <v>124</v>
      </c>
      <c r="L128" t="s">
        <v>174</v>
      </c>
      <c r="M128" t="s">
        <v>124</v>
      </c>
      <c r="N128" t="s">
        <v>117</v>
      </c>
      <c r="O128" t="s">
        <v>117</v>
      </c>
      <c r="P128">
        <v>3</v>
      </c>
      <c r="Q128" s="7">
        <v>46202</v>
      </c>
      <c r="R128" s="7">
        <v>46202</v>
      </c>
      <c r="S128" s="7">
        <v>46202</v>
      </c>
      <c r="T128" t="s">
        <v>46</v>
      </c>
      <c r="V128" t="s">
        <v>175</v>
      </c>
      <c r="W128" t="s">
        <v>46</v>
      </c>
      <c r="X128" t="s">
        <v>45</v>
      </c>
      <c r="Y128" t="s">
        <v>45</v>
      </c>
      <c r="Z128" t="s">
        <v>45</v>
      </c>
      <c r="AF128">
        <v>2</v>
      </c>
      <c r="AH128" t="s">
        <v>75</v>
      </c>
      <c r="AI128">
        <v>1</v>
      </c>
      <c r="AJ128" s="9"/>
      <c r="AK128" t="s">
        <v>74</v>
      </c>
      <c r="AM128"/>
      <c r="AN128" t="s">
        <v>74</v>
      </c>
      <c r="AO128" t="s">
        <v>74</v>
      </c>
      <c r="AP128"/>
      <c r="AQ128" t="s">
        <v>74</v>
      </c>
      <c r="AR128" s="18" t="str">
        <f>IFERROR(VLOOKUP(K128,[1]POP!$F:$J,1,0),M128)</f>
        <v>MADA</v>
      </c>
      <c r="AS128" s="18" t="str">
        <f t="shared" si="6"/>
        <v>TCHIKA</v>
      </c>
      <c r="AT128" s="19">
        <f t="shared" si="9"/>
        <v>2</v>
      </c>
      <c r="AU128" s="19">
        <f t="shared" ca="1" si="8"/>
        <v>2</v>
      </c>
    </row>
    <row r="129" spans="1:47" x14ac:dyDescent="0.3">
      <c r="A129" t="s">
        <v>257</v>
      </c>
      <c r="B129" t="str">
        <f t="shared" si="5"/>
        <v>S27_2026</v>
      </c>
      <c r="C129" t="str">
        <f t="shared" si="7"/>
        <v>S27_2026</v>
      </c>
      <c r="F129">
        <v>19</v>
      </c>
      <c r="G129" t="s">
        <v>55</v>
      </c>
      <c r="H129" t="s">
        <v>70</v>
      </c>
      <c r="I129" t="s">
        <v>178</v>
      </c>
      <c r="J129" t="s">
        <v>173</v>
      </c>
      <c r="K129" t="s">
        <v>124</v>
      </c>
      <c r="L129" t="s">
        <v>174</v>
      </c>
      <c r="M129" t="s">
        <v>124</v>
      </c>
      <c r="N129" t="s">
        <v>117</v>
      </c>
      <c r="O129" t="s">
        <v>117</v>
      </c>
      <c r="P129">
        <v>3</v>
      </c>
      <c r="Q129" s="7">
        <v>46202</v>
      </c>
      <c r="R129" s="7">
        <v>46202</v>
      </c>
      <c r="S129" s="7">
        <v>46202</v>
      </c>
      <c r="T129" t="s">
        <v>46</v>
      </c>
      <c r="V129" t="s">
        <v>175</v>
      </c>
      <c r="W129" t="s">
        <v>46</v>
      </c>
      <c r="X129" t="s">
        <v>45</v>
      </c>
      <c r="Y129" t="s">
        <v>45</v>
      </c>
      <c r="Z129" t="s">
        <v>45</v>
      </c>
      <c r="AF129">
        <v>2</v>
      </c>
      <c r="AH129" t="s">
        <v>75</v>
      </c>
      <c r="AI129">
        <v>1</v>
      </c>
      <c r="AJ129" s="9"/>
      <c r="AK129" t="s">
        <v>74</v>
      </c>
      <c r="AM129"/>
      <c r="AN129" t="s">
        <v>74</v>
      </c>
      <c r="AO129" t="s">
        <v>74</v>
      </c>
      <c r="AP129"/>
      <c r="AQ129" t="s">
        <v>74</v>
      </c>
      <c r="AR129" s="18" t="str">
        <f>IFERROR(VLOOKUP(K129,[1]POP!$F:$J,1,0),M129)</f>
        <v>MADA</v>
      </c>
      <c r="AS129" s="18" t="str">
        <f t="shared" si="6"/>
        <v>TCHIKA</v>
      </c>
      <c r="AT129" s="19">
        <f t="shared" si="9"/>
        <v>2</v>
      </c>
      <c r="AU129" s="19">
        <f t="shared" ca="1" si="8"/>
        <v>2</v>
      </c>
    </row>
    <row r="130" spans="1:47" x14ac:dyDescent="0.3">
      <c r="A130" t="s">
        <v>258</v>
      </c>
      <c r="B130" t="str">
        <f t="shared" ref="B130:B193" si="10">"S"&amp;(IF(_xlfn.ISOWEEKNUM(S130)&gt;9,_xlfn.ISOWEEKNUM(S130),_xlfn.CONCAT("0",_xlfn.ISOWEEKNUM(S130))))&amp;"_"&amp;(YEAR(S130+26-(_xlfn.ISOWEEKNUM(S130))))</f>
        <v>S26_2026</v>
      </c>
      <c r="C130" t="str">
        <f t="shared" si="7"/>
        <v>S26_2026</v>
      </c>
      <c r="F130">
        <v>40</v>
      </c>
      <c r="G130" t="s">
        <v>55</v>
      </c>
      <c r="I130" t="s">
        <v>178</v>
      </c>
      <c r="J130" t="s">
        <v>173</v>
      </c>
      <c r="K130" t="s">
        <v>124</v>
      </c>
      <c r="L130" t="s">
        <v>174</v>
      </c>
      <c r="M130" t="s">
        <v>124</v>
      </c>
      <c r="N130" t="s">
        <v>45</v>
      </c>
      <c r="O130" t="s">
        <v>45</v>
      </c>
      <c r="P130">
        <v>3</v>
      </c>
      <c r="Q130" s="7">
        <v>46201</v>
      </c>
      <c r="R130" s="7">
        <v>46201</v>
      </c>
      <c r="S130" s="7">
        <v>46201</v>
      </c>
      <c r="T130" t="s">
        <v>46</v>
      </c>
      <c r="V130" t="s">
        <v>175</v>
      </c>
      <c r="W130" t="s">
        <v>46</v>
      </c>
      <c r="X130" t="s">
        <v>45</v>
      </c>
      <c r="Y130" t="s">
        <v>45</v>
      </c>
      <c r="Z130" t="s">
        <v>45</v>
      </c>
      <c r="AF130">
        <v>2</v>
      </c>
      <c r="AH130" t="s">
        <v>75</v>
      </c>
      <c r="AI130">
        <v>1</v>
      </c>
      <c r="AJ130" s="9"/>
      <c r="AK130" t="s">
        <v>74</v>
      </c>
      <c r="AM130"/>
      <c r="AN130" t="s">
        <v>74</v>
      </c>
      <c r="AO130" t="s">
        <v>74</v>
      </c>
      <c r="AP130"/>
      <c r="AQ130" t="s">
        <v>74</v>
      </c>
      <c r="AR130" s="18" t="str">
        <f>IFERROR(VLOOKUP(K130,[1]POP!$F:$J,1,0),M130)</f>
        <v>MADA</v>
      </c>
      <c r="AS130" s="18" t="str">
        <f t="shared" ref="AS130:AS193" si="11">IF(AR130=K130,J130,L130)</f>
        <v>TCHIKA</v>
      </c>
      <c r="AT130" s="19">
        <f t="shared" si="9"/>
        <v>2</v>
      </c>
      <c r="AU130" s="19">
        <f t="shared" ca="1" si="8"/>
        <v>2</v>
      </c>
    </row>
    <row r="131" spans="1:47" x14ac:dyDescent="0.3">
      <c r="A131" t="s">
        <v>259</v>
      </c>
      <c r="B131" t="str">
        <f t="shared" si="10"/>
        <v>S26_2026</v>
      </c>
      <c r="C131" t="str">
        <f t="shared" ref="C131:C194" si="12">"S"&amp;(IF(_xlfn.ISOWEEKNUM(Q131)&gt;9,_xlfn.ISOWEEKNUM(Q131),_xlfn.CONCAT("0",_xlfn.ISOWEEKNUM(Q131))))&amp;"_"&amp;(YEAR(Q131+26-(_xlfn.ISOWEEKNUM(Q131))))</f>
        <v>S26_2026</v>
      </c>
      <c r="F131">
        <v>27</v>
      </c>
      <c r="G131" t="s">
        <v>55</v>
      </c>
      <c r="H131" t="s">
        <v>70</v>
      </c>
      <c r="I131" t="s">
        <v>178</v>
      </c>
      <c r="J131" t="s">
        <v>173</v>
      </c>
      <c r="K131" t="s">
        <v>124</v>
      </c>
      <c r="L131" t="s">
        <v>174</v>
      </c>
      <c r="M131" t="s">
        <v>124</v>
      </c>
      <c r="N131" t="s">
        <v>45</v>
      </c>
      <c r="O131" t="s">
        <v>45</v>
      </c>
      <c r="P131">
        <v>2</v>
      </c>
      <c r="Q131" s="7">
        <v>46201</v>
      </c>
      <c r="R131" s="7">
        <v>46201</v>
      </c>
      <c r="S131" s="7">
        <v>46201</v>
      </c>
      <c r="T131" t="s">
        <v>46</v>
      </c>
      <c r="V131" t="s">
        <v>175</v>
      </c>
      <c r="W131" t="s">
        <v>46</v>
      </c>
      <c r="X131" t="s">
        <v>45</v>
      </c>
      <c r="Y131" t="s">
        <v>45</v>
      </c>
      <c r="Z131" t="s">
        <v>45</v>
      </c>
      <c r="AF131">
        <v>2</v>
      </c>
      <c r="AH131" t="s">
        <v>75</v>
      </c>
      <c r="AI131">
        <v>1</v>
      </c>
      <c r="AJ131" s="9"/>
      <c r="AK131" t="s">
        <v>74</v>
      </c>
      <c r="AM131"/>
      <c r="AN131" t="s">
        <v>74</v>
      </c>
      <c r="AO131" t="s">
        <v>74</v>
      </c>
      <c r="AP131"/>
      <c r="AQ131" t="s">
        <v>74</v>
      </c>
      <c r="AR131" s="18" t="str">
        <f>IFERROR(VLOOKUP(K131,[1]POP!$F:$J,1,0),M131)</f>
        <v>MADA</v>
      </c>
      <c r="AS131" s="18" t="str">
        <f t="shared" si="11"/>
        <v>TCHIKA</v>
      </c>
      <c r="AT131" s="19">
        <f t="shared" si="9"/>
        <v>2</v>
      </c>
      <c r="AU131" s="19">
        <f t="shared" ref="AU131:AU194" ca="1" si="13">IF((TODAY() - R131)&lt;=21,1,2)</f>
        <v>2</v>
      </c>
    </row>
    <row r="132" spans="1:47" x14ac:dyDescent="0.3">
      <c r="A132" t="s">
        <v>260</v>
      </c>
      <c r="B132" t="str">
        <f t="shared" si="10"/>
        <v>S26_2026</v>
      </c>
      <c r="C132" t="str">
        <f t="shared" si="12"/>
        <v>S26_2026</v>
      </c>
      <c r="F132">
        <v>23</v>
      </c>
      <c r="G132" t="s">
        <v>55</v>
      </c>
      <c r="H132" t="s">
        <v>70</v>
      </c>
      <c r="I132" t="s">
        <v>178</v>
      </c>
      <c r="J132" t="s">
        <v>173</v>
      </c>
      <c r="K132" t="s">
        <v>124</v>
      </c>
      <c r="L132" t="s">
        <v>174</v>
      </c>
      <c r="M132" t="s">
        <v>124</v>
      </c>
      <c r="N132" t="s">
        <v>45</v>
      </c>
      <c r="O132" t="s">
        <v>45</v>
      </c>
      <c r="P132">
        <v>3</v>
      </c>
      <c r="Q132" s="7">
        <v>46201</v>
      </c>
      <c r="R132" s="7">
        <v>46201</v>
      </c>
      <c r="S132" s="7">
        <v>46201</v>
      </c>
      <c r="T132" t="s">
        <v>46</v>
      </c>
      <c r="V132" t="s">
        <v>175</v>
      </c>
      <c r="W132" t="s">
        <v>46</v>
      </c>
      <c r="X132" t="s">
        <v>45</v>
      </c>
      <c r="Y132" t="s">
        <v>45</v>
      </c>
      <c r="Z132" t="s">
        <v>45</v>
      </c>
      <c r="AF132">
        <v>3</v>
      </c>
      <c r="AH132" t="s">
        <v>75</v>
      </c>
      <c r="AI132">
        <v>2</v>
      </c>
      <c r="AJ132" s="9">
        <v>46202</v>
      </c>
      <c r="AK132" t="s">
        <v>74</v>
      </c>
      <c r="AM132"/>
      <c r="AN132" t="s">
        <v>74</v>
      </c>
      <c r="AO132" t="s">
        <v>74</v>
      </c>
      <c r="AP132"/>
      <c r="AQ132" t="s">
        <v>74</v>
      </c>
      <c r="AR132" s="18" t="str">
        <f>IFERROR(VLOOKUP(K132,[1]POP!$F:$J,1,0),M132)</f>
        <v>MADA</v>
      </c>
      <c r="AS132" s="18" t="str">
        <f t="shared" si="11"/>
        <v>TCHIKA</v>
      </c>
      <c r="AT132" s="19">
        <f t="shared" ref="AT132:AT195" si="14">IF($AI:$AI=2,3,IF($AI:$AI=3,3,IF($AI:$AI=4,3,IF($AI:$AI=1,2,0))))</f>
        <v>3</v>
      </c>
      <c r="AU132" s="19">
        <f t="shared" ca="1" si="13"/>
        <v>2</v>
      </c>
    </row>
    <row r="133" spans="1:47" x14ac:dyDescent="0.3">
      <c r="A133" t="s">
        <v>261</v>
      </c>
      <c r="B133" t="str">
        <f t="shared" si="10"/>
        <v>S26_2026</v>
      </c>
      <c r="C133" t="str">
        <f t="shared" si="12"/>
        <v>S26_2026</v>
      </c>
      <c r="F133">
        <v>0.25</v>
      </c>
      <c r="G133" t="s">
        <v>40</v>
      </c>
      <c r="I133" t="s">
        <v>178</v>
      </c>
      <c r="J133" t="s">
        <v>173</v>
      </c>
      <c r="K133" t="s">
        <v>124</v>
      </c>
      <c r="L133" t="s">
        <v>174</v>
      </c>
      <c r="M133" t="s">
        <v>124</v>
      </c>
      <c r="N133" t="s">
        <v>45</v>
      </c>
      <c r="O133" t="s">
        <v>45</v>
      </c>
      <c r="P133">
        <v>2</v>
      </c>
      <c r="Q133" s="7">
        <v>46200</v>
      </c>
      <c r="R133" s="7">
        <v>46200</v>
      </c>
      <c r="S133" s="7">
        <v>46200</v>
      </c>
      <c r="T133" t="s">
        <v>46</v>
      </c>
      <c r="V133" t="s">
        <v>175</v>
      </c>
      <c r="W133" t="s">
        <v>46</v>
      </c>
      <c r="X133" t="s">
        <v>45</v>
      </c>
      <c r="Y133" t="s">
        <v>45</v>
      </c>
      <c r="Z133" t="s">
        <v>45</v>
      </c>
      <c r="AF133">
        <v>2</v>
      </c>
      <c r="AH133" t="s">
        <v>75</v>
      </c>
      <c r="AI133">
        <v>1</v>
      </c>
      <c r="AJ133" s="9"/>
      <c r="AK133" t="s">
        <v>74</v>
      </c>
      <c r="AM133"/>
      <c r="AN133" t="s">
        <v>74</v>
      </c>
      <c r="AO133" t="s">
        <v>74</v>
      </c>
      <c r="AP133"/>
      <c r="AQ133" t="s">
        <v>74</v>
      </c>
      <c r="AR133" s="18" t="str">
        <f>IFERROR(VLOOKUP(K133,[1]POP!$F:$J,1,0),M133)</f>
        <v>MADA</v>
      </c>
      <c r="AS133" s="18" t="str">
        <f t="shared" si="11"/>
        <v>TCHIKA</v>
      </c>
      <c r="AT133" s="19">
        <f t="shared" si="14"/>
        <v>2</v>
      </c>
      <c r="AU133" s="19">
        <f t="shared" ca="1" si="13"/>
        <v>2</v>
      </c>
    </row>
    <row r="134" spans="1:47" x14ac:dyDescent="0.3">
      <c r="A134" t="s">
        <v>262</v>
      </c>
      <c r="B134" t="str">
        <f t="shared" si="10"/>
        <v>S26_2026</v>
      </c>
      <c r="C134" t="str">
        <f t="shared" si="12"/>
        <v>S26_2026</v>
      </c>
      <c r="F134">
        <v>2</v>
      </c>
      <c r="G134" t="s">
        <v>55</v>
      </c>
      <c r="I134" t="s">
        <v>178</v>
      </c>
      <c r="J134" t="s">
        <v>173</v>
      </c>
      <c r="K134" t="s">
        <v>124</v>
      </c>
      <c r="L134" t="s">
        <v>174</v>
      </c>
      <c r="M134" t="s">
        <v>124</v>
      </c>
      <c r="N134" t="s">
        <v>45</v>
      </c>
      <c r="O134" t="s">
        <v>45</v>
      </c>
      <c r="P134">
        <v>2</v>
      </c>
      <c r="Q134" s="7">
        <v>46201</v>
      </c>
      <c r="R134" s="7">
        <v>46201</v>
      </c>
      <c r="S134" s="7">
        <v>46201</v>
      </c>
      <c r="T134" t="s">
        <v>46</v>
      </c>
      <c r="V134" t="s">
        <v>175</v>
      </c>
      <c r="W134" t="s">
        <v>46</v>
      </c>
      <c r="X134" t="s">
        <v>45</v>
      </c>
      <c r="Y134" t="s">
        <v>45</v>
      </c>
      <c r="Z134" t="s">
        <v>45</v>
      </c>
      <c r="AF134">
        <v>2</v>
      </c>
      <c r="AH134" t="s">
        <v>75</v>
      </c>
      <c r="AI134">
        <v>1</v>
      </c>
      <c r="AJ134" s="9"/>
      <c r="AK134" t="s">
        <v>74</v>
      </c>
      <c r="AM134"/>
      <c r="AN134" t="s">
        <v>74</v>
      </c>
      <c r="AO134" t="s">
        <v>74</v>
      </c>
      <c r="AP134"/>
      <c r="AQ134" t="s">
        <v>74</v>
      </c>
      <c r="AR134" s="18" t="str">
        <f>IFERROR(VLOOKUP(K134,[1]POP!$F:$J,1,0),M134)</f>
        <v>MADA</v>
      </c>
      <c r="AS134" s="18" t="str">
        <f t="shared" si="11"/>
        <v>TCHIKA</v>
      </c>
      <c r="AT134" s="19">
        <f t="shared" si="14"/>
        <v>2</v>
      </c>
      <c r="AU134" s="19">
        <f t="shared" ca="1" si="13"/>
        <v>2</v>
      </c>
    </row>
    <row r="135" spans="1:47" x14ac:dyDescent="0.3">
      <c r="A135" t="s">
        <v>263</v>
      </c>
      <c r="B135" t="str">
        <f t="shared" si="10"/>
        <v>S26_2026</v>
      </c>
      <c r="C135" t="str">
        <f t="shared" si="12"/>
        <v>S26_2026</v>
      </c>
      <c r="F135">
        <v>26</v>
      </c>
      <c r="G135" t="s">
        <v>40</v>
      </c>
      <c r="H135" t="s">
        <v>77</v>
      </c>
      <c r="I135" t="s">
        <v>166</v>
      </c>
      <c r="J135" t="s">
        <v>166</v>
      </c>
      <c r="K135" t="s">
        <v>124</v>
      </c>
      <c r="L135" t="s">
        <v>174</v>
      </c>
      <c r="M135" t="s">
        <v>124</v>
      </c>
      <c r="N135" t="s">
        <v>45</v>
      </c>
      <c r="O135" t="s">
        <v>45</v>
      </c>
      <c r="P135">
        <v>1</v>
      </c>
      <c r="Q135" s="7">
        <v>46200</v>
      </c>
      <c r="R135" s="7">
        <v>46200</v>
      </c>
      <c r="S135" s="7">
        <v>46200</v>
      </c>
      <c r="T135" t="s">
        <v>46</v>
      </c>
      <c r="V135" t="s">
        <v>175</v>
      </c>
      <c r="W135" t="s">
        <v>46</v>
      </c>
      <c r="X135" t="s">
        <v>45</v>
      </c>
      <c r="Y135" t="s">
        <v>74</v>
      </c>
      <c r="Z135" t="s">
        <v>45</v>
      </c>
      <c r="AF135">
        <v>2</v>
      </c>
      <c r="AH135" t="s">
        <v>75</v>
      </c>
      <c r="AI135">
        <v>1</v>
      </c>
      <c r="AJ135" s="9"/>
      <c r="AK135" t="s">
        <v>74</v>
      </c>
      <c r="AM135"/>
      <c r="AN135" t="s">
        <v>74</v>
      </c>
      <c r="AO135" t="s">
        <v>74</v>
      </c>
      <c r="AP135"/>
      <c r="AQ135" t="s">
        <v>74</v>
      </c>
      <c r="AR135" s="18" t="str">
        <f>IFERROR(VLOOKUP(K135,[1]POP!$F:$J,1,0),M135)</f>
        <v>MADA</v>
      </c>
      <c r="AS135" s="18" t="str">
        <f t="shared" si="11"/>
        <v>BARGARAM</v>
      </c>
      <c r="AT135" s="19">
        <f t="shared" si="14"/>
        <v>2</v>
      </c>
      <c r="AU135" s="19">
        <f t="shared" ca="1" si="13"/>
        <v>2</v>
      </c>
    </row>
    <row r="136" spans="1:47" x14ac:dyDescent="0.3">
      <c r="A136" t="s">
        <v>264</v>
      </c>
      <c r="B136" t="str">
        <f t="shared" si="10"/>
        <v>S26_2026</v>
      </c>
      <c r="C136" t="str">
        <f t="shared" si="12"/>
        <v>S26_2026</v>
      </c>
      <c r="F136">
        <v>55</v>
      </c>
      <c r="G136" t="s">
        <v>40</v>
      </c>
      <c r="H136" t="s">
        <v>77</v>
      </c>
      <c r="I136" t="s">
        <v>178</v>
      </c>
      <c r="J136" t="s">
        <v>173</v>
      </c>
      <c r="K136" t="s">
        <v>124</v>
      </c>
      <c r="L136" t="s">
        <v>174</v>
      </c>
      <c r="M136" t="s">
        <v>124</v>
      </c>
      <c r="N136" t="s">
        <v>45</v>
      </c>
      <c r="O136" t="s">
        <v>45</v>
      </c>
      <c r="P136">
        <v>3</v>
      </c>
      <c r="Q136" s="7">
        <v>46200</v>
      </c>
      <c r="R136" s="7">
        <v>46200</v>
      </c>
      <c r="S136" s="7">
        <v>46200</v>
      </c>
      <c r="T136" t="s">
        <v>46</v>
      </c>
      <c r="V136" t="s">
        <v>175</v>
      </c>
      <c r="W136" t="s">
        <v>46</v>
      </c>
      <c r="X136" t="s">
        <v>45</v>
      </c>
      <c r="Y136" t="s">
        <v>45</v>
      </c>
      <c r="Z136" t="s">
        <v>45</v>
      </c>
      <c r="AF136">
        <v>2</v>
      </c>
      <c r="AH136" t="s">
        <v>75</v>
      </c>
      <c r="AI136">
        <v>1</v>
      </c>
      <c r="AJ136" s="9"/>
      <c r="AK136" t="s">
        <v>74</v>
      </c>
      <c r="AM136"/>
      <c r="AN136" t="s">
        <v>74</v>
      </c>
      <c r="AO136" t="s">
        <v>74</v>
      </c>
      <c r="AP136"/>
      <c r="AQ136" t="s">
        <v>74</v>
      </c>
      <c r="AR136" s="18" t="str">
        <f>IFERROR(VLOOKUP(K136,[1]POP!$F:$J,1,0),M136)</f>
        <v>MADA</v>
      </c>
      <c r="AS136" s="18" t="str">
        <f t="shared" si="11"/>
        <v>TCHIKA</v>
      </c>
      <c r="AT136" s="19">
        <f t="shared" si="14"/>
        <v>2</v>
      </c>
      <c r="AU136" s="19">
        <f t="shared" ca="1" si="13"/>
        <v>2</v>
      </c>
    </row>
    <row r="137" spans="1:47" x14ac:dyDescent="0.3">
      <c r="A137" t="s">
        <v>265</v>
      </c>
      <c r="B137" t="str">
        <f t="shared" si="10"/>
        <v>S26_2026</v>
      </c>
      <c r="C137" t="str">
        <f t="shared" si="12"/>
        <v>S26_2026</v>
      </c>
      <c r="F137">
        <v>2</v>
      </c>
      <c r="G137" t="s">
        <v>55</v>
      </c>
      <c r="I137" t="s">
        <v>166</v>
      </c>
      <c r="J137" t="s">
        <v>166</v>
      </c>
      <c r="K137" t="s">
        <v>124</v>
      </c>
      <c r="L137" t="s">
        <v>174</v>
      </c>
      <c r="M137" t="s">
        <v>124</v>
      </c>
      <c r="N137" t="s">
        <v>45</v>
      </c>
      <c r="O137" t="s">
        <v>45</v>
      </c>
      <c r="P137">
        <v>2</v>
      </c>
      <c r="Q137" s="7">
        <v>46200</v>
      </c>
      <c r="R137" s="7">
        <v>46200</v>
      </c>
      <c r="S137" s="7">
        <v>46200</v>
      </c>
      <c r="T137" t="s">
        <v>45</v>
      </c>
      <c r="V137" t="s">
        <v>175</v>
      </c>
      <c r="W137" t="s">
        <v>46</v>
      </c>
      <c r="X137" t="s">
        <v>74</v>
      </c>
      <c r="Y137" t="s">
        <v>45</v>
      </c>
      <c r="Z137" t="s">
        <v>45</v>
      </c>
      <c r="AF137">
        <v>2</v>
      </c>
      <c r="AH137" t="s">
        <v>75</v>
      </c>
      <c r="AI137">
        <v>1</v>
      </c>
      <c r="AJ137" s="9"/>
      <c r="AK137" t="s">
        <v>74</v>
      </c>
      <c r="AM137"/>
      <c r="AN137" t="s">
        <v>74</v>
      </c>
      <c r="AO137" t="s">
        <v>74</v>
      </c>
      <c r="AP137"/>
      <c r="AQ137" t="s">
        <v>74</v>
      </c>
      <c r="AR137" s="18" t="str">
        <f>IFERROR(VLOOKUP(K137,[1]POP!$F:$J,1,0),M137)</f>
        <v>MADA</v>
      </c>
      <c r="AS137" s="18" t="str">
        <f t="shared" si="11"/>
        <v>BARGARAM</v>
      </c>
      <c r="AT137" s="19">
        <f t="shared" si="14"/>
        <v>2</v>
      </c>
      <c r="AU137" s="19">
        <f t="shared" ca="1" si="13"/>
        <v>2</v>
      </c>
    </row>
    <row r="138" spans="1:47" x14ac:dyDescent="0.3">
      <c r="A138" t="s">
        <v>266</v>
      </c>
      <c r="B138" t="str">
        <f t="shared" si="10"/>
        <v>S26_2026</v>
      </c>
      <c r="C138" t="str">
        <f t="shared" si="12"/>
        <v>S26_2026</v>
      </c>
      <c r="F138">
        <v>62</v>
      </c>
      <c r="G138" t="s">
        <v>55</v>
      </c>
      <c r="H138" t="s">
        <v>70</v>
      </c>
      <c r="I138" t="s">
        <v>267</v>
      </c>
      <c r="J138" t="s">
        <v>174</v>
      </c>
      <c r="K138" t="s">
        <v>124</v>
      </c>
      <c r="L138" t="s">
        <v>174</v>
      </c>
      <c r="M138" t="s">
        <v>124</v>
      </c>
      <c r="N138" t="s">
        <v>45</v>
      </c>
      <c r="O138" t="s">
        <v>45</v>
      </c>
      <c r="P138">
        <v>2</v>
      </c>
      <c r="Q138" s="7">
        <v>46200</v>
      </c>
      <c r="R138" s="7">
        <v>46200</v>
      </c>
      <c r="S138" s="7">
        <v>46200</v>
      </c>
      <c r="T138" t="s">
        <v>45</v>
      </c>
      <c r="V138" t="s">
        <v>175</v>
      </c>
      <c r="W138" t="s">
        <v>46</v>
      </c>
      <c r="X138" t="s">
        <v>45</v>
      </c>
      <c r="Y138" t="s">
        <v>45</v>
      </c>
      <c r="Z138" t="s">
        <v>45</v>
      </c>
      <c r="AF138">
        <v>2</v>
      </c>
      <c r="AH138" t="s">
        <v>75</v>
      </c>
      <c r="AI138">
        <v>1</v>
      </c>
      <c r="AJ138" s="9"/>
      <c r="AK138" t="s">
        <v>74</v>
      </c>
      <c r="AM138"/>
      <c r="AN138" t="s">
        <v>74</v>
      </c>
      <c r="AO138" t="s">
        <v>74</v>
      </c>
      <c r="AP138"/>
      <c r="AQ138" t="s">
        <v>74</v>
      </c>
      <c r="AR138" s="18" t="str">
        <f>IFERROR(VLOOKUP(K138,[1]POP!$F:$J,1,0),M138)</f>
        <v>MADA</v>
      </c>
      <c r="AS138" s="18" t="str">
        <f t="shared" si="11"/>
        <v>HILE ALIFA</v>
      </c>
      <c r="AT138" s="19">
        <f t="shared" si="14"/>
        <v>2</v>
      </c>
      <c r="AU138" s="19">
        <f t="shared" ca="1" si="13"/>
        <v>2</v>
      </c>
    </row>
    <row r="139" spans="1:47" x14ac:dyDescent="0.3">
      <c r="A139" t="s">
        <v>268</v>
      </c>
      <c r="B139" t="str">
        <f t="shared" si="10"/>
        <v>S26_2026</v>
      </c>
      <c r="C139" t="str">
        <f t="shared" si="12"/>
        <v>S26_2026</v>
      </c>
      <c r="F139">
        <v>16</v>
      </c>
      <c r="G139" t="s">
        <v>55</v>
      </c>
      <c r="I139" t="s">
        <v>269</v>
      </c>
      <c r="J139" t="s">
        <v>166</v>
      </c>
      <c r="K139" t="s">
        <v>124</v>
      </c>
      <c r="L139" t="s">
        <v>174</v>
      </c>
      <c r="M139" t="s">
        <v>124</v>
      </c>
      <c r="N139" t="s">
        <v>45</v>
      </c>
      <c r="O139" t="s">
        <v>45</v>
      </c>
      <c r="P139">
        <v>3</v>
      </c>
      <c r="Q139" s="7">
        <v>46199</v>
      </c>
      <c r="R139" s="7">
        <v>46199</v>
      </c>
      <c r="S139" s="7">
        <v>46199</v>
      </c>
      <c r="T139" t="s">
        <v>46</v>
      </c>
      <c r="V139" t="s">
        <v>175</v>
      </c>
      <c r="W139" t="s">
        <v>45</v>
      </c>
      <c r="X139" t="s">
        <v>45</v>
      </c>
      <c r="Y139" t="s">
        <v>46</v>
      </c>
      <c r="Z139" t="s">
        <v>45</v>
      </c>
      <c r="AF139">
        <v>2</v>
      </c>
      <c r="AH139" t="s">
        <v>75</v>
      </c>
      <c r="AI139">
        <v>1</v>
      </c>
      <c r="AJ139" s="9"/>
      <c r="AK139" t="s">
        <v>74</v>
      </c>
      <c r="AM139"/>
      <c r="AN139" t="s">
        <v>74</v>
      </c>
      <c r="AO139" t="s">
        <v>74</v>
      </c>
      <c r="AP139"/>
      <c r="AQ139" t="s">
        <v>74</v>
      </c>
      <c r="AR139" s="18" t="str">
        <f>IFERROR(VLOOKUP(K139,[1]POP!$F:$J,1,0),M139)</f>
        <v>MADA</v>
      </c>
      <c r="AS139" s="18" t="str">
        <f t="shared" si="11"/>
        <v>BARGARAM</v>
      </c>
      <c r="AT139" s="19">
        <f t="shared" si="14"/>
        <v>2</v>
      </c>
      <c r="AU139" s="19">
        <f t="shared" ca="1" si="13"/>
        <v>2</v>
      </c>
    </row>
    <row r="140" spans="1:47" x14ac:dyDescent="0.3">
      <c r="A140" t="s">
        <v>270</v>
      </c>
      <c r="B140" t="str">
        <f t="shared" si="10"/>
        <v>S27_2026</v>
      </c>
      <c r="C140" t="str">
        <f t="shared" si="12"/>
        <v>S27_2026</v>
      </c>
      <c r="F140">
        <v>13</v>
      </c>
      <c r="G140" t="s">
        <v>55</v>
      </c>
      <c r="I140" t="s">
        <v>271</v>
      </c>
      <c r="J140" t="s">
        <v>174</v>
      </c>
      <c r="K140" t="s">
        <v>124</v>
      </c>
      <c r="L140" t="s">
        <v>174</v>
      </c>
      <c r="M140" t="s">
        <v>124</v>
      </c>
      <c r="N140" t="s">
        <v>45</v>
      </c>
      <c r="O140" t="s">
        <v>45</v>
      </c>
      <c r="P140">
        <v>3</v>
      </c>
      <c r="Q140" s="7">
        <v>46203</v>
      </c>
      <c r="R140" s="7">
        <v>46203</v>
      </c>
      <c r="S140" s="7">
        <v>46203</v>
      </c>
      <c r="T140" t="s">
        <v>45</v>
      </c>
      <c r="V140" t="s">
        <v>175</v>
      </c>
      <c r="W140" t="s">
        <v>46</v>
      </c>
      <c r="X140" t="s">
        <v>45</v>
      </c>
      <c r="Y140" t="s">
        <v>45</v>
      </c>
      <c r="Z140" t="s">
        <v>45</v>
      </c>
      <c r="AF140">
        <v>3</v>
      </c>
      <c r="AH140" t="s">
        <v>75</v>
      </c>
      <c r="AI140">
        <v>2</v>
      </c>
      <c r="AJ140" s="9">
        <v>46203</v>
      </c>
      <c r="AK140" t="s">
        <v>74</v>
      </c>
      <c r="AM140"/>
      <c r="AN140" t="s">
        <v>74</v>
      </c>
      <c r="AO140" t="s">
        <v>74</v>
      </c>
      <c r="AP140"/>
      <c r="AQ140" t="s">
        <v>74</v>
      </c>
      <c r="AR140" s="18" t="str">
        <f>IFERROR(VLOOKUP(K140,[1]POP!$F:$J,1,0),M140)</f>
        <v>MADA</v>
      </c>
      <c r="AS140" s="18" t="str">
        <f t="shared" si="11"/>
        <v>HILE ALIFA</v>
      </c>
      <c r="AT140" s="19">
        <f t="shared" si="14"/>
        <v>3</v>
      </c>
      <c r="AU140" s="19">
        <f t="shared" ca="1" si="13"/>
        <v>2</v>
      </c>
    </row>
    <row r="141" spans="1:47" x14ac:dyDescent="0.3">
      <c r="A141" t="s">
        <v>272</v>
      </c>
      <c r="B141" t="str">
        <f t="shared" si="10"/>
        <v>S27_2026</v>
      </c>
      <c r="C141" t="str">
        <f t="shared" si="12"/>
        <v>S27_2026</v>
      </c>
      <c r="F141">
        <v>50</v>
      </c>
      <c r="G141" t="s">
        <v>55</v>
      </c>
      <c r="H141" t="s">
        <v>70</v>
      </c>
      <c r="I141" t="s">
        <v>178</v>
      </c>
      <c r="J141" t="s">
        <v>173</v>
      </c>
      <c r="K141" t="s">
        <v>124</v>
      </c>
      <c r="L141" t="s">
        <v>174</v>
      </c>
      <c r="M141" t="s">
        <v>124</v>
      </c>
      <c r="N141" t="s">
        <v>45</v>
      </c>
      <c r="O141" t="s">
        <v>45</v>
      </c>
      <c r="P141">
        <v>3</v>
      </c>
      <c r="Q141" s="7">
        <v>46203</v>
      </c>
      <c r="R141" s="7">
        <v>46203</v>
      </c>
      <c r="S141" s="7">
        <v>46203</v>
      </c>
      <c r="T141" t="s">
        <v>46</v>
      </c>
      <c r="V141" t="s">
        <v>175</v>
      </c>
      <c r="W141" t="s">
        <v>45</v>
      </c>
      <c r="X141" t="s">
        <v>74</v>
      </c>
      <c r="Y141" t="s">
        <v>46</v>
      </c>
      <c r="Z141" t="s">
        <v>150</v>
      </c>
      <c r="AF141">
        <v>2</v>
      </c>
      <c r="AH141" t="s">
        <v>75</v>
      </c>
      <c r="AI141">
        <v>1</v>
      </c>
      <c r="AJ141" s="9"/>
      <c r="AK141" t="s">
        <v>74</v>
      </c>
      <c r="AM141"/>
      <c r="AN141" t="s">
        <v>74</v>
      </c>
      <c r="AO141" t="s">
        <v>74</v>
      </c>
      <c r="AP141"/>
      <c r="AQ141" t="s">
        <v>74</v>
      </c>
      <c r="AR141" s="18" t="str">
        <f>IFERROR(VLOOKUP(K141,[1]POP!$F:$J,1,0),M141)</f>
        <v>MADA</v>
      </c>
      <c r="AS141" s="18" t="str">
        <f t="shared" si="11"/>
        <v>TCHIKA</v>
      </c>
      <c r="AT141" s="19">
        <f t="shared" si="14"/>
        <v>2</v>
      </c>
      <c r="AU141" s="19">
        <f t="shared" ca="1" si="13"/>
        <v>2</v>
      </c>
    </row>
    <row r="142" spans="1:47" x14ac:dyDescent="0.3">
      <c r="A142" t="s">
        <v>273</v>
      </c>
      <c r="B142" t="str">
        <f t="shared" si="10"/>
        <v>S27_2026</v>
      </c>
      <c r="C142" t="str">
        <f t="shared" si="12"/>
        <v>S27_2026</v>
      </c>
      <c r="F142">
        <v>23</v>
      </c>
      <c r="G142" t="s">
        <v>55</v>
      </c>
      <c r="H142" t="s">
        <v>70</v>
      </c>
      <c r="I142" t="s">
        <v>271</v>
      </c>
      <c r="J142" t="s">
        <v>173</v>
      </c>
      <c r="K142" t="s">
        <v>124</v>
      </c>
      <c r="L142" t="s">
        <v>174</v>
      </c>
      <c r="M142" t="s">
        <v>124</v>
      </c>
      <c r="N142" t="s">
        <v>45</v>
      </c>
      <c r="O142" t="s">
        <v>45</v>
      </c>
      <c r="P142">
        <v>2</v>
      </c>
      <c r="Q142" s="7">
        <v>46203</v>
      </c>
      <c r="R142" s="7">
        <v>46203</v>
      </c>
      <c r="S142" s="7">
        <v>46203</v>
      </c>
      <c r="T142" t="s">
        <v>46</v>
      </c>
      <c r="V142" t="s">
        <v>175</v>
      </c>
      <c r="W142" t="s">
        <v>45</v>
      </c>
      <c r="X142" t="s">
        <v>74</v>
      </c>
      <c r="Y142" t="s">
        <v>46</v>
      </c>
      <c r="Z142" t="s">
        <v>150</v>
      </c>
      <c r="AF142">
        <v>3</v>
      </c>
      <c r="AH142" t="s">
        <v>75</v>
      </c>
      <c r="AI142">
        <v>2</v>
      </c>
      <c r="AJ142" s="9"/>
      <c r="AK142" t="s">
        <v>74</v>
      </c>
      <c r="AM142"/>
      <c r="AN142" t="s">
        <v>74</v>
      </c>
      <c r="AO142" t="s">
        <v>74</v>
      </c>
      <c r="AP142"/>
      <c r="AQ142" t="s">
        <v>74</v>
      </c>
      <c r="AR142" s="18" t="str">
        <f>IFERROR(VLOOKUP(K142,[1]POP!$F:$J,1,0),M142)</f>
        <v>MADA</v>
      </c>
      <c r="AS142" s="18" t="str">
        <f t="shared" si="11"/>
        <v>TCHIKA</v>
      </c>
      <c r="AT142" s="19">
        <f t="shared" si="14"/>
        <v>3</v>
      </c>
      <c r="AU142" s="19">
        <f t="shared" ca="1" si="13"/>
        <v>2</v>
      </c>
    </row>
    <row r="143" spans="1:47" x14ac:dyDescent="0.3">
      <c r="A143" t="s">
        <v>274</v>
      </c>
      <c r="B143" t="str">
        <f t="shared" si="10"/>
        <v>S27_2026</v>
      </c>
      <c r="C143" t="str">
        <f t="shared" si="12"/>
        <v>S27_2026</v>
      </c>
      <c r="F143">
        <v>33</v>
      </c>
      <c r="G143" t="s">
        <v>40</v>
      </c>
      <c r="H143" t="s">
        <v>77</v>
      </c>
      <c r="I143" t="s">
        <v>178</v>
      </c>
      <c r="J143" t="s">
        <v>173</v>
      </c>
      <c r="K143" t="s">
        <v>124</v>
      </c>
      <c r="L143" t="s">
        <v>174</v>
      </c>
      <c r="M143" t="s">
        <v>124</v>
      </c>
      <c r="N143" t="s">
        <v>45</v>
      </c>
      <c r="O143" t="s">
        <v>45</v>
      </c>
      <c r="P143">
        <v>2</v>
      </c>
      <c r="Q143" s="7">
        <v>46203</v>
      </c>
      <c r="R143" s="7">
        <v>46203</v>
      </c>
      <c r="S143" s="7">
        <v>46203</v>
      </c>
      <c r="T143" t="s">
        <v>46</v>
      </c>
      <c r="V143" t="s">
        <v>175</v>
      </c>
      <c r="W143" t="s">
        <v>45</v>
      </c>
      <c r="X143" t="s">
        <v>74</v>
      </c>
      <c r="Y143" t="s">
        <v>46</v>
      </c>
      <c r="Z143" t="s">
        <v>150</v>
      </c>
      <c r="AF143">
        <v>2</v>
      </c>
      <c r="AH143" t="s">
        <v>75</v>
      </c>
      <c r="AI143">
        <v>1</v>
      </c>
      <c r="AJ143" s="9"/>
      <c r="AK143" t="s">
        <v>74</v>
      </c>
      <c r="AM143"/>
      <c r="AN143" t="s">
        <v>74</v>
      </c>
      <c r="AO143" t="s">
        <v>74</v>
      </c>
      <c r="AP143"/>
      <c r="AQ143" t="s">
        <v>74</v>
      </c>
      <c r="AR143" s="18" t="str">
        <f>IFERROR(VLOOKUP(K143,[1]POP!$F:$J,1,0),M143)</f>
        <v>MADA</v>
      </c>
      <c r="AS143" s="18" t="str">
        <f t="shared" si="11"/>
        <v>TCHIKA</v>
      </c>
      <c r="AT143" s="19">
        <f t="shared" si="14"/>
        <v>2</v>
      </c>
      <c r="AU143" s="19">
        <f t="shared" ca="1" si="13"/>
        <v>2</v>
      </c>
    </row>
    <row r="144" spans="1:47" x14ac:dyDescent="0.3">
      <c r="A144" t="s">
        <v>275</v>
      </c>
      <c r="B144" t="str">
        <f t="shared" si="10"/>
        <v>S27_2026</v>
      </c>
      <c r="C144" t="str">
        <f t="shared" si="12"/>
        <v>S27_2026</v>
      </c>
      <c r="F144">
        <v>6</v>
      </c>
      <c r="G144" t="s">
        <v>40</v>
      </c>
      <c r="I144" t="s">
        <v>276</v>
      </c>
      <c r="J144" t="s">
        <v>173</v>
      </c>
      <c r="K144" t="s">
        <v>124</v>
      </c>
      <c r="L144" t="s">
        <v>174</v>
      </c>
      <c r="M144" t="s">
        <v>124</v>
      </c>
      <c r="N144" t="s">
        <v>45</v>
      </c>
      <c r="O144" t="s">
        <v>45</v>
      </c>
      <c r="P144">
        <v>2</v>
      </c>
      <c r="Q144" s="7">
        <v>46203</v>
      </c>
      <c r="R144" s="7">
        <v>46203</v>
      </c>
      <c r="S144" s="7">
        <v>46203</v>
      </c>
      <c r="T144" t="s">
        <v>46</v>
      </c>
      <c r="V144" t="s">
        <v>175</v>
      </c>
      <c r="W144" t="s">
        <v>45</v>
      </c>
      <c r="X144" t="s">
        <v>74</v>
      </c>
      <c r="Y144" t="s">
        <v>46</v>
      </c>
      <c r="Z144" t="s">
        <v>150</v>
      </c>
      <c r="AF144">
        <v>2</v>
      </c>
      <c r="AH144" t="s">
        <v>75</v>
      </c>
      <c r="AI144">
        <v>1</v>
      </c>
      <c r="AJ144" s="9"/>
      <c r="AK144" t="s">
        <v>74</v>
      </c>
      <c r="AM144"/>
      <c r="AN144" t="s">
        <v>74</v>
      </c>
      <c r="AO144" t="s">
        <v>74</v>
      </c>
      <c r="AP144"/>
      <c r="AQ144" t="s">
        <v>74</v>
      </c>
      <c r="AR144" s="18" t="str">
        <f>IFERROR(VLOOKUP(K144,[1]POP!$F:$J,1,0),M144)</f>
        <v>MADA</v>
      </c>
      <c r="AS144" s="18" t="str">
        <f t="shared" si="11"/>
        <v>TCHIKA</v>
      </c>
      <c r="AT144" s="19">
        <f t="shared" si="14"/>
        <v>2</v>
      </c>
      <c r="AU144" s="19">
        <f t="shared" ca="1" si="13"/>
        <v>2</v>
      </c>
    </row>
    <row r="145" spans="1:47" x14ac:dyDescent="0.3">
      <c r="A145" t="s">
        <v>277</v>
      </c>
      <c r="B145" t="str">
        <f t="shared" si="10"/>
        <v>S27_2026</v>
      </c>
      <c r="C145" t="str">
        <f t="shared" si="12"/>
        <v>S27_2026</v>
      </c>
      <c r="F145">
        <v>2</v>
      </c>
      <c r="G145" t="s">
        <v>40</v>
      </c>
      <c r="I145" t="s">
        <v>271</v>
      </c>
      <c r="J145" t="s">
        <v>173</v>
      </c>
      <c r="K145" t="s">
        <v>124</v>
      </c>
      <c r="L145" t="s">
        <v>174</v>
      </c>
      <c r="M145" t="s">
        <v>124</v>
      </c>
      <c r="N145" t="s">
        <v>45</v>
      </c>
      <c r="O145" t="s">
        <v>45</v>
      </c>
      <c r="P145">
        <v>2</v>
      </c>
      <c r="Q145" s="7">
        <v>46203</v>
      </c>
      <c r="R145" s="7">
        <v>46203</v>
      </c>
      <c r="S145" s="7">
        <v>46203</v>
      </c>
      <c r="T145" t="s">
        <v>46</v>
      </c>
      <c r="V145" t="s">
        <v>175</v>
      </c>
      <c r="W145" t="s">
        <v>45</v>
      </c>
      <c r="X145" t="s">
        <v>74</v>
      </c>
      <c r="Y145" t="s">
        <v>46</v>
      </c>
      <c r="Z145" t="s">
        <v>150</v>
      </c>
      <c r="AF145">
        <v>2</v>
      </c>
      <c r="AH145" t="s">
        <v>75</v>
      </c>
      <c r="AI145">
        <v>1</v>
      </c>
      <c r="AJ145" s="13"/>
      <c r="AK145" t="s">
        <v>74</v>
      </c>
      <c r="AM145"/>
      <c r="AN145" t="s">
        <v>74</v>
      </c>
      <c r="AO145" t="s">
        <v>74</v>
      </c>
      <c r="AP145"/>
      <c r="AQ145" t="s">
        <v>74</v>
      </c>
      <c r="AR145" s="18" t="str">
        <f>IFERROR(VLOOKUP(K145,[1]POP!$F:$J,1,0),M145)</f>
        <v>MADA</v>
      </c>
      <c r="AS145" s="18" t="str">
        <f t="shared" si="11"/>
        <v>TCHIKA</v>
      </c>
      <c r="AT145" s="19">
        <f t="shared" si="14"/>
        <v>2</v>
      </c>
      <c r="AU145" s="19">
        <f t="shared" ca="1" si="13"/>
        <v>2</v>
      </c>
    </row>
    <row r="146" spans="1:47" x14ac:dyDescent="0.3">
      <c r="A146" t="s">
        <v>278</v>
      </c>
      <c r="B146" t="str">
        <f t="shared" si="10"/>
        <v>S27_2026</v>
      </c>
      <c r="C146" t="str">
        <f t="shared" si="12"/>
        <v>S27_2026</v>
      </c>
      <c r="F146">
        <v>2</v>
      </c>
      <c r="G146" t="s">
        <v>40</v>
      </c>
      <c r="I146" t="s">
        <v>279</v>
      </c>
      <c r="J146" t="s">
        <v>173</v>
      </c>
      <c r="K146" t="s">
        <v>124</v>
      </c>
      <c r="L146" t="s">
        <v>174</v>
      </c>
      <c r="M146" t="s">
        <v>124</v>
      </c>
      <c r="N146" t="s">
        <v>45</v>
      </c>
      <c r="O146" t="s">
        <v>45</v>
      </c>
      <c r="P146">
        <v>3</v>
      </c>
      <c r="Q146" s="7">
        <v>46203</v>
      </c>
      <c r="R146" s="7">
        <v>46203</v>
      </c>
      <c r="S146" s="7">
        <v>46203</v>
      </c>
      <c r="T146" t="s">
        <v>46</v>
      </c>
      <c r="V146" t="s">
        <v>175</v>
      </c>
      <c r="W146" t="s">
        <v>45</v>
      </c>
      <c r="X146" t="s">
        <v>74</v>
      </c>
      <c r="Y146" t="s">
        <v>46</v>
      </c>
      <c r="Z146" t="s">
        <v>150</v>
      </c>
      <c r="AF146">
        <v>2</v>
      </c>
      <c r="AH146" t="s">
        <v>75</v>
      </c>
      <c r="AI146">
        <v>1</v>
      </c>
      <c r="AJ146" s="13"/>
      <c r="AK146" t="s">
        <v>74</v>
      </c>
      <c r="AM146"/>
      <c r="AN146" t="s">
        <v>74</v>
      </c>
      <c r="AO146" t="s">
        <v>74</v>
      </c>
      <c r="AP146"/>
      <c r="AQ146" t="s">
        <v>74</v>
      </c>
      <c r="AR146" s="18" t="str">
        <f>IFERROR(VLOOKUP(K146,[1]POP!$F:$J,1,0),M146)</f>
        <v>MADA</v>
      </c>
      <c r="AS146" s="18" t="str">
        <f t="shared" si="11"/>
        <v>TCHIKA</v>
      </c>
      <c r="AT146" s="19">
        <f t="shared" si="14"/>
        <v>2</v>
      </c>
      <c r="AU146" s="19">
        <f t="shared" ca="1" si="13"/>
        <v>2</v>
      </c>
    </row>
    <row r="147" spans="1:47" x14ac:dyDescent="0.3">
      <c r="A147" t="s">
        <v>280</v>
      </c>
      <c r="B147" t="str">
        <f t="shared" si="10"/>
        <v>S27_2026</v>
      </c>
      <c r="C147" t="str">
        <f t="shared" si="12"/>
        <v>S27_2026</v>
      </c>
      <c r="F147">
        <v>3</v>
      </c>
      <c r="G147" t="s">
        <v>55</v>
      </c>
      <c r="I147" t="s">
        <v>178</v>
      </c>
      <c r="J147" t="s">
        <v>173</v>
      </c>
      <c r="K147" t="s">
        <v>124</v>
      </c>
      <c r="L147" t="s">
        <v>174</v>
      </c>
      <c r="M147" t="s">
        <v>124</v>
      </c>
      <c r="N147" t="s">
        <v>45</v>
      </c>
      <c r="O147" t="s">
        <v>45</v>
      </c>
      <c r="P147">
        <v>3</v>
      </c>
      <c r="Q147" s="7">
        <v>46203</v>
      </c>
      <c r="R147" s="7">
        <v>46203</v>
      </c>
      <c r="S147" s="7">
        <v>46203</v>
      </c>
      <c r="T147" t="s">
        <v>45</v>
      </c>
      <c r="V147" t="s">
        <v>175</v>
      </c>
      <c r="W147" t="s">
        <v>45</v>
      </c>
      <c r="X147" t="s">
        <v>74</v>
      </c>
      <c r="Y147" t="s">
        <v>46</v>
      </c>
      <c r="Z147" t="s">
        <v>150</v>
      </c>
      <c r="AF147">
        <v>2</v>
      </c>
      <c r="AH147" t="s">
        <v>75</v>
      </c>
      <c r="AI147">
        <v>1</v>
      </c>
      <c r="AJ147" s="13"/>
      <c r="AK147" t="s">
        <v>74</v>
      </c>
      <c r="AM147"/>
      <c r="AN147" t="s">
        <v>74</v>
      </c>
      <c r="AO147" t="s">
        <v>74</v>
      </c>
      <c r="AP147"/>
      <c r="AQ147" t="s">
        <v>74</v>
      </c>
      <c r="AR147" s="18" t="str">
        <f>IFERROR(VLOOKUP(K147,[1]POP!$F:$J,1,0),M147)</f>
        <v>MADA</v>
      </c>
      <c r="AS147" s="18" t="str">
        <f t="shared" si="11"/>
        <v>TCHIKA</v>
      </c>
      <c r="AT147" s="19">
        <f t="shared" si="14"/>
        <v>2</v>
      </c>
      <c r="AU147" s="19">
        <f t="shared" ca="1" si="13"/>
        <v>2</v>
      </c>
    </row>
    <row r="148" spans="1:47" x14ac:dyDescent="0.3">
      <c r="A148" t="s">
        <v>281</v>
      </c>
      <c r="B148" t="str">
        <f t="shared" si="10"/>
        <v>S27_2026</v>
      </c>
      <c r="C148" t="str">
        <f t="shared" si="12"/>
        <v>S27_2026</v>
      </c>
      <c r="F148">
        <v>12</v>
      </c>
      <c r="G148" t="s">
        <v>55</v>
      </c>
      <c r="I148" t="s">
        <v>178</v>
      </c>
      <c r="J148" t="s">
        <v>173</v>
      </c>
      <c r="K148" t="s">
        <v>124</v>
      </c>
      <c r="L148" t="s">
        <v>174</v>
      </c>
      <c r="M148" t="s">
        <v>124</v>
      </c>
      <c r="N148" t="s">
        <v>45</v>
      </c>
      <c r="O148" t="s">
        <v>45</v>
      </c>
      <c r="P148">
        <v>2</v>
      </c>
      <c r="Q148" s="7">
        <v>46203</v>
      </c>
      <c r="R148" s="7">
        <v>46203</v>
      </c>
      <c r="S148" s="7">
        <v>46203</v>
      </c>
      <c r="T148" t="s">
        <v>45</v>
      </c>
      <c r="V148" t="s">
        <v>175</v>
      </c>
      <c r="W148" t="s">
        <v>45</v>
      </c>
      <c r="X148" t="s">
        <v>74</v>
      </c>
      <c r="Y148" t="s">
        <v>46</v>
      </c>
      <c r="Z148" t="s">
        <v>150</v>
      </c>
      <c r="AF148">
        <v>2</v>
      </c>
      <c r="AH148" t="s">
        <v>75</v>
      </c>
      <c r="AI148">
        <v>1</v>
      </c>
      <c r="AJ148" s="13"/>
      <c r="AK148" t="s">
        <v>74</v>
      </c>
      <c r="AM148"/>
      <c r="AN148" t="s">
        <v>74</v>
      </c>
      <c r="AO148" t="s">
        <v>74</v>
      </c>
      <c r="AP148"/>
      <c r="AQ148" t="s">
        <v>74</v>
      </c>
      <c r="AR148" s="18" t="str">
        <f>IFERROR(VLOOKUP(K148,[1]POP!$F:$J,1,0),M148)</f>
        <v>MADA</v>
      </c>
      <c r="AS148" s="18" t="str">
        <f t="shared" si="11"/>
        <v>TCHIKA</v>
      </c>
      <c r="AT148" s="19">
        <f t="shared" si="14"/>
        <v>2</v>
      </c>
      <c r="AU148" s="19">
        <f t="shared" ca="1" si="13"/>
        <v>2</v>
      </c>
    </row>
    <row r="149" spans="1:47" x14ac:dyDescent="0.3">
      <c r="A149" t="s">
        <v>282</v>
      </c>
      <c r="B149" t="str">
        <f t="shared" si="10"/>
        <v>S27_2026</v>
      </c>
      <c r="C149" t="str">
        <f t="shared" si="12"/>
        <v>S27_2026</v>
      </c>
      <c r="F149">
        <v>2</v>
      </c>
      <c r="G149" t="s">
        <v>55</v>
      </c>
      <c r="I149" t="s">
        <v>178</v>
      </c>
      <c r="J149" t="s">
        <v>173</v>
      </c>
      <c r="K149" t="s">
        <v>124</v>
      </c>
      <c r="L149" t="s">
        <v>174</v>
      </c>
      <c r="M149" t="s">
        <v>124</v>
      </c>
      <c r="N149" t="s">
        <v>45</v>
      </c>
      <c r="O149" t="s">
        <v>45</v>
      </c>
      <c r="P149">
        <v>3</v>
      </c>
      <c r="Q149" s="7">
        <v>46203</v>
      </c>
      <c r="R149" s="7">
        <v>46203</v>
      </c>
      <c r="S149" s="7">
        <v>46203</v>
      </c>
      <c r="T149" t="s">
        <v>45</v>
      </c>
      <c r="V149" t="s">
        <v>175</v>
      </c>
      <c r="W149" t="s">
        <v>45</v>
      </c>
      <c r="X149" t="s">
        <v>74</v>
      </c>
      <c r="Y149" t="s">
        <v>46</v>
      </c>
      <c r="Z149" t="s">
        <v>150</v>
      </c>
      <c r="AF149">
        <v>2</v>
      </c>
      <c r="AH149" t="s">
        <v>75</v>
      </c>
      <c r="AI149">
        <v>1</v>
      </c>
      <c r="AJ149" s="13"/>
      <c r="AK149" t="s">
        <v>74</v>
      </c>
      <c r="AM149"/>
      <c r="AN149" t="s">
        <v>74</v>
      </c>
      <c r="AO149" t="s">
        <v>74</v>
      </c>
      <c r="AP149"/>
      <c r="AQ149" t="s">
        <v>74</v>
      </c>
      <c r="AR149" s="18" t="str">
        <f>IFERROR(VLOOKUP(K149,[1]POP!$F:$J,1,0),M149)</f>
        <v>MADA</v>
      </c>
      <c r="AS149" s="18" t="str">
        <f t="shared" si="11"/>
        <v>TCHIKA</v>
      </c>
      <c r="AT149" s="19">
        <f t="shared" si="14"/>
        <v>2</v>
      </c>
      <c r="AU149" s="19">
        <f t="shared" ca="1" si="13"/>
        <v>2</v>
      </c>
    </row>
    <row r="150" spans="1:47" x14ac:dyDescent="0.3">
      <c r="A150" t="s">
        <v>283</v>
      </c>
      <c r="B150" t="str">
        <f t="shared" si="10"/>
        <v>S27_2026</v>
      </c>
      <c r="C150" t="str">
        <f t="shared" si="12"/>
        <v>S27_2026</v>
      </c>
      <c r="F150">
        <v>3</v>
      </c>
      <c r="G150" t="s">
        <v>40</v>
      </c>
      <c r="I150" t="s">
        <v>178</v>
      </c>
      <c r="J150" t="s">
        <v>173</v>
      </c>
      <c r="K150" t="s">
        <v>124</v>
      </c>
      <c r="L150" t="s">
        <v>174</v>
      </c>
      <c r="M150" t="s">
        <v>124</v>
      </c>
      <c r="N150" t="s">
        <v>45</v>
      </c>
      <c r="O150" t="s">
        <v>45</v>
      </c>
      <c r="P150">
        <v>3</v>
      </c>
      <c r="Q150" s="7">
        <v>46203</v>
      </c>
      <c r="R150" s="7">
        <v>46203</v>
      </c>
      <c r="S150" s="7">
        <v>46203</v>
      </c>
      <c r="T150" t="s">
        <v>45</v>
      </c>
      <c r="V150" t="s">
        <v>175</v>
      </c>
      <c r="W150" t="s">
        <v>45</v>
      </c>
      <c r="X150" t="s">
        <v>74</v>
      </c>
      <c r="Y150" t="s">
        <v>46</v>
      </c>
      <c r="Z150" t="s">
        <v>150</v>
      </c>
      <c r="AF150">
        <v>2</v>
      </c>
      <c r="AH150" t="s">
        <v>75</v>
      </c>
      <c r="AI150">
        <v>1</v>
      </c>
      <c r="AJ150" s="13"/>
      <c r="AK150" t="s">
        <v>74</v>
      </c>
      <c r="AM150"/>
      <c r="AN150" t="s">
        <v>74</v>
      </c>
      <c r="AO150" t="s">
        <v>74</v>
      </c>
      <c r="AP150"/>
      <c r="AQ150" t="s">
        <v>74</v>
      </c>
      <c r="AR150" s="18" t="str">
        <f>IFERROR(VLOOKUP(K150,[1]POP!$F:$J,1,0),M150)</f>
        <v>MADA</v>
      </c>
      <c r="AS150" s="18" t="str">
        <f t="shared" si="11"/>
        <v>TCHIKA</v>
      </c>
      <c r="AT150" s="19">
        <f t="shared" si="14"/>
        <v>2</v>
      </c>
      <c r="AU150" s="19">
        <f t="shared" ca="1" si="13"/>
        <v>2</v>
      </c>
    </row>
    <row r="151" spans="1:47" x14ac:dyDescent="0.3">
      <c r="A151" t="s">
        <v>284</v>
      </c>
      <c r="B151" t="str">
        <f t="shared" si="10"/>
        <v>S27_2026</v>
      </c>
      <c r="C151" t="str">
        <f t="shared" si="12"/>
        <v>S27_2026</v>
      </c>
      <c r="F151">
        <v>25</v>
      </c>
      <c r="G151" t="s">
        <v>40</v>
      </c>
      <c r="H151" t="s">
        <v>70</v>
      </c>
      <c r="I151" t="s">
        <v>178</v>
      </c>
      <c r="J151" t="s">
        <v>173</v>
      </c>
      <c r="K151" t="s">
        <v>124</v>
      </c>
      <c r="L151" t="s">
        <v>174</v>
      </c>
      <c r="M151" t="s">
        <v>124</v>
      </c>
      <c r="N151" t="s">
        <v>45</v>
      </c>
      <c r="O151" t="s">
        <v>45</v>
      </c>
      <c r="P151">
        <v>2</v>
      </c>
      <c r="Q151" s="7">
        <v>46203</v>
      </c>
      <c r="R151" s="7">
        <v>46203</v>
      </c>
      <c r="S151" s="7">
        <v>46203</v>
      </c>
      <c r="T151" t="s">
        <v>45</v>
      </c>
      <c r="V151" t="s">
        <v>175</v>
      </c>
      <c r="W151" t="s">
        <v>45</v>
      </c>
      <c r="X151" t="s">
        <v>74</v>
      </c>
      <c r="Y151" t="s">
        <v>46</v>
      </c>
      <c r="Z151" t="s">
        <v>150</v>
      </c>
      <c r="AF151">
        <v>2</v>
      </c>
      <c r="AH151" t="s">
        <v>75</v>
      </c>
      <c r="AI151">
        <v>1</v>
      </c>
      <c r="AJ151" s="13"/>
      <c r="AK151" t="s">
        <v>74</v>
      </c>
      <c r="AM151"/>
      <c r="AN151" t="s">
        <v>74</v>
      </c>
      <c r="AO151" t="s">
        <v>74</v>
      </c>
      <c r="AP151"/>
      <c r="AQ151" t="s">
        <v>74</v>
      </c>
      <c r="AR151" s="18" t="str">
        <f>IFERROR(VLOOKUP(K151,[1]POP!$F:$J,1,0),M151)</f>
        <v>MADA</v>
      </c>
      <c r="AS151" s="18" t="str">
        <f t="shared" si="11"/>
        <v>TCHIKA</v>
      </c>
      <c r="AT151" s="19">
        <f t="shared" si="14"/>
        <v>2</v>
      </c>
      <c r="AU151" s="19">
        <f t="shared" ca="1" si="13"/>
        <v>2</v>
      </c>
    </row>
    <row r="152" spans="1:47" x14ac:dyDescent="0.3">
      <c r="A152" t="s">
        <v>285</v>
      </c>
      <c r="B152" t="str">
        <f t="shared" si="10"/>
        <v>S27_2026</v>
      </c>
      <c r="C152" t="str">
        <f t="shared" si="12"/>
        <v>S27_2026</v>
      </c>
      <c r="F152">
        <v>60</v>
      </c>
      <c r="G152" t="s">
        <v>55</v>
      </c>
      <c r="H152" t="s">
        <v>70</v>
      </c>
      <c r="I152" t="s">
        <v>178</v>
      </c>
      <c r="J152" t="s">
        <v>173</v>
      </c>
      <c r="K152" t="s">
        <v>124</v>
      </c>
      <c r="L152" t="s">
        <v>174</v>
      </c>
      <c r="M152" t="s">
        <v>124</v>
      </c>
      <c r="N152" t="s">
        <v>45</v>
      </c>
      <c r="O152" t="s">
        <v>45</v>
      </c>
      <c r="P152">
        <v>3</v>
      </c>
      <c r="Q152" s="7">
        <v>46203</v>
      </c>
      <c r="R152" s="7">
        <v>46203</v>
      </c>
      <c r="S152" s="7">
        <v>46203</v>
      </c>
      <c r="T152" t="s">
        <v>45</v>
      </c>
      <c r="V152" t="s">
        <v>175</v>
      </c>
      <c r="W152" t="s">
        <v>45</v>
      </c>
      <c r="X152" t="s">
        <v>74</v>
      </c>
      <c r="Y152" t="s">
        <v>46</v>
      </c>
      <c r="Z152" t="s">
        <v>150</v>
      </c>
      <c r="AF152">
        <v>2</v>
      </c>
      <c r="AH152" t="s">
        <v>75</v>
      </c>
      <c r="AI152">
        <v>1</v>
      </c>
      <c r="AJ152" s="13"/>
      <c r="AK152" t="s">
        <v>74</v>
      </c>
      <c r="AM152"/>
      <c r="AN152" t="s">
        <v>74</v>
      </c>
      <c r="AO152" t="s">
        <v>74</v>
      </c>
      <c r="AP152"/>
      <c r="AQ152" t="s">
        <v>74</v>
      </c>
      <c r="AR152" s="18" t="str">
        <f>IFERROR(VLOOKUP(K152,[1]POP!$F:$J,1,0),M152)</f>
        <v>MADA</v>
      </c>
      <c r="AS152" s="18" t="str">
        <f t="shared" si="11"/>
        <v>TCHIKA</v>
      </c>
      <c r="AT152" s="19">
        <f t="shared" si="14"/>
        <v>2</v>
      </c>
      <c r="AU152" s="19">
        <f t="shared" ca="1" si="13"/>
        <v>2</v>
      </c>
    </row>
    <row r="153" spans="1:47" x14ac:dyDescent="0.3">
      <c r="A153" t="s">
        <v>286</v>
      </c>
      <c r="B153" t="str">
        <f t="shared" si="10"/>
        <v>S27_2026</v>
      </c>
      <c r="C153" t="str">
        <f t="shared" si="12"/>
        <v>S27_2026</v>
      </c>
      <c r="F153">
        <v>30</v>
      </c>
      <c r="G153" t="s">
        <v>55</v>
      </c>
      <c r="H153" t="s">
        <v>70</v>
      </c>
      <c r="I153" t="s">
        <v>178</v>
      </c>
      <c r="J153" t="s">
        <v>173</v>
      </c>
      <c r="K153" t="s">
        <v>124</v>
      </c>
      <c r="L153" t="s">
        <v>174</v>
      </c>
      <c r="M153" t="s">
        <v>124</v>
      </c>
      <c r="N153" t="s">
        <v>45</v>
      </c>
      <c r="O153" t="s">
        <v>45</v>
      </c>
      <c r="P153">
        <v>2</v>
      </c>
      <c r="Q153" s="7">
        <v>46203</v>
      </c>
      <c r="R153" s="7">
        <v>46203</v>
      </c>
      <c r="S153" s="7">
        <v>46203</v>
      </c>
      <c r="T153" t="s">
        <v>45</v>
      </c>
      <c r="V153" t="s">
        <v>175</v>
      </c>
      <c r="W153" t="s">
        <v>45</v>
      </c>
      <c r="X153" t="s">
        <v>74</v>
      </c>
      <c r="Y153" t="s">
        <v>46</v>
      </c>
      <c r="Z153" t="s">
        <v>150</v>
      </c>
      <c r="AF153">
        <v>2</v>
      </c>
      <c r="AH153" t="s">
        <v>75</v>
      </c>
      <c r="AI153">
        <v>1</v>
      </c>
      <c r="AJ153" s="13"/>
      <c r="AK153" t="s">
        <v>74</v>
      </c>
      <c r="AM153"/>
      <c r="AN153" t="s">
        <v>74</v>
      </c>
      <c r="AO153" t="s">
        <v>74</v>
      </c>
      <c r="AP153"/>
      <c r="AQ153" t="s">
        <v>74</v>
      </c>
      <c r="AR153" s="18" t="str">
        <f>IFERROR(VLOOKUP(K153,[1]POP!$F:$J,1,0),M153)</f>
        <v>MADA</v>
      </c>
      <c r="AS153" s="18" t="str">
        <f t="shared" si="11"/>
        <v>TCHIKA</v>
      </c>
      <c r="AT153" s="19">
        <f t="shared" si="14"/>
        <v>2</v>
      </c>
      <c r="AU153" s="19">
        <f t="shared" ca="1" si="13"/>
        <v>2</v>
      </c>
    </row>
    <row r="154" spans="1:47" x14ac:dyDescent="0.3">
      <c r="A154" t="s">
        <v>287</v>
      </c>
      <c r="B154" t="str">
        <f t="shared" si="10"/>
        <v>S27_2026</v>
      </c>
      <c r="C154" t="str">
        <f t="shared" si="12"/>
        <v>S27_2026</v>
      </c>
      <c r="F154">
        <v>23</v>
      </c>
      <c r="G154" t="s">
        <v>55</v>
      </c>
      <c r="H154" t="s">
        <v>70</v>
      </c>
      <c r="I154" t="s">
        <v>178</v>
      </c>
      <c r="J154" t="s">
        <v>173</v>
      </c>
      <c r="K154" t="s">
        <v>124</v>
      </c>
      <c r="L154" t="s">
        <v>174</v>
      </c>
      <c r="M154" t="s">
        <v>124</v>
      </c>
      <c r="N154" t="s">
        <v>45</v>
      </c>
      <c r="O154" t="s">
        <v>45</v>
      </c>
      <c r="P154">
        <v>3</v>
      </c>
      <c r="Q154" s="7">
        <v>46204</v>
      </c>
      <c r="R154" s="7">
        <v>46204</v>
      </c>
      <c r="S154" s="7">
        <v>46204</v>
      </c>
      <c r="T154" t="s">
        <v>45</v>
      </c>
      <c r="V154" t="s">
        <v>175</v>
      </c>
      <c r="W154" t="s">
        <v>45</v>
      </c>
      <c r="X154" t="s">
        <v>74</v>
      </c>
      <c r="Y154" t="s">
        <v>46</v>
      </c>
      <c r="Z154" t="s">
        <v>150</v>
      </c>
      <c r="AF154">
        <v>2</v>
      </c>
      <c r="AH154" t="s">
        <v>75</v>
      </c>
      <c r="AI154">
        <v>1</v>
      </c>
      <c r="AJ154" s="13"/>
      <c r="AK154" t="s">
        <v>74</v>
      </c>
      <c r="AM154"/>
      <c r="AN154" t="s">
        <v>74</v>
      </c>
      <c r="AO154" t="s">
        <v>74</v>
      </c>
      <c r="AP154"/>
      <c r="AQ154" t="s">
        <v>74</v>
      </c>
      <c r="AR154" s="18" t="str">
        <f>IFERROR(VLOOKUP(K154,[1]POP!$F:$J,1,0),M154)</f>
        <v>MADA</v>
      </c>
      <c r="AS154" s="18" t="str">
        <f t="shared" si="11"/>
        <v>TCHIKA</v>
      </c>
      <c r="AT154" s="19">
        <f t="shared" si="14"/>
        <v>2</v>
      </c>
      <c r="AU154" s="19">
        <f t="shared" ca="1" si="13"/>
        <v>2</v>
      </c>
    </row>
    <row r="155" spans="1:47" x14ac:dyDescent="0.3">
      <c r="A155" t="s">
        <v>288</v>
      </c>
      <c r="B155" t="str">
        <f t="shared" si="10"/>
        <v>S27_2026</v>
      </c>
      <c r="C155" t="str">
        <f t="shared" si="12"/>
        <v>S27_2026</v>
      </c>
      <c r="F155">
        <v>17</v>
      </c>
      <c r="G155" t="s">
        <v>40</v>
      </c>
      <c r="H155" t="s">
        <v>77</v>
      </c>
      <c r="I155" t="s">
        <v>178</v>
      </c>
      <c r="J155" t="s">
        <v>173</v>
      </c>
      <c r="K155" t="s">
        <v>124</v>
      </c>
      <c r="L155" t="s">
        <v>174</v>
      </c>
      <c r="M155" t="s">
        <v>124</v>
      </c>
      <c r="N155" t="s">
        <v>45</v>
      </c>
      <c r="O155" t="s">
        <v>45</v>
      </c>
      <c r="P155">
        <v>3</v>
      </c>
      <c r="Q155" s="7">
        <v>46204</v>
      </c>
      <c r="R155" s="7">
        <v>46204</v>
      </c>
      <c r="S155" s="7">
        <v>46204</v>
      </c>
      <c r="T155" t="s">
        <v>45</v>
      </c>
      <c r="V155" t="s">
        <v>175</v>
      </c>
      <c r="W155" t="s">
        <v>45</v>
      </c>
      <c r="X155" t="s">
        <v>74</v>
      </c>
      <c r="Y155" t="s">
        <v>46</v>
      </c>
      <c r="Z155" t="s">
        <v>150</v>
      </c>
      <c r="AF155">
        <v>2</v>
      </c>
      <c r="AH155" t="s">
        <v>75</v>
      </c>
      <c r="AI155">
        <v>1</v>
      </c>
      <c r="AJ155" s="13"/>
      <c r="AK155" t="s">
        <v>74</v>
      </c>
      <c r="AM155"/>
      <c r="AN155" t="s">
        <v>74</v>
      </c>
      <c r="AO155" t="s">
        <v>74</v>
      </c>
      <c r="AP155"/>
      <c r="AQ155" t="s">
        <v>74</v>
      </c>
      <c r="AR155" s="18" t="str">
        <f>IFERROR(VLOOKUP(K155,[1]POP!$F:$J,1,0),M155)</f>
        <v>MADA</v>
      </c>
      <c r="AS155" s="18" t="str">
        <f t="shared" si="11"/>
        <v>TCHIKA</v>
      </c>
      <c r="AT155" s="19">
        <f t="shared" si="14"/>
        <v>2</v>
      </c>
      <c r="AU155" s="19">
        <f t="shared" ca="1" si="13"/>
        <v>2</v>
      </c>
    </row>
    <row r="156" spans="1:47" x14ac:dyDescent="0.3">
      <c r="A156" t="s">
        <v>289</v>
      </c>
      <c r="B156" t="str">
        <f t="shared" si="10"/>
        <v>S27_2026</v>
      </c>
      <c r="C156" t="str">
        <f t="shared" si="12"/>
        <v>S27_2026</v>
      </c>
      <c r="F156">
        <v>0.25</v>
      </c>
      <c r="G156" t="s">
        <v>40</v>
      </c>
      <c r="I156" t="s">
        <v>178</v>
      </c>
      <c r="J156" t="s">
        <v>173</v>
      </c>
      <c r="K156" t="s">
        <v>124</v>
      </c>
      <c r="L156" t="s">
        <v>174</v>
      </c>
      <c r="M156" t="s">
        <v>124</v>
      </c>
      <c r="N156" t="s">
        <v>45</v>
      </c>
      <c r="O156" t="s">
        <v>45</v>
      </c>
      <c r="P156">
        <v>3</v>
      </c>
      <c r="Q156" s="7">
        <v>46204</v>
      </c>
      <c r="R156" s="7">
        <v>46204</v>
      </c>
      <c r="S156" s="7">
        <v>46204</v>
      </c>
      <c r="T156" t="s">
        <v>45</v>
      </c>
      <c r="V156" t="s">
        <v>175</v>
      </c>
      <c r="W156" t="s">
        <v>45</v>
      </c>
      <c r="X156" t="s">
        <v>74</v>
      </c>
      <c r="Y156" t="s">
        <v>46</v>
      </c>
      <c r="Z156" t="s">
        <v>150</v>
      </c>
      <c r="AF156">
        <v>2</v>
      </c>
      <c r="AH156" t="s">
        <v>75</v>
      </c>
      <c r="AI156">
        <v>1</v>
      </c>
      <c r="AJ156" s="13"/>
      <c r="AK156" t="s">
        <v>74</v>
      </c>
      <c r="AM156"/>
      <c r="AN156" t="s">
        <v>74</v>
      </c>
      <c r="AO156" t="s">
        <v>74</v>
      </c>
      <c r="AP156"/>
      <c r="AQ156" t="s">
        <v>74</v>
      </c>
      <c r="AR156" s="18" t="str">
        <f>IFERROR(VLOOKUP(K156,[1]POP!$F:$J,1,0),M156)</f>
        <v>MADA</v>
      </c>
      <c r="AS156" s="18" t="str">
        <f t="shared" si="11"/>
        <v>TCHIKA</v>
      </c>
      <c r="AT156" s="19">
        <f t="shared" si="14"/>
        <v>2</v>
      </c>
      <c r="AU156" s="19">
        <f t="shared" ca="1" si="13"/>
        <v>2</v>
      </c>
    </row>
    <row r="157" spans="1:47" x14ac:dyDescent="0.3">
      <c r="A157" t="s">
        <v>290</v>
      </c>
      <c r="B157" t="str">
        <f t="shared" si="10"/>
        <v>S27_2026</v>
      </c>
      <c r="C157" t="str">
        <f t="shared" si="12"/>
        <v>S27_2026</v>
      </c>
      <c r="F157">
        <v>9</v>
      </c>
      <c r="G157" t="s">
        <v>40</v>
      </c>
      <c r="I157" t="s">
        <v>173</v>
      </c>
      <c r="J157" t="s">
        <v>173</v>
      </c>
      <c r="K157" t="s">
        <v>124</v>
      </c>
      <c r="L157" t="s">
        <v>174</v>
      </c>
      <c r="M157" t="s">
        <v>124</v>
      </c>
      <c r="N157" t="s">
        <v>45</v>
      </c>
      <c r="O157" t="s">
        <v>45</v>
      </c>
      <c r="P157">
        <v>3</v>
      </c>
      <c r="Q157" s="7">
        <v>46204</v>
      </c>
      <c r="R157" s="7">
        <v>46204</v>
      </c>
      <c r="S157" s="7">
        <v>46204</v>
      </c>
      <c r="T157" t="s">
        <v>45</v>
      </c>
      <c r="V157" t="s">
        <v>175</v>
      </c>
      <c r="W157" t="s">
        <v>45</v>
      </c>
      <c r="X157" t="s">
        <v>74</v>
      </c>
      <c r="Y157" t="s">
        <v>46</v>
      </c>
      <c r="Z157" t="s">
        <v>150</v>
      </c>
      <c r="AF157">
        <v>2</v>
      </c>
      <c r="AH157" t="s">
        <v>75</v>
      </c>
      <c r="AI157">
        <v>1</v>
      </c>
      <c r="AJ157" s="13"/>
      <c r="AK157" t="s">
        <v>74</v>
      </c>
      <c r="AM157"/>
      <c r="AN157" t="s">
        <v>74</v>
      </c>
      <c r="AO157" t="s">
        <v>74</v>
      </c>
      <c r="AP157"/>
      <c r="AQ157" t="s">
        <v>74</v>
      </c>
      <c r="AR157" s="18" t="str">
        <f>IFERROR(VLOOKUP(K157,[1]POP!$F:$J,1,0),M157)</f>
        <v>MADA</v>
      </c>
      <c r="AS157" s="18" t="str">
        <f t="shared" si="11"/>
        <v>TCHIKA</v>
      </c>
      <c r="AT157" s="19">
        <f t="shared" si="14"/>
        <v>2</v>
      </c>
      <c r="AU157" s="19">
        <f t="shared" ca="1" si="13"/>
        <v>2</v>
      </c>
    </row>
    <row r="158" spans="1:47" x14ac:dyDescent="0.3">
      <c r="A158" t="s">
        <v>291</v>
      </c>
      <c r="B158" t="str">
        <f t="shared" si="10"/>
        <v>S27_2026</v>
      </c>
      <c r="C158" t="str">
        <f t="shared" si="12"/>
        <v>S27_2026</v>
      </c>
      <c r="F158">
        <v>5</v>
      </c>
      <c r="G158" t="s">
        <v>40</v>
      </c>
      <c r="I158" t="s">
        <v>178</v>
      </c>
      <c r="J158" t="s">
        <v>173</v>
      </c>
      <c r="K158" t="s">
        <v>124</v>
      </c>
      <c r="L158" t="s">
        <v>174</v>
      </c>
      <c r="M158" t="s">
        <v>124</v>
      </c>
      <c r="N158" t="s">
        <v>45</v>
      </c>
      <c r="O158" t="s">
        <v>45</v>
      </c>
      <c r="P158">
        <v>3</v>
      </c>
      <c r="Q158" s="7">
        <v>46204</v>
      </c>
      <c r="R158" s="7">
        <v>46204</v>
      </c>
      <c r="S158" s="7">
        <v>46204</v>
      </c>
      <c r="T158" t="s">
        <v>45</v>
      </c>
      <c r="V158" t="s">
        <v>175</v>
      </c>
      <c r="W158" t="s">
        <v>45</v>
      </c>
      <c r="X158" t="s">
        <v>74</v>
      </c>
      <c r="Y158" t="s">
        <v>46</v>
      </c>
      <c r="Z158" t="s">
        <v>150</v>
      </c>
      <c r="AF158">
        <v>2</v>
      </c>
      <c r="AH158" t="s">
        <v>75</v>
      </c>
      <c r="AI158">
        <v>1</v>
      </c>
      <c r="AJ158" s="13"/>
      <c r="AK158" t="s">
        <v>74</v>
      </c>
      <c r="AM158"/>
      <c r="AN158" t="s">
        <v>74</v>
      </c>
      <c r="AO158" t="s">
        <v>74</v>
      </c>
      <c r="AP158"/>
      <c r="AQ158" t="s">
        <v>74</v>
      </c>
      <c r="AR158" s="18" t="str">
        <f>IFERROR(VLOOKUP(K158,[1]POP!$F:$J,1,0),M158)</f>
        <v>MADA</v>
      </c>
      <c r="AS158" s="18" t="str">
        <f t="shared" si="11"/>
        <v>TCHIKA</v>
      </c>
      <c r="AT158" s="19">
        <f t="shared" si="14"/>
        <v>2</v>
      </c>
      <c r="AU158" s="19">
        <f t="shared" ca="1" si="13"/>
        <v>2</v>
      </c>
    </row>
    <row r="159" spans="1:47" x14ac:dyDescent="0.3">
      <c r="A159" t="s">
        <v>292</v>
      </c>
      <c r="B159" t="str">
        <f t="shared" si="10"/>
        <v>S27_2026</v>
      </c>
      <c r="C159" t="str">
        <f t="shared" si="12"/>
        <v>S27_2026</v>
      </c>
      <c r="F159">
        <v>10</v>
      </c>
      <c r="G159" t="s">
        <v>40</v>
      </c>
      <c r="I159" t="s">
        <v>178</v>
      </c>
      <c r="J159" t="s">
        <v>173</v>
      </c>
      <c r="K159" t="s">
        <v>124</v>
      </c>
      <c r="L159" t="s">
        <v>174</v>
      </c>
      <c r="M159" t="s">
        <v>124</v>
      </c>
      <c r="N159" t="s">
        <v>45</v>
      </c>
      <c r="O159" t="s">
        <v>45</v>
      </c>
      <c r="P159">
        <v>3</v>
      </c>
      <c r="Q159" s="7">
        <v>46204</v>
      </c>
      <c r="R159" s="7">
        <v>46204</v>
      </c>
      <c r="S159" s="7">
        <v>46204</v>
      </c>
      <c r="T159" t="s">
        <v>45</v>
      </c>
      <c r="V159" t="s">
        <v>175</v>
      </c>
      <c r="W159" t="s">
        <v>45</v>
      </c>
      <c r="X159" t="s">
        <v>74</v>
      </c>
      <c r="Y159" t="s">
        <v>46</v>
      </c>
      <c r="Z159" t="s">
        <v>150</v>
      </c>
      <c r="AF159">
        <v>2</v>
      </c>
      <c r="AH159" t="s">
        <v>75</v>
      </c>
      <c r="AI159">
        <v>1</v>
      </c>
      <c r="AJ159" s="13"/>
      <c r="AK159" t="s">
        <v>74</v>
      </c>
      <c r="AM159"/>
      <c r="AN159" t="s">
        <v>74</v>
      </c>
      <c r="AO159" t="s">
        <v>74</v>
      </c>
      <c r="AP159"/>
      <c r="AQ159" t="s">
        <v>74</v>
      </c>
      <c r="AR159" s="18" t="str">
        <f>IFERROR(VLOOKUP(K159,[1]POP!$F:$J,1,0),M159)</f>
        <v>MADA</v>
      </c>
      <c r="AS159" s="18" t="str">
        <f t="shared" si="11"/>
        <v>TCHIKA</v>
      </c>
      <c r="AT159" s="19">
        <f t="shared" si="14"/>
        <v>2</v>
      </c>
      <c r="AU159" s="19">
        <f t="shared" ca="1" si="13"/>
        <v>2</v>
      </c>
    </row>
    <row r="160" spans="1:47" x14ac:dyDescent="0.3">
      <c r="A160" t="s">
        <v>293</v>
      </c>
      <c r="B160" t="str">
        <f t="shared" si="10"/>
        <v>S27_2026</v>
      </c>
      <c r="C160" t="str">
        <f t="shared" si="12"/>
        <v>S27_2026</v>
      </c>
      <c r="F160">
        <v>17</v>
      </c>
      <c r="G160" t="s">
        <v>55</v>
      </c>
      <c r="I160" t="s">
        <v>178</v>
      </c>
      <c r="J160" t="s">
        <v>173</v>
      </c>
      <c r="K160" t="s">
        <v>124</v>
      </c>
      <c r="L160" t="s">
        <v>174</v>
      </c>
      <c r="M160" t="s">
        <v>124</v>
      </c>
      <c r="N160" t="s">
        <v>45</v>
      </c>
      <c r="O160" t="s">
        <v>45</v>
      </c>
      <c r="P160">
        <v>3</v>
      </c>
      <c r="Q160" s="7">
        <v>46204</v>
      </c>
      <c r="R160" s="7">
        <v>46204</v>
      </c>
      <c r="S160" s="7">
        <v>46204</v>
      </c>
      <c r="T160" t="s">
        <v>45</v>
      </c>
      <c r="V160" t="s">
        <v>175</v>
      </c>
      <c r="W160" t="s">
        <v>45</v>
      </c>
      <c r="X160" t="s">
        <v>74</v>
      </c>
      <c r="Y160" t="s">
        <v>46</v>
      </c>
      <c r="Z160" t="s">
        <v>150</v>
      </c>
      <c r="AF160">
        <v>2</v>
      </c>
      <c r="AH160" t="s">
        <v>75</v>
      </c>
      <c r="AI160">
        <v>1</v>
      </c>
      <c r="AJ160" s="13"/>
      <c r="AK160" t="s">
        <v>74</v>
      </c>
      <c r="AM160"/>
      <c r="AN160" t="s">
        <v>74</v>
      </c>
      <c r="AO160" t="s">
        <v>74</v>
      </c>
      <c r="AP160"/>
      <c r="AQ160" t="s">
        <v>74</v>
      </c>
      <c r="AR160" s="18" t="str">
        <f>IFERROR(VLOOKUP(K160,[1]POP!$F:$J,1,0),M160)</f>
        <v>MADA</v>
      </c>
      <c r="AS160" s="18" t="str">
        <f t="shared" si="11"/>
        <v>TCHIKA</v>
      </c>
      <c r="AT160" s="19">
        <f t="shared" si="14"/>
        <v>2</v>
      </c>
      <c r="AU160" s="19">
        <f t="shared" ca="1" si="13"/>
        <v>2</v>
      </c>
    </row>
    <row r="161" spans="1:47" x14ac:dyDescent="0.3">
      <c r="A161" t="s">
        <v>294</v>
      </c>
      <c r="B161" t="str">
        <f t="shared" si="10"/>
        <v>S27_2026</v>
      </c>
      <c r="C161" t="str">
        <f t="shared" si="12"/>
        <v>S27_2026</v>
      </c>
      <c r="F161">
        <v>0.25</v>
      </c>
      <c r="G161" t="s">
        <v>40</v>
      </c>
      <c r="I161" t="s">
        <v>178</v>
      </c>
      <c r="J161" t="s">
        <v>173</v>
      </c>
      <c r="K161" t="s">
        <v>124</v>
      </c>
      <c r="L161" t="s">
        <v>174</v>
      </c>
      <c r="M161" t="s">
        <v>124</v>
      </c>
      <c r="N161" t="s">
        <v>45</v>
      </c>
      <c r="O161" t="s">
        <v>45</v>
      </c>
      <c r="P161">
        <v>3</v>
      </c>
      <c r="Q161" s="7">
        <v>46204</v>
      </c>
      <c r="R161" s="7">
        <v>46204</v>
      </c>
      <c r="S161" s="7">
        <v>46204</v>
      </c>
      <c r="T161" t="s">
        <v>45</v>
      </c>
      <c r="V161" t="s">
        <v>175</v>
      </c>
      <c r="W161" t="s">
        <v>45</v>
      </c>
      <c r="X161" t="s">
        <v>74</v>
      </c>
      <c r="Y161" t="s">
        <v>46</v>
      </c>
      <c r="Z161" t="s">
        <v>150</v>
      </c>
      <c r="AF161">
        <v>2</v>
      </c>
      <c r="AH161" t="s">
        <v>75</v>
      </c>
      <c r="AI161">
        <v>1</v>
      </c>
      <c r="AJ161" s="13"/>
      <c r="AK161" t="s">
        <v>74</v>
      </c>
      <c r="AM161"/>
      <c r="AN161" t="s">
        <v>74</v>
      </c>
      <c r="AO161" t="s">
        <v>74</v>
      </c>
      <c r="AP161"/>
      <c r="AQ161" t="s">
        <v>74</v>
      </c>
      <c r="AR161" s="18" t="str">
        <f>IFERROR(VLOOKUP(K161,[1]POP!$F:$J,1,0),M161)</f>
        <v>MADA</v>
      </c>
      <c r="AS161" s="18" t="str">
        <f t="shared" si="11"/>
        <v>TCHIKA</v>
      </c>
      <c r="AT161" s="19">
        <f t="shared" si="14"/>
        <v>2</v>
      </c>
      <c r="AU161" s="19">
        <f t="shared" ca="1" si="13"/>
        <v>2</v>
      </c>
    </row>
    <row r="162" spans="1:47" x14ac:dyDescent="0.3">
      <c r="A162" t="s">
        <v>295</v>
      </c>
      <c r="B162" t="str">
        <f t="shared" si="10"/>
        <v>S27_2026</v>
      </c>
      <c r="C162" t="str">
        <f t="shared" si="12"/>
        <v>S27_2026</v>
      </c>
      <c r="F162">
        <v>0.25</v>
      </c>
      <c r="G162" t="s">
        <v>55</v>
      </c>
      <c r="I162" t="s">
        <v>178</v>
      </c>
      <c r="J162" t="s">
        <v>173</v>
      </c>
      <c r="K162" t="s">
        <v>124</v>
      </c>
      <c r="L162" t="s">
        <v>174</v>
      </c>
      <c r="M162" t="s">
        <v>124</v>
      </c>
      <c r="N162" t="s">
        <v>45</v>
      </c>
      <c r="O162" t="s">
        <v>45</v>
      </c>
      <c r="P162">
        <v>3</v>
      </c>
      <c r="Q162" s="7">
        <v>46204</v>
      </c>
      <c r="R162" s="7">
        <v>46204</v>
      </c>
      <c r="S162" s="7">
        <v>46204</v>
      </c>
      <c r="T162" t="s">
        <v>45</v>
      </c>
      <c r="V162" t="s">
        <v>175</v>
      </c>
      <c r="W162" t="s">
        <v>45</v>
      </c>
      <c r="X162" t="s">
        <v>74</v>
      </c>
      <c r="Y162" t="s">
        <v>46</v>
      </c>
      <c r="Z162" t="s">
        <v>150</v>
      </c>
      <c r="AF162">
        <v>2</v>
      </c>
      <c r="AH162" t="s">
        <v>75</v>
      </c>
      <c r="AI162">
        <v>1</v>
      </c>
      <c r="AJ162" s="13"/>
      <c r="AK162" t="s">
        <v>74</v>
      </c>
      <c r="AM162"/>
      <c r="AN162" t="s">
        <v>74</v>
      </c>
      <c r="AO162" t="s">
        <v>74</v>
      </c>
      <c r="AP162"/>
      <c r="AQ162" t="s">
        <v>74</v>
      </c>
      <c r="AR162" s="18" t="str">
        <f>IFERROR(VLOOKUP(K162,[1]POP!$F:$J,1,0),M162)</f>
        <v>MADA</v>
      </c>
      <c r="AS162" s="18" t="str">
        <f t="shared" si="11"/>
        <v>TCHIKA</v>
      </c>
      <c r="AT162" s="19">
        <f t="shared" si="14"/>
        <v>2</v>
      </c>
      <c r="AU162" s="19">
        <f t="shared" ca="1" si="13"/>
        <v>2</v>
      </c>
    </row>
    <row r="163" spans="1:47" x14ac:dyDescent="0.3">
      <c r="A163" t="s">
        <v>296</v>
      </c>
      <c r="B163" t="str">
        <f t="shared" si="10"/>
        <v>S27_2026</v>
      </c>
      <c r="C163" t="str">
        <f t="shared" si="12"/>
        <v>S27_2026</v>
      </c>
      <c r="F163">
        <v>9</v>
      </c>
      <c r="G163" t="s">
        <v>40</v>
      </c>
      <c r="I163" t="s">
        <v>178</v>
      </c>
      <c r="J163" t="s">
        <v>173</v>
      </c>
      <c r="K163" t="s">
        <v>124</v>
      </c>
      <c r="L163" t="s">
        <v>174</v>
      </c>
      <c r="M163" t="s">
        <v>124</v>
      </c>
      <c r="N163" t="s">
        <v>45</v>
      </c>
      <c r="O163" t="s">
        <v>45</v>
      </c>
      <c r="P163">
        <v>3</v>
      </c>
      <c r="Q163" s="7">
        <v>46204</v>
      </c>
      <c r="R163" s="7">
        <v>46204</v>
      </c>
      <c r="S163" s="7">
        <v>46204</v>
      </c>
      <c r="T163" t="s">
        <v>45</v>
      </c>
      <c r="V163" t="s">
        <v>175</v>
      </c>
      <c r="W163" t="s">
        <v>45</v>
      </c>
      <c r="X163" t="s">
        <v>74</v>
      </c>
      <c r="Y163" t="s">
        <v>46</v>
      </c>
      <c r="Z163" t="s">
        <v>150</v>
      </c>
      <c r="AF163">
        <v>2</v>
      </c>
      <c r="AH163" t="s">
        <v>75</v>
      </c>
      <c r="AI163">
        <v>1</v>
      </c>
      <c r="AJ163" s="13"/>
      <c r="AK163" t="s">
        <v>74</v>
      </c>
      <c r="AM163"/>
      <c r="AN163" t="s">
        <v>74</v>
      </c>
      <c r="AO163" t="s">
        <v>74</v>
      </c>
      <c r="AP163"/>
      <c r="AQ163" t="s">
        <v>74</v>
      </c>
      <c r="AR163" s="18" t="str">
        <f>IFERROR(VLOOKUP(K163,[1]POP!$F:$J,1,0),M163)</f>
        <v>MADA</v>
      </c>
      <c r="AS163" s="18" t="str">
        <f t="shared" si="11"/>
        <v>TCHIKA</v>
      </c>
      <c r="AT163" s="19">
        <f t="shared" si="14"/>
        <v>2</v>
      </c>
      <c r="AU163" s="19">
        <f t="shared" ca="1" si="13"/>
        <v>2</v>
      </c>
    </row>
    <row r="164" spans="1:47" x14ac:dyDescent="0.3">
      <c r="A164" t="s">
        <v>297</v>
      </c>
      <c r="B164" t="str">
        <f t="shared" si="10"/>
        <v>S27_2026</v>
      </c>
      <c r="C164" t="str">
        <f t="shared" si="12"/>
        <v>S27_2026</v>
      </c>
      <c r="F164">
        <v>2</v>
      </c>
      <c r="G164" t="s">
        <v>40</v>
      </c>
      <c r="I164" t="s">
        <v>178</v>
      </c>
      <c r="J164" t="s">
        <v>173</v>
      </c>
      <c r="K164" t="s">
        <v>124</v>
      </c>
      <c r="L164" t="s">
        <v>174</v>
      </c>
      <c r="M164" t="s">
        <v>124</v>
      </c>
      <c r="N164" t="s">
        <v>45</v>
      </c>
      <c r="O164" t="s">
        <v>45</v>
      </c>
      <c r="P164">
        <v>3</v>
      </c>
      <c r="Q164" s="7">
        <v>46204</v>
      </c>
      <c r="R164" s="7">
        <v>46204</v>
      </c>
      <c r="S164" s="7">
        <v>46204</v>
      </c>
      <c r="T164" t="s">
        <v>45</v>
      </c>
      <c r="V164" t="s">
        <v>175</v>
      </c>
      <c r="W164" t="s">
        <v>45</v>
      </c>
      <c r="X164" t="s">
        <v>74</v>
      </c>
      <c r="Y164" t="s">
        <v>46</v>
      </c>
      <c r="Z164" t="s">
        <v>150</v>
      </c>
      <c r="AF164">
        <v>2</v>
      </c>
      <c r="AH164" t="s">
        <v>75</v>
      </c>
      <c r="AI164">
        <v>1</v>
      </c>
      <c r="AJ164" s="13"/>
      <c r="AK164" t="s">
        <v>74</v>
      </c>
      <c r="AM164"/>
      <c r="AN164" t="s">
        <v>74</v>
      </c>
      <c r="AO164" t="s">
        <v>74</v>
      </c>
      <c r="AP164"/>
      <c r="AQ164" t="s">
        <v>74</v>
      </c>
      <c r="AR164" s="18" t="str">
        <f>IFERROR(VLOOKUP(K164,[1]POP!$F:$J,1,0),M164)</f>
        <v>MADA</v>
      </c>
      <c r="AS164" s="18" t="str">
        <f t="shared" si="11"/>
        <v>TCHIKA</v>
      </c>
      <c r="AT164" s="19">
        <f t="shared" si="14"/>
        <v>2</v>
      </c>
      <c r="AU164" s="19">
        <f t="shared" ca="1" si="13"/>
        <v>2</v>
      </c>
    </row>
    <row r="165" spans="1:47" x14ac:dyDescent="0.3">
      <c r="A165" t="s">
        <v>298</v>
      </c>
      <c r="B165" t="str">
        <f t="shared" si="10"/>
        <v>S27_2026</v>
      </c>
      <c r="C165" t="str">
        <f t="shared" si="12"/>
        <v>S27_2026</v>
      </c>
      <c r="F165">
        <v>3</v>
      </c>
      <c r="G165" t="s">
        <v>55</v>
      </c>
      <c r="I165" t="s">
        <v>166</v>
      </c>
      <c r="J165" t="s">
        <v>166</v>
      </c>
      <c r="K165" t="s">
        <v>124</v>
      </c>
      <c r="L165" t="s">
        <v>166</v>
      </c>
      <c r="M165" t="s">
        <v>124</v>
      </c>
      <c r="N165" t="s">
        <v>45</v>
      </c>
      <c r="O165" t="s">
        <v>45</v>
      </c>
      <c r="P165">
        <v>3</v>
      </c>
      <c r="Q165" s="7">
        <v>46204</v>
      </c>
      <c r="R165" s="7">
        <v>46204</v>
      </c>
      <c r="S165" s="7">
        <v>46204</v>
      </c>
      <c r="T165" t="s">
        <v>45</v>
      </c>
      <c r="V165" t="s">
        <v>167</v>
      </c>
      <c r="W165" t="s">
        <v>45</v>
      </c>
      <c r="X165" t="s">
        <v>74</v>
      </c>
      <c r="Y165" t="s">
        <v>46</v>
      </c>
      <c r="Z165" t="s">
        <v>150</v>
      </c>
      <c r="AF165">
        <v>2</v>
      </c>
      <c r="AH165" t="s">
        <v>75</v>
      </c>
      <c r="AI165">
        <v>1</v>
      </c>
      <c r="AJ165" s="13"/>
      <c r="AK165" t="s">
        <v>74</v>
      </c>
      <c r="AM165"/>
      <c r="AN165" t="s">
        <v>74</v>
      </c>
      <c r="AO165" t="s">
        <v>74</v>
      </c>
      <c r="AP165"/>
      <c r="AQ165" t="s">
        <v>74</v>
      </c>
      <c r="AR165" s="18" t="str">
        <f>IFERROR(VLOOKUP(K165,[1]POP!$F:$J,1,0),M165)</f>
        <v>MADA</v>
      </c>
      <c r="AS165" s="18" t="str">
        <f t="shared" si="11"/>
        <v>BARGARAM</v>
      </c>
      <c r="AT165" s="19">
        <f t="shared" si="14"/>
        <v>2</v>
      </c>
      <c r="AU165" s="19">
        <f t="shared" ca="1" si="13"/>
        <v>2</v>
      </c>
    </row>
    <row r="166" spans="1:47" x14ac:dyDescent="0.3">
      <c r="A166" t="s">
        <v>299</v>
      </c>
      <c r="B166" t="str">
        <f t="shared" si="10"/>
        <v>S27_2026</v>
      </c>
      <c r="C166" t="str">
        <f t="shared" si="12"/>
        <v>S27_2026</v>
      </c>
      <c r="F166">
        <v>9</v>
      </c>
      <c r="G166" t="s">
        <v>40</v>
      </c>
      <c r="I166" t="s">
        <v>166</v>
      </c>
      <c r="J166" t="s">
        <v>166</v>
      </c>
      <c r="K166" t="s">
        <v>124</v>
      </c>
      <c r="L166" t="s">
        <v>166</v>
      </c>
      <c r="M166" t="s">
        <v>124</v>
      </c>
      <c r="N166" t="s">
        <v>45</v>
      </c>
      <c r="O166" t="s">
        <v>45</v>
      </c>
      <c r="P166">
        <v>3</v>
      </c>
      <c r="Q166" s="7">
        <v>46204</v>
      </c>
      <c r="R166" s="7">
        <v>46204</v>
      </c>
      <c r="S166" s="7">
        <v>46204</v>
      </c>
      <c r="T166" t="s">
        <v>45</v>
      </c>
      <c r="V166" t="s">
        <v>167</v>
      </c>
      <c r="W166" t="s">
        <v>45</v>
      </c>
      <c r="X166" t="s">
        <v>74</v>
      </c>
      <c r="Y166" t="s">
        <v>46</v>
      </c>
      <c r="Z166" t="s">
        <v>150</v>
      </c>
      <c r="AF166">
        <v>2</v>
      </c>
      <c r="AH166" t="s">
        <v>75</v>
      </c>
      <c r="AI166">
        <v>1</v>
      </c>
      <c r="AJ166" s="13"/>
      <c r="AK166" t="s">
        <v>74</v>
      </c>
      <c r="AM166"/>
      <c r="AN166" t="s">
        <v>74</v>
      </c>
      <c r="AO166" t="s">
        <v>74</v>
      </c>
      <c r="AP166"/>
      <c r="AQ166" t="s">
        <v>74</v>
      </c>
      <c r="AR166" s="18" t="str">
        <f>IFERROR(VLOOKUP(K166,[1]POP!$F:$J,1,0),M166)</f>
        <v>MADA</v>
      </c>
      <c r="AS166" s="18" t="str">
        <f t="shared" si="11"/>
        <v>BARGARAM</v>
      </c>
      <c r="AT166" s="19">
        <f t="shared" si="14"/>
        <v>2</v>
      </c>
      <c r="AU166" s="19">
        <f t="shared" ca="1" si="13"/>
        <v>2</v>
      </c>
    </row>
    <row r="167" spans="1:47" x14ac:dyDescent="0.3">
      <c r="A167" t="s">
        <v>300</v>
      </c>
      <c r="B167" t="str">
        <f t="shared" si="10"/>
        <v>S27_2026</v>
      </c>
      <c r="C167" t="str">
        <f t="shared" si="12"/>
        <v>S27_2026</v>
      </c>
      <c r="F167">
        <v>5</v>
      </c>
      <c r="G167" t="s">
        <v>55</v>
      </c>
      <c r="I167" t="s">
        <v>234</v>
      </c>
      <c r="J167" t="s">
        <v>166</v>
      </c>
      <c r="K167" t="s">
        <v>124</v>
      </c>
      <c r="L167" t="s">
        <v>166</v>
      </c>
      <c r="M167" t="s">
        <v>124</v>
      </c>
      <c r="N167" t="s">
        <v>45</v>
      </c>
      <c r="O167" t="s">
        <v>45</v>
      </c>
      <c r="P167">
        <v>3</v>
      </c>
      <c r="Q167" s="7">
        <v>46204</v>
      </c>
      <c r="R167" s="7">
        <v>46204</v>
      </c>
      <c r="S167" s="7">
        <v>46204</v>
      </c>
      <c r="T167" t="s">
        <v>45</v>
      </c>
      <c r="V167" t="s">
        <v>167</v>
      </c>
      <c r="W167" t="s">
        <v>45</v>
      </c>
      <c r="X167" t="s">
        <v>74</v>
      </c>
      <c r="Y167" t="s">
        <v>46</v>
      </c>
      <c r="Z167" t="s">
        <v>150</v>
      </c>
      <c r="AF167">
        <v>2</v>
      </c>
      <c r="AH167" t="s">
        <v>75</v>
      </c>
      <c r="AI167">
        <v>1</v>
      </c>
      <c r="AJ167" s="13"/>
      <c r="AK167" t="s">
        <v>74</v>
      </c>
      <c r="AM167"/>
      <c r="AN167" t="s">
        <v>74</v>
      </c>
      <c r="AO167" t="s">
        <v>74</v>
      </c>
      <c r="AP167"/>
      <c r="AQ167" t="s">
        <v>74</v>
      </c>
      <c r="AR167" s="18" t="str">
        <f>IFERROR(VLOOKUP(K167,[1]POP!$F:$J,1,0),M167)</f>
        <v>MADA</v>
      </c>
      <c r="AS167" s="18" t="str">
        <f t="shared" si="11"/>
        <v>BARGARAM</v>
      </c>
      <c r="AT167" s="19">
        <f t="shared" si="14"/>
        <v>2</v>
      </c>
      <c r="AU167" s="19">
        <f t="shared" ca="1" si="13"/>
        <v>2</v>
      </c>
    </row>
    <row r="168" spans="1:47" x14ac:dyDescent="0.3">
      <c r="A168" t="s">
        <v>301</v>
      </c>
      <c r="B168" t="str">
        <f t="shared" si="10"/>
        <v>S27_2026</v>
      </c>
      <c r="C168" t="str">
        <f t="shared" si="12"/>
        <v>S27_2026</v>
      </c>
      <c r="F168">
        <v>2</v>
      </c>
      <c r="G168" t="s">
        <v>55</v>
      </c>
      <c r="H168" t="s">
        <v>85</v>
      </c>
      <c r="I168" t="s">
        <v>234</v>
      </c>
      <c r="J168" t="s">
        <v>166</v>
      </c>
      <c r="K168" t="s">
        <v>124</v>
      </c>
      <c r="L168" t="s">
        <v>166</v>
      </c>
      <c r="M168" t="s">
        <v>124</v>
      </c>
      <c r="N168" t="s">
        <v>45</v>
      </c>
      <c r="O168" t="s">
        <v>45</v>
      </c>
      <c r="P168">
        <v>3</v>
      </c>
      <c r="Q168" s="7">
        <v>46204</v>
      </c>
      <c r="R168" s="7">
        <v>46204</v>
      </c>
      <c r="S168" s="7">
        <v>46204</v>
      </c>
      <c r="T168" t="s">
        <v>45</v>
      </c>
      <c r="V168" t="s">
        <v>167</v>
      </c>
      <c r="W168" t="s">
        <v>45</v>
      </c>
      <c r="X168" t="s">
        <v>74</v>
      </c>
      <c r="Y168" t="s">
        <v>46</v>
      </c>
      <c r="Z168" t="s">
        <v>150</v>
      </c>
      <c r="AF168">
        <v>2</v>
      </c>
      <c r="AH168" t="s">
        <v>75</v>
      </c>
      <c r="AI168">
        <v>1</v>
      </c>
      <c r="AJ168" s="13"/>
      <c r="AK168" t="s">
        <v>74</v>
      </c>
      <c r="AM168"/>
      <c r="AN168" t="s">
        <v>74</v>
      </c>
      <c r="AO168" t="s">
        <v>74</v>
      </c>
      <c r="AP168"/>
      <c r="AQ168" t="s">
        <v>74</v>
      </c>
      <c r="AR168" s="18" t="str">
        <f>IFERROR(VLOOKUP(K168,[1]POP!$F:$J,1,0),M168)</f>
        <v>MADA</v>
      </c>
      <c r="AS168" s="18" t="str">
        <f t="shared" si="11"/>
        <v>BARGARAM</v>
      </c>
      <c r="AT168" s="19">
        <f t="shared" si="14"/>
        <v>2</v>
      </c>
      <c r="AU168" s="19">
        <f t="shared" ca="1" si="13"/>
        <v>2</v>
      </c>
    </row>
    <row r="169" spans="1:47" x14ac:dyDescent="0.3">
      <c r="A169" t="s">
        <v>302</v>
      </c>
      <c r="B169" t="str">
        <f t="shared" si="10"/>
        <v>S27_2026</v>
      </c>
      <c r="C169" t="str">
        <f t="shared" si="12"/>
        <v>S27_2026</v>
      </c>
      <c r="F169">
        <v>28</v>
      </c>
      <c r="G169" t="s">
        <v>40</v>
      </c>
      <c r="H169" t="s">
        <v>77</v>
      </c>
      <c r="I169" t="s">
        <v>166</v>
      </c>
      <c r="J169" t="s">
        <v>166</v>
      </c>
      <c r="K169" t="s">
        <v>124</v>
      </c>
      <c r="L169" t="s">
        <v>166</v>
      </c>
      <c r="M169" t="s">
        <v>124</v>
      </c>
      <c r="N169" t="s">
        <v>45</v>
      </c>
      <c r="O169" t="s">
        <v>45</v>
      </c>
      <c r="P169">
        <v>3</v>
      </c>
      <c r="Q169" s="7">
        <v>46204</v>
      </c>
      <c r="R169" s="7">
        <v>46204</v>
      </c>
      <c r="S169" s="7">
        <v>46204</v>
      </c>
      <c r="T169" t="s">
        <v>45</v>
      </c>
      <c r="V169" t="s">
        <v>167</v>
      </c>
      <c r="W169" t="s">
        <v>45</v>
      </c>
      <c r="X169" t="s">
        <v>74</v>
      </c>
      <c r="Y169" t="s">
        <v>46</v>
      </c>
      <c r="Z169" t="s">
        <v>150</v>
      </c>
      <c r="AF169">
        <v>2</v>
      </c>
      <c r="AH169" t="s">
        <v>75</v>
      </c>
      <c r="AI169">
        <v>1</v>
      </c>
      <c r="AJ169" s="13"/>
      <c r="AK169" t="s">
        <v>74</v>
      </c>
      <c r="AM169"/>
      <c r="AN169" t="s">
        <v>74</v>
      </c>
      <c r="AO169" t="s">
        <v>74</v>
      </c>
      <c r="AP169"/>
      <c r="AQ169" t="s">
        <v>74</v>
      </c>
      <c r="AR169" s="18" t="str">
        <f>IFERROR(VLOOKUP(K169,[1]POP!$F:$J,1,0),M169)</f>
        <v>MADA</v>
      </c>
      <c r="AS169" s="18" t="str">
        <f t="shared" si="11"/>
        <v>BARGARAM</v>
      </c>
      <c r="AT169" s="19">
        <f t="shared" si="14"/>
        <v>2</v>
      </c>
      <c r="AU169" s="19">
        <f t="shared" ca="1" si="13"/>
        <v>2</v>
      </c>
    </row>
    <row r="170" spans="1:47" x14ac:dyDescent="0.3">
      <c r="A170" t="s">
        <v>303</v>
      </c>
      <c r="B170" t="str">
        <f t="shared" si="10"/>
        <v>S27_2026</v>
      </c>
      <c r="C170" t="str">
        <f t="shared" si="12"/>
        <v>S27_2026</v>
      </c>
      <c r="F170">
        <v>20</v>
      </c>
      <c r="G170" t="s">
        <v>55</v>
      </c>
      <c r="H170" t="s">
        <v>85</v>
      </c>
      <c r="I170" t="s">
        <v>166</v>
      </c>
      <c r="J170" t="s">
        <v>166</v>
      </c>
      <c r="K170" t="s">
        <v>124</v>
      </c>
      <c r="L170" t="s">
        <v>166</v>
      </c>
      <c r="M170" t="s">
        <v>124</v>
      </c>
      <c r="N170" t="s">
        <v>45</v>
      </c>
      <c r="O170" t="s">
        <v>45</v>
      </c>
      <c r="P170">
        <v>3</v>
      </c>
      <c r="Q170" s="7">
        <v>46204</v>
      </c>
      <c r="R170" s="7">
        <v>46204</v>
      </c>
      <c r="S170" s="7">
        <v>46204</v>
      </c>
      <c r="T170" t="s">
        <v>45</v>
      </c>
      <c r="V170" t="s">
        <v>167</v>
      </c>
      <c r="W170" t="s">
        <v>45</v>
      </c>
      <c r="X170" t="s">
        <v>74</v>
      </c>
      <c r="Y170" t="s">
        <v>46</v>
      </c>
      <c r="Z170" t="s">
        <v>150</v>
      </c>
      <c r="AF170">
        <v>2</v>
      </c>
      <c r="AH170" t="s">
        <v>75</v>
      </c>
      <c r="AI170">
        <v>1</v>
      </c>
      <c r="AJ170" s="13"/>
      <c r="AK170" t="s">
        <v>74</v>
      </c>
      <c r="AM170"/>
      <c r="AN170" t="s">
        <v>74</v>
      </c>
      <c r="AO170" t="s">
        <v>74</v>
      </c>
      <c r="AP170"/>
      <c r="AQ170" t="s">
        <v>74</v>
      </c>
      <c r="AR170" s="18" t="str">
        <f>IFERROR(VLOOKUP(K170,[1]POP!$F:$J,1,0),M170)</f>
        <v>MADA</v>
      </c>
      <c r="AS170" s="18" t="str">
        <f t="shared" si="11"/>
        <v>BARGARAM</v>
      </c>
      <c r="AT170" s="19">
        <f t="shared" si="14"/>
        <v>2</v>
      </c>
      <c r="AU170" s="19">
        <f t="shared" ca="1" si="13"/>
        <v>2</v>
      </c>
    </row>
    <row r="171" spans="1:47" x14ac:dyDescent="0.3">
      <c r="A171" t="s">
        <v>304</v>
      </c>
      <c r="B171" t="str">
        <f t="shared" si="10"/>
        <v>S27_2026</v>
      </c>
      <c r="C171" t="str">
        <f t="shared" si="12"/>
        <v>S27_2026</v>
      </c>
      <c r="F171">
        <v>32</v>
      </c>
      <c r="G171" t="s">
        <v>40</v>
      </c>
      <c r="H171" t="s">
        <v>85</v>
      </c>
      <c r="I171" t="s">
        <v>166</v>
      </c>
      <c r="J171" t="s">
        <v>166</v>
      </c>
      <c r="K171" t="s">
        <v>124</v>
      </c>
      <c r="L171" t="s">
        <v>166</v>
      </c>
      <c r="M171" t="s">
        <v>124</v>
      </c>
      <c r="N171" t="s">
        <v>45</v>
      </c>
      <c r="O171" t="s">
        <v>45</v>
      </c>
      <c r="P171">
        <v>3</v>
      </c>
      <c r="Q171" s="7">
        <v>46204</v>
      </c>
      <c r="R171" s="7">
        <v>46204</v>
      </c>
      <c r="S171" s="7">
        <v>46204</v>
      </c>
      <c r="T171" t="s">
        <v>45</v>
      </c>
      <c r="V171" t="s">
        <v>167</v>
      </c>
      <c r="W171" t="s">
        <v>45</v>
      </c>
      <c r="X171" t="s">
        <v>74</v>
      </c>
      <c r="Y171" t="s">
        <v>46</v>
      </c>
      <c r="Z171" t="s">
        <v>150</v>
      </c>
      <c r="AF171">
        <v>2</v>
      </c>
      <c r="AH171" t="s">
        <v>75</v>
      </c>
      <c r="AI171">
        <v>1</v>
      </c>
      <c r="AJ171" s="13"/>
      <c r="AK171" t="s">
        <v>74</v>
      </c>
      <c r="AM171"/>
      <c r="AN171" t="s">
        <v>74</v>
      </c>
      <c r="AO171" t="s">
        <v>74</v>
      </c>
      <c r="AP171"/>
      <c r="AQ171" t="s">
        <v>74</v>
      </c>
      <c r="AR171" s="18" t="str">
        <f>IFERROR(VLOOKUP(K171,[1]POP!$F:$J,1,0),M171)</f>
        <v>MADA</v>
      </c>
      <c r="AS171" s="18" t="str">
        <f t="shared" si="11"/>
        <v>BARGARAM</v>
      </c>
      <c r="AT171" s="19">
        <f t="shared" si="14"/>
        <v>2</v>
      </c>
      <c r="AU171" s="19">
        <f t="shared" ca="1" si="13"/>
        <v>2</v>
      </c>
    </row>
    <row r="172" spans="1:47" x14ac:dyDescent="0.3">
      <c r="A172" t="s">
        <v>305</v>
      </c>
      <c r="B172" t="str">
        <f t="shared" si="10"/>
        <v>S27_2026</v>
      </c>
      <c r="C172" t="str">
        <f t="shared" si="12"/>
        <v>S27_2026</v>
      </c>
      <c r="F172">
        <v>3</v>
      </c>
      <c r="G172" t="s">
        <v>55</v>
      </c>
      <c r="I172" t="s">
        <v>178</v>
      </c>
      <c r="J172" t="s">
        <v>173</v>
      </c>
      <c r="K172" t="s">
        <v>124</v>
      </c>
      <c r="L172" t="s">
        <v>174</v>
      </c>
      <c r="M172" t="s">
        <v>124</v>
      </c>
      <c r="N172" t="s">
        <v>45</v>
      </c>
      <c r="O172" t="s">
        <v>45</v>
      </c>
      <c r="P172">
        <v>2</v>
      </c>
      <c r="Q172" s="7">
        <v>46204</v>
      </c>
      <c r="R172" s="7">
        <v>46204</v>
      </c>
      <c r="S172" s="7">
        <v>46204</v>
      </c>
      <c r="T172" t="s">
        <v>45</v>
      </c>
      <c r="V172" t="s">
        <v>175</v>
      </c>
      <c r="W172" t="s">
        <v>45</v>
      </c>
      <c r="X172" t="s">
        <v>74</v>
      </c>
      <c r="Y172" t="s">
        <v>46</v>
      </c>
      <c r="Z172" t="s">
        <v>150</v>
      </c>
      <c r="AF172">
        <v>2</v>
      </c>
      <c r="AH172" t="s">
        <v>75</v>
      </c>
      <c r="AI172">
        <v>1</v>
      </c>
      <c r="AJ172" s="13"/>
      <c r="AK172" t="s">
        <v>74</v>
      </c>
      <c r="AM172"/>
      <c r="AN172" t="s">
        <v>74</v>
      </c>
      <c r="AO172" t="s">
        <v>74</v>
      </c>
      <c r="AP172"/>
      <c r="AQ172" t="s">
        <v>74</v>
      </c>
      <c r="AR172" s="18" t="str">
        <f>IFERROR(VLOOKUP(K172,[1]POP!$F:$J,1,0),M172)</f>
        <v>MADA</v>
      </c>
      <c r="AS172" s="18" t="str">
        <f t="shared" si="11"/>
        <v>TCHIKA</v>
      </c>
      <c r="AT172" s="19">
        <f t="shared" si="14"/>
        <v>2</v>
      </c>
      <c r="AU172" s="19">
        <f t="shared" ca="1" si="13"/>
        <v>2</v>
      </c>
    </row>
    <row r="173" spans="1:47" x14ac:dyDescent="0.3">
      <c r="A173" t="s">
        <v>306</v>
      </c>
      <c r="B173" t="str">
        <f t="shared" si="10"/>
        <v>S27_2026</v>
      </c>
      <c r="C173" t="str">
        <f t="shared" si="12"/>
        <v>S27_2026</v>
      </c>
      <c r="F173">
        <v>10</v>
      </c>
      <c r="G173" t="s">
        <v>55</v>
      </c>
      <c r="I173" t="s">
        <v>178</v>
      </c>
      <c r="J173" t="s">
        <v>173</v>
      </c>
      <c r="K173" t="s">
        <v>124</v>
      </c>
      <c r="L173" t="s">
        <v>174</v>
      </c>
      <c r="M173" t="s">
        <v>124</v>
      </c>
      <c r="N173" t="s">
        <v>45</v>
      </c>
      <c r="O173" t="s">
        <v>45</v>
      </c>
      <c r="P173">
        <v>2</v>
      </c>
      <c r="Q173" s="7">
        <v>46204</v>
      </c>
      <c r="R173" s="7">
        <v>46204</v>
      </c>
      <c r="S173" s="7">
        <v>46204</v>
      </c>
      <c r="T173" t="s">
        <v>45</v>
      </c>
      <c r="V173" t="s">
        <v>175</v>
      </c>
      <c r="W173" t="s">
        <v>45</v>
      </c>
      <c r="X173" t="s">
        <v>74</v>
      </c>
      <c r="Y173" t="s">
        <v>46</v>
      </c>
      <c r="Z173" t="s">
        <v>150</v>
      </c>
      <c r="AF173">
        <v>2</v>
      </c>
      <c r="AH173" t="s">
        <v>75</v>
      </c>
      <c r="AI173">
        <v>1</v>
      </c>
      <c r="AJ173" s="13"/>
      <c r="AK173" t="s">
        <v>74</v>
      </c>
      <c r="AM173"/>
      <c r="AN173" t="s">
        <v>74</v>
      </c>
      <c r="AO173" t="s">
        <v>74</v>
      </c>
      <c r="AP173"/>
      <c r="AQ173" t="s">
        <v>74</v>
      </c>
      <c r="AR173" s="18" t="str">
        <f>IFERROR(VLOOKUP(K173,[1]POP!$F:$J,1,0),M173)</f>
        <v>MADA</v>
      </c>
      <c r="AS173" s="18" t="str">
        <f t="shared" si="11"/>
        <v>TCHIKA</v>
      </c>
      <c r="AT173" s="19">
        <f t="shared" si="14"/>
        <v>2</v>
      </c>
      <c r="AU173" s="19">
        <f t="shared" ca="1" si="13"/>
        <v>2</v>
      </c>
    </row>
    <row r="174" spans="1:47" x14ac:dyDescent="0.3">
      <c r="A174" t="s">
        <v>307</v>
      </c>
      <c r="B174" t="str">
        <f t="shared" si="10"/>
        <v>S27_2026</v>
      </c>
      <c r="C174" t="str">
        <f t="shared" si="12"/>
        <v>S27_2026</v>
      </c>
      <c r="F174">
        <v>25</v>
      </c>
      <c r="G174" t="s">
        <v>55</v>
      </c>
      <c r="I174" t="s">
        <v>178</v>
      </c>
      <c r="J174" t="s">
        <v>173</v>
      </c>
      <c r="K174" t="s">
        <v>124</v>
      </c>
      <c r="L174" t="s">
        <v>174</v>
      </c>
      <c r="M174" t="s">
        <v>124</v>
      </c>
      <c r="N174" t="s">
        <v>45</v>
      </c>
      <c r="O174" t="s">
        <v>45</v>
      </c>
      <c r="P174">
        <v>2</v>
      </c>
      <c r="Q174" s="7">
        <v>46204</v>
      </c>
      <c r="R174" s="7">
        <v>46204</v>
      </c>
      <c r="S174" s="7">
        <v>46204</v>
      </c>
      <c r="T174" t="s">
        <v>45</v>
      </c>
      <c r="V174" t="s">
        <v>175</v>
      </c>
      <c r="W174" t="s">
        <v>45</v>
      </c>
      <c r="X174" t="s">
        <v>74</v>
      </c>
      <c r="Y174" t="s">
        <v>46</v>
      </c>
      <c r="Z174" t="s">
        <v>150</v>
      </c>
      <c r="AF174">
        <v>2</v>
      </c>
      <c r="AH174" t="s">
        <v>75</v>
      </c>
      <c r="AI174">
        <v>1</v>
      </c>
      <c r="AJ174" s="9"/>
      <c r="AK174" t="s">
        <v>74</v>
      </c>
      <c r="AM174"/>
      <c r="AN174" t="s">
        <v>74</v>
      </c>
      <c r="AO174" t="s">
        <v>74</v>
      </c>
      <c r="AP174"/>
      <c r="AQ174" t="s">
        <v>74</v>
      </c>
      <c r="AR174" s="18" t="str">
        <f>IFERROR(VLOOKUP(K174,[1]POP!$F:$J,1,0),M174)</f>
        <v>MADA</v>
      </c>
      <c r="AS174" s="18" t="str">
        <f t="shared" si="11"/>
        <v>TCHIKA</v>
      </c>
      <c r="AT174" s="19">
        <f t="shared" si="14"/>
        <v>2</v>
      </c>
      <c r="AU174" s="19">
        <f t="shared" ca="1" si="13"/>
        <v>2</v>
      </c>
    </row>
    <row r="175" spans="1:47" x14ac:dyDescent="0.3">
      <c r="A175" t="s">
        <v>308</v>
      </c>
      <c r="B175" t="str">
        <f t="shared" si="10"/>
        <v>S27_2026</v>
      </c>
      <c r="C175" t="str">
        <f t="shared" si="12"/>
        <v>S27_2026</v>
      </c>
      <c r="F175">
        <v>9</v>
      </c>
      <c r="G175" t="s">
        <v>55</v>
      </c>
      <c r="I175" t="s">
        <v>178</v>
      </c>
      <c r="J175" t="s">
        <v>173</v>
      </c>
      <c r="K175" t="s">
        <v>124</v>
      </c>
      <c r="L175" t="s">
        <v>174</v>
      </c>
      <c r="M175" t="s">
        <v>124</v>
      </c>
      <c r="N175" t="s">
        <v>45</v>
      </c>
      <c r="O175" t="s">
        <v>45</v>
      </c>
      <c r="P175">
        <v>3</v>
      </c>
      <c r="Q175" s="7">
        <v>46204</v>
      </c>
      <c r="R175" s="7">
        <v>46204</v>
      </c>
      <c r="S175" s="7">
        <v>46204</v>
      </c>
      <c r="T175" t="s">
        <v>45</v>
      </c>
      <c r="V175" t="s">
        <v>175</v>
      </c>
      <c r="W175" t="s">
        <v>45</v>
      </c>
      <c r="X175" t="s">
        <v>74</v>
      </c>
      <c r="Y175" t="s">
        <v>46</v>
      </c>
      <c r="Z175" t="s">
        <v>150</v>
      </c>
      <c r="AF175">
        <v>2</v>
      </c>
      <c r="AH175" t="s">
        <v>75</v>
      </c>
      <c r="AI175">
        <v>1</v>
      </c>
      <c r="AJ175" s="9"/>
      <c r="AK175" t="s">
        <v>74</v>
      </c>
      <c r="AM175"/>
      <c r="AN175" t="s">
        <v>74</v>
      </c>
      <c r="AO175" t="s">
        <v>74</v>
      </c>
      <c r="AP175"/>
      <c r="AQ175" t="s">
        <v>74</v>
      </c>
      <c r="AR175" s="18" t="str">
        <f>IFERROR(VLOOKUP(K175,[1]POP!$F:$J,1,0),M175)</f>
        <v>MADA</v>
      </c>
      <c r="AS175" s="18" t="str">
        <f t="shared" si="11"/>
        <v>TCHIKA</v>
      </c>
      <c r="AT175" s="19">
        <f t="shared" si="14"/>
        <v>2</v>
      </c>
      <c r="AU175" s="19">
        <f t="shared" ca="1" si="13"/>
        <v>2</v>
      </c>
    </row>
    <row r="176" spans="1:47" x14ac:dyDescent="0.3">
      <c r="A176" t="s">
        <v>309</v>
      </c>
      <c r="B176" t="str">
        <f t="shared" si="10"/>
        <v>S27_2026</v>
      </c>
      <c r="C176" t="str">
        <f t="shared" si="12"/>
        <v>S27_2026</v>
      </c>
      <c r="F176">
        <v>5</v>
      </c>
      <c r="G176" t="s">
        <v>55</v>
      </c>
      <c r="I176" t="s">
        <v>178</v>
      </c>
      <c r="J176" t="s">
        <v>173</v>
      </c>
      <c r="K176" t="s">
        <v>124</v>
      </c>
      <c r="L176" t="s">
        <v>174</v>
      </c>
      <c r="M176" t="s">
        <v>124</v>
      </c>
      <c r="N176" t="s">
        <v>45</v>
      </c>
      <c r="O176" t="s">
        <v>45</v>
      </c>
      <c r="P176">
        <v>3</v>
      </c>
      <c r="Q176" s="7">
        <v>46204</v>
      </c>
      <c r="R176" s="7">
        <v>46204</v>
      </c>
      <c r="S176" s="7">
        <v>46204</v>
      </c>
      <c r="T176" t="s">
        <v>45</v>
      </c>
      <c r="V176" t="s">
        <v>175</v>
      </c>
      <c r="W176" t="s">
        <v>45</v>
      </c>
      <c r="X176" t="s">
        <v>74</v>
      </c>
      <c r="Y176" t="s">
        <v>46</v>
      </c>
      <c r="Z176" t="s">
        <v>150</v>
      </c>
      <c r="AF176">
        <v>2</v>
      </c>
      <c r="AH176" t="s">
        <v>75</v>
      </c>
      <c r="AI176">
        <v>1</v>
      </c>
      <c r="AJ176" s="9"/>
      <c r="AK176" t="s">
        <v>74</v>
      </c>
      <c r="AM176"/>
      <c r="AN176" t="s">
        <v>74</v>
      </c>
      <c r="AO176" t="s">
        <v>74</v>
      </c>
      <c r="AP176"/>
      <c r="AQ176" t="s">
        <v>74</v>
      </c>
      <c r="AR176" s="18" t="str">
        <f>IFERROR(VLOOKUP(K176,[1]POP!$F:$J,1,0),M176)</f>
        <v>MADA</v>
      </c>
      <c r="AS176" s="18" t="str">
        <f t="shared" si="11"/>
        <v>TCHIKA</v>
      </c>
      <c r="AT176" s="19">
        <f t="shared" si="14"/>
        <v>2</v>
      </c>
      <c r="AU176" s="19">
        <f t="shared" ca="1" si="13"/>
        <v>2</v>
      </c>
    </row>
    <row r="177" spans="1:47" x14ac:dyDescent="0.3">
      <c r="A177" t="s">
        <v>310</v>
      </c>
      <c r="B177" t="str">
        <f t="shared" si="10"/>
        <v>S27_2026</v>
      </c>
      <c r="C177" t="str">
        <f t="shared" si="12"/>
        <v>S27_2026</v>
      </c>
      <c r="F177">
        <v>25</v>
      </c>
      <c r="G177" t="s">
        <v>55</v>
      </c>
      <c r="I177" t="s">
        <v>311</v>
      </c>
      <c r="J177" t="s">
        <v>174</v>
      </c>
      <c r="K177" t="s">
        <v>124</v>
      </c>
      <c r="L177" t="s">
        <v>174</v>
      </c>
      <c r="M177" t="s">
        <v>124</v>
      </c>
      <c r="N177" t="s">
        <v>45</v>
      </c>
      <c r="O177" t="s">
        <v>45</v>
      </c>
      <c r="P177">
        <v>2</v>
      </c>
      <c r="Q177" s="7">
        <v>46205</v>
      </c>
      <c r="R177" s="7">
        <v>46205</v>
      </c>
      <c r="S177" s="7">
        <v>46205</v>
      </c>
      <c r="T177" t="s">
        <v>45</v>
      </c>
      <c r="V177" t="s">
        <v>175</v>
      </c>
      <c r="W177" t="s">
        <v>45</v>
      </c>
      <c r="X177" t="s">
        <v>74</v>
      </c>
      <c r="Y177" t="s">
        <v>46</v>
      </c>
      <c r="Z177" t="s">
        <v>150</v>
      </c>
      <c r="AF177">
        <v>2</v>
      </c>
      <c r="AH177" t="s">
        <v>75</v>
      </c>
      <c r="AI177">
        <v>1</v>
      </c>
      <c r="AJ177" s="9"/>
      <c r="AK177" t="s">
        <v>74</v>
      </c>
      <c r="AM177"/>
      <c r="AN177" t="s">
        <v>74</v>
      </c>
      <c r="AO177" t="s">
        <v>74</v>
      </c>
      <c r="AP177"/>
      <c r="AQ177" t="s">
        <v>74</v>
      </c>
      <c r="AR177" s="18" t="str">
        <f>IFERROR(VLOOKUP(K177,[1]POP!$F:$J,1,0),M177)</f>
        <v>MADA</v>
      </c>
      <c r="AS177" s="18" t="str">
        <f t="shared" si="11"/>
        <v>HILE ALIFA</v>
      </c>
      <c r="AT177" s="19">
        <f t="shared" si="14"/>
        <v>2</v>
      </c>
      <c r="AU177" s="19">
        <f t="shared" ca="1" si="13"/>
        <v>2</v>
      </c>
    </row>
    <row r="178" spans="1:47" x14ac:dyDescent="0.3">
      <c r="A178" t="s">
        <v>312</v>
      </c>
      <c r="B178" t="str">
        <f t="shared" si="10"/>
        <v>S27_2026</v>
      </c>
      <c r="C178" t="str">
        <f t="shared" si="12"/>
        <v>S27_2026</v>
      </c>
      <c r="F178">
        <v>4</v>
      </c>
      <c r="G178" t="s">
        <v>55</v>
      </c>
      <c r="I178" t="s">
        <v>178</v>
      </c>
      <c r="J178" t="s">
        <v>173</v>
      </c>
      <c r="K178" t="s">
        <v>124</v>
      </c>
      <c r="L178" t="s">
        <v>174</v>
      </c>
      <c r="M178" t="s">
        <v>124</v>
      </c>
      <c r="N178" t="s">
        <v>45</v>
      </c>
      <c r="O178" t="s">
        <v>45</v>
      </c>
      <c r="P178">
        <v>2</v>
      </c>
      <c r="Q178" s="7">
        <v>46205</v>
      </c>
      <c r="R178" s="7">
        <v>46205</v>
      </c>
      <c r="S178" s="7">
        <v>46205</v>
      </c>
      <c r="T178" t="s">
        <v>45</v>
      </c>
      <c r="V178" t="s">
        <v>175</v>
      </c>
      <c r="W178" t="s">
        <v>45</v>
      </c>
      <c r="X178" t="s">
        <v>74</v>
      </c>
      <c r="Y178" t="s">
        <v>46</v>
      </c>
      <c r="Z178" t="s">
        <v>150</v>
      </c>
      <c r="AF178">
        <v>2</v>
      </c>
      <c r="AH178" t="s">
        <v>75</v>
      </c>
      <c r="AI178">
        <v>1</v>
      </c>
      <c r="AJ178" s="9"/>
      <c r="AK178" t="s">
        <v>74</v>
      </c>
      <c r="AM178"/>
      <c r="AN178" t="s">
        <v>74</v>
      </c>
      <c r="AO178" t="s">
        <v>74</v>
      </c>
      <c r="AP178"/>
      <c r="AQ178" t="s">
        <v>74</v>
      </c>
      <c r="AR178" s="18" t="str">
        <f>IFERROR(VLOOKUP(K178,[1]POP!$F:$J,1,0),M178)</f>
        <v>MADA</v>
      </c>
      <c r="AS178" s="18" t="str">
        <f t="shared" si="11"/>
        <v>TCHIKA</v>
      </c>
      <c r="AT178" s="19">
        <f t="shared" si="14"/>
        <v>2</v>
      </c>
      <c r="AU178" s="19">
        <f t="shared" ca="1" si="13"/>
        <v>2</v>
      </c>
    </row>
    <row r="179" spans="1:47" x14ac:dyDescent="0.3">
      <c r="A179" t="s">
        <v>313</v>
      </c>
      <c r="B179" t="str">
        <f t="shared" si="10"/>
        <v>S27_2026</v>
      </c>
      <c r="C179" t="str">
        <f t="shared" si="12"/>
        <v>S27_2026</v>
      </c>
      <c r="F179">
        <v>5</v>
      </c>
      <c r="G179" t="s">
        <v>40</v>
      </c>
      <c r="I179" t="s">
        <v>178</v>
      </c>
      <c r="J179" t="s">
        <v>173</v>
      </c>
      <c r="K179" t="s">
        <v>124</v>
      </c>
      <c r="L179" t="s">
        <v>174</v>
      </c>
      <c r="M179" t="s">
        <v>124</v>
      </c>
      <c r="N179" t="s">
        <v>45</v>
      </c>
      <c r="O179" t="s">
        <v>45</v>
      </c>
      <c r="P179">
        <v>2</v>
      </c>
      <c r="Q179" s="7">
        <v>46205</v>
      </c>
      <c r="R179" s="7">
        <v>46205</v>
      </c>
      <c r="S179" s="7">
        <v>46205</v>
      </c>
      <c r="T179" t="s">
        <v>45</v>
      </c>
      <c r="V179" t="s">
        <v>175</v>
      </c>
      <c r="W179" t="s">
        <v>45</v>
      </c>
      <c r="X179" t="s">
        <v>74</v>
      </c>
      <c r="Y179" t="s">
        <v>46</v>
      </c>
      <c r="Z179" t="s">
        <v>150</v>
      </c>
      <c r="AF179">
        <v>2</v>
      </c>
      <c r="AH179" t="s">
        <v>75</v>
      </c>
      <c r="AI179">
        <v>1</v>
      </c>
      <c r="AJ179" s="9"/>
      <c r="AK179" t="s">
        <v>74</v>
      </c>
      <c r="AM179"/>
      <c r="AN179" t="s">
        <v>74</v>
      </c>
      <c r="AO179" t="s">
        <v>74</v>
      </c>
      <c r="AP179"/>
      <c r="AQ179" t="s">
        <v>74</v>
      </c>
      <c r="AR179" s="18" t="str">
        <f>IFERROR(VLOOKUP(K179,[1]POP!$F:$J,1,0),M179)</f>
        <v>MADA</v>
      </c>
      <c r="AS179" s="18" t="str">
        <f t="shared" si="11"/>
        <v>TCHIKA</v>
      </c>
      <c r="AT179" s="19">
        <f t="shared" si="14"/>
        <v>2</v>
      </c>
      <c r="AU179" s="19">
        <f t="shared" ca="1" si="13"/>
        <v>2</v>
      </c>
    </row>
    <row r="180" spans="1:47" x14ac:dyDescent="0.3">
      <c r="A180" t="s">
        <v>314</v>
      </c>
      <c r="B180" t="str">
        <f t="shared" si="10"/>
        <v>S27_2026</v>
      </c>
      <c r="C180" t="str">
        <f t="shared" si="12"/>
        <v>S27_2026</v>
      </c>
      <c r="F180">
        <v>10</v>
      </c>
      <c r="G180" t="s">
        <v>55</v>
      </c>
      <c r="I180" t="s">
        <v>315</v>
      </c>
      <c r="J180" t="s">
        <v>173</v>
      </c>
      <c r="K180" t="s">
        <v>124</v>
      </c>
      <c r="L180" t="s">
        <v>174</v>
      </c>
      <c r="M180" t="s">
        <v>124</v>
      </c>
      <c r="N180" t="s">
        <v>45</v>
      </c>
      <c r="O180" t="s">
        <v>45</v>
      </c>
      <c r="P180">
        <v>2</v>
      </c>
      <c r="Q180" s="7">
        <v>46205</v>
      </c>
      <c r="R180" s="7">
        <v>46205</v>
      </c>
      <c r="S180" s="7">
        <v>46205</v>
      </c>
      <c r="T180" t="s">
        <v>45</v>
      </c>
      <c r="V180" t="s">
        <v>175</v>
      </c>
      <c r="W180" t="s">
        <v>45</v>
      </c>
      <c r="X180" t="s">
        <v>74</v>
      </c>
      <c r="Y180" t="s">
        <v>46</v>
      </c>
      <c r="Z180" t="s">
        <v>150</v>
      </c>
      <c r="AF180">
        <v>2</v>
      </c>
      <c r="AH180" t="s">
        <v>75</v>
      </c>
      <c r="AI180">
        <v>1</v>
      </c>
      <c r="AJ180" s="9"/>
      <c r="AK180" t="s">
        <v>74</v>
      </c>
      <c r="AM180"/>
      <c r="AN180" t="s">
        <v>74</v>
      </c>
      <c r="AO180" t="s">
        <v>74</v>
      </c>
      <c r="AP180"/>
      <c r="AQ180" t="s">
        <v>74</v>
      </c>
      <c r="AR180" s="18" t="str">
        <f>IFERROR(VLOOKUP(K180,[1]POP!$F:$J,1,0),M180)</f>
        <v>MADA</v>
      </c>
      <c r="AS180" s="18" t="str">
        <f t="shared" si="11"/>
        <v>TCHIKA</v>
      </c>
      <c r="AT180" s="19">
        <f t="shared" si="14"/>
        <v>2</v>
      </c>
      <c r="AU180" s="19">
        <f t="shared" ca="1" si="13"/>
        <v>2</v>
      </c>
    </row>
    <row r="181" spans="1:47" x14ac:dyDescent="0.3">
      <c r="A181" t="s">
        <v>316</v>
      </c>
      <c r="B181" t="str">
        <f t="shared" si="10"/>
        <v>S27_2026</v>
      </c>
      <c r="C181" t="str">
        <f t="shared" si="12"/>
        <v>S27_2026</v>
      </c>
      <c r="F181">
        <v>1</v>
      </c>
      <c r="G181" t="s">
        <v>40</v>
      </c>
      <c r="I181" t="s">
        <v>178</v>
      </c>
      <c r="J181" t="s">
        <v>173</v>
      </c>
      <c r="K181" t="s">
        <v>124</v>
      </c>
      <c r="L181" t="s">
        <v>174</v>
      </c>
      <c r="M181" t="s">
        <v>124</v>
      </c>
      <c r="N181" t="s">
        <v>45</v>
      </c>
      <c r="O181" t="s">
        <v>45</v>
      </c>
      <c r="P181">
        <v>2</v>
      </c>
      <c r="Q181" s="7">
        <v>46205</v>
      </c>
      <c r="R181" s="7">
        <v>46205</v>
      </c>
      <c r="S181" s="7">
        <v>46205</v>
      </c>
      <c r="T181" t="s">
        <v>45</v>
      </c>
      <c r="V181" t="s">
        <v>175</v>
      </c>
      <c r="W181" t="s">
        <v>45</v>
      </c>
      <c r="X181" t="s">
        <v>74</v>
      </c>
      <c r="Y181" t="s">
        <v>46</v>
      </c>
      <c r="Z181" t="s">
        <v>150</v>
      </c>
      <c r="AF181">
        <v>2</v>
      </c>
      <c r="AH181" t="s">
        <v>75</v>
      </c>
      <c r="AI181">
        <v>1</v>
      </c>
      <c r="AJ181" s="9"/>
      <c r="AK181" t="s">
        <v>74</v>
      </c>
      <c r="AM181"/>
      <c r="AN181" t="s">
        <v>74</v>
      </c>
      <c r="AO181" t="s">
        <v>74</v>
      </c>
      <c r="AP181"/>
      <c r="AQ181" t="s">
        <v>74</v>
      </c>
      <c r="AR181" s="18" t="str">
        <f>IFERROR(VLOOKUP(K181,[1]POP!$F:$J,1,0),M181)</f>
        <v>MADA</v>
      </c>
      <c r="AS181" s="18" t="str">
        <f t="shared" si="11"/>
        <v>TCHIKA</v>
      </c>
      <c r="AT181" s="19">
        <f t="shared" si="14"/>
        <v>2</v>
      </c>
      <c r="AU181" s="19">
        <f t="shared" ca="1" si="13"/>
        <v>2</v>
      </c>
    </row>
    <row r="182" spans="1:47" x14ac:dyDescent="0.3">
      <c r="A182" t="s">
        <v>317</v>
      </c>
      <c r="B182" t="str">
        <f t="shared" si="10"/>
        <v>S27_2026</v>
      </c>
      <c r="C182" t="str">
        <f t="shared" si="12"/>
        <v>S27_2026</v>
      </c>
      <c r="F182">
        <v>27</v>
      </c>
      <c r="G182" t="s">
        <v>40</v>
      </c>
      <c r="I182" t="s">
        <v>128</v>
      </c>
      <c r="J182" t="s">
        <v>128</v>
      </c>
      <c r="K182" t="s">
        <v>124</v>
      </c>
      <c r="L182" t="s">
        <v>174</v>
      </c>
      <c r="M182" t="s">
        <v>124</v>
      </c>
      <c r="N182" t="s">
        <v>45</v>
      </c>
      <c r="O182" t="s">
        <v>45</v>
      </c>
      <c r="P182">
        <v>2</v>
      </c>
      <c r="Q182" s="7">
        <v>46205</v>
      </c>
      <c r="R182" s="7">
        <v>46205</v>
      </c>
      <c r="S182" s="7">
        <v>46205</v>
      </c>
      <c r="T182" t="s">
        <v>45</v>
      </c>
      <c r="V182" t="s">
        <v>175</v>
      </c>
      <c r="W182" t="s">
        <v>45</v>
      </c>
      <c r="X182" t="s">
        <v>74</v>
      </c>
      <c r="Y182" t="s">
        <v>46</v>
      </c>
      <c r="Z182" t="s">
        <v>150</v>
      </c>
      <c r="AF182">
        <v>2</v>
      </c>
      <c r="AH182" t="s">
        <v>75</v>
      </c>
      <c r="AI182">
        <v>1</v>
      </c>
      <c r="AJ182" s="9"/>
      <c r="AK182" t="s">
        <v>74</v>
      </c>
      <c r="AM182"/>
      <c r="AN182" t="s">
        <v>74</v>
      </c>
      <c r="AO182" t="s">
        <v>74</v>
      </c>
      <c r="AP182"/>
      <c r="AQ182" t="s">
        <v>74</v>
      </c>
      <c r="AR182" s="18" t="str">
        <f>IFERROR(VLOOKUP(K182,[1]POP!$F:$J,1,0),M182)</f>
        <v>MADA</v>
      </c>
      <c r="AS182" s="18" t="str">
        <f t="shared" si="11"/>
        <v>NAGA</v>
      </c>
      <c r="AT182" s="19">
        <f t="shared" si="14"/>
        <v>2</v>
      </c>
      <c r="AU182" s="19">
        <f t="shared" ca="1" si="13"/>
        <v>2</v>
      </c>
    </row>
    <row r="183" spans="1:47" x14ac:dyDescent="0.3">
      <c r="A183" t="s">
        <v>318</v>
      </c>
      <c r="B183" t="str">
        <f t="shared" si="10"/>
        <v>S27_2026</v>
      </c>
      <c r="C183" t="str">
        <f t="shared" si="12"/>
        <v>S27_2026</v>
      </c>
      <c r="F183">
        <v>3</v>
      </c>
      <c r="G183" t="s">
        <v>40</v>
      </c>
      <c r="I183" t="s">
        <v>178</v>
      </c>
      <c r="J183" t="s">
        <v>173</v>
      </c>
      <c r="K183" t="s">
        <v>124</v>
      </c>
      <c r="L183" t="s">
        <v>174</v>
      </c>
      <c r="M183" t="s">
        <v>124</v>
      </c>
      <c r="N183" t="s">
        <v>45</v>
      </c>
      <c r="O183" t="s">
        <v>45</v>
      </c>
      <c r="P183">
        <v>2</v>
      </c>
      <c r="Q183" s="7">
        <v>46205</v>
      </c>
      <c r="R183" s="7">
        <v>46205</v>
      </c>
      <c r="S183" s="7">
        <v>46205</v>
      </c>
      <c r="T183" t="s">
        <v>45</v>
      </c>
      <c r="V183" t="s">
        <v>175</v>
      </c>
      <c r="W183" t="s">
        <v>45</v>
      </c>
      <c r="X183" t="s">
        <v>74</v>
      </c>
      <c r="Y183" t="s">
        <v>46</v>
      </c>
      <c r="Z183" t="s">
        <v>150</v>
      </c>
      <c r="AF183">
        <v>2</v>
      </c>
      <c r="AH183" t="s">
        <v>75</v>
      </c>
      <c r="AI183">
        <v>1</v>
      </c>
      <c r="AJ183" s="9"/>
      <c r="AK183" t="s">
        <v>74</v>
      </c>
      <c r="AM183"/>
      <c r="AN183" t="s">
        <v>74</v>
      </c>
      <c r="AO183" t="s">
        <v>74</v>
      </c>
      <c r="AP183"/>
      <c r="AQ183" t="s">
        <v>74</v>
      </c>
      <c r="AR183" s="18" t="str">
        <f>IFERROR(VLOOKUP(K183,[1]POP!$F:$J,1,0),M183)</f>
        <v>MADA</v>
      </c>
      <c r="AS183" s="18" t="str">
        <f t="shared" si="11"/>
        <v>TCHIKA</v>
      </c>
      <c r="AT183" s="19">
        <f t="shared" si="14"/>
        <v>2</v>
      </c>
      <c r="AU183" s="19">
        <f t="shared" ca="1" si="13"/>
        <v>2</v>
      </c>
    </row>
    <row r="184" spans="1:47" x14ac:dyDescent="0.3">
      <c r="A184" t="s">
        <v>319</v>
      </c>
      <c r="B184" t="str">
        <f t="shared" si="10"/>
        <v>S27_2026</v>
      </c>
      <c r="C184" t="str">
        <f t="shared" si="12"/>
        <v>S27_2026</v>
      </c>
      <c r="F184">
        <v>2</v>
      </c>
      <c r="G184" t="s">
        <v>55</v>
      </c>
      <c r="I184" t="s">
        <v>178</v>
      </c>
      <c r="J184" t="s">
        <v>173</v>
      </c>
      <c r="K184" t="s">
        <v>124</v>
      </c>
      <c r="L184" t="s">
        <v>174</v>
      </c>
      <c r="M184" t="s">
        <v>124</v>
      </c>
      <c r="N184" t="s">
        <v>45</v>
      </c>
      <c r="O184" t="s">
        <v>45</v>
      </c>
      <c r="P184">
        <v>2</v>
      </c>
      <c r="Q184" s="7">
        <v>46205</v>
      </c>
      <c r="R184" s="7">
        <v>46205</v>
      </c>
      <c r="S184" s="7">
        <v>46205</v>
      </c>
      <c r="T184" t="s">
        <v>45</v>
      </c>
      <c r="V184" t="s">
        <v>175</v>
      </c>
      <c r="W184" t="s">
        <v>45</v>
      </c>
      <c r="X184" t="s">
        <v>74</v>
      </c>
      <c r="Y184" t="s">
        <v>46</v>
      </c>
      <c r="Z184" t="s">
        <v>150</v>
      </c>
      <c r="AF184">
        <v>2</v>
      </c>
      <c r="AH184" t="s">
        <v>75</v>
      </c>
      <c r="AI184">
        <v>1</v>
      </c>
      <c r="AJ184" s="9"/>
      <c r="AK184" t="s">
        <v>74</v>
      </c>
      <c r="AM184"/>
      <c r="AN184" t="s">
        <v>74</v>
      </c>
      <c r="AO184" t="s">
        <v>74</v>
      </c>
      <c r="AP184"/>
      <c r="AQ184" t="s">
        <v>74</v>
      </c>
      <c r="AR184" s="18" t="str">
        <f>IFERROR(VLOOKUP(K184,[1]POP!$F:$J,1,0),M184)</f>
        <v>MADA</v>
      </c>
      <c r="AS184" s="18" t="str">
        <f t="shared" si="11"/>
        <v>TCHIKA</v>
      </c>
      <c r="AT184" s="19">
        <f t="shared" si="14"/>
        <v>2</v>
      </c>
      <c r="AU184" s="19">
        <f t="shared" ca="1" si="13"/>
        <v>2</v>
      </c>
    </row>
    <row r="185" spans="1:47" x14ac:dyDescent="0.3">
      <c r="A185" t="s">
        <v>320</v>
      </c>
      <c r="B185" t="str">
        <f t="shared" si="10"/>
        <v>S27_2026</v>
      </c>
      <c r="C185" t="str">
        <f t="shared" si="12"/>
        <v>S27_2026</v>
      </c>
      <c r="F185">
        <v>1</v>
      </c>
      <c r="G185" t="s">
        <v>40</v>
      </c>
      <c r="I185" t="s">
        <v>178</v>
      </c>
      <c r="J185" t="s">
        <v>173</v>
      </c>
      <c r="K185" t="s">
        <v>124</v>
      </c>
      <c r="L185" t="s">
        <v>174</v>
      </c>
      <c r="M185" t="s">
        <v>124</v>
      </c>
      <c r="N185" t="s">
        <v>45</v>
      </c>
      <c r="O185" t="s">
        <v>45</v>
      </c>
      <c r="P185">
        <v>2</v>
      </c>
      <c r="Q185" s="7">
        <v>46205</v>
      </c>
      <c r="R185" s="7">
        <v>46205</v>
      </c>
      <c r="S185" s="7">
        <v>46205</v>
      </c>
      <c r="T185" t="s">
        <v>45</v>
      </c>
      <c r="V185" t="s">
        <v>175</v>
      </c>
      <c r="W185" t="s">
        <v>45</v>
      </c>
      <c r="X185" t="s">
        <v>74</v>
      </c>
      <c r="Y185" t="s">
        <v>46</v>
      </c>
      <c r="Z185" t="s">
        <v>150</v>
      </c>
      <c r="AF185">
        <v>2</v>
      </c>
      <c r="AH185" t="s">
        <v>75</v>
      </c>
      <c r="AI185">
        <v>1</v>
      </c>
      <c r="AJ185" s="9"/>
      <c r="AK185" t="s">
        <v>74</v>
      </c>
      <c r="AM185"/>
      <c r="AN185" t="s">
        <v>74</v>
      </c>
      <c r="AO185" t="s">
        <v>74</v>
      </c>
      <c r="AP185"/>
      <c r="AQ185" t="s">
        <v>74</v>
      </c>
      <c r="AR185" s="18" t="str">
        <f>IFERROR(VLOOKUP(K185,[1]POP!$F:$J,1,0),M185)</f>
        <v>MADA</v>
      </c>
      <c r="AS185" s="18" t="str">
        <f t="shared" si="11"/>
        <v>TCHIKA</v>
      </c>
      <c r="AT185" s="19">
        <f t="shared" si="14"/>
        <v>2</v>
      </c>
      <c r="AU185" s="19">
        <f t="shared" ca="1" si="13"/>
        <v>2</v>
      </c>
    </row>
    <row r="186" spans="1:47" x14ac:dyDescent="0.3">
      <c r="A186" t="s">
        <v>321</v>
      </c>
      <c r="B186" t="str">
        <f t="shared" si="10"/>
        <v>S27_2026</v>
      </c>
      <c r="C186" t="str">
        <f t="shared" si="12"/>
        <v>S27_2026</v>
      </c>
      <c r="F186">
        <v>2</v>
      </c>
      <c r="G186" t="s">
        <v>55</v>
      </c>
      <c r="I186" t="s">
        <v>178</v>
      </c>
      <c r="J186" t="s">
        <v>173</v>
      </c>
      <c r="K186" t="s">
        <v>124</v>
      </c>
      <c r="L186" t="s">
        <v>174</v>
      </c>
      <c r="M186" t="s">
        <v>124</v>
      </c>
      <c r="N186" t="s">
        <v>45</v>
      </c>
      <c r="O186" t="s">
        <v>45</v>
      </c>
      <c r="P186">
        <v>3</v>
      </c>
      <c r="Q186" s="7">
        <v>46205</v>
      </c>
      <c r="R186" s="7">
        <v>46205</v>
      </c>
      <c r="S186" s="7">
        <v>46205</v>
      </c>
      <c r="T186" t="s">
        <v>45</v>
      </c>
      <c r="V186" t="s">
        <v>175</v>
      </c>
      <c r="W186" t="s">
        <v>45</v>
      </c>
      <c r="X186" t="s">
        <v>74</v>
      </c>
      <c r="Y186" t="s">
        <v>46</v>
      </c>
      <c r="Z186" t="s">
        <v>150</v>
      </c>
      <c r="AF186">
        <v>2</v>
      </c>
      <c r="AH186" t="s">
        <v>75</v>
      </c>
      <c r="AI186">
        <v>1</v>
      </c>
      <c r="AJ186" s="9"/>
      <c r="AK186" t="s">
        <v>74</v>
      </c>
      <c r="AM186"/>
      <c r="AN186" t="s">
        <v>74</v>
      </c>
      <c r="AO186" t="s">
        <v>74</v>
      </c>
      <c r="AP186"/>
      <c r="AQ186" t="s">
        <v>74</v>
      </c>
      <c r="AR186" s="18" t="str">
        <f>IFERROR(VLOOKUP(K186,[1]POP!$F:$J,1,0),M186)</f>
        <v>MADA</v>
      </c>
      <c r="AS186" s="18" t="str">
        <f t="shared" si="11"/>
        <v>TCHIKA</v>
      </c>
      <c r="AT186" s="19">
        <f t="shared" si="14"/>
        <v>2</v>
      </c>
      <c r="AU186" s="19">
        <f t="shared" ca="1" si="13"/>
        <v>2</v>
      </c>
    </row>
    <row r="187" spans="1:47" x14ac:dyDescent="0.3">
      <c r="A187" t="s">
        <v>322</v>
      </c>
      <c r="B187" t="str">
        <f t="shared" si="10"/>
        <v>S27_2026</v>
      </c>
      <c r="C187" t="str">
        <f t="shared" si="12"/>
        <v>S27_2026</v>
      </c>
      <c r="F187">
        <v>5</v>
      </c>
      <c r="G187" t="s">
        <v>55</v>
      </c>
      <c r="I187" t="s">
        <v>271</v>
      </c>
      <c r="J187" t="s">
        <v>174</v>
      </c>
      <c r="K187" t="s">
        <v>124</v>
      </c>
      <c r="L187" t="s">
        <v>174</v>
      </c>
      <c r="M187" t="s">
        <v>124</v>
      </c>
      <c r="N187" t="s">
        <v>45</v>
      </c>
      <c r="O187" t="s">
        <v>45</v>
      </c>
      <c r="P187">
        <v>2</v>
      </c>
      <c r="Q187" s="7">
        <v>46205</v>
      </c>
      <c r="R187" s="7">
        <v>46205</v>
      </c>
      <c r="S187" s="7">
        <v>46205</v>
      </c>
      <c r="T187" t="s">
        <v>45</v>
      </c>
      <c r="V187" t="s">
        <v>175</v>
      </c>
      <c r="W187" t="s">
        <v>45</v>
      </c>
      <c r="X187" t="s">
        <v>74</v>
      </c>
      <c r="Y187" t="s">
        <v>46</v>
      </c>
      <c r="Z187" t="s">
        <v>150</v>
      </c>
      <c r="AF187">
        <v>2</v>
      </c>
      <c r="AH187" t="s">
        <v>75</v>
      </c>
      <c r="AI187">
        <v>1</v>
      </c>
      <c r="AJ187" s="9"/>
      <c r="AK187" t="s">
        <v>74</v>
      </c>
      <c r="AM187"/>
      <c r="AN187" t="s">
        <v>74</v>
      </c>
      <c r="AO187" t="s">
        <v>74</v>
      </c>
      <c r="AP187"/>
      <c r="AQ187" t="s">
        <v>74</v>
      </c>
      <c r="AR187" s="18" t="str">
        <f>IFERROR(VLOOKUP(K187,[1]POP!$F:$J,1,0),M187)</f>
        <v>MADA</v>
      </c>
      <c r="AS187" s="18" t="str">
        <f t="shared" si="11"/>
        <v>HILE ALIFA</v>
      </c>
      <c r="AT187" s="19">
        <f t="shared" si="14"/>
        <v>2</v>
      </c>
      <c r="AU187" s="19">
        <f t="shared" ca="1" si="13"/>
        <v>2</v>
      </c>
    </row>
    <row r="188" spans="1:47" x14ac:dyDescent="0.3">
      <c r="A188" t="s">
        <v>323</v>
      </c>
      <c r="B188" t="str">
        <f t="shared" si="10"/>
        <v>S27_2026</v>
      </c>
      <c r="C188" t="str">
        <f t="shared" si="12"/>
        <v>S27_2026</v>
      </c>
      <c r="F188">
        <v>6</v>
      </c>
      <c r="G188" t="s">
        <v>55</v>
      </c>
      <c r="I188" t="s">
        <v>178</v>
      </c>
      <c r="J188" t="s">
        <v>173</v>
      </c>
      <c r="K188" t="s">
        <v>124</v>
      </c>
      <c r="L188" t="s">
        <v>174</v>
      </c>
      <c r="M188" t="s">
        <v>124</v>
      </c>
      <c r="N188" t="s">
        <v>45</v>
      </c>
      <c r="O188" t="s">
        <v>45</v>
      </c>
      <c r="P188">
        <v>3</v>
      </c>
      <c r="Q188" s="7">
        <v>46205</v>
      </c>
      <c r="R188" s="7">
        <v>46205</v>
      </c>
      <c r="S188" s="7">
        <v>46205</v>
      </c>
      <c r="T188" t="s">
        <v>45</v>
      </c>
      <c r="V188" t="s">
        <v>175</v>
      </c>
      <c r="W188" t="s">
        <v>45</v>
      </c>
      <c r="X188" t="s">
        <v>74</v>
      </c>
      <c r="Y188" t="s">
        <v>46</v>
      </c>
      <c r="Z188" t="s">
        <v>150</v>
      </c>
      <c r="AF188">
        <v>2</v>
      </c>
      <c r="AH188" t="s">
        <v>75</v>
      </c>
      <c r="AI188">
        <v>1</v>
      </c>
      <c r="AJ188" s="9"/>
      <c r="AK188" t="s">
        <v>74</v>
      </c>
      <c r="AM188"/>
      <c r="AN188" t="s">
        <v>74</v>
      </c>
      <c r="AO188" t="s">
        <v>74</v>
      </c>
      <c r="AP188"/>
      <c r="AQ188" t="s">
        <v>74</v>
      </c>
      <c r="AR188" s="18" t="str">
        <f>IFERROR(VLOOKUP(K188,[1]POP!$F:$J,1,0),M188)</f>
        <v>MADA</v>
      </c>
      <c r="AS188" s="18" t="str">
        <f t="shared" si="11"/>
        <v>TCHIKA</v>
      </c>
      <c r="AT188" s="19">
        <f t="shared" si="14"/>
        <v>2</v>
      </c>
      <c r="AU188" s="19">
        <f t="shared" ca="1" si="13"/>
        <v>2</v>
      </c>
    </row>
    <row r="189" spans="1:47" x14ac:dyDescent="0.3">
      <c r="A189" t="s">
        <v>324</v>
      </c>
      <c r="B189" t="str">
        <f t="shared" si="10"/>
        <v>S27_2026</v>
      </c>
      <c r="C189" t="str">
        <f t="shared" si="12"/>
        <v>S27_2026</v>
      </c>
      <c r="F189">
        <v>0.25</v>
      </c>
      <c r="G189" t="s">
        <v>55</v>
      </c>
      <c r="I189" t="s">
        <v>178</v>
      </c>
      <c r="J189" t="s">
        <v>173</v>
      </c>
      <c r="K189" t="s">
        <v>124</v>
      </c>
      <c r="L189" t="s">
        <v>174</v>
      </c>
      <c r="M189" t="s">
        <v>124</v>
      </c>
      <c r="N189" t="s">
        <v>45</v>
      </c>
      <c r="O189" t="s">
        <v>45</v>
      </c>
      <c r="P189">
        <v>2</v>
      </c>
      <c r="Q189" s="7">
        <v>46205</v>
      </c>
      <c r="R189" s="7">
        <v>46205</v>
      </c>
      <c r="S189" s="7">
        <v>46205</v>
      </c>
      <c r="T189" t="s">
        <v>45</v>
      </c>
      <c r="V189" t="s">
        <v>175</v>
      </c>
      <c r="W189" t="s">
        <v>45</v>
      </c>
      <c r="X189" t="s">
        <v>74</v>
      </c>
      <c r="Y189" t="s">
        <v>46</v>
      </c>
      <c r="Z189" t="s">
        <v>150</v>
      </c>
      <c r="AF189">
        <v>2</v>
      </c>
      <c r="AH189" t="s">
        <v>75</v>
      </c>
      <c r="AI189">
        <v>1</v>
      </c>
      <c r="AJ189" s="9"/>
      <c r="AK189" t="s">
        <v>74</v>
      </c>
      <c r="AM189"/>
      <c r="AN189" t="s">
        <v>74</v>
      </c>
      <c r="AO189" t="s">
        <v>74</v>
      </c>
      <c r="AP189"/>
      <c r="AQ189" t="s">
        <v>74</v>
      </c>
      <c r="AR189" s="18" t="str">
        <f>IFERROR(VLOOKUP(K189,[1]POP!$F:$J,1,0),M189)</f>
        <v>MADA</v>
      </c>
      <c r="AS189" s="18" t="str">
        <f t="shared" si="11"/>
        <v>TCHIKA</v>
      </c>
      <c r="AT189" s="19">
        <f t="shared" si="14"/>
        <v>2</v>
      </c>
      <c r="AU189" s="19">
        <f t="shared" ca="1" si="13"/>
        <v>2</v>
      </c>
    </row>
    <row r="190" spans="1:47" x14ac:dyDescent="0.3">
      <c r="A190" t="s">
        <v>325</v>
      </c>
      <c r="B190" t="str">
        <f t="shared" si="10"/>
        <v>S27_2026</v>
      </c>
      <c r="C190" t="str">
        <f t="shared" si="12"/>
        <v>S27_2026</v>
      </c>
      <c r="F190">
        <v>3</v>
      </c>
      <c r="G190" t="s">
        <v>55</v>
      </c>
      <c r="I190" t="s">
        <v>178</v>
      </c>
      <c r="J190" t="s">
        <v>173</v>
      </c>
      <c r="K190" t="s">
        <v>124</v>
      </c>
      <c r="L190" t="s">
        <v>174</v>
      </c>
      <c r="M190" t="s">
        <v>124</v>
      </c>
      <c r="N190" t="s">
        <v>45</v>
      </c>
      <c r="O190" t="s">
        <v>45</v>
      </c>
      <c r="P190">
        <v>3</v>
      </c>
      <c r="Q190" s="7">
        <v>46205</v>
      </c>
      <c r="R190" s="7">
        <v>46205</v>
      </c>
      <c r="S190" s="7">
        <v>46205</v>
      </c>
      <c r="T190" t="s">
        <v>45</v>
      </c>
      <c r="V190" t="s">
        <v>175</v>
      </c>
      <c r="W190" t="s">
        <v>45</v>
      </c>
      <c r="X190" t="s">
        <v>74</v>
      </c>
      <c r="Y190" t="s">
        <v>46</v>
      </c>
      <c r="Z190" t="s">
        <v>150</v>
      </c>
      <c r="AF190">
        <v>2</v>
      </c>
      <c r="AH190" t="s">
        <v>75</v>
      </c>
      <c r="AI190">
        <v>1</v>
      </c>
      <c r="AJ190" s="9"/>
      <c r="AK190" t="s">
        <v>74</v>
      </c>
      <c r="AM190"/>
      <c r="AN190" t="s">
        <v>74</v>
      </c>
      <c r="AO190" t="s">
        <v>74</v>
      </c>
      <c r="AP190"/>
      <c r="AQ190" t="s">
        <v>74</v>
      </c>
      <c r="AR190" s="18" t="str">
        <f>IFERROR(VLOOKUP(K190,[1]POP!$F:$J,1,0),M190)</f>
        <v>MADA</v>
      </c>
      <c r="AS190" s="18" t="str">
        <f t="shared" si="11"/>
        <v>TCHIKA</v>
      </c>
      <c r="AT190" s="19">
        <f t="shared" si="14"/>
        <v>2</v>
      </c>
      <c r="AU190" s="19">
        <f t="shared" ca="1" si="13"/>
        <v>2</v>
      </c>
    </row>
    <row r="191" spans="1:47" x14ac:dyDescent="0.3">
      <c r="A191" t="s">
        <v>326</v>
      </c>
      <c r="B191" t="str">
        <f t="shared" si="10"/>
        <v>S27_2026</v>
      </c>
      <c r="C191" t="str">
        <f t="shared" si="12"/>
        <v>S27_2026</v>
      </c>
      <c r="F191">
        <v>3</v>
      </c>
      <c r="G191" t="s">
        <v>55</v>
      </c>
      <c r="H191" t="s">
        <v>85</v>
      </c>
      <c r="I191" t="s">
        <v>166</v>
      </c>
      <c r="J191" t="s">
        <v>166</v>
      </c>
      <c r="K191" t="s">
        <v>124</v>
      </c>
      <c r="L191" t="s">
        <v>166</v>
      </c>
      <c r="M191" t="s">
        <v>124</v>
      </c>
      <c r="N191" t="s">
        <v>45</v>
      </c>
      <c r="O191" t="s">
        <v>45</v>
      </c>
      <c r="P191">
        <v>3</v>
      </c>
      <c r="Q191" s="7">
        <v>46205</v>
      </c>
      <c r="R191" s="7">
        <v>46205</v>
      </c>
      <c r="S191" s="7">
        <v>46205</v>
      </c>
      <c r="T191" t="s">
        <v>45</v>
      </c>
      <c r="V191" t="s">
        <v>167</v>
      </c>
      <c r="W191" t="s">
        <v>45</v>
      </c>
      <c r="X191" t="s">
        <v>74</v>
      </c>
      <c r="Y191" t="s">
        <v>46</v>
      </c>
      <c r="Z191" t="s">
        <v>150</v>
      </c>
      <c r="AF191">
        <v>2</v>
      </c>
      <c r="AH191" t="s">
        <v>75</v>
      </c>
      <c r="AI191">
        <v>1</v>
      </c>
      <c r="AJ191" s="13"/>
      <c r="AK191" t="s">
        <v>74</v>
      </c>
      <c r="AM191"/>
      <c r="AN191" t="s">
        <v>74</v>
      </c>
      <c r="AO191" t="s">
        <v>74</v>
      </c>
      <c r="AP191"/>
      <c r="AQ191" t="s">
        <v>74</v>
      </c>
      <c r="AR191" s="18" t="str">
        <f>IFERROR(VLOOKUP(K191,[1]POP!$F:$J,1,0),M191)</f>
        <v>MADA</v>
      </c>
      <c r="AS191" s="18" t="str">
        <f t="shared" si="11"/>
        <v>BARGARAM</v>
      </c>
      <c r="AT191" s="19">
        <f t="shared" si="14"/>
        <v>2</v>
      </c>
      <c r="AU191" s="19">
        <f t="shared" ca="1" si="13"/>
        <v>2</v>
      </c>
    </row>
    <row r="192" spans="1:47" x14ac:dyDescent="0.3">
      <c r="A192" t="s">
        <v>327</v>
      </c>
      <c r="B192" t="str">
        <f t="shared" si="10"/>
        <v>S27_2026</v>
      </c>
      <c r="C192" t="str">
        <f t="shared" si="12"/>
        <v>S27_2026</v>
      </c>
      <c r="F192">
        <v>5</v>
      </c>
      <c r="G192" t="s">
        <v>40</v>
      </c>
      <c r="H192" t="s">
        <v>85</v>
      </c>
      <c r="I192" t="s">
        <v>166</v>
      </c>
      <c r="J192" t="s">
        <v>166</v>
      </c>
      <c r="K192" t="s">
        <v>124</v>
      </c>
      <c r="L192" t="s">
        <v>166</v>
      </c>
      <c r="M192" t="s">
        <v>124</v>
      </c>
      <c r="N192" t="s">
        <v>45</v>
      </c>
      <c r="O192" t="s">
        <v>45</v>
      </c>
      <c r="P192">
        <v>3</v>
      </c>
      <c r="Q192" s="7">
        <v>46205</v>
      </c>
      <c r="R192" s="7">
        <v>46205</v>
      </c>
      <c r="S192" s="7">
        <v>46205</v>
      </c>
      <c r="T192" t="s">
        <v>45</v>
      </c>
      <c r="V192" t="s">
        <v>167</v>
      </c>
      <c r="W192" t="s">
        <v>45</v>
      </c>
      <c r="X192" t="s">
        <v>74</v>
      </c>
      <c r="Y192" t="s">
        <v>46</v>
      </c>
      <c r="Z192" t="s">
        <v>150</v>
      </c>
      <c r="AF192">
        <v>2</v>
      </c>
      <c r="AH192" t="s">
        <v>75</v>
      </c>
      <c r="AI192">
        <v>1</v>
      </c>
      <c r="AJ192" s="13"/>
      <c r="AK192" t="s">
        <v>74</v>
      </c>
      <c r="AM192"/>
      <c r="AN192" t="s">
        <v>74</v>
      </c>
      <c r="AO192" t="s">
        <v>74</v>
      </c>
      <c r="AP192"/>
      <c r="AQ192" t="s">
        <v>74</v>
      </c>
      <c r="AR192" s="18" t="str">
        <f>IFERROR(VLOOKUP(K192,[1]POP!$F:$J,1,0),M192)</f>
        <v>MADA</v>
      </c>
      <c r="AS192" s="18" t="str">
        <f t="shared" si="11"/>
        <v>BARGARAM</v>
      </c>
      <c r="AT192" s="19">
        <f t="shared" si="14"/>
        <v>2</v>
      </c>
      <c r="AU192" s="19">
        <f t="shared" ca="1" si="13"/>
        <v>2</v>
      </c>
    </row>
    <row r="193" spans="1:47" x14ac:dyDescent="0.3">
      <c r="A193" t="s">
        <v>328</v>
      </c>
      <c r="B193" t="str">
        <f t="shared" si="10"/>
        <v>S27_2026</v>
      </c>
      <c r="C193" t="str">
        <f t="shared" si="12"/>
        <v>S27_2026</v>
      </c>
      <c r="F193">
        <v>3</v>
      </c>
      <c r="G193" t="s">
        <v>55</v>
      </c>
      <c r="H193" t="s">
        <v>85</v>
      </c>
      <c r="I193" t="s">
        <v>166</v>
      </c>
      <c r="J193" t="s">
        <v>166</v>
      </c>
      <c r="K193" t="s">
        <v>124</v>
      </c>
      <c r="L193" t="s">
        <v>166</v>
      </c>
      <c r="M193" t="s">
        <v>124</v>
      </c>
      <c r="N193" t="s">
        <v>45</v>
      </c>
      <c r="O193" t="s">
        <v>45</v>
      </c>
      <c r="P193">
        <v>3</v>
      </c>
      <c r="Q193" s="7">
        <v>46205</v>
      </c>
      <c r="R193" s="7">
        <v>46205</v>
      </c>
      <c r="S193" s="7">
        <v>46205</v>
      </c>
      <c r="T193" t="s">
        <v>45</v>
      </c>
      <c r="V193" t="s">
        <v>167</v>
      </c>
      <c r="W193" t="s">
        <v>45</v>
      </c>
      <c r="X193" t="s">
        <v>74</v>
      </c>
      <c r="Y193" t="s">
        <v>46</v>
      </c>
      <c r="Z193" t="s">
        <v>150</v>
      </c>
      <c r="AF193">
        <v>2</v>
      </c>
      <c r="AH193" t="s">
        <v>75</v>
      </c>
      <c r="AI193">
        <v>1</v>
      </c>
      <c r="AJ193" s="9"/>
      <c r="AK193" t="s">
        <v>74</v>
      </c>
      <c r="AM193"/>
      <c r="AN193" t="s">
        <v>74</v>
      </c>
      <c r="AO193" t="s">
        <v>74</v>
      </c>
      <c r="AP193"/>
      <c r="AQ193" t="s">
        <v>74</v>
      </c>
      <c r="AR193" s="18" t="str">
        <f>IFERROR(VLOOKUP(K193,[1]POP!$F:$J,1,0),M193)</f>
        <v>MADA</v>
      </c>
      <c r="AS193" s="18" t="str">
        <f t="shared" si="11"/>
        <v>BARGARAM</v>
      </c>
      <c r="AT193" s="19">
        <f t="shared" si="14"/>
        <v>2</v>
      </c>
      <c r="AU193" s="19">
        <f t="shared" ca="1" si="13"/>
        <v>2</v>
      </c>
    </row>
    <row r="194" spans="1:47" x14ac:dyDescent="0.3">
      <c r="A194" t="s">
        <v>329</v>
      </c>
      <c r="B194" t="str">
        <f t="shared" ref="B194:B257" si="15">"S"&amp;(IF(_xlfn.ISOWEEKNUM(S194)&gt;9,_xlfn.ISOWEEKNUM(S194),_xlfn.CONCAT("0",_xlfn.ISOWEEKNUM(S194))))&amp;"_"&amp;(YEAR(S194+26-(_xlfn.ISOWEEKNUM(S194))))</f>
        <v>S27_2026</v>
      </c>
      <c r="C194" t="str">
        <f t="shared" si="12"/>
        <v>S27_2026</v>
      </c>
      <c r="F194">
        <v>4</v>
      </c>
      <c r="G194" t="s">
        <v>55</v>
      </c>
      <c r="I194" t="s">
        <v>166</v>
      </c>
      <c r="J194" t="s">
        <v>166</v>
      </c>
      <c r="K194" t="s">
        <v>124</v>
      </c>
      <c r="L194" t="s">
        <v>166</v>
      </c>
      <c r="M194" t="s">
        <v>124</v>
      </c>
      <c r="N194" t="s">
        <v>45</v>
      </c>
      <c r="O194" t="s">
        <v>45</v>
      </c>
      <c r="P194">
        <v>3</v>
      </c>
      <c r="Q194" s="7">
        <v>46205</v>
      </c>
      <c r="R194" s="7">
        <v>46205</v>
      </c>
      <c r="S194" s="7">
        <v>46205</v>
      </c>
      <c r="T194" t="s">
        <v>45</v>
      </c>
      <c r="V194" t="s">
        <v>167</v>
      </c>
      <c r="W194" t="s">
        <v>45</v>
      </c>
      <c r="X194" t="s">
        <v>74</v>
      </c>
      <c r="Y194" t="s">
        <v>46</v>
      </c>
      <c r="Z194" t="s">
        <v>150</v>
      </c>
      <c r="AF194">
        <v>2</v>
      </c>
      <c r="AH194" t="s">
        <v>75</v>
      </c>
      <c r="AI194">
        <v>1</v>
      </c>
      <c r="AJ194" s="9"/>
      <c r="AK194" t="s">
        <v>74</v>
      </c>
      <c r="AM194"/>
      <c r="AN194" t="s">
        <v>74</v>
      </c>
      <c r="AO194" t="s">
        <v>74</v>
      </c>
      <c r="AP194"/>
      <c r="AQ194" t="s">
        <v>74</v>
      </c>
      <c r="AR194" s="18" t="str">
        <f>IFERROR(VLOOKUP(K194,[1]POP!$F:$J,1,0),M194)</f>
        <v>MADA</v>
      </c>
      <c r="AS194" s="18" t="str">
        <f t="shared" ref="AS194:AS257" si="16">IF(AR194=K194,J194,L194)</f>
        <v>BARGARAM</v>
      </c>
      <c r="AT194" s="19">
        <f t="shared" si="14"/>
        <v>2</v>
      </c>
      <c r="AU194" s="19">
        <f t="shared" ca="1" si="13"/>
        <v>2</v>
      </c>
    </row>
    <row r="195" spans="1:47" x14ac:dyDescent="0.3">
      <c r="A195" t="s">
        <v>330</v>
      </c>
      <c r="B195" t="str">
        <f t="shared" si="15"/>
        <v>S27_2026</v>
      </c>
      <c r="C195" t="str">
        <f t="shared" ref="C195:C258" si="17">"S"&amp;(IF(_xlfn.ISOWEEKNUM(Q195)&gt;9,_xlfn.ISOWEEKNUM(Q195),_xlfn.CONCAT("0",_xlfn.ISOWEEKNUM(Q195))))&amp;"_"&amp;(YEAR(Q195+26-(_xlfn.ISOWEEKNUM(Q195))))</f>
        <v>S27_2026</v>
      </c>
      <c r="F195">
        <v>4</v>
      </c>
      <c r="G195" t="s">
        <v>55</v>
      </c>
      <c r="I195" t="s">
        <v>166</v>
      </c>
      <c r="J195" t="s">
        <v>166</v>
      </c>
      <c r="K195" t="s">
        <v>124</v>
      </c>
      <c r="L195" t="s">
        <v>166</v>
      </c>
      <c r="M195" t="s">
        <v>124</v>
      </c>
      <c r="N195" t="s">
        <v>45</v>
      </c>
      <c r="O195" t="s">
        <v>45</v>
      </c>
      <c r="P195">
        <v>3</v>
      </c>
      <c r="Q195" s="7">
        <v>46205</v>
      </c>
      <c r="R195" s="7">
        <v>46205</v>
      </c>
      <c r="S195" s="7">
        <v>46205</v>
      </c>
      <c r="T195" t="s">
        <v>45</v>
      </c>
      <c r="V195" t="s">
        <v>167</v>
      </c>
      <c r="W195" t="s">
        <v>45</v>
      </c>
      <c r="X195" t="s">
        <v>74</v>
      </c>
      <c r="Y195" t="s">
        <v>46</v>
      </c>
      <c r="Z195" t="s">
        <v>150</v>
      </c>
      <c r="AF195">
        <v>2</v>
      </c>
      <c r="AH195" t="s">
        <v>75</v>
      </c>
      <c r="AI195">
        <v>1</v>
      </c>
      <c r="AJ195" s="9"/>
      <c r="AK195" t="s">
        <v>74</v>
      </c>
      <c r="AM195"/>
      <c r="AN195" t="s">
        <v>74</v>
      </c>
      <c r="AO195" t="s">
        <v>74</v>
      </c>
      <c r="AP195"/>
      <c r="AQ195" t="s">
        <v>74</v>
      </c>
      <c r="AR195" s="18" t="str">
        <f>IFERROR(VLOOKUP(K195,[1]POP!$F:$J,1,0),M195)</f>
        <v>MADA</v>
      </c>
      <c r="AS195" s="18" t="str">
        <f t="shared" si="16"/>
        <v>BARGARAM</v>
      </c>
      <c r="AT195" s="19">
        <f t="shared" si="14"/>
        <v>2</v>
      </c>
      <c r="AU195" s="19">
        <f t="shared" ref="AU195:AU258" ca="1" si="18">IF((TODAY() - R195)&lt;=21,1,2)</f>
        <v>2</v>
      </c>
    </row>
    <row r="196" spans="1:47" x14ac:dyDescent="0.3">
      <c r="A196" t="s">
        <v>331</v>
      </c>
      <c r="B196" t="str">
        <f t="shared" si="15"/>
        <v>S27_2026</v>
      </c>
      <c r="C196" t="str">
        <f t="shared" si="17"/>
        <v>S27_2026</v>
      </c>
      <c r="F196">
        <v>3</v>
      </c>
      <c r="G196" t="s">
        <v>55</v>
      </c>
      <c r="I196" t="s">
        <v>332</v>
      </c>
      <c r="J196" t="s">
        <v>166</v>
      </c>
      <c r="K196" t="s">
        <v>124</v>
      </c>
      <c r="L196" t="s">
        <v>166</v>
      </c>
      <c r="M196" t="s">
        <v>124</v>
      </c>
      <c r="N196" t="s">
        <v>45</v>
      </c>
      <c r="O196" t="s">
        <v>45</v>
      </c>
      <c r="P196">
        <v>3</v>
      </c>
      <c r="Q196" s="7">
        <v>46205</v>
      </c>
      <c r="R196" s="7">
        <v>46205</v>
      </c>
      <c r="S196" s="7">
        <v>46205</v>
      </c>
      <c r="T196" t="s">
        <v>45</v>
      </c>
      <c r="V196" t="s">
        <v>167</v>
      </c>
      <c r="W196" t="s">
        <v>45</v>
      </c>
      <c r="X196" t="s">
        <v>74</v>
      </c>
      <c r="Y196" t="s">
        <v>46</v>
      </c>
      <c r="Z196" t="s">
        <v>150</v>
      </c>
      <c r="AF196">
        <v>2</v>
      </c>
      <c r="AH196" t="s">
        <v>75</v>
      </c>
      <c r="AI196">
        <v>1</v>
      </c>
      <c r="AJ196" s="9"/>
      <c r="AK196" t="s">
        <v>74</v>
      </c>
      <c r="AM196"/>
      <c r="AN196" t="s">
        <v>86</v>
      </c>
      <c r="AO196" t="s">
        <v>45</v>
      </c>
      <c r="AP196">
        <v>5</v>
      </c>
      <c r="AQ196" t="s">
        <v>86</v>
      </c>
      <c r="AR196" s="18" t="str">
        <f>IFERROR(VLOOKUP(K196,[1]POP!$F:$J,1,0),M196)</f>
        <v>MADA</v>
      </c>
      <c r="AS196" s="18" t="str">
        <f t="shared" si="16"/>
        <v>BARGARAM</v>
      </c>
      <c r="AT196" s="19">
        <f t="shared" ref="AT196:AT259" si="19">IF($AI:$AI=2,3,IF($AI:$AI=3,3,IF($AI:$AI=4,3,IF($AI:$AI=1,2,0))))</f>
        <v>2</v>
      </c>
      <c r="AU196" s="19">
        <f t="shared" ca="1" si="18"/>
        <v>2</v>
      </c>
    </row>
    <row r="197" spans="1:47" x14ac:dyDescent="0.3">
      <c r="A197" t="s">
        <v>333</v>
      </c>
      <c r="B197" t="str">
        <f t="shared" si="15"/>
        <v>S27_2026</v>
      </c>
      <c r="C197" t="str">
        <f t="shared" si="17"/>
        <v>S27_2026</v>
      </c>
      <c r="F197">
        <v>8</v>
      </c>
      <c r="G197" t="s">
        <v>55</v>
      </c>
      <c r="I197" t="s">
        <v>332</v>
      </c>
      <c r="J197" t="s">
        <v>166</v>
      </c>
      <c r="K197" t="s">
        <v>124</v>
      </c>
      <c r="L197" t="s">
        <v>166</v>
      </c>
      <c r="M197" t="s">
        <v>124</v>
      </c>
      <c r="N197" t="s">
        <v>45</v>
      </c>
      <c r="O197" t="s">
        <v>45</v>
      </c>
      <c r="P197">
        <v>3</v>
      </c>
      <c r="Q197" s="7">
        <v>46205</v>
      </c>
      <c r="R197" s="7">
        <v>46205</v>
      </c>
      <c r="S197" s="7">
        <v>46205</v>
      </c>
      <c r="T197" t="s">
        <v>45</v>
      </c>
      <c r="V197" t="s">
        <v>167</v>
      </c>
      <c r="W197" t="s">
        <v>45</v>
      </c>
      <c r="X197" t="s">
        <v>74</v>
      </c>
      <c r="Y197" t="s">
        <v>46</v>
      </c>
      <c r="Z197" t="s">
        <v>150</v>
      </c>
      <c r="AF197">
        <v>2</v>
      </c>
      <c r="AH197" t="s">
        <v>75</v>
      </c>
      <c r="AI197">
        <v>1</v>
      </c>
      <c r="AJ197" s="9"/>
      <c r="AK197" t="s">
        <v>74</v>
      </c>
      <c r="AM197"/>
      <c r="AN197" t="s">
        <v>86</v>
      </c>
      <c r="AO197" t="s">
        <v>45</v>
      </c>
      <c r="AP197">
        <v>4</v>
      </c>
      <c r="AQ197" t="s">
        <v>86</v>
      </c>
      <c r="AR197" s="18" t="str">
        <f>IFERROR(VLOOKUP(K197,[1]POP!$F:$J,1,0),M197)</f>
        <v>MADA</v>
      </c>
      <c r="AS197" s="18" t="str">
        <f t="shared" si="16"/>
        <v>BARGARAM</v>
      </c>
      <c r="AT197" s="19">
        <f t="shared" si="19"/>
        <v>2</v>
      </c>
      <c r="AU197" s="19">
        <f t="shared" ca="1" si="18"/>
        <v>2</v>
      </c>
    </row>
    <row r="198" spans="1:47" x14ac:dyDescent="0.3">
      <c r="A198" t="s">
        <v>334</v>
      </c>
      <c r="B198" t="str">
        <f t="shared" si="15"/>
        <v>S27_2026</v>
      </c>
      <c r="C198" t="str">
        <f t="shared" si="17"/>
        <v>S27_2026</v>
      </c>
      <c r="F198">
        <v>25</v>
      </c>
      <c r="G198" t="s">
        <v>40</v>
      </c>
      <c r="I198" t="s">
        <v>166</v>
      </c>
      <c r="J198" t="s">
        <v>166</v>
      </c>
      <c r="K198" t="s">
        <v>124</v>
      </c>
      <c r="L198" t="s">
        <v>166</v>
      </c>
      <c r="M198" t="s">
        <v>124</v>
      </c>
      <c r="N198" t="s">
        <v>45</v>
      </c>
      <c r="O198" t="s">
        <v>45</v>
      </c>
      <c r="P198">
        <v>3</v>
      </c>
      <c r="Q198" s="7">
        <v>46205</v>
      </c>
      <c r="R198" s="7">
        <v>46205</v>
      </c>
      <c r="S198" s="7">
        <v>46205</v>
      </c>
      <c r="T198" t="s">
        <v>45</v>
      </c>
      <c r="V198" t="s">
        <v>167</v>
      </c>
      <c r="W198" t="s">
        <v>45</v>
      </c>
      <c r="X198" t="s">
        <v>74</v>
      </c>
      <c r="Y198" t="s">
        <v>46</v>
      </c>
      <c r="Z198" t="s">
        <v>150</v>
      </c>
      <c r="AF198">
        <v>2</v>
      </c>
      <c r="AH198" t="s">
        <v>75</v>
      </c>
      <c r="AI198">
        <v>1</v>
      </c>
      <c r="AJ198" s="9"/>
      <c r="AK198" t="s">
        <v>74</v>
      </c>
      <c r="AM198"/>
      <c r="AN198" t="s">
        <v>86</v>
      </c>
      <c r="AO198" t="s">
        <v>45</v>
      </c>
      <c r="AP198">
        <v>7</v>
      </c>
      <c r="AQ198" t="s">
        <v>86</v>
      </c>
      <c r="AR198" s="18" t="str">
        <f>IFERROR(VLOOKUP(K198,[1]POP!$F:$J,1,0),M198)</f>
        <v>MADA</v>
      </c>
      <c r="AS198" s="18" t="str">
        <f t="shared" si="16"/>
        <v>BARGARAM</v>
      </c>
      <c r="AT198" s="19">
        <f t="shared" si="19"/>
        <v>2</v>
      </c>
      <c r="AU198" s="19">
        <f t="shared" ca="1" si="18"/>
        <v>2</v>
      </c>
    </row>
    <row r="199" spans="1:47" x14ac:dyDescent="0.3">
      <c r="A199" t="s">
        <v>335</v>
      </c>
      <c r="B199" t="str">
        <f t="shared" si="15"/>
        <v>S27_2026</v>
      </c>
      <c r="C199" t="str">
        <f t="shared" si="17"/>
        <v>S27_2026</v>
      </c>
      <c r="F199">
        <v>50</v>
      </c>
      <c r="G199" t="s">
        <v>55</v>
      </c>
      <c r="H199" t="s">
        <v>79</v>
      </c>
      <c r="I199" t="s">
        <v>166</v>
      </c>
      <c r="J199" t="s">
        <v>166</v>
      </c>
      <c r="K199" t="s">
        <v>124</v>
      </c>
      <c r="L199" t="s">
        <v>166</v>
      </c>
      <c r="M199" t="s">
        <v>124</v>
      </c>
      <c r="N199" t="s">
        <v>45</v>
      </c>
      <c r="O199" t="s">
        <v>45</v>
      </c>
      <c r="P199">
        <v>3</v>
      </c>
      <c r="Q199" s="7">
        <v>46205</v>
      </c>
      <c r="R199" s="7">
        <v>46205</v>
      </c>
      <c r="S199" s="7">
        <v>46205</v>
      </c>
      <c r="T199" t="s">
        <v>45</v>
      </c>
      <c r="V199" t="s">
        <v>167</v>
      </c>
      <c r="W199" t="s">
        <v>45</v>
      </c>
      <c r="X199" t="s">
        <v>74</v>
      </c>
      <c r="Y199" t="s">
        <v>46</v>
      </c>
      <c r="Z199" t="s">
        <v>150</v>
      </c>
      <c r="AF199">
        <v>2</v>
      </c>
      <c r="AH199" t="s">
        <v>75</v>
      </c>
      <c r="AI199">
        <v>1</v>
      </c>
      <c r="AJ199" s="9"/>
      <c r="AK199" t="s">
        <v>74</v>
      </c>
      <c r="AM199"/>
      <c r="AN199" t="s">
        <v>86</v>
      </c>
      <c r="AO199" t="s">
        <v>45</v>
      </c>
      <c r="AP199">
        <v>6</v>
      </c>
      <c r="AQ199" t="s">
        <v>86</v>
      </c>
      <c r="AR199" s="18" t="str">
        <f>IFERROR(VLOOKUP(K199,[1]POP!$F:$J,1,0),M199)</f>
        <v>MADA</v>
      </c>
      <c r="AS199" s="18" t="str">
        <f t="shared" si="16"/>
        <v>BARGARAM</v>
      </c>
      <c r="AT199" s="19">
        <f t="shared" si="19"/>
        <v>2</v>
      </c>
      <c r="AU199" s="19">
        <f t="shared" ca="1" si="18"/>
        <v>2</v>
      </c>
    </row>
    <row r="200" spans="1:47" x14ac:dyDescent="0.3">
      <c r="A200" t="s">
        <v>336</v>
      </c>
      <c r="B200" t="str">
        <f t="shared" si="15"/>
        <v>S27_2026</v>
      </c>
      <c r="C200" t="str">
        <f t="shared" si="17"/>
        <v>S27_2026</v>
      </c>
      <c r="F200">
        <v>45</v>
      </c>
      <c r="G200" t="s">
        <v>40</v>
      </c>
      <c r="H200" t="s">
        <v>77</v>
      </c>
      <c r="I200" t="s">
        <v>166</v>
      </c>
      <c r="J200" t="s">
        <v>166</v>
      </c>
      <c r="K200" t="s">
        <v>124</v>
      </c>
      <c r="L200" t="s">
        <v>166</v>
      </c>
      <c r="M200" t="s">
        <v>124</v>
      </c>
      <c r="N200" t="s">
        <v>45</v>
      </c>
      <c r="O200" t="s">
        <v>45</v>
      </c>
      <c r="P200">
        <v>3</v>
      </c>
      <c r="Q200" s="7">
        <v>46205</v>
      </c>
      <c r="R200" s="7">
        <v>46205</v>
      </c>
      <c r="S200" s="7">
        <v>46205</v>
      </c>
      <c r="T200" t="s">
        <v>45</v>
      </c>
      <c r="V200" t="s">
        <v>167</v>
      </c>
      <c r="W200" t="s">
        <v>45</v>
      </c>
      <c r="X200" t="s">
        <v>74</v>
      </c>
      <c r="Y200" t="s">
        <v>46</v>
      </c>
      <c r="Z200" t="s">
        <v>150</v>
      </c>
      <c r="AF200">
        <v>2</v>
      </c>
      <c r="AH200" t="s">
        <v>75</v>
      </c>
      <c r="AI200">
        <v>1</v>
      </c>
      <c r="AJ200" s="9"/>
      <c r="AK200" t="s">
        <v>74</v>
      </c>
      <c r="AM200"/>
      <c r="AN200" t="s">
        <v>86</v>
      </c>
      <c r="AO200" t="s">
        <v>45</v>
      </c>
      <c r="AP200">
        <v>4</v>
      </c>
      <c r="AQ200" t="s">
        <v>86</v>
      </c>
      <c r="AR200" s="18" t="str">
        <f>IFERROR(VLOOKUP(K200,[1]POP!$F:$J,1,0),M200)</f>
        <v>MADA</v>
      </c>
      <c r="AS200" s="18" t="str">
        <f t="shared" si="16"/>
        <v>BARGARAM</v>
      </c>
      <c r="AT200" s="19">
        <f t="shared" si="19"/>
        <v>2</v>
      </c>
      <c r="AU200" s="19">
        <f t="shared" ca="1" si="18"/>
        <v>2</v>
      </c>
    </row>
    <row r="201" spans="1:47" x14ac:dyDescent="0.3">
      <c r="A201" t="s">
        <v>337</v>
      </c>
      <c r="B201" t="str">
        <f t="shared" si="15"/>
        <v>S27_2026</v>
      </c>
      <c r="C201" t="str">
        <f t="shared" si="17"/>
        <v>S27_2026</v>
      </c>
      <c r="F201">
        <v>10</v>
      </c>
      <c r="G201" t="s">
        <v>40</v>
      </c>
      <c r="I201" t="s">
        <v>166</v>
      </c>
      <c r="J201" t="s">
        <v>166</v>
      </c>
      <c r="K201" t="s">
        <v>124</v>
      </c>
      <c r="L201" t="s">
        <v>166</v>
      </c>
      <c r="M201" t="s">
        <v>124</v>
      </c>
      <c r="N201" t="s">
        <v>45</v>
      </c>
      <c r="O201" t="s">
        <v>45</v>
      </c>
      <c r="P201">
        <v>3</v>
      </c>
      <c r="Q201" s="7">
        <v>46205</v>
      </c>
      <c r="R201" s="7">
        <v>46205</v>
      </c>
      <c r="S201" s="7">
        <v>46205</v>
      </c>
      <c r="T201" t="s">
        <v>45</v>
      </c>
      <c r="V201" t="s">
        <v>167</v>
      </c>
      <c r="W201" t="s">
        <v>45</v>
      </c>
      <c r="X201" t="s">
        <v>74</v>
      </c>
      <c r="Y201" t="s">
        <v>46</v>
      </c>
      <c r="Z201" t="s">
        <v>150</v>
      </c>
      <c r="AF201">
        <v>2</v>
      </c>
      <c r="AH201" t="s">
        <v>75</v>
      </c>
      <c r="AI201">
        <v>1</v>
      </c>
      <c r="AJ201" s="9"/>
      <c r="AK201" t="s">
        <v>74</v>
      </c>
      <c r="AM201"/>
      <c r="AN201" t="s">
        <v>86</v>
      </c>
      <c r="AO201" t="s">
        <v>45</v>
      </c>
      <c r="AP201">
        <v>5</v>
      </c>
      <c r="AQ201" t="s">
        <v>86</v>
      </c>
      <c r="AR201" s="18" t="str">
        <f>IFERROR(VLOOKUP(K201,[1]POP!$F:$J,1,0),M201)</f>
        <v>MADA</v>
      </c>
      <c r="AS201" s="18" t="str">
        <f t="shared" si="16"/>
        <v>BARGARAM</v>
      </c>
      <c r="AT201" s="19">
        <f t="shared" si="19"/>
        <v>2</v>
      </c>
      <c r="AU201" s="19">
        <f t="shared" ca="1" si="18"/>
        <v>2</v>
      </c>
    </row>
    <row r="202" spans="1:47" x14ac:dyDescent="0.3">
      <c r="A202" t="s">
        <v>338</v>
      </c>
      <c r="B202" t="str">
        <f t="shared" si="15"/>
        <v>S27_2026</v>
      </c>
      <c r="C202" t="str">
        <f t="shared" si="17"/>
        <v>S27_2026</v>
      </c>
      <c r="F202">
        <v>8</v>
      </c>
      <c r="G202" t="s">
        <v>55</v>
      </c>
      <c r="I202" t="s">
        <v>166</v>
      </c>
      <c r="J202" t="s">
        <v>166</v>
      </c>
      <c r="K202" t="s">
        <v>124</v>
      </c>
      <c r="L202" t="s">
        <v>166</v>
      </c>
      <c r="M202" t="s">
        <v>124</v>
      </c>
      <c r="N202" t="s">
        <v>45</v>
      </c>
      <c r="O202" t="s">
        <v>45</v>
      </c>
      <c r="P202">
        <v>3</v>
      </c>
      <c r="Q202" s="7">
        <v>46205</v>
      </c>
      <c r="R202" s="7">
        <v>46205</v>
      </c>
      <c r="S202" s="7">
        <v>46205</v>
      </c>
      <c r="T202" t="s">
        <v>45</v>
      </c>
      <c r="V202" t="s">
        <v>167</v>
      </c>
      <c r="W202" t="s">
        <v>45</v>
      </c>
      <c r="X202" t="s">
        <v>74</v>
      </c>
      <c r="Y202" t="s">
        <v>46</v>
      </c>
      <c r="Z202" t="s">
        <v>150</v>
      </c>
      <c r="AF202">
        <v>2</v>
      </c>
      <c r="AH202" t="s">
        <v>75</v>
      </c>
      <c r="AI202">
        <v>1</v>
      </c>
      <c r="AJ202" s="9"/>
      <c r="AK202" t="s">
        <v>74</v>
      </c>
      <c r="AM202"/>
      <c r="AN202" t="s">
        <v>86</v>
      </c>
      <c r="AO202" t="s">
        <v>45</v>
      </c>
      <c r="AP202">
        <v>7</v>
      </c>
      <c r="AQ202" t="s">
        <v>86</v>
      </c>
      <c r="AR202" s="18" t="str">
        <f>IFERROR(VLOOKUP(K202,[1]POP!$F:$J,1,0),M202)</f>
        <v>MADA</v>
      </c>
      <c r="AS202" s="18" t="str">
        <f t="shared" si="16"/>
        <v>BARGARAM</v>
      </c>
      <c r="AT202" s="19">
        <f t="shared" si="19"/>
        <v>2</v>
      </c>
      <c r="AU202" s="19">
        <f t="shared" ca="1" si="18"/>
        <v>2</v>
      </c>
    </row>
    <row r="203" spans="1:47" x14ac:dyDescent="0.3">
      <c r="A203" t="s">
        <v>339</v>
      </c>
      <c r="B203" t="str">
        <f t="shared" si="15"/>
        <v>S27_2026</v>
      </c>
      <c r="C203" t="str">
        <f t="shared" si="17"/>
        <v>S27_2026</v>
      </c>
      <c r="F203">
        <v>20</v>
      </c>
      <c r="G203" t="s">
        <v>40</v>
      </c>
      <c r="H203" t="s">
        <v>77</v>
      </c>
      <c r="I203" t="s">
        <v>166</v>
      </c>
      <c r="J203" t="s">
        <v>166</v>
      </c>
      <c r="K203" t="s">
        <v>124</v>
      </c>
      <c r="L203" t="s">
        <v>166</v>
      </c>
      <c r="M203" t="s">
        <v>124</v>
      </c>
      <c r="N203" t="s">
        <v>45</v>
      </c>
      <c r="O203" t="s">
        <v>45</v>
      </c>
      <c r="P203">
        <v>3</v>
      </c>
      <c r="Q203" s="7">
        <v>46205</v>
      </c>
      <c r="R203" s="7">
        <v>46205</v>
      </c>
      <c r="S203" s="7">
        <v>46205</v>
      </c>
      <c r="T203" t="s">
        <v>45</v>
      </c>
      <c r="V203" t="s">
        <v>167</v>
      </c>
      <c r="W203" t="s">
        <v>45</v>
      </c>
      <c r="X203" t="s">
        <v>74</v>
      </c>
      <c r="Y203" t="s">
        <v>46</v>
      </c>
      <c r="Z203" t="s">
        <v>150</v>
      </c>
      <c r="AF203">
        <v>2</v>
      </c>
      <c r="AH203" t="s">
        <v>75</v>
      </c>
      <c r="AI203">
        <v>1</v>
      </c>
      <c r="AJ203" s="9"/>
      <c r="AK203" t="s">
        <v>74</v>
      </c>
      <c r="AM203"/>
      <c r="AN203" t="s">
        <v>86</v>
      </c>
      <c r="AO203" t="s">
        <v>45</v>
      </c>
      <c r="AP203">
        <v>5</v>
      </c>
      <c r="AQ203" t="s">
        <v>86</v>
      </c>
      <c r="AR203" s="18" t="str">
        <f>IFERROR(VLOOKUP(K203,[1]POP!$F:$J,1,0),M203)</f>
        <v>MADA</v>
      </c>
      <c r="AS203" s="18" t="str">
        <f t="shared" si="16"/>
        <v>BARGARAM</v>
      </c>
      <c r="AT203" s="19">
        <f t="shared" si="19"/>
        <v>2</v>
      </c>
      <c r="AU203" s="19">
        <f t="shared" ca="1" si="18"/>
        <v>2</v>
      </c>
    </row>
    <row r="204" spans="1:47" x14ac:dyDescent="0.3">
      <c r="A204" t="s">
        <v>340</v>
      </c>
      <c r="B204" t="str">
        <f t="shared" si="15"/>
        <v>S27_2026</v>
      </c>
      <c r="C204" t="str">
        <f t="shared" si="17"/>
        <v>S27_2026</v>
      </c>
      <c r="F204">
        <v>17</v>
      </c>
      <c r="G204" t="s">
        <v>55</v>
      </c>
      <c r="I204" t="s">
        <v>166</v>
      </c>
      <c r="J204" t="s">
        <v>166</v>
      </c>
      <c r="K204" t="s">
        <v>124</v>
      </c>
      <c r="L204" t="s">
        <v>166</v>
      </c>
      <c r="M204" t="s">
        <v>124</v>
      </c>
      <c r="N204" t="s">
        <v>45</v>
      </c>
      <c r="O204" t="s">
        <v>45</v>
      </c>
      <c r="P204">
        <v>3</v>
      </c>
      <c r="Q204" s="7">
        <v>46205</v>
      </c>
      <c r="R204" s="7">
        <v>46205</v>
      </c>
      <c r="S204" s="7">
        <v>46205</v>
      </c>
      <c r="T204" t="s">
        <v>45</v>
      </c>
      <c r="V204" t="s">
        <v>167</v>
      </c>
      <c r="W204" t="s">
        <v>45</v>
      </c>
      <c r="X204" t="s">
        <v>74</v>
      </c>
      <c r="Y204" t="s">
        <v>46</v>
      </c>
      <c r="Z204" t="s">
        <v>150</v>
      </c>
      <c r="AF204">
        <v>2</v>
      </c>
      <c r="AH204" t="s">
        <v>75</v>
      </c>
      <c r="AI204">
        <v>1</v>
      </c>
      <c r="AJ204" s="9"/>
      <c r="AK204" t="s">
        <v>74</v>
      </c>
      <c r="AM204"/>
      <c r="AN204" t="s">
        <v>86</v>
      </c>
      <c r="AO204" t="s">
        <v>45</v>
      </c>
      <c r="AP204">
        <v>7</v>
      </c>
      <c r="AQ204" t="s">
        <v>45</v>
      </c>
      <c r="AR204" s="18" t="str">
        <f>IFERROR(VLOOKUP(K204,[1]POP!$F:$J,1,0),M204)</f>
        <v>MADA</v>
      </c>
      <c r="AS204" s="18" t="str">
        <f t="shared" si="16"/>
        <v>BARGARAM</v>
      </c>
      <c r="AT204" s="19">
        <f t="shared" si="19"/>
        <v>2</v>
      </c>
      <c r="AU204" s="19">
        <f t="shared" ca="1" si="18"/>
        <v>2</v>
      </c>
    </row>
    <row r="205" spans="1:47" x14ac:dyDescent="0.3">
      <c r="A205" t="s">
        <v>341</v>
      </c>
      <c r="B205" t="str">
        <f t="shared" si="15"/>
        <v>S27_2026</v>
      </c>
      <c r="C205" t="str">
        <f t="shared" si="17"/>
        <v>S27_2026</v>
      </c>
      <c r="F205">
        <v>70</v>
      </c>
      <c r="G205" t="s">
        <v>40</v>
      </c>
      <c r="H205" t="s">
        <v>70</v>
      </c>
      <c r="I205" t="s">
        <v>166</v>
      </c>
      <c r="J205" t="s">
        <v>166</v>
      </c>
      <c r="K205" t="s">
        <v>124</v>
      </c>
      <c r="L205" t="s">
        <v>166</v>
      </c>
      <c r="M205" t="s">
        <v>124</v>
      </c>
      <c r="N205" t="s">
        <v>45</v>
      </c>
      <c r="O205" t="s">
        <v>45</v>
      </c>
      <c r="P205">
        <v>3</v>
      </c>
      <c r="Q205" s="7">
        <v>46205</v>
      </c>
      <c r="R205" s="7">
        <v>46205</v>
      </c>
      <c r="S205" s="7">
        <v>46205</v>
      </c>
      <c r="T205" t="s">
        <v>45</v>
      </c>
      <c r="V205" t="s">
        <v>167</v>
      </c>
      <c r="W205" t="s">
        <v>45</v>
      </c>
      <c r="X205" t="s">
        <v>74</v>
      </c>
      <c r="Y205" t="s">
        <v>46</v>
      </c>
      <c r="Z205" t="s">
        <v>150</v>
      </c>
      <c r="AF205">
        <v>2</v>
      </c>
      <c r="AH205" t="s">
        <v>75</v>
      </c>
      <c r="AI205">
        <v>1</v>
      </c>
      <c r="AJ205" s="9"/>
      <c r="AK205" t="s">
        <v>74</v>
      </c>
      <c r="AL205" t="s">
        <v>98</v>
      </c>
      <c r="AM205"/>
      <c r="AN205" t="s">
        <v>45</v>
      </c>
      <c r="AO205" t="s">
        <v>86</v>
      </c>
      <c r="AP205">
        <v>10</v>
      </c>
      <c r="AQ205" t="s">
        <v>74</v>
      </c>
      <c r="AR205" s="18" t="str">
        <f>IFERROR(VLOOKUP(K205,[1]POP!$F:$J,1,0),M205)</f>
        <v>MADA</v>
      </c>
      <c r="AS205" s="18" t="str">
        <f t="shared" si="16"/>
        <v>BARGARAM</v>
      </c>
      <c r="AT205" s="19">
        <f t="shared" si="19"/>
        <v>2</v>
      </c>
      <c r="AU205" s="19">
        <f t="shared" ca="1" si="18"/>
        <v>2</v>
      </c>
    </row>
    <row r="206" spans="1:47" x14ac:dyDescent="0.3">
      <c r="A206" t="s">
        <v>342</v>
      </c>
      <c r="B206" t="str">
        <f t="shared" si="15"/>
        <v>S27_2026</v>
      </c>
      <c r="C206" t="str">
        <f t="shared" si="17"/>
        <v>S27_2026</v>
      </c>
      <c r="F206">
        <v>1</v>
      </c>
      <c r="G206" t="s">
        <v>55</v>
      </c>
      <c r="H206" t="s">
        <v>85</v>
      </c>
      <c r="I206" t="s">
        <v>71</v>
      </c>
      <c r="J206" t="s">
        <v>71</v>
      </c>
      <c r="K206" t="s">
        <v>72</v>
      </c>
      <c r="L206" t="s">
        <v>71</v>
      </c>
      <c r="M206" t="s">
        <v>72</v>
      </c>
      <c r="N206" t="s">
        <v>45</v>
      </c>
      <c r="O206" t="s">
        <v>45</v>
      </c>
      <c r="P206">
        <v>1</v>
      </c>
      <c r="Q206" s="7">
        <v>46207</v>
      </c>
      <c r="R206" s="7">
        <v>46207</v>
      </c>
      <c r="S206" s="7">
        <v>46207</v>
      </c>
      <c r="T206" t="s">
        <v>45</v>
      </c>
      <c r="V206" t="s">
        <v>343</v>
      </c>
      <c r="W206" t="s">
        <v>45</v>
      </c>
      <c r="X206" t="s">
        <v>45</v>
      </c>
      <c r="Y206" t="s">
        <v>45</v>
      </c>
      <c r="Z206" t="s">
        <v>74</v>
      </c>
      <c r="AE206" s="7">
        <v>46208</v>
      </c>
      <c r="AF206">
        <v>2</v>
      </c>
      <c r="AH206" t="s">
        <v>75</v>
      </c>
      <c r="AI206">
        <v>1</v>
      </c>
      <c r="AJ206" s="9"/>
      <c r="AK206" t="s">
        <v>74</v>
      </c>
      <c r="AL206" t="s">
        <v>98</v>
      </c>
      <c r="AM206"/>
      <c r="AN206" t="s">
        <v>45</v>
      </c>
      <c r="AO206" t="s">
        <v>86</v>
      </c>
      <c r="AP206">
        <v>10</v>
      </c>
      <c r="AQ206" t="s">
        <v>74</v>
      </c>
      <c r="AR206" s="18" t="str">
        <f>IFERROR(VLOOKUP(K206,[1]POP!$F:$J,1,0),M206)</f>
        <v>FOTOKOL</v>
      </c>
      <c r="AS206" s="18" t="str">
        <f t="shared" si="16"/>
        <v>SAGME</v>
      </c>
      <c r="AT206" s="19">
        <f t="shared" si="19"/>
        <v>2</v>
      </c>
      <c r="AU206" s="19">
        <f t="shared" ca="1" si="18"/>
        <v>2</v>
      </c>
    </row>
    <row r="207" spans="1:47" x14ac:dyDescent="0.3">
      <c r="A207" t="s">
        <v>344</v>
      </c>
      <c r="B207" t="str">
        <f t="shared" si="15"/>
        <v>S27_2026</v>
      </c>
      <c r="C207" t="str">
        <f t="shared" si="17"/>
        <v>S27_2026</v>
      </c>
      <c r="F207">
        <v>17</v>
      </c>
      <c r="G207" t="s">
        <v>40</v>
      </c>
      <c r="H207" t="s">
        <v>85</v>
      </c>
      <c r="I207" t="s">
        <v>345</v>
      </c>
      <c r="J207" t="s">
        <v>71</v>
      </c>
      <c r="K207" t="s">
        <v>72</v>
      </c>
      <c r="L207" t="s">
        <v>72</v>
      </c>
      <c r="M207" t="s">
        <v>72</v>
      </c>
      <c r="N207" t="s">
        <v>45</v>
      </c>
      <c r="O207" t="s">
        <v>45</v>
      </c>
      <c r="P207">
        <v>1</v>
      </c>
      <c r="Q207" s="7">
        <v>46206</v>
      </c>
      <c r="R207" s="7">
        <v>46206</v>
      </c>
      <c r="S207" s="7">
        <v>46206</v>
      </c>
      <c r="T207" t="s">
        <v>45</v>
      </c>
      <c r="V207" t="s">
        <v>83</v>
      </c>
      <c r="W207" t="s">
        <v>45</v>
      </c>
      <c r="X207" t="s">
        <v>45</v>
      </c>
      <c r="Y207" t="s">
        <v>45</v>
      </c>
      <c r="Z207" t="s">
        <v>74</v>
      </c>
      <c r="AE207" s="7">
        <v>46208</v>
      </c>
      <c r="AF207">
        <v>2</v>
      </c>
      <c r="AH207" t="s">
        <v>75</v>
      </c>
      <c r="AI207">
        <v>1</v>
      </c>
      <c r="AJ207" s="9"/>
      <c r="AK207" t="s">
        <v>74</v>
      </c>
      <c r="AL207" t="s">
        <v>98</v>
      </c>
      <c r="AM207"/>
      <c r="AN207" t="s">
        <v>45</v>
      </c>
      <c r="AO207" t="s">
        <v>86</v>
      </c>
      <c r="AP207">
        <v>6</v>
      </c>
      <c r="AQ207" t="s">
        <v>45</v>
      </c>
      <c r="AR207" s="18" t="str">
        <f>IFERROR(VLOOKUP(K207,[1]POP!$F:$J,1,0),M207)</f>
        <v>FOTOKOL</v>
      </c>
      <c r="AS207" s="18" t="str">
        <f t="shared" si="16"/>
        <v>SAGME</v>
      </c>
      <c r="AT207" s="19">
        <f t="shared" si="19"/>
        <v>2</v>
      </c>
      <c r="AU207" s="19">
        <f t="shared" ca="1" si="18"/>
        <v>2</v>
      </c>
    </row>
    <row r="208" spans="1:47" x14ac:dyDescent="0.3">
      <c r="A208" t="s">
        <v>346</v>
      </c>
      <c r="B208" t="str">
        <f t="shared" si="15"/>
        <v>S27_2026</v>
      </c>
      <c r="C208" t="str">
        <f t="shared" si="17"/>
        <v>S27_2026</v>
      </c>
      <c r="F208">
        <v>4</v>
      </c>
      <c r="G208" t="s">
        <v>40</v>
      </c>
      <c r="H208" t="s">
        <v>85</v>
      </c>
      <c r="I208" t="s">
        <v>345</v>
      </c>
      <c r="J208" t="s">
        <v>71</v>
      </c>
      <c r="K208" t="s">
        <v>72</v>
      </c>
      <c r="L208" t="s">
        <v>71</v>
      </c>
      <c r="M208" t="s">
        <v>72</v>
      </c>
      <c r="N208" t="s">
        <v>45</v>
      </c>
      <c r="O208" t="s">
        <v>45</v>
      </c>
      <c r="P208">
        <v>1</v>
      </c>
      <c r="Q208" s="7">
        <v>46207</v>
      </c>
      <c r="R208" s="7">
        <v>46207</v>
      </c>
      <c r="S208" s="7">
        <v>46207</v>
      </c>
      <c r="T208" t="s">
        <v>45</v>
      </c>
      <c r="V208" t="s">
        <v>83</v>
      </c>
      <c r="W208" t="s">
        <v>45</v>
      </c>
      <c r="X208" t="s">
        <v>45</v>
      </c>
      <c r="Y208" t="s">
        <v>45</v>
      </c>
      <c r="Z208" t="s">
        <v>74</v>
      </c>
      <c r="AE208" s="7">
        <v>46208</v>
      </c>
      <c r="AF208">
        <v>2</v>
      </c>
      <c r="AH208" t="s">
        <v>75</v>
      </c>
      <c r="AI208">
        <v>1</v>
      </c>
      <c r="AJ208" s="9"/>
      <c r="AK208" t="s">
        <v>74</v>
      </c>
      <c r="AL208" t="s">
        <v>98</v>
      </c>
      <c r="AM208"/>
      <c r="AN208" t="s">
        <v>45</v>
      </c>
      <c r="AO208" t="s">
        <v>86</v>
      </c>
      <c r="AP208">
        <v>7</v>
      </c>
      <c r="AQ208" t="s">
        <v>45</v>
      </c>
      <c r="AR208" s="18" t="str">
        <f>IFERROR(VLOOKUP(K208,[1]POP!$F:$J,1,0),M208)</f>
        <v>FOTOKOL</v>
      </c>
      <c r="AS208" s="18" t="str">
        <f t="shared" si="16"/>
        <v>SAGME</v>
      </c>
      <c r="AT208" s="19">
        <f t="shared" si="19"/>
        <v>2</v>
      </c>
      <c r="AU208" s="19">
        <f t="shared" ca="1" si="18"/>
        <v>2</v>
      </c>
    </row>
    <row r="209" spans="1:47" x14ac:dyDescent="0.3">
      <c r="A209" t="s">
        <v>347</v>
      </c>
      <c r="B209" t="str">
        <f t="shared" si="15"/>
        <v>S27_2026</v>
      </c>
      <c r="C209" t="str">
        <f t="shared" si="17"/>
        <v>S27_2026</v>
      </c>
      <c r="F209">
        <v>24</v>
      </c>
      <c r="G209" t="s">
        <v>55</v>
      </c>
      <c r="H209" t="s">
        <v>164</v>
      </c>
      <c r="I209" t="s">
        <v>71</v>
      </c>
      <c r="J209" t="s">
        <v>71</v>
      </c>
      <c r="K209" t="s">
        <v>72</v>
      </c>
      <c r="L209" t="s">
        <v>71</v>
      </c>
      <c r="M209" t="s">
        <v>72</v>
      </c>
      <c r="N209" t="s">
        <v>45</v>
      </c>
      <c r="O209" t="s">
        <v>45</v>
      </c>
      <c r="P209">
        <v>2</v>
      </c>
      <c r="Q209" s="7">
        <v>46207</v>
      </c>
      <c r="R209" s="7">
        <v>46207</v>
      </c>
      <c r="S209" s="7">
        <v>46207</v>
      </c>
      <c r="T209" t="s">
        <v>45</v>
      </c>
      <c r="V209" t="s">
        <v>83</v>
      </c>
      <c r="W209" t="s">
        <v>45</v>
      </c>
      <c r="X209" t="s">
        <v>45</v>
      </c>
      <c r="Y209" t="s">
        <v>45</v>
      </c>
      <c r="Z209" t="s">
        <v>74</v>
      </c>
      <c r="AE209" s="7">
        <v>46208</v>
      </c>
      <c r="AF209">
        <v>2</v>
      </c>
      <c r="AH209" t="s">
        <v>75</v>
      </c>
      <c r="AI209">
        <v>1</v>
      </c>
      <c r="AJ209" s="9"/>
      <c r="AK209" t="s">
        <v>74</v>
      </c>
      <c r="AL209" t="s">
        <v>98</v>
      </c>
      <c r="AM209"/>
      <c r="AN209" t="s">
        <v>45</v>
      </c>
      <c r="AO209" t="s">
        <v>86</v>
      </c>
      <c r="AP209">
        <v>5</v>
      </c>
      <c r="AQ209" t="s">
        <v>45</v>
      </c>
      <c r="AR209" s="18" t="str">
        <f>IFERROR(VLOOKUP(K209,[1]POP!$F:$J,1,0),M209)</f>
        <v>FOTOKOL</v>
      </c>
      <c r="AS209" s="18" t="str">
        <f t="shared" si="16"/>
        <v>SAGME</v>
      </c>
      <c r="AT209" s="19">
        <f t="shared" si="19"/>
        <v>2</v>
      </c>
      <c r="AU209" s="19">
        <f t="shared" ca="1" si="18"/>
        <v>2</v>
      </c>
    </row>
    <row r="210" spans="1:47" x14ac:dyDescent="0.3">
      <c r="A210" t="s">
        <v>348</v>
      </c>
      <c r="B210" t="str">
        <f t="shared" si="15"/>
        <v>S27_2026</v>
      </c>
      <c r="C210" t="str">
        <f t="shared" si="17"/>
        <v>S27_2026</v>
      </c>
      <c r="F210">
        <v>35</v>
      </c>
      <c r="G210" t="s">
        <v>40</v>
      </c>
      <c r="H210" t="s">
        <v>77</v>
      </c>
      <c r="I210" t="s">
        <v>71</v>
      </c>
      <c r="J210" t="s">
        <v>71</v>
      </c>
      <c r="K210" t="s">
        <v>72</v>
      </c>
      <c r="L210" t="s">
        <v>71</v>
      </c>
      <c r="M210" t="s">
        <v>72</v>
      </c>
      <c r="N210" t="s">
        <v>45</v>
      </c>
      <c r="O210" t="s">
        <v>45</v>
      </c>
      <c r="P210">
        <v>1</v>
      </c>
      <c r="Q210" s="7">
        <v>46207</v>
      </c>
      <c r="R210" s="7">
        <v>46207</v>
      </c>
      <c r="S210" s="7">
        <v>46207</v>
      </c>
      <c r="T210" t="s">
        <v>45</v>
      </c>
      <c r="V210" t="s">
        <v>83</v>
      </c>
      <c r="W210" t="s">
        <v>45</v>
      </c>
      <c r="X210" t="s">
        <v>45</v>
      </c>
      <c r="Y210" t="s">
        <v>45</v>
      </c>
      <c r="Z210" t="s">
        <v>74</v>
      </c>
      <c r="AE210" s="7">
        <v>46147</v>
      </c>
      <c r="AF210">
        <v>2</v>
      </c>
      <c r="AH210" t="s">
        <v>75</v>
      </c>
      <c r="AI210">
        <v>1</v>
      </c>
      <c r="AJ210" s="9"/>
      <c r="AK210" t="s">
        <v>74</v>
      </c>
      <c r="AM210"/>
      <c r="AN210" t="s">
        <v>45</v>
      </c>
      <c r="AO210" t="s">
        <v>45</v>
      </c>
      <c r="AP210">
        <v>4</v>
      </c>
      <c r="AQ210" t="s">
        <v>74</v>
      </c>
      <c r="AR210" s="18" t="str">
        <f>IFERROR(VLOOKUP(K210,[1]POP!$F:$J,1,0),M210)</f>
        <v>FOTOKOL</v>
      </c>
      <c r="AS210" s="18" t="str">
        <f t="shared" si="16"/>
        <v>SAGME</v>
      </c>
      <c r="AT210" s="19">
        <f t="shared" si="19"/>
        <v>2</v>
      </c>
      <c r="AU210" s="19">
        <f t="shared" ca="1" si="18"/>
        <v>2</v>
      </c>
    </row>
    <row r="211" spans="1:47" x14ac:dyDescent="0.3">
      <c r="A211" t="s">
        <v>349</v>
      </c>
      <c r="B211" t="str">
        <f t="shared" si="15"/>
        <v>S27_2026</v>
      </c>
      <c r="C211" t="str">
        <f t="shared" si="17"/>
        <v>S27_2026</v>
      </c>
      <c r="F211">
        <v>25</v>
      </c>
      <c r="G211" t="s">
        <v>55</v>
      </c>
      <c r="H211" t="s">
        <v>164</v>
      </c>
      <c r="I211" t="s">
        <v>71</v>
      </c>
      <c r="J211" t="s">
        <v>71</v>
      </c>
      <c r="K211" t="s">
        <v>72</v>
      </c>
      <c r="L211" t="s">
        <v>71</v>
      </c>
      <c r="M211" t="s">
        <v>72</v>
      </c>
      <c r="N211" t="s">
        <v>45</v>
      </c>
      <c r="O211" t="s">
        <v>45</v>
      </c>
      <c r="P211">
        <v>1</v>
      </c>
      <c r="Q211" s="7">
        <v>46207</v>
      </c>
      <c r="R211" s="7">
        <v>46207</v>
      </c>
      <c r="S211" s="7">
        <v>46207</v>
      </c>
      <c r="T211" t="s">
        <v>45</v>
      </c>
      <c r="V211" t="s">
        <v>83</v>
      </c>
      <c r="W211" t="s">
        <v>45</v>
      </c>
      <c r="X211" t="s">
        <v>45</v>
      </c>
      <c r="Y211" t="s">
        <v>45</v>
      </c>
      <c r="Z211" t="s">
        <v>74</v>
      </c>
      <c r="AE211" s="7">
        <v>46208</v>
      </c>
      <c r="AF211">
        <v>2</v>
      </c>
      <c r="AH211" t="s">
        <v>75</v>
      </c>
      <c r="AI211">
        <v>1</v>
      </c>
      <c r="AJ211" s="9"/>
      <c r="AK211" t="s">
        <v>74</v>
      </c>
      <c r="AM211"/>
      <c r="AN211" t="s">
        <v>45</v>
      </c>
      <c r="AO211" t="s">
        <v>45</v>
      </c>
      <c r="AP211">
        <v>8</v>
      </c>
      <c r="AQ211" t="s">
        <v>45</v>
      </c>
      <c r="AR211" s="18" t="str">
        <f>IFERROR(VLOOKUP(K211,[1]POP!$F:$J,1,0),M211)</f>
        <v>FOTOKOL</v>
      </c>
      <c r="AS211" s="18" t="str">
        <f t="shared" si="16"/>
        <v>SAGME</v>
      </c>
      <c r="AT211" s="19">
        <f t="shared" si="19"/>
        <v>2</v>
      </c>
      <c r="AU211" s="19">
        <f t="shared" ca="1" si="18"/>
        <v>2</v>
      </c>
    </row>
    <row r="212" spans="1:47" x14ac:dyDescent="0.3">
      <c r="A212" t="s">
        <v>350</v>
      </c>
      <c r="B212" t="str">
        <f t="shared" si="15"/>
        <v>S27_2026</v>
      </c>
      <c r="C212" t="str">
        <f t="shared" si="17"/>
        <v>S27_2026</v>
      </c>
      <c r="F212">
        <v>30</v>
      </c>
      <c r="G212" t="s">
        <v>40</v>
      </c>
      <c r="H212" t="s">
        <v>77</v>
      </c>
      <c r="I212" t="s">
        <v>71</v>
      </c>
      <c r="J212" t="s">
        <v>71</v>
      </c>
      <c r="K212" t="s">
        <v>72</v>
      </c>
      <c r="L212" t="s">
        <v>71</v>
      </c>
      <c r="M212" t="s">
        <v>72</v>
      </c>
      <c r="N212" t="s">
        <v>45</v>
      </c>
      <c r="O212" t="s">
        <v>45</v>
      </c>
      <c r="P212">
        <v>3</v>
      </c>
      <c r="Q212" s="7">
        <v>46207</v>
      </c>
      <c r="R212" s="7">
        <v>46207</v>
      </c>
      <c r="S212" s="7">
        <v>46207</v>
      </c>
      <c r="T212" t="s">
        <v>45</v>
      </c>
      <c r="V212" t="s">
        <v>83</v>
      </c>
      <c r="W212" t="s">
        <v>45</v>
      </c>
      <c r="X212" t="s">
        <v>45</v>
      </c>
      <c r="Y212" t="s">
        <v>45</v>
      </c>
      <c r="Z212" t="s">
        <v>74</v>
      </c>
      <c r="AE212" s="7">
        <v>46213</v>
      </c>
      <c r="AF212">
        <v>2</v>
      </c>
      <c r="AH212" t="s">
        <v>75</v>
      </c>
      <c r="AI212">
        <v>1</v>
      </c>
      <c r="AJ212" s="9"/>
      <c r="AK212" t="s">
        <v>74</v>
      </c>
      <c r="AM212"/>
      <c r="AN212" t="s">
        <v>45</v>
      </c>
      <c r="AO212" t="s">
        <v>45</v>
      </c>
      <c r="AP212">
        <v>4</v>
      </c>
      <c r="AQ212" t="s">
        <v>45</v>
      </c>
      <c r="AR212" s="18" t="str">
        <f>IFERROR(VLOOKUP(K212,[1]POP!$F:$J,1,0),M212)</f>
        <v>FOTOKOL</v>
      </c>
      <c r="AS212" s="18" t="str">
        <f t="shared" si="16"/>
        <v>SAGME</v>
      </c>
      <c r="AT212" s="19">
        <f t="shared" si="19"/>
        <v>2</v>
      </c>
      <c r="AU212" s="19">
        <f t="shared" ca="1" si="18"/>
        <v>2</v>
      </c>
    </row>
    <row r="213" spans="1:47" x14ac:dyDescent="0.3">
      <c r="A213" t="s">
        <v>351</v>
      </c>
      <c r="B213" t="str">
        <f t="shared" si="15"/>
        <v>S27_2026</v>
      </c>
      <c r="C213" t="str">
        <f t="shared" si="17"/>
        <v>S27_2026</v>
      </c>
      <c r="F213">
        <v>2</v>
      </c>
      <c r="G213" t="s">
        <v>55</v>
      </c>
      <c r="H213" t="s">
        <v>85</v>
      </c>
      <c r="I213" t="s">
        <v>71</v>
      </c>
      <c r="J213" t="s">
        <v>71</v>
      </c>
      <c r="K213" t="s">
        <v>72</v>
      </c>
      <c r="L213" t="s">
        <v>71</v>
      </c>
      <c r="M213" t="s">
        <v>72</v>
      </c>
      <c r="N213" t="s">
        <v>45</v>
      </c>
      <c r="O213" t="s">
        <v>45</v>
      </c>
      <c r="P213">
        <v>2</v>
      </c>
      <c r="Q213" s="7">
        <v>46208</v>
      </c>
      <c r="R213" s="7">
        <v>46208</v>
      </c>
      <c r="S213" s="7">
        <v>46208</v>
      </c>
      <c r="T213" t="s">
        <v>45</v>
      </c>
      <c r="V213" t="s">
        <v>83</v>
      </c>
      <c r="W213" t="s">
        <v>45</v>
      </c>
      <c r="X213" t="s">
        <v>45</v>
      </c>
      <c r="Y213" t="s">
        <v>45</v>
      </c>
      <c r="Z213" t="s">
        <v>74</v>
      </c>
      <c r="AE213" s="7">
        <v>46213</v>
      </c>
      <c r="AF213">
        <v>2</v>
      </c>
      <c r="AH213" t="s">
        <v>75</v>
      </c>
      <c r="AI213">
        <v>1</v>
      </c>
      <c r="AJ213" s="9"/>
      <c r="AK213" t="s">
        <v>74</v>
      </c>
      <c r="AM213"/>
      <c r="AN213" t="s">
        <v>74</v>
      </c>
      <c r="AO213" t="s">
        <v>74</v>
      </c>
      <c r="AP213"/>
      <c r="AQ213" t="s">
        <v>74</v>
      </c>
      <c r="AR213" s="18" t="str">
        <f>IFERROR(VLOOKUP(K213,[1]POP!$F:$J,1,0),M213)</f>
        <v>FOTOKOL</v>
      </c>
      <c r="AS213" s="18" t="str">
        <f t="shared" si="16"/>
        <v>SAGME</v>
      </c>
      <c r="AT213" s="19">
        <f t="shared" si="19"/>
        <v>2</v>
      </c>
      <c r="AU213" s="19">
        <f t="shared" ca="1" si="18"/>
        <v>2</v>
      </c>
    </row>
    <row r="214" spans="1:47" x14ac:dyDescent="0.3">
      <c r="A214" t="s">
        <v>352</v>
      </c>
      <c r="B214" t="str">
        <f t="shared" si="15"/>
        <v>S27_2026</v>
      </c>
      <c r="C214" t="str">
        <f t="shared" si="17"/>
        <v>S27_2026</v>
      </c>
      <c r="F214">
        <v>55</v>
      </c>
      <c r="G214" t="s">
        <v>55</v>
      </c>
      <c r="H214" t="s">
        <v>353</v>
      </c>
      <c r="I214" t="s">
        <v>354</v>
      </c>
      <c r="J214" t="s">
        <v>355</v>
      </c>
      <c r="K214" t="s">
        <v>72</v>
      </c>
      <c r="L214" t="s">
        <v>72</v>
      </c>
      <c r="M214" t="s">
        <v>72</v>
      </c>
      <c r="N214" t="s">
        <v>45</v>
      </c>
      <c r="O214" t="s">
        <v>45</v>
      </c>
      <c r="P214">
        <v>2</v>
      </c>
      <c r="Q214" s="7">
        <v>46208</v>
      </c>
      <c r="R214" s="7">
        <v>46208</v>
      </c>
      <c r="S214" s="7">
        <v>46208</v>
      </c>
      <c r="T214" t="s">
        <v>45</v>
      </c>
      <c r="V214" t="s">
        <v>343</v>
      </c>
      <c r="W214" t="s">
        <v>45</v>
      </c>
      <c r="X214" t="s">
        <v>45</v>
      </c>
      <c r="Y214" t="s">
        <v>45</v>
      </c>
      <c r="Z214" t="s">
        <v>74</v>
      </c>
      <c r="AE214" s="7">
        <v>46209</v>
      </c>
      <c r="AF214">
        <v>2</v>
      </c>
      <c r="AH214" t="s">
        <v>75</v>
      </c>
      <c r="AI214">
        <v>1</v>
      </c>
      <c r="AJ214" s="9"/>
      <c r="AK214" t="s">
        <v>74</v>
      </c>
      <c r="AM214"/>
      <c r="AN214" t="s">
        <v>74</v>
      </c>
      <c r="AO214" t="s">
        <v>74</v>
      </c>
      <c r="AP214"/>
      <c r="AQ214" t="s">
        <v>74</v>
      </c>
      <c r="AR214" s="18" t="str">
        <f>IFERROR(VLOOKUP(K214,[1]POP!$F:$J,1,0),M214)</f>
        <v>FOTOKOL</v>
      </c>
      <c r="AS214" s="18" t="str">
        <f t="shared" si="16"/>
        <v>MAKAMBARA</v>
      </c>
      <c r="AT214" s="19">
        <f t="shared" si="19"/>
        <v>2</v>
      </c>
      <c r="AU214" s="19">
        <f t="shared" ca="1" si="18"/>
        <v>2</v>
      </c>
    </row>
    <row r="215" spans="1:47" x14ac:dyDescent="0.3">
      <c r="A215" t="s">
        <v>356</v>
      </c>
      <c r="B215" t="str">
        <f t="shared" si="15"/>
        <v>S27_2026</v>
      </c>
      <c r="C215" t="str">
        <f t="shared" si="17"/>
        <v>S27_2026</v>
      </c>
      <c r="E215" t="s">
        <v>156</v>
      </c>
      <c r="F215">
        <v>3</v>
      </c>
      <c r="G215" t="s">
        <v>55</v>
      </c>
      <c r="H215" t="s">
        <v>111</v>
      </c>
      <c r="I215" t="s">
        <v>112</v>
      </c>
      <c r="J215" t="s">
        <v>113</v>
      </c>
      <c r="K215" t="s">
        <v>114</v>
      </c>
      <c r="L215" t="s">
        <v>115</v>
      </c>
      <c r="M215" t="s">
        <v>116</v>
      </c>
      <c r="N215" t="s">
        <v>117</v>
      </c>
      <c r="O215" t="s">
        <v>117</v>
      </c>
      <c r="P215">
        <v>3</v>
      </c>
      <c r="Q215" s="7">
        <v>46205</v>
      </c>
      <c r="R215" s="7">
        <v>46206</v>
      </c>
      <c r="S215" s="7">
        <v>46206</v>
      </c>
      <c r="T215" t="s">
        <v>117</v>
      </c>
      <c r="V215" t="s">
        <v>118</v>
      </c>
      <c r="W215" t="s">
        <v>117</v>
      </c>
      <c r="X215" t="s">
        <v>117</v>
      </c>
      <c r="Y215" t="s">
        <v>117</v>
      </c>
      <c r="Z215" t="s">
        <v>117</v>
      </c>
      <c r="AA215" s="7">
        <v>46206</v>
      </c>
      <c r="AB215" t="s">
        <v>48</v>
      </c>
      <c r="AC215" t="s">
        <v>74</v>
      </c>
      <c r="AF215">
        <v>2</v>
      </c>
      <c r="AH215" t="s">
        <v>75</v>
      </c>
      <c r="AI215">
        <v>1</v>
      </c>
      <c r="AJ215" s="9"/>
      <c r="AK215" t="s">
        <v>74</v>
      </c>
      <c r="AM215"/>
      <c r="AN215" t="s">
        <v>74</v>
      </c>
      <c r="AO215" t="s">
        <v>74</v>
      </c>
      <c r="AP215"/>
      <c r="AQ215" t="s">
        <v>74</v>
      </c>
      <c r="AR215" s="18" t="str">
        <f>IFERROR(VLOOKUP(K215,[1]POP!$F:$J,1,0),M215)</f>
        <v>FOTOKOL</v>
      </c>
      <c r="AS215" s="18" t="str">
        <f t="shared" si="16"/>
        <v>sagmé</v>
      </c>
      <c r="AT215" s="19">
        <f t="shared" si="19"/>
        <v>2</v>
      </c>
      <c r="AU215" s="19">
        <f t="shared" ca="1" si="18"/>
        <v>2</v>
      </c>
    </row>
    <row r="216" spans="1:47" x14ac:dyDescent="0.3">
      <c r="A216" t="s">
        <v>357</v>
      </c>
      <c r="B216" t="str">
        <f t="shared" si="15"/>
        <v>S27_2026</v>
      </c>
      <c r="C216" t="str">
        <f t="shared" si="17"/>
        <v>S27_2026</v>
      </c>
      <c r="E216" t="s">
        <v>156</v>
      </c>
      <c r="F216">
        <v>2</v>
      </c>
      <c r="G216" t="s">
        <v>55</v>
      </c>
      <c r="H216" t="s">
        <v>111</v>
      </c>
      <c r="I216" t="s">
        <v>112</v>
      </c>
      <c r="J216" t="s">
        <v>113</v>
      </c>
      <c r="K216" t="s">
        <v>114</v>
      </c>
      <c r="L216" t="s">
        <v>115</v>
      </c>
      <c r="M216" t="s">
        <v>116</v>
      </c>
      <c r="N216" t="s">
        <v>117</v>
      </c>
      <c r="O216" t="s">
        <v>117</v>
      </c>
      <c r="P216">
        <v>3</v>
      </c>
      <c r="Q216" s="7">
        <v>46204</v>
      </c>
      <c r="R216" s="7">
        <v>46206</v>
      </c>
      <c r="S216" s="7">
        <v>46206</v>
      </c>
      <c r="T216" t="s">
        <v>117</v>
      </c>
      <c r="V216" t="s">
        <v>118</v>
      </c>
      <c r="W216" t="s">
        <v>117</v>
      </c>
      <c r="X216" t="s">
        <v>117</v>
      </c>
      <c r="Y216" t="s">
        <v>117</v>
      </c>
      <c r="Z216" t="s">
        <v>117</v>
      </c>
      <c r="AA216" s="7">
        <v>46206</v>
      </c>
      <c r="AB216" t="s">
        <v>48</v>
      </c>
      <c r="AC216" t="s">
        <v>74</v>
      </c>
      <c r="AF216">
        <v>2</v>
      </c>
      <c r="AH216" t="s">
        <v>75</v>
      </c>
      <c r="AI216">
        <v>1</v>
      </c>
      <c r="AJ216" s="9"/>
      <c r="AK216" t="s">
        <v>74</v>
      </c>
      <c r="AM216"/>
      <c r="AN216" t="s">
        <v>74</v>
      </c>
      <c r="AO216" t="s">
        <v>74</v>
      </c>
      <c r="AP216"/>
      <c r="AQ216" t="s">
        <v>74</v>
      </c>
      <c r="AR216" s="18" t="str">
        <f>IFERROR(VLOOKUP(K216,[1]POP!$F:$J,1,0),M216)</f>
        <v>FOTOKOL</v>
      </c>
      <c r="AS216" s="18" t="str">
        <f t="shared" si="16"/>
        <v>sagmé</v>
      </c>
      <c r="AT216" s="19">
        <f t="shared" si="19"/>
        <v>2</v>
      </c>
      <c r="AU216" s="19">
        <f t="shared" ca="1" si="18"/>
        <v>2</v>
      </c>
    </row>
    <row r="217" spans="1:47" x14ac:dyDescent="0.3">
      <c r="A217" t="s">
        <v>358</v>
      </c>
      <c r="B217" t="str">
        <f t="shared" si="15"/>
        <v>S27_2026</v>
      </c>
      <c r="C217" t="str">
        <f t="shared" si="17"/>
        <v>S27_2026</v>
      </c>
      <c r="E217" t="s">
        <v>135</v>
      </c>
      <c r="F217">
        <v>30</v>
      </c>
      <c r="G217" t="s">
        <v>40</v>
      </c>
      <c r="H217" t="s">
        <v>136</v>
      </c>
      <c r="I217" t="s">
        <v>332</v>
      </c>
      <c r="J217" t="s">
        <v>133</v>
      </c>
      <c r="K217" t="s">
        <v>116</v>
      </c>
      <c r="L217" t="s">
        <v>359</v>
      </c>
      <c r="M217" t="s">
        <v>116</v>
      </c>
      <c r="N217" t="s">
        <v>117</v>
      </c>
      <c r="O217" t="s">
        <v>117</v>
      </c>
      <c r="P217">
        <v>3</v>
      </c>
      <c r="Q217" s="7">
        <v>46205</v>
      </c>
      <c r="R217" s="7">
        <v>46206</v>
      </c>
      <c r="S217" s="7">
        <v>46206</v>
      </c>
      <c r="T217" t="s">
        <v>117</v>
      </c>
      <c r="V217" t="s">
        <v>360</v>
      </c>
      <c r="W217" t="s">
        <v>117</v>
      </c>
      <c r="X217" t="s">
        <v>117</v>
      </c>
      <c r="Y217" t="s">
        <v>117</v>
      </c>
      <c r="Z217" t="s">
        <v>117</v>
      </c>
      <c r="AB217" t="s">
        <v>48</v>
      </c>
      <c r="AC217" t="s">
        <v>74</v>
      </c>
      <c r="AF217">
        <v>2</v>
      </c>
      <c r="AH217" t="s">
        <v>75</v>
      </c>
      <c r="AI217">
        <v>1</v>
      </c>
      <c r="AJ217" s="9"/>
      <c r="AK217" t="s">
        <v>74</v>
      </c>
      <c r="AM217"/>
      <c r="AN217" t="s">
        <v>74</v>
      </c>
      <c r="AO217" t="s">
        <v>74</v>
      </c>
      <c r="AP217"/>
      <c r="AQ217" t="s">
        <v>74</v>
      </c>
      <c r="AR217" s="18" t="str">
        <f>IFERROR(VLOOKUP(K217,[1]POP!$F:$J,1,0),M217)</f>
        <v>MAKARY</v>
      </c>
      <c r="AS217" s="18" t="str">
        <f t="shared" si="16"/>
        <v>NGOUMA</v>
      </c>
      <c r="AT217" s="19">
        <f t="shared" si="19"/>
        <v>2</v>
      </c>
      <c r="AU217" s="19">
        <f t="shared" ca="1" si="18"/>
        <v>2</v>
      </c>
    </row>
    <row r="218" spans="1:47" x14ac:dyDescent="0.3">
      <c r="A218" t="s">
        <v>361</v>
      </c>
      <c r="B218" t="str">
        <f t="shared" si="15"/>
        <v>S27_2026</v>
      </c>
      <c r="C218" t="str">
        <f t="shared" si="17"/>
        <v>S27_2026</v>
      </c>
      <c r="E218" t="s">
        <v>362</v>
      </c>
      <c r="F218">
        <v>25</v>
      </c>
      <c r="G218" t="s">
        <v>40</v>
      </c>
      <c r="H218" t="s">
        <v>136</v>
      </c>
      <c r="I218" t="s">
        <v>363</v>
      </c>
      <c r="J218" t="s">
        <v>113</v>
      </c>
      <c r="K218" t="s">
        <v>72</v>
      </c>
      <c r="L218" t="s">
        <v>359</v>
      </c>
      <c r="M218" t="s">
        <v>116</v>
      </c>
      <c r="N218" t="s">
        <v>117</v>
      </c>
      <c r="O218" t="s">
        <v>117</v>
      </c>
      <c r="P218">
        <v>3</v>
      </c>
      <c r="Q218" s="7">
        <v>46206</v>
      </c>
      <c r="R218" s="7">
        <v>46206</v>
      </c>
      <c r="S218" s="7">
        <v>46206</v>
      </c>
      <c r="T218" t="s">
        <v>117</v>
      </c>
      <c r="V218" t="s">
        <v>360</v>
      </c>
      <c r="W218" t="s">
        <v>117</v>
      </c>
      <c r="X218" t="s">
        <v>117</v>
      </c>
      <c r="Y218" t="s">
        <v>117</v>
      </c>
      <c r="Z218" t="s">
        <v>117</v>
      </c>
      <c r="AB218" t="s">
        <v>48</v>
      </c>
      <c r="AC218" t="s">
        <v>74</v>
      </c>
      <c r="AF218">
        <v>2</v>
      </c>
      <c r="AH218" t="s">
        <v>75</v>
      </c>
      <c r="AI218">
        <v>1</v>
      </c>
      <c r="AJ218" s="9"/>
      <c r="AK218" t="s">
        <v>74</v>
      </c>
      <c r="AM218"/>
      <c r="AN218" t="s">
        <v>74</v>
      </c>
      <c r="AO218" t="s">
        <v>74</v>
      </c>
      <c r="AP218"/>
      <c r="AQ218" t="s">
        <v>74</v>
      </c>
      <c r="AR218" s="18" t="str">
        <f>IFERROR(VLOOKUP(K218,[1]POP!$F:$J,1,0),M218)</f>
        <v>FOTOKOL</v>
      </c>
      <c r="AS218" s="18" t="str">
        <f t="shared" si="16"/>
        <v>sagmé</v>
      </c>
      <c r="AT218" s="19">
        <f t="shared" si="19"/>
        <v>2</v>
      </c>
      <c r="AU218" s="19">
        <f t="shared" ca="1" si="18"/>
        <v>2</v>
      </c>
    </row>
    <row r="219" spans="1:47" x14ac:dyDescent="0.3">
      <c r="A219" t="s">
        <v>364</v>
      </c>
      <c r="B219" t="str">
        <f t="shared" si="15"/>
        <v>S27_2026</v>
      </c>
      <c r="C219" t="str">
        <f t="shared" si="17"/>
        <v>S27_2026</v>
      </c>
      <c r="E219" t="s">
        <v>365</v>
      </c>
      <c r="F219">
        <v>55</v>
      </c>
      <c r="G219" t="s">
        <v>40</v>
      </c>
      <c r="H219" t="s">
        <v>136</v>
      </c>
      <c r="I219" t="s">
        <v>366</v>
      </c>
      <c r="J219" t="s">
        <v>133</v>
      </c>
      <c r="K219" t="s">
        <v>116</v>
      </c>
      <c r="L219" t="s">
        <v>359</v>
      </c>
      <c r="M219" t="s">
        <v>116</v>
      </c>
      <c r="N219" t="s">
        <v>117</v>
      </c>
      <c r="O219" t="s">
        <v>117</v>
      </c>
      <c r="P219">
        <v>3</v>
      </c>
      <c r="Q219" s="7">
        <v>46206</v>
      </c>
      <c r="R219" s="7">
        <v>46206</v>
      </c>
      <c r="S219" s="7">
        <v>46206</v>
      </c>
      <c r="T219" t="s">
        <v>117</v>
      </c>
      <c r="V219" t="s">
        <v>360</v>
      </c>
      <c r="W219" t="s">
        <v>117</v>
      </c>
      <c r="X219" t="s">
        <v>117</v>
      </c>
      <c r="Y219" t="s">
        <v>117</v>
      </c>
      <c r="Z219" t="s">
        <v>117</v>
      </c>
      <c r="AB219" t="s">
        <v>48</v>
      </c>
      <c r="AC219" t="s">
        <v>74</v>
      </c>
      <c r="AF219">
        <v>2</v>
      </c>
      <c r="AH219" t="s">
        <v>75</v>
      </c>
      <c r="AI219">
        <v>1</v>
      </c>
      <c r="AJ219" s="9"/>
      <c r="AK219" t="s">
        <v>74</v>
      </c>
      <c r="AM219"/>
      <c r="AN219" t="s">
        <v>74</v>
      </c>
      <c r="AO219" t="s">
        <v>74</v>
      </c>
      <c r="AP219"/>
      <c r="AQ219" t="s">
        <v>74</v>
      </c>
      <c r="AR219" s="18" t="str">
        <f>IFERROR(VLOOKUP(K219,[1]POP!$F:$J,1,0),M219)</f>
        <v>MAKARY</v>
      </c>
      <c r="AS219" s="18" t="str">
        <f t="shared" si="16"/>
        <v>NGOUMA</v>
      </c>
      <c r="AT219" s="19">
        <f t="shared" si="19"/>
        <v>2</v>
      </c>
      <c r="AU219" s="19">
        <f t="shared" ca="1" si="18"/>
        <v>2</v>
      </c>
    </row>
    <row r="220" spans="1:47" x14ac:dyDescent="0.3">
      <c r="A220" t="s">
        <v>367</v>
      </c>
      <c r="B220" t="str">
        <f t="shared" si="15"/>
        <v>S27_2026</v>
      </c>
      <c r="C220" t="str">
        <f t="shared" si="17"/>
        <v>S27_2026</v>
      </c>
      <c r="E220">
        <v>680251073</v>
      </c>
      <c r="F220">
        <v>4</v>
      </c>
      <c r="G220" t="s">
        <v>55</v>
      </c>
      <c r="H220" t="s">
        <v>85</v>
      </c>
      <c r="I220" t="s">
        <v>368</v>
      </c>
      <c r="J220" t="s">
        <v>140</v>
      </c>
      <c r="K220" t="s">
        <v>116</v>
      </c>
      <c r="L220" t="s">
        <v>140</v>
      </c>
      <c r="M220" t="s">
        <v>116</v>
      </c>
      <c r="N220" t="s">
        <v>45</v>
      </c>
      <c r="O220" t="s">
        <v>45</v>
      </c>
      <c r="P220">
        <v>2</v>
      </c>
      <c r="Q220" s="7">
        <v>46206</v>
      </c>
      <c r="R220" s="7">
        <v>46206</v>
      </c>
      <c r="S220" s="7">
        <v>46207</v>
      </c>
      <c r="T220" t="s">
        <v>45</v>
      </c>
      <c r="V220" t="s">
        <v>141</v>
      </c>
      <c r="W220" t="s">
        <v>45</v>
      </c>
      <c r="X220" t="s">
        <v>74</v>
      </c>
      <c r="Y220" t="s">
        <v>45</v>
      </c>
      <c r="Z220" t="s">
        <v>45</v>
      </c>
      <c r="AB220" t="s">
        <v>48</v>
      </c>
      <c r="AC220" t="s">
        <v>74</v>
      </c>
      <c r="AF220">
        <v>2</v>
      </c>
      <c r="AH220" t="s">
        <v>75</v>
      </c>
      <c r="AI220">
        <v>1</v>
      </c>
      <c r="AJ220" s="9"/>
      <c r="AK220" t="s">
        <v>74</v>
      </c>
      <c r="AM220"/>
      <c r="AN220" t="s">
        <v>74</v>
      </c>
      <c r="AO220" t="s">
        <v>74</v>
      </c>
      <c r="AP220"/>
      <c r="AQ220" t="s">
        <v>74</v>
      </c>
      <c r="AR220" s="18" t="str">
        <f>IFERROR(VLOOKUP(K220,[1]POP!$F:$J,1,0),M220)</f>
        <v>MAKARY</v>
      </c>
      <c r="AS220" s="18" t="str">
        <f t="shared" si="16"/>
        <v>BIAMO</v>
      </c>
      <c r="AT220" s="19">
        <f t="shared" si="19"/>
        <v>2</v>
      </c>
      <c r="AU220" s="19">
        <f t="shared" ca="1" si="18"/>
        <v>2</v>
      </c>
    </row>
    <row r="221" spans="1:47" x14ac:dyDescent="0.3">
      <c r="A221" t="s">
        <v>369</v>
      </c>
      <c r="B221" t="str">
        <f t="shared" si="15"/>
        <v>S27_2026</v>
      </c>
      <c r="C221" t="str">
        <f t="shared" si="17"/>
        <v>S27_2026</v>
      </c>
      <c r="E221" t="s">
        <v>370</v>
      </c>
      <c r="F221">
        <v>35</v>
      </c>
      <c r="G221" t="s">
        <v>40</v>
      </c>
      <c r="H221" t="s">
        <v>136</v>
      </c>
      <c r="I221" t="s">
        <v>371</v>
      </c>
      <c r="J221" t="s">
        <v>133</v>
      </c>
      <c r="K221" t="s">
        <v>116</v>
      </c>
      <c r="L221" t="s">
        <v>359</v>
      </c>
      <c r="M221" t="s">
        <v>116</v>
      </c>
      <c r="N221" t="s">
        <v>117</v>
      </c>
      <c r="O221" t="s">
        <v>117</v>
      </c>
      <c r="P221">
        <v>3</v>
      </c>
      <c r="Q221" s="7">
        <v>46207</v>
      </c>
      <c r="R221" s="7">
        <v>46207</v>
      </c>
      <c r="S221" s="7">
        <v>46207</v>
      </c>
      <c r="T221" t="s">
        <v>117</v>
      </c>
      <c r="V221" t="s">
        <v>360</v>
      </c>
      <c r="W221" t="s">
        <v>117</v>
      </c>
      <c r="X221" t="s">
        <v>117</v>
      </c>
      <c r="Y221" t="s">
        <v>117</v>
      </c>
      <c r="Z221" t="s">
        <v>117</v>
      </c>
      <c r="AC221" t="s">
        <v>74</v>
      </c>
      <c r="AF221">
        <v>2</v>
      </c>
      <c r="AH221" t="s">
        <v>75</v>
      </c>
      <c r="AI221">
        <v>1</v>
      </c>
      <c r="AJ221" s="9"/>
      <c r="AK221" t="s">
        <v>74</v>
      </c>
      <c r="AM221"/>
      <c r="AN221" t="s">
        <v>74</v>
      </c>
      <c r="AO221" t="s">
        <v>74</v>
      </c>
      <c r="AP221"/>
      <c r="AQ221" t="s">
        <v>74</v>
      </c>
      <c r="AR221" s="18" t="str">
        <f>IFERROR(VLOOKUP(K221,[1]POP!$F:$J,1,0),M221)</f>
        <v>MAKARY</v>
      </c>
      <c r="AS221" s="18" t="str">
        <f t="shared" si="16"/>
        <v>NGOUMA</v>
      </c>
      <c r="AT221" s="19">
        <f t="shared" si="19"/>
        <v>2</v>
      </c>
      <c r="AU221" s="19">
        <f t="shared" ca="1" si="18"/>
        <v>2</v>
      </c>
    </row>
    <row r="222" spans="1:47" x14ac:dyDescent="0.3">
      <c r="A222" t="s">
        <v>372</v>
      </c>
      <c r="B222" t="str">
        <f t="shared" si="15"/>
        <v>S27_2026</v>
      </c>
      <c r="C222" t="str">
        <f t="shared" si="17"/>
        <v>S27_2026</v>
      </c>
      <c r="E222" t="s">
        <v>365</v>
      </c>
      <c r="F222">
        <v>40</v>
      </c>
      <c r="G222" t="s">
        <v>40</v>
      </c>
      <c r="H222" t="s">
        <v>136</v>
      </c>
      <c r="I222" t="s">
        <v>366</v>
      </c>
      <c r="J222" t="s">
        <v>133</v>
      </c>
      <c r="K222" t="s">
        <v>116</v>
      </c>
      <c r="L222" t="s">
        <v>359</v>
      </c>
      <c r="M222" t="s">
        <v>116</v>
      </c>
      <c r="N222" t="s">
        <v>45</v>
      </c>
      <c r="O222" t="s">
        <v>117</v>
      </c>
      <c r="P222">
        <v>3</v>
      </c>
      <c r="Q222" s="7">
        <v>46207</v>
      </c>
      <c r="R222" s="7">
        <v>46207</v>
      </c>
      <c r="S222" s="7">
        <v>46207</v>
      </c>
      <c r="T222" t="s">
        <v>117</v>
      </c>
      <c r="V222" t="s">
        <v>360</v>
      </c>
      <c r="W222" t="s">
        <v>117</v>
      </c>
      <c r="X222" t="s">
        <v>117</v>
      </c>
      <c r="Y222" t="s">
        <v>117</v>
      </c>
      <c r="Z222" t="s">
        <v>117</v>
      </c>
      <c r="AC222" t="s">
        <v>74</v>
      </c>
      <c r="AF222">
        <v>2</v>
      </c>
      <c r="AH222" t="s">
        <v>75</v>
      </c>
      <c r="AI222">
        <v>1</v>
      </c>
      <c r="AJ222" s="9"/>
      <c r="AK222" t="s">
        <v>74</v>
      </c>
      <c r="AM222"/>
      <c r="AN222" t="s">
        <v>74</v>
      </c>
      <c r="AO222" t="s">
        <v>74</v>
      </c>
      <c r="AP222"/>
      <c r="AQ222" t="s">
        <v>74</v>
      </c>
      <c r="AR222" s="18" t="str">
        <f>IFERROR(VLOOKUP(K222,[1]POP!$F:$J,1,0),M222)</f>
        <v>MAKARY</v>
      </c>
      <c r="AS222" s="18" t="str">
        <f t="shared" si="16"/>
        <v>NGOUMA</v>
      </c>
      <c r="AT222" s="19">
        <f t="shared" si="19"/>
        <v>2</v>
      </c>
      <c r="AU222" s="19">
        <f t="shared" ca="1" si="18"/>
        <v>2</v>
      </c>
    </row>
    <row r="223" spans="1:47" x14ac:dyDescent="0.3">
      <c r="A223" t="s">
        <v>373</v>
      </c>
      <c r="B223" t="str">
        <f t="shared" si="15"/>
        <v>S23_2026</v>
      </c>
      <c r="C223" t="str">
        <f t="shared" si="17"/>
        <v>S23_2026</v>
      </c>
      <c r="F223">
        <v>3</v>
      </c>
      <c r="G223" t="s">
        <v>55</v>
      </c>
      <c r="I223" t="s">
        <v>374</v>
      </c>
      <c r="J223" t="s">
        <v>166</v>
      </c>
      <c r="K223" t="s">
        <v>124</v>
      </c>
      <c r="L223" t="s">
        <v>166</v>
      </c>
      <c r="M223" t="s">
        <v>124</v>
      </c>
      <c r="N223" t="s">
        <v>45</v>
      </c>
      <c r="O223" t="s">
        <v>45</v>
      </c>
      <c r="P223">
        <v>2</v>
      </c>
      <c r="Q223" s="7">
        <v>46176</v>
      </c>
      <c r="R223" s="7">
        <v>46176</v>
      </c>
      <c r="S223" s="7">
        <v>46176</v>
      </c>
      <c r="T223" t="s">
        <v>45</v>
      </c>
      <c r="V223" t="s">
        <v>167</v>
      </c>
      <c r="W223" t="s">
        <v>45</v>
      </c>
      <c r="X223" t="s">
        <v>74</v>
      </c>
      <c r="Y223" t="s">
        <v>46</v>
      </c>
      <c r="Z223" t="s">
        <v>150</v>
      </c>
      <c r="AF223">
        <v>2</v>
      </c>
      <c r="AH223" t="s">
        <v>75</v>
      </c>
      <c r="AI223">
        <v>1</v>
      </c>
      <c r="AJ223" s="9"/>
      <c r="AK223" t="s">
        <v>74</v>
      </c>
      <c r="AM223"/>
      <c r="AN223" t="s">
        <v>74</v>
      </c>
      <c r="AO223" t="s">
        <v>74</v>
      </c>
      <c r="AP223"/>
      <c r="AQ223" t="s">
        <v>74</v>
      </c>
      <c r="AR223" s="18" t="str">
        <f>IFERROR(VLOOKUP(K223,[1]POP!$F:$J,1,0),M223)</f>
        <v>MADA</v>
      </c>
      <c r="AS223" s="18" t="str">
        <f t="shared" si="16"/>
        <v>BARGARAM</v>
      </c>
      <c r="AT223" s="19">
        <f t="shared" si="19"/>
        <v>2</v>
      </c>
      <c r="AU223" s="19">
        <f t="shared" ca="1" si="18"/>
        <v>2</v>
      </c>
    </row>
    <row r="224" spans="1:47" x14ac:dyDescent="0.3">
      <c r="A224" t="s">
        <v>375</v>
      </c>
      <c r="B224" t="str">
        <f t="shared" si="15"/>
        <v>S23_2026</v>
      </c>
      <c r="C224" t="str">
        <f t="shared" si="17"/>
        <v>S23_2026</v>
      </c>
      <c r="E224" t="s">
        <v>376</v>
      </c>
      <c r="F224">
        <v>1</v>
      </c>
      <c r="G224" t="s">
        <v>55</v>
      </c>
      <c r="I224" t="s">
        <v>166</v>
      </c>
      <c r="J224" t="s">
        <v>166</v>
      </c>
      <c r="K224" t="s">
        <v>124</v>
      </c>
      <c r="L224" t="s">
        <v>166</v>
      </c>
      <c r="M224" t="s">
        <v>124</v>
      </c>
      <c r="N224" t="s">
        <v>45</v>
      </c>
      <c r="O224" t="s">
        <v>45</v>
      </c>
      <c r="P224">
        <v>3</v>
      </c>
      <c r="Q224" s="7">
        <v>46176</v>
      </c>
      <c r="R224" s="7">
        <v>46176</v>
      </c>
      <c r="S224" s="7">
        <v>46176</v>
      </c>
      <c r="T224" t="s">
        <v>45</v>
      </c>
      <c r="V224" t="s">
        <v>167</v>
      </c>
      <c r="W224" t="s">
        <v>45</v>
      </c>
      <c r="X224" t="s">
        <v>74</v>
      </c>
      <c r="Y224" t="s">
        <v>46</v>
      </c>
      <c r="Z224" t="s">
        <v>150</v>
      </c>
      <c r="AF224">
        <v>2</v>
      </c>
      <c r="AH224" t="s">
        <v>75</v>
      </c>
      <c r="AI224">
        <v>1</v>
      </c>
      <c r="AJ224" s="9"/>
      <c r="AK224" t="s">
        <v>74</v>
      </c>
      <c r="AM224"/>
      <c r="AN224"/>
      <c r="AO224"/>
      <c r="AP224"/>
      <c r="AQ224"/>
      <c r="AR224" s="18" t="str">
        <f>IFERROR(VLOOKUP(K224,[1]POP!$F:$J,1,0),M224)</f>
        <v>MADA</v>
      </c>
      <c r="AS224" s="18" t="str">
        <f t="shared" si="16"/>
        <v>BARGARAM</v>
      </c>
      <c r="AT224" s="19">
        <f t="shared" si="19"/>
        <v>2</v>
      </c>
      <c r="AU224" s="19">
        <f t="shared" ca="1" si="18"/>
        <v>2</v>
      </c>
    </row>
    <row r="225" spans="1:47" x14ac:dyDescent="0.3">
      <c r="A225" t="s">
        <v>377</v>
      </c>
      <c r="B225" t="str">
        <f t="shared" si="15"/>
        <v>S23_2026</v>
      </c>
      <c r="C225" t="str">
        <f t="shared" si="17"/>
        <v>S23_2026</v>
      </c>
      <c r="F225">
        <v>4</v>
      </c>
      <c r="G225" t="s">
        <v>55</v>
      </c>
      <c r="I225" t="s">
        <v>166</v>
      </c>
      <c r="J225" t="s">
        <v>166</v>
      </c>
      <c r="K225" t="s">
        <v>124</v>
      </c>
      <c r="L225" t="s">
        <v>166</v>
      </c>
      <c r="M225" t="s">
        <v>124</v>
      </c>
      <c r="N225" t="s">
        <v>45</v>
      </c>
      <c r="O225" t="s">
        <v>45</v>
      </c>
      <c r="P225">
        <v>2</v>
      </c>
      <c r="Q225" s="7">
        <v>46176</v>
      </c>
      <c r="R225" s="7">
        <v>46176</v>
      </c>
      <c r="S225" s="7">
        <v>46176</v>
      </c>
      <c r="T225" t="s">
        <v>45</v>
      </c>
      <c r="V225" t="s">
        <v>167</v>
      </c>
      <c r="W225" t="s">
        <v>45</v>
      </c>
      <c r="X225" t="s">
        <v>74</v>
      </c>
      <c r="Y225" t="s">
        <v>46</v>
      </c>
      <c r="Z225" t="s">
        <v>150</v>
      </c>
      <c r="AF225">
        <v>2</v>
      </c>
      <c r="AH225" t="s">
        <v>75</v>
      </c>
      <c r="AI225">
        <v>1</v>
      </c>
      <c r="AJ225" s="9"/>
      <c r="AK225" t="s">
        <v>74</v>
      </c>
      <c r="AM225"/>
      <c r="AN225"/>
      <c r="AO225"/>
      <c r="AP225"/>
      <c r="AQ225"/>
      <c r="AR225" s="18" t="str">
        <f>IFERROR(VLOOKUP(K225,[1]POP!$F:$J,1,0),M225)</f>
        <v>MADA</v>
      </c>
      <c r="AS225" s="18" t="str">
        <f t="shared" si="16"/>
        <v>BARGARAM</v>
      </c>
      <c r="AT225" s="19">
        <f t="shared" si="19"/>
        <v>2</v>
      </c>
      <c r="AU225" s="19">
        <f t="shared" ca="1" si="18"/>
        <v>2</v>
      </c>
    </row>
    <row r="226" spans="1:47" x14ac:dyDescent="0.3">
      <c r="A226" t="s">
        <v>378</v>
      </c>
      <c r="B226" t="str">
        <f t="shared" si="15"/>
        <v>S23_2026</v>
      </c>
      <c r="C226" t="str">
        <f t="shared" si="17"/>
        <v>S23_2026</v>
      </c>
      <c r="F226">
        <v>5</v>
      </c>
      <c r="G226" t="s">
        <v>55</v>
      </c>
      <c r="I226" t="s">
        <v>166</v>
      </c>
      <c r="J226" t="s">
        <v>166</v>
      </c>
      <c r="K226" t="s">
        <v>124</v>
      </c>
      <c r="L226" t="s">
        <v>166</v>
      </c>
      <c r="M226" t="s">
        <v>124</v>
      </c>
      <c r="N226" t="s">
        <v>45</v>
      </c>
      <c r="O226" t="s">
        <v>45</v>
      </c>
      <c r="P226">
        <v>3</v>
      </c>
      <c r="Q226" s="7">
        <v>46176</v>
      </c>
      <c r="R226" s="7">
        <v>46176</v>
      </c>
      <c r="S226" s="7">
        <v>46176</v>
      </c>
      <c r="T226" t="s">
        <v>45</v>
      </c>
      <c r="V226" t="s">
        <v>167</v>
      </c>
      <c r="W226" t="s">
        <v>45</v>
      </c>
      <c r="X226" t="s">
        <v>74</v>
      </c>
      <c r="Y226" t="s">
        <v>46</v>
      </c>
      <c r="Z226" t="s">
        <v>150</v>
      </c>
      <c r="AF226">
        <v>2</v>
      </c>
      <c r="AH226" t="s">
        <v>75</v>
      </c>
      <c r="AI226">
        <v>1</v>
      </c>
      <c r="AJ226" s="9"/>
      <c r="AK226" t="s">
        <v>74</v>
      </c>
      <c r="AM226"/>
      <c r="AN226"/>
      <c r="AO226"/>
      <c r="AP226"/>
      <c r="AQ226"/>
      <c r="AR226" s="18" t="str">
        <f>IFERROR(VLOOKUP(K226,[1]POP!$F:$J,1,0),M226)</f>
        <v>MADA</v>
      </c>
      <c r="AS226" s="18" t="str">
        <f t="shared" si="16"/>
        <v>BARGARAM</v>
      </c>
      <c r="AT226" s="19">
        <f t="shared" si="19"/>
        <v>2</v>
      </c>
      <c r="AU226" s="19">
        <f t="shared" ca="1" si="18"/>
        <v>2</v>
      </c>
    </row>
    <row r="227" spans="1:47" x14ac:dyDescent="0.3">
      <c r="A227" t="s">
        <v>379</v>
      </c>
      <c r="B227" t="str">
        <f t="shared" si="15"/>
        <v>S23_2026</v>
      </c>
      <c r="C227" t="str">
        <f t="shared" si="17"/>
        <v>S23_2026</v>
      </c>
      <c r="F227">
        <v>7</v>
      </c>
      <c r="G227" t="s">
        <v>40</v>
      </c>
      <c r="I227" t="s">
        <v>374</v>
      </c>
      <c r="J227" t="s">
        <v>166</v>
      </c>
      <c r="K227" t="s">
        <v>124</v>
      </c>
      <c r="L227" t="s">
        <v>166</v>
      </c>
      <c r="M227" t="s">
        <v>124</v>
      </c>
      <c r="N227" t="s">
        <v>45</v>
      </c>
      <c r="O227" t="s">
        <v>45</v>
      </c>
      <c r="P227">
        <v>3</v>
      </c>
      <c r="Q227" s="7">
        <v>46176</v>
      </c>
      <c r="R227" s="7">
        <v>46176</v>
      </c>
      <c r="S227" s="7">
        <v>46176</v>
      </c>
      <c r="T227" t="s">
        <v>45</v>
      </c>
      <c r="V227" t="s">
        <v>167</v>
      </c>
      <c r="W227" t="s">
        <v>45</v>
      </c>
      <c r="X227" t="s">
        <v>74</v>
      </c>
      <c r="Y227" t="s">
        <v>46</v>
      </c>
      <c r="Z227" t="s">
        <v>150</v>
      </c>
      <c r="AF227">
        <v>2</v>
      </c>
      <c r="AH227" t="s">
        <v>75</v>
      </c>
      <c r="AI227">
        <v>1</v>
      </c>
      <c r="AJ227" s="9"/>
      <c r="AK227" t="s">
        <v>74</v>
      </c>
      <c r="AM227"/>
      <c r="AN227"/>
      <c r="AO227"/>
      <c r="AP227"/>
      <c r="AQ227"/>
      <c r="AR227" s="18" t="str">
        <f>IFERROR(VLOOKUP(K227,[1]POP!$F:$J,1,0),M227)</f>
        <v>MADA</v>
      </c>
      <c r="AS227" s="18" t="str">
        <f t="shared" si="16"/>
        <v>BARGARAM</v>
      </c>
      <c r="AT227" s="19">
        <f t="shared" si="19"/>
        <v>2</v>
      </c>
      <c r="AU227" s="19">
        <f t="shared" ca="1" si="18"/>
        <v>2</v>
      </c>
    </row>
    <row r="228" spans="1:47" x14ac:dyDescent="0.3">
      <c r="A228" t="s">
        <v>380</v>
      </c>
      <c r="B228" t="str">
        <f t="shared" si="15"/>
        <v>S23_2026</v>
      </c>
      <c r="C228" t="str">
        <f t="shared" si="17"/>
        <v>S23_2026</v>
      </c>
      <c r="F228">
        <v>8</v>
      </c>
      <c r="G228" t="s">
        <v>40</v>
      </c>
      <c r="I228" t="s">
        <v>166</v>
      </c>
      <c r="J228" t="s">
        <v>166</v>
      </c>
      <c r="K228" t="s">
        <v>124</v>
      </c>
      <c r="L228" t="s">
        <v>166</v>
      </c>
      <c r="M228" t="s">
        <v>124</v>
      </c>
      <c r="N228" t="s">
        <v>45</v>
      </c>
      <c r="O228" t="s">
        <v>45</v>
      </c>
      <c r="P228">
        <v>3</v>
      </c>
      <c r="Q228" s="7">
        <v>46176</v>
      </c>
      <c r="R228" s="7">
        <v>46176</v>
      </c>
      <c r="S228" s="7">
        <v>46176</v>
      </c>
      <c r="T228" t="s">
        <v>45</v>
      </c>
      <c r="V228" t="s">
        <v>167</v>
      </c>
      <c r="W228" t="s">
        <v>45</v>
      </c>
      <c r="X228" t="s">
        <v>74</v>
      </c>
      <c r="Y228" t="s">
        <v>46</v>
      </c>
      <c r="Z228" t="s">
        <v>150</v>
      </c>
      <c r="AF228">
        <v>2</v>
      </c>
      <c r="AH228" t="s">
        <v>75</v>
      </c>
      <c r="AI228">
        <v>1</v>
      </c>
      <c r="AJ228" s="9"/>
      <c r="AK228" t="s">
        <v>74</v>
      </c>
      <c r="AM228"/>
      <c r="AN228"/>
      <c r="AO228"/>
      <c r="AP228"/>
      <c r="AQ228"/>
      <c r="AR228" s="18" t="str">
        <f>IFERROR(VLOOKUP(K228,[1]POP!$F:$J,1,0),M228)</f>
        <v>MADA</v>
      </c>
      <c r="AS228" s="18" t="str">
        <f t="shared" si="16"/>
        <v>BARGARAM</v>
      </c>
      <c r="AT228" s="19">
        <f t="shared" si="19"/>
        <v>2</v>
      </c>
      <c r="AU228" s="19">
        <f t="shared" ca="1" si="18"/>
        <v>2</v>
      </c>
    </row>
    <row r="229" spans="1:47" x14ac:dyDescent="0.3">
      <c r="A229" t="s">
        <v>381</v>
      </c>
      <c r="B229" t="str">
        <f t="shared" si="15"/>
        <v>S23_2026</v>
      </c>
      <c r="C229" t="str">
        <f t="shared" si="17"/>
        <v>S23_2026</v>
      </c>
      <c r="F229">
        <v>10</v>
      </c>
      <c r="G229" t="s">
        <v>40</v>
      </c>
      <c r="I229" t="s">
        <v>166</v>
      </c>
      <c r="J229" t="s">
        <v>166</v>
      </c>
      <c r="K229" t="s">
        <v>124</v>
      </c>
      <c r="L229" t="s">
        <v>166</v>
      </c>
      <c r="M229" t="s">
        <v>124</v>
      </c>
      <c r="N229" t="s">
        <v>45</v>
      </c>
      <c r="O229" t="s">
        <v>45</v>
      </c>
      <c r="P229">
        <v>3</v>
      </c>
      <c r="Q229" s="7">
        <v>46176</v>
      </c>
      <c r="R229" s="7">
        <v>46176</v>
      </c>
      <c r="S229" s="7">
        <v>46176</v>
      </c>
      <c r="T229" t="s">
        <v>45</v>
      </c>
      <c r="V229" t="s">
        <v>167</v>
      </c>
      <c r="W229" t="s">
        <v>45</v>
      </c>
      <c r="X229" t="s">
        <v>74</v>
      </c>
      <c r="Y229" t="s">
        <v>46</v>
      </c>
      <c r="Z229" t="s">
        <v>150</v>
      </c>
      <c r="AF229">
        <v>2</v>
      </c>
      <c r="AH229" t="s">
        <v>75</v>
      </c>
      <c r="AI229">
        <v>1</v>
      </c>
      <c r="AJ229" s="9"/>
      <c r="AK229" t="s">
        <v>74</v>
      </c>
      <c r="AM229"/>
      <c r="AN229"/>
      <c r="AO229"/>
      <c r="AP229"/>
      <c r="AQ229"/>
      <c r="AR229" s="18" t="str">
        <f>IFERROR(VLOOKUP(K229,[1]POP!$F:$J,1,0),M229)</f>
        <v>MADA</v>
      </c>
      <c r="AS229" s="18" t="str">
        <f t="shared" si="16"/>
        <v>BARGARAM</v>
      </c>
      <c r="AT229" s="19">
        <f t="shared" si="19"/>
        <v>2</v>
      </c>
      <c r="AU229" s="19">
        <f t="shared" ca="1" si="18"/>
        <v>2</v>
      </c>
    </row>
    <row r="230" spans="1:47" x14ac:dyDescent="0.3">
      <c r="A230" t="s">
        <v>382</v>
      </c>
      <c r="B230" t="str">
        <f t="shared" si="15"/>
        <v>S23_2026</v>
      </c>
      <c r="C230" t="str">
        <f t="shared" si="17"/>
        <v>S23_2026</v>
      </c>
      <c r="F230">
        <v>35</v>
      </c>
      <c r="G230" t="s">
        <v>40</v>
      </c>
      <c r="I230" t="s">
        <v>166</v>
      </c>
      <c r="J230" t="s">
        <v>166</v>
      </c>
      <c r="K230" t="s">
        <v>124</v>
      </c>
      <c r="L230" t="s">
        <v>166</v>
      </c>
      <c r="M230" t="s">
        <v>124</v>
      </c>
      <c r="N230" t="s">
        <v>45</v>
      </c>
      <c r="O230" t="s">
        <v>45</v>
      </c>
      <c r="P230">
        <v>2</v>
      </c>
      <c r="Q230" s="7">
        <v>46176</v>
      </c>
      <c r="R230" s="7">
        <v>46176</v>
      </c>
      <c r="S230" s="7">
        <v>46176</v>
      </c>
      <c r="T230" t="s">
        <v>45</v>
      </c>
      <c r="V230" t="s">
        <v>167</v>
      </c>
      <c r="W230" t="s">
        <v>45</v>
      </c>
      <c r="X230" t="s">
        <v>74</v>
      </c>
      <c r="Y230" t="s">
        <v>46</v>
      </c>
      <c r="Z230" t="s">
        <v>150</v>
      </c>
      <c r="AF230">
        <v>2</v>
      </c>
      <c r="AH230" t="s">
        <v>75</v>
      </c>
      <c r="AI230">
        <v>1</v>
      </c>
      <c r="AJ230" s="9"/>
      <c r="AK230" t="s">
        <v>74</v>
      </c>
      <c r="AM230"/>
      <c r="AN230"/>
      <c r="AO230"/>
      <c r="AP230"/>
      <c r="AQ230"/>
      <c r="AR230" s="18" t="str">
        <f>IFERROR(VLOOKUP(K230,[1]POP!$F:$J,1,0),M230)</f>
        <v>MADA</v>
      </c>
      <c r="AS230" s="18" t="str">
        <f t="shared" si="16"/>
        <v>BARGARAM</v>
      </c>
      <c r="AT230" s="19">
        <f t="shared" si="19"/>
        <v>2</v>
      </c>
      <c r="AU230" s="19">
        <f t="shared" ca="1" si="18"/>
        <v>2</v>
      </c>
    </row>
    <row r="231" spans="1:47" x14ac:dyDescent="0.3">
      <c r="A231" t="s">
        <v>383</v>
      </c>
      <c r="B231" t="str">
        <f t="shared" si="15"/>
        <v>S23_2026</v>
      </c>
      <c r="C231" t="str">
        <f t="shared" si="17"/>
        <v>S23_2026</v>
      </c>
      <c r="F231">
        <v>9</v>
      </c>
      <c r="G231" t="s">
        <v>40</v>
      </c>
      <c r="I231" t="s">
        <v>166</v>
      </c>
      <c r="J231" t="s">
        <v>166</v>
      </c>
      <c r="K231" t="s">
        <v>124</v>
      </c>
      <c r="L231" t="s">
        <v>166</v>
      </c>
      <c r="M231" t="s">
        <v>124</v>
      </c>
      <c r="N231" t="s">
        <v>45</v>
      </c>
      <c r="O231" t="s">
        <v>45</v>
      </c>
      <c r="P231">
        <v>3</v>
      </c>
      <c r="Q231" s="7">
        <v>46176</v>
      </c>
      <c r="R231" s="7">
        <v>46176</v>
      </c>
      <c r="S231" s="7">
        <v>46176</v>
      </c>
      <c r="T231" t="s">
        <v>45</v>
      </c>
      <c r="V231" t="s">
        <v>167</v>
      </c>
      <c r="W231" t="s">
        <v>45</v>
      </c>
      <c r="X231" t="s">
        <v>74</v>
      </c>
      <c r="Y231" t="s">
        <v>46</v>
      </c>
      <c r="Z231" t="s">
        <v>150</v>
      </c>
      <c r="AF231">
        <v>2</v>
      </c>
      <c r="AH231" t="s">
        <v>75</v>
      </c>
      <c r="AI231">
        <v>1</v>
      </c>
      <c r="AJ231" s="9"/>
      <c r="AK231" t="s">
        <v>74</v>
      </c>
      <c r="AM231"/>
      <c r="AN231"/>
      <c r="AO231"/>
      <c r="AP231"/>
      <c r="AQ231"/>
      <c r="AR231" s="18" t="str">
        <f>IFERROR(VLOOKUP(K231,[1]POP!$F:$J,1,0),M231)</f>
        <v>MADA</v>
      </c>
      <c r="AS231" s="18" t="str">
        <f t="shared" si="16"/>
        <v>BARGARAM</v>
      </c>
      <c r="AT231" s="19">
        <f t="shared" si="19"/>
        <v>2</v>
      </c>
      <c r="AU231" s="19">
        <f t="shared" ca="1" si="18"/>
        <v>2</v>
      </c>
    </row>
    <row r="232" spans="1:47" x14ac:dyDescent="0.3">
      <c r="A232" t="s">
        <v>384</v>
      </c>
      <c r="B232" t="str">
        <f t="shared" si="15"/>
        <v>S23_2026</v>
      </c>
      <c r="C232" t="str">
        <f t="shared" si="17"/>
        <v>S23_2026</v>
      </c>
      <c r="F232">
        <v>20</v>
      </c>
      <c r="G232" t="s">
        <v>40</v>
      </c>
      <c r="I232" t="s">
        <v>234</v>
      </c>
      <c r="J232" t="s">
        <v>166</v>
      </c>
      <c r="K232" t="s">
        <v>124</v>
      </c>
      <c r="L232" t="s">
        <v>166</v>
      </c>
      <c r="M232" t="s">
        <v>124</v>
      </c>
      <c r="N232" t="s">
        <v>45</v>
      </c>
      <c r="O232" t="s">
        <v>45</v>
      </c>
      <c r="P232">
        <v>3</v>
      </c>
      <c r="Q232" s="7">
        <v>46176</v>
      </c>
      <c r="R232" s="7">
        <v>46176</v>
      </c>
      <c r="S232" s="7">
        <v>46176</v>
      </c>
      <c r="T232" t="s">
        <v>45</v>
      </c>
      <c r="V232" t="s">
        <v>167</v>
      </c>
      <c r="W232" t="s">
        <v>45</v>
      </c>
      <c r="X232" t="s">
        <v>74</v>
      </c>
      <c r="Y232" t="s">
        <v>46</v>
      </c>
      <c r="Z232" t="s">
        <v>150</v>
      </c>
      <c r="AF232">
        <v>2</v>
      </c>
      <c r="AH232" t="s">
        <v>75</v>
      </c>
      <c r="AI232">
        <v>1</v>
      </c>
      <c r="AJ232" s="9"/>
      <c r="AK232" t="s">
        <v>74</v>
      </c>
      <c r="AM232"/>
      <c r="AN232"/>
      <c r="AO232"/>
      <c r="AP232"/>
      <c r="AQ232"/>
      <c r="AR232" s="18" t="str">
        <f>IFERROR(VLOOKUP(K232,[1]POP!$F:$J,1,0),M232)</f>
        <v>MADA</v>
      </c>
      <c r="AS232" s="18" t="str">
        <f t="shared" si="16"/>
        <v>BARGARAM</v>
      </c>
      <c r="AT232" s="19">
        <f t="shared" si="19"/>
        <v>2</v>
      </c>
      <c r="AU232" s="19">
        <f t="shared" ca="1" si="18"/>
        <v>2</v>
      </c>
    </row>
    <row r="233" spans="1:47" x14ac:dyDescent="0.3">
      <c r="A233" t="s">
        <v>385</v>
      </c>
      <c r="B233" t="str">
        <f t="shared" si="15"/>
        <v>S23_2026</v>
      </c>
      <c r="C233" t="str">
        <f t="shared" si="17"/>
        <v>S23_2026</v>
      </c>
      <c r="F233">
        <v>2</v>
      </c>
      <c r="G233" t="s">
        <v>40</v>
      </c>
      <c r="I233" t="s">
        <v>166</v>
      </c>
      <c r="J233" t="s">
        <v>166</v>
      </c>
      <c r="K233" t="s">
        <v>124</v>
      </c>
      <c r="L233" t="s">
        <v>166</v>
      </c>
      <c r="M233" t="s">
        <v>124</v>
      </c>
      <c r="N233" t="s">
        <v>45</v>
      </c>
      <c r="O233" t="s">
        <v>45</v>
      </c>
      <c r="P233">
        <v>3</v>
      </c>
      <c r="Q233" s="7">
        <v>46176</v>
      </c>
      <c r="R233" s="7">
        <v>46176</v>
      </c>
      <c r="S233" s="7">
        <v>46176</v>
      </c>
      <c r="T233" t="s">
        <v>45</v>
      </c>
      <c r="V233" t="s">
        <v>167</v>
      </c>
      <c r="W233" t="s">
        <v>45</v>
      </c>
      <c r="X233" t="s">
        <v>74</v>
      </c>
      <c r="Y233" t="s">
        <v>46</v>
      </c>
      <c r="Z233" t="s">
        <v>150</v>
      </c>
      <c r="AF233">
        <v>2</v>
      </c>
      <c r="AH233" t="s">
        <v>75</v>
      </c>
      <c r="AI233">
        <v>1</v>
      </c>
      <c r="AJ233" s="9"/>
      <c r="AK233" t="s">
        <v>74</v>
      </c>
      <c r="AM233"/>
      <c r="AN233"/>
      <c r="AO233"/>
      <c r="AP233"/>
      <c r="AQ233"/>
      <c r="AR233" s="18" t="str">
        <f>IFERROR(VLOOKUP(K233,[1]POP!$F:$J,1,0),M233)</f>
        <v>MADA</v>
      </c>
      <c r="AS233" s="18" t="str">
        <f t="shared" si="16"/>
        <v>BARGARAM</v>
      </c>
      <c r="AT233" s="19">
        <f t="shared" si="19"/>
        <v>2</v>
      </c>
      <c r="AU233" s="19">
        <f t="shared" ca="1" si="18"/>
        <v>2</v>
      </c>
    </row>
    <row r="234" spans="1:47" x14ac:dyDescent="0.3">
      <c r="A234" t="s">
        <v>386</v>
      </c>
      <c r="B234" t="str">
        <f t="shared" si="15"/>
        <v>S27_2026</v>
      </c>
      <c r="C234" t="str">
        <f t="shared" si="17"/>
        <v>S27_2026</v>
      </c>
      <c r="F234">
        <v>15</v>
      </c>
      <c r="G234" t="s">
        <v>55</v>
      </c>
      <c r="I234" t="s">
        <v>178</v>
      </c>
      <c r="J234" t="s">
        <v>173</v>
      </c>
      <c r="K234" t="s">
        <v>124</v>
      </c>
      <c r="L234" t="s">
        <v>174</v>
      </c>
      <c r="M234" t="s">
        <v>124</v>
      </c>
      <c r="N234" t="s">
        <v>45</v>
      </c>
      <c r="O234" t="s">
        <v>45</v>
      </c>
      <c r="P234">
        <v>3</v>
      </c>
      <c r="Q234" s="7">
        <v>46207</v>
      </c>
      <c r="R234" s="7">
        <v>46207</v>
      </c>
      <c r="S234" s="7">
        <v>46207</v>
      </c>
      <c r="T234" t="s">
        <v>45</v>
      </c>
      <c r="V234" t="s">
        <v>387</v>
      </c>
      <c r="W234" t="s">
        <v>45</v>
      </c>
      <c r="X234" t="s">
        <v>74</v>
      </c>
      <c r="Y234" t="s">
        <v>46</v>
      </c>
      <c r="Z234" t="s">
        <v>150</v>
      </c>
      <c r="AF234">
        <v>2</v>
      </c>
      <c r="AH234" t="s">
        <v>75</v>
      </c>
      <c r="AI234">
        <v>1</v>
      </c>
      <c r="AJ234" s="9"/>
      <c r="AM234"/>
      <c r="AN234"/>
      <c r="AO234"/>
      <c r="AP234"/>
      <c r="AQ234"/>
      <c r="AR234" s="18" t="str">
        <f>IFERROR(VLOOKUP(K234,[1]POP!$F:$J,1,0),M234)</f>
        <v>MADA</v>
      </c>
      <c r="AS234" s="18" t="str">
        <f t="shared" si="16"/>
        <v>TCHIKA</v>
      </c>
      <c r="AT234" s="19">
        <f t="shared" si="19"/>
        <v>2</v>
      </c>
      <c r="AU234" s="19">
        <f t="shared" ca="1" si="18"/>
        <v>2</v>
      </c>
    </row>
    <row r="235" spans="1:47" x14ac:dyDescent="0.3">
      <c r="A235" t="s">
        <v>388</v>
      </c>
      <c r="B235" t="str">
        <f t="shared" si="15"/>
        <v>S27_2026</v>
      </c>
      <c r="C235" t="str">
        <f t="shared" si="17"/>
        <v>S27_2026</v>
      </c>
      <c r="F235">
        <v>21</v>
      </c>
      <c r="G235" t="s">
        <v>55</v>
      </c>
      <c r="I235" t="s">
        <v>178</v>
      </c>
      <c r="J235" t="s">
        <v>173</v>
      </c>
      <c r="K235" t="s">
        <v>124</v>
      </c>
      <c r="L235" t="s">
        <v>174</v>
      </c>
      <c r="M235" t="s">
        <v>124</v>
      </c>
      <c r="N235" t="s">
        <v>45</v>
      </c>
      <c r="O235" t="s">
        <v>45</v>
      </c>
      <c r="P235">
        <v>3</v>
      </c>
      <c r="Q235" s="7">
        <v>46207</v>
      </c>
      <c r="R235" s="7">
        <v>46207</v>
      </c>
      <c r="S235" s="7">
        <v>46207</v>
      </c>
      <c r="T235" t="s">
        <v>45</v>
      </c>
      <c r="V235" t="s">
        <v>387</v>
      </c>
      <c r="W235" t="s">
        <v>45</v>
      </c>
      <c r="X235" t="s">
        <v>74</v>
      </c>
      <c r="Y235" t="s">
        <v>46</v>
      </c>
      <c r="Z235" t="s">
        <v>150</v>
      </c>
      <c r="AF235">
        <v>2</v>
      </c>
      <c r="AH235" t="s">
        <v>75</v>
      </c>
      <c r="AI235">
        <v>1</v>
      </c>
      <c r="AJ235" s="9"/>
      <c r="AM235"/>
      <c r="AN235"/>
      <c r="AO235"/>
      <c r="AP235"/>
      <c r="AQ235"/>
      <c r="AR235" s="18" t="str">
        <f>IFERROR(VLOOKUP(K235,[1]POP!$F:$J,1,0),M235)</f>
        <v>MADA</v>
      </c>
      <c r="AS235" s="18" t="str">
        <f t="shared" si="16"/>
        <v>TCHIKA</v>
      </c>
      <c r="AT235" s="19">
        <f t="shared" si="19"/>
        <v>2</v>
      </c>
      <c r="AU235" s="19">
        <f t="shared" ca="1" si="18"/>
        <v>2</v>
      </c>
    </row>
    <row r="236" spans="1:47" x14ac:dyDescent="0.3">
      <c r="A236" t="s">
        <v>389</v>
      </c>
      <c r="B236" t="str">
        <f t="shared" si="15"/>
        <v>S27_2026</v>
      </c>
      <c r="C236" t="str">
        <f t="shared" si="17"/>
        <v>S27_2026</v>
      </c>
      <c r="F236">
        <v>7</v>
      </c>
      <c r="G236" t="s">
        <v>40</v>
      </c>
      <c r="I236" t="s">
        <v>178</v>
      </c>
      <c r="J236" t="s">
        <v>173</v>
      </c>
      <c r="K236" t="s">
        <v>124</v>
      </c>
      <c r="L236" t="s">
        <v>174</v>
      </c>
      <c r="M236" t="s">
        <v>124</v>
      </c>
      <c r="N236" t="s">
        <v>45</v>
      </c>
      <c r="O236" t="s">
        <v>45</v>
      </c>
      <c r="P236">
        <v>2</v>
      </c>
      <c r="Q236" s="7">
        <v>46207</v>
      </c>
      <c r="R236" s="7">
        <v>46207</v>
      </c>
      <c r="S236" s="7">
        <v>46207</v>
      </c>
      <c r="T236" t="s">
        <v>45</v>
      </c>
      <c r="V236" t="s">
        <v>387</v>
      </c>
      <c r="W236" t="s">
        <v>45</v>
      </c>
      <c r="X236" t="s">
        <v>74</v>
      </c>
      <c r="Y236" t="s">
        <v>46</v>
      </c>
      <c r="Z236" t="s">
        <v>150</v>
      </c>
      <c r="AF236">
        <v>2</v>
      </c>
      <c r="AH236" t="s">
        <v>75</v>
      </c>
      <c r="AI236">
        <v>1</v>
      </c>
      <c r="AJ236" s="9"/>
      <c r="AM236"/>
      <c r="AN236"/>
      <c r="AO236"/>
      <c r="AP236"/>
      <c r="AQ236"/>
      <c r="AR236" s="18" t="str">
        <f>IFERROR(VLOOKUP(K236,[1]POP!$F:$J,1,0),M236)</f>
        <v>MADA</v>
      </c>
      <c r="AS236" s="18" t="str">
        <f t="shared" si="16"/>
        <v>TCHIKA</v>
      </c>
      <c r="AT236" s="19">
        <f t="shared" si="19"/>
        <v>2</v>
      </c>
      <c r="AU236" s="19">
        <f t="shared" ca="1" si="18"/>
        <v>2</v>
      </c>
    </row>
    <row r="237" spans="1:47" x14ac:dyDescent="0.3">
      <c r="A237" t="s">
        <v>390</v>
      </c>
      <c r="B237" t="str">
        <f t="shared" si="15"/>
        <v>S27_2026</v>
      </c>
      <c r="C237" t="str">
        <f t="shared" si="17"/>
        <v>S27_2026</v>
      </c>
      <c r="F237">
        <v>29</v>
      </c>
      <c r="G237" t="s">
        <v>55</v>
      </c>
      <c r="I237" t="s">
        <v>178</v>
      </c>
      <c r="J237" t="s">
        <v>173</v>
      </c>
      <c r="K237" t="s">
        <v>124</v>
      </c>
      <c r="L237" t="s">
        <v>174</v>
      </c>
      <c r="M237" t="s">
        <v>124</v>
      </c>
      <c r="N237" t="s">
        <v>45</v>
      </c>
      <c r="O237" t="s">
        <v>45</v>
      </c>
      <c r="P237">
        <v>1</v>
      </c>
      <c r="Q237" s="7">
        <v>46207</v>
      </c>
      <c r="R237" s="7">
        <v>46207</v>
      </c>
      <c r="S237" s="7">
        <v>46207</v>
      </c>
      <c r="T237" t="s">
        <v>45</v>
      </c>
      <c r="V237" t="s">
        <v>387</v>
      </c>
      <c r="W237" t="s">
        <v>45</v>
      </c>
      <c r="X237" t="s">
        <v>74</v>
      </c>
      <c r="Y237" t="s">
        <v>46</v>
      </c>
      <c r="Z237" t="s">
        <v>150</v>
      </c>
      <c r="AF237">
        <v>2</v>
      </c>
      <c r="AH237" t="s">
        <v>75</v>
      </c>
      <c r="AI237">
        <v>1</v>
      </c>
      <c r="AJ237" s="9"/>
      <c r="AM237"/>
      <c r="AN237"/>
      <c r="AO237"/>
      <c r="AP237"/>
      <c r="AQ237"/>
      <c r="AR237" s="18" t="str">
        <f>IFERROR(VLOOKUP(K237,[1]POP!$F:$J,1,0),M237)</f>
        <v>MADA</v>
      </c>
      <c r="AS237" s="18" t="str">
        <f t="shared" si="16"/>
        <v>TCHIKA</v>
      </c>
      <c r="AT237" s="19">
        <f t="shared" si="19"/>
        <v>2</v>
      </c>
      <c r="AU237" s="19">
        <f t="shared" ca="1" si="18"/>
        <v>2</v>
      </c>
    </row>
    <row r="238" spans="1:47" x14ac:dyDescent="0.3">
      <c r="A238" t="s">
        <v>391</v>
      </c>
      <c r="B238" t="str">
        <f t="shared" si="15"/>
        <v>S27_2026</v>
      </c>
      <c r="C238" t="str">
        <f t="shared" si="17"/>
        <v>S27_2026</v>
      </c>
      <c r="F238">
        <v>3</v>
      </c>
      <c r="G238" t="s">
        <v>40</v>
      </c>
      <c r="I238" t="s">
        <v>178</v>
      </c>
      <c r="J238" t="s">
        <v>173</v>
      </c>
      <c r="K238" t="s">
        <v>124</v>
      </c>
      <c r="L238" t="s">
        <v>174</v>
      </c>
      <c r="M238" t="s">
        <v>124</v>
      </c>
      <c r="N238" t="s">
        <v>45</v>
      </c>
      <c r="O238" t="s">
        <v>45</v>
      </c>
      <c r="P238">
        <v>1</v>
      </c>
      <c r="Q238" s="7">
        <v>46207</v>
      </c>
      <c r="R238" s="7">
        <v>46207</v>
      </c>
      <c r="S238" s="7">
        <v>46207</v>
      </c>
      <c r="T238" t="s">
        <v>45</v>
      </c>
      <c r="V238" t="s">
        <v>387</v>
      </c>
      <c r="W238" t="s">
        <v>45</v>
      </c>
      <c r="X238" t="s">
        <v>74</v>
      </c>
      <c r="Y238" t="s">
        <v>46</v>
      </c>
      <c r="Z238" t="s">
        <v>150</v>
      </c>
      <c r="AF238">
        <v>2</v>
      </c>
      <c r="AH238" t="s">
        <v>75</v>
      </c>
      <c r="AI238">
        <v>1</v>
      </c>
      <c r="AJ238" s="9"/>
      <c r="AM238"/>
      <c r="AN238"/>
      <c r="AO238"/>
      <c r="AP238"/>
      <c r="AQ238"/>
      <c r="AR238" s="18" t="str">
        <f>IFERROR(VLOOKUP(K238,[1]POP!$F:$J,1,0),M238)</f>
        <v>MADA</v>
      </c>
      <c r="AS238" s="18" t="str">
        <f t="shared" si="16"/>
        <v>TCHIKA</v>
      </c>
      <c r="AT238" s="19">
        <f t="shared" si="19"/>
        <v>2</v>
      </c>
      <c r="AU238" s="19">
        <f t="shared" ca="1" si="18"/>
        <v>2</v>
      </c>
    </row>
    <row r="239" spans="1:47" x14ac:dyDescent="0.3">
      <c r="A239" t="s">
        <v>392</v>
      </c>
      <c r="B239" t="str">
        <f t="shared" si="15"/>
        <v>S27_2026</v>
      </c>
      <c r="C239" t="str">
        <f t="shared" si="17"/>
        <v>S27_2026</v>
      </c>
      <c r="F239">
        <v>1</v>
      </c>
      <c r="G239" t="s">
        <v>55</v>
      </c>
      <c r="I239" t="s">
        <v>178</v>
      </c>
      <c r="J239" t="s">
        <v>173</v>
      </c>
      <c r="K239" t="s">
        <v>124</v>
      </c>
      <c r="L239" t="s">
        <v>174</v>
      </c>
      <c r="M239" t="s">
        <v>124</v>
      </c>
      <c r="N239" t="s">
        <v>45</v>
      </c>
      <c r="O239" t="s">
        <v>45</v>
      </c>
      <c r="P239">
        <v>2</v>
      </c>
      <c r="Q239" s="7">
        <v>46207</v>
      </c>
      <c r="R239" s="7">
        <v>46207</v>
      </c>
      <c r="S239" s="7">
        <v>46207</v>
      </c>
      <c r="T239" t="s">
        <v>45</v>
      </c>
      <c r="V239" t="s">
        <v>387</v>
      </c>
      <c r="W239" t="s">
        <v>45</v>
      </c>
      <c r="X239" t="s">
        <v>74</v>
      </c>
      <c r="Y239" t="s">
        <v>46</v>
      </c>
      <c r="Z239" t="s">
        <v>150</v>
      </c>
      <c r="AF239">
        <v>2</v>
      </c>
      <c r="AH239" t="s">
        <v>75</v>
      </c>
      <c r="AI239">
        <v>1</v>
      </c>
      <c r="AJ239" s="9"/>
      <c r="AM239"/>
      <c r="AN239"/>
      <c r="AO239"/>
      <c r="AP239"/>
      <c r="AQ239"/>
      <c r="AR239" s="18" t="str">
        <f>IFERROR(VLOOKUP(K239,[1]POP!$F:$J,1,0),M239)</f>
        <v>MADA</v>
      </c>
      <c r="AS239" s="18" t="str">
        <f t="shared" si="16"/>
        <v>TCHIKA</v>
      </c>
      <c r="AT239" s="19">
        <f t="shared" si="19"/>
        <v>2</v>
      </c>
      <c r="AU239" s="19">
        <f t="shared" ca="1" si="18"/>
        <v>2</v>
      </c>
    </row>
    <row r="240" spans="1:47" x14ac:dyDescent="0.3">
      <c r="A240" t="s">
        <v>393</v>
      </c>
      <c r="B240" t="str">
        <f t="shared" si="15"/>
        <v>S27_2026</v>
      </c>
      <c r="C240" t="str">
        <f t="shared" si="17"/>
        <v>S27_2026</v>
      </c>
      <c r="F240">
        <v>8</v>
      </c>
      <c r="G240" t="s">
        <v>40</v>
      </c>
      <c r="I240" t="s">
        <v>178</v>
      </c>
      <c r="J240" t="s">
        <v>173</v>
      </c>
      <c r="K240" t="s">
        <v>124</v>
      </c>
      <c r="L240" t="s">
        <v>174</v>
      </c>
      <c r="M240" t="s">
        <v>124</v>
      </c>
      <c r="N240" t="s">
        <v>45</v>
      </c>
      <c r="O240" t="s">
        <v>45</v>
      </c>
      <c r="P240">
        <v>1</v>
      </c>
      <c r="Q240" s="7">
        <v>46207</v>
      </c>
      <c r="R240" s="7">
        <v>46207</v>
      </c>
      <c r="S240" s="7">
        <v>46207</v>
      </c>
      <c r="T240" t="s">
        <v>45</v>
      </c>
      <c r="V240" t="s">
        <v>387</v>
      </c>
      <c r="W240" t="s">
        <v>45</v>
      </c>
      <c r="X240" t="s">
        <v>74</v>
      </c>
      <c r="Y240" t="s">
        <v>46</v>
      </c>
      <c r="Z240" t="s">
        <v>150</v>
      </c>
      <c r="AF240">
        <v>2</v>
      </c>
      <c r="AH240" t="s">
        <v>75</v>
      </c>
      <c r="AI240">
        <v>1</v>
      </c>
      <c r="AJ240" s="9"/>
      <c r="AM240"/>
      <c r="AN240"/>
      <c r="AO240"/>
      <c r="AP240"/>
      <c r="AQ240"/>
      <c r="AR240" s="18" t="str">
        <f>IFERROR(VLOOKUP(K240,[1]POP!$F:$J,1,0),M240)</f>
        <v>MADA</v>
      </c>
      <c r="AS240" s="18" t="str">
        <f t="shared" si="16"/>
        <v>TCHIKA</v>
      </c>
      <c r="AT240" s="19">
        <f t="shared" si="19"/>
        <v>2</v>
      </c>
      <c r="AU240" s="19">
        <f t="shared" ca="1" si="18"/>
        <v>2</v>
      </c>
    </row>
    <row r="241" spans="1:47" x14ac:dyDescent="0.3">
      <c r="A241" t="s">
        <v>394</v>
      </c>
      <c r="B241" t="str">
        <f t="shared" si="15"/>
        <v>S27_2026</v>
      </c>
      <c r="C241" t="str">
        <f t="shared" si="17"/>
        <v>S27_2026</v>
      </c>
      <c r="F241">
        <v>6</v>
      </c>
      <c r="G241" t="s">
        <v>55</v>
      </c>
      <c r="I241" t="s">
        <v>178</v>
      </c>
      <c r="J241" t="s">
        <v>173</v>
      </c>
      <c r="K241" t="s">
        <v>124</v>
      </c>
      <c r="L241" t="s">
        <v>174</v>
      </c>
      <c r="M241" t="s">
        <v>124</v>
      </c>
      <c r="N241" t="s">
        <v>45</v>
      </c>
      <c r="O241" t="s">
        <v>74</v>
      </c>
      <c r="P241">
        <v>2</v>
      </c>
      <c r="Q241" s="7">
        <v>46207</v>
      </c>
      <c r="R241" s="7">
        <v>46207</v>
      </c>
      <c r="S241" s="7">
        <v>46207</v>
      </c>
      <c r="T241" t="s">
        <v>45</v>
      </c>
      <c r="V241" t="s">
        <v>387</v>
      </c>
      <c r="W241" t="s">
        <v>45</v>
      </c>
      <c r="X241" t="s">
        <v>74</v>
      </c>
      <c r="Y241" t="s">
        <v>46</v>
      </c>
      <c r="Z241" t="s">
        <v>150</v>
      </c>
      <c r="AF241">
        <v>2</v>
      </c>
      <c r="AH241" t="s">
        <v>75</v>
      </c>
      <c r="AI241">
        <v>1</v>
      </c>
      <c r="AJ241" s="9"/>
      <c r="AM241"/>
      <c r="AN241"/>
      <c r="AO241"/>
      <c r="AP241"/>
      <c r="AQ241"/>
      <c r="AR241" s="18" t="str">
        <f>IFERROR(VLOOKUP(K241,[1]POP!$F:$J,1,0),M241)</f>
        <v>MADA</v>
      </c>
      <c r="AS241" s="18" t="str">
        <f t="shared" si="16"/>
        <v>TCHIKA</v>
      </c>
      <c r="AT241" s="19">
        <f t="shared" si="19"/>
        <v>2</v>
      </c>
      <c r="AU241" s="19">
        <f t="shared" ca="1" si="18"/>
        <v>2</v>
      </c>
    </row>
    <row r="242" spans="1:47" x14ac:dyDescent="0.3">
      <c r="A242" t="s">
        <v>395</v>
      </c>
      <c r="B242" t="str">
        <f t="shared" si="15"/>
        <v>S27_2026</v>
      </c>
      <c r="C242" t="str">
        <f t="shared" si="17"/>
        <v>S27_2026</v>
      </c>
      <c r="F242">
        <v>2</v>
      </c>
      <c r="G242" t="s">
        <v>40</v>
      </c>
      <c r="I242" t="s">
        <v>178</v>
      </c>
      <c r="J242" t="s">
        <v>173</v>
      </c>
      <c r="K242" t="s">
        <v>124</v>
      </c>
      <c r="L242" t="s">
        <v>174</v>
      </c>
      <c r="M242" t="s">
        <v>124</v>
      </c>
      <c r="N242" t="s">
        <v>45</v>
      </c>
      <c r="O242" t="s">
        <v>74</v>
      </c>
      <c r="P242">
        <v>1</v>
      </c>
      <c r="Q242" s="7">
        <v>46207</v>
      </c>
      <c r="R242" s="7">
        <v>46207</v>
      </c>
      <c r="S242" s="7">
        <v>46207</v>
      </c>
      <c r="T242" t="s">
        <v>45</v>
      </c>
      <c r="V242" t="s">
        <v>387</v>
      </c>
      <c r="W242" t="s">
        <v>45</v>
      </c>
      <c r="X242" t="s">
        <v>74</v>
      </c>
      <c r="Y242" t="s">
        <v>46</v>
      </c>
      <c r="Z242" t="s">
        <v>150</v>
      </c>
      <c r="AF242">
        <v>2</v>
      </c>
      <c r="AH242" t="s">
        <v>75</v>
      </c>
      <c r="AI242">
        <v>1</v>
      </c>
      <c r="AJ242" s="9"/>
      <c r="AM242"/>
      <c r="AN242"/>
      <c r="AO242"/>
      <c r="AP242"/>
      <c r="AQ242"/>
      <c r="AR242" s="18" t="str">
        <f>IFERROR(VLOOKUP(K242,[1]POP!$F:$J,1,0),M242)</f>
        <v>MADA</v>
      </c>
      <c r="AS242" s="18" t="str">
        <f t="shared" si="16"/>
        <v>TCHIKA</v>
      </c>
      <c r="AT242" s="19">
        <f t="shared" si="19"/>
        <v>2</v>
      </c>
      <c r="AU242" s="19">
        <f t="shared" ca="1" si="18"/>
        <v>2</v>
      </c>
    </row>
    <row r="243" spans="1:47" x14ac:dyDescent="0.3">
      <c r="A243" t="s">
        <v>396</v>
      </c>
      <c r="B243" t="str">
        <f t="shared" si="15"/>
        <v>S27_2026</v>
      </c>
      <c r="C243" t="str">
        <f t="shared" si="17"/>
        <v>S27_2026</v>
      </c>
      <c r="F243">
        <v>13</v>
      </c>
      <c r="G243" t="s">
        <v>55</v>
      </c>
      <c r="I243" t="s">
        <v>173</v>
      </c>
      <c r="J243" t="s">
        <v>173</v>
      </c>
      <c r="K243" t="s">
        <v>124</v>
      </c>
      <c r="L243" t="s">
        <v>174</v>
      </c>
      <c r="M243" t="s">
        <v>124</v>
      </c>
      <c r="N243" t="s">
        <v>45</v>
      </c>
      <c r="O243" t="s">
        <v>45</v>
      </c>
      <c r="P243">
        <v>3</v>
      </c>
      <c r="Q243" s="7">
        <v>46207</v>
      </c>
      <c r="R243" s="7">
        <v>46207</v>
      </c>
      <c r="S243" s="7">
        <v>46207</v>
      </c>
      <c r="T243" t="s">
        <v>45</v>
      </c>
      <c r="V243" t="s">
        <v>387</v>
      </c>
      <c r="W243" t="s">
        <v>45</v>
      </c>
      <c r="X243" t="s">
        <v>74</v>
      </c>
      <c r="Y243" t="s">
        <v>46</v>
      </c>
      <c r="Z243" t="s">
        <v>150</v>
      </c>
      <c r="AF243">
        <v>2</v>
      </c>
      <c r="AH243" t="s">
        <v>75</v>
      </c>
      <c r="AI243">
        <v>1</v>
      </c>
      <c r="AJ243" s="9"/>
      <c r="AM243"/>
      <c r="AN243"/>
      <c r="AO243"/>
      <c r="AP243"/>
      <c r="AQ243"/>
      <c r="AR243" s="18" t="str">
        <f>IFERROR(VLOOKUP(K243,[1]POP!$F:$J,1,0),M243)</f>
        <v>MADA</v>
      </c>
      <c r="AS243" s="18" t="str">
        <f t="shared" si="16"/>
        <v>TCHIKA</v>
      </c>
      <c r="AT243" s="19">
        <f t="shared" si="19"/>
        <v>2</v>
      </c>
      <c r="AU243" s="19">
        <f t="shared" ca="1" si="18"/>
        <v>2</v>
      </c>
    </row>
    <row r="244" spans="1:47" x14ac:dyDescent="0.3">
      <c r="A244" t="s">
        <v>397</v>
      </c>
      <c r="B244" t="str">
        <f t="shared" si="15"/>
        <v>S27_2026</v>
      </c>
      <c r="C244" t="str">
        <f t="shared" si="17"/>
        <v>S27_2026</v>
      </c>
      <c r="F244">
        <v>2</v>
      </c>
      <c r="G244" t="s">
        <v>55</v>
      </c>
      <c r="I244" t="s">
        <v>178</v>
      </c>
      <c r="J244" t="s">
        <v>173</v>
      </c>
      <c r="K244" t="s">
        <v>124</v>
      </c>
      <c r="L244" t="s">
        <v>174</v>
      </c>
      <c r="M244" t="s">
        <v>124</v>
      </c>
      <c r="N244" t="s">
        <v>45</v>
      </c>
      <c r="O244" t="s">
        <v>45</v>
      </c>
      <c r="P244">
        <v>2</v>
      </c>
      <c r="Q244" s="7">
        <v>46207</v>
      </c>
      <c r="R244" s="7">
        <v>46207</v>
      </c>
      <c r="S244" s="7">
        <v>46207</v>
      </c>
      <c r="T244" t="s">
        <v>45</v>
      </c>
      <c r="V244" t="s">
        <v>387</v>
      </c>
      <c r="W244" t="s">
        <v>45</v>
      </c>
      <c r="X244" t="s">
        <v>74</v>
      </c>
      <c r="Y244" t="s">
        <v>46</v>
      </c>
      <c r="Z244" t="s">
        <v>150</v>
      </c>
      <c r="AF244">
        <v>2</v>
      </c>
      <c r="AH244" t="s">
        <v>75</v>
      </c>
      <c r="AI244">
        <v>1</v>
      </c>
      <c r="AJ244" s="9"/>
      <c r="AM244"/>
      <c r="AN244"/>
      <c r="AO244"/>
      <c r="AP244"/>
      <c r="AQ244"/>
      <c r="AR244" s="18" t="str">
        <f>IFERROR(VLOOKUP(K244,[1]POP!$F:$J,1,0),M244)</f>
        <v>MADA</v>
      </c>
      <c r="AS244" s="18" t="str">
        <f t="shared" si="16"/>
        <v>TCHIKA</v>
      </c>
      <c r="AT244" s="19">
        <f t="shared" si="19"/>
        <v>2</v>
      </c>
      <c r="AU244" s="19">
        <f t="shared" ca="1" si="18"/>
        <v>2</v>
      </c>
    </row>
    <row r="245" spans="1:47" x14ac:dyDescent="0.3">
      <c r="A245" t="s">
        <v>398</v>
      </c>
      <c r="B245" t="str">
        <f t="shared" si="15"/>
        <v>S27_2026</v>
      </c>
      <c r="C245" t="str">
        <f t="shared" si="17"/>
        <v>S27_2026</v>
      </c>
      <c r="F245">
        <v>7</v>
      </c>
      <c r="G245" t="s">
        <v>55</v>
      </c>
      <c r="I245" t="s">
        <v>178</v>
      </c>
      <c r="J245" t="s">
        <v>173</v>
      </c>
      <c r="K245" t="s">
        <v>124</v>
      </c>
      <c r="L245" t="s">
        <v>174</v>
      </c>
      <c r="M245" t="s">
        <v>124</v>
      </c>
      <c r="N245" t="s">
        <v>45</v>
      </c>
      <c r="O245" t="s">
        <v>45</v>
      </c>
      <c r="P245">
        <v>2</v>
      </c>
      <c r="Q245" s="7">
        <v>46207</v>
      </c>
      <c r="R245" s="7">
        <v>46207</v>
      </c>
      <c r="S245" s="7">
        <v>46207</v>
      </c>
      <c r="T245" t="s">
        <v>45</v>
      </c>
      <c r="V245" t="s">
        <v>387</v>
      </c>
      <c r="W245" t="s">
        <v>45</v>
      </c>
      <c r="X245" t="s">
        <v>74</v>
      </c>
      <c r="Y245" t="s">
        <v>46</v>
      </c>
      <c r="Z245" t="s">
        <v>150</v>
      </c>
      <c r="AF245">
        <v>2</v>
      </c>
      <c r="AH245" t="s">
        <v>75</v>
      </c>
      <c r="AI245">
        <v>1</v>
      </c>
      <c r="AJ245" s="9"/>
      <c r="AM245"/>
      <c r="AN245" t="s">
        <v>74</v>
      </c>
      <c r="AO245" t="s">
        <v>74</v>
      </c>
      <c r="AP245"/>
      <c r="AQ245" t="s">
        <v>74</v>
      </c>
      <c r="AR245" s="18" t="str">
        <f>IFERROR(VLOOKUP(K245,[1]POP!$F:$J,1,0),M245)</f>
        <v>MADA</v>
      </c>
      <c r="AS245" s="18" t="str">
        <f t="shared" si="16"/>
        <v>TCHIKA</v>
      </c>
      <c r="AT245" s="19">
        <f t="shared" si="19"/>
        <v>2</v>
      </c>
      <c r="AU245" s="19">
        <f t="shared" ca="1" si="18"/>
        <v>2</v>
      </c>
    </row>
    <row r="246" spans="1:47" x14ac:dyDescent="0.3">
      <c r="A246" t="s">
        <v>399</v>
      </c>
      <c r="B246" t="str">
        <f t="shared" si="15"/>
        <v>S27_2026</v>
      </c>
      <c r="C246" t="str">
        <f t="shared" si="17"/>
        <v>S27_2026</v>
      </c>
      <c r="F246">
        <v>3</v>
      </c>
      <c r="G246" t="s">
        <v>55</v>
      </c>
      <c r="I246" t="s">
        <v>400</v>
      </c>
      <c r="J246" t="s">
        <v>401</v>
      </c>
      <c r="K246" t="s">
        <v>124</v>
      </c>
      <c r="L246" t="s">
        <v>174</v>
      </c>
      <c r="M246" t="s">
        <v>124</v>
      </c>
      <c r="N246" t="s">
        <v>45</v>
      </c>
      <c r="O246" t="s">
        <v>74</v>
      </c>
      <c r="P246">
        <v>2</v>
      </c>
      <c r="Q246" s="7">
        <v>46207</v>
      </c>
      <c r="R246" s="7">
        <v>46207</v>
      </c>
      <c r="S246" s="7">
        <v>46207</v>
      </c>
      <c r="T246" t="s">
        <v>45</v>
      </c>
      <c r="V246" t="s">
        <v>387</v>
      </c>
      <c r="W246" t="s">
        <v>45</v>
      </c>
      <c r="X246" t="s">
        <v>74</v>
      </c>
      <c r="Y246" t="s">
        <v>46</v>
      </c>
      <c r="Z246" t="s">
        <v>150</v>
      </c>
      <c r="AF246">
        <v>2</v>
      </c>
      <c r="AH246" t="s">
        <v>75</v>
      </c>
      <c r="AI246">
        <v>1</v>
      </c>
      <c r="AJ246" s="9"/>
      <c r="AM246"/>
      <c r="AN246" t="s">
        <v>74</v>
      </c>
      <c r="AO246" t="s">
        <v>74</v>
      </c>
      <c r="AP246"/>
      <c r="AQ246" t="s">
        <v>74</v>
      </c>
      <c r="AR246" s="18" t="str">
        <f>IFERROR(VLOOKUP(K246,[1]POP!$F:$J,1,0),M246)</f>
        <v>MADA</v>
      </c>
      <c r="AS246" s="18" t="str">
        <f t="shared" si="16"/>
        <v>DARAK</v>
      </c>
      <c r="AT246" s="19">
        <f t="shared" si="19"/>
        <v>2</v>
      </c>
      <c r="AU246" s="19">
        <f t="shared" ca="1" si="18"/>
        <v>2</v>
      </c>
    </row>
    <row r="247" spans="1:47" x14ac:dyDescent="0.3">
      <c r="A247" t="s">
        <v>402</v>
      </c>
      <c r="B247" t="str">
        <f t="shared" si="15"/>
        <v>S27_2026</v>
      </c>
      <c r="C247" t="str">
        <f t="shared" si="17"/>
        <v>S27_2026</v>
      </c>
      <c r="F247">
        <v>18</v>
      </c>
      <c r="G247" t="s">
        <v>40</v>
      </c>
      <c r="H247" t="s">
        <v>74</v>
      </c>
      <c r="I247" t="s">
        <v>178</v>
      </c>
      <c r="J247" t="s">
        <v>173</v>
      </c>
      <c r="K247" t="s">
        <v>124</v>
      </c>
      <c r="L247" t="s">
        <v>174</v>
      </c>
      <c r="M247" t="s">
        <v>124</v>
      </c>
      <c r="N247" t="s">
        <v>45</v>
      </c>
      <c r="O247" t="s">
        <v>45</v>
      </c>
      <c r="P247">
        <v>3</v>
      </c>
      <c r="Q247" s="7">
        <v>46208</v>
      </c>
      <c r="R247" s="7">
        <v>46208</v>
      </c>
      <c r="S247" s="7">
        <v>46208</v>
      </c>
      <c r="T247" t="s">
        <v>45</v>
      </c>
      <c r="V247" t="s">
        <v>387</v>
      </c>
      <c r="W247" t="s">
        <v>45</v>
      </c>
      <c r="X247" t="s">
        <v>74</v>
      </c>
      <c r="Y247" t="s">
        <v>46</v>
      </c>
      <c r="Z247" t="s">
        <v>150</v>
      </c>
      <c r="AF247">
        <v>2</v>
      </c>
      <c r="AH247" t="s">
        <v>75</v>
      </c>
      <c r="AI247">
        <v>1</v>
      </c>
      <c r="AJ247" s="9"/>
      <c r="AM247"/>
      <c r="AN247" t="s">
        <v>74</v>
      </c>
      <c r="AO247" t="s">
        <v>74</v>
      </c>
      <c r="AP247"/>
      <c r="AQ247" t="s">
        <v>74</v>
      </c>
      <c r="AR247" s="18" t="str">
        <f>IFERROR(VLOOKUP(K247,[1]POP!$F:$J,1,0),M247)</f>
        <v>MADA</v>
      </c>
      <c r="AS247" s="18" t="str">
        <f t="shared" si="16"/>
        <v>TCHIKA</v>
      </c>
      <c r="AT247" s="19">
        <f t="shared" si="19"/>
        <v>2</v>
      </c>
      <c r="AU247" s="19">
        <f t="shared" ca="1" si="18"/>
        <v>2</v>
      </c>
    </row>
    <row r="248" spans="1:47" x14ac:dyDescent="0.3">
      <c r="A248" t="s">
        <v>403</v>
      </c>
      <c r="B248" t="str">
        <f t="shared" si="15"/>
        <v>S27_2026</v>
      </c>
      <c r="C248" t="str">
        <f t="shared" si="17"/>
        <v>S27_2026</v>
      </c>
      <c r="F248">
        <v>2</v>
      </c>
      <c r="G248" t="s">
        <v>40</v>
      </c>
      <c r="I248" t="s">
        <v>178</v>
      </c>
      <c r="J248" t="s">
        <v>173</v>
      </c>
      <c r="K248" t="s">
        <v>124</v>
      </c>
      <c r="L248" t="s">
        <v>174</v>
      </c>
      <c r="M248" t="s">
        <v>124</v>
      </c>
      <c r="N248" t="s">
        <v>45</v>
      </c>
      <c r="O248" t="s">
        <v>74</v>
      </c>
      <c r="P248">
        <v>1</v>
      </c>
      <c r="Q248" s="7">
        <v>46208</v>
      </c>
      <c r="R248" s="7">
        <v>46208</v>
      </c>
      <c r="S248" s="7">
        <v>46208</v>
      </c>
      <c r="T248" t="s">
        <v>45</v>
      </c>
      <c r="V248" t="s">
        <v>387</v>
      </c>
      <c r="W248" t="s">
        <v>45</v>
      </c>
      <c r="X248" t="s">
        <v>74</v>
      </c>
      <c r="Y248" t="s">
        <v>46</v>
      </c>
      <c r="Z248" t="s">
        <v>150</v>
      </c>
      <c r="AF248">
        <v>2</v>
      </c>
      <c r="AH248" t="s">
        <v>75</v>
      </c>
      <c r="AI248">
        <v>1</v>
      </c>
      <c r="AJ248" s="9"/>
      <c r="AM248"/>
      <c r="AN248" t="s">
        <v>74</v>
      </c>
      <c r="AO248" t="s">
        <v>74</v>
      </c>
      <c r="AP248"/>
      <c r="AQ248" t="s">
        <v>74</v>
      </c>
      <c r="AR248" s="18" t="str">
        <f>IFERROR(VLOOKUP(K248,[1]POP!$F:$J,1,0),M248)</f>
        <v>MADA</v>
      </c>
      <c r="AS248" s="18" t="str">
        <f t="shared" si="16"/>
        <v>TCHIKA</v>
      </c>
      <c r="AT248" s="19">
        <f t="shared" si="19"/>
        <v>2</v>
      </c>
      <c r="AU248" s="19">
        <f t="shared" ca="1" si="18"/>
        <v>2</v>
      </c>
    </row>
    <row r="249" spans="1:47" x14ac:dyDescent="0.3">
      <c r="A249" t="s">
        <v>404</v>
      </c>
      <c r="B249" t="str">
        <f t="shared" si="15"/>
        <v>S27_2026</v>
      </c>
      <c r="C249" t="str">
        <f t="shared" si="17"/>
        <v>S27_2026</v>
      </c>
      <c r="F249">
        <v>25</v>
      </c>
      <c r="G249" t="s">
        <v>40</v>
      </c>
      <c r="H249" t="s">
        <v>74</v>
      </c>
      <c r="I249" t="s">
        <v>178</v>
      </c>
      <c r="J249" t="s">
        <v>173</v>
      </c>
      <c r="K249" t="s">
        <v>124</v>
      </c>
      <c r="L249" t="s">
        <v>174</v>
      </c>
      <c r="M249" t="s">
        <v>124</v>
      </c>
      <c r="N249" t="s">
        <v>45</v>
      </c>
      <c r="O249" t="s">
        <v>45</v>
      </c>
      <c r="P249">
        <v>3</v>
      </c>
      <c r="Q249" s="7">
        <v>46208</v>
      </c>
      <c r="R249" s="7">
        <v>46208</v>
      </c>
      <c r="S249" s="7">
        <v>46208</v>
      </c>
      <c r="T249" t="s">
        <v>45</v>
      </c>
      <c r="V249" t="s">
        <v>387</v>
      </c>
      <c r="W249" t="s">
        <v>45</v>
      </c>
      <c r="X249" t="s">
        <v>74</v>
      </c>
      <c r="Y249" t="s">
        <v>46</v>
      </c>
      <c r="Z249" t="s">
        <v>150</v>
      </c>
      <c r="AF249">
        <v>2</v>
      </c>
      <c r="AH249" t="s">
        <v>75</v>
      </c>
      <c r="AI249">
        <v>1</v>
      </c>
      <c r="AJ249" s="9"/>
      <c r="AM249"/>
      <c r="AN249" t="s">
        <v>74</v>
      </c>
      <c r="AO249" t="s">
        <v>74</v>
      </c>
      <c r="AP249"/>
      <c r="AQ249" t="s">
        <v>74</v>
      </c>
      <c r="AR249" s="18" t="str">
        <f>IFERROR(VLOOKUP(K249,[1]POP!$F:$J,1,0),M249)</f>
        <v>MADA</v>
      </c>
      <c r="AS249" s="18" t="str">
        <f t="shared" si="16"/>
        <v>TCHIKA</v>
      </c>
      <c r="AT249" s="19">
        <f t="shared" si="19"/>
        <v>2</v>
      </c>
      <c r="AU249" s="19">
        <f t="shared" ca="1" si="18"/>
        <v>2</v>
      </c>
    </row>
    <row r="250" spans="1:47" x14ac:dyDescent="0.3">
      <c r="A250" t="s">
        <v>405</v>
      </c>
      <c r="B250" t="str">
        <f t="shared" si="15"/>
        <v>S27_2026</v>
      </c>
      <c r="C250" t="str">
        <f t="shared" si="17"/>
        <v>S27_2026</v>
      </c>
      <c r="F250">
        <v>27</v>
      </c>
      <c r="G250" t="s">
        <v>40</v>
      </c>
      <c r="H250" t="s">
        <v>74</v>
      </c>
      <c r="I250" t="s">
        <v>178</v>
      </c>
      <c r="J250" t="s">
        <v>173</v>
      </c>
      <c r="K250" t="s">
        <v>124</v>
      </c>
      <c r="L250" t="s">
        <v>174</v>
      </c>
      <c r="M250" t="s">
        <v>124</v>
      </c>
      <c r="N250" t="s">
        <v>45</v>
      </c>
      <c r="O250" t="s">
        <v>45</v>
      </c>
      <c r="P250">
        <v>2</v>
      </c>
      <c r="Q250" s="7">
        <v>46208</v>
      </c>
      <c r="R250" s="7">
        <v>46208</v>
      </c>
      <c r="S250" s="7">
        <v>46208</v>
      </c>
      <c r="T250" t="s">
        <v>45</v>
      </c>
      <c r="V250" t="s">
        <v>387</v>
      </c>
      <c r="W250" t="s">
        <v>45</v>
      </c>
      <c r="X250" t="s">
        <v>74</v>
      </c>
      <c r="Y250" t="s">
        <v>46</v>
      </c>
      <c r="Z250" t="s">
        <v>150</v>
      </c>
      <c r="AF250">
        <v>2</v>
      </c>
      <c r="AH250" t="s">
        <v>75</v>
      </c>
      <c r="AI250">
        <v>1</v>
      </c>
      <c r="AJ250" s="9"/>
      <c r="AM250"/>
      <c r="AN250" t="s">
        <v>74</v>
      </c>
      <c r="AO250" t="s">
        <v>74</v>
      </c>
      <c r="AP250"/>
      <c r="AQ250" t="s">
        <v>74</v>
      </c>
      <c r="AR250" s="18" t="str">
        <f>IFERROR(VLOOKUP(K250,[1]POP!$F:$J,1,0),M250)</f>
        <v>MADA</v>
      </c>
      <c r="AS250" s="18" t="str">
        <f t="shared" si="16"/>
        <v>TCHIKA</v>
      </c>
      <c r="AT250" s="19">
        <f t="shared" si="19"/>
        <v>2</v>
      </c>
      <c r="AU250" s="19">
        <f t="shared" ca="1" si="18"/>
        <v>2</v>
      </c>
    </row>
    <row r="251" spans="1:47" x14ac:dyDescent="0.3">
      <c r="A251" t="s">
        <v>406</v>
      </c>
      <c r="B251" t="str">
        <f t="shared" si="15"/>
        <v>S27_2026</v>
      </c>
      <c r="C251" t="str">
        <f t="shared" si="17"/>
        <v>S27_2026</v>
      </c>
      <c r="F251">
        <v>6</v>
      </c>
      <c r="G251" t="s">
        <v>55</v>
      </c>
      <c r="I251" t="s">
        <v>407</v>
      </c>
      <c r="J251" t="s">
        <v>174</v>
      </c>
      <c r="K251" t="s">
        <v>124</v>
      </c>
      <c r="L251" t="s">
        <v>174</v>
      </c>
      <c r="M251" t="s">
        <v>124</v>
      </c>
      <c r="N251" t="s">
        <v>45</v>
      </c>
      <c r="O251" t="s">
        <v>45</v>
      </c>
      <c r="P251">
        <v>3</v>
      </c>
      <c r="Q251" s="7">
        <v>46208</v>
      </c>
      <c r="R251" s="7">
        <v>46208</v>
      </c>
      <c r="S251" s="7">
        <v>46208</v>
      </c>
      <c r="T251" t="s">
        <v>45</v>
      </c>
      <c r="V251" t="s">
        <v>387</v>
      </c>
      <c r="W251" t="s">
        <v>45</v>
      </c>
      <c r="X251" t="s">
        <v>74</v>
      </c>
      <c r="Y251" t="s">
        <v>46</v>
      </c>
      <c r="Z251" t="s">
        <v>150</v>
      </c>
      <c r="AF251">
        <v>2</v>
      </c>
      <c r="AH251" t="s">
        <v>75</v>
      </c>
      <c r="AI251">
        <v>1</v>
      </c>
      <c r="AJ251" s="9"/>
      <c r="AM251"/>
      <c r="AN251" t="s">
        <v>74</v>
      </c>
      <c r="AO251" t="s">
        <v>74</v>
      </c>
      <c r="AP251"/>
      <c r="AQ251" t="s">
        <v>74</v>
      </c>
      <c r="AR251" s="18" t="str">
        <f>IFERROR(VLOOKUP(K251,[1]POP!$F:$J,1,0),M251)</f>
        <v>MADA</v>
      </c>
      <c r="AS251" s="18" t="str">
        <f t="shared" si="16"/>
        <v>HILE ALIFA</v>
      </c>
      <c r="AT251" s="19">
        <f t="shared" si="19"/>
        <v>2</v>
      </c>
      <c r="AU251" s="19">
        <f t="shared" ca="1" si="18"/>
        <v>2</v>
      </c>
    </row>
    <row r="252" spans="1:47" x14ac:dyDescent="0.3">
      <c r="A252" t="s">
        <v>408</v>
      </c>
      <c r="B252" t="str">
        <f t="shared" si="15"/>
        <v>S27_2026</v>
      </c>
      <c r="C252" t="str">
        <f t="shared" si="17"/>
        <v>S27_2026</v>
      </c>
      <c r="F252">
        <v>2</v>
      </c>
      <c r="G252" t="s">
        <v>40</v>
      </c>
      <c r="I252" t="s">
        <v>178</v>
      </c>
      <c r="J252" t="s">
        <v>173</v>
      </c>
      <c r="K252" t="s">
        <v>124</v>
      </c>
      <c r="L252" t="s">
        <v>174</v>
      </c>
      <c r="M252" t="s">
        <v>124</v>
      </c>
      <c r="N252" t="s">
        <v>45</v>
      </c>
      <c r="O252" t="s">
        <v>74</v>
      </c>
      <c r="P252">
        <v>1</v>
      </c>
      <c r="Q252" s="7">
        <v>46208</v>
      </c>
      <c r="R252" s="7">
        <v>46208</v>
      </c>
      <c r="S252" s="7">
        <v>46208</v>
      </c>
      <c r="T252" t="s">
        <v>45</v>
      </c>
      <c r="V252" t="s">
        <v>387</v>
      </c>
      <c r="W252" t="s">
        <v>45</v>
      </c>
      <c r="X252" t="s">
        <v>74</v>
      </c>
      <c r="Y252" t="s">
        <v>46</v>
      </c>
      <c r="Z252" t="s">
        <v>150</v>
      </c>
      <c r="AF252">
        <v>2</v>
      </c>
      <c r="AH252" t="s">
        <v>75</v>
      </c>
      <c r="AI252">
        <v>1</v>
      </c>
      <c r="AJ252" s="9"/>
      <c r="AM252"/>
      <c r="AN252" t="s">
        <v>74</v>
      </c>
      <c r="AO252" t="s">
        <v>74</v>
      </c>
      <c r="AP252"/>
      <c r="AQ252" t="s">
        <v>74</v>
      </c>
      <c r="AR252" s="18" t="str">
        <f>IFERROR(VLOOKUP(K252,[1]POP!$F:$J,1,0),M252)</f>
        <v>MADA</v>
      </c>
      <c r="AS252" s="18" t="str">
        <f t="shared" si="16"/>
        <v>TCHIKA</v>
      </c>
      <c r="AT252" s="19">
        <f t="shared" si="19"/>
        <v>2</v>
      </c>
      <c r="AU252" s="19">
        <f t="shared" ca="1" si="18"/>
        <v>2</v>
      </c>
    </row>
    <row r="253" spans="1:47" x14ac:dyDescent="0.3">
      <c r="A253" t="s">
        <v>409</v>
      </c>
      <c r="B253" t="str">
        <f t="shared" si="15"/>
        <v>S27_2026</v>
      </c>
      <c r="C253" t="str">
        <f t="shared" si="17"/>
        <v>S27_2026</v>
      </c>
      <c r="F253">
        <v>3</v>
      </c>
      <c r="G253" t="s">
        <v>40</v>
      </c>
      <c r="I253" t="s">
        <v>178</v>
      </c>
      <c r="J253" t="s">
        <v>173</v>
      </c>
      <c r="K253" t="s">
        <v>124</v>
      </c>
      <c r="L253" t="s">
        <v>174</v>
      </c>
      <c r="M253" t="s">
        <v>124</v>
      </c>
      <c r="N253" t="s">
        <v>45</v>
      </c>
      <c r="O253" t="s">
        <v>45</v>
      </c>
      <c r="P253">
        <v>2</v>
      </c>
      <c r="Q253" s="7">
        <v>46208</v>
      </c>
      <c r="R253" s="7">
        <v>46208</v>
      </c>
      <c r="S253" s="7">
        <v>46208</v>
      </c>
      <c r="T253" t="s">
        <v>45</v>
      </c>
      <c r="V253" t="s">
        <v>387</v>
      </c>
      <c r="W253" t="s">
        <v>45</v>
      </c>
      <c r="X253" t="s">
        <v>74</v>
      </c>
      <c r="Y253" t="s">
        <v>46</v>
      </c>
      <c r="Z253" t="s">
        <v>150</v>
      </c>
      <c r="AF253">
        <v>2</v>
      </c>
      <c r="AH253" t="s">
        <v>75</v>
      </c>
      <c r="AI253">
        <v>1</v>
      </c>
      <c r="AJ253" s="9"/>
      <c r="AM253"/>
      <c r="AN253" t="s">
        <v>74</v>
      </c>
      <c r="AO253" t="s">
        <v>74</v>
      </c>
      <c r="AP253"/>
      <c r="AQ253" t="s">
        <v>74</v>
      </c>
      <c r="AR253" s="18" t="str">
        <f>IFERROR(VLOOKUP(K253,[1]POP!$F:$J,1,0),M253)</f>
        <v>MADA</v>
      </c>
      <c r="AS253" s="18" t="str">
        <f t="shared" si="16"/>
        <v>TCHIKA</v>
      </c>
      <c r="AT253" s="19">
        <f t="shared" si="19"/>
        <v>2</v>
      </c>
      <c r="AU253" s="19">
        <f t="shared" ca="1" si="18"/>
        <v>2</v>
      </c>
    </row>
    <row r="254" spans="1:47" x14ac:dyDescent="0.3">
      <c r="A254" t="s">
        <v>410</v>
      </c>
      <c r="B254" t="str">
        <f t="shared" si="15"/>
        <v>S27_2026</v>
      </c>
      <c r="C254" t="str">
        <f t="shared" si="17"/>
        <v>S27_2026</v>
      </c>
      <c r="F254">
        <v>6</v>
      </c>
      <c r="G254" t="s">
        <v>55</v>
      </c>
      <c r="I254" t="s">
        <v>178</v>
      </c>
      <c r="J254" t="s">
        <v>173</v>
      </c>
      <c r="K254" t="s">
        <v>124</v>
      </c>
      <c r="L254" t="s">
        <v>174</v>
      </c>
      <c r="M254" t="s">
        <v>124</v>
      </c>
      <c r="N254" t="s">
        <v>45</v>
      </c>
      <c r="O254" t="s">
        <v>45</v>
      </c>
      <c r="P254">
        <v>3</v>
      </c>
      <c r="Q254" s="7">
        <v>46208</v>
      </c>
      <c r="R254" s="7">
        <v>46208</v>
      </c>
      <c r="S254" s="7">
        <v>46208</v>
      </c>
      <c r="T254" t="s">
        <v>45</v>
      </c>
      <c r="V254" t="s">
        <v>387</v>
      </c>
      <c r="W254" t="s">
        <v>45</v>
      </c>
      <c r="X254" t="s">
        <v>74</v>
      </c>
      <c r="Y254" t="s">
        <v>46</v>
      </c>
      <c r="Z254" t="s">
        <v>150</v>
      </c>
      <c r="AF254">
        <v>2</v>
      </c>
      <c r="AH254" t="s">
        <v>75</v>
      </c>
      <c r="AI254">
        <v>1</v>
      </c>
      <c r="AJ254" s="9"/>
      <c r="AM254"/>
      <c r="AN254" t="s">
        <v>74</v>
      </c>
      <c r="AO254" t="s">
        <v>74</v>
      </c>
      <c r="AP254"/>
      <c r="AQ254" t="s">
        <v>74</v>
      </c>
      <c r="AR254" s="18" t="str">
        <f>IFERROR(VLOOKUP(K254,[1]POP!$F:$J,1,0),M254)</f>
        <v>MADA</v>
      </c>
      <c r="AS254" s="18" t="str">
        <f t="shared" si="16"/>
        <v>TCHIKA</v>
      </c>
      <c r="AT254" s="19">
        <f t="shared" si="19"/>
        <v>2</v>
      </c>
      <c r="AU254" s="19">
        <f t="shared" ca="1" si="18"/>
        <v>2</v>
      </c>
    </row>
    <row r="255" spans="1:47" x14ac:dyDescent="0.3">
      <c r="A255" t="s">
        <v>411</v>
      </c>
      <c r="B255" t="str">
        <f t="shared" si="15"/>
        <v>S27_2026</v>
      </c>
      <c r="C255" t="str">
        <f t="shared" si="17"/>
        <v>S27_2026</v>
      </c>
      <c r="F255">
        <v>3</v>
      </c>
      <c r="G255" t="s">
        <v>40</v>
      </c>
      <c r="I255" t="s">
        <v>234</v>
      </c>
      <c r="J255" t="s">
        <v>166</v>
      </c>
      <c r="K255" t="s">
        <v>124</v>
      </c>
      <c r="L255" t="s">
        <v>166</v>
      </c>
      <c r="M255" t="s">
        <v>124</v>
      </c>
      <c r="N255" t="s">
        <v>45</v>
      </c>
      <c r="O255" t="s">
        <v>45</v>
      </c>
      <c r="P255">
        <v>3</v>
      </c>
      <c r="Q255" s="7">
        <v>46208</v>
      </c>
      <c r="R255" s="7">
        <v>46208</v>
      </c>
      <c r="S255" s="7">
        <v>46208</v>
      </c>
      <c r="T255" t="s">
        <v>45</v>
      </c>
      <c r="V255" t="s">
        <v>167</v>
      </c>
      <c r="W255" t="s">
        <v>45</v>
      </c>
      <c r="X255" t="s">
        <v>74</v>
      </c>
      <c r="Y255" t="s">
        <v>46</v>
      </c>
      <c r="Z255" t="s">
        <v>150</v>
      </c>
      <c r="AF255">
        <v>2</v>
      </c>
      <c r="AH255" t="s">
        <v>75</v>
      </c>
      <c r="AI255">
        <v>1</v>
      </c>
      <c r="AJ255" s="9"/>
      <c r="AK255" t="s">
        <v>74</v>
      </c>
      <c r="AM255"/>
      <c r="AN255" t="s">
        <v>74</v>
      </c>
      <c r="AO255" t="s">
        <v>74</v>
      </c>
      <c r="AP255"/>
      <c r="AQ255" t="s">
        <v>74</v>
      </c>
      <c r="AR255" s="18" t="str">
        <f>IFERROR(VLOOKUP(K255,[1]POP!$F:$J,1,0),M255)</f>
        <v>MADA</v>
      </c>
      <c r="AS255" s="18" t="str">
        <f t="shared" si="16"/>
        <v>BARGARAM</v>
      </c>
      <c r="AT255" s="19">
        <f t="shared" si="19"/>
        <v>2</v>
      </c>
      <c r="AU255" s="19">
        <f t="shared" ca="1" si="18"/>
        <v>2</v>
      </c>
    </row>
    <row r="256" spans="1:47" x14ac:dyDescent="0.3">
      <c r="A256" t="s">
        <v>412</v>
      </c>
      <c r="B256" t="str">
        <f t="shared" si="15"/>
        <v>S27_2026</v>
      </c>
      <c r="C256" t="str">
        <f t="shared" si="17"/>
        <v>S27_2026</v>
      </c>
      <c r="F256">
        <v>3</v>
      </c>
      <c r="G256" t="s">
        <v>55</v>
      </c>
      <c r="I256" t="s">
        <v>234</v>
      </c>
      <c r="J256" t="s">
        <v>166</v>
      </c>
      <c r="K256" t="s">
        <v>124</v>
      </c>
      <c r="L256" t="s">
        <v>166</v>
      </c>
      <c r="M256" t="s">
        <v>124</v>
      </c>
      <c r="N256" t="s">
        <v>45</v>
      </c>
      <c r="O256" t="s">
        <v>45</v>
      </c>
      <c r="P256">
        <v>3</v>
      </c>
      <c r="Q256" s="7">
        <v>46208</v>
      </c>
      <c r="R256" s="7">
        <v>46208</v>
      </c>
      <c r="S256" s="7">
        <v>46208</v>
      </c>
      <c r="T256" t="s">
        <v>45</v>
      </c>
      <c r="V256" t="s">
        <v>167</v>
      </c>
      <c r="W256" t="s">
        <v>45</v>
      </c>
      <c r="X256" t="s">
        <v>74</v>
      </c>
      <c r="Y256" t="s">
        <v>46</v>
      </c>
      <c r="Z256" t="s">
        <v>150</v>
      </c>
      <c r="AF256">
        <v>2</v>
      </c>
      <c r="AH256" t="s">
        <v>75</v>
      </c>
      <c r="AI256">
        <v>1</v>
      </c>
      <c r="AJ256" s="13"/>
      <c r="AK256" t="s">
        <v>74</v>
      </c>
      <c r="AM256"/>
      <c r="AN256" t="s">
        <v>74</v>
      </c>
      <c r="AO256" t="s">
        <v>74</v>
      </c>
      <c r="AP256"/>
      <c r="AQ256" t="s">
        <v>74</v>
      </c>
      <c r="AR256" s="18" t="str">
        <f>IFERROR(VLOOKUP(K256,[1]POP!$F:$J,1,0),M256)</f>
        <v>MADA</v>
      </c>
      <c r="AS256" s="18" t="str">
        <f t="shared" si="16"/>
        <v>BARGARAM</v>
      </c>
      <c r="AT256" s="19">
        <f t="shared" si="19"/>
        <v>2</v>
      </c>
      <c r="AU256" s="19">
        <f t="shared" ca="1" si="18"/>
        <v>2</v>
      </c>
    </row>
    <row r="257" spans="1:47" x14ac:dyDescent="0.3">
      <c r="A257" t="s">
        <v>413</v>
      </c>
      <c r="B257" t="str">
        <f t="shared" si="15"/>
        <v>S27_2026</v>
      </c>
      <c r="C257" t="str">
        <f t="shared" si="17"/>
        <v>S27_2026</v>
      </c>
      <c r="F257">
        <v>2</v>
      </c>
      <c r="G257" t="s">
        <v>40</v>
      </c>
      <c r="I257" t="s">
        <v>166</v>
      </c>
      <c r="J257" t="s">
        <v>166</v>
      </c>
      <c r="K257" t="s">
        <v>124</v>
      </c>
      <c r="L257" t="s">
        <v>166</v>
      </c>
      <c r="M257" t="s">
        <v>124</v>
      </c>
      <c r="N257" t="s">
        <v>45</v>
      </c>
      <c r="O257" t="s">
        <v>45</v>
      </c>
      <c r="P257">
        <v>3</v>
      </c>
      <c r="Q257" s="7">
        <v>46208</v>
      </c>
      <c r="R257" s="7">
        <v>46208</v>
      </c>
      <c r="S257" s="7">
        <v>46208</v>
      </c>
      <c r="T257" t="s">
        <v>45</v>
      </c>
      <c r="V257" t="s">
        <v>167</v>
      </c>
      <c r="W257" t="s">
        <v>45</v>
      </c>
      <c r="X257" t="s">
        <v>74</v>
      </c>
      <c r="Y257" t="s">
        <v>46</v>
      </c>
      <c r="Z257" t="s">
        <v>150</v>
      </c>
      <c r="AF257">
        <v>2</v>
      </c>
      <c r="AH257" t="s">
        <v>75</v>
      </c>
      <c r="AI257">
        <v>1</v>
      </c>
      <c r="AJ257" s="13"/>
      <c r="AK257" t="s">
        <v>74</v>
      </c>
      <c r="AM257"/>
      <c r="AN257" t="s">
        <v>74</v>
      </c>
      <c r="AO257" t="s">
        <v>74</v>
      </c>
      <c r="AP257"/>
      <c r="AQ257" t="s">
        <v>74</v>
      </c>
      <c r="AR257" s="18" t="str">
        <f>IFERROR(VLOOKUP(K257,[1]POP!$F:$J,1,0),M257)</f>
        <v>MADA</v>
      </c>
      <c r="AS257" s="18" t="str">
        <f t="shared" si="16"/>
        <v>BARGARAM</v>
      </c>
      <c r="AT257" s="19">
        <f t="shared" si="19"/>
        <v>2</v>
      </c>
      <c r="AU257" s="19">
        <f t="shared" ca="1" si="18"/>
        <v>2</v>
      </c>
    </row>
    <row r="258" spans="1:47" x14ac:dyDescent="0.3">
      <c r="A258" t="s">
        <v>414</v>
      </c>
      <c r="B258" t="str">
        <f t="shared" ref="B258:B321" si="20">"S"&amp;(IF(_xlfn.ISOWEEKNUM(S258)&gt;9,_xlfn.ISOWEEKNUM(S258),_xlfn.CONCAT("0",_xlfn.ISOWEEKNUM(S258))))&amp;"_"&amp;(YEAR(S258+26-(_xlfn.ISOWEEKNUM(S258))))</f>
        <v>S27_2026</v>
      </c>
      <c r="C258" t="str">
        <f t="shared" si="17"/>
        <v>S27_2026</v>
      </c>
      <c r="F258">
        <v>4</v>
      </c>
      <c r="G258" t="s">
        <v>55</v>
      </c>
      <c r="I258" t="s">
        <v>234</v>
      </c>
      <c r="J258" t="s">
        <v>166</v>
      </c>
      <c r="K258" t="s">
        <v>124</v>
      </c>
      <c r="L258" t="s">
        <v>166</v>
      </c>
      <c r="M258" t="s">
        <v>124</v>
      </c>
      <c r="N258" t="s">
        <v>45</v>
      </c>
      <c r="O258" t="s">
        <v>45</v>
      </c>
      <c r="P258">
        <v>3</v>
      </c>
      <c r="Q258" s="7">
        <v>46208</v>
      </c>
      <c r="R258" s="7">
        <v>46208</v>
      </c>
      <c r="S258" s="7">
        <v>46208</v>
      </c>
      <c r="T258" t="s">
        <v>45</v>
      </c>
      <c r="V258" t="s">
        <v>167</v>
      </c>
      <c r="W258" t="s">
        <v>45</v>
      </c>
      <c r="X258" t="s">
        <v>74</v>
      </c>
      <c r="Y258" t="s">
        <v>46</v>
      </c>
      <c r="Z258" t="s">
        <v>150</v>
      </c>
      <c r="AF258">
        <v>2</v>
      </c>
      <c r="AH258" t="s">
        <v>75</v>
      </c>
      <c r="AI258">
        <v>1</v>
      </c>
      <c r="AJ258" s="13"/>
      <c r="AK258" t="s">
        <v>74</v>
      </c>
      <c r="AM258"/>
      <c r="AN258" t="s">
        <v>74</v>
      </c>
      <c r="AO258" t="s">
        <v>74</v>
      </c>
      <c r="AP258"/>
      <c r="AQ258" t="s">
        <v>74</v>
      </c>
      <c r="AR258" s="18" t="str">
        <f>IFERROR(VLOOKUP(K258,[1]POP!$F:$J,1,0),M258)</f>
        <v>MADA</v>
      </c>
      <c r="AS258" s="18" t="str">
        <f t="shared" ref="AS258:AS321" si="21">IF(AR258=K258,J258,L258)</f>
        <v>BARGARAM</v>
      </c>
      <c r="AT258" s="19">
        <f t="shared" si="19"/>
        <v>2</v>
      </c>
      <c r="AU258" s="19">
        <f t="shared" ca="1" si="18"/>
        <v>2</v>
      </c>
    </row>
    <row r="259" spans="1:47" x14ac:dyDescent="0.3">
      <c r="A259" t="s">
        <v>415</v>
      </c>
      <c r="B259" t="str">
        <f t="shared" si="20"/>
        <v>S27_2026</v>
      </c>
      <c r="C259" t="str">
        <f t="shared" ref="C259:C322" si="22">"S"&amp;(IF(_xlfn.ISOWEEKNUM(Q259)&gt;9,_xlfn.ISOWEEKNUM(Q259),_xlfn.CONCAT("0",_xlfn.ISOWEEKNUM(Q259))))&amp;"_"&amp;(YEAR(Q259+26-(_xlfn.ISOWEEKNUM(Q259))))</f>
        <v>S27_2026</v>
      </c>
      <c r="F259">
        <v>3</v>
      </c>
      <c r="G259" t="s">
        <v>40</v>
      </c>
      <c r="I259" t="s">
        <v>332</v>
      </c>
      <c r="J259" t="s">
        <v>166</v>
      </c>
      <c r="K259" t="s">
        <v>124</v>
      </c>
      <c r="L259" t="s">
        <v>166</v>
      </c>
      <c r="M259" t="s">
        <v>124</v>
      </c>
      <c r="N259" t="s">
        <v>45</v>
      </c>
      <c r="O259" t="s">
        <v>45</v>
      </c>
      <c r="P259">
        <v>3</v>
      </c>
      <c r="Q259" s="7">
        <v>46208</v>
      </c>
      <c r="R259" s="7">
        <v>46208</v>
      </c>
      <c r="S259" s="7">
        <v>46208</v>
      </c>
      <c r="T259" t="s">
        <v>45</v>
      </c>
      <c r="V259" t="s">
        <v>167</v>
      </c>
      <c r="W259" t="s">
        <v>45</v>
      </c>
      <c r="X259" t="s">
        <v>74</v>
      </c>
      <c r="Y259" t="s">
        <v>46</v>
      </c>
      <c r="Z259" t="s">
        <v>150</v>
      </c>
      <c r="AF259">
        <v>2</v>
      </c>
      <c r="AH259" t="s">
        <v>75</v>
      </c>
      <c r="AI259">
        <v>1</v>
      </c>
      <c r="AJ259" s="13"/>
      <c r="AK259" t="s">
        <v>74</v>
      </c>
      <c r="AM259"/>
      <c r="AN259" t="s">
        <v>74</v>
      </c>
      <c r="AO259" t="s">
        <v>74</v>
      </c>
      <c r="AP259"/>
      <c r="AQ259" t="s">
        <v>74</v>
      </c>
      <c r="AR259" s="18" t="str">
        <f>IFERROR(VLOOKUP(K259,[1]POP!$F:$J,1,0),M259)</f>
        <v>MADA</v>
      </c>
      <c r="AS259" s="18" t="str">
        <f t="shared" si="21"/>
        <v>BARGARAM</v>
      </c>
      <c r="AT259" s="19">
        <f t="shared" si="19"/>
        <v>2</v>
      </c>
      <c r="AU259" s="19">
        <f t="shared" ref="AU259:AU322" ca="1" si="23">IF((TODAY() - R259)&lt;=21,1,2)</f>
        <v>2</v>
      </c>
    </row>
    <row r="260" spans="1:47" x14ac:dyDescent="0.3">
      <c r="A260" t="s">
        <v>416</v>
      </c>
      <c r="B260" t="str">
        <f t="shared" si="20"/>
        <v>S27_2026</v>
      </c>
      <c r="C260" t="str">
        <f t="shared" si="22"/>
        <v>S27_2026</v>
      </c>
      <c r="F260">
        <v>5</v>
      </c>
      <c r="G260" t="s">
        <v>55</v>
      </c>
      <c r="I260" t="s">
        <v>166</v>
      </c>
      <c r="J260" t="s">
        <v>166</v>
      </c>
      <c r="K260" t="s">
        <v>124</v>
      </c>
      <c r="L260" t="s">
        <v>166</v>
      </c>
      <c r="M260" t="s">
        <v>124</v>
      </c>
      <c r="N260" t="s">
        <v>45</v>
      </c>
      <c r="O260" t="s">
        <v>45</v>
      </c>
      <c r="P260">
        <v>3</v>
      </c>
      <c r="Q260" s="7">
        <v>46208</v>
      </c>
      <c r="R260" s="7">
        <v>46208</v>
      </c>
      <c r="S260" s="7">
        <v>46208</v>
      </c>
      <c r="T260" t="s">
        <v>45</v>
      </c>
      <c r="V260" t="s">
        <v>167</v>
      </c>
      <c r="W260" t="s">
        <v>45</v>
      </c>
      <c r="X260" t="s">
        <v>74</v>
      </c>
      <c r="Y260" t="s">
        <v>46</v>
      </c>
      <c r="Z260" t="s">
        <v>150</v>
      </c>
      <c r="AF260">
        <v>2</v>
      </c>
      <c r="AH260" t="s">
        <v>75</v>
      </c>
      <c r="AI260">
        <v>1</v>
      </c>
      <c r="AJ260" s="13"/>
      <c r="AK260" t="s">
        <v>74</v>
      </c>
      <c r="AM260"/>
      <c r="AN260" t="s">
        <v>74</v>
      </c>
      <c r="AO260" t="s">
        <v>74</v>
      </c>
      <c r="AP260"/>
      <c r="AQ260" t="s">
        <v>74</v>
      </c>
      <c r="AR260" s="18" t="str">
        <f>IFERROR(VLOOKUP(K260,[1]POP!$F:$J,1,0),M260)</f>
        <v>MADA</v>
      </c>
      <c r="AS260" s="18" t="str">
        <f t="shared" si="21"/>
        <v>BARGARAM</v>
      </c>
      <c r="AT260" s="19">
        <f t="shared" ref="AT260:AT323" si="24">IF($AI:$AI=2,3,IF($AI:$AI=3,3,IF($AI:$AI=4,3,IF($AI:$AI=1,2,0))))</f>
        <v>2</v>
      </c>
      <c r="AU260" s="19">
        <f t="shared" ca="1" si="23"/>
        <v>2</v>
      </c>
    </row>
    <row r="261" spans="1:47" x14ac:dyDescent="0.3">
      <c r="A261" t="s">
        <v>417</v>
      </c>
      <c r="B261" t="str">
        <f t="shared" si="20"/>
        <v>S27_2026</v>
      </c>
      <c r="C261" t="str">
        <f t="shared" si="22"/>
        <v>S27_2026</v>
      </c>
      <c r="F261">
        <v>8</v>
      </c>
      <c r="G261" t="s">
        <v>55</v>
      </c>
      <c r="I261" t="s">
        <v>234</v>
      </c>
      <c r="J261" t="s">
        <v>166</v>
      </c>
      <c r="K261" t="s">
        <v>124</v>
      </c>
      <c r="L261" t="s">
        <v>166</v>
      </c>
      <c r="M261" t="s">
        <v>124</v>
      </c>
      <c r="N261" t="s">
        <v>45</v>
      </c>
      <c r="O261" t="s">
        <v>45</v>
      </c>
      <c r="P261">
        <v>3</v>
      </c>
      <c r="Q261" s="7">
        <v>46208</v>
      </c>
      <c r="R261" s="7">
        <v>46208</v>
      </c>
      <c r="S261" s="7">
        <v>46208</v>
      </c>
      <c r="T261" t="s">
        <v>45</v>
      </c>
      <c r="V261" t="s">
        <v>167</v>
      </c>
      <c r="W261" t="s">
        <v>45</v>
      </c>
      <c r="X261" t="s">
        <v>74</v>
      </c>
      <c r="Y261" t="s">
        <v>46</v>
      </c>
      <c r="Z261" t="s">
        <v>150</v>
      </c>
      <c r="AF261">
        <v>2</v>
      </c>
      <c r="AH261" t="s">
        <v>75</v>
      </c>
      <c r="AI261">
        <v>1</v>
      </c>
      <c r="AJ261" s="13"/>
      <c r="AK261" t="s">
        <v>74</v>
      </c>
      <c r="AM261"/>
      <c r="AN261" t="s">
        <v>74</v>
      </c>
      <c r="AO261" t="s">
        <v>74</v>
      </c>
      <c r="AP261"/>
      <c r="AQ261" t="s">
        <v>74</v>
      </c>
      <c r="AR261" s="18" t="str">
        <f>IFERROR(VLOOKUP(K261,[1]POP!$F:$J,1,0),M261)</f>
        <v>MADA</v>
      </c>
      <c r="AS261" s="18" t="str">
        <f t="shared" si="21"/>
        <v>BARGARAM</v>
      </c>
      <c r="AT261" s="19">
        <f t="shared" si="24"/>
        <v>2</v>
      </c>
      <c r="AU261" s="19">
        <f t="shared" ca="1" si="23"/>
        <v>2</v>
      </c>
    </row>
    <row r="262" spans="1:47" x14ac:dyDescent="0.3">
      <c r="A262" t="s">
        <v>418</v>
      </c>
      <c r="B262" t="str">
        <f t="shared" si="20"/>
        <v>S27_2026</v>
      </c>
      <c r="C262" t="str">
        <f t="shared" si="22"/>
        <v>S27_2026</v>
      </c>
      <c r="F262">
        <v>10</v>
      </c>
      <c r="G262" t="s">
        <v>55</v>
      </c>
      <c r="I262" t="s">
        <v>166</v>
      </c>
      <c r="J262" t="s">
        <v>166</v>
      </c>
      <c r="K262" t="s">
        <v>124</v>
      </c>
      <c r="L262" t="s">
        <v>166</v>
      </c>
      <c r="M262" t="s">
        <v>124</v>
      </c>
      <c r="N262" t="s">
        <v>45</v>
      </c>
      <c r="O262" t="s">
        <v>45</v>
      </c>
      <c r="P262">
        <v>3</v>
      </c>
      <c r="Q262" s="7">
        <v>46208</v>
      </c>
      <c r="R262" s="7">
        <v>46208</v>
      </c>
      <c r="S262" s="7">
        <v>46208</v>
      </c>
      <c r="T262" t="s">
        <v>45</v>
      </c>
      <c r="V262" t="s">
        <v>167</v>
      </c>
      <c r="W262" t="s">
        <v>45</v>
      </c>
      <c r="X262" t="s">
        <v>74</v>
      </c>
      <c r="Y262" t="s">
        <v>46</v>
      </c>
      <c r="Z262" t="s">
        <v>150</v>
      </c>
      <c r="AF262">
        <v>2</v>
      </c>
      <c r="AH262" t="s">
        <v>75</v>
      </c>
      <c r="AI262">
        <v>1</v>
      </c>
      <c r="AJ262" s="13"/>
      <c r="AK262" t="s">
        <v>74</v>
      </c>
      <c r="AM262"/>
      <c r="AN262" t="s">
        <v>74</v>
      </c>
      <c r="AO262" t="s">
        <v>74</v>
      </c>
      <c r="AP262"/>
      <c r="AQ262" t="s">
        <v>74</v>
      </c>
      <c r="AR262" s="18" t="str">
        <f>IFERROR(VLOOKUP(K262,[1]POP!$F:$J,1,0),M262)</f>
        <v>MADA</v>
      </c>
      <c r="AS262" s="18" t="str">
        <f t="shared" si="21"/>
        <v>BARGARAM</v>
      </c>
      <c r="AT262" s="19">
        <f t="shared" si="24"/>
        <v>2</v>
      </c>
      <c r="AU262" s="19">
        <f t="shared" ca="1" si="23"/>
        <v>2</v>
      </c>
    </row>
    <row r="263" spans="1:47" x14ac:dyDescent="0.3">
      <c r="A263" t="s">
        <v>419</v>
      </c>
      <c r="B263" t="str">
        <f t="shared" si="20"/>
        <v>S27_2026</v>
      </c>
      <c r="C263" t="str">
        <f t="shared" si="22"/>
        <v>S27_2026</v>
      </c>
      <c r="F263">
        <v>14</v>
      </c>
      <c r="G263" t="s">
        <v>40</v>
      </c>
      <c r="I263" t="s">
        <v>332</v>
      </c>
      <c r="J263" t="s">
        <v>166</v>
      </c>
      <c r="K263" t="s">
        <v>124</v>
      </c>
      <c r="L263" t="s">
        <v>166</v>
      </c>
      <c r="M263" t="s">
        <v>124</v>
      </c>
      <c r="N263" t="s">
        <v>45</v>
      </c>
      <c r="O263" t="s">
        <v>45</v>
      </c>
      <c r="P263">
        <v>3</v>
      </c>
      <c r="Q263" s="7">
        <v>46208</v>
      </c>
      <c r="R263" s="7">
        <v>46208</v>
      </c>
      <c r="S263" s="7">
        <v>46208</v>
      </c>
      <c r="T263" t="s">
        <v>45</v>
      </c>
      <c r="V263" t="s">
        <v>167</v>
      </c>
      <c r="W263" t="s">
        <v>45</v>
      </c>
      <c r="X263" t="s">
        <v>74</v>
      </c>
      <c r="Y263" t="s">
        <v>46</v>
      </c>
      <c r="Z263" t="s">
        <v>150</v>
      </c>
      <c r="AF263">
        <v>2</v>
      </c>
      <c r="AH263" t="s">
        <v>75</v>
      </c>
      <c r="AI263">
        <v>1</v>
      </c>
      <c r="AJ263" s="13"/>
      <c r="AK263" t="s">
        <v>74</v>
      </c>
      <c r="AM263"/>
      <c r="AN263" t="s">
        <v>74</v>
      </c>
      <c r="AO263" t="s">
        <v>74</v>
      </c>
      <c r="AP263"/>
      <c r="AQ263" t="s">
        <v>74</v>
      </c>
      <c r="AR263" s="18" t="str">
        <f>IFERROR(VLOOKUP(K263,[1]POP!$F:$J,1,0),M263)</f>
        <v>MADA</v>
      </c>
      <c r="AS263" s="18" t="str">
        <f t="shared" si="21"/>
        <v>BARGARAM</v>
      </c>
      <c r="AT263" s="19">
        <f t="shared" si="24"/>
        <v>2</v>
      </c>
      <c r="AU263" s="19">
        <f t="shared" ca="1" si="23"/>
        <v>2</v>
      </c>
    </row>
    <row r="264" spans="1:47" x14ac:dyDescent="0.3">
      <c r="A264" t="s">
        <v>420</v>
      </c>
      <c r="B264" t="str">
        <f t="shared" si="20"/>
        <v>S27_2026</v>
      </c>
      <c r="C264" t="str">
        <f t="shared" si="22"/>
        <v>S27_2026</v>
      </c>
      <c r="F264">
        <v>3</v>
      </c>
      <c r="G264" t="s">
        <v>55</v>
      </c>
      <c r="I264" t="s">
        <v>166</v>
      </c>
      <c r="J264" t="s">
        <v>166</v>
      </c>
      <c r="K264" t="s">
        <v>124</v>
      </c>
      <c r="L264" t="s">
        <v>166</v>
      </c>
      <c r="M264" t="s">
        <v>124</v>
      </c>
      <c r="N264" t="s">
        <v>45</v>
      </c>
      <c r="O264" t="s">
        <v>45</v>
      </c>
      <c r="P264">
        <v>3</v>
      </c>
      <c r="Q264" s="7">
        <v>46208</v>
      </c>
      <c r="R264" s="7">
        <v>46208</v>
      </c>
      <c r="S264" s="7">
        <v>46208</v>
      </c>
      <c r="T264" t="s">
        <v>45</v>
      </c>
      <c r="V264" t="s">
        <v>167</v>
      </c>
      <c r="W264" t="s">
        <v>45</v>
      </c>
      <c r="X264" t="s">
        <v>74</v>
      </c>
      <c r="Y264" t="s">
        <v>46</v>
      </c>
      <c r="Z264" t="s">
        <v>150</v>
      </c>
      <c r="AF264">
        <v>2</v>
      </c>
      <c r="AH264" t="s">
        <v>75</v>
      </c>
      <c r="AI264">
        <v>1</v>
      </c>
      <c r="AJ264" s="13"/>
      <c r="AK264" t="s">
        <v>74</v>
      </c>
      <c r="AM264"/>
      <c r="AN264" t="s">
        <v>74</v>
      </c>
      <c r="AO264" t="s">
        <v>74</v>
      </c>
      <c r="AP264"/>
      <c r="AQ264" t="s">
        <v>74</v>
      </c>
      <c r="AR264" s="18" t="str">
        <f>IFERROR(VLOOKUP(K264,[1]POP!$F:$J,1,0),M264)</f>
        <v>MADA</v>
      </c>
      <c r="AS264" s="18" t="str">
        <f t="shared" si="21"/>
        <v>BARGARAM</v>
      </c>
      <c r="AT264" s="19">
        <f t="shared" si="24"/>
        <v>2</v>
      </c>
      <c r="AU264" s="19">
        <f t="shared" ca="1" si="23"/>
        <v>2</v>
      </c>
    </row>
    <row r="265" spans="1:47" x14ac:dyDescent="0.3">
      <c r="A265" t="s">
        <v>421</v>
      </c>
      <c r="B265" t="str">
        <f t="shared" si="20"/>
        <v>S27_2026</v>
      </c>
      <c r="C265" t="str">
        <f t="shared" si="22"/>
        <v>S27_2026</v>
      </c>
      <c r="F265">
        <v>45</v>
      </c>
      <c r="G265" t="s">
        <v>40</v>
      </c>
      <c r="H265" t="s">
        <v>77</v>
      </c>
      <c r="I265" t="s">
        <v>166</v>
      </c>
      <c r="J265" t="s">
        <v>166</v>
      </c>
      <c r="K265" t="s">
        <v>124</v>
      </c>
      <c r="L265" t="s">
        <v>166</v>
      </c>
      <c r="M265" t="s">
        <v>124</v>
      </c>
      <c r="N265" t="s">
        <v>45</v>
      </c>
      <c r="O265" t="s">
        <v>45</v>
      </c>
      <c r="P265">
        <v>3</v>
      </c>
      <c r="Q265" s="7">
        <v>46208</v>
      </c>
      <c r="R265" s="7">
        <v>46208</v>
      </c>
      <c r="S265" s="7">
        <v>46208</v>
      </c>
      <c r="T265" t="s">
        <v>45</v>
      </c>
      <c r="V265" t="s">
        <v>167</v>
      </c>
      <c r="W265" t="s">
        <v>45</v>
      </c>
      <c r="X265" t="s">
        <v>74</v>
      </c>
      <c r="Y265" t="s">
        <v>46</v>
      </c>
      <c r="Z265" t="s">
        <v>150</v>
      </c>
      <c r="AF265">
        <v>2</v>
      </c>
      <c r="AH265" t="s">
        <v>75</v>
      </c>
      <c r="AI265">
        <v>1</v>
      </c>
      <c r="AJ265" s="13"/>
      <c r="AK265" t="s">
        <v>74</v>
      </c>
      <c r="AM265"/>
      <c r="AN265" t="s">
        <v>74</v>
      </c>
      <c r="AO265" t="s">
        <v>74</v>
      </c>
      <c r="AP265"/>
      <c r="AQ265" t="s">
        <v>74</v>
      </c>
      <c r="AR265" s="18" t="str">
        <f>IFERROR(VLOOKUP(K265,[1]POP!$F:$J,1,0),M265)</f>
        <v>MADA</v>
      </c>
      <c r="AS265" s="18" t="str">
        <f t="shared" si="21"/>
        <v>BARGARAM</v>
      </c>
      <c r="AT265" s="19">
        <f t="shared" si="24"/>
        <v>2</v>
      </c>
      <c r="AU265" s="19">
        <f t="shared" ca="1" si="23"/>
        <v>2</v>
      </c>
    </row>
    <row r="266" spans="1:47" x14ac:dyDescent="0.3">
      <c r="A266" t="s">
        <v>422</v>
      </c>
      <c r="B266" t="str">
        <f t="shared" si="20"/>
        <v>S27_2026</v>
      </c>
      <c r="C266" t="str">
        <f t="shared" si="22"/>
        <v>S27_2026</v>
      </c>
      <c r="F266">
        <v>3</v>
      </c>
      <c r="G266" t="s">
        <v>40</v>
      </c>
      <c r="I266" t="s">
        <v>332</v>
      </c>
      <c r="J266" t="s">
        <v>166</v>
      </c>
      <c r="K266" t="s">
        <v>124</v>
      </c>
      <c r="L266" t="s">
        <v>166</v>
      </c>
      <c r="M266" t="s">
        <v>124</v>
      </c>
      <c r="N266" t="s">
        <v>45</v>
      </c>
      <c r="O266" t="s">
        <v>45</v>
      </c>
      <c r="P266">
        <v>3</v>
      </c>
      <c r="Q266" s="7">
        <v>46208</v>
      </c>
      <c r="R266" s="7">
        <v>46208</v>
      </c>
      <c r="S266" s="7">
        <v>46208</v>
      </c>
      <c r="T266" t="s">
        <v>45</v>
      </c>
      <c r="V266" t="s">
        <v>167</v>
      </c>
      <c r="W266" t="s">
        <v>45</v>
      </c>
      <c r="X266" t="s">
        <v>74</v>
      </c>
      <c r="Y266" t="s">
        <v>46</v>
      </c>
      <c r="Z266" t="s">
        <v>150</v>
      </c>
      <c r="AF266">
        <v>2</v>
      </c>
      <c r="AH266" t="s">
        <v>75</v>
      </c>
      <c r="AI266">
        <v>1</v>
      </c>
      <c r="AJ266" s="13"/>
      <c r="AK266" t="s">
        <v>74</v>
      </c>
      <c r="AM266"/>
      <c r="AN266" t="s">
        <v>74</v>
      </c>
      <c r="AO266" t="s">
        <v>74</v>
      </c>
      <c r="AP266"/>
      <c r="AQ266" t="s">
        <v>74</v>
      </c>
      <c r="AR266" s="18" t="str">
        <f>IFERROR(VLOOKUP(K266,[1]POP!$F:$J,1,0),M266)</f>
        <v>MADA</v>
      </c>
      <c r="AS266" s="18" t="str">
        <f t="shared" si="21"/>
        <v>BARGARAM</v>
      </c>
      <c r="AT266" s="19">
        <f t="shared" si="24"/>
        <v>2</v>
      </c>
      <c r="AU266" s="19">
        <f t="shared" ca="1" si="23"/>
        <v>2</v>
      </c>
    </row>
    <row r="267" spans="1:47" x14ac:dyDescent="0.3">
      <c r="A267" t="s">
        <v>423</v>
      </c>
      <c r="B267" t="str">
        <f t="shared" si="20"/>
        <v>S27_2026</v>
      </c>
      <c r="C267" t="str">
        <f t="shared" si="22"/>
        <v>S27_2026</v>
      </c>
      <c r="F267">
        <v>17</v>
      </c>
      <c r="G267" t="s">
        <v>55</v>
      </c>
      <c r="I267" t="s">
        <v>166</v>
      </c>
      <c r="J267" t="s">
        <v>166</v>
      </c>
      <c r="K267" t="s">
        <v>124</v>
      </c>
      <c r="L267" t="s">
        <v>166</v>
      </c>
      <c r="M267" t="s">
        <v>124</v>
      </c>
      <c r="N267" t="s">
        <v>45</v>
      </c>
      <c r="O267" t="s">
        <v>45</v>
      </c>
      <c r="P267">
        <v>3</v>
      </c>
      <c r="Q267" s="7">
        <v>46207</v>
      </c>
      <c r="R267" s="7">
        <v>46207</v>
      </c>
      <c r="S267" s="7">
        <v>46207</v>
      </c>
      <c r="T267" t="s">
        <v>45</v>
      </c>
      <c r="V267" t="s">
        <v>167</v>
      </c>
      <c r="W267" t="s">
        <v>45</v>
      </c>
      <c r="X267" t="s">
        <v>74</v>
      </c>
      <c r="Y267" t="s">
        <v>46</v>
      </c>
      <c r="Z267" t="s">
        <v>150</v>
      </c>
      <c r="AF267">
        <v>2</v>
      </c>
      <c r="AH267" t="s">
        <v>75</v>
      </c>
      <c r="AI267">
        <v>1</v>
      </c>
      <c r="AJ267" s="13"/>
      <c r="AK267" t="s">
        <v>74</v>
      </c>
      <c r="AM267"/>
      <c r="AN267" t="s">
        <v>74</v>
      </c>
      <c r="AO267" t="s">
        <v>74</v>
      </c>
      <c r="AP267"/>
      <c r="AQ267" t="s">
        <v>74</v>
      </c>
      <c r="AR267" s="18" t="str">
        <f>IFERROR(VLOOKUP(K267,[1]POP!$F:$J,1,0),M267)</f>
        <v>MADA</v>
      </c>
      <c r="AS267" s="18" t="str">
        <f t="shared" si="21"/>
        <v>BARGARAM</v>
      </c>
      <c r="AT267" s="19">
        <f t="shared" si="24"/>
        <v>2</v>
      </c>
      <c r="AU267" s="19">
        <f t="shared" ca="1" si="23"/>
        <v>2</v>
      </c>
    </row>
    <row r="268" spans="1:47" x14ac:dyDescent="0.3">
      <c r="A268" t="s">
        <v>424</v>
      </c>
      <c r="B268" t="str">
        <f t="shared" si="20"/>
        <v>S28_2026</v>
      </c>
      <c r="C268" t="str">
        <f t="shared" si="22"/>
        <v>S28_2026</v>
      </c>
      <c r="F268">
        <v>4</v>
      </c>
      <c r="G268" t="s">
        <v>40</v>
      </c>
      <c r="I268" t="s">
        <v>166</v>
      </c>
      <c r="J268" t="s">
        <v>166</v>
      </c>
      <c r="K268" t="s">
        <v>124</v>
      </c>
      <c r="L268" t="s">
        <v>166</v>
      </c>
      <c r="M268" t="s">
        <v>124</v>
      </c>
      <c r="N268" t="s">
        <v>45</v>
      </c>
      <c r="O268" t="s">
        <v>45</v>
      </c>
      <c r="P268">
        <v>3</v>
      </c>
      <c r="Q268" s="7">
        <v>46209</v>
      </c>
      <c r="R268" s="7">
        <v>46209</v>
      </c>
      <c r="S268" s="7">
        <v>46209</v>
      </c>
      <c r="T268" t="s">
        <v>45</v>
      </c>
      <c r="V268" t="s">
        <v>167</v>
      </c>
      <c r="W268" t="s">
        <v>45</v>
      </c>
      <c r="X268" t="s">
        <v>74</v>
      </c>
      <c r="Y268" t="s">
        <v>46</v>
      </c>
      <c r="Z268" t="s">
        <v>150</v>
      </c>
      <c r="AF268">
        <v>2</v>
      </c>
      <c r="AH268" t="s">
        <v>75</v>
      </c>
      <c r="AI268">
        <v>1</v>
      </c>
      <c r="AJ268" s="13"/>
      <c r="AK268" t="s">
        <v>74</v>
      </c>
      <c r="AM268"/>
      <c r="AN268" t="s">
        <v>74</v>
      </c>
      <c r="AO268" t="s">
        <v>74</v>
      </c>
      <c r="AP268"/>
      <c r="AQ268" t="s">
        <v>74</v>
      </c>
      <c r="AR268" s="18" t="str">
        <f>IFERROR(VLOOKUP(K268,[1]POP!$F:$J,1,0),M268)</f>
        <v>MADA</v>
      </c>
      <c r="AS268" s="18" t="str">
        <f t="shared" si="21"/>
        <v>BARGARAM</v>
      </c>
      <c r="AT268" s="19">
        <f t="shared" si="24"/>
        <v>2</v>
      </c>
      <c r="AU268" s="19">
        <f t="shared" ca="1" si="23"/>
        <v>2</v>
      </c>
    </row>
    <row r="269" spans="1:47" x14ac:dyDescent="0.3">
      <c r="A269" t="s">
        <v>425</v>
      </c>
      <c r="B269" t="str">
        <f t="shared" si="20"/>
        <v>S28_2026</v>
      </c>
      <c r="C269" t="str">
        <f t="shared" si="22"/>
        <v>S28_2026</v>
      </c>
      <c r="F269">
        <v>3</v>
      </c>
      <c r="G269" t="s">
        <v>40</v>
      </c>
      <c r="I269" t="s">
        <v>374</v>
      </c>
      <c r="J269" t="s">
        <v>166</v>
      </c>
      <c r="K269" t="s">
        <v>124</v>
      </c>
      <c r="L269" t="s">
        <v>166</v>
      </c>
      <c r="M269" t="s">
        <v>124</v>
      </c>
      <c r="N269" t="s">
        <v>45</v>
      </c>
      <c r="O269" t="s">
        <v>45</v>
      </c>
      <c r="P269">
        <v>3</v>
      </c>
      <c r="Q269" s="7">
        <v>46209</v>
      </c>
      <c r="R269" s="7">
        <v>46209</v>
      </c>
      <c r="S269" s="7">
        <v>46209</v>
      </c>
      <c r="T269" t="s">
        <v>45</v>
      </c>
      <c r="V269" t="s">
        <v>167</v>
      </c>
      <c r="W269" t="s">
        <v>45</v>
      </c>
      <c r="X269" t="s">
        <v>74</v>
      </c>
      <c r="Y269" t="s">
        <v>46</v>
      </c>
      <c r="Z269" t="s">
        <v>150</v>
      </c>
      <c r="AF269">
        <v>2</v>
      </c>
      <c r="AH269" t="s">
        <v>75</v>
      </c>
      <c r="AI269">
        <v>1</v>
      </c>
      <c r="AJ269" s="13"/>
      <c r="AK269" t="s">
        <v>74</v>
      </c>
      <c r="AM269"/>
      <c r="AN269" t="s">
        <v>74</v>
      </c>
      <c r="AO269" t="s">
        <v>74</v>
      </c>
      <c r="AP269"/>
      <c r="AQ269" t="s">
        <v>74</v>
      </c>
      <c r="AR269" s="18" t="str">
        <f>IFERROR(VLOOKUP(K269,[1]POP!$F:$J,1,0),M269)</f>
        <v>MADA</v>
      </c>
      <c r="AS269" s="18" t="str">
        <f t="shared" si="21"/>
        <v>BARGARAM</v>
      </c>
      <c r="AT269" s="19">
        <f t="shared" si="24"/>
        <v>2</v>
      </c>
      <c r="AU269" s="19">
        <f t="shared" ca="1" si="23"/>
        <v>2</v>
      </c>
    </row>
    <row r="270" spans="1:47" x14ac:dyDescent="0.3">
      <c r="A270" t="s">
        <v>426</v>
      </c>
      <c r="B270" t="str">
        <f t="shared" si="20"/>
        <v>S28_2026</v>
      </c>
      <c r="C270" t="str">
        <f t="shared" si="22"/>
        <v>S28_2026</v>
      </c>
      <c r="F270">
        <v>2</v>
      </c>
      <c r="G270" t="s">
        <v>40</v>
      </c>
      <c r="I270" t="s">
        <v>166</v>
      </c>
      <c r="J270" t="s">
        <v>166</v>
      </c>
      <c r="K270" t="s">
        <v>124</v>
      </c>
      <c r="L270" t="s">
        <v>166</v>
      </c>
      <c r="M270" t="s">
        <v>124</v>
      </c>
      <c r="N270" t="s">
        <v>45</v>
      </c>
      <c r="O270" t="s">
        <v>45</v>
      </c>
      <c r="P270">
        <v>3</v>
      </c>
      <c r="Q270" s="7">
        <v>46209</v>
      </c>
      <c r="R270" s="7">
        <v>46209</v>
      </c>
      <c r="S270" s="7">
        <v>46209</v>
      </c>
      <c r="T270" t="s">
        <v>45</v>
      </c>
      <c r="V270" t="s">
        <v>167</v>
      </c>
      <c r="W270" t="s">
        <v>45</v>
      </c>
      <c r="X270" t="s">
        <v>74</v>
      </c>
      <c r="Y270" t="s">
        <v>46</v>
      </c>
      <c r="Z270" t="s">
        <v>150</v>
      </c>
      <c r="AF270">
        <v>2</v>
      </c>
      <c r="AH270" t="s">
        <v>75</v>
      </c>
      <c r="AI270">
        <v>1</v>
      </c>
      <c r="AJ270" s="13"/>
      <c r="AK270" t="s">
        <v>74</v>
      </c>
      <c r="AM270"/>
      <c r="AN270" t="s">
        <v>74</v>
      </c>
      <c r="AO270" t="s">
        <v>74</v>
      </c>
      <c r="AP270"/>
      <c r="AQ270" t="s">
        <v>74</v>
      </c>
      <c r="AR270" s="18" t="str">
        <f>IFERROR(VLOOKUP(K270,[1]POP!$F:$J,1,0),M270)</f>
        <v>MADA</v>
      </c>
      <c r="AS270" s="18" t="str">
        <f t="shared" si="21"/>
        <v>BARGARAM</v>
      </c>
      <c r="AT270" s="19">
        <f t="shared" si="24"/>
        <v>2</v>
      </c>
      <c r="AU270" s="19">
        <f t="shared" ca="1" si="23"/>
        <v>2</v>
      </c>
    </row>
    <row r="271" spans="1:47" x14ac:dyDescent="0.3">
      <c r="A271" t="s">
        <v>427</v>
      </c>
      <c r="B271" t="str">
        <f t="shared" si="20"/>
        <v>S28_2026</v>
      </c>
      <c r="C271" t="str">
        <f t="shared" si="22"/>
        <v>S28_2026</v>
      </c>
      <c r="F271">
        <v>3</v>
      </c>
      <c r="G271" t="s">
        <v>55</v>
      </c>
      <c r="I271" t="s">
        <v>238</v>
      </c>
      <c r="J271" t="s">
        <v>166</v>
      </c>
      <c r="K271" t="s">
        <v>124</v>
      </c>
      <c r="L271" t="s">
        <v>166</v>
      </c>
      <c r="M271" t="s">
        <v>124</v>
      </c>
      <c r="N271" t="s">
        <v>45</v>
      </c>
      <c r="O271" t="s">
        <v>45</v>
      </c>
      <c r="P271">
        <v>3</v>
      </c>
      <c r="Q271" s="7">
        <v>46209</v>
      </c>
      <c r="R271" s="7">
        <v>46209</v>
      </c>
      <c r="S271" s="7">
        <v>46209</v>
      </c>
      <c r="T271" t="s">
        <v>45</v>
      </c>
      <c r="V271" t="s">
        <v>167</v>
      </c>
      <c r="W271" t="s">
        <v>45</v>
      </c>
      <c r="X271" t="s">
        <v>74</v>
      </c>
      <c r="Y271" t="s">
        <v>46</v>
      </c>
      <c r="Z271" t="s">
        <v>150</v>
      </c>
      <c r="AF271">
        <v>2</v>
      </c>
      <c r="AH271" t="s">
        <v>75</v>
      </c>
      <c r="AI271">
        <v>1</v>
      </c>
      <c r="AJ271" s="13"/>
      <c r="AK271" t="s">
        <v>74</v>
      </c>
      <c r="AM271"/>
      <c r="AN271" t="s">
        <v>74</v>
      </c>
      <c r="AO271" t="s">
        <v>74</v>
      </c>
      <c r="AP271"/>
      <c r="AQ271" t="s">
        <v>74</v>
      </c>
      <c r="AR271" s="18" t="str">
        <f>IFERROR(VLOOKUP(K271,[1]POP!$F:$J,1,0),M271)</f>
        <v>MADA</v>
      </c>
      <c r="AS271" s="18" t="str">
        <f t="shared" si="21"/>
        <v>BARGARAM</v>
      </c>
      <c r="AT271" s="19">
        <f t="shared" si="24"/>
        <v>2</v>
      </c>
      <c r="AU271" s="19">
        <f t="shared" ca="1" si="23"/>
        <v>2</v>
      </c>
    </row>
    <row r="272" spans="1:47" x14ac:dyDescent="0.3">
      <c r="A272" t="s">
        <v>428</v>
      </c>
      <c r="B272" t="str">
        <f t="shared" si="20"/>
        <v>S28_2026</v>
      </c>
      <c r="C272" t="str">
        <f t="shared" si="22"/>
        <v>S28_2026</v>
      </c>
      <c r="F272">
        <v>20</v>
      </c>
      <c r="G272" t="s">
        <v>40</v>
      </c>
      <c r="I272" t="s">
        <v>429</v>
      </c>
      <c r="J272" t="s">
        <v>166</v>
      </c>
      <c r="K272" t="s">
        <v>124</v>
      </c>
      <c r="L272" t="s">
        <v>166</v>
      </c>
      <c r="M272" t="s">
        <v>124</v>
      </c>
      <c r="N272" t="s">
        <v>45</v>
      </c>
      <c r="O272" t="s">
        <v>45</v>
      </c>
      <c r="P272">
        <v>3</v>
      </c>
      <c r="Q272" s="7">
        <v>46209</v>
      </c>
      <c r="R272" s="7">
        <v>46209</v>
      </c>
      <c r="S272" s="7">
        <v>46209</v>
      </c>
      <c r="T272" t="s">
        <v>45</v>
      </c>
      <c r="V272" t="s">
        <v>167</v>
      </c>
      <c r="W272" t="s">
        <v>45</v>
      </c>
      <c r="X272" t="s">
        <v>74</v>
      </c>
      <c r="Y272" t="s">
        <v>46</v>
      </c>
      <c r="Z272" t="s">
        <v>150</v>
      </c>
      <c r="AF272">
        <v>2</v>
      </c>
      <c r="AH272" t="s">
        <v>75</v>
      </c>
      <c r="AI272">
        <v>1</v>
      </c>
      <c r="AJ272" s="13"/>
      <c r="AK272" t="s">
        <v>74</v>
      </c>
      <c r="AM272"/>
      <c r="AN272" t="s">
        <v>74</v>
      </c>
      <c r="AO272" t="s">
        <v>74</v>
      </c>
      <c r="AP272"/>
      <c r="AQ272" t="s">
        <v>74</v>
      </c>
      <c r="AR272" s="18" t="str">
        <f>IFERROR(VLOOKUP(K272,[1]POP!$F:$J,1,0),M272)</f>
        <v>MADA</v>
      </c>
      <c r="AS272" s="18" t="str">
        <f t="shared" si="21"/>
        <v>BARGARAM</v>
      </c>
      <c r="AT272" s="19">
        <f t="shared" si="24"/>
        <v>2</v>
      </c>
      <c r="AU272" s="19">
        <f t="shared" ca="1" si="23"/>
        <v>2</v>
      </c>
    </row>
    <row r="273" spans="1:47" x14ac:dyDescent="0.3">
      <c r="A273" t="s">
        <v>430</v>
      </c>
      <c r="B273" t="str">
        <f t="shared" si="20"/>
        <v>S28_2026</v>
      </c>
      <c r="C273" t="str">
        <f t="shared" si="22"/>
        <v>S28_2026</v>
      </c>
      <c r="F273">
        <v>13</v>
      </c>
      <c r="G273" t="s">
        <v>55</v>
      </c>
      <c r="I273" t="s">
        <v>234</v>
      </c>
      <c r="J273" t="s">
        <v>166</v>
      </c>
      <c r="K273" t="s">
        <v>124</v>
      </c>
      <c r="L273" t="s">
        <v>166</v>
      </c>
      <c r="M273" t="s">
        <v>124</v>
      </c>
      <c r="N273" t="s">
        <v>45</v>
      </c>
      <c r="O273" t="s">
        <v>45</v>
      </c>
      <c r="P273">
        <v>3</v>
      </c>
      <c r="Q273" s="7">
        <v>46209</v>
      </c>
      <c r="R273" s="7">
        <v>46209</v>
      </c>
      <c r="S273" s="7">
        <v>46209</v>
      </c>
      <c r="T273" t="s">
        <v>45</v>
      </c>
      <c r="V273" t="s">
        <v>167</v>
      </c>
      <c r="W273" t="s">
        <v>45</v>
      </c>
      <c r="X273" t="s">
        <v>74</v>
      </c>
      <c r="Y273" t="s">
        <v>46</v>
      </c>
      <c r="Z273" t="s">
        <v>150</v>
      </c>
      <c r="AF273">
        <v>2</v>
      </c>
      <c r="AH273" t="s">
        <v>75</v>
      </c>
      <c r="AI273">
        <v>1</v>
      </c>
      <c r="AJ273" s="13"/>
      <c r="AK273" t="s">
        <v>74</v>
      </c>
      <c r="AM273"/>
      <c r="AN273" t="s">
        <v>74</v>
      </c>
      <c r="AO273" t="s">
        <v>74</v>
      </c>
      <c r="AP273"/>
      <c r="AQ273" t="s">
        <v>74</v>
      </c>
      <c r="AR273" s="18" t="str">
        <f>IFERROR(VLOOKUP(K273,[1]POP!$F:$J,1,0),M273)</f>
        <v>MADA</v>
      </c>
      <c r="AS273" s="18" t="str">
        <f t="shared" si="21"/>
        <v>BARGARAM</v>
      </c>
      <c r="AT273" s="19">
        <f t="shared" si="24"/>
        <v>2</v>
      </c>
      <c r="AU273" s="19">
        <f t="shared" ca="1" si="23"/>
        <v>2</v>
      </c>
    </row>
    <row r="274" spans="1:47" x14ac:dyDescent="0.3">
      <c r="A274" t="s">
        <v>431</v>
      </c>
      <c r="B274" t="str">
        <f t="shared" si="20"/>
        <v>S28_2026</v>
      </c>
      <c r="C274" t="str">
        <f t="shared" si="22"/>
        <v>S28_2026</v>
      </c>
      <c r="F274">
        <v>20</v>
      </c>
      <c r="G274" t="s">
        <v>40</v>
      </c>
      <c r="I274" t="s">
        <v>374</v>
      </c>
      <c r="J274" t="s">
        <v>166</v>
      </c>
      <c r="K274" t="s">
        <v>124</v>
      </c>
      <c r="L274" t="s">
        <v>166</v>
      </c>
      <c r="M274" t="s">
        <v>124</v>
      </c>
      <c r="N274" t="s">
        <v>45</v>
      </c>
      <c r="O274" t="s">
        <v>45</v>
      </c>
      <c r="P274">
        <v>3</v>
      </c>
      <c r="Q274" s="7">
        <v>46209</v>
      </c>
      <c r="R274" s="7">
        <v>46209</v>
      </c>
      <c r="S274" s="7">
        <v>46209</v>
      </c>
      <c r="T274" t="s">
        <v>45</v>
      </c>
      <c r="V274" t="s">
        <v>167</v>
      </c>
      <c r="W274" t="s">
        <v>45</v>
      </c>
      <c r="X274" t="s">
        <v>74</v>
      </c>
      <c r="Y274" t="s">
        <v>46</v>
      </c>
      <c r="Z274" t="s">
        <v>150</v>
      </c>
      <c r="AF274">
        <v>2</v>
      </c>
      <c r="AH274" t="s">
        <v>75</v>
      </c>
      <c r="AI274">
        <v>1</v>
      </c>
      <c r="AJ274" s="9"/>
      <c r="AK274" t="s">
        <v>74</v>
      </c>
      <c r="AM274"/>
      <c r="AN274" t="s">
        <v>74</v>
      </c>
      <c r="AO274" t="s">
        <v>74</v>
      </c>
      <c r="AP274"/>
      <c r="AQ274" t="s">
        <v>74</v>
      </c>
      <c r="AR274" s="18" t="str">
        <f>IFERROR(VLOOKUP(K274,[1]POP!$F:$J,1,0),M274)</f>
        <v>MADA</v>
      </c>
      <c r="AS274" s="18" t="str">
        <f t="shared" si="21"/>
        <v>BARGARAM</v>
      </c>
      <c r="AT274" s="19">
        <f t="shared" si="24"/>
        <v>2</v>
      </c>
      <c r="AU274" s="19">
        <f t="shared" ca="1" si="23"/>
        <v>2</v>
      </c>
    </row>
    <row r="275" spans="1:47" x14ac:dyDescent="0.3">
      <c r="A275" t="s">
        <v>432</v>
      </c>
      <c r="B275" t="str">
        <f t="shared" si="20"/>
        <v>S28_2026</v>
      </c>
      <c r="C275" t="str">
        <f t="shared" si="22"/>
        <v>S28_2026</v>
      </c>
      <c r="F275">
        <v>45</v>
      </c>
      <c r="G275" t="s">
        <v>40</v>
      </c>
      <c r="I275" t="s">
        <v>166</v>
      </c>
      <c r="J275" t="s">
        <v>166</v>
      </c>
      <c r="K275" t="s">
        <v>124</v>
      </c>
      <c r="L275" t="s">
        <v>166</v>
      </c>
      <c r="M275" t="s">
        <v>124</v>
      </c>
      <c r="N275" t="s">
        <v>45</v>
      </c>
      <c r="O275" t="s">
        <v>45</v>
      </c>
      <c r="P275">
        <v>3</v>
      </c>
      <c r="Q275" s="7">
        <v>46209</v>
      </c>
      <c r="R275" s="7">
        <v>46209</v>
      </c>
      <c r="S275" s="7">
        <v>46209</v>
      </c>
      <c r="T275" t="s">
        <v>45</v>
      </c>
      <c r="V275" t="s">
        <v>167</v>
      </c>
      <c r="W275" t="s">
        <v>45</v>
      </c>
      <c r="X275" t="s">
        <v>74</v>
      </c>
      <c r="Y275" t="s">
        <v>46</v>
      </c>
      <c r="Z275" t="s">
        <v>150</v>
      </c>
      <c r="AF275">
        <v>2</v>
      </c>
      <c r="AH275" t="s">
        <v>75</v>
      </c>
      <c r="AI275">
        <v>1</v>
      </c>
      <c r="AJ275" s="9"/>
      <c r="AK275" t="s">
        <v>74</v>
      </c>
      <c r="AM275"/>
      <c r="AN275" t="s">
        <v>74</v>
      </c>
      <c r="AO275" t="s">
        <v>74</v>
      </c>
      <c r="AP275"/>
      <c r="AQ275" t="s">
        <v>74</v>
      </c>
      <c r="AR275" s="18" t="str">
        <f>IFERROR(VLOOKUP(K275,[1]POP!$F:$J,1,0),M275)</f>
        <v>MADA</v>
      </c>
      <c r="AS275" s="18" t="str">
        <f t="shared" si="21"/>
        <v>BARGARAM</v>
      </c>
      <c r="AT275" s="19">
        <f t="shared" si="24"/>
        <v>2</v>
      </c>
      <c r="AU275" s="19">
        <f t="shared" ca="1" si="23"/>
        <v>2</v>
      </c>
    </row>
    <row r="276" spans="1:47" x14ac:dyDescent="0.3">
      <c r="A276" t="s">
        <v>433</v>
      </c>
      <c r="B276" t="str">
        <f t="shared" si="20"/>
        <v>S27_2026</v>
      </c>
      <c r="C276" t="str">
        <f t="shared" si="22"/>
        <v>S27_2026</v>
      </c>
      <c r="F276">
        <v>15</v>
      </c>
      <c r="G276" t="s">
        <v>55</v>
      </c>
      <c r="I276" t="s">
        <v>178</v>
      </c>
      <c r="J276" t="s">
        <v>173</v>
      </c>
      <c r="K276" t="s">
        <v>124</v>
      </c>
      <c r="L276" t="s">
        <v>174</v>
      </c>
      <c r="M276" t="s">
        <v>124</v>
      </c>
      <c r="N276" t="s">
        <v>45</v>
      </c>
      <c r="O276" t="s">
        <v>45</v>
      </c>
      <c r="P276">
        <v>3</v>
      </c>
      <c r="Q276" s="7">
        <v>46207</v>
      </c>
      <c r="R276" s="7">
        <v>46207</v>
      </c>
      <c r="S276" s="7">
        <v>46207</v>
      </c>
      <c r="T276" t="s">
        <v>45</v>
      </c>
      <c r="V276" t="s">
        <v>175</v>
      </c>
      <c r="W276" t="s">
        <v>45</v>
      </c>
      <c r="X276" t="s">
        <v>74</v>
      </c>
      <c r="Y276" t="s">
        <v>46</v>
      </c>
      <c r="Z276" t="s">
        <v>150</v>
      </c>
      <c r="AF276">
        <v>2</v>
      </c>
      <c r="AH276" t="s">
        <v>75</v>
      </c>
      <c r="AI276">
        <v>1</v>
      </c>
      <c r="AJ276" s="9"/>
      <c r="AK276" t="s">
        <v>74</v>
      </c>
      <c r="AM276"/>
      <c r="AN276" t="s">
        <v>74</v>
      </c>
      <c r="AO276" t="s">
        <v>74</v>
      </c>
      <c r="AP276"/>
      <c r="AQ276" t="s">
        <v>74</v>
      </c>
      <c r="AR276" s="18" t="str">
        <f>IFERROR(VLOOKUP(K276,[1]POP!$F:$J,1,0),M276)</f>
        <v>MADA</v>
      </c>
      <c r="AS276" s="18" t="str">
        <f t="shared" si="21"/>
        <v>TCHIKA</v>
      </c>
      <c r="AT276" s="19">
        <f t="shared" si="24"/>
        <v>2</v>
      </c>
      <c r="AU276" s="19">
        <f t="shared" ca="1" si="23"/>
        <v>2</v>
      </c>
    </row>
    <row r="277" spans="1:47" x14ac:dyDescent="0.3">
      <c r="A277" t="s">
        <v>434</v>
      </c>
      <c r="B277" t="str">
        <f t="shared" si="20"/>
        <v>S27_2026</v>
      </c>
      <c r="C277" t="str">
        <f t="shared" si="22"/>
        <v>S27_2026</v>
      </c>
      <c r="F277">
        <v>21</v>
      </c>
      <c r="G277" t="s">
        <v>55</v>
      </c>
      <c r="I277" t="s">
        <v>178</v>
      </c>
      <c r="J277" t="s">
        <v>173</v>
      </c>
      <c r="K277" t="s">
        <v>124</v>
      </c>
      <c r="L277" t="s">
        <v>174</v>
      </c>
      <c r="M277" t="s">
        <v>124</v>
      </c>
      <c r="N277" t="s">
        <v>45</v>
      </c>
      <c r="O277" t="s">
        <v>45</v>
      </c>
      <c r="P277">
        <v>3</v>
      </c>
      <c r="Q277" s="7">
        <v>46207</v>
      </c>
      <c r="R277" s="7">
        <v>46207</v>
      </c>
      <c r="S277" s="7">
        <v>46207</v>
      </c>
      <c r="T277" t="s">
        <v>45</v>
      </c>
      <c r="V277" t="s">
        <v>175</v>
      </c>
      <c r="W277" t="s">
        <v>45</v>
      </c>
      <c r="X277" t="s">
        <v>74</v>
      </c>
      <c r="Y277" t="s">
        <v>46</v>
      </c>
      <c r="Z277" t="s">
        <v>150</v>
      </c>
      <c r="AF277">
        <v>2</v>
      </c>
      <c r="AH277" t="s">
        <v>75</v>
      </c>
      <c r="AI277">
        <v>1</v>
      </c>
      <c r="AJ277" s="9"/>
      <c r="AK277" t="s">
        <v>74</v>
      </c>
      <c r="AM277"/>
      <c r="AN277" t="s">
        <v>74</v>
      </c>
      <c r="AO277" t="s">
        <v>74</v>
      </c>
      <c r="AP277"/>
      <c r="AQ277" t="s">
        <v>74</v>
      </c>
      <c r="AR277" s="18" t="str">
        <f>IFERROR(VLOOKUP(K277,[1]POP!$F:$J,1,0),M277)</f>
        <v>MADA</v>
      </c>
      <c r="AS277" s="18" t="str">
        <f t="shared" si="21"/>
        <v>TCHIKA</v>
      </c>
      <c r="AT277" s="19">
        <f t="shared" si="24"/>
        <v>2</v>
      </c>
      <c r="AU277" s="19">
        <f t="shared" ca="1" si="23"/>
        <v>2</v>
      </c>
    </row>
    <row r="278" spans="1:47" x14ac:dyDescent="0.3">
      <c r="A278" t="s">
        <v>435</v>
      </c>
      <c r="B278" t="str">
        <f t="shared" si="20"/>
        <v>S27_2026</v>
      </c>
      <c r="C278" t="str">
        <f t="shared" si="22"/>
        <v>S27_2026</v>
      </c>
      <c r="F278">
        <v>7</v>
      </c>
      <c r="G278" t="s">
        <v>40</v>
      </c>
      <c r="I278" t="s">
        <v>178</v>
      </c>
      <c r="J278" t="s">
        <v>173</v>
      </c>
      <c r="K278" t="s">
        <v>124</v>
      </c>
      <c r="L278" t="s">
        <v>174</v>
      </c>
      <c r="M278" t="s">
        <v>124</v>
      </c>
      <c r="N278" t="s">
        <v>45</v>
      </c>
      <c r="O278" t="s">
        <v>45</v>
      </c>
      <c r="P278">
        <v>2</v>
      </c>
      <c r="Q278" s="7">
        <v>46207</v>
      </c>
      <c r="R278" s="7">
        <v>46207</v>
      </c>
      <c r="S278" s="7">
        <v>46207</v>
      </c>
      <c r="T278" t="s">
        <v>45</v>
      </c>
      <c r="V278" t="s">
        <v>175</v>
      </c>
      <c r="W278" t="s">
        <v>45</v>
      </c>
      <c r="X278" t="s">
        <v>74</v>
      </c>
      <c r="Y278" t="s">
        <v>46</v>
      </c>
      <c r="Z278" t="s">
        <v>150</v>
      </c>
      <c r="AF278">
        <v>2</v>
      </c>
      <c r="AH278" t="s">
        <v>75</v>
      </c>
      <c r="AI278">
        <v>1</v>
      </c>
      <c r="AJ278" s="9"/>
      <c r="AK278" t="s">
        <v>74</v>
      </c>
      <c r="AM278"/>
      <c r="AN278" t="s">
        <v>74</v>
      </c>
      <c r="AO278" t="s">
        <v>74</v>
      </c>
      <c r="AP278"/>
      <c r="AQ278" t="s">
        <v>74</v>
      </c>
      <c r="AR278" s="18" t="str">
        <f>IFERROR(VLOOKUP(K278,[1]POP!$F:$J,1,0),M278)</f>
        <v>MADA</v>
      </c>
      <c r="AS278" s="18" t="str">
        <f t="shared" si="21"/>
        <v>TCHIKA</v>
      </c>
      <c r="AT278" s="19">
        <f t="shared" si="24"/>
        <v>2</v>
      </c>
      <c r="AU278" s="19">
        <f t="shared" ca="1" si="23"/>
        <v>2</v>
      </c>
    </row>
    <row r="279" spans="1:47" x14ac:dyDescent="0.3">
      <c r="A279" t="s">
        <v>436</v>
      </c>
      <c r="B279" t="str">
        <f t="shared" si="20"/>
        <v>S27_2026</v>
      </c>
      <c r="C279" t="str">
        <f t="shared" si="22"/>
        <v>S27_2026</v>
      </c>
      <c r="F279">
        <v>29</v>
      </c>
      <c r="G279" t="s">
        <v>55</v>
      </c>
      <c r="I279" t="s">
        <v>178</v>
      </c>
      <c r="J279" t="s">
        <v>173</v>
      </c>
      <c r="K279" t="s">
        <v>124</v>
      </c>
      <c r="L279" t="s">
        <v>174</v>
      </c>
      <c r="M279" t="s">
        <v>124</v>
      </c>
      <c r="N279" t="s">
        <v>45</v>
      </c>
      <c r="O279" t="s">
        <v>45</v>
      </c>
      <c r="P279">
        <v>1</v>
      </c>
      <c r="Q279" s="7">
        <v>46207</v>
      </c>
      <c r="R279" s="7">
        <v>46207</v>
      </c>
      <c r="S279" s="7">
        <v>46207</v>
      </c>
      <c r="T279" t="s">
        <v>45</v>
      </c>
      <c r="V279" t="s">
        <v>175</v>
      </c>
      <c r="W279" t="s">
        <v>45</v>
      </c>
      <c r="X279" t="s">
        <v>74</v>
      </c>
      <c r="Y279" t="s">
        <v>46</v>
      </c>
      <c r="Z279" t="s">
        <v>150</v>
      </c>
      <c r="AF279">
        <v>2</v>
      </c>
      <c r="AH279" t="s">
        <v>75</v>
      </c>
      <c r="AI279">
        <v>1</v>
      </c>
      <c r="AJ279" s="9"/>
      <c r="AK279" t="s">
        <v>74</v>
      </c>
      <c r="AM279"/>
      <c r="AN279" t="s">
        <v>74</v>
      </c>
      <c r="AO279" t="s">
        <v>74</v>
      </c>
      <c r="AP279"/>
      <c r="AQ279" t="s">
        <v>74</v>
      </c>
      <c r="AR279" s="18" t="str">
        <f>IFERROR(VLOOKUP(K279,[1]POP!$F:$J,1,0),M279)</f>
        <v>MADA</v>
      </c>
      <c r="AS279" s="18" t="str">
        <f t="shared" si="21"/>
        <v>TCHIKA</v>
      </c>
      <c r="AT279" s="19">
        <f t="shared" si="24"/>
        <v>2</v>
      </c>
      <c r="AU279" s="19">
        <f t="shared" ca="1" si="23"/>
        <v>2</v>
      </c>
    </row>
    <row r="280" spans="1:47" x14ac:dyDescent="0.3">
      <c r="A280" t="s">
        <v>437</v>
      </c>
      <c r="B280" t="str">
        <f t="shared" si="20"/>
        <v>S27_2026</v>
      </c>
      <c r="C280" t="str">
        <f t="shared" si="22"/>
        <v>S27_2026</v>
      </c>
      <c r="F280">
        <v>3</v>
      </c>
      <c r="G280" t="s">
        <v>40</v>
      </c>
      <c r="I280" t="s">
        <v>178</v>
      </c>
      <c r="J280" t="s">
        <v>173</v>
      </c>
      <c r="K280" t="s">
        <v>124</v>
      </c>
      <c r="L280" t="s">
        <v>174</v>
      </c>
      <c r="M280" t="s">
        <v>124</v>
      </c>
      <c r="N280" t="s">
        <v>45</v>
      </c>
      <c r="O280" t="s">
        <v>45</v>
      </c>
      <c r="P280">
        <v>1</v>
      </c>
      <c r="Q280" s="7">
        <v>46207</v>
      </c>
      <c r="R280" s="7">
        <v>46207</v>
      </c>
      <c r="S280" s="7">
        <v>46207</v>
      </c>
      <c r="T280" t="s">
        <v>45</v>
      </c>
      <c r="V280" t="s">
        <v>175</v>
      </c>
      <c r="W280" t="s">
        <v>45</v>
      </c>
      <c r="X280" t="s">
        <v>74</v>
      </c>
      <c r="Y280" t="s">
        <v>46</v>
      </c>
      <c r="Z280" t="s">
        <v>150</v>
      </c>
      <c r="AF280">
        <v>2</v>
      </c>
      <c r="AH280" t="s">
        <v>75</v>
      </c>
      <c r="AI280">
        <v>1</v>
      </c>
      <c r="AJ280" s="9"/>
      <c r="AK280" t="s">
        <v>74</v>
      </c>
      <c r="AM280"/>
      <c r="AN280" t="s">
        <v>74</v>
      </c>
      <c r="AO280" t="s">
        <v>74</v>
      </c>
      <c r="AP280"/>
      <c r="AQ280" t="s">
        <v>74</v>
      </c>
      <c r="AR280" s="18" t="str">
        <f>IFERROR(VLOOKUP(K280,[1]POP!$F:$J,1,0),M280)</f>
        <v>MADA</v>
      </c>
      <c r="AS280" s="18" t="str">
        <f t="shared" si="21"/>
        <v>TCHIKA</v>
      </c>
      <c r="AT280" s="19">
        <f t="shared" si="24"/>
        <v>2</v>
      </c>
      <c r="AU280" s="19">
        <f t="shared" ca="1" si="23"/>
        <v>2</v>
      </c>
    </row>
    <row r="281" spans="1:47" x14ac:dyDescent="0.3">
      <c r="A281" t="s">
        <v>438</v>
      </c>
      <c r="B281" t="str">
        <f t="shared" si="20"/>
        <v>S27_2026</v>
      </c>
      <c r="C281" t="str">
        <f t="shared" si="22"/>
        <v>S27_2026</v>
      </c>
      <c r="F281">
        <v>1</v>
      </c>
      <c r="G281" t="s">
        <v>55</v>
      </c>
      <c r="I281" t="s">
        <v>178</v>
      </c>
      <c r="J281" t="s">
        <v>173</v>
      </c>
      <c r="K281" t="s">
        <v>124</v>
      </c>
      <c r="L281" t="s">
        <v>174</v>
      </c>
      <c r="M281" t="s">
        <v>124</v>
      </c>
      <c r="N281" t="s">
        <v>45</v>
      </c>
      <c r="O281" t="s">
        <v>45</v>
      </c>
      <c r="P281">
        <v>2</v>
      </c>
      <c r="Q281" s="7">
        <v>46207</v>
      </c>
      <c r="R281" s="7">
        <v>46207</v>
      </c>
      <c r="S281" s="7">
        <v>46207</v>
      </c>
      <c r="T281" t="s">
        <v>45</v>
      </c>
      <c r="V281" t="s">
        <v>175</v>
      </c>
      <c r="W281" t="s">
        <v>45</v>
      </c>
      <c r="X281" t="s">
        <v>74</v>
      </c>
      <c r="Y281" t="s">
        <v>46</v>
      </c>
      <c r="Z281" t="s">
        <v>150</v>
      </c>
      <c r="AF281">
        <v>2</v>
      </c>
      <c r="AH281" t="s">
        <v>75</v>
      </c>
      <c r="AI281">
        <v>1</v>
      </c>
      <c r="AJ281" s="9"/>
      <c r="AK281" t="s">
        <v>74</v>
      </c>
      <c r="AM281"/>
      <c r="AN281" t="s">
        <v>74</v>
      </c>
      <c r="AO281" t="s">
        <v>74</v>
      </c>
      <c r="AP281"/>
      <c r="AQ281" t="s">
        <v>74</v>
      </c>
      <c r="AR281" s="18" t="str">
        <f>IFERROR(VLOOKUP(K281,[1]POP!$F:$J,1,0),M281)</f>
        <v>MADA</v>
      </c>
      <c r="AS281" s="18" t="str">
        <f t="shared" si="21"/>
        <v>TCHIKA</v>
      </c>
      <c r="AT281" s="19">
        <f t="shared" si="24"/>
        <v>2</v>
      </c>
      <c r="AU281" s="19">
        <f t="shared" ca="1" si="23"/>
        <v>2</v>
      </c>
    </row>
    <row r="282" spans="1:47" x14ac:dyDescent="0.3">
      <c r="A282" t="s">
        <v>439</v>
      </c>
      <c r="B282" t="str">
        <f t="shared" si="20"/>
        <v>S27_2026</v>
      </c>
      <c r="C282" t="str">
        <f t="shared" si="22"/>
        <v>S27_2026</v>
      </c>
      <c r="F282">
        <v>8</v>
      </c>
      <c r="G282" t="s">
        <v>40</v>
      </c>
      <c r="I282" t="s">
        <v>178</v>
      </c>
      <c r="J282" t="s">
        <v>173</v>
      </c>
      <c r="K282" t="s">
        <v>124</v>
      </c>
      <c r="L282" t="s">
        <v>174</v>
      </c>
      <c r="M282" t="s">
        <v>124</v>
      </c>
      <c r="N282" t="s">
        <v>45</v>
      </c>
      <c r="O282" t="s">
        <v>45</v>
      </c>
      <c r="P282">
        <v>1</v>
      </c>
      <c r="Q282" s="7">
        <v>46207</v>
      </c>
      <c r="R282" s="7">
        <v>46207</v>
      </c>
      <c r="S282" s="7">
        <v>46207</v>
      </c>
      <c r="T282" t="s">
        <v>45</v>
      </c>
      <c r="V282" t="s">
        <v>175</v>
      </c>
      <c r="W282" t="s">
        <v>45</v>
      </c>
      <c r="X282" t="s">
        <v>74</v>
      </c>
      <c r="Y282" t="s">
        <v>46</v>
      </c>
      <c r="Z282" t="s">
        <v>150</v>
      </c>
      <c r="AF282">
        <v>2</v>
      </c>
      <c r="AH282" t="s">
        <v>75</v>
      </c>
      <c r="AI282">
        <v>1</v>
      </c>
      <c r="AJ282" s="9"/>
      <c r="AK282" t="s">
        <v>74</v>
      </c>
      <c r="AM282"/>
      <c r="AN282" t="s">
        <v>74</v>
      </c>
      <c r="AO282" t="s">
        <v>74</v>
      </c>
      <c r="AP282"/>
      <c r="AQ282" t="s">
        <v>74</v>
      </c>
      <c r="AR282" s="18" t="str">
        <f>IFERROR(VLOOKUP(K282,[1]POP!$F:$J,1,0),M282)</f>
        <v>MADA</v>
      </c>
      <c r="AS282" s="18" t="str">
        <f t="shared" si="21"/>
        <v>TCHIKA</v>
      </c>
      <c r="AT282" s="19">
        <f t="shared" si="24"/>
        <v>2</v>
      </c>
      <c r="AU282" s="19">
        <f t="shared" ca="1" si="23"/>
        <v>2</v>
      </c>
    </row>
    <row r="283" spans="1:47" x14ac:dyDescent="0.3">
      <c r="A283" t="s">
        <v>440</v>
      </c>
      <c r="B283" t="str">
        <f t="shared" si="20"/>
        <v>S27_2026</v>
      </c>
      <c r="C283" t="str">
        <f t="shared" si="22"/>
        <v>S27_2026</v>
      </c>
      <c r="F283">
        <v>6</v>
      </c>
      <c r="G283" t="s">
        <v>55</v>
      </c>
      <c r="I283" t="s">
        <v>178</v>
      </c>
      <c r="J283" t="s">
        <v>173</v>
      </c>
      <c r="K283" t="s">
        <v>124</v>
      </c>
      <c r="L283" t="s">
        <v>174</v>
      </c>
      <c r="M283" t="s">
        <v>124</v>
      </c>
      <c r="N283" t="s">
        <v>45</v>
      </c>
      <c r="O283" t="s">
        <v>74</v>
      </c>
      <c r="P283">
        <v>2</v>
      </c>
      <c r="Q283" s="7">
        <v>46207</v>
      </c>
      <c r="R283" s="7">
        <v>46207</v>
      </c>
      <c r="S283" s="7">
        <v>46207</v>
      </c>
      <c r="T283" t="s">
        <v>45</v>
      </c>
      <c r="V283" t="s">
        <v>175</v>
      </c>
      <c r="W283" t="s">
        <v>45</v>
      </c>
      <c r="X283" t="s">
        <v>74</v>
      </c>
      <c r="Y283" t="s">
        <v>46</v>
      </c>
      <c r="Z283" t="s">
        <v>150</v>
      </c>
      <c r="AF283">
        <v>2</v>
      </c>
      <c r="AH283" t="s">
        <v>75</v>
      </c>
      <c r="AI283">
        <v>1</v>
      </c>
      <c r="AJ283" s="9"/>
      <c r="AK283" t="s">
        <v>74</v>
      </c>
      <c r="AM283"/>
      <c r="AN283" t="s">
        <v>74</v>
      </c>
      <c r="AO283" t="s">
        <v>74</v>
      </c>
      <c r="AP283"/>
      <c r="AQ283" t="s">
        <v>74</v>
      </c>
      <c r="AR283" s="18" t="str">
        <f>IFERROR(VLOOKUP(K283,[1]POP!$F:$J,1,0),M283)</f>
        <v>MADA</v>
      </c>
      <c r="AS283" s="18" t="str">
        <f t="shared" si="21"/>
        <v>TCHIKA</v>
      </c>
      <c r="AT283" s="19">
        <f t="shared" si="24"/>
        <v>2</v>
      </c>
      <c r="AU283" s="19">
        <f t="shared" ca="1" si="23"/>
        <v>2</v>
      </c>
    </row>
    <row r="284" spans="1:47" x14ac:dyDescent="0.3">
      <c r="A284" t="s">
        <v>441</v>
      </c>
      <c r="B284" t="str">
        <f t="shared" si="20"/>
        <v>S27_2026</v>
      </c>
      <c r="C284" t="str">
        <f t="shared" si="22"/>
        <v>S27_2026</v>
      </c>
      <c r="F284">
        <v>2</v>
      </c>
      <c r="G284" t="s">
        <v>40</v>
      </c>
      <c r="I284" t="s">
        <v>178</v>
      </c>
      <c r="J284" t="s">
        <v>173</v>
      </c>
      <c r="K284" t="s">
        <v>124</v>
      </c>
      <c r="L284" t="s">
        <v>174</v>
      </c>
      <c r="M284" t="s">
        <v>124</v>
      </c>
      <c r="N284" t="s">
        <v>45</v>
      </c>
      <c r="O284" t="s">
        <v>74</v>
      </c>
      <c r="P284">
        <v>1</v>
      </c>
      <c r="Q284" s="7">
        <v>46207</v>
      </c>
      <c r="R284" s="7">
        <v>46207</v>
      </c>
      <c r="S284" s="7">
        <v>46207</v>
      </c>
      <c r="T284" t="s">
        <v>45</v>
      </c>
      <c r="V284" t="s">
        <v>175</v>
      </c>
      <c r="W284" t="s">
        <v>45</v>
      </c>
      <c r="X284" t="s">
        <v>74</v>
      </c>
      <c r="Y284" t="s">
        <v>46</v>
      </c>
      <c r="Z284" t="s">
        <v>150</v>
      </c>
      <c r="AF284">
        <v>2</v>
      </c>
      <c r="AH284" t="s">
        <v>75</v>
      </c>
      <c r="AI284">
        <v>1</v>
      </c>
      <c r="AJ284" s="9"/>
      <c r="AK284" t="s">
        <v>74</v>
      </c>
      <c r="AM284"/>
      <c r="AN284" t="s">
        <v>74</v>
      </c>
      <c r="AO284" t="s">
        <v>74</v>
      </c>
      <c r="AP284"/>
      <c r="AQ284" t="s">
        <v>74</v>
      </c>
      <c r="AR284" s="18" t="str">
        <f>IFERROR(VLOOKUP(K284,[1]POP!$F:$J,1,0),M284)</f>
        <v>MADA</v>
      </c>
      <c r="AS284" s="18" t="str">
        <f t="shared" si="21"/>
        <v>TCHIKA</v>
      </c>
      <c r="AT284" s="19">
        <f t="shared" si="24"/>
        <v>2</v>
      </c>
      <c r="AU284" s="19">
        <f t="shared" ca="1" si="23"/>
        <v>2</v>
      </c>
    </row>
    <row r="285" spans="1:47" x14ac:dyDescent="0.3">
      <c r="A285" t="s">
        <v>442</v>
      </c>
      <c r="B285" t="str">
        <f t="shared" si="20"/>
        <v>S27_2026</v>
      </c>
      <c r="C285" t="str">
        <f t="shared" si="22"/>
        <v>S27_2026</v>
      </c>
      <c r="F285">
        <v>13</v>
      </c>
      <c r="G285" t="s">
        <v>55</v>
      </c>
      <c r="I285" t="s">
        <v>173</v>
      </c>
      <c r="J285" t="s">
        <v>173</v>
      </c>
      <c r="K285" t="s">
        <v>124</v>
      </c>
      <c r="L285" t="s">
        <v>174</v>
      </c>
      <c r="M285" t="s">
        <v>124</v>
      </c>
      <c r="N285" t="s">
        <v>45</v>
      </c>
      <c r="O285" t="s">
        <v>45</v>
      </c>
      <c r="P285">
        <v>3</v>
      </c>
      <c r="Q285" s="7">
        <v>46207</v>
      </c>
      <c r="R285" s="7">
        <v>46207</v>
      </c>
      <c r="S285" s="7">
        <v>46207</v>
      </c>
      <c r="T285" t="s">
        <v>45</v>
      </c>
      <c r="V285" t="s">
        <v>175</v>
      </c>
      <c r="W285" t="s">
        <v>45</v>
      </c>
      <c r="X285" t="s">
        <v>74</v>
      </c>
      <c r="Y285" t="s">
        <v>46</v>
      </c>
      <c r="Z285" t="s">
        <v>150</v>
      </c>
      <c r="AF285">
        <v>2</v>
      </c>
      <c r="AH285" t="s">
        <v>75</v>
      </c>
      <c r="AI285">
        <v>1</v>
      </c>
      <c r="AJ285" s="9"/>
      <c r="AK285" t="s">
        <v>74</v>
      </c>
      <c r="AM285"/>
      <c r="AN285" t="s">
        <v>74</v>
      </c>
      <c r="AO285" t="s">
        <v>74</v>
      </c>
      <c r="AP285"/>
      <c r="AQ285" t="s">
        <v>74</v>
      </c>
      <c r="AR285" s="18" t="str">
        <f>IFERROR(VLOOKUP(K285,[1]POP!$F:$J,1,0),M285)</f>
        <v>MADA</v>
      </c>
      <c r="AS285" s="18" t="str">
        <f t="shared" si="21"/>
        <v>TCHIKA</v>
      </c>
      <c r="AT285" s="19">
        <f t="shared" si="24"/>
        <v>2</v>
      </c>
      <c r="AU285" s="19">
        <f t="shared" ca="1" si="23"/>
        <v>2</v>
      </c>
    </row>
    <row r="286" spans="1:47" x14ac:dyDescent="0.3">
      <c r="A286" t="s">
        <v>443</v>
      </c>
      <c r="B286" t="str">
        <f t="shared" si="20"/>
        <v>S27_2026</v>
      </c>
      <c r="C286" t="str">
        <f t="shared" si="22"/>
        <v>S27_2026</v>
      </c>
      <c r="F286">
        <v>2</v>
      </c>
      <c r="G286" t="s">
        <v>55</v>
      </c>
      <c r="I286" t="s">
        <v>178</v>
      </c>
      <c r="J286" t="s">
        <v>173</v>
      </c>
      <c r="K286" t="s">
        <v>124</v>
      </c>
      <c r="L286" t="s">
        <v>174</v>
      </c>
      <c r="M286" t="s">
        <v>124</v>
      </c>
      <c r="N286" t="s">
        <v>45</v>
      </c>
      <c r="O286" t="s">
        <v>45</v>
      </c>
      <c r="P286">
        <v>2</v>
      </c>
      <c r="Q286" s="7">
        <v>46207</v>
      </c>
      <c r="R286" s="7">
        <v>46207</v>
      </c>
      <c r="S286" s="7">
        <v>46207</v>
      </c>
      <c r="T286" t="s">
        <v>45</v>
      </c>
      <c r="V286" t="s">
        <v>175</v>
      </c>
      <c r="W286" t="s">
        <v>45</v>
      </c>
      <c r="X286" t="s">
        <v>74</v>
      </c>
      <c r="Y286" t="s">
        <v>46</v>
      </c>
      <c r="Z286" t="s">
        <v>150</v>
      </c>
      <c r="AF286">
        <v>2</v>
      </c>
      <c r="AH286" t="s">
        <v>75</v>
      </c>
      <c r="AI286">
        <v>1</v>
      </c>
      <c r="AJ286" s="9"/>
      <c r="AK286" t="s">
        <v>74</v>
      </c>
      <c r="AM286"/>
      <c r="AN286"/>
      <c r="AO286"/>
      <c r="AP286">
        <v>7</v>
      </c>
      <c r="AQ286" t="s">
        <v>45</v>
      </c>
      <c r="AR286" s="18" t="str">
        <f>IFERROR(VLOOKUP(K286,[1]POP!$F:$J,1,0),M286)</f>
        <v>MADA</v>
      </c>
      <c r="AS286" s="18" t="str">
        <f t="shared" si="21"/>
        <v>TCHIKA</v>
      </c>
      <c r="AT286" s="19">
        <f t="shared" si="24"/>
        <v>2</v>
      </c>
      <c r="AU286" s="19">
        <f t="shared" ca="1" si="23"/>
        <v>2</v>
      </c>
    </row>
    <row r="287" spans="1:47" x14ac:dyDescent="0.3">
      <c r="A287" t="s">
        <v>444</v>
      </c>
      <c r="B287" t="str">
        <f t="shared" si="20"/>
        <v>S27_2026</v>
      </c>
      <c r="C287" t="str">
        <f t="shared" si="22"/>
        <v>S27_2026</v>
      </c>
      <c r="F287">
        <v>7</v>
      </c>
      <c r="G287" t="s">
        <v>55</v>
      </c>
      <c r="I287" t="s">
        <v>178</v>
      </c>
      <c r="J287" t="s">
        <v>173</v>
      </c>
      <c r="K287" t="s">
        <v>124</v>
      </c>
      <c r="L287" t="s">
        <v>174</v>
      </c>
      <c r="M287" t="s">
        <v>124</v>
      </c>
      <c r="N287" t="s">
        <v>45</v>
      </c>
      <c r="O287" t="s">
        <v>45</v>
      </c>
      <c r="P287">
        <v>2</v>
      </c>
      <c r="Q287" s="7">
        <v>46207</v>
      </c>
      <c r="R287" s="7">
        <v>46207</v>
      </c>
      <c r="S287" s="7">
        <v>46207</v>
      </c>
      <c r="T287" t="s">
        <v>45</v>
      </c>
      <c r="V287" t="s">
        <v>175</v>
      </c>
      <c r="W287" t="s">
        <v>45</v>
      </c>
      <c r="X287" t="s">
        <v>74</v>
      </c>
      <c r="Y287" t="s">
        <v>46</v>
      </c>
      <c r="Z287" t="s">
        <v>150</v>
      </c>
      <c r="AF287">
        <v>2</v>
      </c>
      <c r="AH287" t="s">
        <v>75</v>
      </c>
      <c r="AI287">
        <v>1</v>
      </c>
      <c r="AJ287" s="9"/>
      <c r="AK287" t="s">
        <v>74</v>
      </c>
      <c r="AL287" t="s">
        <v>96</v>
      </c>
      <c r="AM287"/>
      <c r="AN287" t="s">
        <v>2748</v>
      </c>
      <c r="AO287" t="s">
        <v>45</v>
      </c>
      <c r="AP287">
        <v>11</v>
      </c>
      <c r="AQ287" t="s">
        <v>74</v>
      </c>
      <c r="AR287" s="18" t="str">
        <f>IFERROR(VLOOKUP(K287,[1]POP!$F:$J,1,0),M287)</f>
        <v>MADA</v>
      </c>
      <c r="AS287" s="18" t="str">
        <f t="shared" si="21"/>
        <v>TCHIKA</v>
      </c>
      <c r="AT287" s="19">
        <f t="shared" si="24"/>
        <v>2</v>
      </c>
      <c r="AU287" s="19">
        <f t="shared" ca="1" si="23"/>
        <v>2</v>
      </c>
    </row>
    <row r="288" spans="1:47" x14ac:dyDescent="0.3">
      <c r="A288" t="s">
        <v>445</v>
      </c>
      <c r="B288" t="str">
        <f t="shared" si="20"/>
        <v>S27_2026</v>
      </c>
      <c r="C288" t="str">
        <f t="shared" si="22"/>
        <v>S27_2026</v>
      </c>
      <c r="F288">
        <v>3</v>
      </c>
      <c r="G288" t="s">
        <v>55</v>
      </c>
      <c r="I288" t="s">
        <v>400</v>
      </c>
      <c r="J288" t="s">
        <v>401</v>
      </c>
      <c r="K288" t="s">
        <v>124</v>
      </c>
      <c r="L288" t="s">
        <v>174</v>
      </c>
      <c r="M288" t="s">
        <v>124</v>
      </c>
      <c r="N288" t="s">
        <v>45</v>
      </c>
      <c r="O288" t="s">
        <v>74</v>
      </c>
      <c r="P288">
        <v>2</v>
      </c>
      <c r="Q288" s="7">
        <v>46207</v>
      </c>
      <c r="R288" s="7">
        <v>46207</v>
      </c>
      <c r="S288" s="7">
        <v>46207</v>
      </c>
      <c r="T288" t="s">
        <v>45</v>
      </c>
      <c r="V288" t="s">
        <v>175</v>
      </c>
      <c r="W288" t="s">
        <v>45</v>
      </c>
      <c r="X288" t="s">
        <v>74</v>
      </c>
      <c r="Y288" t="s">
        <v>46</v>
      </c>
      <c r="Z288" t="s">
        <v>150</v>
      </c>
      <c r="AF288">
        <v>2</v>
      </c>
      <c r="AH288" t="s">
        <v>75</v>
      </c>
      <c r="AI288">
        <v>1</v>
      </c>
      <c r="AJ288" s="9"/>
      <c r="AK288" t="s">
        <v>74</v>
      </c>
      <c r="AM288"/>
      <c r="AN288"/>
      <c r="AO288"/>
      <c r="AP288"/>
      <c r="AQ288"/>
      <c r="AR288" s="18" t="str">
        <f>IFERROR(VLOOKUP(K288,[1]POP!$F:$J,1,0),M288)</f>
        <v>MADA</v>
      </c>
      <c r="AS288" s="18" t="str">
        <f t="shared" si="21"/>
        <v>DARAK</v>
      </c>
      <c r="AT288" s="19">
        <f t="shared" si="24"/>
        <v>2</v>
      </c>
      <c r="AU288" s="19">
        <f t="shared" ca="1" si="23"/>
        <v>2</v>
      </c>
    </row>
    <row r="289" spans="1:47" x14ac:dyDescent="0.3">
      <c r="A289" t="s">
        <v>446</v>
      </c>
      <c r="B289" t="str">
        <f t="shared" si="20"/>
        <v>S27_2026</v>
      </c>
      <c r="C289" t="str">
        <f t="shared" si="22"/>
        <v>S27_2026</v>
      </c>
      <c r="F289">
        <v>18</v>
      </c>
      <c r="G289" t="s">
        <v>40</v>
      </c>
      <c r="H289" t="s">
        <v>74</v>
      </c>
      <c r="I289" t="s">
        <v>178</v>
      </c>
      <c r="J289" t="s">
        <v>173</v>
      </c>
      <c r="K289" t="s">
        <v>124</v>
      </c>
      <c r="L289" t="s">
        <v>174</v>
      </c>
      <c r="M289" t="s">
        <v>124</v>
      </c>
      <c r="N289" t="s">
        <v>45</v>
      </c>
      <c r="O289" t="s">
        <v>45</v>
      </c>
      <c r="P289">
        <v>3</v>
      </c>
      <c r="Q289" s="7">
        <v>46208</v>
      </c>
      <c r="R289" s="7">
        <v>46208</v>
      </c>
      <c r="S289" s="7">
        <v>46208</v>
      </c>
      <c r="T289" t="s">
        <v>45</v>
      </c>
      <c r="V289" t="s">
        <v>175</v>
      </c>
      <c r="W289" t="s">
        <v>45</v>
      </c>
      <c r="X289" t="s">
        <v>74</v>
      </c>
      <c r="Y289" t="s">
        <v>46</v>
      </c>
      <c r="Z289" t="s">
        <v>150</v>
      </c>
      <c r="AF289">
        <v>2</v>
      </c>
      <c r="AH289" t="s">
        <v>75</v>
      </c>
      <c r="AI289">
        <v>1</v>
      </c>
      <c r="AJ289" s="9"/>
      <c r="AK289" t="s">
        <v>74</v>
      </c>
      <c r="AM289"/>
      <c r="AN289"/>
      <c r="AO289"/>
      <c r="AP289"/>
      <c r="AQ289"/>
      <c r="AR289" s="18" t="str">
        <f>IFERROR(VLOOKUP(K289,[1]POP!$F:$J,1,0),M289)</f>
        <v>MADA</v>
      </c>
      <c r="AS289" s="18" t="str">
        <f t="shared" si="21"/>
        <v>TCHIKA</v>
      </c>
      <c r="AT289" s="19">
        <f t="shared" si="24"/>
        <v>2</v>
      </c>
      <c r="AU289" s="19">
        <f t="shared" ca="1" si="23"/>
        <v>2</v>
      </c>
    </row>
    <row r="290" spans="1:47" x14ac:dyDescent="0.3">
      <c r="A290" t="s">
        <v>447</v>
      </c>
      <c r="B290" t="str">
        <f t="shared" si="20"/>
        <v>S27_2026</v>
      </c>
      <c r="C290" t="str">
        <f t="shared" si="22"/>
        <v>S27_2026</v>
      </c>
      <c r="F290">
        <v>2</v>
      </c>
      <c r="G290" t="s">
        <v>40</v>
      </c>
      <c r="I290" t="s">
        <v>178</v>
      </c>
      <c r="J290" t="s">
        <v>173</v>
      </c>
      <c r="K290" t="s">
        <v>124</v>
      </c>
      <c r="L290" t="s">
        <v>174</v>
      </c>
      <c r="M290" t="s">
        <v>124</v>
      </c>
      <c r="N290" t="s">
        <v>45</v>
      </c>
      <c r="O290" t="s">
        <v>74</v>
      </c>
      <c r="P290">
        <v>1</v>
      </c>
      <c r="Q290" s="7">
        <v>46208</v>
      </c>
      <c r="R290" s="7">
        <v>46208</v>
      </c>
      <c r="S290" s="7">
        <v>46208</v>
      </c>
      <c r="T290" t="s">
        <v>45</v>
      </c>
      <c r="V290" t="s">
        <v>175</v>
      </c>
      <c r="W290" t="s">
        <v>45</v>
      </c>
      <c r="X290" t="s">
        <v>74</v>
      </c>
      <c r="Y290" t="s">
        <v>46</v>
      </c>
      <c r="Z290" t="s">
        <v>150</v>
      </c>
      <c r="AF290">
        <v>2</v>
      </c>
      <c r="AH290" t="s">
        <v>75</v>
      </c>
      <c r="AI290">
        <v>1</v>
      </c>
      <c r="AJ290" s="9"/>
      <c r="AK290" t="s">
        <v>74</v>
      </c>
      <c r="AM290"/>
      <c r="AN290"/>
      <c r="AO290"/>
      <c r="AP290"/>
      <c r="AQ290"/>
      <c r="AR290" s="18" t="str">
        <f>IFERROR(VLOOKUP(K290,[1]POP!$F:$J,1,0),M290)</f>
        <v>MADA</v>
      </c>
      <c r="AS290" s="18" t="str">
        <f t="shared" si="21"/>
        <v>TCHIKA</v>
      </c>
      <c r="AT290" s="19">
        <f t="shared" si="24"/>
        <v>2</v>
      </c>
      <c r="AU290" s="19">
        <f t="shared" ca="1" si="23"/>
        <v>2</v>
      </c>
    </row>
    <row r="291" spans="1:47" x14ac:dyDescent="0.3">
      <c r="A291" t="s">
        <v>448</v>
      </c>
      <c r="B291" t="str">
        <f t="shared" si="20"/>
        <v>S27_2026</v>
      </c>
      <c r="C291" t="str">
        <f t="shared" si="22"/>
        <v>S27_2026</v>
      </c>
      <c r="F291">
        <v>25</v>
      </c>
      <c r="G291" t="s">
        <v>40</v>
      </c>
      <c r="H291" t="s">
        <v>74</v>
      </c>
      <c r="I291" t="s">
        <v>178</v>
      </c>
      <c r="J291" t="s">
        <v>173</v>
      </c>
      <c r="K291" t="s">
        <v>124</v>
      </c>
      <c r="L291" t="s">
        <v>174</v>
      </c>
      <c r="M291" t="s">
        <v>124</v>
      </c>
      <c r="N291" t="s">
        <v>45</v>
      </c>
      <c r="O291" t="s">
        <v>45</v>
      </c>
      <c r="P291">
        <v>3</v>
      </c>
      <c r="Q291" s="7">
        <v>46208</v>
      </c>
      <c r="R291" s="7">
        <v>46208</v>
      </c>
      <c r="S291" s="7">
        <v>46208</v>
      </c>
      <c r="T291" t="s">
        <v>45</v>
      </c>
      <c r="V291" t="s">
        <v>175</v>
      </c>
      <c r="W291" t="s">
        <v>45</v>
      </c>
      <c r="X291" t="s">
        <v>74</v>
      </c>
      <c r="Y291" t="s">
        <v>46</v>
      </c>
      <c r="Z291" t="s">
        <v>150</v>
      </c>
      <c r="AF291">
        <v>2</v>
      </c>
      <c r="AH291" t="s">
        <v>75</v>
      </c>
      <c r="AI291">
        <v>1</v>
      </c>
      <c r="AJ291" s="9"/>
      <c r="AK291" t="s">
        <v>74</v>
      </c>
      <c r="AL291" t="s">
        <v>96</v>
      </c>
      <c r="AM291"/>
      <c r="AN291"/>
      <c r="AO291"/>
      <c r="AP291">
        <v>8</v>
      </c>
      <c r="AQ291" t="s">
        <v>45</v>
      </c>
      <c r="AR291" s="18" t="str">
        <f>IFERROR(VLOOKUP(K291,[1]POP!$F:$J,1,0),M291)</f>
        <v>MADA</v>
      </c>
      <c r="AS291" s="18" t="str">
        <f t="shared" si="21"/>
        <v>TCHIKA</v>
      </c>
      <c r="AT291" s="19">
        <f t="shared" si="24"/>
        <v>2</v>
      </c>
      <c r="AU291" s="19">
        <f t="shared" ca="1" si="23"/>
        <v>2</v>
      </c>
    </row>
    <row r="292" spans="1:47" x14ac:dyDescent="0.3">
      <c r="A292" t="s">
        <v>449</v>
      </c>
      <c r="B292" t="str">
        <f t="shared" si="20"/>
        <v>S27_2026</v>
      </c>
      <c r="C292" t="str">
        <f t="shared" si="22"/>
        <v>S27_2026</v>
      </c>
      <c r="F292">
        <v>27</v>
      </c>
      <c r="G292" t="s">
        <v>40</v>
      </c>
      <c r="H292" t="s">
        <v>74</v>
      </c>
      <c r="I292" t="s">
        <v>178</v>
      </c>
      <c r="J292" t="s">
        <v>173</v>
      </c>
      <c r="K292" t="s">
        <v>124</v>
      </c>
      <c r="L292" t="s">
        <v>174</v>
      </c>
      <c r="M292" t="s">
        <v>124</v>
      </c>
      <c r="N292" t="s">
        <v>45</v>
      </c>
      <c r="O292" t="s">
        <v>45</v>
      </c>
      <c r="P292">
        <v>2</v>
      </c>
      <c r="Q292" s="7">
        <v>46208</v>
      </c>
      <c r="R292" s="7">
        <v>46208</v>
      </c>
      <c r="S292" s="7">
        <v>46208</v>
      </c>
      <c r="T292" t="s">
        <v>45</v>
      </c>
      <c r="V292" t="s">
        <v>175</v>
      </c>
      <c r="W292" t="s">
        <v>45</v>
      </c>
      <c r="X292" t="s">
        <v>74</v>
      </c>
      <c r="Y292" t="s">
        <v>46</v>
      </c>
      <c r="Z292" t="s">
        <v>150</v>
      </c>
      <c r="AF292">
        <v>2</v>
      </c>
      <c r="AH292" t="s">
        <v>75</v>
      </c>
      <c r="AI292">
        <v>1</v>
      </c>
      <c r="AJ292" s="9"/>
      <c r="AK292" t="s">
        <v>74</v>
      </c>
      <c r="AM292"/>
      <c r="AN292"/>
      <c r="AO292"/>
      <c r="AP292"/>
      <c r="AQ292" t="s">
        <v>74</v>
      </c>
      <c r="AR292" s="18" t="str">
        <f>IFERROR(VLOOKUP(K292,[1]POP!$F:$J,1,0),M292)</f>
        <v>MADA</v>
      </c>
      <c r="AS292" s="18" t="str">
        <f t="shared" si="21"/>
        <v>TCHIKA</v>
      </c>
      <c r="AT292" s="19">
        <f t="shared" si="24"/>
        <v>2</v>
      </c>
      <c r="AU292" s="19">
        <f t="shared" ca="1" si="23"/>
        <v>2</v>
      </c>
    </row>
    <row r="293" spans="1:47" x14ac:dyDescent="0.3">
      <c r="A293" t="s">
        <v>450</v>
      </c>
      <c r="B293" t="str">
        <f t="shared" si="20"/>
        <v>S27_2026</v>
      </c>
      <c r="C293" t="str">
        <f t="shared" si="22"/>
        <v>S27_2026</v>
      </c>
      <c r="F293">
        <v>6</v>
      </c>
      <c r="G293" t="s">
        <v>55</v>
      </c>
      <c r="I293" t="s">
        <v>407</v>
      </c>
      <c r="J293" t="s">
        <v>174</v>
      </c>
      <c r="K293" t="s">
        <v>124</v>
      </c>
      <c r="L293" t="s">
        <v>174</v>
      </c>
      <c r="M293" t="s">
        <v>124</v>
      </c>
      <c r="N293" t="s">
        <v>45</v>
      </c>
      <c r="O293" t="s">
        <v>45</v>
      </c>
      <c r="P293">
        <v>3</v>
      </c>
      <c r="Q293" s="7">
        <v>46208</v>
      </c>
      <c r="R293" s="7">
        <v>46208</v>
      </c>
      <c r="S293" s="7">
        <v>46208</v>
      </c>
      <c r="T293" t="s">
        <v>45</v>
      </c>
      <c r="V293" t="s">
        <v>175</v>
      </c>
      <c r="W293" t="s">
        <v>45</v>
      </c>
      <c r="X293" t="s">
        <v>74</v>
      </c>
      <c r="Y293" t="s">
        <v>46</v>
      </c>
      <c r="Z293" t="s">
        <v>150</v>
      </c>
      <c r="AF293">
        <v>2</v>
      </c>
      <c r="AH293" t="s">
        <v>75</v>
      </c>
      <c r="AI293">
        <v>1</v>
      </c>
      <c r="AJ293" s="9"/>
      <c r="AK293" t="s">
        <v>74</v>
      </c>
      <c r="AL293" t="s">
        <v>98</v>
      </c>
      <c r="AM293"/>
      <c r="AN293" t="s">
        <v>45</v>
      </c>
      <c r="AO293" t="s">
        <v>86</v>
      </c>
      <c r="AP293">
        <v>5</v>
      </c>
      <c r="AQ293" t="s">
        <v>74</v>
      </c>
      <c r="AR293" s="18" t="str">
        <f>IFERROR(VLOOKUP(K293,[1]POP!$F:$J,1,0),M293)</f>
        <v>MADA</v>
      </c>
      <c r="AS293" s="18" t="str">
        <f t="shared" si="21"/>
        <v>HILE ALIFA</v>
      </c>
      <c r="AT293" s="19">
        <f t="shared" si="24"/>
        <v>2</v>
      </c>
      <c r="AU293" s="19">
        <f t="shared" ca="1" si="23"/>
        <v>2</v>
      </c>
    </row>
    <row r="294" spans="1:47" x14ac:dyDescent="0.3">
      <c r="A294" t="s">
        <v>451</v>
      </c>
      <c r="B294" t="str">
        <f t="shared" si="20"/>
        <v>S27_2026</v>
      </c>
      <c r="C294" t="str">
        <f t="shared" si="22"/>
        <v>S27_2026</v>
      </c>
      <c r="F294">
        <v>3</v>
      </c>
      <c r="G294" t="s">
        <v>40</v>
      </c>
      <c r="I294" t="s">
        <v>178</v>
      </c>
      <c r="J294" t="s">
        <v>173</v>
      </c>
      <c r="K294" t="s">
        <v>124</v>
      </c>
      <c r="L294" t="s">
        <v>174</v>
      </c>
      <c r="M294" t="s">
        <v>124</v>
      </c>
      <c r="N294" t="s">
        <v>45</v>
      </c>
      <c r="O294" t="s">
        <v>45</v>
      </c>
      <c r="P294">
        <v>2</v>
      </c>
      <c r="Q294" s="7">
        <v>46208</v>
      </c>
      <c r="R294" s="7">
        <v>46208</v>
      </c>
      <c r="S294" s="7">
        <v>46208</v>
      </c>
      <c r="T294" t="s">
        <v>45</v>
      </c>
      <c r="V294" t="s">
        <v>175</v>
      </c>
      <c r="W294" t="s">
        <v>45</v>
      </c>
      <c r="X294" t="s">
        <v>74</v>
      </c>
      <c r="Y294" t="s">
        <v>46</v>
      </c>
      <c r="Z294" t="s">
        <v>150</v>
      </c>
      <c r="AF294">
        <v>2</v>
      </c>
      <c r="AH294" t="s">
        <v>75</v>
      </c>
      <c r="AI294">
        <v>1</v>
      </c>
      <c r="AJ294" s="9"/>
      <c r="AK294" t="s">
        <v>74</v>
      </c>
      <c r="AL294" t="s">
        <v>98</v>
      </c>
      <c r="AM294"/>
      <c r="AN294" t="s">
        <v>45</v>
      </c>
      <c r="AO294" t="s">
        <v>86</v>
      </c>
      <c r="AP294">
        <v>5</v>
      </c>
      <c r="AQ294" t="s">
        <v>74</v>
      </c>
      <c r="AR294" s="18" t="str">
        <f>IFERROR(VLOOKUP(K294,[1]POP!$F:$J,1,0),M294)</f>
        <v>MADA</v>
      </c>
      <c r="AS294" s="18" t="str">
        <f t="shared" si="21"/>
        <v>TCHIKA</v>
      </c>
      <c r="AT294" s="19">
        <f t="shared" si="24"/>
        <v>2</v>
      </c>
      <c r="AU294" s="19">
        <f t="shared" ca="1" si="23"/>
        <v>2</v>
      </c>
    </row>
    <row r="295" spans="1:47" x14ac:dyDescent="0.3">
      <c r="A295" t="s">
        <v>452</v>
      </c>
      <c r="B295" t="str">
        <f t="shared" si="20"/>
        <v>S28_2026</v>
      </c>
      <c r="C295" t="str">
        <f t="shared" si="22"/>
        <v>S27_2026</v>
      </c>
      <c r="F295">
        <v>23</v>
      </c>
      <c r="G295" t="s">
        <v>40</v>
      </c>
      <c r="I295" t="s">
        <v>453</v>
      </c>
      <c r="J295" t="s">
        <v>453</v>
      </c>
      <c r="K295" t="s">
        <v>454</v>
      </c>
      <c r="L295" t="s">
        <v>453</v>
      </c>
      <c r="M295" t="s">
        <v>454</v>
      </c>
      <c r="N295" t="s">
        <v>45</v>
      </c>
      <c r="O295" t="s">
        <v>45</v>
      </c>
      <c r="P295">
        <v>2</v>
      </c>
      <c r="Q295" s="7">
        <v>46208</v>
      </c>
      <c r="R295" s="7">
        <v>46211</v>
      </c>
      <c r="S295" s="7">
        <v>46211</v>
      </c>
      <c r="T295" t="s">
        <v>45</v>
      </c>
      <c r="V295" t="s">
        <v>455</v>
      </c>
      <c r="W295" t="s">
        <v>45</v>
      </c>
      <c r="X295" t="s">
        <v>74</v>
      </c>
      <c r="Y295" t="s">
        <v>46</v>
      </c>
      <c r="Z295" t="s">
        <v>150</v>
      </c>
      <c r="AA295" s="7">
        <v>46211</v>
      </c>
      <c r="AB295" t="s">
        <v>48</v>
      </c>
      <c r="AC295" t="s">
        <v>45</v>
      </c>
      <c r="AD295" t="s">
        <v>62</v>
      </c>
      <c r="AF295">
        <v>2</v>
      </c>
      <c r="AH295" t="s">
        <v>75</v>
      </c>
      <c r="AI295">
        <v>1</v>
      </c>
      <c r="AJ295" s="9"/>
      <c r="AK295" t="s">
        <v>74</v>
      </c>
      <c r="AL295" t="s">
        <v>98</v>
      </c>
      <c r="AM295"/>
      <c r="AN295" t="s">
        <v>45</v>
      </c>
      <c r="AO295" t="s">
        <v>86</v>
      </c>
      <c r="AP295">
        <v>11</v>
      </c>
      <c r="AQ295" t="s">
        <v>74</v>
      </c>
      <c r="AR295" s="18" t="str">
        <f>IFERROR(VLOOKUP(K295,[1]POP!$F:$J,1,0),M295)</f>
        <v>MAROUA 3</v>
      </c>
      <c r="AS295" s="18" t="str">
        <f t="shared" si="21"/>
        <v>DOUGOI</v>
      </c>
      <c r="AT295" s="19">
        <f t="shared" si="24"/>
        <v>2</v>
      </c>
      <c r="AU295" s="19">
        <f t="shared" ca="1" si="23"/>
        <v>2</v>
      </c>
    </row>
    <row r="296" spans="1:47" x14ac:dyDescent="0.3">
      <c r="A296" t="s">
        <v>456</v>
      </c>
      <c r="B296" t="str">
        <f t="shared" si="20"/>
        <v>S28_2026</v>
      </c>
      <c r="C296" t="str">
        <f t="shared" si="22"/>
        <v>S27_2026</v>
      </c>
      <c r="F296">
        <v>19</v>
      </c>
      <c r="G296" t="s">
        <v>55</v>
      </c>
      <c r="H296" t="s">
        <v>457</v>
      </c>
      <c r="I296" t="s">
        <v>458</v>
      </c>
      <c r="J296" t="s">
        <v>459</v>
      </c>
      <c r="K296" t="s">
        <v>460</v>
      </c>
      <c r="L296" t="s">
        <v>459</v>
      </c>
      <c r="M296" t="s">
        <v>460</v>
      </c>
      <c r="N296" t="s">
        <v>45</v>
      </c>
      <c r="O296" t="s">
        <v>45</v>
      </c>
      <c r="P296">
        <v>3</v>
      </c>
      <c r="Q296" s="7">
        <v>46208</v>
      </c>
      <c r="R296" s="7">
        <v>46211</v>
      </c>
      <c r="S296" s="7">
        <v>46211</v>
      </c>
      <c r="T296" t="s">
        <v>74</v>
      </c>
      <c r="AF296">
        <v>3</v>
      </c>
      <c r="AH296" t="s">
        <v>75</v>
      </c>
      <c r="AI296">
        <v>3</v>
      </c>
      <c r="AJ296" s="9"/>
      <c r="AM296"/>
      <c r="AN296"/>
      <c r="AO296"/>
      <c r="AP296"/>
      <c r="AQ296"/>
      <c r="AR296" s="18" t="str">
        <f>IFERROR(VLOOKUP(K296,[1]POP!$F:$J,1,0),M296)</f>
        <v>KOUSSERI</v>
      </c>
      <c r="AS296" s="18" t="str">
        <f t="shared" si="21"/>
        <v>PAGUI</v>
      </c>
      <c r="AT296" s="19">
        <f t="shared" si="24"/>
        <v>3</v>
      </c>
      <c r="AU296" s="19">
        <f t="shared" ca="1" si="23"/>
        <v>2</v>
      </c>
    </row>
    <row r="297" spans="1:47" x14ac:dyDescent="0.3">
      <c r="A297" t="s">
        <v>461</v>
      </c>
      <c r="B297" t="str">
        <f t="shared" si="20"/>
        <v>S28_2026</v>
      </c>
      <c r="C297" t="str">
        <f t="shared" si="22"/>
        <v>S28_2026</v>
      </c>
      <c r="F297">
        <v>43</v>
      </c>
      <c r="G297" t="s">
        <v>55</v>
      </c>
      <c r="H297" t="s">
        <v>457</v>
      </c>
      <c r="I297" t="s">
        <v>458</v>
      </c>
      <c r="J297" t="s">
        <v>459</v>
      </c>
      <c r="K297" t="s">
        <v>460</v>
      </c>
      <c r="L297" t="s">
        <v>459</v>
      </c>
      <c r="M297" t="s">
        <v>460</v>
      </c>
      <c r="N297" t="s">
        <v>45</v>
      </c>
      <c r="O297" t="s">
        <v>45</v>
      </c>
      <c r="P297">
        <v>3</v>
      </c>
      <c r="Q297" s="7">
        <v>46210</v>
      </c>
      <c r="R297" s="7">
        <v>46210</v>
      </c>
      <c r="S297" s="7">
        <v>46211</v>
      </c>
      <c r="T297" t="s">
        <v>117</v>
      </c>
      <c r="V297" t="s">
        <v>462</v>
      </c>
      <c r="W297" t="s">
        <v>45</v>
      </c>
      <c r="X297" t="s">
        <v>74</v>
      </c>
      <c r="Y297" t="s">
        <v>45</v>
      </c>
      <c r="Z297" t="s">
        <v>45</v>
      </c>
      <c r="AA297" s="7">
        <v>46216</v>
      </c>
      <c r="AB297" t="s">
        <v>48</v>
      </c>
      <c r="AC297" t="s">
        <v>45</v>
      </c>
      <c r="AD297" t="s">
        <v>48</v>
      </c>
      <c r="AE297" s="7">
        <v>46214</v>
      </c>
      <c r="AF297">
        <v>2</v>
      </c>
      <c r="AH297" t="s">
        <v>75</v>
      </c>
      <c r="AI297">
        <v>1</v>
      </c>
      <c r="AJ297" s="14">
        <v>46208</v>
      </c>
      <c r="AK297" t="s">
        <v>86</v>
      </c>
      <c r="AM297"/>
      <c r="AN297"/>
      <c r="AO297"/>
      <c r="AP297"/>
      <c r="AQ297"/>
      <c r="AR297" s="18" t="str">
        <f>IFERROR(VLOOKUP(K297,[1]POP!$F:$J,1,0),M297)</f>
        <v>KOUSSERI</v>
      </c>
      <c r="AS297" s="18" t="str">
        <f t="shared" si="21"/>
        <v>PAGUI</v>
      </c>
      <c r="AT297" s="19">
        <f t="shared" si="24"/>
        <v>2</v>
      </c>
      <c r="AU297" s="19">
        <f t="shared" ca="1" si="23"/>
        <v>2</v>
      </c>
    </row>
    <row r="298" spans="1:47" x14ac:dyDescent="0.3">
      <c r="A298" t="s">
        <v>463</v>
      </c>
      <c r="B298" t="str">
        <f t="shared" si="20"/>
        <v>S28_2026</v>
      </c>
      <c r="C298" t="str">
        <f t="shared" si="22"/>
        <v>S28_2026</v>
      </c>
      <c r="F298">
        <v>28</v>
      </c>
      <c r="G298" t="s">
        <v>40</v>
      </c>
      <c r="H298" t="s">
        <v>77</v>
      </c>
      <c r="I298" t="s">
        <v>458</v>
      </c>
      <c r="J298" t="s">
        <v>459</v>
      </c>
      <c r="K298" t="s">
        <v>460</v>
      </c>
      <c r="L298" t="s">
        <v>459</v>
      </c>
      <c r="M298" t="s">
        <v>460</v>
      </c>
      <c r="N298" t="s">
        <v>45</v>
      </c>
      <c r="O298" t="s">
        <v>45</v>
      </c>
      <c r="P298">
        <v>3</v>
      </c>
      <c r="Q298" s="7">
        <v>46209</v>
      </c>
      <c r="R298" s="7">
        <v>46210</v>
      </c>
      <c r="S298" s="7">
        <v>46210</v>
      </c>
      <c r="T298" t="s">
        <v>45</v>
      </c>
      <c r="V298" t="s">
        <v>464</v>
      </c>
      <c r="W298" t="s">
        <v>45</v>
      </c>
      <c r="X298" t="s">
        <v>45</v>
      </c>
      <c r="Y298" t="s">
        <v>45</v>
      </c>
      <c r="Z298" t="s">
        <v>45</v>
      </c>
      <c r="AF298">
        <v>3</v>
      </c>
      <c r="AH298" t="s">
        <v>75</v>
      </c>
      <c r="AI298">
        <v>2</v>
      </c>
      <c r="AJ298" s="9"/>
      <c r="AM298"/>
      <c r="AN298"/>
      <c r="AO298"/>
      <c r="AP298"/>
      <c r="AQ298"/>
      <c r="AR298" s="18" t="str">
        <f>IFERROR(VLOOKUP(K298,[1]POP!$F:$J,1,0),M298)</f>
        <v>KOUSSERI</v>
      </c>
      <c r="AS298" s="18" t="str">
        <f t="shared" si="21"/>
        <v>PAGUI</v>
      </c>
      <c r="AT298" s="19">
        <f t="shared" si="24"/>
        <v>3</v>
      </c>
      <c r="AU298" s="19">
        <f t="shared" ca="1" si="23"/>
        <v>2</v>
      </c>
    </row>
    <row r="299" spans="1:47" x14ac:dyDescent="0.3">
      <c r="A299" t="s">
        <v>465</v>
      </c>
      <c r="B299" t="str">
        <f t="shared" si="20"/>
        <v>S28_2026</v>
      </c>
      <c r="C299" t="str">
        <f t="shared" si="22"/>
        <v>S28_2026</v>
      </c>
      <c r="E299">
        <v>692425454</v>
      </c>
      <c r="F299">
        <v>28</v>
      </c>
      <c r="G299" t="s">
        <v>40</v>
      </c>
      <c r="H299" t="s">
        <v>77</v>
      </c>
      <c r="I299" t="s">
        <v>458</v>
      </c>
      <c r="J299" t="s">
        <v>459</v>
      </c>
      <c r="K299" t="s">
        <v>460</v>
      </c>
      <c r="L299" t="s">
        <v>459</v>
      </c>
      <c r="M299" t="s">
        <v>460</v>
      </c>
      <c r="N299" t="s">
        <v>45</v>
      </c>
      <c r="O299" t="s">
        <v>45</v>
      </c>
      <c r="P299">
        <v>1</v>
      </c>
      <c r="Q299" s="7">
        <v>46209</v>
      </c>
      <c r="R299" s="7">
        <v>46211</v>
      </c>
      <c r="S299" s="7">
        <v>46211</v>
      </c>
      <c r="T299" t="s">
        <v>74</v>
      </c>
      <c r="V299" t="s">
        <v>464</v>
      </c>
      <c r="W299" t="s">
        <v>45</v>
      </c>
      <c r="X299" t="s">
        <v>45</v>
      </c>
      <c r="Y299" t="s">
        <v>45</v>
      </c>
      <c r="Z299" t="s">
        <v>45</v>
      </c>
      <c r="AA299" s="7">
        <v>46211</v>
      </c>
      <c r="AB299" t="s">
        <v>48</v>
      </c>
      <c r="AF299">
        <v>2</v>
      </c>
      <c r="AH299" t="s">
        <v>75</v>
      </c>
      <c r="AI299">
        <v>1</v>
      </c>
      <c r="AJ299" s="9">
        <v>46210</v>
      </c>
      <c r="AM299"/>
      <c r="AN299"/>
      <c r="AO299"/>
      <c r="AP299"/>
      <c r="AQ299"/>
      <c r="AR299" s="18" t="str">
        <f>IFERROR(VLOOKUP(K299,[1]POP!$F:$J,1,0),M299)</f>
        <v>KOUSSERI</v>
      </c>
      <c r="AS299" s="18" t="str">
        <f t="shared" si="21"/>
        <v>PAGUI</v>
      </c>
      <c r="AT299" s="19">
        <f t="shared" si="24"/>
        <v>2</v>
      </c>
      <c r="AU299" s="19">
        <f t="shared" ca="1" si="23"/>
        <v>2</v>
      </c>
    </row>
    <row r="300" spans="1:47" x14ac:dyDescent="0.3">
      <c r="A300" t="s">
        <v>466</v>
      </c>
      <c r="B300" t="str">
        <f t="shared" si="20"/>
        <v>S28_2026</v>
      </c>
      <c r="C300" t="str">
        <f t="shared" si="22"/>
        <v>S28_2026</v>
      </c>
      <c r="E300">
        <v>692425454</v>
      </c>
      <c r="F300">
        <v>28</v>
      </c>
      <c r="G300" t="s">
        <v>40</v>
      </c>
      <c r="H300" t="s">
        <v>77</v>
      </c>
      <c r="I300" t="s">
        <v>458</v>
      </c>
      <c r="J300" t="s">
        <v>459</v>
      </c>
      <c r="K300" t="s">
        <v>460</v>
      </c>
      <c r="L300" t="s">
        <v>459</v>
      </c>
      <c r="M300" t="s">
        <v>460</v>
      </c>
      <c r="N300" t="s">
        <v>45</v>
      </c>
      <c r="O300" t="s">
        <v>45</v>
      </c>
      <c r="P300">
        <v>1</v>
      </c>
      <c r="Q300" s="7">
        <v>46210</v>
      </c>
      <c r="R300" s="7">
        <v>46211</v>
      </c>
      <c r="S300" s="7">
        <v>46211</v>
      </c>
      <c r="T300" t="s">
        <v>74</v>
      </c>
      <c r="V300" t="s">
        <v>464</v>
      </c>
      <c r="AA300" s="7">
        <v>46211</v>
      </c>
      <c r="AB300" t="s">
        <v>48</v>
      </c>
      <c r="AF300">
        <v>2</v>
      </c>
      <c r="AH300" t="s">
        <v>75</v>
      </c>
      <c r="AI300">
        <v>1</v>
      </c>
      <c r="AJ300" s="9"/>
      <c r="AM300"/>
      <c r="AN300"/>
      <c r="AO300"/>
      <c r="AP300"/>
      <c r="AQ300"/>
      <c r="AR300" s="18" t="str">
        <f>IFERROR(VLOOKUP(K300,[1]POP!$F:$J,1,0),M300)</f>
        <v>KOUSSERI</v>
      </c>
      <c r="AS300" s="18" t="str">
        <f t="shared" si="21"/>
        <v>PAGUI</v>
      </c>
      <c r="AT300" s="19">
        <f t="shared" si="24"/>
        <v>2</v>
      </c>
      <c r="AU300" s="19">
        <f t="shared" ca="1" si="23"/>
        <v>2</v>
      </c>
    </row>
    <row r="301" spans="1:47" x14ac:dyDescent="0.3">
      <c r="A301" t="s">
        <v>467</v>
      </c>
      <c r="B301" t="str">
        <f t="shared" si="20"/>
        <v>S28_2026</v>
      </c>
      <c r="C301" t="str">
        <f t="shared" si="22"/>
        <v>S27_2026</v>
      </c>
      <c r="F301">
        <v>18</v>
      </c>
      <c r="G301" t="s">
        <v>40</v>
      </c>
      <c r="H301" t="s">
        <v>468</v>
      </c>
      <c r="I301" t="s">
        <v>458</v>
      </c>
      <c r="J301" t="s">
        <v>459</v>
      </c>
      <c r="K301" t="s">
        <v>460</v>
      </c>
      <c r="L301" t="s">
        <v>459</v>
      </c>
      <c r="M301" t="s">
        <v>460</v>
      </c>
      <c r="N301" t="s">
        <v>45</v>
      </c>
      <c r="O301" t="s">
        <v>45</v>
      </c>
      <c r="P301">
        <v>3</v>
      </c>
      <c r="Q301" s="7">
        <v>46208</v>
      </c>
      <c r="R301" s="7">
        <v>46210</v>
      </c>
      <c r="S301" s="7">
        <v>46211</v>
      </c>
      <c r="T301" t="s">
        <v>117</v>
      </c>
      <c r="V301" t="s">
        <v>462</v>
      </c>
      <c r="W301" t="s">
        <v>45</v>
      </c>
      <c r="X301" t="s">
        <v>74</v>
      </c>
      <c r="Y301" t="s">
        <v>45</v>
      </c>
      <c r="Z301" t="s">
        <v>45</v>
      </c>
      <c r="AA301" s="7">
        <v>46216</v>
      </c>
      <c r="AB301" t="s">
        <v>48</v>
      </c>
      <c r="AC301" t="s">
        <v>45</v>
      </c>
      <c r="AD301" t="s">
        <v>48</v>
      </c>
      <c r="AF301">
        <v>2</v>
      </c>
      <c r="AH301" t="s">
        <v>75</v>
      </c>
      <c r="AI301">
        <v>1</v>
      </c>
      <c r="AJ301" s="9"/>
      <c r="AK301" t="s">
        <v>86</v>
      </c>
      <c r="AM301"/>
      <c r="AN301"/>
      <c r="AO301"/>
      <c r="AP301"/>
      <c r="AQ301"/>
      <c r="AR301" s="18" t="str">
        <f>IFERROR(VLOOKUP(K301,[1]POP!$F:$J,1,0),M301)</f>
        <v>KOUSSERI</v>
      </c>
      <c r="AS301" s="18" t="str">
        <f t="shared" si="21"/>
        <v>PAGUI</v>
      </c>
      <c r="AT301" s="19">
        <f t="shared" si="24"/>
        <v>2</v>
      </c>
      <c r="AU301" s="19">
        <f t="shared" ca="1" si="23"/>
        <v>2</v>
      </c>
    </row>
    <row r="302" spans="1:47" x14ac:dyDescent="0.3">
      <c r="A302" t="s">
        <v>469</v>
      </c>
      <c r="B302" t="str">
        <f t="shared" si="20"/>
        <v>S28_2026</v>
      </c>
      <c r="C302" t="str">
        <f t="shared" si="22"/>
        <v>S28_2026</v>
      </c>
      <c r="E302">
        <v>658345248</v>
      </c>
      <c r="F302">
        <v>22</v>
      </c>
      <c r="G302" t="s">
        <v>55</v>
      </c>
      <c r="H302" t="s">
        <v>470</v>
      </c>
      <c r="I302" t="s">
        <v>458</v>
      </c>
      <c r="J302" t="s">
        <v>459</v>
      </c>
      <c r="K302" t="s">
        <v>460</v>
      </c>
      <c r="L302" t="s">
        <v>459</v>
      </c>
      <c r="M302" t="s">
        <v>460</v>
      </c>
      <c r="N302" t="s">
        <v>45</v>
      </c>
      <c r="O302" t="s">
        <v>45</v>
      </c>
      <c r="P302">
        <v>3</v>
      </c>
      <c r="Q302" s="7">
        <v>46210</v>
      </c>
      <c r="R302" s="7">
        <v>46210</v>
      </c>
      <c r="S302" s="7">
        <v>46211</v>
      </c>
      <c r="T302" t="s">
        <v>117</v>
      </c>
      <c r="V302" t="s">
        <v>462</v>
      </c>
      <c r="W302" t="s">
        <v>45</v>
      </c>
      <c r="X302" t="s">
        <v>74</v>
      </c>
      <c r="Y302" t="s">
        <v>45</v>
      </c>
      <c r="Z302" t="s">
        <v>45</v>
      </c>
      <c r="AF302">
        <v>3</v>
      </c>
      <c r="AH302" t="s">
        <v>75</v>
      </c>
      <c r="AI302">
        <v>2</v>
      </c>
      <c r="AJ302" s="9"/>
      <c r="AK302" t="s">
        <v>86</v>
      </c>
      <c r="AM302"/>
      <c r="AN302"/>
      <c r="AO302"/>
      <c r="AP302"/>
      <c r="AQ302"/>
      <c r="AR302" s="18" t="str">
        <f>IFERROR(VLOOKUP(K302,[1]POP!$F:$J,1,0),M302)</f>
        <v>KOUSSERI</v>
      </c>
      <c r="AS302" s="18" t="str">
        <f t="shared" si="21"/>
        <v>PAGUI</v>
      </c>
      <c r="AT302" s="19">
        <f t="shared" si="24"/>
        <v>3</v>
      </c>
      <c r="AU302" s="19">
        <f t="shared" ca="1" si="23"/>
        <v>2</v>
      </c>
    </row>
    <row r="303" spans="1:47" x14ac:dyDescent="0.3">
      <c r="A303" t="s">
        <v>471</v>
      </c>
      <c r="B303" t="str">
        <f t="shared" si="20"/>
        <v>S28_2026</v>
      </c>
      <c r="C303" t="str">
        <f t="shared" si="22"/>
        <v>S27_2026</v>
      </c>
      <c r="E303" t="s">
        <v>472</v>
      </c>
      <c r="F303">
        <v>2</v>
      </c>
      <c r="G303" t="s">
        <v>40</v>
      </c>
      <c r="H303" t="s">
        <v>111</v>
      </c>
      <c r="I303" t="s">
        <v>112</v>
      </c>
      <c r="J303" t="s">
        <v>113</v>
      </c>
      <c r="K303" t="s">
        <v>114</v>
      </c>
      <c r="L303" t="s">
        <v>115</v>
      </c>
      <c r="M303" t="s">
        <v>116</v>
      </c>
      <c r="N303" t="s">
        <v>117</v>
      </c>
      <c r="O303" t="s">
        <v>117</v>
      </c>
      <c r="P303">
        <v>3</v>
      </c>
      <c r="Q303" s="7">
        <v>46208</v>
      </c>
      <c r="R303" s="7">
        <v>46209</v>
      </c>
      <c r="S303" s="7">
        <v>46209</v>
      </c>
      <c r="T303" t="s">
        <v>117</v>
      </c>
      <c r="V303" t="s">
        <v>118</v>
      </c>
      <c r="W303" t="s">
        <v>117</v>
      </c>
      <c r="X303" t="s">
        <v>117</v>
      </c>
      <c r="Y303" t="s">
        <v>117</v>
      </c>
      <c r="Z303" t="s">
        <v>117</v>
      </c>
      <c r="AB303" t="s">
        <v>48</v>
      </c>
      <c r="AC303" t="s">
        <v>74</v>
      </c>
      <c r="AF303">
        <v>2</v>
      </c>
      <c r="AH303" t="s">
        <v>75</v>
      </c>
      <c r="AI303">
        <v>1</v>
      </c>
      <c r="AJ303" s="9">
        <v>46211</v>
      </c>
      <c r="AK303" t="s">
        <v>74</v>
      </c>
      <c r="AM303"/>
      <c r="AN303"/>
      <c r="AO303"/>
      <c r="AP303"/>
      <c r="AQ303"/>
      <c r="AR303" s="18" t="str">
        <f>IFERROR(VLOOKUP(K303,[1]POP!$F:$J,1,0),M303)</f>
        <v>FOTOKOL</v>
      </c>
      <c r="AS303" s="18" t="str">
        <f t="shared" si="21"/>
        <v>sagmé</v>
      </c>
      <c r="AT303" s="19">
        <f t="shared" si="24"/>
        <v>2</v>
      </c>
      <c r="AU303" s="19">
        <f t="shared" ca="1" si="23"/>
        <v>2</v>
      </c>
    </row>
    <row r="304" spans="1:47" x14ac:dyDescent="0.3">
      <c r="A304" t="s">
        <v>473</v>
      </c>
      <c r="B304" t="str">
        <f t="shared" si="20"/>
        <v>S28_2026</v>
      </c>
      <c r="C304" t="str">
        <f t="shared" si="22"/>
        <v>S27_2026</v>
      </c>
      <c r="E304" t="s">
        <v>472</v>
      </c>
      <c r="F304">
        <v>2</v>
      </c>
      <c r="G304" t="s">
        <v>40</v>
      </c>
      <c r="H304" t="s">
        <v>111</v>
      </c>
      <c r="I304" t="s">
        <v>112</v>
      </c>
      <c r="J304" t="s">
        <v>113</v>
      </c>
      <c r="K304" t="s">
        <v>114</v>
      </c>
      <c r="L304" t="s">
        <v>115</v>
      </c>
      <c r="M304" t="s">
        <v>116</v>
      </c>
      <c r="N304" t="s">
        <v>117</v>
      </c>
      <c r="O304" t="s">
        <v>117</v>
      </c>
      <c r="P304">
        <v>2</v>
      </c>
      <c r="Q304" s="7">
        <v>46208</v>
      </c>
      <c r="R304" s="7">
        <v>46209</v>
      </c>
      <c r="S304" s="7">
        <v>46209</v>
      </c>
      <c r="T304" t="s">
        <v>117</v>
      </c>
      <c r="V304" t="s">
        <v>118</v>
      </c>
      <c r="W304" t="s">
        <v>117</v>
      </c>
      <c r="X304" t="s">
        <v>117</v>
      </c>
      <c r="Y304" t="s">
        <v>150</v>
      </c>
      <c r="Z304" t="s">
        <v>117</v>
      </c>
      <c r="AB304" t="s">
        <v>62</v>
      </c>
      <c r="AC304" t="s">
        <v>74</v>
      </c>
      <c r="AF304">
        <v>2</v>
      </c>
      <c r="AH304" t="s">
        <v>75</v>
      </c>
      <c r="AI304">
        <v>1</v>
      </c>
      <c r="AJ304" s="9"/>
      <c r="AK304" t="s">
        <v>74</v>
      </c>
      <c r="AM304"/>
      <c r="AN304"/>
      <c r="AO304"/>
      <c r="AP304"/>
      <c r="AQ304"/>
      <c r="AR304" s="18" t="str">
        <f>IFERROR(VLOOKUP(K304,[1]POP!$F:$J,1,0),M304)</f>
        <v>FOTOKOL</v>
      </c>
      <c r="AS304" s="18" t="str">
        <f t="shared" si="21"/>
        <v>sagmé</v>
      </c>
      <c r="AT304" s="19">
        <f t="shared" si="24"/>
        <v>2</v>
      </c>
      <c r="AU304" s="19">
        <f t="shared" ca="1" si="23"/>
        <v>2</v>
      </c>
    </row>
    <row r="305" spans="1:47" x14ac:dyDescent="0.3">
      <c r="A305" t="s">
        <v>474</v>
      </c>
      <c r="B305" t="str">
        <f t="shared" si="20"/>
        <v>S28_2026</v>
      </c>
      <c r="C305" t="str">
        <f t="shared" si="22"/>
        <v>S27_2026</v>
      </c>
      <c r="E305" t="s">
        <v>475</v>
      </c>
      <c r="F305">
        <v>3</v>
      </c>
      <c r="G305" t="s">
        <v>40</v>
      </c>
      <c r="H305" t="s">
        <v>111</v>
      </c>
      <c r="I305" t="s">
        <v>112</v>
      </c>
      <c r="J305" t="s">
        <v>113</v>
      </c>
      <c r="K305" t="s">
        <v>114</v>
      </c>
      <c r="L305" t="s">
        <v>115</v>
      </c>
      <c r="M305" t="s">
        <v>116</v>
      </c>
      <c r="N305" t="s">
        <v>117</v>
      </c>
      <c r="O305" t="s">
        <v>117</v>
      </c>
      <c r="P305">
        <v>3</v>
      </c>
      <c r="Q305" s="7">
        <v>46208</v>
      </c>
      <c r="R305" s="7">
        <v>46209</v>
      </c>
      <c r="S305" s="7">
        <v>46209</v>
      </c>
      <c r="T305" t="s">
        <v>117</v>
      </c>
      <c r="V305" t="s">
        <v>118</v>
      </c>
      <c r="W305" t="s">
        <v>117</v>
      </c>
      <c r="X305" t="s">
        <v>117</v>
      </c>
      <c r="Y305" t="s">
        <v>117</v>
      </c>
      <c r="Z305" t="s">
        <v>117</v>
      </c>
      <c r="AB305" t="s">
        <v>48</v>
      </c>
      <c r="AC305" t="s">
        <v>74</v>
      </c>
      <c r="AF305">
        <v>2</v>
      </c>
      <c r="AH305" t="s">
        <v>75</v>
      </c>
      <c r="AI305">
        <v>1</v>
      </c>
      <c r="AJ305" s="9"/>
      <c r="AK305" t="s">
        <v>74</v>
      </c>
      <c r="AM305"/>
      <c r="AN305"/>
      <c r="AO305"/>
      <c r="AP305"/>
      <c r="AQ305"/>
      <c r="AR305" s="18" t="str">
        <f>IFERROR(VLOOKUP(K305,[1]POP!$F:$J,1,0),M305)</f>
        <v>FOTOKOL</v>
      </c>
      <c r="AS305" s="18" t="str">
        <f t="shared" si="21"/>
        <v>sagmé</v>
      </c>
      <c r="AT305" s="19">
        <f t="shared" si="24"/>
        <v>2</v>
      </c>
      <c r="AU305" s="19">
        <f t="shared" ca="1" si="23"/>
        <v>2</v>
      </c>
    </row>
    <row r="306" spans="1:47" x14ac:dyDescent="0.3">
      <c r="A306" t="s">
        <v>476</v>
      </c>
      <c r="B306" t="str">
        <f t="shared" si="20"/>
        <v>S28_2026</v>
      </c>
      <c r="C306" t="str">
        <f t="shared" si="22"/>
        <v>S28_2026</v>
      </c>
      <c r="F306">
        <v>19</v>
      </c>
      <c r="G306" t="s">
        <v>55</v>
      </c>
      <c r="I306" t="s">
        <v>477</v>
      </c>
      <c r="J306" t="s">
        <v>124</v>
      </c>
      <c r="K306" t="s">
        <v>124</v>
      </c>
      <c r="L306" t="s">
        <v>174</v>
      </c>
      <c r="M306" t="s">
        <v>124</v>
      </c>
      <c r="N306" t="s">
        <v>45</v>
      </c>
      <c r="O306" t="s">
        <v>45</v>
      </c>
      <c r="P306">
        <v>3</v>
      </c>
      <c r="Q306" s="7">
        <v>46209</v>
      </c>
      <c r="R306" s="7">
        <v>46209</v>
      </c>
      <c r="S306" s="7">
        <v>46209</v>
      </c>
      <c r="T306" t="s">
        <v>45</v>
      </c>
      <c r="V306" t="s">
        <v>175</v>
      </c>
      <c r="W306" t="s">
        <v>45</v>
      </c>
      <c r="X306" t="s">
        <v>74</v>
      </c>
      <c r="Y306" t="s">
        <v>46</v>
      </c>
      <c r="Z306" t="s">
        <v>150</v>
      </c>
      <c r="AF306">
        <v>2</v>
      </c>
      <c r="AH306" t="s">
        <v>75</v>
      </c>
      <c r="AI306">
        <v>1</v>
      </c>
      <c r="AJ306" s="9"/>
      <c r="AM306"/>
      <c r="AN306"/>
      <c r="AO306"/>
      <c r="AP306"/>
      <c r="AQ306"/>
      <c r="AR306" s="18" t="str">
        <f>IFERROR(VLOOKUP(K306,[1]POP!$F:$J,1,0),M306)</f>
        <v>MADA</v>
      </c>
      <c r="AS306" s="18" t="str">
        <f t="shared" si="21"/>
        <v>MADA</v>
      </c>
      <c r="AT306" s="19">
        <f t="shared" si="24"/>
        <v>2</v>
      </c>
      <c r="AU306" s="19">
        <f t="shared" ca="1" si="23"/>
        <v>2</v>
      </c>
    </row>
    <row r="307" spans="1:47" x14ac:dyDescent="0.3">
      <c r="A307" t="s">
        <v>478</v>
      </c>
      <c r="B307" t="str">
        <f t="shared" si="20"/>
        <v>S28_2026</v>
      </c>
      <c r="C307" t="str">
        <f t="shared" si="22"/>
        <v>S28_2026</v>
      </c>
      <c r="F307">
        <v>5</v>
      </c>
      <c r="G307" t="s">
        <v>40</v>
      </c>
      <c r="I307" t="s">
        <v>127</v>
      </c>
      <c r="J307" t="s">
        <v>173</v>
      </c>
      <c r="K307" t="s">
        <v>124</v>
      </c>
      <c r="L307" t="s">
        <v>174</v>
      </c>
      <c r="M307" t="s">
        <v>124</v>
      </c>
      <c r="N307" t="s">
        <v>45</v>
      </c>
      <c r="O307" t="s">
        <v>45</v>
      </c>
      <c r="P307">
        <v>1</v>
      </c>
      <c r="Q307" s="7">
        <v>46209</v>
      </c>
      <c r="R307" s="7">
        <v>46209</v>
      </c>
      <c r="S307" s="7">
        <v>46209</v>
      </c>
      <c r="T307" t="s">
        <v>45</v>
      </c>
      <c r="V307" t="s">
        <v>175</v>
      </c>
      <c r="W307" t="s">
        <v>45</v>
      </c>
      <c r="X307" t="s">
        <v>74</v>
      </c>
      <c r="Y307" t="s">
        <v>46</v>
      </c>
      <c r="Z307" t="s">
        <v>150</v>
      </c>
      <c r="AF307">
        <v>2</v>
      </c>
      <c r="AH307" t="s">
        <v>75</v>
      </c>
      <c r="AI307">
        <v>1</v>
      </c>
      <c r="AJ307" s="9"/>
      <c r="AM307"/>
      <c r="AN307"/>
      <c r="AO307"/>
      <c r="AP307"/>
      <c r="AQ307"/>
      <c r="AR307" s="18" t="str">
        <f>IFERROR(VLOOKUP(K307,[1]POP!$F:$J,1,0),M307)</f>
        <v>MADA</v>
      </c>
      <c r="AS307" s="18" t="str">
        <f t="shared" si="21"/>
        <v>TCHIKA</v>
      </c>
      <c r="AT307" s="19">
        <f t="shared" si="24"/>
        <v>2</v>
      </c>
      <c r="AU307" s="19">
        <f t="shared" ca="1" si="23"/>
        <v>2</v>
      </c>
    </row>
    <row r="308" spans="1:47" x14ac:dyDescent="0.3">
      <c r="A308" t="s">
        <v>479</v>
      </c>
      <c r="B308" t="str">
        <f t="shared" si="20"/>
        <v>S28_2026</v>
      </c>
      <c r="C308" t="str">
        <f t="shared" si="22"/>
        <v>S28_2026</v>
      </c>
      <c r="F308">
        <v>13</v>
      </c>
      <c r="G308" t="s">
        <v>55</v>
      </c>
      <c r="I308" t="s">
        <v>127</v>
      </c>
      <c r="J308" t="s">
        <v>173</v>
      </c>
      <c r="K308" t="s">
        <v>124</v>
      </c>
      <c r="L308" t="s">
        <v>174</v>
      </c>
      <c r="M308" t="s">
        <v>124</v>
      </c>
      <c r="N308" t="s">
        <v>45</v>
      </c>
      <c r="O308" t="s">
        <v>45</v>
      </c>
      <c r="P308">
        <v>2</v>
      </c>
      <c r="Q308" s="7">
        <v>46209</v>
      </c>
      <c r="R308" s="7">
        <v>46209</v>
      </c>
      <c r="S308" s="7">
        <v>46209</v>
      </c>
      <c r="T308" t="s">
        <v>45</v>
      </c>
      <c r="V308" t="s">
        <v>175</v>
      </c>
      <c r="W308" t="s">
        <v>45</v>
      </c>
      <c r="X308" t="s">
        <v>74</v>
      </c>
      <c r="Y308" t="s">
        <v>74</v>
      </c>
      <c r="Z308" t="s">
        <v>150</v>
      </c>
      <c r="AF308">
        <v>2</v>
      </c>
      <c r="AH308" t="s">
        <v>75</v>
      </c>
      <c r="AI308">
        <v>1</v>
      </c>
      <c r="AJ308" s="9"/>
      <c r="AM308"/>
      <c r="AN308"/>
      <c r="AO308"/>
      <c r="AP308"/>
      <c r="AQ308"/>
      <c r="AR308" s="18" t="str">
        <f>IFERROR(VLOOKUP(K308,[1]POP!$F:$J,1,0),M308)</f>
        <v>MADA</v>
      </c>
      <c r="AS308" s="18" t="str">
        <f t="shared" si="21"/>
        <v>TCHIKA</v>
      </c>
      <c r="AT308" s="19">
        <f t="shared" si="24"/>
        <v>2</v>
      </c>
      <c r="AU308" s="19">
        <f t="shared" ca="1" si="23"/>
        <v>2</v>
      </c>
    </row>
    <row r="309" spans="1:47" x14ac:dyDescent="0.3">
      <c r="A309" t="s">
        <v>480</v>
      </c>
      <c r="B309" t="str">
        <f t="shared" si="20"/>
        <v>S28_2026</v>
      </c>
      <c r="C309" t="str">
        <f t="shared" si="22"/>
        <v>S28_2026</v>
      </c>
      <c r="E309" t="s">
        <v>40</v>
      </c>
      <c r="F309">
        <v>40</v>
      </c>
      <c r="G309" t="s">
        <v>55</v>
      </c>
      <c r="I309" t="s">
        <v>127</v>
      </c>
      <c r="J309" t="s">
        <v>173</v>
      </c>
      <c r="K309" t="s">
        <v>124</v>
      </c>
      <c r="L309" t="s">
        <v>174</v>
      </c>
      <c r="M309" t="s">
        <v>124</v>
      </c>
      <c r="N309" t="s">
        <v>45</v>
      </c>
      <c r="O309" t="s">
        <v>45</v>
      </c>
      <c r="P309">
        <v>2</v>
      </c>
      <c r="Q309" s="7">
        <v>46209</v>
      </c>
      <c r="R309" s="7">
        <v>46209</v>
      </c>
      <c r="S309" s="7">
        <v>46209</v>
      </c>
      <c r="T309" t="s">
        <v>45</v>
      </c>
      <c r="V309" t="s">
        <v>175</v>
      </c>
      <c r="W309" t="s">
        <v>45</v>
      </c>
      <c r="X309" t="s">
        <v>74</v>
      </c>
      <c r="Y309" t="s">
        <v>46</v>
      </c>
      <c r="Z309" t="s">
        <v>150</v>
      </c>
      <c r="AF309">
        <v>2</v>
      </c>
      <c r="AH309" t="s">
        <v>75</v>
      </c>
      <c r="AI309">
        <v>1</v>
      </c>
      <c r="AJ309" s="9"/>
      <c r="AM309"/>
      <c r="AN309"/>
      <c r="AO309"/>
      <c r="AP309"/>
      <c r="AQ309"/>
      <c r="AR309" s="18" t="str">
        <f>IFERROR(VLOOKUP(K309,[1]POP!$F:$J,1,0),M309)</f>
        <v>MADA</v>
      </c>
      <c r="AS309" s="18" t="str">
        <f t="shared" si="21"/>
        <v>TCHIKA</v>
      </c>
      <c r="AT309" s="19">
        <f t="shared" si="24"/>
        <v>2</v>
      </c>
      <c r="AU309" s="19">
        <f t="shared" ca="1" si="23"/>
        <v>2</v>
      </c>
    </row>
    <row r="310" spans="1:47" x14ac:dyDescent="0.3">
      <c r="A310" t="s">
        <v>481</v>
      </c>
      <c r="B310" t="str">
        <f t="shared" si="20"/>
        <v>S28_2026</v>
      </c>
      <c r="C310" t="str">
        <f t="shared" si="22"/>
        <v>S28_2026</v>
      </c>
      <c r="F310">
        <v>3</v>
      </c>
      <c r="G310" t="s">
        <v>55</v>
      </c>
      <c r="I310" t="s">
        <v>127</v>
      </c>
      <c r="J310" t="s">
        <v>173</v>
      </c>
      <c r="K310" t="s">
        <v>124</v>
      </c>
      <c r="L310" t="s">
        <v>174</v>
      </c>
      <c r="M310" t="s">
        <v>124</v>
      </c>
      <c r="N310" t="s">
        <v>45</v>
      </c>
      <c r="O310" t="s">
        <v>45</v>
      </c>
      <c r="P310">
        <v>2</v>
      </c>
      <c r="Q310" s="7">
        <v>46209</v>
      </c>
      <c r="R310" s="7">
        <v>46209</v>
      </c>
      <c r="S310" s="7">
        <v>46209</v>
      </c>
      <c r="T310" t="s">
        <v>45</v>
      </c>
      <c r="V310" t="s">
        <v>175</v>
      </c>
      <c r="W310" t="s">
        <v>45</v>
      </c>
      <c r="X310" t="s">
        <v>74</v>
      </c>
      <c r="Y310" t="s">
        <v>46</v>
      </c>
      <c r="Z310" t="s">
        <v>150</v>
      </c>
      <c r="AF310">
        <v>2</v>
      </c>
      <c r="AH310" t="s">
        <v>75</v>
      </c>
      <c r="AI310">
        <v>1</v>
      </c>
      <c r="AJ310" s="9"/>
      <c r="AM310"/>
      <c r="AN310"/>
      <c r="AO310"/>
      <c r="AP310"/>
      <c r="AQ310"/>
      <c r="AR310" s="18" t="str">
        <f>IFERROR(VLOOKUP(K310,[1]POP!$F:$J,1,0),M310)</f>
        <v>MADA</v>
      </c>
      <c r="AS310" s="18" t="str">
        <f t="shared" si="21"/>
        <v>TCHIKA</v>
      </c>
      <c r="AT310" s="19">
        <f t="shared" si="24"/>
        <v>2</v>
      </c>
      <c r="AU310" s="19">
        <f t="shared" ca="1" si="23"/>
        <v>2</v>
      </c>
    </row>
    <row r="311" spans="1:47" x14ac:dyDescent="0.3">
      <c r="A311" t="s">
        <v>482</v>
      </c>
      <c r="B311" t="str">
        <f t="shared" si="20"/>
        <v>S28_2026</v>
      </c>
      <c r="C311" t="str">
        <f t="shared" si="22"/>
        <v>S28_2026</v>
      </c>
      <c r="F311">
        <v>10</v>
      </c>
      <c r="G311" t="s">
        <v>55</v>
      </c>
      <c r="I311" t="s">
        <v>127</v>
      </c>
      <c r="J311" t="s">
        <v>173</v>
      </c>
      <c r="K311" t="s">
        <v>124</v>
      </c>
      <c r="L311" t="s">
        <v>174</v>
      </c>
      <c r="M311" t="s">
        <v>124</v>
      </c>
      <c r="N311" t="s">
        <v>45</v>
      </c>
      <c r="O311" t="s">
        <v>45</v>
      </c>
      <c r="P311">
        <v>2</v>
      </c>
      <c r="Q311" s="7">
        <v>46209</v>
      </c>
      <c r="R311" s="7">
        <v>46209</v>
      </c>
      <c r="S311" s="7">
        <v>46209</v>
      </c>
      <c r="T311" t="s">
        <v>45</v>
      </c>
      <c r="V311" t="s">
        <v>175</v>
      </c>
      <c r="W311" t="s">
        <v>45</v>
      </c>
      <c r="X311" t="s">
        <v>74</v>
      </c>
      <c r="Y311" t="s">
        <v>46</v>
      </c>
      <c r="Z311" t="s">
        <v>150</v>
      </c>
      <c r="AF311">
        <v>2</v>
      </c>
      <c r="AH311" t="s">
        <v>75</v>
      </c>
      <c r="AI311">
        <v>1</v>
      </c>
      <c r="AJ311" s="9"/>
      <c r="AM311"/>
      <c r="AN311"/>
      <c r="AO311"/>
      <c r="AP311"/>
      <c r="AQ311"/>
      <c r="AR311" s="18" t="str">
        <f>IFERROR(VLOOKUP(K311,[1]POP!$F:$J,1,0),M311)</f>
        <v>MADA</v>
      </c>
      <c r="AS311" s="18" t="str">
        <f t="shared" si="21"/>
        <v>TCHIKA</v>
      </c>
      <c r="AT311" s="19">
        <f t="shared" si="24"/>
        <v>2</v>
      </c>
      <c r="AU311" s="19">
        <f t="shared" ca="1" si="23"/>
        <v>2</v>
      </c>
    </row>
    <row r="312" spans="1:47" x14ac:dyDescent="0.3">
      <c r="A312" t="s">
        <v>483</v>
      </c>
      <c r="B312" t="str">
        <f t="shared" si="20"/>
        <v>S28_2026</v>
      </c>
      <c r="C312" t="str">
        <f t="shared" si="22"/>
        <v>S28_2026</v>
      </c>
      <c r="F312">
        <v>5</v>
      </c>
      <c r="G312" t="s">
        <v>55</v>
      </c>
      <c r="I312" t="s">
        <v>127</v>
      </c>
      <c r="J312" t="s">
        <v>173</v>
      </c>
      <c r="K312" t="s">
        <v>124</v>
      </c>
      <c r="L312" t="s">
        <v>174</v>
      </c>
      <c r="M312" t="s">
        <v>124</v>
      </c>
      <c r="N312" t="s">
        <v>45</v>
      </c>
      <c r="O312" t="s">
        <v>45</v>
      </c>
      <c r="P312">
        <v>2</v>
      </c>
      <c r="Q312" s="7">
        <v>46209</v>
      </c>
      <c r="R312" s="7">
        <v>46209</v>
      </c>
      <c r="S312" s="7">
        <v>46209</v>
      </c>
      <c r="T312" t="s">
        <v>45</v>
      </c>
      <c r="V312" t="s">
        <v>175</v>
      </c>
      <c r="W312" t="s">
        <v>45</v>
      </c>
      <c r="X312" t="s">
        <v>74</v>
      </c>
      <c r="Y312" t="s">
        <v>46</v>
      </c>
      <c r="Z312" t="s">
        <v>150</v>
      </c>
      <c r="AF312">
        <v>2</v>
      </c>
      <c r="AH312" t="s">
        <v>75</v>
      </c>
      <c r="AI312">
        <v>1</v>
      </c>
      <c r="AJ312" s="9"/>
      <c r="AM312"/>
      <c r="AN312"/>
      <c r="AO312"/>
      <c r="AP312"/>
      <c r="AQ312"/>
      <c r="AR312" s="18" t="str">
        <f>IFERROR(VLOOKUP(K312,[1]POP!$F:$J,1,0),M312)</f>
        <v>MADA</v>
      </c>
      <c r="AS312" s="18" t="str">
        <f t="shared" si="21"/>
        <v>TCHIKA</v>
      </c>
      <c r="AT312" s="19">
        <f t="shared" si="24"/>
        <v>2</v>
      </c>
      <c r="AU312" s="19">
        <f t="shared" ca="1" si="23"/>
        <v>2</v>
      </c>
    </row>
    <row r="313" spans="1:47" x14ac:dyDescent="0.3">
      <c r="A313" t="s">
        <v>484</v>
      </c>
      <c r="B313" t="str">
        <f t="shared" si="20"/>
        <v>S28_2026</v>
      </c>
      <c r="C313" t="str">
        <f t="shared" si="22"/>
        <v>S28_2026</v>
      </c>
      <c r="F313">
        <v>4</v>
      </c>
      <c r="G313" t="s">
        <v>40</v>
      </c>
      <c r="I313" t="s">
        <v>485</v>
      </c>
      <c r="J313" t="s">
        <v>173</v>
      </c>
      <c r="K313" t="s">
        <v>124</v>
      </c>
      <c r="L313" t="s">
        <v>174</v>
      </c>
      <c r="M313" t="s">
        <v>124</v>
      </c>
      <c r="N313" t="s">
        <v>45</v>
      </c>
      <c r="O313" t="s">
        <v>45</v>
      </c>
      <c r="P313">
        <v>2</v>
      </c>
      <c r="Q313" s="7">
        <v>46209</v>
      </c>
      <c r="R313" s="7">
        <v>46209</v>
      </c>
      <c r="S313" s="7">
        <v>46209</v>
      </c>
      <c r="T313" t="s">
        <v>45</v>
      </c>
      <c r="V313" t="s">
        <v>175</v>
      </c>
      <c r="W313" t="s">
        <v>45</v>
      </c>
      <c r="X313" t="s">
        <v>74</v>
      </c>
      <c r="Y313" t="s">
        <v>46</v>
      </c>
      <c r="Z313" t="s">
        <v>150</v>
      </c>
      <c r="AF313">
        <v>2</v>
      </c>
      <c r="AH313" t="s">
        <v>75</v>
      </c>
      <c r="AI313">
        <v>1</v>
      </c>
      <c r="AJ313" s="9"/>
      <c r="AM313"/>
      <c r="AN313" t="s">
        <v>74</v>
      </c>
      <c r="AO313" t="s">
        <v>74</v>
      </c>
      <c r="AP313"/>
      <c r="AQ313" t="s">
        <v>74</v>
      </c>
      <c r="AR313" s="18" t="str">
        <f>IFERROR(VLOOKUP(K313,[1]POP!$F:$J,1,0),M313)</f>
        <v>MADA</v>
      </c>
      <c r="AS313" s="18" t="str">
        <f t="shared" si="21"/>
        <v>TCHIKA</v>
      </c>
      <c r="AT313" s="19">
        <f t="shared" si="24"/>
        <v>2</v>
      </c>
      <c r="AU313" s="19">
        <f t="shared" ca="1" si="23"/>
        <v>2</v>
      </c>
    </row>
    <row r="314" spans="1:47" x14ac:dyDescent="0.3">
      <c r="A314" t="s">
        <v>486</v>
      </c>
      <c r="B314" t="str">
        <f t="shared" si="20"/>
        <v>S28_2026</v>
      </c>
      <c r="C314" t="str">
        <f t="shared" si="22"/>
        <v>S28_2026</v>
      </c>
      <c r="F314">
        <v>22</v>
      </c>
      <c r="G314" t="s">
        <v>55</v>
      </c>
      <c r="I314" t="s">
        <v>127</v>
      </c>
      <c r="J314" t="s">
        <v>173</v>
      </c>
      <c r="K314" t="s">
        <v>124</v>
      </c>
      <c r="L314" t="s">
        <v>174</v>
      </c>
      <c r="M314" t="s">
        <v>124</v>
      </c>
      <c r="N314" t="s">
        <v>45</v>
      </c>
      <c r="O314" t="s">
        <v>45</v>
      </c>
      <c r="P314">
        <v>3</v>
      </c>
      <c r="Q314" s="7">
        <v>46209</v>
      </c>
      <c r="R314" s="7">
        <v>46209</v>
      </c>
      <c r="S314" s="7">
        <v>46209</v>
      </c>
      <c r="T314" t="s">
        <v>45</v>
      </c>
      <c r="V314" t="s">
        <v>175</v>
      </c>
      <c r="W314" t="s">
        <v>45</v>
      </c>
      <c r="X314" t="s">
        <v>74</v>
      </c>
      <c r="Y314" t="s">
        <v>46</v>
      </c>
      <c r="Z314" t="s">
        <v>150</v>
      </c>
      <c r="AF314">
        <v>2</v>
      </c>
      <c r="AH314" t="s">
        <v>75</v>
      </c>
      <c r="AI314">
        <v>1</v>
      </c>
      <c r="AJ314" s="9"/>
      <c r="AM314"/>
      <c r="AN314" t="s">
        <v>74</v>
      </c>
      <c r="AO314" t="s">
        <v>74</v>
      </c>
      <c r="AP314"/>
      <c r="AQ314" t="s">
        <v>74</v>
      </c>
      <c r="AR314" s="18" t="str">
        <f>IFERROR(VLOOKUP(K314,[1]POP!$F:$J,1,0),M314)</f>
        <v>MADA</v>
      </c>
      <c r="AS314" s="18" t="str">
        <f t="shared" si="21"/>
        <v>TCHIKA</v>
      </c>
      <c r="AT314" s="19">
        <f t="shared" si="24"/>
        <v>2</v>
      </c>
      <c r="AU314" s="19">
        <f t="shared" ca="1" si="23"/>
        <v>2</v>
      </c>
    </row>
    <row r="315" spans="1:47" x14ac:dyDescent="0.3">
      <c r="A315" t="s">
        <v>487</v>
      </c>
      <c r="B315" t="str">
        <f t="shared" si="20"/>
        <v>S28_2026</v>
      </c>
      <c r="C315" t="str">
        <f t="shared" si="22"/>
        <v>S28_2026</v>
      </c>
      <c r="F315">
        <v>6</v>
      </c>
      <c r="G315" t="s">
        <v>55</v>
      </c>
      <c r="I315" t="s">
        <v>178</v>
      </c>
      <c r="J315" t="s">
        <v>173</v>
      </c>
      <c r="K315" t="s">
        <v>124</v>
      </c>
      <c r="L315" t="s">
        <v>174</v>
      </c>
      <c r="M315" t="s">
        <v>124</v>
      </c>
      <c r="N315" t="s">
        <v>45</v>
      </c>
      <c r="O315" t="s">
        <v>45</v>
      </c>
      <c r="P315">
        <v>3</v>
      </c>
      <c r="Q315" s="7">
        <v>46209</v>
      </c>
      <c r="R315" s="7">
        <v>46209</v>
      </c>
      <c r="S315" s="7">
        <v>46209</v>
      </c>
      <c r="T315" t="s">
        <v>45</v>
      </c>
      <c r="V315" t="s">
        <v>175</v>
      </c>
      <c r="W315" t="s">
        <v>45</v>
      </c>
      <c r="X315" t="s">
        <v>74</v>
      </c>
      <c r="Y315" t="s">
        <v>46</v>
      </c>
      <c r="Z315" t="s">
        <v>150</v>
      </c>
      <c r="AF315">
        <v>2</v>
      </c>
      <c r="AH315" t="s">
        <v>75</v>
      </c>
      <c r="AI315">
        <v>1</v>
      </c>
      <c r="AJ315" s="9"/>
      <c r="AM315"/>
      <c r="AN315" t="s">
        <v>74</v>
      </c>
      <c r="AO315" t="s">
        <v>74</v>
      </c>
      <c r="AP315"/>
      <c r="AQ315" t="s">
        <v>74</v>
      </c>
      <c r="AR315" s="18" t="str">
        <f>IFERROR(VLOOKUP(K315,[1]POP!$F:$J,1,0),M315)</f>
        <v>MADA</v>
      </c>
      <c r="AS315" s="18" t="str">
        <f t="shared" si="21"/>
        <v>TCHIKA</v>
      </c>
      <c r="AT315" s="19">
        <f t="shared" si="24"/>
        <v>2</v>
      </c>
      <c r="AU315" s="19">
        <f t="shared" ca="1" si="23"/>
        <v>2</v>
      </c>
    </row>
    <row r="316" spans="1:47" x14ac:dyDescent="0.3">
      <c r="A316" t="s">
        <v>488</v>
      </c>
      <c r="B316" t="str">
        <f t="shared" si="20"/>
        <v>S28_2026</v>
      </c>
      <c r="C316" t="str">
        <f t="shared" si="22"/>
        <v>S28_2026</v>
      </c>
      <c r="F316">
        <v>38</v>
      </c>
      <c r="G316" t="s">
        <v>40</v>
      </c>
      <c r="I316" t="s">
        <v>178</v>
      </c>
      <c r="J316" t="s">
        <v>173</v>
      </c>
      <c r="K316" t="s">
        <v>124</v>
      </c>
      <c r="L316" t="s">
        <v>174</v>
      </c>
      <c r="M316" t="s">
        <v>124</v>
      </c>
      <c r="N316" t="s">
        <v>45</v>
      </c>
      <c r="O316" t="s">
        <v>45</v>
      </c>
      <c r="P316">
        <v>3</v>
      </c>
      <c r="Q316" s="7">
        <v>46209</v>
      </c>
      <c r="R316" s="7">
        <v>46209</v>
      </c>
      <c r="S316" s="7">
        <v>46209</v>
      </c>
      <c r="T316" t="s">
        <v>45</v>
      </c>
      <c r="V316" t="s">
        <v>175</v>
      </c>
      <c r="W316" t="s">
        <v>45</v>
      </c>
      <c r="X316" t="s">
        <v>74</v>
      </c>
      <c r="Y316" t="s">
        <v>46</v>
      </c>
      <c r="Z316" t="s">
        <v>150</v>
      </c>
      <c r="AF316">
        <v>2</v>
      </c>
      <c r="AH316" t="s">
        <v>75</v>
      </c>
      <c r="AI316">
        <v>1</v>
      </c>
      <c r="AJ316" s="9"/>
      <c r="AM316"/>
      <c r="AN316" t="s">
        <v>74</v>
      </c>
      <c r="AO316" t="s">
        <v>74</v>
      </c>
      <c r="AP316"/>
      <c r="AQ316" t="s">
        <v>74</v>
      </c>
      <c r="AR316" s="18" t="str">
        <f>IFERROR(VLOOKUP(K316,[1]POP!$F:$J,1,0),M316)</f>
        <v>MADA</v>
      </c>
      <c r="AS316" s="18" t="str">
        <f t="shared" si="21"/>
        <v>TCHIKA</v>
      </c>
      <c r="AT316" s="19">
        <f t="shared" si="24"/>
        <v>2</v>
      </c>
      <c r="AU316" s="19">
        <f t="shared" ca="1" si="23"/>
        <v>2</v>
      </c>
    </row>
    <row r="317" spans="1:47" x14ac:dyDescent="0.3">
      <c r="A317" t="s">
        <v>489</v>
      </c>
      <c r="B317" t="str">
        <f t="shared" si="20"/>
        <v>S28_2026</v>
      </c>
      <c r="C317" t="str">
        <f t="shared" si="22"/>
        <v>S28_2026</v>
      </c>
      <c r="F317">
        <v>6</v>
      </c>
      <c r="G317" t="s">
        <v>55</v>
      </c>
      <c r="I317" t="s">
        <v>271</v>
      </c>
      <c r="J317" t="s">
        <v>173</v>
      </c>
      <c r="K317" t="s">
        <v>124</v>
      </c>
      <c r="L317" t="s">
        <v>174</v>
      </c>
      <c r="M317" t="s">
        <v>124</v>
      </c>
      <c r="N317" t="s">
        <v>45</v>
      </c>
      <c r="O317" t="s">
        <v>45</v>
      </c>
      <c r="P317">
        <v>3</v>
      </c>
      <c r="Q317" s="7">
        <v>46209</v>
      </c>
      <c r="R317" s="7">
        <v>46209</v>
      </c>
      <c r="S317" s="7">
        <v>46209</v>
      </c>
      <c r="T317" t="s">
        <v>45</v>
      </c>
      <c r="V317" t="s">
        <v>175</v>
      </c>
      <c r="W317" t="s">
        <v>45</v>
      </c>
      <c r="X317" t="s">
        <v>74</v>
      </c>
      <c r="Y317" t="s">
        <v>46</v>
      </c>
      <c r="Z317" t="s">
        <v>150</v>
      </c>
      <c r="AF317">
        <v>2</v>
      </c>
      <c r="AH317" t="s">
        <v>75</v>
      </c>
      <c r="AI317">
        <v>1</v>
      </c>
      <c r="AJ317" s="9"/>
      <c r="AM317"/>
      <c r="AN317" t="s">
        <v>74</v>
      </c>
      <c r="AO317" t="s">
        <v>74</v>
      </c>
      <c r="AP317"/>
      <c r="AQ317" t="s">
        <v>74</v>
      </c>
      <c r="AR317" s="18" t="str">
        <f>IFERROR(VLOOKUP(K317,[1]POP!$F:$J,1,0),M317)</f>
        <v>MADA</v>
      </c>
      <c r="AS317" s="18" t="str">
        <f t="shared" si="21"/>
        <v>TCHIKA</v>
      </c>
      <c r="AT317" s="19">
        <f t="shared" si="24"/>
        <v>2</v>
      </c>
      <c r="AU317" s="19">
        <f t="shared" ca="1" si="23"/>
        <v>2</v>
      </c>
    </row>
    <row r="318" spans="1:47" x14ac:dyDescent="0.3">
      <c r="A318" t="s">
        <v>490</v>
      </c>
      <c r="B318" t="str">
        <f t="shared" si="20"/>
        <v>S28_2026</v>
      </c>
      <c r="C318" t="str">
        <f t="shared" si="22"/>
        <v>S28_2026</v>
      </c>
      <c r="F318">
        <v>30</v>
      </c>
      <c r="G318" t="s">
        <v>55</v>
      </c>
      <c r="I318" t="s">
        <v>178</v>
      </c>
      <c r="J318" t="s">
        <v>173</v>
      </c>
      <c r="K318" t="s">
        <v>124</v>
      </c>
      <c r="L318" t="s">
        <v>174</v>
      </c>
      <c r="M318" t="s">
        <v>124</v>
      </c>
      <c r="N318" t="s">
        <v>45</v>
      </c>
      <c r="O318" t="s">
        <v>45</v>
      </c>
      <c r="P318">
        <v>3</v>
      </c>
      <c r="Q318" s="7">
        <v>46210</v>
      </c>
      <c r="R318" s="7">
        <v>46210</v>
      </c>
      <c r="S318" s="7">
        <v>46210</v>
      </c>
      <c r="T318" t="s">
        <v>45</v>
      </c>
      <c r="V318" t="s">
        <v>175</v>
      </c>
      <c r="W318" t="s">
        <v>45</v>
      </c>
      <c r="X318" t="s">
        <v>74</v>
      </c>
      <c r="Y318" t="s">
        <v>46</v>
      </c>
      <c r="Z318" t="s">
        <v>150</v>
      </c>
      <c r="AF318">
        <v>2</v>
      </c>
      <c r="AH318" t="s">
        <v>75</v>
      </c>
      <c r="AI318">
        <v>1</v>
      </c>
      <c r="AJ318" s="9"/>
      <c r="AM318"/>
      <c r="AN318" t="s">
        <v>74</v>
      </c>
      <c r="AO318" t="s">
        <v>74</v>
      </c>
      <c r="AP318"/>
      <c r="AQ318" t="s">
        <v>74</v>
      </c>
      <c r="AR318" s="18" t="str">
        <f>IFERROR(VLOOKUP(K318,[1]POP!$F:$J,1,0),M318)</f>
        <v>MADA</v>
      </c>
      <c r="AS318" s="18" t="str">
        <f t="shared" si="21"/>
        <v>TCHIKA</v>
      </c>
      <c r="AT318" s="19">
        <f t="shared" si="24"/>
        <v>2</v>
      </c>
      <c r="AU318" s="19">
        <f t="shared" ca="1" si="23"/>
        <v>2</v>
      </c>
    </row>
    <row r="319" spans="1:47" x14ac:dyDescent="0.3">
      <c r="A319" t="s">
        <v>491</v>
      </c>
      <c r="B319" t="str">
        <f t="shared" si="20"/>
        <v>S28_2026</v>
      </c>
      <c r="C319" t="str">
        <f t="shared" si="22"/>
        <v>S28_2026</v>
      </c>
      <c r="F319">
        <v>50</v>
      </c>
      <c r="G319" t="s">
        <v>55</v>
      </c>
      <c r="I319" t="s">
        <v>127</v>
      </c>
      <c r="J319" t="s">
        <v>173</v>
      </c>
      <c r="K319" t="s">
        <v>124</v>
      </c>
      <c r="L319" t="s">
        <v>174</v>
      </c>
      <c r="M319" t="s">
        <v>124</v>
      </c>
      <c r="N319" t="s">
        <v>45</v>
      </c>
      <c r="O319" t="s">
        <v>45</v>
      </c>
      <c r="P319">
        <v>3</v>
      </c>
      <c r="Q319" s="7">
        <v>46210</v>
      </c>
      <c r="R319" s="7">
        <v>46210</v>
      </c>
      <c r="S319" s="7">
        <v>46210</v>
      </c>
      <c r="T319" t="s">
        <v>45</v>
      </c>
      <c r="V319" t="s">
        <v>175</v>
      </c>
      <c r="W319" t="s">
        <v>45</v>
      </c>
      <c r="X319" t="s">
        <v>74</v>
      </c>
      <c r="Y319" t="s">
        <v>46</v>
      </c>
      <c r="Z319" t="s">
        <v>150</v>
      </c>
      <c r="AF319">
        <v>2</v>
      </c>
      <c r="AH319" t="s">
        <v>75</v>
      </c>
      <c r="AI319">
        <v>1</v>
      </c>
      <c r="AJ319" s="9"/>
      <c r="AM319"/>
      <c r="AN319"/>
      <c r="AO319"/>
      <c r="AP319"/>
      <c r="AQ319"/>
      <c r="AR319" s="18" t="str">
        <f>IFERROR(VLOOKUP(K319,[1]POP!$F:$J,1,0),M319)</f>
        <v>MADA</v>
      </c>
      <c r="AS319" s="18" t="str">
        <f t="shared" si="21"/>
        <v>TCHIKA</v>
      </c>
      <c r="AT319" s="19">
        <f t="shared" si="24"/>
        <v>2</v>
      </c>
      <c r="AU319" s="19">
        <f t="shared" ca="1" si="23"/>
        <v>2</v>
      </c>
    </row>
    <row r="320" spans="1:47" x14ac:dyDescent="0.3">
      <c r="A320" t="s">
        <v>492</v>
      </c>
      <c r="B320" t="str">
        <f t="shared" si="20"/>
        <v>S28_2026</v>
      </c>
      <c r="C320" t="str">
        <f t="shared" si="22"/>
        <v>S28_2026</v>
      </c>
      <c r="F320">
        <v>25</v>
      </c>
      <c r="G320" t="s">
        <v>40</v>
      </c>
      <c r="I320" t="s">
        <v>271</v>
      </c>
      <c r="J320" t="s">
        <v>173</v>
      </c>
      <c r="K320" t="s">
        <v>124</v>
      </c>
      <c r="L320" t="s">
        <v>174</v>
      </c>
      <c r="M320" t="s">
        <v>124</v>
      </c>
      <c r="N320" t="s">
        <v>45</v>
      </c>
      <c r="O320" t="s">
        <v>45</v>
      </c>
      <c r="P320">
        <v>3</v>
      </c>
      <c r="Q320" s="7">
        <v>46210</v>
      </c>
      <c r="R320" s="7">
        <v>46210</v>
      </c>
      <c r="S320" s="7">
        <v>46210</v>
      </c>
      <c r="T320" t="s">
        <v>45</v>
      </c>
      <c r="V320" t="s">
        <v>175</v>
      </c>
      <c r="W320" t="s">
        <v>45</v>
      </c>
      <c r="X320" t="s">
        <v>74</v>
      </c>
      <c r="Y320" t="s">
        <v>46</v>
      </c>
      <c r="Z320" t="s">
        <v>150</v>
      </c>
      <c r="AF320">
        <v>2</v>
      </c>
      <c r="AH320" t="s">
        <v>75</v>
      </c>
      <c r="AI320">
        <v>1</v>
      </c>
      <c r="AJ320" s="9"/>
      <c r="AM320"/>
      <c r="AN320"/>
      <c r="AO320"/>
      <c r="AP320"/>
      <c r="AQ320"/>
      <c r="AR320" s="18" t="str">
        <f>IFERROR(VLOOKUP(K320,[1]POP!$F:$J,1,0),M320)</f>
        <v>MADA</v>
      </c>
      <c r="AS320" s="18" t="str">
        <f t="shared" si="21"/>
        <v>TCHIKA</v>
      </c>
      <c r="AT320" s="19">
        <f t="shared" si="24"/>
        <v>2</v>
      </c>
      <c r="AU320" s="19">
        <f t="shared" ca="1" si="23"/>
        <v>2</v>
      </c>
    </row>
    <row r="321" spans="1:47" x14ac:dyDescent="0.3">
      <c r="A321" t="s">
        <v>493</v>
      </c>
      <c r="B321" t="str">
        <f t="shared" si="20"/>
        <v>S28_2026</v>
      </c>
      <c r="C321" t="str">
        <f t="shared" si="22"/>
        <v>S28_2026</v>
      </c>
      <c r="F321">
        <v>4</v>
      </c>
      <c r="G321" t="s">
        <v>40</v>
      </c>
      <c r="I321" t="s">
        <v>271</v>
      </c>
      <c r="J321" t="s">
        <v>173</v>
      </c>
      <c r="K321" t="s">
        <v>124</v>
      </c>
      <c r="L321" t="s">
        <v>174</v>
      </c>
      <c r="M321" t="s">
        <v>124</v>
      </c>
      <c r="N321" t="s">
        <v>45</v>
      </c>
      <c r="O321" t="s">
        <v>45</v>
      </c>
      <c r="P321">
        <v>2</v>
      </c>
      <c r="Q321" s="7">
        <v>46210</v>
      </c>
      <c r="R321" s="7">
        <v>46210</v>
      </c>
      <c r="S321" s="7">
        <v>46210</v>
      </c>
      <c r="T321" t="s">
        <v>45</v>
      </c>
      <c r="V321" t="s">
        <v>175</v>
      </c>
      <c r="W321" t="s">
        <v>45</v>
      </c>
      <c r="X321" t="s">
        <v>74</v>
      </c>
      <c r="Y321" t="s">
        <v>46</v>
      </c>
      <c r="Z321" t="s">
        <v>150</v>
      </c>
      <c r="AF321">
        <v>2</v>
      </c>
      <c r="AH321" t="s">
        <v>75</v>
      </c>
      <c r="AI321">
        <v>1</v>
      </c>
      <c r="AJ321" s="9"/>
      <c r="AM321"/>
      <c r="AN321"/>
      <c r="AO321"/>
      <c r="AP321"/>
      <c r="AQ321"/>
      <c r="AR321" s="18" t="str">
        <f>IFERROR(VLOOKUP(K321,[1]POP!$F:$J,1,0),M321)</f>
        <v>MADA</v>
      </c>
      <c r="AS321" s="18" t="str">
        <f t="shared" si="21"/>
        <v>TCHIKA</v>
      </c>
      <c r="AT321" s="19">
        <f t="shared" si="24"/>
        <v>2</v>
      </c>
      <c r="AU321" s="19">
        <f t="shared" ca="1" si="23"/>
        <v>2</v>
      </c>
    </row>
    <row r="322" spans="1:47" x14ac:dyDescent="0.3">
      <c r="A322" t="s">
        <v>494</v>
      </c>
      <c r="B322" t="str">
        <f t="shared" ref="B322:B385" si="25">"S"&amp;(IF(_xlfn.ISOWEEKNUM(S322)&gt;9,_xlfn.ISOWEEKNUM(S322),_xlfn.CONCAT("0",_xlfn.ISOWEEKNUM(S322))))&amp;"_"&amp;(YEAR(S322+26-(_xlfn.ISOWEEKNUM(S322))))</f>
        <v>S28_2026</v>
      </c>
      <c r="C322" t="str">
        <f t="shared" si="22"/>
        <v>S28_2026</v>
      </c>
      <c r="F322">
        <v>10</v>
      </c>
      <c r="G322" t="s">
        <v>55</v>
      </c>
      <c r="I322" t="s">
        <v>495</v>
      </c>
      <c r="J322" t="s">
        <v>173</v>
      </c>
      <c r="K322" t="s">
        <v>124</v>
      </c>
      <c r="L322" t="s">
        <v>174</v>
      </c>
      <c r="M322" t="s">
        <v>124</v>
      </c>
      <c r="N322" t="s">
        <v>45</v>
      </c>
      <c r="O322" t="s">
        <v>74</v>
      </c>
      <c r="P322">
        <v>1</v>
      </c>
      <c r="Q322" s="7">
        <v>46210</v>
      </c>
      <c r="R322" s="7">
        <v>46210</v>
      </c>
      <c r="S322" s="7">
        <v>46210</v>
      </c>
      <c r="T322" t="s">
        <v>45</v>
      </c>
      <c r="V322" t="s">
        <v>175</v>
      </c>
      <c r="W322" t="s">
        <v>45</v>
      </c>
      <c r="X322" t="s">
        <v>74</v>
      </c>
      <c r="Y322" t="s">
        <v>74</v>
      </c>
      <c r="Z322" t="s">
        <v>150</v>
      </c>
      <c r="AF322">
        <v>2</v>
      </c>
      <c r="AH322" t="s">
        <v>75</v>
      </c>
      <c r="AI322">
        <v>1</v>
      </c>
      <c r="AJ322" s="9"/>
      <c r="AM322"/>
      <c r="AN322"/>
      <c r="AO322"/>
      <c r="AP322"/>
      <c r="AQ322"/>
      <c r="AR322" s="18" t="str">
        <f>IFERROR(VLOOKUP(K322,[1]POP!$F:$J,1,0),M322)</f>
        <v>MADA</v>
      </c>
      <c r="AS322" s="18" t="str">
        <f t="shared" ref="AS322:AS385" si="26">IF(AR322=K322,J322,L322)</f>
        <v>TCHIKA</v>
      </c>
      <c r="AT322" s="19">
        <f t="shared" si="24"/>
        <v>2</v>
      </c>
      <c r="AU322" s="19">
        <f t="shared" ca="1" si="23"/>
        <v>2</v>
      </c>
    </row>
    <row r="323" spans="1:47" x14ac:dyDescent="0.3">
      <c r="A323" t="s">
        <v>496</v>
      </c>
      <c r="B323" t="str">
        <f t="shared" si="25"/>
        <v>S28_2026</v>
      </c>
      <c r="C323" t="str">
        <f t="shared" ref="C323:C386" si="27">"S"&amp;(IF(_xlfn.ISOWEEKNUM(Q323)&gt;9,_xlfn.ISOWEEKNUM(Q323),_xlfn.CONCAT("0",_xlfn.ISOWEEKNUM(Q323))))&amp;"_"&amp;(YEAR(Q323+26-(_xlfn.ISOWEEKNUM(Q323))))</f>
        <v>S28_2026</v>
      </c>
      <c r="F323">
        <v>2</v>
      </c>
      <c r="G323" t="s">
        <v>40</v>
      </c>
      <c r="I323" t="s">
        <v>374</v>
      </c>
      <c r="J323" t="s">
        <v>166</v>
      </c>
      <c r="K323" t="s">
        <v>124</v>
      </c>
      <c r="L323" t="s">
        <v>166</v>
      </c>
      <c r="M323" t="s">
        <v>124</v>
      </c>
      <c r="N323" t="s">
        <v>45</v>
      </c>
      <c r="O323" t="s">
        <v>45</v>
      </c>
      <c r="P323">
        <v>3</v>
      </c>
      <c r="Q323" s="7">
        <v>46210</v>
      </c>
      <c r="R323" s="7">
        <v>46210</v>
      </c>
      <c r="S323" s="7">
        <v>46210</v>
      </c>
      <c r="T323" t="s">
        <v>45</v>
      </c>
      <c r="V323" t="s">
        <v>167</v>
      </c>
      <c r="W323" t="s">
        <v>45</v>
      </c>
      <c r="X323" t="s">
        <v>74</v>
      </c>
      <c r="Y323" t="s">
        <v>46</v>
      </c>
      <c r="Z323" t="s">
        <v>150</v>
      </c>
      <c r="AF323">
        <v>2</v>
      </c>
      <c r="AH323" t="s">
        <v>75</v>
      </c>
      <c r="AI323">
        <v>1</v>
      </c>
      <c r="AJ323" s="9"/>
      <c r="AK323" t="s">
        <v>74</v>
      </c>
      <c r="AM323"/>
      <c r="AN323"/>
      <c r="AO323"/>
      <c r="AP323"/>
      <c r="AQ323"/>
      <c r="AR323" s="18" t="str">
        <f>IFERROR(VLOOKUP(K323,[1]POP!$F:$J,1,0),M323)</f>
        <v>MADA</v>
      </c>
      <c r="AS323" s="18" t="str">
        <f t="shared" si="26"/>
        <v>BARGARAM</v>
      </c>
      <c r="AT323" s="19">
        <f t="shared" si="24"/>
        <v>2</v>
      </c>
      <c r="AU323" s="19">
        <f t="shared" ref="AU323:AU386" ca="1" si="28">IF((TODAY() - R323)&lt;=21,1,2)</f>
        <v>2</v>
      </c>
    </row>
    <row r="324" spans="1:47" x14ac:dyDescent="0.3">
      <c r="A324" t="s">
        <v>497</v>
      </c>
      <c r="B324" t="str">
        <f t="shared" si="25"/>
        <v>S28_2026</v>
      </c>
      <c r="C324" t="str">
        <f t="shared" si="27"/>
        <v>S28_2026</v>
      </c>
      <c r="F324">
        <v>8</v>
      </c>
      <c r="G324" t="s">
        <v>40</v>
      </c>
      <c r="I324" t="s">
        <v>166</v>
      </c>
      <c r="J324" t="s">
        <v>166</v>
      </c>
      <c r="K324" t="s">
        <v>124</v>
      </c>
      <c r="L324" t="s">
        <v>166</v>
      </c>
      <c r="M324" t="s">
        <v>124</v>
      </c>
      <c r="N324" t="s">
        <v>45</v>
      </c>
      <c r="O324" t="s">
        <v>45</v>
      </c>
      <c r="P324">
        <v>2</v>
      </c>
      <c r="Q324" s="7">
        <v>46210</v>
      </c>
      <c r="R324" s="7">
        <v>46210</v>
      </c>
      <c r="S324" s="7">
        <v>46210</v>
      </c>
      <c r="T324" t="s">
        <v>45</v>
      </c>
      <c r="V324" t="s">
        <v>167</v>
      </c>
      <c r="W324" t="s">
        <v>45</v>
      </c>
      <c r="X324" t="s">
        <v>74</v>
      </c>
      <c r="Y324" t="s">
        <v>46</v>
      </c>
      <c r="Z324" t="s">
        <v>150</v>
      </c>
      <c r="AF324">
        <v>2</v>
      </c>
      <c r="AH324" t="s">
        <v>75</v>
      </c>
      <c r="AI324">
        <v>1</v>
      </c>
      <c r="AJ324" s="9"/>
      <c r="AK324" t="s">
        <v>74</v>
      </c>
      <c r="AM324"/>
      <c r="AN324"/>
      <c r="AO324"/>
      <c r="AP324"/>
      <c r="AQ324"/>
      <c r="AR324" s="18" t="str">
        <f>IFERROR(VLOOKUP(K324,[1]POP!$F:$J,1,0),M324)</f>
        <v>MADA</v>
      </c>
      <c r="AS324" s="18" t="str">
        <f t="shared" si="26"/>
        <v>BARGARAM</v>
      </c>
      <c r="AT324" s="19">
        <f t="shared" ref="AT324:AT387" si="29">IF($AI:$AI=2,3,IF($AI:$AI=3,3,IF($AI:$AI=4,3,IF($AI:$AI=1,2,0))))</f>
        <v>2</v>
      </c>
      <c r="AU324" s="19">
        <f t="shared" ca="1" si="28"/>
        <v>2</v>
      </c>
    </row>
    <row r="325" spans="1:47" x14ac:dyDescent="0.3">
      <c r="A325" t="s">
        <v>498</v>
      </c>
      <c r="B325" t="str">
        <f t="shared" si="25"/>
        <v>S28_2026</v>
      </c>
      <c r="C325" t="str">
        <f t="shared" si="27"/>
        <v>S28_2026</v>
      </c>
      <c r="F325">
        <v>5</v>
      </c>
      <c r="G325" t="s">
        <v>55</v>
      </c>
      <c r="I325" t="s">
        <v>166</v>
      </c>
      <c r="J325" t="s">
        <v>166</v>
      </c>
      <c r="K325" t="s">
        <v>124</v>
      </c>
      <c r="L325" t="s">
        <v>166</v>
      </c>
      <c r="M325" t="s">
        <v>124</v>
      </c>
      <c r="N325" t="s">
        <v>45</v>
      </c>
      <c r="O325" t="s">
        <v>45</v>
      </c>
      <c r="P325">
        <v>3</v>
      </c>
      <c r="Q325" s="7">
        <v>46210</v>
      </c>
      <c r="R325" s="7">
        <v>46210</v>
      </c>
      <c r="S325" s="7">
        <v>46210</v>
      </c>
      <c r="T325" t="s">
        <v>45</v>
      </c>
      <c r="V325" t="s">
        <v>167</v>
      </c>
      <c r="W325" t="s">
        <v>45</v>
      </c>
      <c r="X325" t="s">
        <v>74</v>
      </c>
      <c r="Y325" t="s">
        <v>46</v>
      </c>
      <c r="Z325" t="s">
        <v>150</v>
      </c>
      <c r="AF325">
        <v>2</v>
      </c>
      <c r="AH325" t="s">
        <v>75</v>
      </c>
      <c r="AI325">
        <v>1</v>
      </c>
      <c r="AJ325" s="9"/>
      <c r="AK325" t="s">
        <v>74</v>
      </c>
      <c r="AM325"/>
      <c r="AN325"/>
      <c r="AO325"/>
      <c r="AP325"/>
      <c r="AQ325"/>
      <c r="AR325" s="18" t="str">
        <f>IFERROR(VLOOKUP(K325,[1]POP!$F:$J,1,0),M325)</f>
        <v>MADA</v>
      </c>
      <c r="AS325" s="18" t="str">
        <f t="shared" si="26"/>
        <v>BARGARAM</v>
      </c>
      <c r="AT325" s="19">
        <f t="shared" si="29"/>
        <v>2</v>
      </c>
      <c r="AU325" s="19">
        <f t="shared" ca="1" si="28"/>
        <v>2</v>
      </c>
    </row>
    <row r="326" spans="1:47" x14ac:dyDescent="0.3">
      <c r="A326" t="s">
        <v>499</v>
      </c>
      <c r="B326" t="str">
        <f t="shared" si="25"/>
        <v>S28_2026</v>
      </c>
      <c r="C326" t="str">
        <f t="shared" si="27"/>
        <v>S28_2026</v>
      </c>
      <c r="F326">
        <v>11</v>
      </c>
      <c r="G326" t="s">
        <v>55</v>
      </c>
      <c r="I326" t="s">
        <v>238</v>
      </c>
      <c r="J326" t="s">
        <v>166</v>
      </c>
      <c r="K326" t="s">
        <v>124</v>
      </c>
      <c r="L326" t="s">
        <v>166</v>
      </c>
      <c r="M326" t="s">
        <v>124</v>
      </c>
      <c r="N326" t="s">
        <v>45</v>
      </c>
      <c r="O326" t="s">
        <v>45</v>
      </c>
      <c r="P326">
        <v>3</v>
      </c>
      <c r="Q326" s="7">
        <v>46210</v>
      </c>
      <c r="R326" s="7">
        <v>46210</v>
      </c>
      <c r="S326" s="7">
        <v>46210</v>
      </c>
      <c r="T326" t="s">
        <v>45</v>
      </c>
      <c r="V326" t="s">
        <v>167</v>
      </c>
      <c r="W326" t="s">
        <v>45</v>
      </c>
      <c r="X326" t="s">
        <v>74</v>
      </c>
      <c r="Y326" t="s">
        <v>46</v>
      </c>
      <c r="Z326" t="s">
        <v>150</v>
      </c>
      <c r="AF326">
        <v>2</v>
      </c>
      <c r="AH326" t="s">
        <v>75</v>
      </c>
      <c r="AI326">
        <v>1</v>
      </c>
      <c r="AJ326" s="9"/>
      <c r="AK326" t="s">
        <v>74</v>
      </c>
      <c r="AM326"/>
      <c r="AN326"/>
      <c r="AO326"/>
      <c r="AP326"/>
      <c r="AQ326"/>
      <c r="AR326" s="18" t="str">
        <f>IFERROR(VLOOKUP(K326,[1]POP!$F:$J,1,0),M326)</f>
        <v>MADA</v>
      </c>
      <c r="AS326" s="18" t="str">
        <f t="shared" si="26"/>
        <v>BARGARAM</v>
      </c>
      <c r="AT326" s="19">
        <f t="shared" si="29"/>
        <v>2</v>
      </c>
      <c r="AU326" s="19">
        <f t="shared" ca="1" si="28"/>
        <v>2</v>
      </c>
    </row>
    <row r="327" spans="1:47" x14ac:dyDescent="0.3">
      <c r="A327" t="s">
        <v>500</v>
      </c>
      <c r="B327" t="str">
        <f t="shared" si="25"/>
        <v>S28_2026</v>
      </c>
      <c r="C327" t="str">
        <f t="shared" si="27"/>
        <v>S28_2026</v>
      </c>
      <c r="F327">
        <v>6</v>
      </c>
      <c r="G327" t="s">
        <v>40</v>
      </c>
      <c r="I327" t="s">
        <v>374</v>
      </c>
      <c r="J327" t="s">
        <v>166</v>
      </c>
      <c r="K327" t="s">
        <v>124</v>
      </c>
      <c r="L327" t="s">
        <v>166</v>
      </c>
      <c r="M327" t="s">
        <v>124</v>
      </c>
      <c r="N327" t="s">
        <v>45</v>
      </c>
      <c r="O327" t="s">
        <v>45</v>
      </c>
      <c r="P327">
        <v>3</v>
      </c>
      <c r="Q327" s="7">
        <v>46210</v>
      </c>
      <c r="R327" s="7">
        <v>46210</v>
      </c>
      <c r="S327" s="7">
        <v>46210</v>
      </c>
      <c r="T327" t="s">
        <v>45</v>
      </c>
      <c r="V327" t="s">
        <v>167</v>
      </c>
      <c r="W327" t="s">
        <v>45</v>
      </c>
      <c r="X327" t="s">
        <v>74</v>
      </c>
      <c r="Y327" t="s">
        <v>46</v>
      </c>
      <c r="Z327" t="s">
        <v>150</v>
      </c>
      <c r="AF327">
        <v>2</v>
      </c>
      <c r="AH327" t="s">
        <v>75</v>
      </c>
      <c r="AI327">
        <v>1</v>
      </c>
      <c r="AJ327" s="9"/>
      <c r="AK327" t="s">
        <v>74</v>
      </c>
      <c r="AM327"/>
      <c r="AN327"/>
      <c r="AO327"/>
      <c r="AP327"/>
      <c r="AQ327"/>
      <c r="AR327" s="18" t="str">
        <f>IFERROR(VLOOKUP(K327,[1]POP!$F:$J,1,0),M327)</f>
        <v>MADA</v>
      </c>
      <c r="AS327" s="18" t="str">
        <f t="shared" si="26"/>
        <v>BARGARAM</v>
      </c>
      <c r="AT327" s="19">
        <f t="shared" si="29"/>
        <v>2</v>
      </c>
      <c r="AU327" s="19">
        <f t="shared" ca="1" si="28"/>
        <v>2</v>
      </c>
    </row>
    <row r="328" spans="1:47" x14ac:dyDescent="0.3">
      <c r="A328" t="s">
        <v>501</v>
      </c>
      <c r="B328" t="str">
        <f t="shared" si="25"/>
        <v>S28_2026</v>
      </c>
      <c r="C328" t="str">
        <f t="shared" si="27"/>
        <v>S28_2026</v>
      </c>
      <c r="F328">
        <v>75</v>
      </c>
      <c r="G328" t="s">
        <v>40</v>
      </c>
      <c r="I328" t="s">
        <v>166</v>
      </c>
      <c r="J328" t="s">
        <v>166</v>
      </c>
      <c r="K328" t="s">
        <v>124</v>
      </c>
      <c r="L328" t="s">
        <v>166</v>
      </c>
      <c r="M328" t="s">
        <v>124</v>
      </c>
      <c r="N328" t="s">
        <v>45</v>
      </c>
      <c r="O328" t="s">
        <v>45</v>
      </c>
      <c r="P328">
        <v>2</v>
      </c>
      <c r="Q328" s="7">
        <v>46210</v>
      </c>
      <c r="R328" s="7">
        <v>46210</v>
      </c>
      <c r="S328" s="7">
        <v>46210</v>
      </c>
      <c r="T328" t="s">
        <v>45</v>
      </c>
      <c r="V328" t="s">
        <v>167</v>
      </c>
      <c r="W328" t="s">
        <v>45</v>
      </c>
      <c r="X328" t="s">
        <v>74</v>
      </c>
      <c r="Y328" t="s">
        <v>46</v>
      </c>
      <c r="Z328" t="s">
        <v>150</v>
      </c>
      <c r="AF328">
        <v>2</v>
      </c>
      <c r="AH328" t="s">
        <v>75</v>
      </c>
      <c r="AI328">
        <v>1</v>
      </c>
      <c r="AJ328" s="9"/>
      <c r="AK328" t="s">
        <v>74</v>
      </c>
      <c r="AM328"/>
      <c r="AN328"/>
      <c r="AO328"/>
      <c r="AP328"/>
      <c r="AQ328" t="s">
        <v>45</v>
      </c>
      <c r="AR328" s="18" t="str">
        <f>IFERROR(VLOOKUP(K328,[1]POP!$F:$J,1,0),M328)</f>
        <v>MADA</v>
      </c>
      <c r="AS328" s="18" t="str">
        <f t="shared" si="26"/>
        <v>BARGARAM</v>
      </c>
      <c r="AT328" s="19">
        <f t="shared" si="29"/>
        <v>2</v>
      </c>
      <c r="AU328" s="19">
        <f t="shared" ca="1" si="28"/>
        <v>2</v>
      </c>
    </row>
    <row r="329" spans="1:47" x14ac:dyDescent="0.3">
      <c r="A329" t="s">
        <v>502</v>
      </c>
      <c r="B329" t="str">
        <f t="shared" si="25"/>
        <v>S28_2026</v>
      </c>
      <c r="C329" t="str">
        <f t="shared" si="27"/>
        <v>S28_2026</v>
      </c>
      <c r="F329">
        <v>5</v>
      </c>
      <c r="G329" t="s">
        <v>55</v>
      </c>
      <c r="H329" t="s">
        <v>85</v>
      </c>
      <c r="I329" t="s">
        <v>429</v>
      </c>
      <c r="J329" t="s">
        <v>166</v>
      </c>
      <c r="K329" t="s">
        <v>124</v>
      </c>
      <c r="L329" t="s">
        <v>166</v>
      </c>
      <c r="M329" t="s">
        <v>124</v>
      </c>
      <c r="N329" t="s">
        <v>45</v>
      </c>
      <c r="O329" t="s">
        <v>45</v>
      </c>
      <c r="P329">
        <v>3</v>
      </c>
      <c r="Q329" s="7">
        <v>46211</v>
      </c>
      <c r="R329" s="7">
        <v>46211</v>
      </c>
      <c r="S329" s="7">
        <v>46211</v>
      </c>
      <c r="T329" t="s">
        <v>45</v>
      </c>
      <c r="V329" t="s">
        <v>167</v>
      </c>
      <c r="W329" t="s">
        <v>45</v>
      </c>
      <c r="X329" t="s">
        <v>74</v>
      </c>
      <c r="Y329" t="s">
        <v>46</v>
      </c>
      <c r="Z329" t="s">
        <v>150</v>
      </c>
      <c r="AF329">
        <v>2</v>
      </c>
      <c r="AH329" t="s">
        <v>75</v>
      </c>
      <c r="AI329">
        <v>1</v>
      </c>
      <c r="AJ329" s="9"/>
      <c r="AM329"/>
      <c r="AN329"/>
      <c r="AO329"/>
      <c r="AP329"/>
      <c r="AQ329" t="s">
        <v>45</v>
      </c>
      <c r="AR329" s="18" t="str">
        <f>IFERROR(VLOOKUP(K329,[1]POP!$F:$J,1,0),M329)</f>
        <v>MADA</v>
      </c>
      <c r="AS329" s="18" t="str">
        <f t="shared" si="26"/>
        <v>BARGARAM</v>
      </c>
      <c r="AT329" s="19">
        <f t="shared" si="29"/>
        <v>2</v>
      </c>
      <c r="AU329" s="19">
        <f t="shared" ca="1" si="28"/>
        <v>2</v>
      </c>
    </row>
    <row r="330" spans="1:47" x14ac:dyDescent="0.3">
      <c r="A330" t="s">
        <v>503</v>
      </c>
      <c r="B330" t="str">
        <f t="shared" si="25"/>
        <v>S28_2026</v>
      </c>
      <c r="C330" t="str">
        <f t="shared" si="27"/>
        <v>S28_2026</v>
      </c>
      <c r="F330">
        <v>1</v>
      </c>
      <c r="G330" t="s">
        <v>40</v>
      </c>
      <c r="I330" t="s">
        <v>166</v>
      </c>
      <c r="J330" t="s">
        <v>166</v>
      </c>
      <c r="K330" t="s">
        <v>124</v>
      </c>
      <c r="L330" t="s">
        <v>166</v>
      </c>
      <c r="M330" t="s">
        <v>124</v>
      </c>
      <c r="N330" t="s">
        <v>45</v>
      </c>
      <c r="O330" t="s">
        <v>45</v>
      </c>
      <c r="P330">
        <v>3</v>
      </c>
      <c r="Q330" s="7">
        <v>46211</v>
      </c>
      <c r="R330" s="7">
        <v>46211</v>
      </c>
      <c r="S330" s="7">
        <v>46211</v>
      </c>
      <c r="T330" t="s">
        <v>45</v>
      </c>
      <c r="V330" t="s">
        <v>167</v>
      </c>
      <c r="W330" t="s">
        <v>45</v>
      </c>
      <c r="X330" t="s">
        <v>74</v>
      </c>
      <c r="Y330" t="s">
        <v>46</v>
      </c>
      <c r="Z330" t="s">
        <v>150</v>
      </c>
      <c r="AF330">
        <v>2</v>
      </c>
      <c r="AH330" t="s">
        <v>75</v>
      </c>
      <c r="AI330">
        <v>1</v>
      </c>
      <c r="AJ330" s="9"/>
      <c r="AM330"/>
      <c r="AN330"/>
      <c r="AO330"/>
      <c r="AP330"/>
      <c r="AQ330" t="s">
        <v>45</v>
      </c>
      <c r="AR330" s="18" t="str">
        <f>IFERROR(VLOOKUP(K330,[1]POP!$F:$J,1,0),M330)</f>
        <v>MADA</v>
      </c>
      <c r="AS330" s="18" t="str">
        <f t="shared" si="26"/>
        <v>BARGARAM</v>
      </c>
      <c r="AT330" s="19">
        <f t="shared" si="29"/>
        <v>2</v>
      </c>
      <c r="AU330" s="19">
        <f t="shared" ca="1" si="28"/>
        <v>2</v>
      </c>
    </row>
    <row r="331" spans="1:47" x14ac:dyDescent="0.3">
      <c r="A331" t="s">
        <v>504</v>
      </c>
      <c r="B331" t="str">
        <f t="shared" si="25"/>
        <v>S27_2026</v>
      </c>
      <c r="C331" t="str">
        <f t="shared" si="27"/>
        <v>S27_2026</v>
      </c>
      <c r="F331">
        <v>3</v>
      </c>
      <c r="G331" t="s">
        <v>55</v>
      </c>
      <c r="I331" t="s">
        <v>505</v>
      </c>
      <c r="J331" t="s">
        <v>166</v>
      </c>
      <c r="K331" t="s">
        <v>124</v>
      </c>
      <c r="L331" t="s">
        <v>166</v>
      </c>
      <c r="M331" t="s">
        <v>124</v>
      </c>
      <c r="N331" t="s">
        <v>45</v>
      </c>
      <c r="O331" t="s">
        <v>45</v>
      </c>
      <c r="P331">
        <v>3</v>
      </c>
      <c r="Q331" s="7">
        <v>46207</v>
      </c>
      <c r="R331" s="7">
        <v>46211</v>
      </c>
      <c r="S331" s="7">
        <v>46207</v>
      </c>
      <c r="T331" t="s">
        <v>45</v>
      </c>
      <c r="V331" t="s">
        <v>167</v>
      </c>
      <c r="W331" t="s">
        <v>45</v>
      </c>
      <c r="X331" t="s">
        <v>74</v>
      </c>
      <c r="Y331" t="s">
        <v>46</v>
      </c>
      <c r="Z331" t="s">
        <v>150</v>
      </c>
      <c r="AF331">
        <v>2</v>
      </c>
      <c r="AH331" t="s">
        <v>75</v>
      </c>
      <c r="AI331">
        <v>1</v>
      </c>
      <c r="AJ331" s="9"/>
      <c r="AM331"/>
      <c r="AN331"/>
      <c r="AO331"/>
      <c r="AP331"/>
      <c r="AQ331" t="s">
        <v>45</v>
      </c>
      <c r="AR331" s="18" t="str">
        <f>IFERROR(VLOOKUP(K331,[1]POP!$F:$J,1,0),M331)</f>
        <v>MADA</v>
      </c>
      <c r="AS331" s="18" t="str">
        <f t="shared" si="26"/>
        <v>BARGARAM</v>
      </c>
      <c r="AT331" s="19">
        <f t="shared" si="29"/>
        <v>2</v>
      </c>
      <c r="AU331" s="19">
        <f t="shared" ca="1" si="28"/>
        <v>2</v>
      </c>
    </row>
    <row r="332" spans="1:47" x14ac:dyDescent="0.3">
      <c r="A332" t="s">
        <v>506</v>
      </c>
      <c r="B332" t="str">
        <f t="shared" si="25"/>
        <v>S28_2026</v>
      </c>
      <c r="C332" t="str">
        <f t="shared" si="27"/>
        <v>S28_2026</v>
      </c>
      <c r="F332">
        <v>2</v>
      </c>
      <c r="G332" t="s">
        <v>40</v>
      </c>
      <c r="I332" t="s">
        <v>507</v>
      </c>
      <c r="J332" t="s">
        <v>166</v>
      </c>
      <c r="K332" t="s">
        <v>124</v>
      </c>
      <c r="L332" t="s">
        <v>166</v>
      </c>
      <c r="M332" t="s">
        <v>124</v>
      </c>
      <c r="N332" t="s">
        <v>45</v>
      </c>
      <c r="O332" t="s">
        <v>45</v>
      </c>
      <c r="P332">
        <v>3</v>
      </c>
      <c r="Q332" s="7">
        <v>46211</v>
      </c>
      <c r="R332" s="7">
        <v>46211</v>
      </c>
      <c r="S332" s="7">
        <v>46211</v>
      </c>
      <c r="T332" t="s">
        <v>45</v>
      </c>
      <c r="V332" t="s">
        <v>167</v>
      </c>
      <c r="W332" t="s">
        <v>45</v>
      </c>
      <c r="X332" t="s">
        <v>74</v>
      </c>
      <c r="Y332" t="s">
        <v>46</v>
      </c>
      <c r="Z332" t="s">
        <v>150</v>
      </c>
      <c r="AF332">
        <v>2</v>
      </c>
      <c r="AH332" t="s">
        <v>75</v>
      </c>
      <c r="AI332">
        <v>1</v>
      </c>
      <c r="AJ332" s="9"/>
      <c r="AM332"/>
      <c r="AN332"/>
      <c r="AO332"/>
      <c r="AP332"/>
      <c r="AQ332" t="s">
        <v>45</v>
      </c>
      <c r="AR332" s="18" t="str">
        <f>IFERROR(VLOOKUP(K332,[1]POP!$F:$J,1,0),M332)</f>
        <v>MADA</v>
      </c>
      <c r="AS332" s="18" t="str">
        <f t="shared" si="26"/>
        <v>BARGARAM</v>
      </c>
      <c r="AT332" s="19">
        <f t="shared" si="29"/>
        <v>2</v>
      </c>
      <c r="AU332" s="19">
        <f t="shared" ca="1" si="28"/>
        <v>2</v>
      </c>
    </row>
    <row r="333" spans="1:47" x14ac:dyDescent="0.3">
      <c r="A333" t="s">
        <v>508</v>
      </c>
      <c r="B333" t="str">
        <f t="shared" si="25"/>
        <v>S28_2026</v>
      </c>
      <c r="C333" t="str">
        <f t="shared" si="27"/>
        <v>S28_2026</v>
      </c>
      <c r="F333">
        <v>15</v>
      </c>
      <c r="G333" t="s">
        <v>40</v>
      </c>
      <c r="I333" t="s">
        <v>166</v>
      </c>
      <c r="J333" t="s">
        <v>166</v>
      </c>
      <c r="K333" t="s">
        <v>124</v>
      </c>
      <c r="L333" t="s">
        <v>166</v>
      </c>
      <c r="M333" t="s">
        <v>124</v>
      </c>
      <c r="N333" t="s">
        <v>45</v>
      </c>
      <c r="O333" t="s">
        <v>45</v>
      </c>
      <c r="P333">
        <v>3</v>
      </c>
      <c r="Q333" s="7">
        <v>46211</v>
      </c>
      <c r="R333" s="7">
        <v>46211</v>
      </c>
      <c r="S333" s="7">
        <v>46211</v>
      </c>
      <c r="T333" t="s">
        <v>45</v>
      </c>
      <c r="V333" t="s">
        <v>167</v>
      </c>
      <c r="W333" t="s">
        <v>45</v>
      </c>
      <c r="X333" t="s">
        <v>74</v>
      </c>
      <c r="Y333" t="s">
        <v>46</v>
      </c>
      <c r="Z333" t="s">
        <v>150</v>
      </c>
      <c r="AF333">
        <v>2</v>
      </c>
      <c r="AH333" t="s">
        <v>75</v>
      </c>
      <c r="AI333">
        <v>1</v>
      </c>
      <c r="AJ333" s="9"/>
      <c r="AM333"/>
      <c r="AN333"/>
      <c r="AO333"/>
      <c r="AP333"/>
      <c r="AQ333" t="s">
        <v>45</v>
      </c>
      <c r="AR333" s="18" t="str">
        <f>IFERROR(VLOOKUP(K333,[1]POP!$F:$J,1,0),M333)</f>
        <v>MADA</v>
      </c>
      <c r="AS333" s="18" t="str">
        <f t="shared" si="26"/>
        <v>BARGARAM</v>
      </c>
      <c r="AT333" s="19">
        <f t="shared" si="29"/>
        <v>2</v>
      </c>
      <c r="AU333" s="19">
        <f t="shared" ca="1" si="28"/>
        <v>2</v>
      </c>
    </row>
    <row r="334" spans="1:47" x14ac:dyDescent="0.3">
      <c r="A334" t="s">
        <v>509</v>
      </c>
      <c r="B334" t="str">
        <f t="shared" si="25"/>
        <v>S28_2026</v>
      </c>
      <c r="C334" t="str">
        <f t="shared" si="27"/>
        <v>S28_2026</v>
      </c>
      <c r="F334">
        <v>10</v>
      </c>
      <c r="G334" t="s">
        <v>40</v>
      </c>
      <c r="I334" t="s">
        <v>166</v>
      </c>
      <c r="J334" t="s">
        <v>166</v>
      </c>
      <c r="K334" t="s">
        <v>124</v>
      </c>
      <c r="L334" t="s">
        <v>166</v>
      </c>
      <c r="M334" t="s">
        <v>124</v>
      </c>
      <c r="N334" t="s">
        <v>45</v>
      </c>
      <c r="O334" t="s">
        <v>45</v>
      </c>
      <c r="P334">
        <v>3</v>
      </c>
      <c r="Q334" s="7">
        <v>46211</v>
      </c>
      <c r="R334" s="7">
        <v>46211</v>
      </c>
      <c r="S334" s="7">
        <v>46211</v>
      </c>
      <c r="T334" t="s">
        <v>45</v>
      </c>
      <c r="V334" t="s">
        <v>167</v>
      </c>
      <c r="W334" t="s">
        <v>45</v>
      </c>
      <c r="X334" t="s">
        <v>74</v>
      </c>
      <c r="Y334" t="s">
        <v>46</v>
      </c>
      <c r="Z334" t="s">
        <v>150</v>
      </c>
      <c r="AF334">
        <v>2</v>
      </c>
      <c r="AH334" t="s">
        <v>75</v>
      </c>
      <c r="AI334">
        <v>1</v>
      </c>
      <c r="AJ334" s="9"/>
      <c r="AM334"/>
      <c r="AN334"/>
      <c r="AO334"/>
      <c r="AP334"/>
      <c r="AQ334"/>
      <c r="AR334" s="18" t="str">
        <f>IFERROR(VLOOKUP(K334,[1]POP!$F:$J,1,0),M334)</f>
        <v>MADA</v>
      </c>
      <c r="AS334" s="18" t="str">
        <f t="shared" si="26"/>
        <v>BARGARAM</v>
      </c>
      <c r="AT334" s="19">
        <f t="shared" si="29"/>
        <v>2</v>
      </c>
      <c r="AU334" s="19">
        <f t="shared" ca="1" si="28"/>
        <v>2</v>
      </c>
    </row>
    <row r="335" spans="1:47" x14ac:dyDescent="0.3">
      <c r="A335" t="s">
        <v>510</v>
      </c>
      <c r="B335" t="str">
        <f t="shared" si="25"/>
        <v>S28_2026</v>
      </c>
      <c r="C335" t="str">
        <f t="shared" si="27"/>
        <v>S28_2026</v>
      </c>
      <c r="F335">
        <v>18</v>
      </c>
      <c r="G335" t="s">
        <v>40</v>
      </c>
      <c r="I335" t="s">
        <v>507</v>
      </c>
      <c r="J335" t="s">
        <v>166</v>
      </c>
      <c r="K335" t="s">
        <v>124</v>
      </c>
      <c r="L335" t="s">
        <v>166</v>
      </c>
      <c r="M335" t="s">
        <v>124</v>
      </c>
      <c r="N335" t="s">
        <v>45</v>
      </c>
      <c r="O335" t="s">
        <v>45</v>
      </c>
      <c r="P335">
        <v>3</v>
      </c>
      <c r="Q335" s="7">
        <v>46211</v>
      </c>
      <c r="R335" s="7">
        <v>46211</v>
      </c>
      <c r="S335" s="7">
        <v>46211</v>
      </c>
      <c r="T335" t="s">
        <v>45</v>
      </c>
      <c r="V335" t="s">
        <v>167</v>
      </c>
      <c r="W335" t="s">
        <v>45</v>
      </c>
      <c r="X335" t="s">
        <v>74</v>
      </c>
      <c r="Y335" t="s">
        <v>46</v>
      </c>
      <c r="Z335" t="s">
        <v>150</v>
      </c>
      <c r="AF335">
        <v>2</v>
      </c>
      <c r="AH335" t="s">
        <v>75</v>
      </c>
      <c r="AI335">
        <v>1</v>
      </c>
      <c r="AJ335" s="9"/>
      <c r="AM335"/>
      <c r="AN335"/>
      <c r="AO335"/>
      <c r="AP335"/>
      <c r="AQ335"/>
      <c r="AR335" s="18" t="str">
        <f>IFERROR(VLOOKUP(K335,[1]POP!$F:$J,1,0),M335)</f>
        <v>MADA</v>
      </c>
      <c r="AS335" s="18" t="str">
        <f t="shared" si="26"/>
        <v>BARGARAM</v>
      </c>
      <c r="AT335" s="19">
        <f t="shared" si="29"/>
        <v>2</v>
      </c>
      <c r="AU335" s="19">
        <f t="shared" ca="1" si="28"/>
        <v>2</v>
      </c>
    </row>
    <row r="336" spans="1:47" x14ac:dyDescent="0.3">
      <c r="A336" t="s">
        <v>511</v>
      </c>
      <c r="B336" t="str">
        <f t="shared" si="25"/>
        <v>S28_2026</v>
      </c>
      <c r="C336" t="str">
        <f t="shared" si="27"/>
        <v>S27_2026</v>
      </c>
      <c r="E336" t="s">
        <v>512</v>
      </c>
      <c r="F336">
        <v>6</v>
      </c>
      <c r="G336" t="s">
        <v>40</v>
      </c>
      <c r="H336" t="s">
        <v>111</v>
      </c>
      <c r="I336" t="s">
        <v>371</v>
      </c>
      <c r="J336" t="s">
        <v>133</v>
      </c>
      <c r="K336" t="s">
        <v>116</v>
      </c>
      <c r="L336" t="s">
        <v>359</v>
      </c>
      <c r="M336" t="s">
        <v>116</v>
      </c>
      <c r="N336" t="s">
        <v>117</v>
      </c>
      <c r="O336" t="s">
        <v>117</v>
      </c>
      <c r="P336">
        <v>2</v>
      </c>
      <c r="Q336" s="7">
        <v>46207</v>
      </c>
      <c r="R336" s="7">
        <v>46208</v>
      </c>
      <c r="S336" s="7">
        <v>46214</v>
      </c>
      <c r="T336" t="s">
        <v>117</v>
      </c>
      <c r="V336" t="s">
        <v>360</v>
      </c>
      <c r="W336" t="s">
        <v>117</v>
      </c>
      <c r="X336" t="s">
        <v>117</v>
      </c>
      <c r="Y336" t="s">
        <v>117</v>
      </c>
      <c r="Z336" t="s">
        <v>117</v>
      </c>
      <c r="AF336">
        <v>2</v>
      </c>
      <c r="AH336" t="s">
        <v>75</v>
      </c>
      <c r="AI336">
        <v>1</v>
      </c>
      <c r="AJ336" s="9"/>
      <c r="AM336"/>
      <c r="AN336"/>
      <c r="AO336"/>
      <c r="AP336"/>
      <c r="AQ336"/>
      <c r="AR336" s="18" t="str">
        <f>IFERROR(VLOOKUP(K336,[1]POP!$F:$J,1,0),M336)</f>
        <v>MAKARY</v>
      </c>
      <c r="AS336" s="18" t="str">
        <f t="shared" si="26"/>
        <v>NGOUMA</v>
      </c>
      <c r="AT336" s="19">
        <f t="shared" si="29"/>
        <v>2</v>
      </c>
      <c r="AU336" s="19">
        <f t="shared" ca="1" si="28"/>
        <v>2</v>
      </c>
    </row>
    <row r="337" spans="1:47" x14ac:dyDescent="0.3">
      <c r="A337" t="s">
        <v>513</v>
      </c>
      <c r="B337" t="str">
        <f t="shared" si="25"/>
        <v>S28_2026</v>
      </c>
      <c r="C337" t="str">
        <f t="shared" si="27"/>
        <v>S27_2026</v>
      </c>
      <c r="E337" t="s">
        <v>512</v>
      </c>
      <c r="F337">
        <v>2</v>
      </c>
      <c r="G337" t="s">
        <v>40</v>
      </c>
      <c r="H337" t="s">
        <v>111</v>
      </c>
      <c r="I337" t="s">
        <v>371</v>
      </c>
      <c r="J337" t="s">
        <v>133</v>
      </c>
      <c r="K337" t="s">
        <v>116</v>
      </c>
      <c r="L337" t="s">
        <v>359</v>
      </c>
      <c r="M337" t="s">
        <v>116</v>
      </c>
      <c r="N337" t="s">
        <v>117</v>
      </c>
      <c r="O337" t="s">
        <v>117</v>
      </c>
      <c r="P337">
        <v>3</v>
      </c>
      <c r="Q337" s="7">
        <v>46207</v>
      </c>
      <c r="R337" s="7">
        <v>46208</v>
      </c>
      <c r="S337" s="7">
        <v>46214</v>
      </c>
      <c r="T337" t="s">
        <v>117</v>
      </c>
      <c r="V337" t="s">
        <v>360</v>
      </c>
      <c r="W337" t="s">
        <v>117</v>
      </c>
      <c r="X337" t="s">
        <v>117</v>
      </c>
      <c r="Y337" t="s">
        <v>117</v>
      </c>
      <c r="Z337" t="s">
        <v>117</v>
      </c>
      <c r="AF337">
        <v>2</v>
      </c>
      <c r="AH337" t="s">
        <v>75</v>
      </c>
      <c r="AI337">
        <v>1</v>
      </c>
      <c r="AJ337" s="9"/>
      <c r="AL337" t="s">
        <v>96</v>
      </c>
      <c r="AM337"/>
      <c r="AN337"/>
      <c r="AO337"/>
      <c r="AP337"/>
      <c r="AQ337"/>
      <c r="AR337" s="18" t="str">
        <f>IFERROR(VLOOKUP(K337,[1]POP!$F:$J,1,0),M337)</f>
        <v>MAKARY</v>
      </c>
      <c r="AS337" s="18" t="str">
        <f t="shared" si="26"/>
        <v>NGOUMA</v>
      </c>
      <c r="AT337" s="19">
        <f t="shared" si="29"/>
        <v>2</v>
      </c>
      <c r="AU337" s="19">
        <f t="shared" ca="1" si="28"/>
        <v>2</v>
      </c>
    </row>
    <row r="338" spans="1:47" x14ac:dyDescent="0.3">
      <c r="A338" t="s">
        <v>514</v>
      </c>
      <c r="B338" t="str">
        <f t="shared" si="25"/>
        <v>S28_2026</v>
      </c>
      <c r="C338" t="str">
        <f t="shared" si="27"/>
        <v>S28_2026</v>
      </c>
      <c r="E338" t="s">
        <v>512</v>
      </c>
      <c r="F338">
        <v>19</v>
      </c>
      <c r="G338" t="s">
        <v>40</v>
      </c>
      <c r="H338" t="s">
        <v>136</v>
      </c>
      <c r="I338" t="s">
        <v>371</v>
      </c>
      <c r="J338" t="s">
        <v>133</v>
      </c>
      <c r="K338" t="s">
        <v>116</v>
      </c>
      <c r="L338" t="s">
        <v>359</v>
      </c>
      <c r="M338" t="s">
        <v>116</v>
      </c>
      <c r="N338" t="s">
        <v>117</v>
      </c>
      <c r="O338" t="s">
        <v>117</v>
      </c>
      <c r="P338">
        <v>3</v>
      </c>
      <c r="Q338" s="7">
        <v>46210</v>
      </c>
      <c r="R338" s="7">
        <v>46211</v>
      </c>
      <c r="S338" s="7">
        <v>46214</v>
      </c>
      <c r="T338" t="s">
        <v>117</v>
      </c>
      <c r="V338" t="s">
        <v>360</v>
      </c>
      <c r="W338" t="s">
        <v>117</v>
      </c>
      <c r="X338" t="s">
        <v>117</v>
      </c>
      <c r="Y338" t="s">
        <v>117</v>
      </c>
      <c r="Z338" t="s">
        <v>117</v>
      </c>
      <c r="AA338" s="7">
        <v>46213</v>
      </c>
      <c r="AB338" t="s">
        <v>48</v>
      </c>
      <c r="AF338">
        <v>2</v>
      </c>
      <c r="AH338" t="s">
        <v>75</v>
      </c>
      <c r="AI338">
        <v>1</v>
      </c>
      <c r="AJ338" s="9"/>
      <c r="AM338"/>
      <c r="AN338"/>
      <c r="AO338"/>
      <c r="AP338"/>
      <c r="AQ338"/>
      <c r="AR338" s="18" t="str">
        <f>IFERROR(VLOOKUP(K338,[1]POP!$F:$J,1,0),M338)</f>
        <v>MAKARY</v>
      </c>
      <c r="AS338" s="18" t="str">
        <f t="shared" si="26"/>
        <v>NGOUMA</v>
      </c>
      <c r="AT338" s="19">
        <f t="shared" si="29"/>
        <v>2</v>
      </c>
      <c r="AU338" s="19">
        <f t="shared" ca="1" si="28"/>
        <v>2</v>
      </c>
    </row>
    <row r="339" spans="1:47" x14ac:dyDescent="0.3">
      <c r="A339" t="s">
        <v>515</v>
      </c>
      <c r="B339" t="str">
        <f t="shared" si="25"/>
        <v>S28_2026</v>
      </c>
      <c r="C339" t="str">
        <f t="shared" si="27"/>
        <v>S28_2026</v>
      </c>
      <c r="E339" t="s">
        <v>512</v>
      </c>
      <c r="F339">
        <v>19</v>
      </c>
      <c r="G339" t="s">
        <v>55</v>
      </c>
      <c r="H339" t="s">
        <v>70</v>
      </c>
      <c r="I339" t="s">
        <v>371</v>
      </c>
      <c r="J339" t="s">
        <v>133</v>
      </c>
      <c r="K339" t="s">
        <v>116</v>
      </c>
      <c r="L339" t="s">
        <v>359</v>
      </c>
      <c r="M339" t="s">
        <v>116</v>
      </c>
      <c r="N339" t="s">
        <v>117</v>
      </c>
      <c r="O339" t="s">
        <v>117</v>
      </c>
      <c r="P339">
        <v>2</v>
      </c>
      <c r="Q339" s="7">
        <v>46211</v>
      </c>
      <c r="R339" s="7">
        <v>46212</v>
      </c>
      <c r="S339" s="7">
        <v>46214</v>
      </c>
      <c r="T339" t="s">
        <v>117</v>
      </c>
      <c r="V339" t="s">
        <v>360</v>
      </c>
      <c r="W339" t="s">
        <v>117</v>
      </c>
      <c r="X339" t="s">
        <v>117</v>
      </c>
      <c r="Y339" t="s">
        <v>117</v>
      </c>
      <c r="Z339" t="s">
        <v>117</v>
      </c>
      <c r="AA339" s="7">
        <v>46213</v>
      </c>
      <c r="AB339" t="s">
        <v>48</v>
      </c>
      <c r="AF339">
        <v>2</v>
      </c>
      <c r="AH339" t="s">
        <v>75</v>
      </c>
      <c r="AI339">
        <v>1</v>
      </c>
      <c r="AJ339" s="9"/>
      <c r="AM339"/>
      <c r="AN339"/>
      <c r="AO339"/>
      <c r="AP339"/>
      <c r="AQ339"/>
      <c r="AR339" s="18" t="str">
        <f>IFERROR(VLOOKUP(K339,[1]POP!$F:$J,1,0),M339)</f>
        <v>MAKARY</v>
      </c>
      <c r="AS339" s="18" t="str">
        <f t="shared" si="26"/>
        <v>NGOUMA</v>
      </c>
      <c r="AT339" s="19">
        <f t="shared" si="29"/>
        <v>2</v>
      </c>
      <c r="AU339" s="19">
        <f t="shared" ca="1" si="28"/>
        <v>2</v>
      </c>
    </row>
    <row r="340" spans="1:47" x14ac:dyDescent="0.3">
      <c r="A340" t="s">
        <v>516</v>
      </c>
      <c r="B340" t="str">
        <f t="shared" si="25"/>
        <v>S28_2026</v>
      </c>
      <c r="C340" t="str">
        <f t="shared" si="27"/>
        <v>S28_2026</v>
      </c>
      <c r="E340" t="s">
        <v>512</v>
      </c>
      <c r="F340">
        <v>3</v>
      </c>
      <c r="G340" t="s">
        <v>40</v>
      </c>
      <c r="H340" t="s">
        <v>111</v>
      </c>
      <c r="I340" t="s">
        <v>371</v>
      </c>
      <c r="J340" t="s">
        <v>133</v>
      </c>
      <c r="K340" t="s">
        <v>116</v>
      </c>
      <c r="L340" t="s">
        <v>359</v>
      </c>
      <c r="M340" t="s">
        <v>116</v>
      </c>
      <c r="N340" t="s">
        <v>117</v>
      </c>
      <c r="O340" t="s">
        <v>117</v>
      </c>
      <c r="P340">
        <v>2</v>
      </c>
      <c r="Q340" s="7">
        <v>46211</v>
      </c>
      <c r="R340" s="7">
        <v>46212</v>
      </c>
      <c r="S340" s="7">
        <v>46214</v>
      </c>
      <c r="T340" t="s">
        <v>117</v>
      </c>
      <c r="V340" t="s">
        <v>360</v>
      </c>
      <c r="W340" t="s">
        <v>117</v>
      </c>
      <c r="X340" t="s">
        <v>117</v>
      </c>
      <c r="Y340" t="s">
        <v>117</v>
      </c>
      <c r="Z340" t="s">
        <v>117</v>
      </c>
      <c r="AA340" s="7">
        <v>46213</v>
      </c>
      <c r="AB340" t="s">
        <v>62</v>
      </c>
      <c r="AF340">
        <v>2</v>
      </c>
      <c r="AH340" t="s">
        <v>75</v>
      </c>
      <c r="AI340">
        <v>1</v>
      </c>
      <c r="AJ340" s="9"/>
      <c r="AM340"/>
      <c r="AN340"/>
      <c r="AO340"/>
      <c r="AP340"/>
      <c r="AQ340"/>
      <c r="AR340" s="18" t="str">
        <f>IFERROR(VLOOKUP(K340,[1]POP!$F:$J,1,0),M340)</f>
        <v>MAKARY</v>
      </c>
      <c r="AS340" s="18" t="str">
        <f t="shared" si="26"/>
        <v>NGOUMA</v>
      </c>
      <c r="AT340" s="19">
        <f t="shared" si="29"/>
        <v>2</v>
      </c>
      <c r="AU340" s="19">
        <f t="shared" ca="1" si="28"/>
        <v>2</v>
      </c>
    </row>
    <row r="341" spans="1:47" x14ac:dyDescent="0.3">
      <c r="A341" t="s">
        <v>517</v>
      </c>
      <c r="B341" t="str">
        <f t="shared" si="25"/>
        <v>S28_2026</v>
      </c>
      <c r="C341" t="str">
        <f t="shared" si="27"/>
        <v>S28_2026</v>
      </c>
      <c r="E341" t="s">
        <v>512</v>
      </c>
      <c r="F341">
        <v>3</v>
      </c>
      <c r="G341" t="s">
        <v>40</v>
      </c>
      <c r="H341" t="s">
        <v>111</v>
      </c>
      <c r="I341" t="s">
        <v>371</v>
      </c>
      <c r="J341" t="s">
        <v>133</v>
      </c>
      <c r="K341" t="s">
        <v>116</v>
      </c>
      <c r="L341" t="s">
        <v>359</v>
      </c>
      <c r="M341" t="s">
        <v>116</v>
      </c>
      <c r="N341" t="s">
        <v>117</v>
      </c>
      <c r="O341" t="s">
        <v>117</v>
      </c>
      <c r="P341">
        <v>3</v>
      </c>
      <c r="Q341" s="7">
        <v>46211</v>
      </c>
      <c r="R341" s="7">
        <v>46212</v>
      </c>
      <c r="S341" s="7">
        <v>46214</v>
      </c>
      <c r="T341" t="s">
        <v>117</v>
      </c>
      <c r="V341" t="s">
        <v>360</v>
      </c>
      <c r="W341" t="s">
        <v>117</v>
      </c>
      <c r="X341" t="s">
        <v>117</v>
      </c>
      <c r="Y341" t="s">
        <v>117</v>
      </c>
      <c r="Z341" t="s">
        <v>117</v>
      </c>
      <c r="AA341" s="7">
        <v>46213</v>
      </c>
      <c r="AB341" t="s">
        <v>62</v>
      </c>
      <c r="AF341">
        <v>2</v>
      </c>
      <c r="AH341" t="s">
        <v>75</v>
      </c>
      <c r="AI341">
        <v>1</v>
      </c>
      <c r="AJ341" s="9"/>
      <c r="AM341"/>
      <c r="AN341"/>
      <c r="AO341"/>
      <c r="AP341"/>
      <c r="AQ341"/>
      <c r="AR341" s="18" t="str">
        <f>IFERROR(VLOOKUP(K341,[1]POP!$F:$J,1,0),M341)</f>
        <v>MAKARY</v>
      </c>
      <c r="AS341" s="18" t="str">
        <f t="shared" si="26"/>
        <v>NGOUMA</v>
      </c>
      <c r="AT341" s="19">
        <f t="shared" si="29"/>
        <v>2</v>
      </c>
      <c r="AU341" s="19">
        <f t="shared" ca="1" si="28"/>
        <v>2</v>
      </c>
    </row>
    <row r="342" spans="1:47" x14ac:dyDescent="0.3">
      <c r="A342" t="s">
        <v>518</v>
      </c>
      <c r="B342" t="str">
        <f t="shared" si="25"/>
        <v>S28_2026</v>
      </c>
      <c r="C342" t="str">
        <f t="shared" si="27"/>
        <v>S28_2026</v>
      </c>
      <c r="E342" t="s">
        <v>512</v>
      </c>
      <c r="F342">
        <v>5</v>
      </c>
      <c r="G342" t="s">
        <v>40</v>
      </c>
      <c r="H342" t="s">
        <v>111</v>
      </c>
      <c r="I342" t="s">
        <v>371</v>
      </c>
      <c r="J342" t="s">
        <v>133</v>
      </c>
      <c r="K342" t="s">
        <v>116</v>
      </c>
      <c r="L342" t="s">
        <v>359</v>
      </c>
      <c r="M342" t="s">
        <v>116</v>
      </c>
      <c r="N342" t="s">
        <v>117</v>
      </c>
      <c r="O342" t="s">
        <v>117</v>
      </c>
      <c r="P342">
        <v>3</v>
      </c>
      <c r="Q342" s="7">
        <v>46212</v>
      </c>
      <c r="R342" s="7">
        <v>46213</v>
      </c>
      <c r="S342" s="7">
        <v>46214</v>
      </c>
      <c r="T342" t="s">
        <v>117</v>
      </c>
      <c r="V342" t="s">
        <v>360</v>
      </c>
      <c r="W342" t="s">
        <v>117</v>
      </c>
      <c r="X342" t="s">
        <v>117</v>
      </c>
      <c r="Y342" t="s">
        <v>117</v>
      </c>
      <c r="Z342" t="s">
        <v>117</v>
      </c>
      <c r="AA342" s="7">
        <v>46213</v>
      </c>
      <c r="AB342" t="s">
        <v>62</v>
      </c>
      <c r="AF342">
        <v>2</v>
      </c>
      <c r="AH342" t="s">
        <v>75</v>
      </c>
      <c r="AI342">
        <v>1</v>
      </c>
      <c r="AJ342" s="9"/>
      <c r="AM342"/>
      <c r="AN342"/>
      <c r="AO342"/>
      <c r="AP342"/>
      <c r="AQ342"/>
      <c r="AR342" s="18" t="str">
        <f>IFERROR(VLOOKUP(K342,[1]POP!$F:$J,1,0),M342)</f>
        <v>MAKARY</v>
      </c>
      <c r="AS342" s="18" t="str">
        <f t="shared" si="26"/>
        <v>NGOUMA</v>
      </c>
      <c r="AT342" s="19">
        <f t="shared" si="29"/>
        <v>2</v>
      </c>
      <c r="AU342" s="19">
        <f t="shared" ca="1" si="28"/>
        <v>2</v>
      </c>
    </row>
    <row r="343" spans="1:47" x14ac:dyDescent="0.3">
      <c r="A343" t="s">
        <v>519</v>
      </c>
      <c r="B343" t="str">
        <f t="shared" si="25"/>
        <v>S28_2026</v>
      </c>
      <c r="C343" t="str">
        <f t="shared" si="27"/>
        <v>S28_2026</v>
      </c>
      <c r="E343" t="s">
        <v>512</v>
      </c>
      <c r="F343">
        <v>26</v>
      </c>
      <c r="G343" t="s">
        <v>40</v>
      </c>
      <c r="H343" t="s">
        <v>79</v>
      </c>
      <c r="I343" t="s">
        <v>371</v>
      </c>
      <c r="J343" t="s">
        <v>133</v>
      </c>
      <c r="K343" t="s">
        <v>116</v>
      </c>
      <c r="L343" t="s">
        <v>359</v>
      </c>
      <c r="M343" t="s">
        <v>116</v>
      </c>
      <c r="N343" t="s">
        <v>117</v>
      </c>
      <c r="O343" t="s">
        <v>117</v>
      </c>
      <c r="P343">
        <v>3</v>
      </c>
      <c r="Q343" s="7">
        <v>46212</v>
      </c>
      <c r="R343" s="7">
        <v>46213</v>
      </c>
      <c r="S343" s="7">
        <v>46214</v>
      </c>
      <c r="T343" t="s">
        <v>117</v>
      </c>
      <c r="V343" t="s">
        <v>360</v>
      </c>
      <c r="W343" t="s">
        <v>117</v>
      </c>
      <c r="X343" t="s">
        <v>117</v>
      </c>
      <c r="Y343" t="s">
        <v>117</v>
      </c>
      <c r="Z343" t="s">
        <v>117</v>
      </c>
      <c r="AA343" s="7">
        <v>46213</v>
      </c>
      <c r="AB343" t="s">
        <v>62</v>
      </c>
      <c r="AF343">
        <v>2</v>
      </c>
      <c r="AH343" t="s">
        <v>75</v>
      </c>
      <c r="AI343">
        <v>1</v>
      </c>
      <c r="AJ343" s="9"/>
      <c r="AM343"/>
      <c r="AN343"/>
      <c r="AO343"/>
      <c r="AP343"/>
      <c r="AQ343"/>
      <c r="AR343" s="18" t="str">
        <f>IFERROR(VLOOKUP(K343,[1]POP!$F:$J,1,0),M343)</f>
        <v>MAKARY</v>
      </c>
      <c r="AS343" s="18" t="str">
        <f t="shared" si="26"/>
        <v>NGOUMA</v>
      </c>
      <c r="AT343" s="19">
        <f t="shared" si="29"/>
        <v>2</v>
      </c>
      <c r="AU343" s="19">
        <f t="shared" ca="1" si="28"/>
        <v>2</v>
      </c>
    </row>
    <row r="344" spans="1:47" x14ac:dyDescent="0.3">
      <c r="A344" t="s">
        <v>520</v>
      </c>
      <c r="B344" t="str">
        <f t="shared" si="25"/>
        <v>S28_2026</v>
      </c>
      <c r="C344" t="str">
        <f t="shared" si="27"/>
        <v>S28_2026</v>
      </c>
      <c r="E344" t="s">
        <v>512</v>
      </c>
      <c r="F344">
        <v>15</v>
      </c>
      <c r="G344" t="s">
        <v>40</v>
      </c>
      <c r="H344" t="s">
        <v>521</v>
      </c>
      <c r="I344" t="s">
        <v>371</v>
      </c>
      <c r="J344" t="s">
        <v>133</v>
      </c>
      <c r="K344" t="s">
        <v>116</v>
      </c>
      <c r="L344" t="s">
        <v>359</v>
      </c>
      <c r="M344" t="s">
        <v>116</v>
      </c>
      <c r="N344" t="s">
        <v>117</v>
      </c>
      <c r="O344" t="s">
        <v>117</v>
      </c>
      <c r="P344">
        <v>3</v>
      </c>
      <c r="Q344" s="7">
        <v>46212</v>
      </c>
      <c r="R344" s="7">
        <v>46213</v>
      </c>
      <c r="S344" s="7">
        <v>46214</v>
      </c>
      <c r="T344" t="s">
        <v>117</v>
      </c>
      <c r="V344" t="s">
        <v>360</v>
      </c>
      <c r="W344" t="s">
        <v>117</v>
      </c>
      <c r="X344" t="s">
        <v>117</v>
      </c>
      <c r="Y344" t="s">
        <v>117</v>
      </c>
      <c r="Z344" t="s">
        <v>117</v>
      </c>
      <c r="AF344">
        <v>2</v>
      </c>
      <c r="AH344" t="s">
        <v>75</v>
      </c>
      <c r="AI344">
        <v>1</v>
      </c>
      <c r="AJ344" s="9"/>
      <c r="AM344"/>
      <c r="AN344"/>
      <c r="AO344"/>
      <c r="AP344"/>
      <c r="AQ344"/>
      <c r="AR344" s="18" t="str">
        <f>IFERROR(VLOOKUP(K344,[1]POP!$F:$J,1,0),M344)</f>
        <v>MAKARY</v>
      </c>
      <c r="AS344" s="18" t="str">
        <f t="shared" si="26"/>
        <v>NGOUMA</v>
      </c>
      <c r="AT344" s="19">
        <f t="shared" si="29"/>
        <v>2</v>
      </c>
      <c r="AU344" s="19">
        <f t="shared" ca="1" si="28"/>
        <v>2</v>
      </c>
    </row>
    <row r="345" spans="1:47" x14ac:dyDescent="0.3">
      <c r="A345" t="s">
        <v>522</v>
      </c>
      <c r="B345" t="str">
        <f t="shared" si="25"/>
        <v>S28_2026</v>
      </c>
      <c r="C345" t="str">
        <f t="shared" si="27"/>
        <v>S28_2026</v>
      </c>
      <c r="E345" t="s">
        <v>512</v>
      </c>
      <c r="F345">
        <v>5</v>
      </c>
      <c r="G345" t="s">
        <v>55</v>
      </c>
      <c r="H345" t="s">
        <v>111</v>
      </c>
      <c r="I345" t="s">
        <v>371</v>
      </c>
      <c r="J345" t="s">
        <v>133</v>
      </c>
      <c r="K345" t="s">
        <v>116</v>
      </c>
      <c r="L345" t="s">
        <v>359</v>
      </c>
      <c r="M345" t="s">
        <v>116</v>
      </c>
      <c r="N345" t="s">
        <v>117</v>
      </c>
      <c r="O345" t="s">
        <v>117</v>
      </c>
      <c r="P345">
        <v>3</v>
      </c>
      <c r="Q345" s="7">
        <v>46212</v>
      </c>
      <c r="R345" s="7">
        <v>46213</v>
      </c>
      <c r="S345" s="7">
        <v>46214</v>
      </c>
      <c r="T345" t="s">
        <v>117</v>
      </c>
      <c r="V345" t="s">
        <v>360</v>
      </c>
      <c r="W345" t="s">
        <v>117</v>
      </c>
      <c r="X345" t="s">
        <v>117</v>
      </c>
      <c r="Y345" t="s">
        <v>117</v>
      </c>
      <c r="Z345" t="s">
        <v>117</v>
      </c>
      <c r="AF345">
        <v>2</v>
      </c>
      <c r="AH345" t="s">
        <v>75</v>
      </c>
      <c r="AI345">
        <v>1</v>
      </c>
      <c r="AJ345" s="9"/>
      <c r="AM345"/>
      <c r="AN345"/>
      <c r="AO345"/>
      <c r="AP345"/>
      <c r="AQ345"/>
      <c r="AR345" s="18" t="str">
        <f>IFERROR(VLOOKUP(K345,[1]POP!$F:$J,1,0),M345)</f>
        <v>MAKARY</v>
      </c>
      <c r="AS345" s="18" t="str">
        <f t="shared" si="26"/>
        <v>NGOUMA</v>
      </c>
      <c r="AT345" s="19">
        <f t="shared" si="29"/>
        <v>2</v>
      </c>
      <c r="AU345" s="19">
        <f t="shared" ca="1" si="28"/>
        <v>2</v>
      </c>
    </row>
    <row r="346" spans="1:47" x14ac:dyDescent="0.3">
      <c r="A346" t="s">
        <v>523</v>
      </c>
      <c r="B346" t="str">
        <f t="shared" si="25"/>
        <v>S28_2026</v>
      </c>
      <c r="C346" t="str">
        <f t="shared" si="27"/>
        <v>S28_2026</v>
      </c>
      <c r="E346" t="s">
        <v>512</v>
      </c>
      <c r="F346">
        <v>3</v>
      </c>
      <c r="G346" t="s">
        <v>55</v>
      </c>
      <c r="H346" t="s">
        <v>521</v>
      </c>
      <c r="I346" t="s">
        <v>371</v>
      </c>
      <c r="J346" t="s">
        <v>133</v>
      </c>
      <c r="K346" t="s">
        <v>116</v>
      </c>
      <c r="L346" t="s">
        <v>359</v>
      </c>
      <c r="M346" t="s">
        <v>116</v>
      </c>
      <c r="N346" t="s">
        <v>117</v>
      </c>
      <c r="O346" t="s">
        <v>117</v>
      </c>
      <c r="P346">
        <v>3</v>
      </c>
      <c r="Q346" s="7">
        <v>46212</v>
      </c>
      <c r="R346" s="7">
        <v>46213</v>
      </c>
      <c r="S346" s="7">
        <v>46214</v>
      </c>
      <c r="T346" t="s">
        <v>117</v>
      </c>
      <c r="V346" t="s">
        <v>360</v>
      </c>
      <c r="W346" t="s">
        <v>117</v>
      </c>
      <c r="X346" t="s">
        <v>117</v>
      </c>
      <c r="Y346" t="s">
        <v>117</v>
      </c>
      <c r="Z346" t="s">
        <v>117</v>
      </c>
      <c r="AF346">
        <v>2</v>
      </c>
      <c r="AH346" t="s">
        <v>75</v>
      </c>
      <c r="AI346">
        <v>1</v>
      </c>
      <c r="AJ346" s="9"/>
      <c r="AM346"/>
      <c r="AN346"/>
      <c r="AO346"/>
      <c r="AP346"/>
      <c r="AQ346"/>
      <c r="AR346" s="18" t="str">
        <f>IFERROR(VLOOKUP(K346,[1]POP!$F:$J,1,0),M346)</f>
        <v>MAKARY</v>
      </c>
      <c r="AS346" s="18" t="str">
        <f t="shared" si="26"/>
        <v>NGOUMA</v>
      </c>
      <c r="AT346" s="19">
        <f t="shared" si="29"/>
        <v>2</v>
      </c>
      <c r="AU346" s="19">
        <f t="shared" ca="1" si="28"/>
        <v>2</v>
      </c>
    </row>
    <row r="347" spans="1:47" x14ac:dyDescent="0.3">
      <c r="A347" t="s">
        <v>524</v>
      </c>
      <c r="B347" t="str">
        <f t="shared" si="25"/>
        <v>S28_2026</v>
      </c>
      <c r="C347" t="str">
        <f t="shared" si="27"/>
        <v>S28_2026</v>
      </c>
      <c r="E347" t="s">
        <v>512</v>
      </c>
      <c r="F347">
        <v>50</v>
      </c>
      <c r="G347" t="s">
        <v>55</v>
      </c>
      <c r="H347" t="s">
        <v>70</v>
      </c>
      <c r="I347" t="s">
        <v>371</v>
      </c>
      <c r="J347" t="s">
        <v>133</v>
      </c>
      <c r="K347" t="s">
        <v>116</v>
      </c>
      <c r="L347" t="s">
        <v>359</v>
      </c>
      <c r="M347" t="s">
        <v>116</v>
      </c>
      <c r="N347" t="s">
        <v>117</v>
      </c>
      <c r="O347" t="s">
        <v>117</v>
      </c>
      <c r="P347">
        <v>3</v>
      </c>
      <c r="Q347" s="7">
        <v>46212</v>
      </c>
      <c r="R347" s="7">
        <v>46213</v>
      </c>
      <c r="S347" s="7">
        <v>46214</v>
      </c>
      <c r="T347" t="s">
        <v>117</v>
      </c>
      <c r="V347" t="s">
        <v>360</v>
      </c>
      <c r="W347" t="s">
        <v>117</v>
      </c>
      <c r="X347" t="s">
        <v>117</v>
      </c>
      <c r="Y347" t="s">
        <v>117</v>
      </c>
      <c r="Z347" t="s">
        <v>117</v>
      </c>
      <c r="AA347" s="7">
        <v>46215</v>
      </c>
      <c r="AC347" t="s">
        <v>45</v>
      </c>
      <c r="AD347" t="s">
        <v>48</v>
      </c>
      <c r="AF347">
        <v>2</v>
      </c>
      <c r="AH347" t="s">
        <v>75</v>
      </c>
      <c r="AI347">
        <v>1</v>
      </c>
      <c r="AJ347" s="9"/>
      <c r="AM347"/>
      <c r="AN347"/>
      <c r="AO347"/>
      <c r="AP347"/>
      <c r="AQ347"/>
      <c r="AR347" s="18" t="str">
        <f>IFERROR(VLOOKUP(K347,[1]POP!$F:$J,1,0),M347)</f>
        <v>MAKARY</v>
      </c>
      <c r="AS347" s="18" t="str">
        <f t="shared" si="26"/>
        <v>NGOUMA</v>
      </c>
      <c r="AT347" s="19">
        <f t="shared" si="29"/>
        <v>2</v>
      </c>
      <c r="AU347" s="19">
        <f t="shared" ca="1" si="28"/>
        <v>2</v>
      </c>
    </row>
    <row r="348" spans="1:47" x14ac:dyDescent="0.3">
      <c r="A348" t="s">
        <v>525</v>
      </c>
      <c r="B348" t="str">
        <f t="shared" si="25"/>
        <v>S28_2026</v>
      </c>
      <c r="C348" t="str">
        <f t="shared" si="27"/>
        <v>S28_2026</v>
      </c>
      <c r="E348" t="s">
        <v>512</v>
      </c>
      <c r="F348">
        <v>30</v>
      </c>
      <c r="G348" t="s">
        <v>40</v>
      </c>
      <c r="H348" t="s">
        <v>136</v>
      </c>
      <c r="I348" t="s">
        <v>371</v>
      </c>
      <c r="J348" t="s">
        <v>133</v>
      </c>
      <c r="K348" t="s">
        <v>116</v>
      </c>
      <c r="L348" t="s">
        <v>359</v>
      </c>
      <c r="M348" t="s">
        <v>116</v>
      </c>
      <c r="N348" t="s">
        <v>117</v>
      </c>
      <c r="O348" t="s">
        <v>117</v>
      </c>
      <c r="P348">
        <v>3</v>
      </c>
      <c r="Q348" s="7">
        <v>46212</v>
      </c>
      <c r="R348" s="7">
        <v>46213</v>
      </c>
      <c r="S348" s="7">
        <v>46214</v>
      </c>
      <c r="T348" t="s">
        <v>117</v>
      </c>
      <c r="V348" t="s">
        <v>360</v>
      </c>
      <c r="W348" t="s">
        <v>117</v>
      </c>
      <c r="X348" t="s">
        <v>117</v>
      </c>
      <c r="Y348" t="s">
        <v>117</v>
      </c>
      <c r="Z348" t="s">
        <v>117</v>
      </c>
      <c r="AE348" s="7">
        <v>46243</v>
      </c>
      <c r="AF348">
        <v>2</v>
      </c>
      <c r="AH348" t="s">
        <v>75</v>
      </c>
      <c r="AI348">
        <v>1</v>
      </c>
      <c r="AJ348" s="9"/>
      <c r="AM348"/>
      <c r="AN348"/>
      <c r="AO348"/>
      <c r="AP348"/>
      <c r="AQ348"/>
      <c r="AR348" s="18" t="str">
        <f>IFERROR(VLOOKUP(K348,[1]POP!$F:$J,1,0),M348)</f>
        <v>MAKARY</v>
      </c>
      <c r="AS348" s="18" t="str">
        <f t="shared" si="26"/>
        <v>NGOUMA</v>
      </c>
      <c r="AT348" s="19">
        <f t="shared" si="29"/>
        <v>2</v>
      </c>
      <c r="AU348" s="19">
        <f t="shared" ca="1" si="28"/>
        <v>2</v>
      </c>
    </row>
    <row r="349" spans="1:47" x14ac:dyDescent="0.3">
      <c r="A349" t="s">
        <v>526</v>
      </c>
      <c r="B349" t="str">
        <f t="shared" si="25"/>
        <v>S28_2026</v>
      </c>
      <c r="C349" t="str">
        <f t="shared" si="27"/>
        <v>S28_2026</v>
      </c>
      <c r="E349" t="s">
        <v>512</v>
      </c>
      <c r="F349">
        <v>16</v>
      </c>
      <c r="G349" t="s">
        <v>55</v>
      </c>
      <c r="H349" t="s">
        <v>521</v>
      </c>
      <c r="I349" t="s">
        <v>371</v>
      </c>
      <c r="J349" t="s">
        <v>133</v>
      </c>
      <c r="K349" t="s">
        <v>116</v>
      </c>
      <c r="L349" t="s">
        <v>359</v>
      </c>
      <c r="M349" t="s">
        <v>116</v>
      </c>
      <c r="N349" t="s">
        <v>117</v>
      </c>
      <c r="O349" t="s">
        <v>117</v>
      </c>
      <c r="P349">
        <v>3</v>
      </c>
      <c r="Q349" s="7">
        <v>46212</v>
      </c>
      <c r="R349" s="7">
        <v>46213</v>
      </c>
      <c r="S349" s="7">
        <v>46214</v>
      </c>
      <c r="T349" t="s">
        <v>117</v>
      </c>
      <c r="V349" t="s">
        <v>360</v>
      </c>
      <c r="W349" t="s">
        <v>117</v>
      </c>
      <c r="X349" t="s">
        <v>117</v>
      </c>
      <c r="Y349" t="s">
        <v>117</v>
      </c>
      <c r="Z349" t="s">
        <v>117</v>
      </c>
      <c r="AF349">
        <v>2</v>
      </c>
      <c r="AH349" t="s">
        <v>75</v>
      </c>
      <c r="AI349">
        <v>1</v>
      </c>
      <c r="AJ349" s="9"/>
      <c r="AM349"/>
      <c r="AN349"/>
      <c r="AO349"/>
      <c r="AP349"/>
      <c r="AQ349"/>
      <c r="AR349" s="18" t="str">
        <f>IFERROR(VLOOKUP(K349,[1]POP!$F:$J,1,0),M349)</f>
        <v>MAKARY</v>
      </c>
      <c r="AS349" s="18" t="str">
        <f t="shared" si="26"/>
        <v>NGOUMA</v>
      </c>
      <c r="AT349" s="19">
        <f t="shared" si="29"/>
        <v>2</v>
      </c>
      <c r="AU349" s="19">
        <f t="shared" ca="1" si="28"/>
        <v>2</v>
      </c>
    </row>
    <row r="350" spans="1:47" x14ac:dyDescent="0.3">
      <c r="A350" t="s">
        <v>527</v>
      </c>
      <c r="B350" t="str">
        <f t="shared" si="25"/>
        <v>S28_2026</v>
      </c>
      <c r="C350" t="str">
        <f t="shared" si="27"/>
        <v>S28_2026</v>
      </c>
      <c r="E350" t="s">
        <v>512</v>
      </c>
      <c r="F350">
        <v>2</v>
      </c>
      <c r="G350" t="s">
        <v>55</v>
      </c>
      <c r="H350" t="s">
        <v>111</v>
      </c>
      <c r="I350" t="s">
        <v>371</v>
      </c>
      <c r="J350" t="s">
        <v>133</v>
      </c>
      <c r="K350" t="s">
        <v>116</v>
      </c>
      <c r="L350" t="s">
        <v>359</v>
      </c>
      <c r="M350" t="s">
        <v>116</v>
      </c>
      <c r="N350" t="s">
        <v>117</v>
      </c>
      <c r="O350" t="s">
        <v>117</v>
      </c>
      <c r="P350">
        <v>3</v>
      </c>
      <c r="Q350" s="7">
        <v>46213</v>
      </c>
      <c r="R350" s="7">
        <v>46214</v>
      </c>
      <c r="S350" s="7">
        <v>46214</v>
      </c>
      <c r="T350" t="s">
        <v>117</v>
      </c>
      <c r="V350" t="s">
        <v>360</v>
      </c>
      <c r="W350" t="s">
        <v>117</v>
      </c>
      <c r="X350" t="s">
        <v>117</v>
      </c>
      <c r="Y350" t="s">
        <v>117</v>
      </c>
      <c r="Z350" t="s">
        <v>117</v>
      </c>
      <c r="AF350">
        <v>2</v>
      </c>
      <c r="AH350" t="s">
        <v>75</v>
      </c>
      <c r="AI350">
        <v>1</v>
      </c>
      <c r="AJ350" s="9"/>
      <c r="AL350" t="s">
        <v>96</v>
      </c>
      <c r="AM350"/>
      <c r="AN350"/>
      <c r="AO350"/>
      <c r="AP350"/>
      <c r="AQ350"/>
      <c r="AR350" s="18" t="str">
        <f>IFERROR(VLOOKUP(K350,[1]POP!$F:$J,1,0),M350)</f>
        <v>MAKARY</v>
      </c>
      <c r="AS350" s="18" t="str">
        <f t="shared" si="26"/>
        <v>NGOUMA</v>
      </c>
      <c r="AT350" s="19">
        <f t="shared" si="29"/>
        <v>2</v>
      </c>
      <c r="AU350" s="19">
        <f t="shared" ca="1" si="28"/>
        <v>2</v>
      </c>
    </row>
    <row r="351" spans="1:47" x14ac:dyDescent="0.3">
      <c r="A351" t="s">
        <v>528</v>
      </c>
      <c r="B351" t="str">
        <f t="shared" si="25"/>
        <v>S28_2026</v>
      </c>
      <c r="C351" t="str">
        <f t="shared" si="27"/>
        <v>S28_2026</v>
      </c>
      <c r="E351" t="s">
        <v>512</v>
      </c>
      <c r="F351">
        <v>38</v>
      </c>
      <c r="G351" t="s">
        <v>55</v>
      </c>
      <c r="H351" t="s">
        <v>70</v>
      </c>
      <c r="I351" t="s">
        <v>371</v>
      </c>
      <c r="J351" t="s">
        <v>133</v>
      </c>
      <c r="K351" t="s">
        <v>116</v>
      </c>
      <c r="L351" t="s">
        <v>359</v>
      </c>
      <c r="M351" t="s">
        <v>116</v>
      </c>
      <c r="N351" t="s">
        <v>117</v>
      </c>
      <c r="O351" t="s">
        <v>117</v>
      </c>
      <c r="P351">
        <v>3</v>
      </c>
      <c r="Q351" s="7">
        <v>46213</v>
      </c>
      <c r="R351" s="7">
        <v>46214</v>
      </c>
      <c r="S351" s="7">
        <v>46214</v>
      </c>
      <c r="T351" t="s">
        <v>117</v>
      </c>
      <c r="V351" t="s">
        <v>360</v>
      </c>
      <c r="W351" t="s">
        <v>117</v>
      </c>
      <c r="X351" t="s">
        <v>117</v>
      </c>
      <c r="Y351" t="s">
        <v>117</v>
      </c>
      <c r="Z351" t="s">
        <v>117</v>
      </c>
      <c r="AF351">
        <v>2</v>
      </c>
      <c r="AH351" t="s">
        <v>75</v>
      </c>
      <c r="AI351">
        <v>1</v>
      </c>
      <c r="AJ351" s="9"/>
      <c r="AN351" t="s">
        <v>45</v>
      </c>
      <c r="AO351" t="s">
        <v>86</v>
      </c>
      <c r="AP351"/>
      <c r="AQ351" t="s">
        <v>74</v>
      </c>
      <c r="AR351" s="18" t="str">
        <f>IFERROR(VLOOKUP(K351,[1]POP!$F:$J,1,0),M351)</f>
        <v>MAKARY</v>
      </c>
      <c r="AS351" s="18" t="str">
        <f t="shared" si="26"/>
        <v>NGOUMA</v>
      </c>
      <c r="AT351" s="19">
        <f t="shared" si="29"/>
        <v>2</v>
      </c>
      <c r="AU351" s="19">
        <f t="shared" ca="1" si="28"/>
        <v>2</v>
      </c>
    </row>
    <row r="352" spans="1:47" x14ac:dyDescent="0.3">
      <c r="A352" t="s">
        <v>529</v>
      </c>
      <c r="B352" t="str">
        <f t="shared" si="25"/>
        <v>S28_2026</v>
      </c>
      <c r="C352" t="str">
        <f t="shared" si="27"/>
        <v>S28_2026</v>
      </c>
      <c r="E352" t="s">
        <v>512</v>
      </c>
      <c r="F352">
        <v>5</v>
      </c>
      <c r="G352" t="s">
        <v>55</v>
      </c>
      <c r="H352" t="s">
        <v>111</v>
      </c>
      <c r="I352" t="s">
        <v>371</v>
      </c>
      <c r="J352" t="s">
        <v>133</v>
      </c>
      <c r="K352" t="s">
        <v>116</v>
      </c>
      <c r="L352" t="s">
        <v>359</v>
      </c>
      <c r="M352" t="s">
        <v>116</v>
      </c>
      <c r="N352" t="s">
        <v>117</v>
      </c>
      <c r="O352" t="s">
        <v>117</v>
      </c>
      <c r="P352">
        <v>3</v>
      </c>
      <c r="Q352" s="7">
        <v>46213</v>
      </c>
      <c r="R352" s="7">
        <v>46214</v>
      </c>
      <c r="S352" s="7">
        <v>46214</v>
      </c>
      <c r="T352" t="s">
        <v>117</v>
      </c>
      <c r="V352" t="s">
        <v>360</v>
      </c>
      <c r="W352" t="s">
        <v>117</v>
      </c>
      <c r="X352" t="s">
        <v>117</v>
      </c>
      <c r="Y352" t="s">
        <v>117</v>
      </c>
      <c r="Z352" t="s">
        <v>117</v>
      </c>
      <c r="AF352">
        <v>2</v>
      </c>
      <c r="AH352" t="s">
        <v>75</v>
      </c>
      <c r="AI352">
        <v>1</v>
      </c>
      <c r="AJ352" s="9"/>
      <c r="AL352" t="s">
        <v>96</v>
      </c>
      <c r="AN352" t="s">
        <v>45</v>
      </c>
      <c r="AO352" t="s">
        <v>86</v>
      </c>
      <c r="AP352"/>
      <c r="AQ352" t="s">
        <v>74</v>
      </c>
      <c r="AR352" s="18" t="str">
        <f>IFERROR(VLOOKUP(K352,[1]POP!$F:$J,1,0),M352)</f>
        <v>MAKARY</v>
      </c>
      <c r="AS352" s="18" t="str">
        <f t="shared" si="26"/>
        <v>NGOUMA</v>
      </c>
      <c r="AT352" s="19">
        <f t="shared" si="29"/>
        <v>2</v>
      </c>
      <c r="AU352" s="19">
        <f t="shared" ca="1" si="28"/>
        <v>2</v>
      </c>
    </row>
    <row r="353" spans="1:47" x14ac:dyDescent="0.3">
      <c r="A353" t="s">
        <v>530</v>
      </c>
      <c r="B353" t="str">
        <f t="shared" si="25"/>
        <v>S28_2026</v>
      </c>
      <c r="C353" t="str">
        <f t="shared" si="27"/>
        <v>S28_2026</v>
      </c>
      <c r="E353" t="s">
        <v>512</v>
      </c>
      <c r="F353">
        <v>48</v>
      </c>
      <c r="G353" t="s">
        <v>40</v>
      </c>
      <c r="H353" t="s">
        <v>136</v>
      </c>
      <c r="I353" t="s">
        <v>371</v>
      </c>
      <c r="J353" t="s">
        <v>133</v>
      </c>
      <c r="K353" t="s">
        <v>116</v>
      </c>
      <c r="L353" t="s">
        <v>359</v>
      </c>
      <c r="M353" t="s">
        <v>116</v>
      </c>
      <c r="N353" t="s">
        <v>117</v>
      </c>
      <c r="O353" t="s">
        <v>117</v>
      </c>
      <c r="P353">
        <v>3</v>
      </c>
      <c r="Q353" s="7">
        <v>46213</v>
      </c>
      <c r="R353" s="7">
        <v>46214</v>
      </c>
      <c r="S353" s="7">
        <v>46214</v>
      </c>
      <c r="T353" t="s">
        <v>117</v>
      </c>
      <c r="V353" t="s">
        <v>360</v>
      </c>
      <c r="W353" t="s">
        <v>117</v>
      </c>
      <c r="X353" t="s">
        <v>117</v>
      </c>
      <c r="Y353" t="s">
        <v>117</v>
      </c>
      <c r="Z353" t="s">
        <v>117</v>
      </c>
      <c r="AF353">
        <v>2</v>
      </c>
      <c r="AH353" t="s">
        <v>75</v>
      </c>
      <c r="AI353">
        <v>1</v>
      </c>
      <c r="AJ353" s="9"/>
      <c r="AL353" t="s">
        <v>96</v>
      </c>
      <c r="AN353" t="s">
        <v>45</v>
      </c>
      <c r="AO353" t="s">
        <v>86</v>
      </c>
      <c r="AP353"/>
      <c r="AQ353" t="s">
        <v>74</v>
      </c>
      <c r="AR353" s="18" t="str">
        <f>IFERROR(VLOOKUP(K353,[1]POP!$F:$J,1,0),M353)</f>
        <v>MAKARY</v>
      </c>
      <c r="AS353" s="18" t="str">
        <f t="shared" si="26"/>
        <v>NGOUMA</v>
      </c>
      <c r="AT353" s="19">
        <f t="shared" si="29"/>
        <v>2</v>
      </c>
      <c r="AU353" s="19">
        <f t="shared" ca="1" si="28"/>
        <v>2</v>
      </c>
    </row>
    <row r="354" spans="1:47" x14ac:dyDescent="0.3">
      <c r="A354" t="s">
        <v>531</v>
      </c>
      <c r="B354" t="str">
        <f t="shared" si="25"/>
        <v>S28_2026</v>
      </c>
      <c r="C354" t="str">
        <f t="shared" si="27"/>
        <v>S28_2026</v>
      </c>
      <c r="E354" t="s">
        <v>512</v>
      </c>
      <c r="F354">
        <v>25</v>
      </c>
      <c r="G354" t="s">
        <v>40</v>
      </c>
      <c r="H354" t="s">
        <v>136</v>
      </c>
      <c r="I354" t="s">
        <v>371</v>
      </c>
      <c r="J354" t="s">
        <v>133</v>
      </c>
      <c r="K354" t="s">
        <v>116</v>
      </c>
      <c r="L354" t="s">
        <v>359</v>
      </c>
      <c r="M354" t="s">
        <v>116</v>
      </c>
      <c r="N354" t="s">
        <v>117</v>
      </c>
      <c r="O354" t="s">
        <v>117</v>
      </c>
      <c r="P354">
        <v>3</v>
      </c>
      <c r="Q354" s="7">
        <v>46213</v>
      </c>
      <c r="R354" s="7">
        <v>46214</v>
      </c>
      <c r="S354" s="7">
        <v>46214</v>
      </c>
      <c r="T354" t="s">
        <v>117</v>
      </c>
      <c r="V354" t="s">
        <v>360</v>
      </c>
      <c r="W354" t="s">
        <v>117</v>
      </c>
      <c r="X354" t="s">
        <v>117</v>
      </c>
      <c r="Y354" t="s">
        <v>117</v>
      </c>
      <c r="Z354" t="s">
        <v>117</v>
      </c>
      <c r="AF354">
        <v>2</v>
      </c>
      <c r="AH354" t="s">
        <v>75</v>
      </c>
      <c r="AI354">
        <v>1</v>
      </c>
      <c r="AJ354" s="9"/>
      <c r="AL354" t="s">
        <v>96</v>
      </c>
      <c r="AN354" t="s">
        <v>45</v>
      </c>
      <c r="AO354" t="s">
        <v>86</v>
      </c>
      <c r="AP354"/>
      <c r="AQ354" t="s">
        <v>74</v>
      </c>
      <c r="AR354" s="18" t="str">
        <f>IFERROR(VLOOKUP(K354,[1]POP!$F:$J,1,0),M354)</f>
        <v>MAKARY</v>
      </c>
      <c r="AS354" s="18" t="str">
        <f t="shared" si="26"/>
        <v>NGOUMA</v>
      </c>
      <c r="AT354" s="19">
        <f t="shared" si="29"/>
        <v>2</v>
      </c>
      <c r="AU354" s="19">
        <f t="shared" ca="1" si="28"/>
        <v>2</v>
      </c>
    </row>
    <row r="355" spans="1:47" x14ac:dyDescent="0.3">
      <c r="A355" t="s">
        <v>532</v>
      </c>
      <c r="B355" t="str">
        <f t="shared" si="25"/>
        <v>S28_2026</v>
      </c>
      <c r="C355" t="str">
        <f t="shared" si="27"/>
        <v>S28_2026</v>
      </c>
      <c r="E355" t="s">
        <v>512</v>
      </c>
      <c r="F355">
        <v>30</v>
      </c>
      <c r="G355" t="s">
        <v>55</v>
      </c>
      <c r="H355" t="s">
        <v>70</v>
      </c>
      <c r="I355" t="s">
        <v>371</v>
      </c>
      <c r="J355" t="s">
        <v>133</v>
      </c>
      <c r="K355" t="s">
        <v>116</v>
      </c>
      <c r="L355" t="s">
        <v>359</v>
      </c>
      <c r="M355" t="s">
        <v>116</v>
      </c>
      <c r="N355" t="s">
        <v>117</v>
      </c>
      <c r="O355" t="s">
        <v>117</v>
      </c>
      <c r="P355">
        <v>3</v>
      </c>
      <c r="Q355" s="7">
        <v>46213</v>
      </c>
      <c r="R355" s="7">
        <v>46214</v>
      </c>
      <c r="S355" s="7">
        <v>46214</v>
      </c>
      <c r="T355" t="s">
        <v>117</v>
      </c>
      <c r="V355" t="s">
        <v>360</v>
      </c>
      <c r="W355" t="s">
        <v>117</v>
      </c>
      <c r="X355" t="s">
        <v>117</v>
      </c>
      <c r="Y355" t="s">
        <v>117</v>
      </c>
      <c r="Z355" t="s">
        <v>117</v>
      </c>
      <c r="AF355">
        <v>2</v>
      </c>
      <c r="AH355" t="s">
        <v>75</v>
      </c>
      <c r="AI355">
        <v>1</v>
      </c>
      <c r="AJ355" s="9"/>
      <c r="AN355" t="s">
        <v>45</v>
      </c>
      <c r="AO355" t="s">
        <v>86</v>
      </c>
      <c r="AP355"/>
      <c r="AQ355" t="s">
        <v>74</v>
      </c>
      <c r="AR355" s="18" t="str">
        <f>IFERROR(VLOOKUP(K355,[1]POP!$F:$J,1,0),M355)</f>
        <v>MAKARY</v>
      </c>
      <c r="AS355" s="18" t="str">
        <f t="shared" si="26"/>
        <v>NGOUMA</v>
      </c>
      <c r="AT355" s="19">
        <f t="shared" si="29"/>
        <v>2</v>
      </c>
      <c r="AU355" s="19">
        <f t="shared" ca="1" si="28"/>
        <v>2</v>
      </c>
    </row>
    <row r="356" spans="1:47" x14ac:dyDescent="0.3">
      <c r="A356" t="s">
        <v>533</v>
      </c>
      <c r="B356" t="str">
        <f t="shared" si="25"/>
        <v>S28_2026</v>
      </c>
      <c r="C356" t="str">
        <f t="shared" si="27"/>
        <v>S28_2026</v>
      </c>
      <c r="E356" t="s">
        <v>512</v>
      </c>
      <c r="F356">
        <v>25</v>
      </c>
      <c r="G356" t="s">
        <v>55</v>
      </c>
      <c r="H356" t="s">
        <v>79</v>
      </c>
      <c r="I356" t="s">
        <v>371</v>
      </c>
      <c r="J356" t="s">
        <v>133</v>
      </c>
      <c r="K356" t="s">
        <v>116</v>
      </c>
      <c r="L356" t="s">
        <v>359</v>
      </c>
      <c r="M356" t="s">
        <v>116</v>
      </c>
      <c r="N356" t="s">
        <v>117</v>
      </c>
      <c r="O356" t="s">
        <v>117</v>
      </c>
      <c r="P356">
        <v>3</v>
      </c>
      <c r="Q356" s="7">
        <v>46213</v>
      </c>
      <c r="R356" s="7">
        <v>46214</v>
      </c>
      <c r="S356" s="7">
        <v>46214</v>
      </c>
      <c r="T356" t="s">
        <v>117</v>
      </c>
      <c r="V356" t="s">
        <v>360</v>
      </c>
      <c r="W356" t="s">
        <v>117</v>
      </c>
      <c r="X356" t="s">
        <v>117</v>
      </c>
      <c r="Y356" t="s">
        <v>117</v>
      </c>
      <c r="Z356" t="s">
        <v>117</v>
      </c>
      <c r="AF356">
        <v>2</v>
      </c>
      <c r="AH356" t="s">
        <v>75</v>
      </c>
      <c r="AI356">
        <v>1</v>
      </c>
      <c r="AJ356" s="9"/>
      <c r="AN356" t="s">
        <v>45</v>
      </c>
      <c r="AO356" t="s">
        <v>86</v>
      </c>
      <c r="AP356"/>
      <c r="AQ356" t="s">
        <v>74</v>
      </c>
      <c r="AR356" s="18" t="str">
        <f>IFERROR(VLOOKUP(K356,[1]POP!$F:$J,1,0),M356)</f>
        <v>MAKARY</v>
      </c>
      <c r="AS356" s="18" t="str">
        <f t="shared" si="26"/>
        <v>NGOUMA</v>
      </c>
      <c r="AT356" s="19">
        <f t="shared" si="29"/>
        <v>2</v>
      </c>
      <c r="AU356" s="19">
        <f t="shared" ca="1" si="28"/>
        <v>2</v>
      </c>
    </row>
    <row r="357" spans="1:47" x14ac:dyDescent="0.3">
      <c r="A357" t="s">
        <v>534</v>
      </c>
      <c r="B357" t="str">
        <f t="shared" si="25"/>
        <v>S28_2026</v>
      </c>
      <c r="C357" t="str">
        <f t="shared" si="27"/>
        <v>S28_2026</v>
      </c>
      <c r="E357" t="s">
        <v>512</v>
      </c>
      <c r="F357">
        <v>7</v>
      </c>
      <c r="G357" t="s">
        <v>55</v>
      </c>
      <c r="H357" t="s">
        <v>111</v>
      </c>
      <c r="I357" t="s">
        <v>371</v>
      </c>
      <c r="J357" t="s">
        <v>133</v>
      </c>
      <c r="K357" t="s">
        <v>116</v>
      </c>
      <c r="L357" t="s">
        <v>359</v>
      </c>
      <c r="M357" t="s">
        <v>116</v>
      </c>
      <c r="N357" t="s">
        <v>117</v>
      </c>
      <c r="O357" t="s">
        <v>117</v>
      </c>
      <c r="P357">
        <v>3</v>
      </c>
      <c r="Q357" s="7">
        <v>46213</v>
      </c>
      <c r="R357" s="7">
        <v>46214</v>
      </c>
      <c r="S357" s="7">
        <v>46214</v>
      </c>
      <c r="T357" t="s">
        <v>117</v>
      </c>
      <c r="V357" t="s">
        <v>360</v>
      </c>
      <c r="W357" t="s">
        <v>117</v>
      </c>
      <c r="X357" t="s">
        <v>117</v>
      </c>
      <c r="Y357" t="s">
        <v>117</v>
      </c>
      <c r="Z357" t="s">
        <v>117</v>
      </c>
      <c r="AF357">
        <v>2</v>
      </c>
      <c r="AH357" t="s">
        <v>75</v>
      </c>
      <c r="AI357">
        <v>1</v>
      </c>
      <c r="AJ357" s="9"/>
      <c r="AN357" t="s">
        <v>45</v>
      </c>
      <c r="AO357" t="s">
        <v>86</v>
      </c>
      <c r="AP357"/>
      <c r="AQ357" t="s">
        <v>74</v>
      </c>
      <c r="AR357" s="18" t="str">
        <f>IFERROR(VLOOKUP(K357,[1]POP!$F:$J,1,0),M357)</f>
        <v>MAKARY</v>
      </c>
      <c r="AS357" s="18" t="str">
        <f t="shared" si="26"/>
        <v>NGOUMA</v>
      </c>
      <c r="AT357" s="19">
        <f t="shared" si="29"/>
        <v>2</v>
      </c>
      <c r="AU357" s="19">
        <f t="shared" ca="1" si="28"/>
        <v>2</v>
      </c>
    </row>
    <row r="358" spans="1:47" x14ac:dyDescent="0.3">
      <c r="A358" t="s">
        <v>535</v>
      </c>
      <c r="B358" t="str">
        <f t="shared" si="25"/>
        <v>S28_2026</v>
      </c>
      <c r="C358" t="str">
        <f t="shared" si="27"/>
        <v>S28_2026</v>
      </c>
      <c r="E358" t="s">
        <v>512</v>
      </c>
      <c r="F358">
        <v>10</v>
      </c>
      <c r="G358" t="s">
        <v>55</v>
      </c>
      <c r="H358" t="s">
        <v>111</v>
      </c>
      <c r="I358" t="s">
        <v>371</v>
      </c>
      <c r="J358" t="s">
        <v>133</v>
      </c>
      <c r="K358" t="s">
        <v>116</v>
      </c>
      <c r="L358" t="s">
        <v>359</v>
      </c>
      <c r="M358" t="s">
        <v>116</v>
      </c>
      <c r="N358" t="s">
        <v>117</v>
      </c>
      <c r="O358" t="s">
        <v>117</v>
      </c>
      <c r="P358">
        <v>3</v>
      </c>
      <c r="Q358" s="7">
        <v>46213</v>
      </c>
      <c r="R358" s="7">
        <v>46214</v>
      </c>
      <c r="S358" s="7">
        <v>46214</v>
      </c>
      <c r="T358" t="s">
        <v>117</v>
      </c>
      <c r="V358" t="s">
        <v>360</v>
      </c>
      <c r="W358" t="s">
        <v>117</v>
      </c>
      <c r="X358" t="s">
        <v>117</v>
      </c>
      <c r="Y358" t="s">
        <v>117</v>
      </c>
      <c r="Z358" t="s">
        <v>117</v>
      </c>
      <c r="AF358">
        <v>2</v>
      </c>
      <c r="AH358" t="s">
        <v>75</v>
      </c>
      <c r="AI358">
        <v>1</v>
      </c>
      <c r="AJ358" s="9"/>
      <c r="AN358" t="s">
        <v>45</v>
      </c>
      <c r="AO358" t="s">
        <v>86</v>
      </c>
      <c r="AP358"/>
      <c r="AQ358" t="s">
        <v>74</v>
      </c>
      <c r="AR358" s="18" t="str">
        <f>IFERROR(VLOOKUP(K358,[1]POP!$F:$J,1,0),M358)</f>
        <v>MAKARY</v>
      </c>
      <c r="AS358" s="18" t="str">
        <f t="shared" si="26"/>
        <v>NGOUMA</v>
      </c>
      <c r="AT358" s="19">
        <f t="shared" si="29"/>
        <v>2</v>
      </c>
      <c r="AU358" s="19">
        <f t="shared" ca="1" si="28"/>
        <v>2</v>
      </c>
    </row>
    <row r="359" spans="1:47" x14ac:dyDescent="0.3">
      <c r="A359" t="s">
        <v>536</v>
      </c>
      <c r="B359" t="str">
        <f t="shared" si="25"/>
        <v>S28_2026</v>
      </c>
      <c r="C359" t="str">
        <f t="shared" si="27"/>
        <v>S28_2026</v>
      </c>
      <c r="E359" t="s">
        <v>512</v>
      </c>
      <c r="F359">
        <v>25</v>
      </c>
      <c r="G359" t="s">
        <v>55</v>
      </c>
      <c r="H359" t="s">
        <v>79</v>
      </c>
      <c r="I359" t="s">
        <v>371</v>
      </c>
      <c r="J359" t="s">
        <v>133</v>
      </c>
      <c r="K359" t="s">
        <v>116</v>
      </c>
      <c r="L359" t="s">
        <v>359</v>
      </c>
      <c r="M359" t="s">
        <v>116</v>
      </c>
      <c r="N359" t="s">
        <v>117</v>
      </c>
      <c r="O359" t="s">
        <v>117</v>
      </c>
      <c r="P359">
        <v>3</v>
      </c>
      <c r="Q359" s="7">
        <v>46213</v>
      </c>
      <c r="R359" s="7">
        <v>46214</v>
      </c>
      <c r="S359" s="7">
        <v>46214</v>
      </c>
      <c r="T359" t="s">
        <v>117</v>
      </c>
      <c r="V359" t="s">
        <v>360</v>
      </c>
      <c r="W359" t="s">
        <v>117</v>
      </c>
      <c r="X359" t="s">
        <v>117</v>
      </c>
      <c r="Y359" t="s">
        <v>117</v>
      </c>
      <c r="Z359" t="s">
        <v>117</v>
      </c>
      <c r="AF359">
        <v>2</v>
      </c>
      <c r="AH359" t="s">
        <v>75</v>
      </c>
      <c r="AI359">
        <v>1</v>
      </c>
      <c r="AJ359" s="9"/>
      <c r="AN359" t="s">
        <v>45</v>
      </c>
      <c r="AO359" t="s">
        <v>86</v>
      </c>
      <c r="AP359"/>
      <c r="AQ359" t="s">
        <v>74</v>
      </c>
      <c r="AR359" s="18" t="str">
        <f>IFERROR(VLOOKUP(K359,[1]POP!$F:$J,1,0),M359)</f>
        <v>MAKARY</v>
      </c>
      <c r="AS359" s="18" t="str">
        <f t="shared" si="26"/>
        <v>NGOUMA</v>
      </c>
      <c r="AT359" s="19">
        <f t="shared" si="29"/>
        <v>2</v>
      </c>
      <c r="AU359" s="19">
        <f t="shared" ca="1" si="28"/>
        <v>2</v>
      </c>
    </row>
    <row r="360" spans="1:47" x14ac:dyDescent="0.3">
      <c r="A360" t="s">
        <v>537</v>
      </c>
      <c r="B360" t="str">
        <f t="shared" si="25"/>
        <v>S28_2026</v>
      </c>
      <c r="C360" t="str">
        <f t="shared" si="27"/>
        <v>S28_2026</v>
      </c>
      <c r="F360">
        <v>10</v>
      </c>
      <c r="G360" t="s">
        <v>55</v>
      </c>
      <c r="H360" t="s">
        <v>111</v>
      </c>
      <c r="I360" t="s">
        <v>371</v>
      </c>
      <c r="J360" t="s">
        <v>133</v>
      </c>
      <c r="K360" t="s">
        <v>116</v>
      </c>
      <c r="L360" t="s">
        <v>359</v>
      </c>
      <c r="M360" t="s">
        <v>116</v>
      </c>
      <c r="N360" t="s">
        <v>117</v>
      </c>
      <c r="O360" t="s">
        <v>117</v>
      </c>
      <c r="P360">
        <v>3</v>
      </c>
      <c r="Q360" s="7">
        <v>46211</v>
      </c>
      <c r="R360" s="7">
        <v>46211</v>
      </c>
      <c r="S360" s="7">
        <v>46212</v>
      </c>
      <c r="T360" t="s">
        <v>117</v>
      </c>
      <c r="V360" t="s">
        <v>360</v>
      </c>
      <c r="W360" t="s">
        <v>117</v>
      </c>
      <c r="X360" t="s">
        <v>117</v>
      </c>
      <c r="Y360" t="s">
        <v>117</v>
      </c>
      <c r="Z360" t="s">
        <v>117</v>
      </c>
      <c r="AA360" s="7">
        <v>46212</v>
      </c>
      <c r="AC360" t="s">
        <v>45</v>
      </c>
      <c r="AD360" t="s">
        <v>48</v>
      </c>
      <c r="AF360">
        <v>2</v>
      </c>
      <c r="AH360" t="s">
        <v>75</v>
      </c>
      <c r="AI360">
        <v>1</v>
      </c>
      <c r="AJ360" s="9"/>
      <c r="AN360"/>
      <c r="AO360"/>
      <c r="AP360">
        <v>12</v>
      </c>
      <c r="AQ360"/>
      <c r="AR360" s="18" t="str">
        <f>IFERROR(VLOOKUP(K360,[1]POP!$F:$J,1,0),M360)</f>
        <v>MAKARY</v>
      </c>
      <c r="AS360" s="18" t="str">
        <f t="shared" si="26"/>
        <v>NGOUMA</v>
      </c>
      <c r="AT360" s="19">
        <f t="shared" si="29"/>
        <v>2</v>
      </c>
      <c r="AU360" s="19">
        <f t="shared" ca="1" si="28"/>
        <v>2</v>
      </c>
    </row>
    <row r="361" spans="1:47" x14ac:dyDescent="0.3">
      <c r="A361" t="s">
        <v>538</v>
      </c>
      <c r="B361" t="str">
        <f t="shared" si="25"/>
        <v>S28_2026</v>
      </c>
      <c r="C361" t="str">
        <f t="shared" si="27"/>
        <v>S28_2026</v>
      </c>
      <c r="E361" t="s">
        <v>539</v>
      </c>
      <c r="F361">
        <v>35</v>
      </c>
      <c r="G361" t="s">
        <v>55</v>
      </c>
      <c r="H361" t="s">
        <v>70</v>
      </c>
      <c r="I361" t="s">
        <v>371</v>
      </c>
      <c r="J361" t="s">
        <v>133</v>
      </c>
      <c r="K361" t="s">
        <v>116</v>
      </c>
      <c r="L361" t="s">
        <v>133</v>
      </c>
      <c r="M361" t="s">
        <v>116</v>
      </c>
      <c r="N361" t="s">
        <v>45</v>
      </c>
      <c r="O361" t="s">
        <v>45</v>
      </c>
      <c r="P361">
        <v>3</v>
      </c>
      <c r="Q361" s="7">
        <v>46215</v>
      </c>
      <c r="R361" s="7">
        <v>46215</v>
      </c>
      <c r="S361" s="7">
        <v>46215</v>
      </c>
      <c r="T361" t="s">
        <v>45</v>
      </c>
      <c r="V361" t="s">
        <v>360</v>
      </c>
      <c r="W361" t="s">
        <v>45</v>
      </c>
      <c r="X361" t="s">
        <v>45</v>
      </c>
      <c r="Y361" t="s">
        <v>45</v>
      </c>
      <c r="Z361" t="s">
        <v>45</v>
      </c>
      <c r="AF361">
        <v>2</v>
      </c>
      <c r="AH361" t="s">
        <v>75</v>
      </c>
      <c r="AI361">
        <v>1</v>
      </c>
      <c r="AJ361" s="9"/>
      <c r="AK361" t="s">
        <v>74</v>
      </c>
      <c r="AN361" t="s">
        <v>2748</v>
      </c>
      <c r="AO361" t="s">
        <v>45</v>
      </c>
      <c r="AP361"/>
      <c r="AQ361" t="s">
        <v>45</v>
      </c>
      <c r="AR361" s="18" t="str">
        <f>IFERROR(VLOOKUP(K361,[1]POP!$F:$J,1,0),M361)</f>
        <v>MAKARY</v>
      </c>
      <c r="AS361" s="18" t="str">
        <f t="shared" si="26"/>
        <v>NGOUMA</v>
      </c>
      <c r="AT361" s="19">
        <f t="shared" si="29"/>
        <v>2</v>
      </c>
      <c r="AU361" s="19">
        <f t="shared" ca="1" si="28"/>
        <v>2</v>
      </c>
    </row>
    <row r="362" spans="1:47" x14ac:dyDescent="0.3">
      <c r="A362" t="s">
        <v>540</v>
      </c>
      <c r="B362" t="str">
        <f t="shared" si="25"/>
        <v>S28_2026</v>
      </c>
      <c r="C362" t="str">
        <f t="shared" si="27"/>
        <v>S28_2026</v>
      </c>
      <c r="E362" t="s">
        <v>539</v>
      </c>
      <c r="F362">
        <v>15</v>
      </c>
      <c r="G362" t="s">
        <v>55</v>
      </c>
      <c r="H362" t="s">
        <v>70</v>
      </c>
      <c r="I362" t="s">
        <v>371</v>
      </c>
      <c r="J362" t="s">
        <v>133</v>
      </c>
      <c r="K362" t="s">
        <v>116</v>
      </c>
      <c r="L362" t="s">
        <v>133</v>
      </c>
      <c r="M362" t="s">
        <v>116</v>
      </c>
      <c r="N362" t="s">
        <v>45</v>
      </c>
      <c r="O362" t="s">
        <v>45</v>
      </c>
      <c r="P362">
        <v>3</v>
      </c>
      <c r="Q362" s="7">
        <v>46215</v>
      </c>
      <c r="R362" s="7">
        <v>46215</v>
      </c>
      <c r="S362" s="7">
        <v>46215</v>
      </c>
      <c r="T362" t="s">
        <v>45</v>
      </c>
      <c r="V362" t="s">
        <v>360</v>
      </c>
      <c r="W362" t="s">
        <v>45</v>
      </c>
      <c r="X362" t="s">
        <v>45</v>
      </c>
      <c r="Y362" t="s">
        <v>45</v>
      </c>
      <c r="Z362" t="s">
        <v>45</v>
      </c>
      <c r="AA362" s="7">
        <v>46215</v>
      </c>
      <c r="AB362" t="s">
        <v>48</v>
      </c>
      <c r="AC362" t="s">
        <v>45</v>
      </c>
      <c r="AD362" t="s">
        <v>48</v>
      </c>
      <c r="AF362">
        <v>2</v>
      </c>
      <c r="AH362" t="s">
        <v>75</v>
      </c>
      <c r="AI362">
        <v>1</v>
      </c>
      <c r="AJ362" s="14"/>
      <c r="AK362" t="s">
        <v>74</v>
      </c>
      <c r="AN362"/>
      <c r="AO362"/>
      <c r="AP362">
        <v>13</v>
      </c>
      <c r="AQ362"/>
      <c r="AR362" s="18" t="str">
        <f>IFERROR(VLOOKUP(K362,[1]POP!$F:$J,1,0),M362)</f>
        <v>MAKARY</v>
      </c>
      <c r="AS362" s="18" t="str">
        <f t="shared" si="26"/>
        <v>NGOUMA</v>
      </c>
      <c r="AT362" s="19">
        <f t="shared" si="29"/>
        <v>2</v>
      </c>
      <c r="AU362" s="19">
        <f t="shared" ca="1" si="28"/>
        <v>2</v>
      </c>
    </row>
    <row r="363" spans="1:47" x14ac:dyDescent="0.3">
      <c r="A363" t="s">
        <v>541</v>
      </c>
      <c r="B363" t="str">
        <f t="shared" si="25"/>
        <v>S28_2026</v>
      </c>
      <c r="C363" t="str">
        <f t="shared" si="27"/>
        <v>S28_2026</v>
      </c>
      <c r="E363" t="s">
        <v>539</v>
      </c>
      <c r="F363">
        <v>11</v>
      </c>
      <c r="G363" t="s">
        <v>55</v>
      </c>
      <c r="H363" t="s">
        <v>111</v>
      </c>
      <c r="I363" t="s">
        <v>371</v>
      </c>
      <c r="J363" t="s">
        <v>133</v>
      </c>
      <c r="K363" t="s">
        <v>116</v>
      </c>
      <c r="L363" t="s">
        <v>133</v>
      </c>
      <c r="M363" t="s">
        <v>116</v>
      </c>
      <c r="N363" t="s">
        <v>45</v>
      </c>
      <c r="O363" t="s">
        <v>45</v>
      </c>
      <c r="P363">
        <v>3</v>
      </c>
      <c r="Q363" s="7">
        <v>46215</v>
      </c>
      <c r="R363" s="7">
        <v>46215</v>
      </c>
      <c r="S363" s="7">
        <v>46215</v>
      </c>
      <c r="T363" t="s">
        <v>45</v>
      </c>
      <c r="V363" t="s">
        <v>360</v>
      </c>
      <c r="W363" t="s">
        <v>45</v>
      </c>
      <c r="X363" t="s">
        <v>45</v>
      </c>
      <c r="Y363" t="s">
        <v>45</v>
      </c>
      <c r="Z363" t="s">
        <v>45</v>
      </c>
      <c r="AA363" s="7">
        <v>46215</v>
      </c>
      <c r="AB363" t="s">
        <v>48</v>
      </c>
      <c r="AC363" t="s">
        <v>45</v>
      </c>
      <c r="AD363" t="s">
        <v>48</v>
      </c>
      <c r="AF363">
        <v>2</v>
      </c>
      <c r="AH363" t="s">
        <v>75</v>
      </c>
      <c r="AI363">
        <v>1</v>
      </c>
      <c r="AJ363" s="14"/>
      <c r="AK363" t="s">
        <v>74</v>
      </c>
      <c r="AN363" t="s">
        <v>2748</v>
      </c>
      <c r="AO363" t="s">
        <v>45</v>
      </c>
      <c r="AP363">
        <v>12</v>
      </c>
      <c r="AQ363" t="s">
        <v>74</v>
      </c>
      <c r="AR363" s="18" t="str">
        <f>IFERROR(VLOOKUP(K363,[1]POP!$F:$J,1,0),M363)</f>
        <v>MAKARY</v>
      </c>
      <c r="AS363" s="18" t="str">
        <f t="shared" si="26"/>
        <v>NGOUMA</v>
      </c>
      <c r="AT363" s="19">
        <f t="shared" si="29"/>
        <v>2</v>
      </c>
      <c r="AU363" s="19">
        <f t="shared" ca="1" si="28"/>
        <v>2</v>
      </c>
    </row>
    <row r="364" spans="1:47" x14ac:dyDescent="0.3">
      <c r="A364" t="s">
        <v>542</v>
      </c>
      <c r="B364" t="str">
        <f t="shared" si="25"/>
        <v>S28_2026</v>
      </c>
      <c r="C364" t="str">
        <f t="shared" si="27"/>
        <v>S28_2026</v>
      </c>
      <c r="E364" t="s">
        <v>539</v>
      </c>
      <c r="F364">
        <v>2</v>
      </c>
      <c r="G364" t="s">
        <v>55</v>
      </c>
      <c r="H364" t="s">
        <v>111</v>
      </c>
      <c r="I364" t="s">
        <v>371</v>
      </c>
      <c r="J364" t="s">
        <v>133</v>
      </c>
      <c r="K364" t="s">
        <v>116</v>
      </c>
      <c r="L364" t="s">
        <v>133</v>
      </c>
      <c r="M364" t="s">
        <v>116</v>
      </c>
      <c r="N364" t="s">
        <v>45</v>
      </c>
      <c r="O364" t="s">
        <v>45</v>
      </c>
      <c r="P364">
        <v>3</v>
      </c>
      <c r="Q364" s="7">
        <v>46215</v>
      </c>
      <c r="R364" s="7">
        <v>46215</v>
      </c>
      <c r="S364" s="7">
        <v>46215</v>
      </c>
      <c r="T364" t="s">
        <v>45</v>
      </c>
      <c r="V364" t="s">
        <v>360</v>
      </c>
      <c r="W364" t="s">
        <v>45</v>
      </c>
      <c r="X364" t="s">
        <v>45</v>
      </c>
      <c r="Y364" t="s">
        <v>45</v>
      </c>
      <c r="Z364" t="s">
        <v>45</v>
      </c>
      <c r="AA364" s="7">
        <v>46215</v>
      </c>
      <c r="AB364" t="s">
        <v>48</v>
      </c>
      <c r="AC364" t="s">
        <v>45</v>
      </c>
      <c r="AD364" t="s">
        <v>48</v>
      </c>
      <c r="AF364">
        <v>2</v>
      </c>
      <c r="AH364" t="s">
        <v>75</v>
      </c>
      <c r="AI364">
        <v>1</v>
      </c>
      <c r="AJ364" s="14"/>
      <c r="AK364" t="s">
        <v>74</v>
      </c>
      <c r="AN364"/>
      <c r="AO364"/>
      <c r="AP364">
        <v>7</v>
      </c>
      <c r="AQ364" t="s">
        <v>74</v>
      </c>
      <c r="AR364" s="18" t="str">
        <f>IFERROR(VLOOKUP(K364,[1]POP!$F:$J,1,0),M364)</f>
        <v>MAKARY</v>
      </c>
      <c r="AS364" s="18" t="str">
        <f t="shared" si="26"/>
        <v>NGOUMA</v>
      </c>
      <c r="AT364" s="19">
        <f t="shared" si="29"/>
        <v>2</v>
      </c>
      <c r="AU364" s="19">
        <f t="shared" ca="1" si="28"/>
        <v>2</v>
      </c>
    </row>
    <row r="365" spans="1:47" x14ac:dyDescent="0.3">
      <c r="A365" t="s">
        <v>543</v>
      </c>
      <c r="B365" t="str">
        <f t="shared" si="25"/>
        <v>S28_2026</v>
      </c>
      <c r="C365" t="str">
        <f t="shared" si="27"/>
        <v>S28_2026</v>
      </c>
      <c r="E365" t="s">
        <v>539</v>
      </c>
      <c r="F365">
        <v>1</v>
      </c>
      <c r="G365" t="s">
        <v>55</v>
      </c>
      <c r="H365" t="s">
        <v>111</v>
      </c>
      <c r="I365" t="s">
        <v>371</v>
      </c>
      <c r="J365" t="s">
        <v>133</v>
      </c>
      <c r="K365" t="s">
        <v>116</v>
      </c>
      <c r="L365" t="s">
        <v>133</v>
      </c>
      <c r="M365" t="s">
        <v>116</v>
      </c>
      <c r="N365" t="s">
        <v>45</v>
      </c>
      <c r="O365" t="s">
        <v>45</v>
      </c>
      <c r="P365">
        <v>3</v>
      </c>
      <c r="Q365" s="7">
        <v>46215</v>
      </c>
      <c r="R365" s="7">
        <v>46215</v>
      </c>
      <c r="S365" s="7">
        <v>46215</v>
      </c>
      <c r="T365" t="s">
        <v>45</v>
      </c>
      <c r="V365" t="s">
        <v>360</v>
      </c>
      <c r="W365" t="s">
        <v>45</v>
      </c>
      <c r="X365" t="s">
        <v>45</v>
      </c>
      <c r="Y365" t="s">
        <v>45</v>
      </c>
      <c r="Z365" t="s">
        <v>45</v>
      </c>
      <c r="AF365">
        <v>2</v>
      </c>
      <c r="AH365" t="s">
        <v>75</v>
      </c>
      <c r="AI365">
        <v>1</v>
      </c>
      <c r="AJ365" s="14"/>
      <c r="AK365" t="s">
        <v>74</v>
      </c>
      <c r="AN365"/>
      <c r="AO365"/>
      <c r="AP365">
        <v>8</v>
      </c>
      <c r="AQ365" t="s">
        <v>74</v>
      </c>
      <c r="AR365" s="18" t="str">
        <f>IFERROR(VLOOKUP(K365,[1]POP!$F:$J,1,0),M365)</f>
        <v>MAKARY</v>
      </c>
      <c r="AS365" s="18" t="str">
        <f t="shared" si="26"/>
        <v>NGOUMA</v>
      </c>
      <c r="AT365" s="19">
        <f t="shared" si="29"/>
        <v>2</v>
      </c>
      <c r="AU365" s="19">
        <f t="shared" ca="1" si="28"/>
        <v>2</v>
      </c>
    </row>
    <row r="366" spans="1:47" x14ac:dyDescent="0.3">
      <c r="A366" t="s">
        <v>544</v>
      </c>
      <c r="B366" t="str">
        <f t="shared" si="25"/>
        <v>S28_2026</v>
      </c>
      <c r="C366" t="str">
        <f t="shared" si="27"/>
        <v>S28_2026</v>
      </c>
      <c r="E366" t="s">
        <v>539</v>
      </c>
      <c r="F366">
        <v>30</v>
      </c>
      <c r="G366" t="s">
        <v>40</v>
      </c>
      <c r="H366" t="s">
        <v>136</v>
      </c>
      <c r="I366" t="s">
        <v>371</v>
      </c>
      <c r="J366" t="s">
        <v>133</v>
      </c>
      <c r="K366" t="s">
        <v>116</v>
      </c>
      <c r="L366" t="s">
        <v>133</v>
      </c>
      <c r="M366" t="s">
        <v>116</v>
      </c>
      <c r="N366" t="s">
        <v>45</v>
      </c>
      <c r="O366" t="s">
        <v>45</v>
      </c>
      <c r="P366">
        <v>3</v>
      </c>
      <c r="Q366" s="7">
        <v>46214</v>
      </c>
      <c r="R366" s="7">
        <v>46214</v>
      </c>
      <c r="S366" s="7">
        <v>46215</v>
      </c>
      <c r="T366" t="s">
        <v>45</v>
      </c>
      <c r="V366" t="s">
        <v>360</v>
      </c>
      <c r="W366" t="s">
        <v>45</v>
      </c>
      <c r="X366" t="s">
        <v>45</v>
      </c>
      <c r="Y366" t="s">
        <v>45</v>
      </c>
      <c r="Z366" t="s">
        <v>45</v>
      </c>
      <c r="AF366">
        <v>2</v>
      </c>
      <c r="AH366" t="s">
        <v>75</v>
      </c>
      <c r="AI366">
        <v>1</v>
      </c>
      <c r="AJ366" s="14"/>
      <c r="AK366" t="s">
        <v>74</v>
      </c>
      <c r="AN366"/>
      <c r="AO366"/>
      <c r="AP366">
        <v>22</v>
      </c>
      <c r="AQ366" t="s">
        <v>45</v>
      </c>
      <c r="AR366" s="18" t="str">
        <f>IFERROR(VLOOKUP(K366,[1]POP!$F:$J,1,0),M366)</f>
        <v>MAKARY</v>
      </c>
      <c r="AS366" s="18" t="str">
        <f t="shared" si="26"/>
        <v>NGOUMA</v>
      </c>
      <c r="AT366" s="19">
        <f t="shared" si="29"/>
        <v>2</v>
      </c>
      <c r="AU366" s="19">
        <f t="shared" ca="1" si="28"/>
        <v>2</v>
      </c>
    </row>
    <row r="367" spans="1:47" x14ac:dyDescent="0.3">
      <c r="A367" t="s">
        <v>545</v>
      </c>
      <c r="B367" t="str">
        <f t="shared" si="25"/>
        <v>S28_2026</v>
      </c>
      <c r="C367" t="str">
        <f t="shared" si="27"/>
        <v>S28_2026</v>
      </c>
      <c r="E367" t="s">
        <v>539</v>
      </c>
      <c r="F367">
        <v>26</v>
      </c>
      <c r="G367" t="s">
        <v>40</v>
      </c>
      <c r="H367" t="s">
        <v>136</v>
      </c>
      <c r="I367" t="s">
        <v>371</v>
      </c>
      <c r="J367" t="s">
        <v>133</v>
      </c>
      <c r="K367" t="s">
        <v>116</v>
      </c>
      <c r="L367" t="s">
        <v>133</v>
      </c>
      <c r="M367" t="s">
        <v>116</v>
      </c>
      <c r="N367" t="s">
        <v>45</v>
      </c>
      <c r="O367" t="s">
        <v>45</v>
      </c>
      <c r="P367">
        <v>3</v>
      </c>
      <c r="Q367" s="7">
        <v>46214</v>
      </c>
      <c r="R367" s="7">
        <v>46214</v>
      </c>
      <c r="S367" s="7">
        <v>46215</v>
      </c>
      <c r="T367" t="s">
        <v>45</v>
      </c>
      <c r="V367" t="s">
        <v>360</v>
      </c>
      <c r="W367" t="s">
        <v>45</v>
      </c>
      <c r="X367" t="s">
        <v>45</v>
      </c>
      <c r="Y367" t="s">
        <v>45</v>
      </c>
      <c r="Z367" t="s">
        <v>45</v>
      </c>
      <c r="AF367">
        <v>2</v>
      </c>
      <c r="AH367" t="s">
        <v>75</v>
      </c>
      <c r="AI367">
        <v>1</v>
      </c>
      <c r="AJ367" s="14"/>
      <c r="AK367" t="s">
        <v>74</v>
      </c>
      <c r="AL367" t="s">
        <v>62</v>
      </c>
      <c r="AN367"/>
      <c r="AO367"/>
      <c r="AP367">
        <v>8</v>
      </c>
      <c r="AQ367"/>
      <c r="AR367" s="18" t="str">
        <f>IFERROR(VLOOKUP(K367,[1]POP!$F:$J,1,0),M367)</f>
        <v>MAKARY</v>
      </c>
      <c r="AS367" s="18" t="str">
        <f t="shared" si="26"/>
        <v>NGOUMA</v>
      </c>
      <c r="AT367" s="19">
        <f t="shared" si="29"/>
        <v>2</v>
      </c>
      <c r="AU367" s="19">
        <f t="shared" ca="1" si="28"/>
        <v>2</v>
      </c>
    </row>
    <row r="368" spans="1:47" x14ac:dyDescent="0.3">
      <c r="A368" t="s">
        <v>546</v>
      </c>
      <c r="B368" t="str">
        <f t="shared" si="25"/>
        <v>S28_2026</v>
      </c>
      <c r="C368" t="str">
        <f t="shared" si="27"/>
        <v>S28_2026</v>
      </c>
      <c r="E368" t="s">
        <v>539</v>
      </c>
      <c r="F368">
        <v>20</v>
      </c>
      <c r="G368" t="s">
        <v>40</v>
      </c>
      <c r="H368" t="s">
        <v>136</v>
      </c>
      <c r="I368" t="s">
        <v>371</v>
      </c>
      <c r="J368" t="s">
        <v>133</v>
      </c>
      <c r="K368" t="s">
        <v>116</v>
      </c>
      <c r="L368" t="s">
        <v>133</v>
      </c>
      <c r="M368" t="s">
        <v>116</v>
      </c>
      <c r="N368" t="s">
        <v>45</v>
      </c>
      <c r="O368" t="s">
        <v>45</v>
      </c>
      <c r="P368">
        <v>3</v>
      </c>
      <c r="Q368" s="7">
        <v>46214</v>
      </c>
      <c r="R368" s="7">
        <v>46214</v>
      </c>
      <c r="S368" s="7">
        <v>46215</v>
      </c>
      <c r="T368" t="s">
        <v>45</v>
      </c>
      <c r="V368" t="s">
        <v>360</v>
      </c>
      <c r="W368" t="s">
        <v>45</v>
      </c>
      <c r="X368" t="s">
        <v>45</v>
      </c>
      <c r="Y368" t="s">
        <v>45</v>
      </c>
      <c r="Z368" t="s">
        <v>45</v>
      </c>
      <c r="AA368" s="7">
        <v>46215</v>
      </c>
      <c r="AB368" t="s">
        <v>48</v>
      </c>
      <c r="AC368" t="s">
        <v>45</v>
      </c>
      <c r="AD368" t="s">
        <v>62</v>
      </c>
      <c r="AF368">
        <v>2</v>
      </c>
      <c r="AH368" t="s">
        <v>75</v>
      </c>
      <c r="AI368">
        <v>1</v>
      </c>
      <c r="AJ368" s="14"/>
      <c r="AK368" t="s">
        <v>74</v>
      </c>
      <c r="AN368"/>
      <c r="AO368"/>
      <c r="AP368">
        <v>7</v>
      </c>
      <c r="AQ368"/>
      <c r="AR368" s="18" t="str">
        <f>IFERROR(VLOOKUP(K368,[1]POP!$F:$J,1,0),M368)</f>
        <v>MAKARY</v>
      </c>
      <c r="AS368" s="18" t="str">
        <f t="shared" si="26"/>
        <v>NGOUMA</v>
      </c>
      <c r="AT368" s="19">
        <f t="shared" si="29"/>
        <v>2</v>
      </c>
      <c r="AU368" s="19">
        <f t="shared" ca="1" si="28"/>
        <v>2</v>
      </c>
    </row>
    <row r="369" spans="1:47" x14ac:dyDescent="0.3">
      <c r="A369" t="s">
        <v>547</v>
      </c>
      <c r="B369" t="str">
        <f t="shared" si="25"/>
        <v>S28_2026</v>
      </c>
      <c r="C369" t="str">
        <f t="shared" si="27"/>
        <v>S28_2026</v>
      </c>
      <c r="E369" t="s">
        <v>539</v>
      </c>
      <c r="F369">
        <v>26</v>
      </c>
      <c r="G369" t="s">
        <v>55</v>
      </c>
      <c r="H369" t="s">
        <v>70</v>
      </c>
      <c r="I369" t="s">
        <v>371</v>
      </c>
      <c r="J369" t="s">
        <v>133</v>
      </c>
      <c r="K369" t="s">
        <v>116</v>
      </c>
      <c r="L369" t="s">
        <v>133</v>
      </c>
      <c r="M369" t="s">
        <v>116</v>
      </c>
      <c r="N369" t="s">
        <v>45</v>
      </c>
      <c r="O369" t="s">
        <v>45</v>
      </c>
      <c r="P369">
        <v>3</v>
      </c>
      <c r="Q369" s="7">
        <v>46215</v>
      </c>
      <c r="R369" s="7">
        <v>46215</v>
      </c>
      <c r="S369" s="7">
        <v>46215</v>
      </c>
      <c r="T369" t="s">
        <v>45</v>
      </c>
      <c r="V369" t="s">
        <v>360</v>
      </c>
      <c r="W369" t="s">
        <v>45</v>
      </c>
      <c r="X369" t="s">
        <v>45</v>
      </c>
      <c r="Y369" t="s">
        <v>45</v>
      </c>
      <c r="Z369" t="s">
        <v>45</v>
      </c>
      <c r="AF369">
        <v>2</v>
      </c>
      <c r="AH369" t="s">
        <v>75</v>
      </c>
      <c r="AI369">
        <v>1</v>
      </c>
      <c r="AJ369" s="14"/>
      <c r="AK369" t="s">
        <v>74</v>
      </c>
      <c r="AN369"/>
      <c r="AO369"/>
      <c r="AP369">
        <v>8</v>
      </c>
      <c r="AQ369"/>
      <c r="AR369" s="18" t="str">
        <f>IFERROR(VLOOKUP(K369,[1]POP!$F:$J,1,0),M369)</f>
        <v>MAKARY</v>
      </c>
      <c r="AS369" s="18" t="str">
        <f t="shared" si="26"/>
        <v>NGOUMA</v>
      </c>
      <c r="AT369" s="19">
        <f t="shared" si="29"/>
        <v>2</v>
      </c>
      <c r="AU369" s="19">
        <f t="shared" ca="1" si="28"/>
        <v>2</v>
      </c>
    </row>
    <row r="370" spans="1:47" x14ac:dyDescent="0.3">
      <c r="A370" t="s">
        <v>548</v>
      </c>
      <c r="B370" t="str">
        <f t="shared" si="25"/>
        <v>S28_2026</v>
      </c>
      <c r="C370" t="str">
        <f t="shared" si="27"/>
        <v>S28_2026</v>
      </c>
      <c r="F370">
        <v>21</v>
      </c>
      <c r="G370" t="s">
        <v>55</v>
      </c>
      <c r="H370" t="s">
        <v>457</v>
      </c>
      <c r="I370" t="s">
        <v>458</v>
      </c>
      <c r="J370" t="s">
        <v>459</v>
      </c>
      <c r="K370" t="s">
        <v>460</v>
      </c>
      <c r="L370" t="s">
        <v>459</v>
      </c>
      <c r="M370" t="s">
        <v>460</v>
      </c>
      <c r="N370" t="s">
        <v>45</v>
      </c>
      <c r="O370" t="s">
        <v>74</v>
      </c>
      <c r="P370">
        <v>2</v>
      </c>
      <c r="Q370" s="7">
        <v>46210</v>
      </c>
      <c r="R370" s="7">
        <v>46211</v>
      </c>
      <c r="S370" s="7">
        <v>46211</v>
      </c>
      <c r="T370" t="s">
        <v>117</v>
      </c>
      <c r="V370" t="s">
        <v>462</v>
      </c>
      <c r="W370" t="s">
        <v>45</v>
      </c>
      <c r="X370" t="s">
        <v>45</v>
      </c>
      <c r="Y370" t="s">
        <v>45</v>
      </c>
      <c r="Z370" t="s">
        <v>45</v>
      </c>
      <c r="AA370" s="7">
        <v>46212</v>
      </c>
      <c r="AB370" t="s">
        <v>62</v>
      </c>
      <c r="AC370" t="s">
        <v>74</v>
      </c>
      <c r="AF370">
        <v>2</v>
      </c>
      <c r="AH370" t="s">
        <v>75</v>
      </c>
      <c r="AI370">
        <v>1</v>
      </c>
      <c r="AJ370" s="14"/>
      <c r="AK370" t="s">
        <v>86</v>
      </c>
      <c r="AL370" t="s">
        <v>549</v>
      </c>
      <c r="AN370"/>
      <c r="AO370"/>
      <c r="AP370"/>
      <c r="AQ370"/>
      <c r="AR370" s="18" t="str">
        <f>IFERROR(VLOOKUP(K370,[1]POP!$F:$J,1,0),M370)</f>
        <v>KOUSSERI</v>
      </c>
      <c r="AS370" s="18" t="str">
        <f t="shared" si="26"/>
        <v>PAGUI</v>
      </c>
      <c r="AT370" s="19">
        <f t="shared" si="29"/>
        <v>2</v>
      </c>
      <c r="AU370" s="19">
        <f t="shared" ca="1" si="28"/>
        <v>2</v>
      </c>
    </row>
    <row r="371" spans="1:47" x14ac:dyDescent="0.3">
      <c r="A371" t="s">
        <v>550</v>
      </c>
      <c r="B371" t="str">
        <f t="shared" si="25"/>
        <v>S28_2026</v>
      </c>
      <c r="C371" t="str">
        <f t="shared" si="27"/>
        <v>S28_2026</v>
      </c>
      <c r="E371">
        <v>658004686</v>
      </c>
      <c r="F371">
        <v>60</v>
      </c>
      <c r="G371" t="s">
        <v>40</v>
      </c>
      <c r="H371" t="s">
        <v>77</v>
      </c>
      <c r="I371" t="s">
        <v>458</v>
      </c>
      <c r="J371" t="s">
        <v>459</v>
      </c>
      <c r="K371" t="s">
        <v>460</v>
      </c>
      <c r="L371" t="s">
        <v>459</v>
      </c>
      <c r="M371" t="s">
        <v>460</v>
      </c>
      <c r="N371" t="s">
        <v>45</v>
      </c>
      <c r="O371" t="s">
        <v>74</v>
      </c>
      <c r="P371">
        <v>2</v>
      </c>
      <c r="Q371" s="7">
        <v>46211</v>
      </c>
      <c r="R371" s="7">
        <v>46211</v>
      </c>
      <c r="S371" s="7">
        <v>46211</v>
      </c>
      <c r="T371" t="s">
        <v>117</v>
      </c>
      <c r="V371" t="s">
        <v>462</v>
      </c>
      <c r="W371" t="s">
        <v>45</v>
      </c>
      <c r="X371" t="s">
        <v>45</v>
      </c>
      <c r="Y371" t="s">
        <v>45</v>
      </c>
      <c r="Z371" t="s">
        <v>45</v>
      </c>
      <c r="AA371" s="7">
        <v>46212</v>
      </c>
      <c r="AB371" t="s">
        <v>48</v>
      </c>
      <c r="AC371" t="s">
        <v>74</v>
      </c>
      <c r="AF371">
        <v>2</v>
      </c>
      <c r="AH371" t="s">
        <v>75</v>
      </c>
      <c r="AI371">
        <v>1</v>
      </c>
      <c r="AJ371" s="14"/>
      <c r="AK371" t="s">
        <v>86</v>
      </c>
      <c r="AN371"/>
      <c r="AO371"/>
      <c r="AP371"/>
      <c r="AQ371"/>
      <c r="AR371" s="18" t="str">
        <f>IFERROR(VLOOKUP(K371,[1]POP!$F:$J,1,0),M371)</f>
        <v>KOUSSERI</v>
      </c>
      <c r="AS371" s="18" t="str">
        <f t="shared" si="26"/>
        <v>PAGUI</v>
      </c>
      <c r="AT371" s="19">
        <f t="shared" si="29"/>
        <v>2</v>
      </c>
      <c r="AU371" s="19">
        <f t="shared" ca="1" si="28"/>
        <v>2</v>
      </c>
    </row>
    <row r="372" spans="1:47" x14ac:dyDescent="0.3">
      <c r="A372" t="s">
        <v>551</v>
      </c>
      <c r="B372" t="str">
        <f t="shared" si="25"/>
        <v>S28_2026</v>
      </c>
      <c r="C372" t="str">
        <f t="shared" si="27"/>
        <v>S28_2026</v>
      </c>
      <c r="F372">
        <v>22</v>
      </c>
      <c r="G372" t="s">
        <v>55</v>
      </c>
      <c r="H372" t="s">
        <v>77</v>
      </c>
      <c r="I372" t="s">
        <v>458</v>
      </c>
      <c r="J372" t="s">
        <v>459</v>
      </c>
      <c r="K372" t="s">
        <v>460</v>
      </c>
      <c r="L372" t="s">
        <v>459</v>
      </c>
      <c r="M372" t="s">
        <v>460</v>
      </c>
      <c r="N372" t="s">
        <v>45</v>
      </c>
      <c r="O372" t="s">
        <v>74</v>
      </c>
      <c r="P372">
        <v>2</v>
      </c>
      <c r="Q372" s="7">
        <v>46211</v>
      </c>
      <c r="R372" s="7">
        <v>46211</v>
      </c>
      <c r="S372" s="7">
        <v>46211</v>
      </c>
      <c r="T372" t="s">
        <v>117</v>
      </c>
      <c r="V372" t="s">
        <v>462</v>
      </c>
      <c r="W372" t="s">
        <v>45</v>
      </c>
      <c r="X372" t="s">
        <v>45</v>
      </c>
      <c r="Y372" t="s">
        <v>45</v>
      </c>
      <c r="Z372" t="s">
        <v>45</v>
      </c>
      <c r="AA372" s="7">
        <v>46212</v>
      </c>
      <c r="AB372" t="s">
        <v>48</v>
      </c>
      <c r="AC372" t="s">
        <v>74</v>
      </c>
      <c r="AF372">
        <v>2</v>
      </c>
      <c r="AH372" t="s">
        <v>75</v>
      </c>
      <c r="AI372">
        <v>1</v>
      </c>
      <c r="AJ372" s="14"/>
      <c r="AK372" t="s">
        <v>86</v>
      </c>
      <c r="AN372"/>
      <c r="AO372"/>
      <c r="AP372"/>
      <c r="AQ372"/>
      <c r="AR372" s="18" t="str">
        <f>IFERROR(VLOOKUP(K372,[1]POP!$F:$J,1,0),M372)</f>
        <v>KOUSSERI</v>
      </c>
      <c r="AS372" s="18" t="str">
        <f t="shared" si="26"/>
        <v>PAGUI</v>
      </c>
      <c r="AT372" s="19">
        <f t="shared" si="29"/>
        <v>2</v>
      </c>
      <c r="AU372" s="19">
        <f t="shared" ca="1" si="28"/>
        <v>2</v>
      </c>
    </row>
    <row r="373" spans="1:47" x14ac:dyDescent="0.3">
      <c r="A373" t="s">
        <v>552</v>
      </c>
      <c r="B373" t="str">
        <f t="shared" si="25"/>
        <v>S28_2026</v>
      </c>
      <c r="C373" t="str">
        <f t="shared" si="27"/>
        <v>S28_2026</v>
      </c>
      <c r="E373">
        <v>698988015</v>
      </c>
      <c r="F373">
        <v>27</v>
      </c>
      <c r="G373" t="s">
        <v>55</v>
      </c>
      <c r="H373" t="s">
        <v>79</v>
      </c>
      <c r="I373" t="s">
        <v>553</v>
      </c>
      <c r="J373" t="s">
        <v>459</v>
      </c>
      <c r="K373" t="s">
        <v>460</v>
      </c>
      <c r="L373" t="s">
        <v>459</v>
      </c>
      <c r="M373" t="s">
        <v>460</v>
      </c>
      <c r="N373" t="s">
        <v>45</v>
      </c>
      <c r="O373" t="s">
        <v>45</v>
      </c>
      <c r="P373">
        <v>2</v>
      </c>
      <c r="Q373" s="7">
        <v>46212</v>
      </c>
      <c r="R373" s="7">
        <v>46212</v>
      </c>
      <c r="S373" s="7">
        <v>46213</v>
      </c>
      <c r="T373" t="s">
        <v>117</v>
      </c>
      <c r="V373" t="s">
        <v>462</v>
      </c>
      <c r="W373" t="s">
        <v>45</v>
      </c>
      <c r="X373" t="s">
        <v>45</v>
      </c>
      <c r="Y373" t="s">
        <v>45</v>
      </c>
      <c r="Z373" t="s">
        <v>45</v>
      </c>
      <c r="AA373" s="7">
        <v>46213</v>
      </c>
      <c r="AB373" t="s">
        <v>62</v>
      </c>
      <c r="AC373" t="s">
        <v>74</v>
      </c>
      <c r="AE373" s="7">
        <v>46214</v>
      </c>
      <c r="AF373">
        <v>2</v>
      </c>
      <c r="AH373" t="s">
        <v>75</v>
      </c>
      <c r="AI373">
        <v>1</v>
      </c>
      <c r="AJ373" s="14"/>
      <c r="AK373" t="s">
        <v>86</v>
      </c>
      <c r="AN373"/>
      <c r="AO373"/>
      <c r="AP373"/>
      <c r="AQ373"/>
      <c r="AR373" s="18" t="str">
        <f>IFERROR(VLOOKUP(K373,[1]POP!$F:$J,1,0),M373)</f>
        <v>KOUSSERI</v>
      </c>
      <c r="AS373" s="18" t="str">
        <f t="shared" si="26"/>
        <v>PAGUI</v>
      </c>
      <c r="AT373" s="19">
        <f t="shared" si="29"/>
        <v>2</v>
      </c>
      <c r="AU373" s="19">
        <f t="shared" ca="1" si="28"/>
        <v>2</v>
      </c>
    </row>
    <row r="374" spans="1:47" x14ac:dyDescent="0.3">
      <c r="A374" t="s">
        <v>554</v>
      </c>
      <c r="B374" t="str">
        <f t="shared" si="25"/>
        <v>S28_2026</v>
      </c>
      <c r="C374" t="str">
        <f t="shared" si="27"/>
        <v>S28_2026</v>
      </c>
      <c r="E374">
        <v>658570022</v>
      </c>
      <c r="F374">
        <v>43</v>
      </c>
      <c r="G374" t="s">
        <v>40</v>
      </c>
      <c r="H374" t="s">
        <v>77</v>
      </c>
      <c r="I374" t="s">
        <v>553</v>
      </c>
      <c r="J374" t="s">
        <v>459</v>
      </c>
      <c r="K374" t="s">
        <v>460</v>
      </c>
      <c r="L374" t="s">
        <v>459</v>
      </c>
      <c r="M374" t="s">
        <v>460</v>
      </c>
      <c r="N374" t="s">
        <v>45</v>
      </c>
      <c r="O374" t="s">
        <v>45</v>
      </c>
      <c r="P374">
        <v>3</v>
      </c>
      <c r="Q374" s="7">
        <v>46212</v>
      </c>
      <c r="R374" s="7">
        <v>46212</v>
      </c>
      <c r="S374" s="7">
        <v>46213</v>
      </c>
      <c r="T374" t="s">
        <v>117</v>
      </c>
      <c r="V374" t="s">
        <v>462</v>
      </c>
      <c r="W374" t="s">
        <v>45</v>
      </c>
      <c r="X374" t="s">
        <v>45</v>
      </c>
      <c r="Y374" t="s">
        <v>45</v>
      </c>
      <c r="Z374" t="s">
        <v>45</v>
      </c>
      <c r="AA374" s="7">
        <v>46213</v>
      </c>
      <c r="AB374" t="s">
        <v>62</v>
      </c>
      <c r="AC374" t="s">
        <v>74</v>
      </c>
      <c r="AF374">
        <v>2</v>
      </c>
      <c r="AH374" t="s">
        <v>75</v>
      </c>
      <c r="AI374">
        <v>1</v>
      </c>
      <c r="AJ374" s="14"/>
      <c r="AK374" t="s">
        <v>86</v>
      </c>
      <c r="AN374"/>
      <c r="AO374"/>
      <c r="AP374"/>
      <c r="AQ374"/>
      <c r="AR374" s="18" t="str">
        <f>IFERROR(VLOOKUP(K374,[1]POP!$F:$J,1,0),M374)</f>
        <v>KOUSSERI</v>
      </c>
      <c r="AS374" s="18" t="str">
        <f t="shared" si="26"/>
        <v>PAGUI</v>
      </c>
      <c r="AT374" s="19">
        <f t="shared" si="29"/>
        <v>2</v>
      </c>
      <c r="AU374" s="19">
        <f t="shared" ca="1" si="28"/>
        <v>2</v>
      </c>
    </row>
    <row r="375" spans="1:47" x14ac:dyDescent="0.3">
      <c r="A375" t="s">
        <v>555</v>
      </c>
      <c r="B375" t="str">
        <f t="shared" si="25"/>
        <v>S28_2026</v>
      </c>
      <c r="C375" t="str">
        <f t="shared" si="27"/>
        <v>S28_2026</v>
      </c>
      <c r="F375">
        <v>2</v>
      </c>
      <c r="G375" t="s">
        <v>40</v>
      </c>
      <c r="H375" t="s">
        <v>85</v>
      </c>
      <c r="I375" t="s">
        <v>553</v>
      </c>
      <c r="J375" t="s">
        <v>459</v>
      </c>
      <c r="K375" t="s">
        <v>460</v>
      </c>
      <c r="L375" t="s">
        <v>459</v>
      </c>
      <c r="M375" t="s">
        <v>460</v>
      </c>
      <c r="N375" t="s">
        <v>45</v>
      </c>
      <c r="O375" t="s">
        <v>45</v>
      </c>
      <c r="P375">
        <v>3</v>
      </c>
      <c r="Q375" s="7">
        <v>46212</v>
      </c>
      <c r="R375" s="7">
        <v>46212</v>
      </c>
      <c r="S375" s="7">
        <v>46213</v>
      </c>
      <c r="T375" t="s">
        <v>117</v>
      </c>
      <c r="V375" t="s">
        <v>462</v>
      </c>
      <c r="W375" t="s">
        <v>74</v>
      </c>
      <c r="X375" t="s">
        <v>45</v>
      </c>
      <c r="Y375" t="s">
        <v>45</v>
      </c>
      <c r="Z375" t="s">
        <v>74</v>
      </c>
      <c r="AA375" s="7">
        <v>46213</v>
      </c>
      <c r="AB375" t="s">
        <v>48</v>
      </c>
      <c r="AC375" t="s">
        <v>74</v>
      </c>
      <c r="AF375">
        <v>2</v>
      </c>
      <c r="AH375" t="s">
        <v>75</v>
      </c>
      <c r="AI375">
        <v>1</v>
      </c>
      <c r="AJ375" s="14"/>
      <c r="AK375" t="s">
        <v>86</v>
      </c>
      <c r="AN375"/>
      <c r="AO375"/>
      <c r="AP375"/>
      <c r="AQ375"/>
      <c r="AR375" s="18" t="str">
        <f>IFERROR(VLOOKUP(K375,[1]POP!$F:$J,1,0),M375)</f>
        <v>KOUSSERI</v>
      </c>
      <c r="AS375" s="18" t="str">
        <f t="shared" si="26"/>
        <v>PAGUI</v>
      </c>
      <c r="AT375" s="19">
        <f t="shared" si="29"/>
        <v>2</v>
      </c>
      <c r="AU375" s="19">
        <f t="shared" ca="1" si="28"/>
        <v>2</v>
      </c>
    </row>
    <row r="376" spans="1:47" x14ac:dyDescent="0.3">
      <c r="A376" t="s">
        <v>556</v>
      </c>
      <c r="B376" t="str">
        <f t="shared" si="25"/>
        <v>S28_2026</v>
      </c>
      <c r="C376" t="str">
        <f t="shared" si="27"/>
        <v>S28_2026</v>
      </c>
      <c r="E376">
        <v>695248480</v>
      </c>
      <c r="F376">
        <v>40</v>
      </c>
      <c r="G376" t="s">
        <v>40</v>
      </c>
      <c r="H376" t="s">
        <v>77</v>
      </c>
      <c r="I376" t="s">
        <v>553</v>
      </c>
      <c r="J376" t="s">
        <v>459</v>
      </c>
      <c r="K376" t="s">
        <v>460</v>
      </c>
      <c r="L376" t="s">
        <v>459</v>
      </c>
      <c r="M376" t="s">
        <v>460</v>
      </c>
      <c r="N376" t="s">
        <v>45</v>
      </c>
      <c r="O376" t="s">
        <v>74</v>
      </c>
      <c r="P376">
        <v>2</v>
      </c>
      <c r="Q376" s="7">
        <v>46209</v>
      </c>
      <c r="R376" s="7">
        <v>46212</v>
      </c>
      <c r="S376" s="7">
        <v>46213</v>
      </c>
      <c r="T376" t="s">
        <v>117</v>
      </c>
      <c r="V376" t="s">
        <v>462</v>
      </c>
      <c r="W376" t="s">
        <v>45</v>
      </c>
      <c r="X376" t="s">
        <v>45</v>
      </c>
      <c r="Y376" t="s">
        <v>45</v>
      </c>
      <c r="Z376" t="s">
        <v>45</v>
      </c>
      <c r="AE376" s="7">
        <v>46214</v>
      </c>
      <c r="AF376">
        <v>2</v>
      </c>
      <c r="AH376" t="s">
        <v>75</v>
      </c>
      <c r="AI376">
        <v>1</v>
      </c>
      <c r="AJ376" s="14"/>
      <c r="AK376" t="s">
        <v>86</v>
      </c>
      <c r="AN376"/>
      <c r="AO376"/>
      <c r="AP376"/>
      <c r="AQ376"/>
      <c r="AR376" s="18" t="str">
        <f>IFERROR(VLOOKUP(K376,[1]POP!$F:$J,1,0),M376)</f>
        <v>KOUSSERI</v>
      </c>
      <c r="AS376" s="18" t="str">
        <f t="shared" si="26"/>
        <v>PAGUI</v>
      </c>
      <c r="AT376" s="19">
        <f t="shared" si="29"/>
        <v>2</v>
      </c>
      <c r="AU376" s="19">
        <f t="shared" ca="1" si="28"/>
        <v>2</v>
      </c>
    </row>
    <row r="377" spans="1:47" x14ac:dyDescent="0.3">
      <c r="A377" t="s">
        <v>557</v>
      </c>
      <c r="B377" t="str">
        <f t="shared" si="25"/>
        <v>S28_2026</v>
      </c>
      <c r="C377" t="str">
        <f t="shared" si="27"/>
        <v>S28_2026</v>
      </c>
      <c r="E377">
        <v>641210227</v>
      </c>
      <c r="F377">
        <v>19</v>
      </c>
      <c r="G377" t="s">
        <v>55</v>
      </c>
      <c r="H377" t="s">
        <v>558</v>
      </c>
      <c r="I377" t="s">
        <v>559</v>
      </c>
      <c r="J377" t="s">
        <v>560</v>
      </c>
      <c r="K377" t="s">
        <v>460</v>
      </c>
      <c r="L377" t="s">
        <v>459</v>
      </c>
      <c r="M377" t="s">
        <v>460</v>
      </c>
      <c r="N377" t="s">
        <v>45</v>
      </c>
      <c r="O377" t="s">
        <v>45</v>
      </c>
      <c r="P377">
        <v>2</v>
      </c>
      <c r="Q377" s="7">
        <v>46211</v>
      </c>
      <c r="R377" s="7">
        <v>46213</v>
      </c>
      <c r="S377" s="7">
        <v>46213</v>
      </c>
      <c r="T377" t="s">
        <v>117</v>
      </c>
      <c r="V377" t="s">
        <v>462</v>
      </c>
      <c r="W377" t="s">
        <v>45</v>
      </c>
      <c r="X377" t="s">
        <v>74</v>
      </c>
      <c r="Y377" t="s">
        <v>45</v>
      </c>
      <c r="Z377" t="s">
        <v>45</v>
      </c>
      <c r="AA377" s="7">
        <v>46213</v>
      </c>
      <c r="AB377" t="s">
        <v>62</v>
      </c>
      <c r="AC377" t="s">
        <v>45</v>
      </c>
      <c r="AD377" t="s">
        <v>62</v>
      </c>
      <c r="AF377">
        <v>2</v>
      </c>
      <c r="AH377" t="s">
        <v>75</v>
      </c>
      <c r="AI377">
        <v>1</v>
      </c>
      <c r="AJ377" s="14"/>
      <c r="AK377" t="s">
        <v>86</v>
      </c>
      <c r="AN377"/>
      <c r="AO377"/>
      <c r="AP377"/>
      <c r="AQ377"/>
      <c r="AR377" s="18" t="str">
        <f>IFERROR(VLOOKUP(K377,[1]POP!$F:$J,1,0),M377)</f>
        <v>KOUSSERI</v>
      </c>
      <c r="AS377" s="18" t="str">
        <f t="shared" si="26"/>
        <v>MADANA</v>
      </c>
      <c r="AT377" s="19">
        <f t="shared" si="29"/>
        <v>2</v>
      </c>
      <c r="AU377" s="19">
        <f t="shared" ca="1" si="28"/>
        <v>2</v>
      </c>
    </row>
    <row r="378" spans="1:47" x14ac:dyDescent="0.3">
      <c r="A378" t="s">
        <v>561</v>
      </c>
      <c r="B378" t="str">
        <f t="shared" si="25"/>
        <v>S28_2026</v>
      </c>
      <c r="C378" t="str">
        <f t="shared" si="27"/>
        <v>S28_2026</v>
      </c>
      <c r="E378">
        <v>693937307</v>
      </c>
      <c r="F378">
        <v>45</v>
      </c>
      <c r="G378" t="s">
        <v>55</v>
      </c>
      <c r="H378" t="s">
        <v>562</v>
      </c>
      <c r="I378" t="s">
        <v>563</v>
      </c>
      <c r="J378" t="s">
        <v>560</v>
      </c>
      <c r="K378" t="s">
        <v>460</v>
      </c>
      <c r="L378" t="s">
        <v>459</v>
      </c>
      <c r="M378" t="s">
        <v>460</v>
      </c>
      <c r="N378" t="s">
        <v>45</v>
      </c>
      <c r="O378" t="s">
        <v>45</v>
      </c>
      <c r="P378">
        <v>2</v>
      </c>
      <c r="Q378" s="7">
        <v>46212</v>
      </c>
      <c r="R378" s="7">
        <v>46213</v>
      </c>
      <c r="S378" s="7">
        <v>46213</v>
      </c>
      <c r="T378" t="s">
        <v>117</v>
      </c>
      <c r="V378" t="s">
        <v>462</v>
      </c>
      <c r="W378" t="s">
        <v>45</v>
      </c>
      <c r="X378" t="s">
        <v>45</v>
      </c>
      <c r="Y378" t="s">
        <v>45</v>
      </c>
      <c r="Z378" t="s">
        <v>45</v>
      </c>
      <c r="AF378">
        <v>2</v>
      </c>
      <c r="AH378" t="s">
        <v>75</v>
      </c>
      <c r="AI378">
        <v>1</v>
      </c>
      <c r="AJ378" s="14"/>
      <c r="AN378"/>
      <c r="AO378"/>
      <c r="AP378"/>
      <c r="AQ378"/>
      <c r="AR378" s="18" t="str">
        <f>IFERROR(VLOOKUP(K378,[1]POP!$F:$J,1,0),M378)</f>
        <v>KOUSSERI</v>
      </c>
      <c r="AS378" s="18" t="str">
        <f t="shared" si="26"/>
        <v>MADANA</v>
      </c>
      <c r="AT378" s="19">
        <f t="shared" si="29"/>
        <v>2</v>
      </c>
      <c r="AU378" s="19">
        <f t="shared" ca="1" si="28"/>
        <v>2</v>
      </c>
    </row>
    <row r="379" spans="1:47" x14ac:dyDescent="0.3">
      <c r="A379" t="s">
        <v>564</v>
      </c>
      <c r="B379" t="str">
        <f t="shared" si="25"/>
        <v>S28_2026</v>
      </c>
      <c r="C379" t="str">
        <f t="shared" si="27"/>
        <v>S28_2026</v>
      </c>
      <c r="E379">
        <v>696046180</v>
      </c>
      <c r="F379">
        <v>16</v>
      </c>
      <c r="G379" t="s">
        <v>55</v>
      </c>
      <c r="H379" t="s">
        <v>468</v>
      </c>
      <c r="I379" t="s">
        <v>553</v>
      </c>
      <c r="J379" t="s">
        <v>459</v>
      </c>
      <c r="K379" t="s">
        <v>460</v>
      </c>
      <c r="L379" t="s">
        <v>459</v>
      </c>
      <c r="M379" t="s">
        <v>460</v>
      </c>
      <c r="N379" t="s">
        <v>45</v>
      </c>
      <c r="O379" t="s">
        <v>45</v>
      </c>
      <c r="P379">
        <v>2</v>
      </c>
      <c r="Q379" s="7">
        <v>46211</v>
      </c>
      <c r="R379" s="7">
        <v>46211</v>
      </c>
      <c r="S379" s="7">
        <v>46213</v>
      </c>
      <c r="T379" t="s">
        <v>117</v>
      </c>
      <c r="V379" t="s">
        <v>462</v>
      </c>
      <c r="W379" t="s">
        <v>45</v>
      </c>
      <c r="X379" t="s">
        <v>45</v>
      </c>
      <c r="Y379" t="s">
        <v>45</v>
      </c>
      <c r="Z379" t="s">
        <v>45</v>
      </c>
      <c r="AF379">
        <v>2</v>
      </c>
      <c r="AH379" t="s">
        <v>75</v>
      </c>
      <c r="AI379">
        <v>1</v>
      </c>
      <c r="AJ379" s="14"/>
      <c r="AN379"/>
      <c r="AO379"/>
      <c r="AP379"/>
      <c r="AQ379"/>
      <c r="AR379" s="18" t="str">
        <f>IFERROR(VLOOKUP(K379,[1]POP!$F:$J,1,0),M379)</f>
        <v>KOUSSERI</v>
      </c>
      <c r="AS379" s="18" t="str">
        <f t="shared" si="26"/>
        <v>PAGUI</v>
      </c>
      <c r="AT379" s="19">
        <f t="shared" si="29"/>
        <v>2</v>
      </c>
      <c r="AU379" s="19">
        <f t="shared" ca="1" si="28"/>
        <v>2</v>
      </c>
    </row>
    <row r="380" spans="1:47" x14ac:dyDescent="0.3">
      <c r="A380" t="s">
        <v>565</v>
      </c>
      <c r="B380" t="str">
        <f t="shared" si="25"/>
        <v>S28_2026</v>
      </c>
      <c r="C380" t="str">
        <f t="shared" si="27"/>
        <v>S28_2026</v>
      </c>
      <c r="F380">
        <v>25</v>
      </c>
      <c r="G380" t="s">
        <v>40</v>
      </c>
      <c r="H380" t="s">
        <v>77</v>
      </c>
      <c r="I380" t="s">
        <v>458</v>
      </c>
      <c r="J380" t="s">
        <v>459</v>
      </c>
      <c r="K380" t="s">
        <v>460</v>
      </c>
      <c r="L380" t="s">
        <v>459</v>
      </c>
      <c r="M380" t="s">
        <v>460</v>
      </c>
      <c r="N380" t="s">
        <v>45</v>
      </c>
      <c r="O380" t="s">
        <v>45</v>
      </c>
      <c r="P380">
        <v>2</v>
      </c>
      <c r="Q380" s="7">
        <v>46211</v>
      </c>
      <c r="R380" s="7">
        <v>46213</v>
      </c>
      <c r="S380" s="7">
        <v>46214</v>
      </c>
      <c r="T380" t="s">
        <v>117</v>
      </c>
      <c r="V380" t="s">
        <v>462</v>
      </c>
      <c r="W380" t="s">
        <v>45</v>
      </c>
      <c r="X380" t="s">
        <v>45</v>
      </c>
      <c r="Y380" t="s">
        <v>45</v>
      </c>
      <c r="Z380" t="s">
        <v>45</v>
      </c>
      <c r="AA380" s="7">
        <v>46217</v>
      </c>
      <c r="AB380" t="s">
        <v>48</v>
      </c>
      <c r="AC380" t="s">
        <v>45</v>
      </c>
      <c r="AD380" t="s">
        <v>48</v>
      </c>
      <c r="AF380">
        <v>2</v>
      </c>
      <c r="AH380" t="s">
        <v>75</v>
      </c>
      <c r="AI380">
        <v>1</v>
      </c>
      <c r="AJ380" s="9"/>
      <c r="AN380"/>
      <c r="AO380"/>
      <c r="AP380"/>
      <c r="AQ380"/>
      <c r="AR380" s="18" t="str">
        <f>IFERROR(VLOOKUP(K380,[1]POP!$F:$J,1,0),M380)</f>
        <v>KOUSSERI</v>
      </c>
      <c r="AS380" s="18" t="str">
        <f t="shared" si="26"/>
        <v>PAGUI</v>
      </c>
      <c r="AT380" s="19">
        <f t="shared" si="29"/>
        <v>2</v>
      </c>
      <c r="AU380" s="19">
        <f t="shared" ca="1" si="28"/>
        <v>2</v>
      </c>
    </row>
    <row r="381" spans="1:47" x14ac:dyDescent="0.3">
      <c r="A381" t="s">
        <v>566</v>
      </c>
      <c r="B381" t="str">
        <f t="shared" si="25"/>
        <v>S28_2026</v>
      </c>
      <c r="C381" t="str">
        <f t="shared" si="27"/>
        <v>S28_2026</v>
      </c>
      <c r="E381">
        <v>696661257</v>
      </c>
      <c r="F381">
        <v>60</v>
      </c>
      <c r="G381" t="s">
        <v>55</v>
      </c>
      <c r="H381" t="s">
        <v>558</v>
      </c>
      <c r="I381" t="s">
        <v>567</v>
      </c>
      <c r="J381" t="s">
        <v>568</v>
      </c>
      <c r="K381" t="s">
        <v>460</v>
      </c>
      <c r="L381" t="s">
        <v>459</v>
      </c>
      <c r="M381" t="s">
        <v>460</v>
      </c>
      <c r="N381" t="s">
        <v>45</v>
      </c>
      <c r="O381" t="s">
        <v>74</v>
      </c>
      <c r="P381">
        <v>2</v>
      </c>
      <c r="Q381" s="7">
        <v>46214</v>
      </c>
      <c r="R381" s="7">
        <v>46214</v>
      </c>
      <c r="S381" s="7">
        <v>46214</v>
      </c>
      <c r="T381" t="s">
        <v>117</v>
      </c>
      <c r="V381" t="s">
        <v>462</v>
      </c>
      <c r="W381" t="s">
        <v>45</v>
      </c>
      <c r="X381" t="s">
        <v>74</v>
      </c>
      <c r="Y381" t="s">
        <v>45</v>
      </c>
      <c r="Z381" t="s">
        <v>45</v>
      </c>
      <c r="AF381">
        <v>2</v>
      </c>
      <c r="AH381" t="s">
        <v>75</v>
      </c>
      <c r="AI381">
        <v>1</v>
      </c>
      <c r="AJ381" s="9"/>
      <c r="AN381"/>
      <c r="AO381"/>
      <c r="AP381"/>
      <c r="AQ381"/>
      <c r="AR381" s="18" t="str">
        <f>IFERROR(VLOOKUP(K381,[1]POP!$F:$J,1,0),M381)</f>
        <v>KOUSSERI</v>
      </c>
      <c r="AS381" s="18" t="str">
        <f t="shared" si="26"/>
        <v>PARPAR</v>
      </c>
      <c r="AT381" s="19">
        <f t="shared" si="29"/>
        <v>2</v>
      </c>
      <c r="AU381" s="19">
        <f t="shared" ca="1" si="28"/>
        <v>2</v>
      </c>
    </row>
    <row r="382" spans="1:47" x14ac:dyDescent="0.3">
      <c r="A382" t="s">
        <v>569</v>
      </c>
      <c r="B382" t="str">
        <f t="shared" si="25"/>
        <v>S28_2026</v>
      </c>
      <c r="C382" t="str">
        <f t="shared" si="27"/>
        <v>S28_2026</v>
      </c>
      <c r="E382">
        <v>673698125</v>
      </c>
      <c r="F382">
        <v>25</v>
      </c>
      <c r="G382" t="s">
        <v>40</v>
      </c>
      <c r="H382" t="s">
        <v>570</v>
      </c>
      <c r="I382" t="s">
        <v>571</v>
      </c>
      <c r="J382" t="s">
        <v>459</v>
      </c>
      <c r="K382" t="s">
        <v>460</v>
      </c>
      <c r="L382" t="s">
        <v>459</v>
      </c>
      <c r="M382" t="s">
        <v>460</v>
      </c>
      <c r="N382" t="s">
        <v>45</v>
      </c>
      <c r="O382" t="s">
        <v>74</v>
      </c>
      <c r="P382">
        <v>2</v>
      </c>
      <c r="Q382" s="7">
        <v>46213</v>
      </c>
      <c r="R382" s="7">
        <v>46213</v>
      </c>
      <c r="S382" s="7">
        <v>46214</v>
      </c>
      <c r="T382" t="s">
        <v>74</v>
      </c>
      <c r="W382" t="s">
        <v>74</v>
      </c>
      <c r="X382" t="s">
        <v>74</v>
      </c>
      <c r="Y382" t="s">
        <v>45</v>
      </c>
      <c r="Z382" t="s">
        <v>74</v>
      </c>
      <c r="AF382">
        <v>2</v>
      </c>
      <c r="AH382" t="s">
        <v>75</v>
      </c>
      <c r="AI382">
        <v>1</v>
      </c>
      <c r="AJ382" s="14"/>
      <c r="AN382"/>
      <c r="AO382"/>
      <c r="AP382"/>
      <c r="AQ382"/>
      <c r="AR382" s="18" t="str">
        <f>IFERROR(VLOOKUP(K382,[1]POP!$F:$J,1,0),M382)</f>
        <v>KOUSSERI</v>
      </c>
      <c r="AS382" s="18" t="str">
        <f t="shared" si="26"/>
        <v>PAGUI</v>
      </c>
      <c r="AT382" s="19">
        <f t="shared" si="29"/>
        <v>2</v>
      </c>
      <c r="AU382" s="19">
        <f t="shared" ca="1" si="28"/>
        <v>2</v>
      </c>
    </row>
    <row r="383" spans="1:47" x14ac:dyDescent="0.3">
      <c r="A383" t="s">
        <v>572</v>
      </c>
      <c r="B383" t="str">
        <f t="shared" si="25"/>
        <v>S28_2026</v>
      </c>
      <c r="C383" t="str">
        <f t="shared" si="27"/>
        <v>S28_2026</v>
      </c>
      <c r="F383">
        <v>2</v>
      </c>
      <c r="G383" t="s">
        <v>55</v>
      </c>
      <c r="I383" t="s">
        <v>573</v>
      </c>
      <c r="J383" t="s">
        <v>401</v>
      </c>
      <c r="K383" t="s">
        <v>124</v>
      </c>
      <c r="L383" t="s">
        <v>401</v>
      </c>
      <c r="M383" t="s">
        <v>124</v>
      </c>
      <c r="N383" t="s">
        <v>45</v>
      </c>
      <c r="O383" t="s">
        <v>45</v>
      </c>
      <c r="P383">
        <v>3</v>
      </c>
      <c r="Q383" s="7">
        <v>46211</v>
      </c>
      <c r="R383" s="7">
        <v>46211</v>
      </c>
      <c r="S383" s="7">
        <v>46211</v>
      </c>
      <c r="T383" t="s">
        <v>45</v>
      </c>
      <c r="V383" t="s">
        <v>574</v>
      </c>
      <c r="W383" t="s">
        <v>45</v>
      </c>
      <c r="X383" t="s">
        <v>74</v>
      </c>
      <c r="Y383" t="s">
        <v>45</v>
      </c>
      <c r="Z383" t="s">
        <v>74</v>
      </c>
      <c r="AF383">
        <v>2</v>
      </c>
      <c r="AH383" t="s">
        <v>75</v>
      </c>
      <c r="AI383">
        <v>1</v>
      </c>
      <c r="AJ383" s="14"/>
      <c r="AK383" t="s">
        <v>74</v>
      </c>
      <c r="AN383"/>
      <c r="AO383"/>
      <c r="AP383"/>
      <c r="AQ383"/>
      <c r="AR383" s="18" t="str">
        <f>IFERROR(VLOOKUP(K383,[1]POP!$F:$J,1,0),M383)</f>
        <v>MADA</v>
      </c>
      <c r="AS383" s="18" t="str">
        <f t="shared" si="26"/>
        <v>DARAK</v>
      </c>
      <c r="AT383" s="19">
        <f t="shared" si="29"/>
        <v>2</v>
      </c>
      <c r="AU383" s="19">
        <f t="shared" ca="1" si="28"/>
        <v>2</v>
      </c>
    </row>
    <row r="384" spans="1:47" x14ac:dyDescent="0.3">
      <c r="A384" t="s">
        <v>575</v>
      </c>
      <c r="B384" t="str">
        <f t="shared" si="25"/>
        <v>S28_2026</v>
      </c>
      <c r="C384" t="str">
        <f t="shared" si="27"/>
        <v>S28_2026</v>
      </c>
      <c r="F384">
        <v>65</v>
      </c>
      <c r="G384" t="s">
        <v>55</v>
      </c>
      <c r="I384" t="s">
        <v>576</v>
      </c>
      <c r="J384" t="s">
        <v>401</v>
      </c>
      <c r="K384" t="s">
        <v>124</v>
      </c>
      <c r="L384" t="s">
        <v>401</v>
      </c>
      <c r="M384" t="s">
        <v>124</v>
      </c>
      <c r="N384" t="s">
        <v>45</v>
      </c>
      <c r="O384" t="s">
        <v>45</v>
      </c>
      <c r="P384">
        <v>3</v>
      </c>
      <c r="Q384" s="7">
        <v>46211</v>
      </c>
      <c r="R384" s="7">
        <v>46211</v>
      </c>
      <c r="S384" s="7">
        <v>46211</v>
      </c>
      <c r="T384" t="s">
        <v>45</v>
      </c>
      <c r="V384" t="s">
        <v>574</v>
      </c>
      <c r="W384" t="s">
        <v>45</v>
      </c>
      <c r="X384" t="s">
        <v>74</v>
      </c>
      <c r="Y384" t="s">
        <v>45</v>
      </c>
      <c r="Z384" t="s">
        <v>74</v>
      </c>
      <c r="AF384">
        <v>2</v>
      </c>
      <c r="AH384" t="s">
        <v>75</v>
      </c>
      <c r="AI384">
        <v>1</v>
      </c>
      <c r="AJ384" s="14"/>
      <c r="AN384"/>
      <c r="AO384"/>
      <c r="AP384"/>
      <c r="AQ384"/>
      <c r="AR384" s="18" t="str">
        <f>IFERROR(VLOOKUP(K384,[1]POP!$F:$J,1,0),M384)</f>
        <v>MADA</v>
      </c>
      <c r="AS384" s="18" t="str">
        <f t="shared" si="26"/>
        <v>DARAK</v>
      </c>
      <c r="AT384" s="19">
        <f t="shared" si="29"/>
        <v>2</v>
      </c>
      <c r="AU384" s="19">
        <f t="shared" ca="1" si="28"/>
        <v>2</v>
      </c>
    </row>
    <row r="385" spans="1:47" x14ac:dyDescent="0.3">
      <c r="A385" t="s">
        <v>577</v>
      </c>
      <c r="B385" t="str">
        <f t="shared" si="25"/>
        <v>S28_2026</v>
      </c>
      <c r="C385" t="str">
        <f t="shared" si="27"/>
        <v>S28_2026</v>
      </c>
      <c r="F385">
        <v>7</v>
      </c>
      <c r="G385" t="s">
        <v>55</v>
      </c>
      <c r="I385" t="s">
        <v>573</v>
      </c>
      <c r="J385" t="s">
        <v>401</v>
      </c>
      <c r="K385" t="s">
        <v>124</v>
      </c>
      <c r="L385" t="s">
        <v>401</v>
      </c>
      <c r="M385" t="s">
        <v>124</v>
      </c>
      <c r="N385" t="s">
        <v>45</v>
      </c>
      <c r="O385" t="s">
        <v>45</v>
      </c>
      <c r="P385">
        <v>3</v>
      </c>
      <c r="Q385" s="7">
        <v>46211</v>
      </c>
      <c r="R385" s="7">
        <v>46211</v>
      </c>
      <c r="S385" s="7">
        <v>46211</v>
      </c>
      <c r="T385" t="s">
        <v>45</v>
      </c>
      <c r="V385" t="s">
        <v>574</v>
      </c>
      <c r="W385" t="s">
        <v>45</v>
      </c>
      <c r="X385" t="s">
        <v>74</v>
      </c>
      <c r="Y385" t="s">
        <v>45</v>
      </c>
      <c r="Z385" t="s">
        <v>74</v>
      </c>
      <c r="AF385">
        <v>2</v>
      </c>
      <c r="AH385" t="s">
        <v>75</v>
      </c>
      <c r="AI385">
        <v>1</v>
      </c>
      <c r="AJ385" s="14"/>
      <c r="AN385"/>
      <c r="AO385"/>
      <c r="AP385"/>
      <c r="AQ385"/>
      <c r="AR385" s="18" t="str">
        <f>IFERROR(VLOOKUP(K385,[1]POP!$F:$J,1,0),M385)</f>
        <v>MADA</v>
      </c>
      <c r="AS385" s="18" t="str">
        <f t="shared" si="26"/>
        <v>DARAK</v>
      </c>
      <c r="AT385" s="19">
        <f t="shared" si="29"/>
        <v>2</v>
      </c>
      <c r="AU385" s="19">
        <f t="shared" ca="1" si="28"/>
        <v>2</v>
      </c>
    </row>
    <row r="386" spans="1:47" x14ac:dyDescent="0.3">
      <c r="A386" t="s">
        <v>578</v>
      </c>
      <c r="B386" t="str">
        <f t="shared" ref="B386:B449" si="30">"S"&amp;(IF(_xlfn.ISOWEEKNUM(S386)&gt;9,_xlfn.ISOWEEKNUM(S386),_xlfn.CONCAT("0",_xlfn.ISOWEEKNUM(S386))))&amp;"_"&amp;(YEAR(S386+26-(_xlfn.ISOWEEKNUM(S386))))</f>
        <v>S28_2026</v>
      </c>
      <c r="C386" t="str">
        <f t="shared" si="27"/>
        <v>S28_2026</v>
      </c>
      <c r="F386">
        <v>5</v>
      </c>
      <c r="G386" t="s">
        <v>40</v>
      </c>
      <c r="I386" t="s">
        <v>573</v>
      </c>
      <c r="J386" t="s">
        <v>401</v>
      </c>
      <c r="K386" t="s">
        <v>124</v>
      </c>
      <c r="L386" t="s">
        <v>401</v>
      </c>
      <c r="M386" t="s">
        <v>124</v>
      </c>
      <c r="N386" t="s">
        <v>45</v>
      </c>
      <c r="O386" t="s">
        <v>45</v>
      </c>
      <c r="P386">
        <v>3</v>
      </c>
      <c r="Q386" s="7">
        <v>46211</v>
      </c>
      <c r="R386" s="7">
        <v>46211</v>
      </c>
      <c r="S386" s="7">
        <v>46211</v>
      </c>
      <c r="T386" t="s">
        <v>45</v>
      </c>
      <c r="V386" t="s">
        <v>574</v>
      </c>
      <c r="W386" t="s">
        <v>45</v>
      </c>
      <c r="X386" t="s">
        <v>74</v>
      </c>
      <c r="Y386" t="s">
        <v>45</v>
      </c>
      <c r="Z386" t="s">
        <v>74</v>
      </c>
      <c r="AF386">
        <v>2</v>
      </c>
      <c r="AH386" t="s">
        <v>75</v>
      </c>
      <c r="AI386">
        <v>1</v>
      </c>
      <c r="AJ386" s="14"/>
      <c r="AN386"/>
      <c r="AO386"/>
      <c r="AP386"/>
      <c r="AQ386"/>
      <c r="AR386" s="18" t="str">
        <f>IFERROR(VLOOKUP(K386,[1]POP!$F:$J,1,0),M386)</f>
        <v>MADA</v>
      </c>
      <c r="AS386" s="18" t="str">
        <f t="shared" ref="AS386:AS449" si="31">IF(AR386=K386,J386,L386)</f>
        <v>DARAK</v>
      </c>
      <c r="AT386" s="19">
        <f t="shared" si="29"/>
        <v>2</v>
      </c>
      <c r="AU386" s="19">
        <f t="shared" ca="1" si="28"/>
        <v>2</v>
      </c>
    </row>
    <row r="387" spans="1:47" x14ac:dyDescent="0.3">
      <c r="A387" t="s">
        <v>579</v>
      </c>
      <c r="B387" t="str">
        <f t="shared" si="30"/>
        <v>S28_2026</v>
      </c>
      <c r="C387" t="str">
        <f t="shared" ref="C387:C450" si="32">"S"&amp;(IF(_xlfn.ISOWEEKNUM(Q387)&gt;9,_xlfn.ISOWEEKNUM(Q387),_xlfn.CONCAT("0",_xlfn.ISOWEEKNUM(Q387))))&amp;"_"&amp;(YEAR(Q387+26-(_xlfn.ISOWEEKNUM(Q387))))</f>
        <v>S28_2026</v>
      </c>
      <c r="F387">
        <v>3</v>
      </c>
      <c r="G387" t="s">
        <v>40</v>
      </c>
      <c r="I387" t="s">
        <v>573</v>
      </c>
      <c r="J387" t="s">
        <v>401</v>
      </c>
      <c r="K387" t="s">
        <v>124</v>
      </c>
      <c r="L387" t="s">
        <v>401</v>
      </c>
      <c r="M387" t="s">
        <v>124</v>
      </c>
      <c r="N387" t="s">
        <v>45</v>
      </c>
      <c r="O387" t="s">
        <v>45</v>
      </c>
      <c r="P387">
        <v>3</v>
      </c>
      <c r="Q387" s="7">
        <v>46211</v>
      </c>
      <c r="R387" s="7">
        <v>46211</v>
      </c>
      <c r="S387" s="7">
        <v>46211</v>
      </c>
      <c r="T387" t="s">
        <v>45</v>
      </c>
      <c r="V387" t="s">
        <v>574</v>
      </c>
      <c r="W387" t="s">
        <v>45</v>
      </c>
      <c r="X387" t="s">
        <v>74</v>
      </c>
      <c r="Y387" t="s">
        <v>45</v>
      </c>
      <c r="Z387" t="s">
        <v>74</v>
      </c>
      <c r="AF387">
        <v>2</v>
      </c>
      <c r="AH387" t="s">
        <v>75</v>
      </c>
      <c r="AI387">
        <v>1</v>
      </c>
      <c r="AJ387" s="14"/>
      <c r="AN387"/>
      <c r="AO387"/>
      <c r="AP387"/>
      <c r="AQ387"/>
      <c r="AR387" s="18" t="str">
        <f>IFERROR(VLOOKUP(K387,[1]POP!$F:$J,1,0),M387)</f>
        <v>MADA</v>
      </c>
      <c r="AS387" s="18" t="str">
        <f t="shared" si="31"/>
        <v>DARAK</v>
      </c>
      <c r="AT387" s="19">
        <f t="shared" si="29"/>
        <v>2</v>
      </c>
      <c r="AU387" s="19">
        <f t="shared" ref="AU387:AU450" ca="1" si="33">IF((TODAY() - R387)&lt;=21,1,2)</f>
        <v>2</v>
      </c>
    </row>
    <row r="388" spans="1:47" x14ac:dyDescent="0.3">
      <c r="A388" t="s">
        <v>580</v>
      </c>
      <c r="B388" t="str">
        <f t="shared" si="30"/>
        <v>S28_2026</v>
      </c>
      <c r="C388" t="str">
        <f t="shared" si="32"/>
        <v>S28_2026</v>
      </c>
      <c r="F388">
        <v>15</v>
      </c>
      <c r="G388" t="s">
        <v>55</v>
      </c>
      <c r="I388" t="s">
        <v>573</v>
      </c>
      <c r="J388" t="s">
        <v>401</v>
      </c>
      <c r="K388" t="s">
        <v>124</v>
      </c>
      <c r="L388" t="s">
        <v>401</v>
      </c>
      <c r="M388" t="s">
        <v>124</v>
      </c>
      <c r="N388" t="s">
        <v>45</v>
      </c>
      <c r="O388" t="s">
        <v>45</v>
      </c>
      <c r="P388">
        <v>3</v>
      </c>
      <c r="Q388" s="7">
        <v>46211</v>
      </c>
      <c r="R388" s="7">
        <v>46211</v>
      </c>
      <c r="S388" s="7">
        <v>46211</v>
      </c>
      <c r="T388" t="s">
        <v>45</v>
      </c>
      <c r="V388" t="s">
        <v>574</v>
      </c>
      <c r="W388" t="s">
        <v>45</v>
      </c>
      <c r="X388" t="s">
        <v>74</v>
      </c>
      <c r="Y388" t="s">
        <v>45</v>
      </c>
      <c r="Z388" t="s">
        <v>74</v>
      </c>
      <c r="AF388">
        <v>2</v>
      </c>
      <c r="AH388" t="s">
        <v>75</v>
      </c>
      <c r="AI388">
        <v>1</v>
      </c>
      <c r="AJ388" s="14"/>
      <c r="AN388"/>
      <c r="AO388"/>
      <c r="AP388"/>
      <c r="AQ388"/>
      <c r="AR388" s="18" t="str">
        <f>IFERROR(VLOOKUP(K388,[1]POP!$F:$J,1,0),M388)</f>
        <v>MADA</v>
      </c>
      <c r="AS388" s="18" t="str">
        <f t="shared" si="31"/>
        <v>DARAK</v>
      </c>
      <c r="AT388" s="19">
        <f t="shared" ref="AT388:AT451" si="34">IF($AI:$AI=2,3,IF($AI:$AI=3,3,IF($AI:$AI=4,3,IF($AI:$AI=1,2,0))))</f>
        <v>2</v>
      </c>
      <c r="AU388" s="19">
        <f t="shared" ca="1" si="33"/>
        <v>2</v>
      </c>
    </row>
    <row r="389" spans="1:47" x14ac:dyDescent="0.3">
      <c r="A389" t="s">
        <v>581</v>
      </c>
      <c r="B389" t="str">
        <f t="shared" si="30"/>
        <v>S28_2026</v>
      </c>
      <c r="C389" t="str">
        <f t="shared" si="32"/>
        <v>S28_2026</v>
      </c>
      <c r="F389">
        <v>3</v>
      </c>
      <c r="G389" t="s">
        <v>40</v>
      </c>
      <c r="I389" t="s">
        <v>573</v>
      </c>
      <c r="J389" t="s">
        <v>401</v>
      </c>
      <c r="K389" t="s">
        <v>124</v>
      </c>
      <c r="L389" t="s">
        <v>401</v>
      </c>
      <c r="M389" t="s">
        <v>124</v>
      </c>
      <c r="N389" t="s">
        <v>45</v>
      </c>
      <c r="O389" t="s">
        <v>45</v>
      </c>
      <c r="P389">
        <v>3</v>
      </c>
      <c r="Q389" s="7">
        <v>46211</v>
      </c>
      <c r="R389" s="7">
        <v>46211</v>
      </c>
      <c r="S389" s="7">
        <v>46211</v>
      </c>
      <c r="T389" t="s">
        <v>45</v>
      </c>
      <c r="V389" t="s">
        <v>574</v>
      </c>
      <c r="W389" t="s">
        <v>45</v>
      </c>
      <c r="X389" t="s">
        <v>74</v>
      </c>
      <c r="Y389" t="s">
        <v>45</v>
      </c>
      <c r="Z389" t="s">
        <v>74</v>
      </c>
      <c r="AF389">
        <v>2</v>
      </c>
      <c r="AH389" t="s">
        <v>75</v>
      </c>
      <c r="AI389">
        <v>1</v>
      </c>
      <c r="AJ389" s="14"/>
      <c r="AN389"/>
      <c r="AO389"/>
      <c r="AP389"/>
      <c r="AQ389"/>
      <c r="AR389" s="18" t="str">
        <f>IFERROR(VLOOKUP(K389,[1]POP!$F:$J,1,0),M389)</f>
        <v>MADA</v>
      </c>
      <c r="AS389" s="18" t="str">
        <f t="shared" si="31"/>
        <v>DARAK</v>
      </c>
      <c r="AT389" s="19">
        <f t="shared" si="34"/>
        <v>2</v>
      </c>
      <c r="AU389" s="19">
        <f t="shared" ca="1" si="33"/>
        <v>2</v>
      </c>
    </row>
    <row r="390" spans="1:47" x14ac:dyDescent="0.3">
      <c r="A390" t="s">
        <v>582</v>
      </c>
      <c r="B390" t="str">
        <f t="shared" si="30"/>
        <v>S28_2026</v>
      </c>
      <c r="C390" t="str">
        <f t="shared" si="32"/>
        <v>S28_2026</v>
      </c>
      <c r="F390">
        <v>35</v>
      </c>
      <c r="G390" t="s">
        <v>55</v>
      </c>
      <c r="I390" t="s">
        <v>573</v>
      </c>
      <c r="J390" t="s">
        <v>401</v>
      </c>
      <c r="K390" t="s">
        <v>124</v>
      </c>
      <c r="L390" t="s">
        <v>401</v>
      </c>
      <c r="M390" t="s">
        <v>124</v>
      </c>
      <c r="N390" t="s">
        <v>45</v>
      </c>
      <c r="O390" t="s">
        <v>45</v>
      </c>
      <c r="P390">
        <v>3</v>
      </c>
      <c r="Q390" s="7">
        <v>46211</v>
      </c>
      <c r="R390" s="7">
        <v>46211</v>
      </c>
      <c r="S390" s="7">
        <v>46211</v>
      </c>
      <c r="T390" t="s">
        <v>45</v>
      </c>
      <c r="V390" t="s">
        <v>574</v>
      </c>
      <c r="W390" t="s">
        <v>45</v>
      </c>
      <c r="X390" t="s">
        <v>74</v>
      </c>
      <c r="Y390" t="s">
        <v>45</v>
      </c>
      <c r="Z390" t="s">
        <v>74</v>
      </c>
      <c r="AF390">
        <v>2</v>
      </c>
      <c r="AH390" t="s">
        <v>75</v>
      </c>
      <c r="AI390">
        <v>1</v>
      </c>
      <c r="AJ390" s="14"/>
      <c r="AN390"/>
      <c r="AO390"/>
      <c r="AP390"/>
      <c r="AQ390"/>
      <c r="AR390" s="18" t="str">
        <f>IFERROR(VLOOKUP(K390,[1]POP!$F:$J,1,0),M390)</f>
        <v>MADA</v>
      </c>
      <c r="AS390" s="18" t="str">
        <f t="shared" si="31"/>
        <v>DARAK</v>
      </c>
      <c r="AT390" s="19">
        <f t="shared" si="34"/>
        <v>2</v>
      </c>
      <c r="AU390" s="19">
        <f t="shared" ca="1" si="33"/>
        <v>2</v>
      </c>
    </row>
    <row r="391" spans="1:47" x14ac:dyDescent="0.3">
      <c r="A391" t="s">
        <v>583</v>
      </c>
      <c r="B391" t="str">
        <f t="shared" si="30"/>
        <v>S28_2026</v>
      </c>
      <c r="C391" t="str">
        <f t="shared" si="32"/>
        <v>S28_2026</v>
      </c>
      <c r="F391">
        <v>2</v>
      </c>
      <c r="G391" t="s">
        <v>55</v>
      </c>
      <c r="I391" t="s">
        <v>234</v>
      </c>
      <c r="J391" t="s">
        <v>166</v>
      </c>
      <c r="K391" t="s">
        <v>124</v>
      </c>
      <c r="L391" t="s">
        <v>166</v>
      </c>
      <c r="M391" t="s">
        <v>124</v>
      </c>
      <c r="N391" t="s">
        <v>45</v>
      </c>
      <c r="O391" t="s">
        <v>45</v>
      </c>
      <c r="P391">
        <v>3</v>
      </c>
      <c r="Q391" s="7">
        <v>46211</v>
      </c>
      <c r="R391" s="7">
        <v>46212</v>
      </c>
      <c r="S391" s="7">
        <v>46212</v>
      </c>
      <c r="T391" t="s">
        <v>45</v>
      </c>
      <c r="V391" t="s">
        <v>167</v>
      </c>
      <c r="W391" t="s">
        <v>45</v>
      </c>
      <c r="X391" t="s">
        <v>74</v>
      </c>
      <c r="Y391" t="s">
        <v>46</v>
      </c>
      <c r="Z391" t="s">
        <v>45</v>
      </c>
      <c r="AF391">
        <v>2</v>
      </c>
      <c r="AH391" t="s">
        <v>75</v>
      </c>
      <c r="AI391">
        <v>1</v>
      </c>
      <c r="AJ391" s="14"/>
      <c r="AN391"/>
      <c r="AO391"/>
      <c r="AP391"/>
      <c r="AQ391"/>
      <c r="AR391" s="18" t="str">
        <f>IFERROR(VLOOKUP(K391,[1]POP!$F:$J,1,0),M391)</f>
        <v>MADA</v>
      </c>
      <c r="AS391" s="18" t="str">
        <f t="shared" si="31"/>
        <v>BARGARAM</v>
      </c>
      <c r="AT391" s="19">
        <f t="shared" si="34"/>
        <v>2</v>
      </c>
      <c r="AU391" s="19">
        <f t="shared" ca="1" si="33"/>
        <v>2</v>
      </c>
    </row>
    <row r="392" spans="1:47" x14ac:dyDescent="0.3">
      <c r="A392" t="s">
        <v>584</v>
      </c>
      <c r="B392" t="str">
        <f t="shared" si="30"/>
        <v>S28_2026</v>
      </c>
      <c r="C392" t="str">
        <f t="shared" si="32"/>
        <v>S28_2026</v>
      </c>
      <c r="F392">
        <v>2</v>
      </c>
      <c r="G392" t="s">
        <v>40</v>
      </c>
      <c r="I392" t="s">
        <v>166</v>
      </c>
      <c r="J392" t="s">
        <v>166</v>
      </c>
      <c r="K392" t="s">
        <v>124</v>
      </c>
      <c r="L392" t="s">
        <v>166</v>
      </c>
      <c r="M392" t="s">
        <v>124</v>
      </c>
      <c r="N392" t="s">
        <v>45</v>
      </c>
      <c r="O392" t="s">
        <v>45</v>
      </c>
      <c r="P392">
        <v>3</v>
      </c>
      <c r="Q392" s="7">
        <v>46211</v>
      </c>
      <c r="R392" s="7">
        <v>46212</v>
      </c>
      <c r="S392" s="7">
        <v>46212</v>
      </c>
      <c r="T392" t="s">
        <v>45</v>
      </c>
      <c r="V392" t="s">
        <v>167</v>
      </c>
      <c r="W392" t="s">
        <v>45</v>
      </c>
      <c r="X392" t="s">
        <v>74</v>
      </c>
      <c r="Y392" t="s">
        <v>46</v>
      </c>
      <c r="Z392" t="s">
        <v>45</v>
      </c>
      <c r="AF392">
        <v>2</v>
      </c>
      <c r="AH392" t="s">
        <v>75</v>
      </c>
      <c r="AI392">
        <v>1</v>
      </c>
      <c r="AJ392" s="14"/>
      <c r="AN392"/>
      <c r="AO392"/>
      <c r="AP392"/>
      <c r="AQ392"/>
      <c r="AR392" s="18" t="str">
        <f>IFERROR(VLOOKUP(K392,[1]POP!$F:$J,1,0),M392)</f>
        <v>MADA</v>
      </c>
      <c r="AS392" s="18" t="str">
        <f t="shared" si="31"/>
        <v>BARGARAM</v>
      </c>
      <c r="AT392" s="19">
        <f t="shared" si="34"/>
        <v>2</v>
      </c>
      <c r="AU392" s="19">
        <f t="shared" ca="1" si="33"/>
        <v>2</v>
      </c>
    </row>
    <row r="393" spans="1:47" x14ac:dyDescent="0.3">
      <c r="A393" t="s">
        <v>585</v>
      </c>
      <c r="B393" t="str">
        <f t="shared" si="30"/>
        <v>S28_2026</v>
      </c>
      <c r="C393" t="str">
        <f t="shared" si="32"/>
        <v>S28_2026</v>
      </c>
      <c r="F393">
        <v>5</v>
      </c>
      <c r="G393" t="s">
        <v>40</v>
      </c>
      <c r="I393" t="s">
        <v>269</v>
      </c>
      <c r="J393" t="s">
        <v>166</v>
      </c>
      <c r="K393" t="s">
        <v>124</v>
      </c>
      <c r="L393" t="s">
        <v>166</v>
      </c>
      <c r="M393" t="s">
        <v>124</v>
      </c>
      <c r="N393" t="s">
        <v>45</v>
      </c>
      <c r="O393" t="s">
        <v>45</v>
      </c>
      <c r="P393">
        <v>3</v>
      </c>
      <c r="Q393" s="7">
        <v>46212</v>
      </c>
      <c r="R393" s="7">
        <v>46212</v>
      </c>
      <c r="S393" s="7">
        <v>46212</v>
      </c>
      <c r="T393" t="s">
        <v>45</v>
      </c>
      <c r="V393" t="s">
        <v>167</v>
      </c>
      <c r="W393" t="s">
        <v>45</v>
      </c>
      <c r="X393" t="s">
        <v>74</v>
      </c>
      <c r="Y393" t="s">
        <v>46</v>
      </c>
      <c r="Z393" t="s">
        <v>45</v>
      </c>
      <c r="AF393">
        <v>2</v>
      </c>
      <c r="AH393" t="s">
        <v>75</v>
      </c>
      <c r="AI393">
        <v>1</v>
      </c>
      <c r="AJ393" s="14"/>
      <c r="AN393"/>
      <c r="AO393"/>
      <c r="AP393"/>
      <c r="AQ393"/>
      <c r="AR393" s="18" t="str">
        <f>IFERROR(VLOOKUP(K393,[1]POP!$F:$J,1,0),M393)</f>
        <v>MADA</v>
      </c>
      <c r="AS393" s="18" t="str">
        <f t="shared" si="31"/>
        <v>BARGARAM</v>
      </c>
      <c r="AT393" s="19">
        <f t="shared" si="34"/>
        <v>2</v>
      </c>
      <c r="AU393" s="19">
        <f t="shared" ca="1" si="33"/>
        <v>2</v>
      </c>
    </row>
    <row r="394" spans="1:47" x14ac:dyDescent="0.3">
      <c r="A394" t="s">
        <v>586</v>
      </c>
      <c r="B394" t="str">
        <f t="shared" si="30"/>
        <v>S28_2026</v>
      </c>
      <c r="C394" t="str">
        <f t="shared" si="32"/>
        <v>S28_2026</v>
      </c>
      <c r="F394">
        <v>75</v>
      </c>
      <c r="G394" t="s">
        <v>55</v>
      </c>
      <c r="I394" t="s">
        <v>587</v>
      </c>
      <c r="J394" t="s">
        <v>166</v>
      </c>
      <c r="K394" t="s">
        <v>124</v>
      </c>
      <c r="L394" t="s">
        <v>166</v>
      </c>
      <c r="M394" t="s">
        <v>124</v>
      </c>
      <c r="N394" t="s">
        <v>45</v>
      </c>
      <c r="O394" t="s">
        <v>45</v>
      </c>
      <c r="P394">
        <v>3</v>
      </c>
      <c r="Q394" s="7">
        <v>46212</v>
      </c>
      <c r="R394" s="7">
        <v>46212</v>
      </c>
      <c r="S394" s="7">
        <v>46212</v>
      </c>
      <c r="T394" t="s">
        <v>45</v>
      </c>
      <c r="V394" t="s">
        <v>167</v>
      </c>
      <c r="W394" t="s">
        <v>45</v>
      </c>
      <c r="X394" t="s">
        <v>74</v>
      </c>
      <c r="Y394" t="s">
        <v>46</v>
      </c>
      <c r="Z394" t="s">
        <v>45</v>
      </c>
      <c r="AF394">
        <v>2</v>
      </c>
      <c r="AH394" t="s">
        <v>75</v>
      </c>
      <c r="AI394">
        <v>1</v>
      </c>
      <c r="AJ394" s="14"/>
      <c r="AN394"/>
      <c r="AO394"/>
      <c r="AP394"/>
      <c r="AQ394"/>
      <c r="AR394" s="18" t="str">
        <f>IFERROR(VLOOKUP(K394,[1]POP!$F:$J,1,0),M394)</f>
        <v>MADA</v>
      </c>
      <c r="AS394" s="18" t="str">
        <f t="shared" si="31"/>
        <v>BARGARAM</v>
      </c>
      <c r="AT394" s="19">
        <f t="shared" si="34"/>
        <v>2</v>
      </c>
      <c r="AU394" s="19">
        <f t="shared" ca="1" si="33"/>
        <v>2</v>
      </c>
    </row>
    <row r="395" spans="1:47" x14ac:dyDescent="0.3">
      <c r="A395" t="s">
        <v>588</v>
      </c>
      <c r="B395" t="str">
        <f t="shared" si="30"/>
        <v>S28_2026</v>
      </c>
      <c r="C395" t="str">
        <f t="shared" si="32"/>
        <v>S28_2026</v>
      </c>
      <c r="F395">
        <v>22</v>
      </c>
      <c r="G395" t="s">
        <v>40</v>
      </c>
      <c r="I395" t="s">
        <v>166</v>
      </c>
      <c r="J395" t="s">
        <v>166</v>
      </c>
      <c r="K395" t="s">
        <v>124</v>
      </c>
      <c r="L395" t="s">
        <v>166</v>
      </c>
      <c r="M395" t="s">
        <v>124</v>
      </c>
      <c r="N395" t="s">
        <v>45</v>
      </c>
      <c r="O395" t="s">
        <v>45</v>
      </c>
      <c r="P395">
        <v>3</v>
      </c>
      <c r="Q395" s="7">
        <v>46211</v>
      </c>
      <c r="R395" s="7">
        <v>46212</v>
      </c>
      <c r="S395" s="7">
        <v>46212</v>
      </c>
      <c r="T395" t="s">
        <v>45</v>
      </c>
      <c r="V395" t="s">
        <v>167</v>
      </c>
      <c r="W395" t="s">
        <v>45</v>
      </c>
      <c r="X395" t="s">
        <v>74</v>
      </c>
      <c r="Y395" t="s">
        <v>46</v>
      </c>
      <c r="Z395" t="s">
        <v>45</v>
      </c>
      <c r="AF395">
        <v>2</v>
      </c>
      <c r="AH395" t="s">
        <v>75</v>
      </c>
      <c r="AI395">
        <v>1</v>
      </c>
      <c r="AJ395" s="14"/>
      <c r="AN395"/>
      <c r="AO395"/>
      <c r="AP395"/>
      <c r="AQ395"/>
      <c r="AR395" s="18" t="str">
        <f>IFERROR(VLOOKUP(K395,[1]POP!$F:$J,1,0),M395)</f>
        <v>MADA</v>
      </c>
      <c r="AS395" s="18" t="str">
        <f t="shared" si="31"/>
        <v>BARGARAM</v>
      </c>
      <c r="AT395" s="19">
        <f t="shared" si="34"/>
        <v>2</v>
      </c>
      <c r="AU395" s="19">
        <f t="shared" ca="1" si="33"/>
        <v>2</v>
      </c>
    </row>
    <row r="396" spans="1:47" x14ac:dyDescent="0.3">
      <c r="A396" t="s">
        <v>589</v>
      </c>
      <c r="B396" t="str">
        <f t="shared" si="30"/>
        <v>S28_2026</v>
      </c>
      <c r="C396" t="str">
        <f t="shared" si="32"/>
        <v>S28_2026</v>
      </c>
      <c r="F396">
        <v>60</v>
      </c>
      <c r="G396" t="s">
        <v>55</v>
      </c>
      <c r="I396" t="s">
        <v>271</v>
      </c>
      <c r="J396" t="s">
        <v>174</v>
      </c>
      <c r="K396" t="s">
        <v>124</v>
      </c>
      <c r="L396" t="s">
        <v>174</v>
      </c>
      <c r="M396" t="s">
        <v>124</v>
      </c>
      <c r="N396" t="s">
        <v>45</v>
      </c>
      <c r="O396" t="s">
        <v>45</v>
      </c>
      <c r="P396">
        <v>3</v>
      </c>
      <c r="Q396" s="7">
        <v>46212</v>
      </c>
      <c r="R396" s="7">
        <v>46212</v>
      </c>
      <c r="S396" s="7">
        <v>46212</v>
      </c>
      <c r="T396" t="s">
        <v>45</v>
      </c>
      <c r="V396" t="s">
        <v>175</v>
      </c>
      <c r="W396" t="s">
        <v>45</v>
      </c>
      <c r="X396" t="s">
        <v>74</v>
      </c>
      <c r="Y396" t="s">
        <v>46</v>
      </c>
      <c r="Z396" t="s">
        <v>45</v>
      </c>
      <c r="AF396">
        <v>2</v>
      </c>
      <c r="AH396" t="s">
        <v>75</v>
      </c>
      <c r="AI396">
        <v>1</v>
      </c>
      <c r="AJ396" s="14"/>
      <c r="AL396" t="s">
        <v>96</v>
      </c>
      <c r="AN396"/>
      <c r="AO396"/>
      <c r="AP396"/>
      <c r="AQ396"/>
      <c r="AR396" s="18" t="str">
        <f>IFERROR(VLOOKUP(K396,[1]POP!$F:$J,1,0),M396)</f>
        <v>MADA</v>
      </c>
      <c r="AS396" s="18" t="str">
        <f t="shared" si="31"/>
        <v>HILE ALIFA</v>
      </c>
      <c r="AT396" s="19">
        <f t="shared" si="34"/>
        <v>2</v>
      </c>
      <c r="AU396" s="19">
        <f t="shared" ca="1" si="33"/>
        <v>2</v>
      </c>
    </row>
    <row r="397" spans="1:47" x14ac:dyDescent="0.3">
      <c r="A397" t="s">
        <v>590</v>
      </c>
      <c r="B397" t="str">
        <f t="shared" si="30"/>
        <v>S28_2026</v>
      </c>
      <c r="C397" t="str">
        <f t="shared" si="32"/>
        <v>S28_2026</v>
      </c>
      <c r="F397">
        <v>14</v>
      </c>
      <c r="G397" t="s">
        <v>40</v>
      </c>
      <c r="I397" t="s">
        <v>173</v>
      </c>
      <c r="J397" t="s">
        <v>173</v>
      </c>
      <c r="K397" t="s">
        <v>124</v>
      </c>
      <c r="L397" t="s">
        <v>174</v>
      </c>
      <c r="M397" t="s">
        <v>124</v>
      </c>
      <c r="N397" t="s">
        <v>45</v>
      </c>
      <c r="O397" t="s">
        <v>45</v>
      </c>
      <c r="P397">
        <v>2</v>
      </c>
      <c r="Q397" s="7">
        <v>46212</v>
      </c>
      <c r="R397" s="7">
        <v>46212</v>
      </c>
      <c r="S397" s="7">
        <v>46212</v>
      </c>
      <c r="T397" t="s">
        <v>45</v>
      </c>
      <c r="V397" t="s">
        <v>175</v>
      </c>
      <c r="W397" t="s">
        <v>45</v>
      </c>
      <c r="X397" t="s">
        <v>74</v>
      </c>
      <c r="Y397" t="s">
        <v>46</v>
      </c>
      <c r="Z397" t="s">
        <v>45</v>
      </c>
      <c r="AF397">
        <v>2</v>
      </c>
      <c r="AH397" t="s">
        <v>75</v>
      </c>
      <c r="AI397">
        <v>1</v>
      </c>
      <c r="AJ397" s="14"/>
      <c r="AN397"/>
      <c r="AO397"/>
      <c r="AP397"/>
      <c r="AQ397"/>
      <c r="AR397" s="18" t="str">
        <f>IFERROR(VLOOKUP(K397,[1]POP!$F:$J,1,0),M397)</f>
        <v>MADA</v>
      </c>
      <c r="AS397" s="18" t="str">
        <f t="shared" si="31"/>
        <v>TCHIKA</v>
      </c>
      <c r="AT397" s="19">
        <f t="shared" si="34"/>
        <v>2</v>
      </c>
      <c r="AU397" s="19">
        <f t="shared" ca="1" si="33"/>
        <v>2</v>
      </c>
    </row>
    <row r="398" spans="1:47" x14ac:dyDescent="0.3">
      <c r="A398" t="s">
        <v>591</v>
      </c>
      <c r="B398" t="str">
        <f t="shared" si="30"/>
        <v>S28_2026</v>
      </c>
      <c r="C398" t="str">
        <f t="shared" si="32"/>
        <v>S28_2026</v>
      </c>
      <c r="F398">
        <v>12</v>
      </c>
      <c r="G398" t="s">
        <v>40</v>
      </c>
      <c r="I398" t="s">
        <v>507</v>
      </c>
      <c r="J398" t="s">
        <v>166</v>
      </c>
      <c r="K398" t="s">
        <v>124</v>
      </c>
      <c r="L398" t="s">
        <v>174</v>
      </c>
      <c r="M398" t="s">
        <v>124</v>
      </c>
      <c r="N398" t="s">
        <v>45</v>
      </c>
      <c r="O398" t="s">
        <v>45</v>
      </c>
      <c r="P398">
        <v>1</v>
      </c>
      <c r="Q398" s="7">
        <v>46212</v>
      </c>
      <c r="R398" s="7">
        <v>46212</v>
      </c>
      <c r="S398" s="7">
        <v>46212</v>
      </c>
      <c r="T398" t="s">
        <v>45</v>
      </c>
      <c r="V398" t="s">
        <v>175</v>
      </c>
      <c r="W398" t="s">
        <v>45</v>
      </c>
      <c r="X398" t="s">
        <v>74</v>
      </c>
      <c r="Y398" t="s">
        <v>46</v>
      </c>
      <c r="Z398" t="s">
        <v>45</v>
      </c>
      <c r="AF398">
        <v>2</v>
      </c>
      <c r="AH398" t="s">
        <v>75</v>
      </c>
      <c r="AI398">
        <v>1</v>
      </c>
      <c r="AJ398" s="14"/>
      <c r="AN398"/>
      <c r="AO398"/>
      <c r="AP398"/>
      <c r="AQ398"/>
      <c r="AR398" s="18" t="str">
        <f>IFERROR(VLOOKUP(K398,[1]POP!$F:$J,1,0),M398)</f>
        <v>MADA</v>
      </c>
      <c r="AS398" s="18" t="str">
        <f t="shared" si="31"/>
        <v>BARGARAM</v>
      </c>
      <c r="AT398" s="19">
        <f t="shared" si="34"/>
        <v>2</v>
      </c>
      <c r="AU398" s="19">
        <f t="shared" ca="1" si="33"/>
        <v>2</v>
      </c>
    </row>
    <row r="399" spans="1:47" x14ac:dyDescent="0.3">
      <c r="A399" t="s">
        <v>592</v>
      </c>
      <c r="B399" t="str">
        <f t="shared" si="30"/>
        <v>S28_2026</v>
      </c>
      <c r="C399" t="str">
        <f t="shared" si="32"/>
        <v>S28_2026</v>
      </c>
      <c r="F399">
        <v>16</v>
      </c>
      <c r="G399" t="s">
        <v>55</v>
      </c>
      <c r="I399" t="s">
        <v>127</v>
      </c>
      <c r="J399" t="s">
        <v>173</v>
      </c>
      <c r="K399" t="s">
        <v>124</v>
      </c>
      <c r="L399" t="s">
        <v>174</v>
      </c>
      <c r="M399" t="s">
        <v>124</v>
      </c>
      <c r="N399" t="s">
        <v>45</v>
      </c>
      <c r="O399" t="s">
        <v>45</v>
      </c>
      <c r="P399">
        <v>1</v>
      </c>
      <c r="Q399" s="7">
        <v>46212</v>
      </c>
      <c r="R399" s="7">
        <v>46212</v>
      </c>
      <c r="S399" s="7">
        <v>46212</v>
      </c>
      <c r="T399" t="s">
        <v>45</v>
      </c>
      <c r="V399" t="s">
        <v>175</v>
      </c>
      <c r="W399" t="s">
        <v>45</v>
      </c>
      <c r="X399" t="s">
        <v>74</v>
      </c>
      <c r="Y399" t="s">
        <v>46</v>
      </c>
      <c r="Z399" t="s">
        <v>45</v>
      </c>
      <c r="AF399">
        <v>2</v>
      </c>
      <c r="AH399" t="s">
        <v>75</v>
      </c>
      <c r="AI399">
        <v>1</v>
      </c>
      <c r="AJ399" s="14"/>
      <c r="AN399"/>
      <c r="AO399"/>
      <c r="AP399"/>
      <c r="AQ399"/>
      <c r="AR399" s="18" t="str">
        <f>IFERROR(VLOOKUP(K399,[1]POP!$F:$J,1,0),M399)</f>
        <v>MADA</v>
      </c>
      <c r="AS399" s="18" t="str">
        <f t="shared" si="31"/>
        <v>TCHIKA</v>
      </c>
      <c r="AT399" s="19">
        <f t="shared" si="34"/>
        <v>2</v>
      </c>
      <c r="AU399" s="19">
        <f t="shared" ca="1" si="33"/>
        <v>2</v>
      </c>
    </row>
    <row r="400" spans="1:47" x14ac:dyDescent="0.3">
      <c r="A400" t="s">
        <v>593</v>
      </c>
      <c r="B400" t="str">
        <f t="shared" si="30"/>
        <v>S28_2026</v>
      </c>
      <c r="C400" t="str">
        <f t="shared" si="32"/>
        <v>S28_2026</v>
      </c>
      <c r="F400">
        <v>3</v>
      </c>
      <c r="G400" t="s">
        <v>40</v>
      </c>
      <c r="I400" t="s">
        <v>166</v>
      </c>
      <c r="J400" t="s">
        <v>166</v>
      </c>
      <c r="K400" t="s">
        <v>124</v>
      </c>
      <c r="L400" t="s">
        <v>166</v>
      </c>
      <c r="M400" t="s">
        <v>124</v>
      </c>
      <c r="N400" t="s">
        <v>45</v>
      </c>
      <c r="O400" t="s">
        <v>45</v>
      </c>
      <c r="P400">
        <v>2</v>
      </c>
      <c r="Q400" s="7">
        <v>46213</v>
      </c>
      <c r="R400" s="7">
        <v>46213</v>
      </c>
      <c r="S400" s="7">
        <v>46213</v>
      </c>
      <c r="T400" t="s">
        <v>45</v>
      </c>
      <c r="V400" t="s">
        <v>167</v>
      </c>
      <c r="W400" t="s">
        <v>45</v>
      </c>
      <c r="X400" t="s">
        <v>74</v>
      </c>
      <c r="Y400" t="s">
        <v>46</v>
      </c>
      <c r="Z400" t="s">
        <v>45</v>
      </c>
      <c r="AF400">
        <v>2</v>
      </c>
      <c r="AH400" t="s">
        <v>75</v>
      </c>
      <c r="AI400">
        <v>1</v>
      </c>
      <c r="AJ400" s="14"/>
      <c r="AN400"/>
      <c r="AO400"/>
      <c r="AP400"/>
      <c r="AQ400"/>
      <c r="AR400" s="18" t="str">
        <f>IFERROR(VLOOKUP(K400,[1]POP!$F:$J,1,0),M400)</f>
        <v>MADA</v>
      </c>
      <c r="AS400" s="18" t="str">
        <f t="shared" si="31"/>
        <v>BARGARAM</v>
      </c>
      <c r="AT400" s="19">
        <f t="shared" si="34"/>
        <v>2</v>
      </c>
      <c r="AU400" s="19">
        <f t="shared" ca="1" si="33"/>
        <v>2</v>
      </c>
    </row>
    <row r="401" spans="1:47" x14ac:dyDescent="0.3">
      <c r="A401" t="s">
        <v>594</v>
      </c>
      <c r="B401" t="str">
        <f t="shared" si="30"/>
        <v>S28_2026</v>
      </c>
      <c r="C401" t="str">
        <f t="shared" si="32"/>
        <v>S28_2026</v>
      </c>
      <c r="F401">
        <v>25</v>
      </c>
      <c r="G401" t="s">
        <v>55</v>
      </c>
      <c r="H401" t="s">
        <v>79</v>
      </c>
      <c r="I401" t="s">
        <v>234</v>
      </c>
      <c r="J401" t="s">
        <v>166</v>
      </c>
      <c r="K401" t="s">
        <v>124</v>
      </c>
      <c r="L401" t="s">
        <v>166</v>
      </c>
      <c r="M401" t="s">
        <v>124</v>
      </c>
      <c r="N401" t="s">
        <v>45</v>
      </c>
      <c r="O401" t="s">
        <v>45</v>
      </c>
      <c r="P401">
        <v>3</v>
      </c>
      <c r="Q401" s="7">
        <v>46213</v>
      </c>
      <c r="R401" s="7">
        <v>46213</v>
      </c>
      <c r="S401" s="7">
        <v>46213</v>
      </c>
      <c r="T401" t="s">
        <v>45</v>
      </c>
      <c r="V401" t="s">
        <v>167</v>
      </c>
      <c r="W401" t="s">
        <v>45</v>
      </c>
      <c r="X401" t="s">
        <v>74</v>
      </c>
      <c r="Y401" t="s">
        <v>46</v>
      </c>
      <c r="Z401" t="s">
        <v>45</v>
      </c>
      <c r="AF401">
        <v>2</v>
      </c>
      <c r="AH401" t="s">
        <v>75</v>
      </c>
      <c r="AI401">
        <v>1</v>
      </c>
      <c r="AJ401" s="14"/>
      <c r="AN401"/>
      <c r="AO401"/>
      <c r="AP401"/>
      <c r="AQ401"/>
      <c r="AR401" s="18" t="str">
        <f>IFERROR(VLOOKUP(K401,[1]POP!$F:$J,1,0),M401)</f>
        <v>MADA</v>
      </c>
      <c r="AS401" s="18" t="str">
        <f t="shared" si="31"/>
        <v>BARGARAM</v>
      </c>
      <c r="AT401" s="19">
        <f t="shared" si="34"/>
        <v>2</v>
      </c>
      <c r="AU401" s="19">
        <f t="shared" ca="1" si="33"/>
        <v>2</v>
      </c>
    </row>
    <row r="402" spans="1:47" x14ac:dyDescent="0.3">
      <c r="A402" t="s">
        <v>595</v>
      </c>
      <c r="B402" t="str">
        <f t="shared" si="30"/>
        <v>S28_2026</v>
      </c>
      <c r="C402" t="str">
        <f t="shared" si="32"/>
        <v>S28_2026</v>
      </c>
      <c r="F402">
        <v>25</v>
      </c>
      <c r="G402" t="s">
        <v>40</v>
      </c>
      <c r="H402" t="s">
        <v>77</v>
      </c>
      <c r="I402" t="s">
        <v>234</v>
      </c>
      <c r="J402" t="s">
        <v>166</v>
      </c>
      <c r="K402" t="s">
        <v>124</v>
      </c>
      <c r="L402" t="s">
        <v>166</v>
      </c>
      <c r="M402" t="s">
        <v>124</v>
      </c>
      <c r="N402" t="s">
        <v>45</v>
      </c>
      <c r="O402" t="s">
        <v>45</v>
      </c>
      <c r="P402">
        <v>2</v>
      </c>
      <c r="Q402" s="7">
        <v>46213</v>
      </c>
      <c r="R402" s="7">
        <v>46213</v>
      </c>
      <c r="S402" s="7">
        <v>46213</v>
      </c>
      <c r="T402" t="s">
        <v>45</v>
      </c>
      <c r="V402" t="s">
        <v>167</v>
      </c>
      <c r="W402" t="s">
        <v>45</v>
      </c>
      <c r="X402" t="s">
        <v>74</v>
      </c>
      <c r="Y402" t="s">
        <v>46</v>
      </c>
      <c r="Z402" t="s">
        <v>45</v>
      </c>
      <c r="AF402">
        <v>2</v>
      </c>
      <c r="AH402" t="s">
        <v>75</v>
      </c>
      <c r="AI402">
        <v>1</v>
      </c>
      <c r="AJ402" s="14"/>
      <c r="AL402" t="s">
        <v>96</v>
      </c>
      <c r="AN402"/>
      <c r="AO402"/>
      <c r="AP402"/>
      <c r="AQ402"/>
      <c r="AR402" s="18" t="str">
        <f>IFERROR(VLOOKUP(K402,[1]POP!$F:$J,1,0),M402)</f>
        <v>MADA</v>
      </c>
      <c r="AS402" s="18" t="str">
        <f t="shared" si="31"/>
        <v>BARGARAM</v>
      </c>
      <c r="AT402" s="19">
        <f t="shared" si="34"/>
        <v>2</v>
      </c>
      <c r="AU402" s="19">
        <f t="shared" ca="1" si="33"/>
        <v>2</v>
      </c>
    </row>
    <row r="403" spans="1:47" x14ac:dyDescent="0.3">
      <c r="A403" t="s">
        <v>596</v>
      </c>
      <c r="B403" t="str">
        <f t="shared" si="30"/>
        <v>S28_2026</v>
      </c>
      <c r="C403" t="str">
        <f t="shared" si="32"/>
        <v>S28_2026</v>
      </c>
      <c r="F403">
        <v>1</v>
      </c>
      <c r="G403" t="s">
        <v>55</v>
      </c>
      <c r="H403" t="s">
        <v>85</v>
      </c>
      <c r="I403" t="s">
        <v>166</v>
      </c>
      <c r="J403" t="s">
        <v>166</v>
      </c>
      <c r="K403" t="s">
        <v>124</v>
      </c>
      <c r="L403" t="s">
        <v>166</v>
      </c>
      <c r="M403" t="s">
        <v>124</v>
      </c>
      <c r="N403" t="s">
        <v>45</v>
      </c>
      <c r="O403" t="s">
        <v>45</v>
      </c>
      <c r="P403">
        <v>3</v>
      </c>
      <c r="Q403" s="7">
        <v>46214</v>
      </c>
      <c r="R403" s="7">
        <v>46214</v>
      </c>
      <c r="S403" s="7">
        <v>46214</v>
      </c>
      <c r="T403" t="s">
        <v>45</v>
      </c>
      <c r="V403" t="s">
        <v>167</v>
      </c>
      <c r="W403" t="s">
        <v>45</v>
      </c>
      <c r="X403" t="s">
        <v>74</v>
      </c>
      <c r="Y403" t="s">
        <v>46</v>
      </c>
      <c r="Z403" t="s">
        <v>45</v>
      </c>
      <c r="AF403">
        <v>2</v>
      </c>
      <c r="AH403" t="s">
        <v>75</v>
      </c>
      <c r="AI403">
        <v>1</v>
      </c>
      <c r="AJ403" s="14"/>
      <c r="AN403"/>
      <c r="AO403"/>
      <c r="AP403"/>
      <c r="AQ403"/>
      <c r="AR403" s="18" t="str">
        <f>IFERROR(VLOOKUP(K403,[1]POP!$F:$J,1,0),M403)</f>
        <v>MADA</v>
      </c>
      <c r="AS403" s="18" t="str">
        <f t="shared" si="31"/>
        <v>BARGARAM</v>
      </c>
      <c r="AT403" s="19">
        <f t="shared" si="34"/>
        <v>2</v>
      </c>
      <c r="AU403" s="19">
        <f t="shared" ca="1" si="33"/>
        <v>2</v>
      </c>
    </row>
    <row r="404" spans="1:47" x14ac:dyDescent="0.3">
      <c r="A404" t="s">
        <v>597</v>
      </c>
      <c r="B404" t="str">
        <f t="shared" si="30"/>
        <v>S28_2026</v>
      </c>
      <c r="C404" t="str">
        <f t="shared" si="32"/>
        <v>S28_2026</v>
      </c>
      <c r="F404">
        <v>2</v>
      </c>
      <c r="G404" t="s">
        <v>55</v>
      </c>
      <c r="H404" t="s">
        <v>85</v>
      </c>
      <c r="I404" t="s">
        <v>234</v>
      </c>
      <c r="J404" t="s">
        <v>166</v>
      </c>
      <c r="K404" t="s">
        <v>124</v>
      </c>
      <c r="L404" t="s">
        <v>166</v>
      </c>
      <c r="M404" t="s">
        <v>124</v>
      </c>
      <c r="N404" t="s">
        <v>45</v>
      </c>
      <c r="O404" t="s">
        <v>45</v>
      </c>
      <c r="P404">
        <v>2</v>
      </c>
      <c r="Q404" s="7">
        <v>46214</v>
      </c>
      <c r="R404" s="7">
        <v>46214</v>
      </c>
      <c r="S404" s="7">
        <v>46214</v>
      </c>
      <c r="T404" t="s">
        <v>45</v>
      </c>
      <c r="V404" t="s">
        <v>167</v>
      </c>
      <c r="W404" t="s">
        <v>45</v>
      </c>
      <c r="X404" t="s">
        <v>74</v>
      </c>
      <c r="Y404" t="s">
        <v>46</v>
      </c>
      <c r="Z404" t="s">
        <v>45</v>
      </c>
      <c r="AF404">
        <v>2</v>
      </c>
      <c r="AH404" t="s">
        <v>75</v>
      </c>
      <c r="AI404">
        <v>1</v>
      </c>
      <c r="AJ404" s="14"/>
      <c r="AN404"/>
      <c r="AO404"/>
      <c r="AP404"/>
      <c r="AQ404"/>
      <c r="AR404" s="18" t="str">
        <f>IFERROR(VLOOKUP(K404,[1]POP!$F:$J,1,0),M404)</f>
        <v>MADA</v>
      </c>
      <c r="AS404" s="18" t="str">
        <f t="shared" si="31"/>
        <v>BARGARAM</v>
      </c>
      <c r="AT404" s="19">
        <f t="shared" si="34"/>
        <v>2</v>
      </c>
      <c r="AU404" s="19">
        <f t="shared" ca="1" si="33"/>
        <v>2</v>
      </c>
    </row>
    <row r="405" spans="1:47" x14ac:dyDescent="0.3">
      <c r="A405" t="s">
        <v>598</v>
      </c>
      <c r="B405" t="str">
        <f t="shared" si="30"/>
        <v>S28_2026</v>
      </c>
      <c r="C405" t="str">
        <f t="shared" si="32"/>
        <v>S28_2026</v>
      </c>
      <c r="F405">
        <v>7</v>
      </c>
      <c r="G405" t="s">
        <v>40</v>
      </c>
      <c r="H405" t="s">
        <v>85</v>
      </c>
      <c r="I405" t="s">
        <v>507</v>
      </c>
      <c r="J405" t="s">
        <v>166</v>
      </c>
      <c r="K405" t="s">
        <v>124</v>
      </c>
      <c r="L405" t="s">
        <v>166</v>
      </c>
      <c r="M405" t="s">
        <v>124</v>
      </c>
      <c r="N405" t="s">
        <v>45</v>
      </c>
      <c r="O405" t="s">
        <v>45</v>
      </c>
      <c r="P405">
        <v>3</v>
      </c>
      <c r="Q405" s="7">
        <v>46214</v>
      </c>
      <c r="R405" s="7">
        <v>46214</v>
      </c>
      <c r="S405" s="7">
        <v>46214</v>
      </c>
      <c r="T405" t="s">
        <v>45</v>
      </c>
      <c r="V405" t="s">
        <v>167</v>
      </c>
      <c r="W405" t="s">
        <v>45</v>
      </c>
      <c r="X405" t="s">
        <v>74</v>
      </c>
      <c r="Y405" t="s">
        <v>46</v>
      </c>
      <c r="Z405" t="s">
        <v>45</v>
      </c>
      <c r="AF405">
        <v>2</v>
      </c>
      <c r="AH405" t="s">
        <v>75</v>
      </c>
      <c r="AI405">
        <v>1</v>
      </c>
      <c r="AJ405" s="14"/>
      <c r="AN405"/>
      <c r="AO405"/>
      <c r="AP405"/>
      <c r="AQ405"/>
      <c r="AR405" s="18" t="str">
        <f>IFERROR(VLOOKUP(K405,[1]POP!$F:$J,1,0),M405)</f>
        <v>MADA</v>
      </c>
      <c r="AS405" s="18" t="str">
        <f t="shared" si="31"/>
        <v>BARGARAM</v>
      </c>
      <c r="AT405" s="19">
        <f t="shared" si="34"/>
        <v>2</v>
      </c>
      <c r="AU405" s="19">
        <f t="shared" ca="1" si="33"/>
        <v>2</v>
      </c>
    </row>
    <row r="406" spans="1:47" x14ac:dyDescent="0.3">
      <c r="A406" t="s">
        <v>599</v>
      </c>
      <c r="B406" t="str">
        <f t="shared" si="30"/>
        <v>S28_2026</v>
      </c>
      <c r="C406" t="str">
        <f t="shared" si="32"/>
        <v>S28_2026</v>
      </c>
      <c r="F406">
        <v>70</v>
      </c>
      <c r="G406" t="s">
        <v>55</v>
      </c>
      <c r="H406" t="s">
        <v>70</v>
      </c>
      <c r="I406" t="s">
        <v>166</v>
      </c>
      <c r="J406" t="s">
        <v>166</v>
      </c>
      <c r="K406" t="s">
        <v>124</v>
      </c>
      <c r="L406" t="s">
        <v>166</v>
      </c>
      <c r="M406" t="s">
        <v>124</v>
      </c>
      <c r="N406" t="s">
        <v>45</v>
      </c>
      <c r="O406" t="s">
        <v>45</v>
      </c>
      <c r="P406">
        <v>3</v>
      </c>
      <c r="Q406" s="7">
        <v>46214</v>
      </c>
      <c r="R406" s="7">
        <v>46214</v>
      </c>
      <c r="S406" s="7">
        <v>46214</v>
      </c>
      <c r="T406" t="s">
        <v>45</v>
      </c>
      <c r="V406" t="s">
        <v>167</v>
      </c>
      <c r="W406" t="s">
        <v>45</v>
      </c>
      <c r="X406" t="s">
        <v>74</v>
      </c>
      <c r="Y406" t="s">
        <v>46</v>
      </c>
      <c r="Z406" t="s">
        <v>45</v>
      </c>
      <c r="AA406" s="7">
        <v>46215</v>
      </c>
      <c r="AC406" t="s">
        <v>45</v>
      </c>
      <c r="AD406" t="s">
        <v>48</v>
      </c>
      <c r="AF406">
        <v>2</v>
      </c>
      <c r="AH406" t="s">
        <v>75</v>
      </c>
      <c r="AI406">
        <v>1</v>
      </c>
      <c r="AJ406" s="14"/>
      <c r="AN406"/>
      <c r="AO406"/>
      <c r="AP406"/>
      <c r="AQ406"/>
      <c r="AR406" s="18" t="str">
        <f>IFERROR(VLOOKUP(K406,[1]POP!$F:$J,1,0),M406)</f>
        <v>MADA</v>
      </c>
      <c r="AS406" s="18" t="str">
        <f t="shared" si="31"/>
        <v>BARGARAM</v>
      </c>
      <c r="AT406" s="19">
        <f t="shared" si="34"/>
        <v>2</v>
      </c>
      <c r="AU406" s="19">
        <f t="shared" ca="1" si="33"/>
        <v>2</v>
      </c>
    </row>
    <row r="407" spans="1:47" x14ac:dyDescent="0.3">
      <c r="A407" t="s">
        <v>600</v>
      </c>
      <c r="B407" t="str">
        <f t="shared" si="30"/>
        <v>S28_2026</v>
      </c>
      <c r="C407" t="str">
        <f t="shared" si="32"/>
        <v>S28_2026</v>
      </c>
      <c r="F407">
        <v>20</v>
      </c>
      <c r="G407" t="s">
        <v>40</v>
      </c>
      <c r="H407" t="s">
        <v>77</v>
      </c>
      <c r="I407" t="s">
        <v>172</v>
      </c>
      <c r="J407" t="s">
        <v>173</v>
      </c>
      <c r="K407" t="s">
        <v>124</v>
      </c>
      <c r="L407" t="s">
        <v>174</v>
      </c>
      <c r="M407" t="s">
        <v>124</v>
      </c>
      <c r="N407" t="s">
        <v>45</v>
      </c>
      <c r="O407" t="s">
        <v>45</v>
      </c>
      <c r="P407">
        <v>3</v>
      </c>
      <c r="Q407" s="7">
        <v>46213</v>
      </c>
      <c r="R407" s="7">
        <v>46213</v>
      </c>
      <c r="S407" s="7">
        <v>46213</v>
      </c>
      <c r="T407" t="s">
        <v>45</v>
      </c>
      <c r="V407" t="s">
        <v>175</v>
      </c>
      <c r="W407" t="s">
        <v>45</v>
      </c>
      <c r="X407" t="s">
        <v>74</v>
      </c>
      <c r="Y407" t="s">
        <v>46</v>
      </c>
      <c r="Z407" t="s">
        <v>45</v>
      </c>
      <c r="AF407">
        <v>2</v>
      </c>
      <c r="AH407" t="s">
        <v>75</v>
      </c>
      <c r="AI407">
        <v>1</v>
      </c>
      <c r="AJ407" s="14"/>
      <c r="AN407"/>
      <c r="AO407"/>
      <c r="AP407"/>
      <c r="AQ407"/>
      <c r="AR407" s="18" t="str">
        <f>IFERROR(VLOOKUP(K407,[1]POP!$F:$J,1,0),M407)</f>
        <v>MADA</v>
      </c>
      <c r="AS407" s="18" t="str">
        <f t="shared" si="31"/>
        <v>TCHIKA</v>
      </c>
      <c r="AT407" s="19">
        <f t="shared" si="34"/>
        <v>2</v>
      </c>
      <c r="AU407" s="19">
        <f t="shared" ca="1" si="33"/>
        <v>2</v>
      </c>
    </row>
    <row r="408" spans="1:47" x14ac:dyDescent="0.3">
      <c r="A408" t="s">
        <v>601</v>
      </c>
      <c r="B408" t="str">
        <f t="shared" si="30"/>
        <v>S28_2026</v>
      </c>
      <c r="C408" t="str">
        <f t="shared" si="32"/>
        <v>S28_2026</v>
      </c>
      <c r="F408">
        <v>21</v>
      </c>
      <c r="G408" t="s">
        <v>40</v>
      </c>
      <c r="H408" t="s">
        <v>77</v>
      </c>
      <c r="I408" t="s">
        <v>172</v>
      </c>
      <c r="J408" t="s">
        <v>173</v>
      </c>
      <c r="K408" t="s">
        <v>124</v>
      </c>
      <c r="L408" t="s">
        <v>174</v>
      </c>
      <c r="M408" t="s">
        <v>124</v>
      </c>
      <c r="N408" t="s">
        <v>45</v>
      </c>
      <c r="O408" t="s">
        <v>45</v>
      </c>
      <c r="P408">
        <v>3</v>
      </c>
      <c r="Q408" s="7">
        <v>46213</v>
      </c>
      <c r="R408" s="7">
        <v>46213</v>
      </c>
      <c r="S408" s="7">
        <v>46213</v>
      </c>
      <c r="T408" t="s">
        <v>45</v>
      </c>
      <c r="V408" t="s">
        <v>175</v>
      </c>
      <c r="W408" t="s">
        <v>45</v>
      </c>
      <c r="X408" t="s">
        <v>74</v>
      </c>
      <c r="Y408" t="s">
        <v>46</v>
      </c>
      <c r="Z408" t="s">
        <v>45</v>
      </c>
      <c r="AF408">
        <v>2</v>
      </c>
      <c r="AH408" t="s">
        <v>75</v>
      </c>
      <c r="AI408">
        <v>1</v>
      </c>
      <c r="AJ408" s="14"/>
      <c r="AN408"/>
      <c r="AO408"/>
      <c r="AP408"/>
      <c r="AQ408"/>
      <c r="AR408" s="18" t="str">
        <f>IFERROR(VLOOKUP(K408,[1]POP!$F:$J,1,0),M408)</f>
        <v>MADA</v>
      </c>
      <c r="AS408" s="18" t="str">
        <f t="shared" si="31"/>
        <v>TCHIKA</v>
      </c>
      <c r="AT408" s="19">
        <f t="shared" si="34"/>
        <v>2</v>
      </c>
      <c r="AU408" s="19">
        <f t="shared" ca="1" si="33"/>
        <v>2</v>
      </c>
    </row>
    <row r="409" spans="1:47" x14ac:dyDescent="0.3">
      <c r="A409" t="s">
        <v>602</v>
      </c>
      <c r="B409" t="str">
        <f t="shared" si="30"/>
        <v>S28_2026</v>
      </c>
      <c r="C409" t="str">
        <f t="shared" si="32"/>
        <v>S28_2026</v>
      </c>
      <c r="F409">
        <v>6</v>
      </c>
      <c r="G409" t="s">
        <v>55</v>
      </c>
      <c r="I409" t="s">
        <v>271</v>
      </c>
      <c r="J409" t="s">
        <v>174</v>
      </c>
      <c r="K409" t="s">
        <v>124</v>
      </c>
      <c r="L409" t="s">
        <v>174</v>
      </c>
      <c r="M409" t="s">
        <v>124</v>
      </c>
      <c r="N409" t="s">
        <v>45</v>
      </c>
      <c r="O409" t="s">
        <v>45</v>
      </c>
      <c r="P409">
        <v>2</v>
      </c>
      <c r="Q409" s="7">
        <v>46212</v>
      </c>
      <c r="R409" s="7">
        <v>46213</v>
      </c>
      <c r="S409" s="7">
        <v>46213</v>
      </c>
      <c r="T409" t="s">
        <v>45</v>
      </c>
      <c r="V409" t="s">
        <v>175</v>
      </c>
      <c r="W409" t="s">
        <v>45</v>
      </c>
      <c r="X409" t="s">
        <v>74</v>
      </c>
      <c r="Y409" t="s">
        <v>46</v>
      </c>
      <c r="Z409" t="s">
        <v>45</v>
      </c>
      <c r="AF409">
        <v>2</v>
      </c>
      <c r="AH409" t="s">
        <v>75</v>
      </c>
      <c r="AI409">
        <v>1</v>
      </c>
      <c r="AJ409" s="14"/>
      <c r="AN409"/>
      <c r="AO409"/>
      <c r="AP409"/>
      <c r="AQ409"/>
      <c r="AR409" s="18" t="str">
        <f>IFERROR(VLOOKUP(K409,[1]POP!$F:$J,1,0),M409)</f>
        <v>MADA</v>
      </c>
      <c r="AS409" s="18" t="str">
        <f t="shared" si="31"/>
        <v>HILE ALIFA</v>
      </c>
      <c r="AT409" s="19">
        <f t="shared" si="34"/>
        <v>2</v>
      </c>
      <c r="AU409" s="19">
        <f t="shared" ca="1" si="33"/>
        <v>2</v>
      </c>
    </row>
    <row r="410" spans="1:47" x14ac:dyDescent="0.3">
      <c r="A410" t="s">
        <v>603</v>
      </c>
      <c r="B410" t="str">
        <f t="shared" si="30"/>
        <v>S28_2026</v>
      </c>
      <c r="C410" t="str">
        <f t="shared" si="32"/>
        <v>S28_2026</v>
      </c>
      <c r="F410">
        <v>48</v>
      </c>
      <c r="G410" t="s">
        <v>40</v>
      </c>
      <c r="H410" t="s">
        <v>70</v>
      </c>
      <c r="I410" t="s">
        <v>172</v>
      </c>
      <c r="J410" t="s">
        <v>173</v>
      </c>
      <c r="K410" t="s">
        <v>124</v>
      </c>
      <c r="L410" t="s">
        <v>174</v>
      </c>
      <c r="M410" t="s">
        <v>124</v>
      </c>
      <c r="N410" t="s">
        <v>45</v>
      </c>
      <c r="O410" t="s">
        <v>45</v>
      </c>
      <c r="P410">
        <v>3</v>
      </c>
      <c r="Q410" s="7">
        <v>46213</v>
      </c>
      <c r="R410" s="7">
        <v>46213</v>
      </c>
      <c r="S410" s="7">
        <v>46213</v>
      </c>
      <c r="T410" t="s">
        <v>45</v>
      </c>
      <c r="V410" t="s">
        <v>175</v>
      </c>
      <c r="W410" t="s">
        <v>45</v>
      </c>
      <c r="X410" t="s">
        <v>74</v>
      </c>
      <c r="Y410" t="s">
        <v>46</v>
      </c>
      <c r="Z410" t="s">
        <v>45</v>
      </c>
      <c r="AF410">
        <v>2</v>
      </c>
      <c r="AH410" t="s">
        <v>75</v>
      </c>
      <c r="AI410">
        <v>1</v>
      </c>
      <c r="AJ410" s="14"/>
      <c r="AN410"/>
      <c r="AO410"/>
      <c r="AP410"/>
      <c r="AQ410"/>
      <c r="AR410" s="18" t="str">
        <f>IFERROR(VLOOKUP(K410,[1]POP!$F:$J,1,0),M410)</f>
        <v>MADA</v>
      </c>
      <c r="AS410" s="18" t="str">
        <f t="shared" si="31"/>
        <v>TCHIKA</v>
      </c>
      <c r="AT410" s="19">
        <f t="shared" si="34"/>
        <v>2</v>
      </c>
      <c r="AU410" s="19">
        <f t="shared" ca="1" si="33"/>
        <v>2</v>
      </c>
    </row>
    <row r="411" spans="1:47" x14ac:dyDescent="0.3">
      <c r="A411" t="s">
        <v>604</v>
      </c>
      <c r="B411" t="str">
        <f t="shared" si="30"/>
        <v>S28_2026</v>
      </c>
      <c r="C411" t="str">
        <f t="shared" si="32"/>
        <v>S28_2026</v>
      </c>
      <c r="F411">
        <v>2</v>
      </c>
      <c r="G411" t="s">
        <v>40</v>
      </c>
      <c r="I411" t="s">
        <v>605</v>
      </c>
      <c r="J411" t="s">
        <v>174</v>
      </c>
      <c r="K411" t="s">
        <v>124</v>
      </c>
      <c r="L411" t="s">
        <v>174</v>
      </c>
      <c r="M411" t="s">
        <v>124</v>
      </c>
      <c r="N411" t="s">
        <v>45</v>
      </c>
      <c r="O411" t="s">
        <v>45</v>
      </c>
      <c r="P411">
        <v>2</v>
      </c>
      <c r="Q411" s="7">
        <v>46212</v>
      </c>
      <c r="R411" s="7">
        <v>46213</v>
      </c>
      <c r="S411" s="7">
        <v>46213</v>
      </c>
      <c r="T411" t="s">
        <v>45</v>
      </c>
      <c r="V411" t="s">
        <v>175</v>
      </c>
      <c r="W411" t="s">
        <v>45</v>
      </c>
      <c r="X411" t="s">
        <v>74</v>
      </c>
      <c r="Y411" t="s">
        <v>46</v>
      </c>
      <c r="Z411" t="s">
        <v>45</v>
      </c>
      <c r="AF411">
        <v>2</v>
      </c>
      <c r="AH411" t="s">
        <v>75</v>
      </c>
      <c r="AI411">
        <v>1</v>
      </c>
      <c r="AJ411" s="14"/>
      <c r="AN411"/>
      <c r="AO411"/>
      <c r="AP411"/>
      <c r="AQ411"/>
      <c r="AR411" s="18" t="str">
        <f>IFERROR(VLOOKUP(K411,[1]POP!$F:$J,1,0),M411)</f>
        <v>MADA</v>
      </c>
      <c r="AS411" s="18" t="str">
        <f t="shared" si="31"/>
        <v>HILE ALIFA</v>
      </c>
      <c r="AT411" s="19">
        <f t="shared" si="34"/>
        <v>2</v>
      </c>
      <c r="AU411" s="19">
        <f t="shared" ca="1" si="33"/>
        <v>2</v>
      </c>
    </row>
    <row r="412" spans="1:47" x14ac:dyDescent="0.3">
      <c r="A412" t="s">
        <v>606</v>
      </c>
      <c r="B412" t="str">
        <f t="shared" si="30"/>
        <v>S28_2026</v>
      </c>
      <c r="C412" t="str">
        <f t="shared" si="32"/>
        <v>S28_2026</v>
      </c>
      <c r="F412">
        <v>12</v>
      </c>
      <c r="G412" t="s">
        <v>55</v>
      </c>
      <c r="I412" t="s">
        <v>172</v>
      </c>
      <c r="J412" t="s">
        <v>173</v>
      </c>
      <c r="K412" t="s">
        <v>124</v>
      </c>
      <c r="L412" t="s">
        <v>174</v>
      </c>
      <c r="M412" t="s">
        <v>124</v>
      </c>
      <c r="N412" t="s">
        <v>45</v>
      </c>
      <c r="O412" t="s">
        <v>45</v>
      </c>
      <c r="P412">
        <v>3</v>
      </c>
      <c r="Q412" s="7">
        <v>46212</v>
      </c>
      <c r="R412" s="7">
        <v>46213</v>
      </c>
      <c r="S412" s="7">
        <v>46213</v>
      </c>
      <c r="T412" t="s">
        <v>45</v>
      </c>
      <c r="V412" t="s">
        <v>175</v>
      </c>
      <c r="W412" t="s">
        <v>45</v>
      </c>
      <c r="X412" t="s">
        <v>74</v>
      </c>
      <c r="Y412" t="s">
        <v>46</v>
      </c>
      <c r="Z412" t="s">
        <v>45</v>
      </c>
      <c r="AA412" s="7">
        <v>46215</v>
      </c>
      <c r="AC412" t="s">
        <v>45</v>
      </c>
      <c r="AD412" t="s">
        <v>48</v>
      </c>
      <c r="AF412">
        <v>2</v>
      </c>
      <c r="AH412" t="s">
        <v>75</v>
      </c>
      <c r="AI412">
        <v>1</v>
      </c>
      <c r="AJ412" s="14"/>
      <c r="AL412" t="s">
        <v>96</v>
      </c>
      <c r="AN412"/>
      <c r="AO412"/>
      <c r="AP412"/>
      <c r="AQ412"/>
      <c r="AR412" s="18" t="str">
        <f>IFERROR(VLOOKUP(K412,[1]POP!$F:$J,1,0),M412)</f>
        <v>MADA</v>
      </c>
      <c r="AS412" s="18" t="str">
        <f t="shared" si="31"/>
        <v>TCHIKA</v>
      </c>
      <c r="AT412" s="19">
        <f t="shared" si="34"/>
        <v>2</v>
      </c>
      <c r="AU412" s="19">
        <f t="shared" ca="1" si="33"/>
        <v>2</v>
      </c>
    </row>
    <row r="413" spans="1:47" x14ac:dyDescent="0.3">
      <c r="A413" t="s">
        <v>607</v>
      </c>
      <c r="B413" t="str">
        <f t="shared" si="30"/>
        <v>S28_2026</v>
      </c>
      <c r="C413" t="str">
        <f t="shared" si="32"/>
        <v>S28_2026</v>
      </c>
      <c r="F413">
        <v>27</v>
      </c>
      <c r="G413" t="s">
        <v>55</v>
      </c>
      <c r="H413" t="s">
        <v>70</v>
      </c>
      <c r="I413" t="s">
        <v>605</v>
      </c>
      <c r="J413" t="s">
        <v>174</v>
      </c>
      <c r="K413" t="s">
        <v>124</v>
      </c>
      <c r="L413" t="s">
        <v>174</v>
      </c>
      <c r="M413" t="s">
        <v>124</v>
      </c>
      <c r="N413" t="s">
        <v>45</v>
      </c>
      <c r="O413" t="s">
        <v>45</v>
      </c>
      <c r="P413">
        <v>3</v>
      </c>
      <c r="Q413" s="7">
        <v>46213</v>
      </c>
      <c r="R413" s="7">
        <v>46213</v>
      </c>
      <c r="S413" s="7">
        <v>46213</v>
      </c>
      <c r="T413" t="s">
        <v>45</v>
      </c>
      <c r="V413" t="s">
        <v>175</v>
      </c>
      <c r="W413" t="s">
        <v>45</v>
      </c>
      <c r="X413" t="s">
        <v>74</v>
      </c>
      <c r="Y413" t="s">
        <v>46</v>
      </c>
      <c r="Z413" t="s">
        <v>45</v>
      </c>
      <c r="AF413">
        <v>2</v>
      </c>
      <c r="AH413" t="s">
        <v>75</v>
      </c>
      <c r="AI413">
        <v>1</v>
      </c>
      <c r="AJ413" s="14"/>
      <c r="AN413"/>
      <c r="AO413"/>
      <c r="AP413"/>
      <c r="AQ413"/>
      <c r="AR413" s="18" t="str">
        <f>IFERROR(VLOOKUP(K413,[1]POP!$F:$J,1,0),M413)</f>
        <v>MADA</v>
      </c>
      <c r="AS413" s="18" t="str">
        <f t="shared" si="31"/>
        <v>HILE ALIFA</v>
      </c>
      <c r="AT413" s="19">
        <f t="shared" si="34"/>
        <v>2</v>
      </c>
      <c r="AU413" s="19">
        <f t="shared" ca="1" si="33"/>
        <v>2</v>
      </c>
    </row>
    <row r="414" spans="1:47" x14ac:dyDescent="0.3">
      <c r="A414" t="s">
        <v>608</v>
      </c>
      <c r="B414" t="str">
        <f t="shared" si="30"/>
        <v>S28_2026</v>
      </c>
      <c r="C414" t="str">
        <f t="shared" si="32"/>
        <v>S28_2026</v>
      </c>
      <c r="F414">
        <v>5</v>
      </c>
      <c r="G414" t="s">
        <v>40</v>
      </c>
      <c r="H414" t="s">
        <v>85</v>
      </c>
      <c r="I414" t="s">
        <v>234</v>
      </c>
      <c r="J414" t="s">
        <v>166</v>
      </c>
      <c r="K414" t="s">
        <v>124</v>
      </c>
      <c r="L414" t="s">
        <v>166</v>
      </c>
      <c r="M414" t="s">
        <v>124</v>
      </c>
      <c r="N414" t="s">
        <v>45</v>
      </c>
      <c r="O414" t="s">
        <v>45</v>
      </c>
      <c r="P414">
        <v>3</v>
      </c>
      <c r="Q414" s="7">
        <v>46214</v>
      </c>
      <c r="R414" s="7">
        <v>46215</v>
      </c>
      <c r="S414" s="7">
        <v>46215</v>
      </c>
      <c r="T414" t="s">
        <v>45</v>
      </c>
      <c r="V414" t="s">
        <v>167</v>
      </c>
      <c r="W414" t="s">
        <v>45</v>
      </c>
      <c r="X414" t="s">
        <v>74</v>
      </c>
      <c r="Y414" t="s">
        <v>46</v>
      </c>
      <c r="Z414" t="s">
        <v>45</v>
      </c>
      <c r="AF414">
        <v>2</v>
      </c>
      <c r="AH414" t="s">
        <v>75</v>
      </c>
      <c r="AI414">
        <v>1</v>
      </c>
      <c r="AJ414" s="14"/>
      <c r="AN414"/>
      <c r="AO414"/>
      <c r="AP414"/>
      <c r="AQ414"/>
      <c r="AR414" s="18" t="str">
        <f>IFERROR(VLOOKUP(K414,[1]POP!$F:$J,1,0),M414)</f>
        <v>MADA</v>
      </c>
      <c r="AS414" s="18" t="str">
        <f t="shared" si="31"/>
        <v>BARGARAM</v>
      </c>
      <c r="AT414" s="19">
        <f t="shared" si="34"/>
        <v>2</v>
      </c>
      <c r="AU414" s="19">
        <f t="shared" ca="1" si="33"/>
        <v>2</v>
      </c>
    </row>
    <row r="415" spans="1:47" x14ac:dyDescent="0.3">
      <c r="A415" t="s">
        <v>609</v>
      </c>
      <c r="B415" t="str">
        <f t="shared" si="30"/>
        <v>S28_2026</v>
      </c>
      <c r="C415" t="str">
        <f t="shared" si="32"/>
        <v>S28_2026</v>
      </c>
      <c r="F415">
        <v>3</v>
      </c>
      <c r="G415" t="s">
        <v>40</v>
      </c>
      <c r="H415" t="s">
        <v>85</v>
      </c>
      <c r="I415" t="s">
        <v>234</v>
      </c>
      <c r="J415" t="s">
        <v>166</v>
      </c>
      <c r="K415" t="s">
        <v>124</v>
      </c>
      <c r="L415" t="s">
        <v>166</v>
      </c>
      <c r="M415" t="s">
        <v>124</v>
      </c>
      <c r="N415" t="s">
        <v>45</v>
      </c>
      <c r="O415" t="s">
        <v>45</v>
      </c>
      <c r="P415">
        <v>3</v>
      </c>
      <c r="Q415" s="7">
        <v>46214</v>
      </c>
      <c r="R415" s="7">
        <v>46215</v>
      </c>
      <c r="S415" s="7">
        <v>46215</v>
      </c>
      <c r="T415" t="s">
        <v>45</v>
      </c>
      <c r="V415" t="s">
        <v>167</v>
      </c>
      <c r="W415" t="s">
        <v>45</v>
      </c>
      <c r="X415" t="s">
        <v>74</v>
      </c>
      <c r="Y415" t="s">
        <v>46</v>
      </c>
      <c r="Z415" t="s">
        <v>45</v>
      </c>
      <c r="AF415">
        <v>2</v>
      </c>
      <c r="AH415" t="s">
        <v>75</v>
      </c>
      <c r="AI415">
        <v>1</v>
      </c>
      <c r="AJ415" s="14"/>
      <c r="AN415"/>
      <c r="AO415"/>
      <c r="AP415"/>
      <c r="AQ415"/>
      <c r="AR415" s="18" t="str">
        <f>IFERROR(VLOOKUP(K415,[1]POP!$F:$J,1,0),M415)</f>
        <v>MADA</v>
      </c>
      <c r="AS415" s="18" t="str">
        <f t="shared" si="31"/>
        <v>BARGARAM</v>
      </c>
      <c r="AT415" s="19">
        <f t="shared" si="34"/>
        <v>2</v>
      </c>
      <c r="AU415" s="19">
        <f t="shared" ca="1" si="33"/>
        <v>2</v>
      </c>
    </row>
    <row r="416" spans="1:47" x14ac:dyDescent="0.3">
      <c r="A416" t="s">
        <v>610</v>
      </c>
      <c r="B416" t="str">
        <f t="shared" si="30"/>
        <v>S28_2026</v>
      </c>
      <c r="C416" t="str">
        <f t="shared" si="32"/>
        <v>S28_2026</v>
      </c>
      <c r="F416">
        <v>10</v>
      </c>
      <c r="G416" t="s">
        <v>55</v>
      </c>
      <c r="I416" t="s">
        <v>172</v>
      </c>
      <c r="J416" t="s">
        <v>173</v>
      </c>
      <c r="K416" t="s">
        <v>124</v>
      </c>
      <c r="L416" t="s">
        <v>174</v>
      </c>
      <c r="M416" t="s">
        <v>124</v>
      </c>
      <c r="N416" t="s">
        <v>45</v>
      </c>
      <c r="O416" t="s">
        <v>45</v>
      </c>
      <c r="P416">
        <v>3</v>
      </c>
      <c r="Q416" s="7">
        <v>46214</v>
      </c>
      <c r="R416" s="7">
        <v>46214</v>
      </c>
      <c r="S416" s="7">
        <v>46214</v>
      </c>
      <c r="T416" t="s">
        <v>45</v>
      </c>
      <c r="V416" t="s">
        <v>175</v>
      </c>
      <c r="W416" t="s">
        <v>45</v>
      </c>
      <c r="X416" t="s">
        <v>74</v>
      </c>
      <c r="Y416" t="s">
        <v>46</v>
      </c>
      <c r="Z416" t="s">
        <v>45</v>
      </c>
      <c r="AF416">
        <v>2</v>
      </c>
      <c r="AH416" t="s">
        <v>75</v>
      </c>
      <c r="AI416">
        <v>1</v>
      </c>
      <c r="AJ416" s="14"/>
      <c r="AN416"/>
      <c r="AO416"/>
      <c r="AP416"/>
      <c r="AQ416"/>
      <c r="AR416" s="18" t="str">
        <f>IFERROR(VLOOKUP(K416,[1]POP!$F:$J,1,0),M416)</f>
        <v>MADA</v>
      </c>
      <c r="AS416" s="18" t="str">
        <f t="shared" si="31"/>
        <v>TCHIKA</v>
      </c>
      <c r="AT416" s="19">
        <f t="shared" si="34"/>
        <v>2</v>
      </c>
      <c r="AU416" s="19">
        <f t="shared" ca="1" si="33"/>
        <v>2</v>
      </c>
    </row>
    <row r="417" spans="1:47" x14ac:dyDescent="0.3">
      <c r="A417" t="s">
        <v>611</v>
      </c>
      <c r="B417" t="str">
        <f t="shared" si="30"/>
        <v>S28_2026</v>
      </c>
      <c r="C417" t="str">
        <f t="shared" si="32"/>
        <v>S28_2026</v>
      </c>
      <c r="F417">
        <v>2</v>
      </c>
      <c r="G417" t="s">
        <v>55</v>
      </c>
      <c r="H417" t="s">
        <v>85</v>
      </c>
      <c r="I417" t="s">
        <v>311</v>
      </c>
      <c r="J417" t="s">
        <v>173</v>
      </c>
      <c r="K417" t="s">
        <v>124</v>
      </c>
      <c r="L417" t="s">
        <v>174</v>
      </c>
      <c r="M417" t="s">
        <v>124</v>
      </c>
      <c r="N417" t="s">
        <v>45</v>
      </c>
      <c r="O417" t="s">
        <v>45</v>
      </c>
      <c r="P417">
        <v>3</v>
      </c>
      <c r="Q417" s="7">
        <v>46214</v>
      </c>
      <c r="R417" s="7">
        <v>46214</v>
      </c>
      <c r="S417" s="7">
        <v>46214</v>
      </c>
      <c r="T417" t="s">
        <v>45</v>
      </c>
      <c r="V417" t="s">
        <v>175</v>
      </c>
      <c r="W417" t="s">
        <v>45</v>
      </c>
      <c r="X417" t="s">
        <v>74</v>
      </c>
      <c r="Y417" t="s">
        <v>46</v>
      </c>
      <c r="Z417" t="s">
        <v>45</v>
      </c>
      <c r="AF417">
        <v>2</v>
      </c>
      <c r="AH417" t="s">
        <v>75</v>
      </c>
      <c r="AI417">
        <v>1</v>
      </c>
      <c r="AJ417" s="14"/>
      <c r="AL417" t="s">
        <v>96</v>
      </c>
      <c r="AN417"/>
      <c r="AO417"/>
      <c r="AP417"/>
      <c r="AQ417"/>
      <c r="AR417" s="18" t="str">
        <f>IFERROR(VLOOKUP(K417,[1]POP!$F:$J,1,0),M417)</f>
        <v>MADA</v>
      </c>
      <c r="AS417" s="18" t="str">
        <f t="shared" si="31"/>
        <v>TCHIKA</v>
      </c>
      <c r="AT417" s="19">
        <f t="shared" si="34"/>
        <v>2</v>
      </c>
      <c r="AU417" s="19">
        <f t="shared" ca="1" si="33"/>
        <v>2</v>
      </c>
    </row>
    <row r="418" spans="1:47" x14ac:dyDescent="0.3">
      <c r="A418" t="s">
        <v>612</v>
      </c>
      <c r="B418" t="str">
        <f t="shared" si="30"/>
        <v>S28_2026</v>
      </c>
      <c r="C418" t="str">
        <f t="shared" si="32"/>
        <v>S28_2026</v>
      </c>
      <c r="F418">
        <v>22</v>
      </c>
      <c r="G418" t="s">
        <v>55</v>
      </c>
      <c r="I418" t="s">
        <v>172</v>
      </c>
      <c r="J418" t="s">
        <v>173</v>
      </c>
      <c r="K418" t="s">
        <v>124</v>
      </c>
      <c r="L418" t="s">
        <v>174</v>
      </c>
      <c r="M418" t="s">
        <v>124</v>
      </c>
      <c r="N418" t="s">
        <v>45</v>
      </c>
      <c r="O418" t="s">
        <v>45</v>
      </c>
      <c r="P418">
        <v>3</v>
      </c>
      <c r="Q418" s="7">
        <v>46214</v>
      </c>
      <c r="R418" s="7">
        <v>46214</v>
      </c>
      <c r="S418" s="7">
        <v>46214</v>
      </c>
      <c r="T418" t="s">
        <v>45</v>
      </c>
      <c r="V418" t="s">
        <v>175</v>
      </c>
      <c r="W418" t="s">
        <v>45</v>
      </c>
      <c r="X418" t="s">
        <v>74</v>
      </c>
      <c r="Y418" t="s">
        <v>46</v>
      </c>
      <c r="Z418" t="s">
        <v>45</v>
      </c>
      <c r="AF418">
        <v>2</v>
      </c>
      <c r="AH418" t="s">
        <v>75</v>
      </c>
      <c r="AI418">
        <v>1</v>
      </c>
      <c r="AJ418" s="14"/>
      <c r="AN418"/>
      <c r="AO418"/>
      <c r="AP418"/>
      <c r="AQ418" t="s">
        <v>45</v>
      </c>
      <c r="AR418" s="18" t="str">
        <f>IFERROR(VLOOKUP(K418,[1]POP!$F:$J,1,0),M418)</f>
        <v>MADA</v>
      </c>
      <c r="AS418" s="18" t="str">
        <f t="shared" si="31"/>
        <v>TCHIKA</v>
      </c>
      <c r="AT418" s="19">
        <f t="shared" si="34"/>
        <v>2</v>
      </c>
      <c r="AU418" s="19">
        <f t="shared" ca="1" si="33"/>
        <v>2</v>
      </c>
    </row>
    <row r="419" spans="1:47" x14ac:dyDescent="0.3">
      <c r="A419" t="s">
        <v>613</v>
      </c>
      <c r="B419" t="str">
        <f t="shared" si="30"/>
        <v>S28_2026</v>
      </c>
      <c r="C419" t="str">
        <f t="shared" si="32"/>
        <v>S28_2026</v>
      </c>
      <c r="F419">
        <v>9</v>
      </c>
      <c r="G419" t="s">
        <v>55</v>
      </c>
      <c r="I419" t="s">
        <v>172</v>
      </c>
      <c r="J419" t="s">
        <v>173</v>
      </c>
      <c r="K419" t="s">
        <v>124</v>
      </c>
      <c r="L419" t="s">
        <v>174</v>
      </c>
      <c r="M419" t="s">
        <v>124</v>
      </c>
      <c r="N419" t="s">
        <v>45</v>
      </c>
      <c r="O419" t="s">
        <v>45</v>
      </c>
      <c r="P419">
        <v>3</v>
      </c>
      <c r="Q419" s="7">
        <v>46214</v>
      </c>
      <c r="R419" s="7">
        <v>46214</v>
      </c>
      <c r="S419" s="7">
        <v>46214</v>
      </c>
      <c r="T419" t="s">
        <v>45</v>
      </c>
      <c r="V419" t="s">
        <v>175</v>
      </c>
      <c r="W419" t="s">
        <v>45</v>
      </c>
      <c r="X419" t="s">
        <v>74</v>
      </c>
      <c r="Y419" t="s">
        <v>46</v>
      </c>
      <c r="Z419" t="s">
        <v>45</v>
      </c>
      <c r="AF419">
        <v>2</v>
      </c>
      <c r="AH419" t="s">
        <v>75</v>
      </c>
      <c r="AI419">
        <v>1</v>
      </c>
      <c r="AJ419" s="14"/>
      <c r="AL419" t="s">
        <v>96</v>
      </c>
      <c r="AN419" t="s">
        <v>86</v>
      </c>
      <c r="AO419" t="s">
        <v>45</v>
      </c>
      <c r="AP419">
        <v>6</v>
      </c>
      <c r="AQ419" t="s">
        <v>74</v>
      </c>
      <c r="AR419" s="18" t="str">
        <f>IFERROR(VLOOKUP(K419,[1]POP!$F:$J,1,0),M419)</f>
        <v>MADA</v>
      </c>
      <c r="AS419" s="18" t="str">
        <f t="shared" si="31"/>
        <v>TCHIKA</v>
      </c>
      <c r="AT419" s="19">
        <f t="shared" si="34"/>
        <v>2</v>
      </c>
      <c r="AU419" s="19">
        <f t="shared" ca="1" si="33"/>
        <v>2</v>
      </c>
    </row>
    <row r="420" spans="1:47" x14ac:dyDescent="0.3">
      <c r="A420" t="s">
        <v>614</v>
      </c>
      <c r="B420" t="str">
        <f t="shared" si="30"/>
        <v>S28_2026</v>
      </c>
      <c r="C420" t="str">
        <f t="shared" si="32"/>
        <v>S28_2026</v>
      </c>
      <c r="F420">
        <v>57</v>
      </c>
      <c r="G420" t="s">
        <v>55</v>
      </c>
      <c r="I420" t="s">
        <v>172</v>
      </c>
      <c r="J420" t="s">
        <v>173</v>
      </c>
      <c r="K420" t="s">
        <v>124</v>
      </c>
      <c r="L420" t="s">
        <v>174</v>
      </c>
      <c r="M420" t="s">
        <v>124</v>
      </c>
      <c r="N420" t="s">
        <v>45</v>
      </c>
      <c r="O420" t="s">
        <v>45</v>
      </c>
      <c r="P420">
        <v>3</v>
      </c>
      <c r="Q420" s="7">
        <v>46214</v>
      </c>
      <c r="R420" s="7">
        <v>46214</v>
      </c>
      <c r="S420" s="7">
        <v>46214</v>
      </c>
      <c r="T420" t="s">
        <v>45</v>
      </c>
      <c r="V420" t="s">
        <v>175</v>
      </c>
      <c r="W420" t="s">
        <v>45</v>
      </c>
      <c r="X420" t="s">
        <v>74</v>
      </c>
      <c r="Y420" t="s">
        <v>46</v>
      </c>
      <c r="Z420" t="s">
        <v>45</v>
      </c>
      <c r="AF420">
        <v>2</v>
      </c>
      <c r="AH420" t="s">
        <v>75</v>
      </c>
      <c r="AI420">
        <v>1</v>
      </c>
      <c r="AJ420" s="14"/>
      <c r="AL420" t="s">
        <v>96</v>
      </c>
      <c r="AN420" t="s">
        <v>86</v>
      </c>
      <c r="AO420" t="s">
        <v>45</v>
      </c>
      <c r="AP420">
        <v>6</v>
      </c>
      <c r="AQ420" t="s">
        <v>74</v>
      </c>
      <c r="AR420" s="18" t="str">
        <f>IFERROR(VLOOKUP(K420,[1]POP!$F:$J,1,0),M420)</f>
        <v>MADA</v>
      </c>
      <c r="AS420" s="18" t="str">
        <f t="shared" si="31"/>
        <v>TCHIKA</v>
      </c>
      <c r="AT420" s="19">
        <f t="shared" si="34"/>
        <v>2</v>
      </c>
      <c r="AU420" s="19">
        <f t="shared" ca="1" si="33"/>
        <v>2</v>
      </c>
    </row>
    <row r="421" spans="1:47" x14ac:dyDescent="0.3">
      <c r="A421" t="s">
        <v>615</v>
      </c>
      <c r="B421" t="str">
        <f t="shared" si="30"/>
        <v>S28_2026</v>
      </c>
      <c r="C421" t="str">
        <f t="shared" si="32"/>
        <v>S28_2026</v>
      </c>
      <c r="F421">
        <v>27</v>
      </c>
      <c r="G421" t="s">
        <v>55</v>
      </c>
      <c r="I421" t="s">
        <v>172</v>
      </c>
      <c r="J421" t="s">
        <v>173</v>
      </c>
      <c r="K421" t="s">
        <v>124</v>
      </c>
      <c r="L421" t="s">
        <v>174</v>
      </c>
      <c r="M421" t="s">
        <v>124</v>
      </c>
      <c r="N421" t="s">
        <v>45</v>
      </c>
      <c r="O421" t="s">
        <v>45</v>
      </c>
      <c r="P421">
        <v>3</v>
      </c>
      <c r="Q421" s="7">
        <v>46214</v>
      </c>
      <c r="R421" s="7">
        <v>46214</v>
      </c>
      <c r="S421" s="7">
        <v>46214</v>
      </c>
      <c r="T421" t="s">
        <v>45</v>
      </c>
      <c r="V421" t="s">
        <v>175</v>
      </c>
      <c r="W421" t="s">
        <v>45</v>
      </c>
      <c r="X421" t="s">
        <v>74</v>
      </c>
      <c r="Y421" t="s">
        <v>46</v>
      </c>
      <c r="Z421" t="s">
        <v>45</v>
      </c>
      <c r="AF421">
        <v>2</v>
      </c>
      <c r="AH421" t="s">
        <v>75</v>
      </c>
      <c r="AI421">
        <v>1</v>
      </c>
      <c r="AJ421" s="14"/>
      <c r="AN421" t="s">
        <v>86</v>
      </c>
      <c r="AO421" t="s">
        <v>45</v>
      </c>
      <c r="AP421">
        <v>6</v>
      </c>
      <c r="AQ421" t="s">
        <v>74</v>
      </c>
      <c r="AR421" s="18" t="str">
        <f>IFERROR(VLOOKUP(K421,[1]POP!$F:$J,1,0),M421)</f>
        <v>MADA</v>
      </c>
      <c r="AS421" s="18" t="str">
        <f t="shared" si="31"/>
        <v>TCHIKA</v>
      </c>
      <c r="AT421" s="19">
        <f t="shared" si="34"/>
        <v>2</v>
      </c>
      <c r="AU421" s="19">
        <f t="shared" ca="1" si="33"/>
        <v>2</v>
      </c>
    </row>
    <row r="422" spans="1:47" x14ac:dyDescent="0.3">
      <c r="A422" t="s">
        <v>616</v>
      </c>
      <c r="B422" t="str">
        <f t="shared" si="30"/>
        <v>S28_2026</v>
      </c>
      <c r="C422" t="str">
        <f t="shared" si="32"/>
        <v>S28_2026</v>
      </c>
      <c r="F422">
        <v>7</v>
      </c>
      <c r="G422" t="s">
        <v>40</v>
      </c>
      <c r="I422" t="s">
        <v>172</v>
      </c>
      <c r="J422" t="s">
        <v>173</v>
      </c>
      <c r="K422" t="s">
        <v>124</v>
      </c>
      <c r="L422" t="s">
        <v>174</v>
      </c>
      <c r="M422" t="s">
        <v>124</v>
      </c>
      <c r="N422" t="s">
        <v>45</v>
      </c>
      <c r="O422" t="s">
        <v>45</v>
      </c>
      <c r="P422">
        <v>3</v>
      </c>
      <c r="Q422" s="7">
        <v>46214</v>
      </c>
      <c r="R422" s="7">
        <v>46214</v>
      </c>
      <c r="S422" s="7">
        <v>46214</v>
      </c>
      <c r="T422" t="s">
        <v>45</v>
      </c>
      <c r="V422" t="s">
        <v>175</v>
      </c>
      <c r="W422" t="s">
        <v>45</v>
      </c>
      <c r="X422" t="s">
        <v>74</v>
      </c>
      <c r="Y422" t="s">
        <v>46</v>
      </c>
      <c r="Z422" t="s">
        <v>45</v>
      </c>
      <c r="AA422" s="7">
        <v>46215</v>
      </c>
      <c r="AC422" t="s">
        <v>45</v>
      </c>
      <c r="AD422" t="s">
        <v>48</v>
      </c>
      <c r="AF422">
        <v>2</v>
      </c>
      <c r="AH422" t="s">
        <v>75</v>
      </c>
      <c r="AI422">
        <v>1</v>
      </c>
      <c r="AJ422" s="14"/>
      <c r="AN422" t="s">
        <v>2748</v>
      </c>
      <c r="AO422" t="s">
        <v>45</v>
      </c>
      <c r="AP422">
        <v>4</v>
      </c>
      <c r="AQ422" t="s">
        <v>74</v>
      </c>
      <c r="AR422" s="18" t="str">
        <f>IFERROR(VLOOKUP(K422,[1]POP!$F:$J,1,0),M422)</f>
        <v>MADA</v>
      </c>
      <c r="AS422" s="18" t="str">
        <f t="shared" si="31"/>
        <v>TCHIKA</v>
      </c>
      <c r="AT422" s="19">
        <f t="shared" si="34"/>
        <v>2</v>
      </c>
      <c r="AU422" s="19">
        <f t="shared" ca="1" si="33"/>
        <v>2</v>
      </c>
    </row>
    <row r="423" spans="1:47" x14ac:dyDescent="0.3">
      <c r="A423" t="s">
        <v>617</v>
      </c>
      <c r="B423" t="str">
        <f t="shared" si="30"/>
        <v>S28_2026</v>
      </c>
      <c r="C423" t="str">
        <f t="shared" si="32"/>
        <v>S28_2026</v>
      </c>
      <c r="F423">
        <v>60</v>
      </c>
      <c r="G423" t="s">
        <v>55</v>
      </c>
      <c r="I423" t="s">
        <v>605</v>
      </c>
      <c r="J423" t="s">
        <v>173</v>
      </c>
      <c r="K423" t="s">
        <v>124</v>
      </c>
      <c r="L423" t="s">
        <v>174</v>
      </c>
      <c r="M423" t="s">
        <v>124</v>
      </c>
      <c r="N423" t="s">
        <v>45</v>
      </c>
      <c r="O423" t="s">
        <v>45</v>
      </c>
      <c r="P423">
        <v>3</v>
      </c>
      <c r="Q423" s="7">
        <v>46214</v>
      </c>
      <c r="R423" s="7">
        <v>46214</v>
      </c>
      <c r="S423" s="7">
        <v>46214</v>
      </c>
      <c r="T423" t="s">
        <v>45</v>
      </c>
      <c r="V423" t="s">
        <v>175</v>
      </c>
      <c r="W423" t="s">
        <v>45</v>
      </c>
      <c r="X423" t="s">
        <v>74</v>
      </c>
      <c r="Y423" t="s">
        <v>46</v>
      </c>
      <c r="Z423" t="s">
        <v>45</v>
      </c>
      <c r="AF423">
        <v>2</v>
      </c>
      <c r="AH423" t="s">
        <v>75</v>
      </c>
      <c r="AI423">
        <v>1</v>
      </c>
      <c r="AJ423" s="14"/>
      <c r="AL423" t="s">
        <v>96</v>
      </c>
      <c r="AN423" t="s">
        <v>2748</v>
      </c>
      <c r="AO423" t="s">
        <v>45</v>
      </c>
      <c r="AP423">
        <v>6</v>
      </c>
      <c r="AQ423" t="s">
        <v>74</v>
      </c>
      <c r="AR423" s="18" t="str">
        <f>IFERROR(VLOOKUP(K423,[1]POP!$F:$J,1,0),M423)</f>
        <v>MADA</v>
      </c>
      <c r="AS423" s="18" t="str">
        <f t="shared" si="31"/>
        <v>TCHIKA</v>
      </c>
      <c r="AT423" s="19">
        <f t="shared" si="34"/>
        <v>2</v>
      </c>
      <c r="AU423" s="19">
        <f t="shared" ca="1" si="33"/>
        <v>2</v>
      </c>
    </row>
    <row r="424" spans="1:47" x14ac:dyDescent="0.3">
      <c r="A424" t="s">
        <v>618</v>
      </c>
      <c r="B424" t="str">
        <f t="shared" si="30"/>
        <v>S28_2026</v>
      </c>
      <c r="C424" t="str">
        <f t="shared" si="32"/>
        <v>S28_2026</v>
      </c>
      <c r="F424">
        <v>25</v>
      </c>
      <c r="G424" t="s">
        <v>40</v>
      </c>
      <c r="I424" t="s">
        <v>271</v>
      </c>
      <c r="J424" t="s">
        <v>173</v>
      </c>
      <c r="K424" t="s">
        <v>124</v>
      </c>
      <c r="L424" t="s">
        <v>174</v>
      </c>
      <c r="M424" t="s">
        <v>124</v>
      </c>
      <c r="N424" t="s">
        <v>45</v>
      </c>
      <c r="O424" t="s">
        <v>45</v>
      </c>
      <c r="P424">
        <v>3</v>
      </c>
      <c r="Q424" s="7">
        <v>46214</v>
      </c>
      <c r="R424" s="7">
        <v>46214</v>
      </c>
      <c r="S424" s="7">
        <v>46214</v>
      </c>
      <c r="T424" t="s">
        <v>45</v>
      </c>
      <c r="V424" t="s">
        <v>175</v>
      </c>
      <c r="W424" t="s">
        <v>45</v>
      </c>
      <c r="X424" t="s">
        <v>74</v>
      </c>
      <c r="Y424" t="s">
        <v>46</v>
      </c>
      <c r="Z424" t="s">
        <v>45</v>
      </c>
      <c r="AF424">
        <v>2</v>
      </c>
      <c r="AH424" t="s">
        <v>75</v>
      </c>
      <c r="AI424">
        <v>1</v>
      </c>
      <c r="AJ424" s="14"/>
      <c r="AL424" t="s">
        <v>62</v>
      </c>
      <c r="AN424" t="s">
        <v>2748</v>
      </c>
      <c r="AO424" t="s">
        <v>45</v>
      </c>
      <c r="AP424">
        <v>6</v>
      </c>
      <c r="AQ424" t="s">
        <v>74</v>
      </c>
      <c r="AR424" s="18" t="str">
        <f>IFERROR(VLOOKUP(K424,[1]POP!$F:$J,1,0),M424)</f>
        <v>MADA</v>
      </c>
      <c r="AS424" s="18" t="str">
        <f t="shared" si="31"/>
        <v>TCHIKA</v>
      </c>
      <c r="AT424" s="19">
        <f t="shared" si="34"/>
        <v>2</v>
      </c>
      <c r="AU424" s="19">
        <f t="shared" ca="1" si="33"/>
        <v>2</v>
      </c>
    </row>
    <row r="425" spans="1:47" x14ac:dyDescent="0.3">
      <c r="A425" t="s">
        <v>619</v>
      </c>
      <c r="B425" t="str">
        <f t="shared" si="30"/>
        <v>S28_2026</v>
      </c>
      <c r="C425" t="str">
        <f t="shared" si="32"/>
        <v>S28_2026</v>
      </c>
      <c r="F425">
        <v>40</v>
      </c>
      <c r="G425" t="s">
        <v>55</v>
      </c>
      <c r="I425" t="s">
        <v>172</v>
      </c>
      <c r="J425" t="s">
        <v>173</v>
      </c>
      <c r="K425" t="s">
        <v>124</v>
      </c>
      <c r="L425" t="s">
        <v>174</v>
      </c>
      <c r="M425" t="s">
        <v>124</v>
      </c>
      <c r="N425" t="s">
        <v>45</v>
      </c>
      <c r="O425" t="s">
        <v>45</v>
      </c>
      <c r="P425">
        <v>3</v>
      </c>
      <c r="Q425" s="7">
        <v>46214</v>
      </c>
      <c r="R425" s="7">
        <v>46215</v>
      </c>
      <c r="S425" s="7">
        <v>46215</v>
      </c>
      <c r="T425" t="s">
        <v>45</v>
      </c>
      <c r="V425" t="s">
        <v>175</v>
      </c>
      <c r="W425" t="s">
        <v>45</v>
      </c>
      <c r="X425" t="s">
        <v>74</v>
      </c>
      <c r="Y425" t="s">
        <v>46</v>
      </c>
      <c r="Z425" t="s">
        <v>45</v>
      </c>
      <c r="AA425" s="7">
        <v>46215</v>
      </c>
      <c r="AF425">
        <v>2</v>
      </c>
      <c r="AH425" t="s">
        <v>75</v>
      </c>
      <c r="AI425">
        <v>1</v>
      </c>
      <c r="AJ425" s="14"/>
      <c r="AN425" t="s">
        <v>2748</v>
      </c>
      <c r="AO425" t="s">
        <v>45</v>
      </c>
      <c r="AP425">
        <v>6</v>
      </c>
      <c r="AQ425" t="s">
        <v>74</v>
      </c>
      <c r="AR425" s="18" t="str">
        <f>IFERROR(VLOOKUP(K425,[1]POP!$F:$J,1,0),M425)</f>
        <v>MADA</v>
      </c>
      <c r="AS425" s="18" t="str">
        <f t="shared" si="31"/>
        <v>TCHIKA</v>
      </c>
      <c r="AT425" s="19">
        <f t="shared" si="34"/>
        <v>2</v>
      </c>
      <c r="AU425" s="19">
        <f t="shared" ca="1" si="33"/>
        <v>2</v>
      </c>
    </row>
    <row r="426" spans="1:47" x14ac:dyDescent="0.3">
      <c r="A426" t="s">
        <v>620</v>
      </c>
      <c r="B426" t="str">
        <f t="shared" si="30"/>
        <v>S28_2026</v>
      </c>
      <c r="C426" t="str">
        <f t="shared" si="32"/>
        <v>S28_2026</v>
      </c>
      <c r="F426">
        <v>5</v>
      </c>
      <c r="G426" t="s">
        <v>40</v>
      </c>
      <c r="I426" t="s">
        <v>172</v>
      </c>
      <c r="J426" t="s">
        <v>173</v>
      </c>
      <c r="K426" t="s">
        <v>124</v>
      </c>
      <c r="L426" t="s">
        <v>174</v>
      </c>
      <c r="M426" t="s">
        <v>124</v>
      </c>
      <c r="N426" t="s">
        <v>45</v>
      </c>
      <c r="O426" t="s">
        <v>45</v>
      </c>
      <c r="P426">
        <v>3</v>
      </c>
      <c r="Q426" s="7">
        <v>46214</v>
      </c>
      <c r="R426" s="7">
        <v>46215</v>
      </c>
      <c r="S426" s="7">
        <v>46215</v>
      </c>
      <c r="T426" t="s">
        <v>45</v>
      </c>
      <c r="V426" t="s">
        <v>175</v>
      </c>
      <c r="W426" t="s">
        <v>45</v>
      </c>
      <c r="X426" t="s">
        <v>74</v>
      </c>
      <c r="Y426" t="s">
        <v>46</v>
      </c>
      <c r="Z426" t="s">
        <v>45</v>
      </c>
      <c r="AA426" s="7">
        <v>46213</v>
      </c>
      <c r="AF426">
        <v>2</v>
      </c>
      <c r="AH426" t="s">
        <v>75</v>
      </c>
      <c r="AI426">
        <v>1</v>
      </c>
      <c r="AJ426" s="14"/>
      <c r="AN426" t="s">
        <v>2748</v>
      </c>
      <c r="AO426" t="s">
        <v>45</v>
      </c>
      <c r="AP426">
        <v>20</v>
      </c>
      <c r="AQ426" t="s">
        <v>74</v>
      </c>
      <c r="AR426" s="18" t="str">
        <f>IFERROR(VLOOKUP(K426,[1]POP!$F:$J,1,0),M426)</f>
        <v>MADA</v>
      </c>
      <c r="AS426" s="18" t="str">
        <f t="shared" si="31"/>
        <v>TCHIKA</v>
      </c>
      <c r="AT426" s="19">
        <f t="shared" si="34"/>
        <v>2</v>
      </c>
      <c r="AU426" s="19">
        <f t="shared" ca="1" si="33"/>
        <v>2</v>
      </c>
    </row>
    <row r="427" spans="1:47" x14ac:dyDescent="0.3">
      <c r="A427" t="s">
        <v>621</v>
      </c>
      <c r="B427" t="str">
        <f t="shared" si="30"/>
        <v>S28_2026</v>
      </c>
      <c r="C427" t="str">
        <f t="shared" si="32"/>
        <v>S28_2026</v>
      </c>
      <c r="F427">
        <v>18</v>
      </c>
      <c r="G427" t="s">
        <v>55</v>
      </c>
      <c r="I427" t="s">
        <v>172</v>
      </c>
      <c r="J427" t="s">
        <v>173</v>
      </c>
      <c r="K427" t="s">
        <v>124</v>
      </c>
      <c r="L427" t="s">
        <v>174</v>
      </c>
      <c r="M427" t="s">
        <v>124</v>
      </c>
      <c r="N427" t="s">
        <v>45</v>
      </c>
      <c r="O427" t="s">
        <v>45</v>
      </c>
      <c r="P427">
        <v>3</v>
      </c>
      <c r="Q427" s="7">
        <v>46214</v>
      </c>
      <c r="R427" s="7">
        <v>46214</v>
      </c>
      <c r="S427" s="7">
        <v>46214</v>
      </c>
      <c r="T427" t="s">
        <v>45</v>
      </c>
      <c r="V427" t="s">
        <v>175</v>
      </c>
      <c r="W427" t="s">
        <v>45</v>
      </c>
      <c r="X427" t="s">
        <v>74</v>
      </c>
      <c r="Y427" t="s">
        <v>46</v>
      </c>
      <c r="Z427" t="s">
        <v>45</v>
      </c>
      <c r="AA427" s="7">
        <v>46215</v>
      </c>
      <c r="AC427" t="s">
        <v>45</v>
      </c>
      <c r="AD427" t="s">
        <v>48</v>
      </c>
      <c r="AF427">
        <v>2</v>
      </c>
      <c r="AH427" t="s">
        <v>75</v>
      </c>
      <c r="AI427">
        <v>1</v>
      </c>
      <c r="AJ427" s="14"/>
      <c r="AL427" t="s">
        <v>549</v>
      </c>
      <c r="AN427" t="s">
        <v>2748</v>
      </c>
      <c r="AO427" t="s">
        <v>45</v>
      </c>
      <c r="AP427">
        <v>6</v>
      </c>
      <c r="AQ427" t="s">
        <v>74</v>
      </c>
      <c r="AR427" s="18" t="str">
        <f>IFERROR(VLOOKUP(K427,[1]POP!$F:$J,1,0),M427)</f>
        <v>MADA</v>
      </c>
      <c r="AS427" s="18" t="str">
        <f t="shared" si="31"/>
        <v>TCHIKA</v>
      </c>
      <c r="AT427" s="19">
        <f t="shared" si="34"/>
        <v>2</v>
      </c>
      <c r="AU427" s="19">
        <f t="shared" ca="1" si="33"/>
        <v>2</v>
      </c>
    </row>
    <row r="428" spans="1:47" x14ac:dyDescent="0.3">
      <c r="A428" t="s">
        <v>622</v>
      </c>
      <c r="B428" t="str">
        <f t="shared" si="30"/>
        <v>S28_2026</v>
      </c>
      <c r="C428" t="str">
        <f t="shared" si="32"/>
        <v>S28_2026</v>
      </c>
      <c r="F428">
        <v>18</v>
      </c>
      <c r="G428" t="s">
        <v>55</v>
      </c>
      <c r="H428" t="s">
        <v>164</v>
      </c>
      <c r="I428" t="s">
        <v>623</v>
      </c>
      <c r="J428" t="s">
        <v>624</v>
      </c>
      <c r="K428" t="s">
        <v>72</v>
      </c>
      <c r="L428" t="s">
        <v>72</v>
      </c>
      <c r="M428" t="s">
        <v>72</v>
      </c>
      <c r="N428" t="s">
        <v>45</v>
      </c>
      <c r="O428" t="s">
        <v>45</v>
      </c>
      <c r="P428">
        <v>3</v>
      </c>
      <c r="Q428" s="7">
        <v>46214</v>
      </c>
      <c r="R428" s="7">
        <v>46214</v>
      </c>
      <c r="S428" s="7">
        <v>46214</v>
      </c>
      <c r="T428" t="s">
        <v>74</v>
      </c>
      <c r="W428" t="s">
        <v>74</v>
      </c>
      <c r="X428" t="s">
        <v>74</v>
      </c>
      <c r="Y428" t="s">
        <v>74</v>
      </c>
      <c r="Z428" t="s">
        <v>74</v>
      </c>
      <c r="AE428" s="7">
        <v>46218</v>
      </c>
      <c r="AF428">
        <v>3</v>
      </c>
      <c r="AH428" t="s">
        <v>75</v>
      </c>
      <c r="AI428">
        <v>3</v>
      </c>
      <c r="AJ428" s="14">
        <v>46214</v>
      </c>
      <c r="AL428" t="s">
        <v>62</v>
      </c>
      <c r="AN428" t="s">
        <v>2748</v>
      </c>
      <c r="AO428" t="s">
        <v>45</v>
      </c>
      <c r="AP428">
        <v>6</v>
      </c>
      <c r="AQ428" t="s">
        <v>74</v>
      </c>
      <c r="AR428" s="18" t="str">
        <f>IFERROR(VLOOKUP(K428,[1]POP!$F:$J,1,0),M428)</f>
        <v>FOTOKOL</v>
      </c>
      <c r="AS428" s="18" t="str">
        <f t="shared" si="31"/>
        <v>BELGUEDE</v>
      </c>
      <c r="AT428" s="19">
        <f t="shared" si="34"/>
        <v>3</v>
      </c>
      <c r="AU428" s="19">
        <f t="shared" ca="1" si="33"/>
        <v>2</v>
      </c>
    </row>
    <row r="429" spans="1:47" x14ac:dyDescent="0.3">
      <c r="A429" t="s">
        <v>625</v>
      </c>
      <c r="B429" t="str">
        <f t="shared" si="30"/>
        <v>S28_2026</v>
      </c>
      <c r="C429" t="str">
        <f t="shared" si="32"/>
        <v>S28_2026</v>
      </c>
      <c r="F429">
        <v>18</v>
      </c>
      <c r="G429" t="s">
        <v>55</v>
      </c>
      <c r="H429" t="s">
        <v>164</v>
      </c>
      <c r="I429" t="s">
        <v>623</v>
      </c>
      <c r="J429" t="s">
        <v>624</v>
      </c>
      <c r="K429" t="s">
        <v>72</v>
      </c>
      <c r="L429" t="s">
        <v>72</v>
      </c>
      <c r="M429" t="s">
        <v>72</v>
      </c>
      <c r="N429" t="s">
        <v>45</v>
      </c>
      <c r="O429" t="s">
        <v>45</v>
      </c>
      <c r="P429">
        <v>3</v>
      </c>
      <c r="Q429" s="7">
        <v>46214</v>
      </c>
      <c r="R429" s="7">
        <v>46214</v>
      </c>
      <c r="S429" s="7">
        <v>46214</v>
      </c>
      <c r="T429" t="s">
        <v>45</v>
      </c>
      <c r="V429" t="s">
        <v>343</v>
      </c>
      <c r="W429" t="s">
        <v>45</v>
      </c>
      <c r="X429" t="s">
        <v>45</v>
      </c>
      <c r="Y429" t="s">
        <v>45</v>
      </c>
      <c r="Z429" t="s">
        <v>74</v>
      </c>
      <c r="AA429" s="7">
        <v>46215</v>
      </c>
      <c r="AB429" t="s">
        <v>48</v>
      </c>
      <c r="AC429" t="s">
        <v>45</v>
      </c>
      <c r="AD429" t="s">
        <v>48</v>
      </c>
      <c r="AE429" s="7">
        <v>46218</v>
      </c>
      <c r="AF429">
        <v>2</v>
      </c>
      <c r="AH429" t="s">
        <v>75</v>
      </c>
      <c r="AI429">
        <v>1</v>
      </c>
      <c r="AJ429" s="14"/>
      <c r="AK429" t="s">
        <v>74</v>
      </c>
      <c r="AN429" t="s">
        <v>45</v>
      </c>
      <c r="AO429" t="s">
        <v>45</v>
      </c>
      <c r="AP429"/>
      <c r="AQ429" t="s">
        <v>74</v>
      </c>
      <c r="AR429" s="18" t="str">
        <f>IFERROR(VLOOKUP(K429,[1]POP!$F:$J,1,0),M429)</f>
        <v>FOTOKOL</v>
      </c>
      <c r="AS429" s="18" t="str">
        <f t="shared" si="31"/>
        <v>BELGUEDE</v>
      </c>
      <c r="AT429" s="19">
        <f t="shared" si="34"/>
        <v>2</v>
      </c>
      <c r="AU429" s="19">
        <f t="shared" ca="1" si="33"/>
        <v>2</v>
      </c>
    </row>
    <row r="430" spans="1:47" x14ac:dyDescent="0.3">
      <c r="A430" t="s">
        <v>626</v>
      </c>
      <c r="B430" t="str">
        <f t="shared" si="30"/>
        <v>S28_2026</v>
      </c>
      <c r="C430" t="str">
        <f t="shared" si="32"/>
        <v>S28_2026</v>
      </c>
      <c r="F430">
        <v>16</v>
      </c>
      <c r="G430" t="s">
        <v>55</v>
      </c>
      <c r="H430" t="s">
        <v>85</v>
      </c>
      <c r="I430" t="s">
        <v>623</v>
      </c>
      <c r="J430" t="s">
        <v>624</v>
      </c>
      <c r="K430" t="s">
        <v>72</v>
      </c>
      <c r="L430" t="s">
        <v>72</v>
      </c>
      <c r="M430" t="s">
        <v>72</v>
      </c>
      <c r="N430" t="s">
        <v>45</v>
      </c>
      <c r="O430" t="s">
        <v>45</v>
      </c>
      <c r="P430">
        <v>3</v>
      </c>
      <c r="Q430" s="7">
        <v>46214</v>
      </c>
      <c r="R430" s="7">
        <v>46214</v>
      </c>
      <c r="S430" s="7">
        <v>46214</v>
      </c>
      <c r="T430" t="s">
        <v>45</v>
      </c>
      <c r="V430" t="s">
        <v>343</v>
      </c>
      <c r="W430" t="s">
        <v>45</v>
      </c>
      <c r="X430" t="s">
        <v>45</v>
      </c>
      <c r="Y430" t="s">
        <v>45</v>
      </c>
      <c r="Z430" t="s">
        <v>74</v>
      </c>
      <c r="AA430" s="7">
        <v>46215</v>
      </c>
      <c r="AB430" t="s">
        <v>48</v>
      </c>
      <c r="AC430" t="s">
        <v>45</v>
      </c>
      <c r="AD430" t="s">
        <v>48</v>
      </c>
      <c r="AE430" s="7">
        <v>46218</v>
      </c>
      <c r="AF430">
        <v>2</v>
      </c>
      <c r="AH430" t="s">
        <v>75</v>
      </c>
      <c r="AI430">
        <v>1</v>
      </c>
      <c r="AJ430" s="14"/>
      <c r="AK430" t="s">
        <v>74</v>
      </c>
      <c r="AN430" t="s">
        <v>45</v>
      </c>
      <c r="AO430" t="s">
        <v>45</v>
      </c>
      <c r="AP430">
        <v>14</v>
      </c>
      <c r="AQ430" t="s">
        <v>45</v>
      </c>
      <c r="AR430" s="18" t="str">
        <f>IFERROR(VLOOKUP(K430,[1]POP!$F:$J,1,0),M430)</f>
        <v>FOTOKOL</v>
      </c>
      <c r="AS430" s="18" t="str">
        <f t="shared" si="31"/>
        <v>BELGUEDE</v>
      </c>
      <c r="AT430" s="19">
        <f t="shared" si="34"/>
        <v>2</v>
      </c>
      <c r="AU430" s="19">
        <f t="shared" ca="1" si="33"/>
        <v>2</v>
      </c>
    </row>
    <row r="431" spans="1:47" x14ac:dyDescent="0.3">
      <c r="A431" t="s">
        <v>627</v>
      </c>
      <c r="B431" t="str">
        <f t="shared" si="30"/>
        <v>S28_2026</v>
      </c>
      <c r="C431" t="str">
        <f t="shared" si="32"/>
        <v>S28_2026</v>
      </c>
      <c r="F431">
        <v>6</v>
      </c>
      <c r="G431" t="s">
        <v>40</v>
      </c>
      <c r="H431" t="s">
        <v>85</v>
      </c>
      <c r="I431" t="s">
        <v>623</v>
      </c>
      <c r="J431" t="s">
        <v>624</v>
      </c>
      <c r="K431" t="s">
        <v>72</v>
      </c>
      <c r="L431" t="s">
        <v>72</v>
      </c>
      <c r="M431" t="s">
        <v>72</v>
      </c>
      <c r="N431" t="s">
        <v>45</v>
      </c>
      <c r="O431" t="s">
        <v>45</v>
      </c>
      <c r="P431">
        <v>3</v>
      </c>
      <c r="Q431" s="7">
        <v>46214</v>
      </c>
      <c r="R431" s="7">
        <v>46214</v>
      </c>
      <c r="S431" s="7">
        <v>46214</v>
      </c>
      <c r="T431" t="s">
        <v>45</v>
      </c>
      <c r="V431" t="s">
        <v>343</v>
      </c>
      <c r="W431" t="s">
        <v>45</v>
      </c>
      <c r="X431" t="s">
        <v>45</v>
      </c>
      <c r="Y431" t="s">
        <v>45</v>
      </c>
      <c r="Z431" t="s">
        <v>74</v>
      </c>
      <c r="AE431" s="7">
        <v>46218</v>
      </c>
      <c r="AF431">
        <v>2</v>
      </c>
      <c r="AH431" t="s">
        <v>75</v>
      </c>
      <c r="AI431">
        <v>1</v>
      </c>
      <c r="AJ431" s="14"/>
      <c r="AK431" t="s">
        <v>74</v>
      </c>
      <c r="AN431" t="s">
        <v>45</v>
      </c>
      <c r="AO431" t="s">
        <v>86</v>
      </c>
      <c r="AP431">
        <v>5</v>
      </c>
      <c r="AQ431" t="s">
        <v>74</v>
      </c>
      <c r="AR431" s="18" t="str">
        <f>IFERROR(VLOOKUP(K431,[1]POP!$F:$J,1,0),M431)</f>
        <v>FOTOKOL</v>
      </c>
      <c r="AS431" s="18" t="str">
        <f t="shared" si="31"/>
        <v>BELGUEDE</v>
      </c>
      <c r="AT431" s="19">
        <f t="shared" si="34"/>
        <v>2</v>
      </c>
      <c r="AU431" s="19">
        <f t="shared" ca="1" si="33"/>
        <v>2</v>
      </c>
    </row>
    <row r="432" spans="1:47" x14ac:dyDescent="0.3">
      <c r="A432" t="s">
        <v>628</v>
      </c>
      <c r="B432" t="str">
        <f t="shared" si="30"/>
        <v>S29_2026</v>
      </c>
      <c r="C432" t="str">
        <f t="shared" si="32"/>
        <v>S28_2026</v>
      </c>
      <c r="E432">
        <v>23563016052</v>
      </c>
      <c r="F432">
        <v>35</v>
      </c>
      <c r="G432" t="s">
        <v>40</v>
      </c>
      <c r="H432" t="s">
        <v>77</v>
      </c>
      <c r="I432" t="s">
        <v>629</v>
      </c>
      <c r="J432" t="s">
        <v>459</v>
      </c>
      <c r="K432" t="s">
        <v>460</v>
      </c>
      <c r="L432" t="s">
        <v>459</v>
      </c>
      <c r="M432" t="s">
        <v>460</v>
      </c>
      <c r="N432" t="s">
        <v>45</v>
      </c>
      <c r="O432" t="s">
        <v>74</v>
      </c>
      <c r="P432">
        <v>2</v>
      </c>
      <c r="Q432" s="7">
        <v>46215</v>
      </c>
      <c r="R432" s="7">
        <v>46215</v>
      </c>
      <c r="S432" s="7">
        <v>46216</v>
      </c>
      <c r="T432" t="s">
        <v>45</v>
      </c>
      <c r="V432" t="s">
        <v>462</v>
      </c>
      <c r="W432" t="s">
        <v>45</v>
      </c>
      <c r="X432" t="s">
        <v>45</v>
      </c>
      <c r="Y432" t="s">
        <v>45</v>
      </c>
      <c r="Z432" t="s">
        <v>45</v>
      </c>
      <c r="AF432">
        <v>2</v>
      </c>
      <c r="AH432" t="s">
        <v>75</v>
      </c>
      <c r="AI432">
        <v>1</v>
      </c>
      <c r="AJ432" s="14"/>
      <c r="AK432" t="s">
        <v>86</v>
      </c>
      <c r="AN432" t="s">
        <v>45</v>
      </c>
      <c r="AO432" t="s">
        <v>86</v>
      </c>
      <c r="AP432">
        <v>10</v>
      </c>
      <c r="AQ432" t="s">
        <v>74</v>
      </c>
      <c r="AR432" s="18" t="str">
        <f>IFERROR(VLOOKUP(K432,[1]POP!$F:$J,1,0),M432)</f>
        <v>KOUSSERI</v>
      </c>
      <c r="AS432" s="18" t="str">
        <f t="shared" si="31"/>
        <v>PAGUI</v>
      </c>
      <c r="AT432" s="19">
        <f t="shared" si="34"/>
        <v>2</v>
      </c>
      <c r="AU432" s="19">
        <f t="shared" ca="1" si="33"/>
        <v>2</v>
      </c>
    </row>
    <row r="433" spans="1:47" x14ac:dyDescent="0.3">
      <c r="A433" t="s">
        <v>630</v>
      </c>
      <c r="B433" t="str">
        <f t="shared" si="30"/>
        <v>S29_2026</v>
      </c>
      <c r="C433" t="str">
        <f t="shared" si="32"/>
        <v>S28_2026</v>
      </c>
      <c r="E433">
        <v>694627481</v>
      </c>
      <c r="F433">
        <v>29</v>
      </c>
      <c r="G433" t="s">
        <v>40</v>
      </c>
      <c r="H433" t="s">
        <v>77</v>
      </c>
      <c r="I433" t="s">
        <v>553</v>
      </c>
      <c r="J433" t="s">
        <v>459</v>
      </c>
      <c r="K433" t="s">
        <v>460</v>
      </c>
      <c r="L433" t="s">
        <v>459</v>
      </c>
      <c r="M433" t="s">
        <v>460</v>
      </c>
      <c r="N433" t="s">
        <v>45</v>
      </c>
      <c r="O433" t="s">
        <v>45</v>
      </c>
      <c r="P433">
        <v>2</v>
      </c>
      <c r="Q433" s="7">
        <v>46215</v>
      </c>
      <c r="R433" s="7">
        <v>46216</v>
      </c>
      <c r="S433" s="7">
        <v>46216</v>
      </c>
      <c r="T433" t="s">
        <v>45</v>
      </c>
      <c r="V433" t="s">
        <v>462</v>
      </c>
      <c r="W433" t="s">
        <v>45</v>
      </c>
      <c r="X433" t="s">
        <v>45</v>
      </c>
      <c r="Y433" t="s">
        <v>45</v>
      </c>
      <c r="Z433" t="s">
        <v>45</v>
      </c>
      <c r="AA433" s="7">
        <v>46216</v>
      </c>
      <c r="AB433" t="s">
        <v>48</v>
      </c>
      <c r="AC433" t="s">
        <v>45</v>
      </c>
      <c r="AD433" t="s">
        <v>48</v>
      </c>
      <c r="AF433">
        <v>2</v>
      </c>
      <c r="AH433" t="s">
        <v>75</v>
      </c>
      <c r="AI433">
        <v>1</v>
      </c>
      <c r="AJ433" s="14"/>
      <c r="AK433" t="s">
        <v>86</v>
      </c>
      <c r="AN433" t="s">
        <v>45</v>
      </c>
      <c r="AO433" t="s">
        <v>45</v>
      </c>
      <c r="AP433">
        <v>9</v>
      </c>
      <c r="AQ433" t="s">
        <v>45</v>
      </c>
      <c r="AR433" s="18" t="str">
        <f>IFERROR(VLOOKUP(K433,[1]POP!$F:$J,1,0),M433)</f>
        <v>KOUSSERI</v>
      </c>
      <c r="AS433" s="18" t="str">
        <f t="shared" si="31"/>
        <v>PAGUI</v>
      </c>
      <c r="AT433" s="19">
        <f t="shared" si="34"/>
        <v>2</v>
      </c>
      <c r="AU433" s="19">
        <f t="shared" ca="1" si="33"/>
        <v>2</v>
      </c>
    </row>
    <row r="434" spans="1:47" x14ac:dyDescent="0.3">
      <c r="A434" t="s">
        <v>631</v>
      </c>
      <c r="B434" t="str">
        <f t="shared" si="30"/>
        <v>S29_2026</v>
      </c>
      <c r="C434" t="str">
        <f t="shared" si="32"/>
        <v>S28_2026</v>
      </c>
      <c r="E434">
        <v>699854494</v>
      </c>
      <c r="F434">
        <v>24</v>
      </c>
      <c r="G434" t="s">
        <v>40</v>
      </c>
      <c r="H434" t="s">
        <v>77</v>
      </c>
      <c r="I434" t="s">
        <v>553</v>
      </c>
      <c r="J434" t="s">
        <v>459</v>
      </c>
      <c r="K434" t="s">
        <v>460</v>
      </c>
      <c r="L434" t="s">
        <v>459</v>
      </c>
      <c r="M434" t="s">
        <v>460</v>
      </c>
      <c r="N434" t="s">
        <v>45</v>
      </c>
      <c r="O434" t="s">
        <v>45</v>
      </c>
      <c r="P434">
        <v>2</v>
      </c>
      <c r="Q434" s="7">
        <v>46214</v>
      </c>
      <c r="R434" s="7">
        <v>46217</v>
      </c>
      <c r="S434" s="7">
        <v>46218</v>
      </c>
      <c r="T434" t="s">
        <v>45</v>
      </c>
      <c r="V434" t="s">
        <v>462</v>
      </c>
      <c r="W434" t="s">
        <v>45</v>
      </c>
      <c r="X434" t="s">
        <v>45</v>
      </c>
      <c r="Y434" t="s">
        <v>45</v>
      </c>
      <c r="Z434" t="s">
        <v>45</v>
      </c>
      <c r="AA434" s="7">
        <v>46217</v>
      </c>
      <c r="AB434" t="s">
        <v>48</v>
      </c>
      <c r="AC434" t="s">
        <v>45</v>
      </c>
      <c r="AD434" t="s">
        <v>62</v>
      </c>
      <c r="AF434">
        <v>2</v>
      </c>
      <c r="AH434" t="s">
        <v>75</v>
      </c>
      <c r="AI434">
        <v>1</v>
      </c>
      <c r="AJ434" s="9"/>
      <c r="AK434" t="s">
        <v>86</v>
      </c>
      <c r="AN434" t="s">
        <v>663</v>
      </c>
      <c r="AO434" t="s">
        <v>663</v>
      </c>
      <c r="AP434">
        <v>4</v>
      </c>
      <c r="AQ434"/>
      <c r="AR434" s="18" t="str">
        <f>IFERROR(VLOOKUP(K434,[1]POP!$F:$J,1,0),M434)</f>
        <v>KOUSSERI</v>
      </c>
      <c r="AS434" s="18" t="str">
        <f t="shared" si="31"/>
        <v>PAGUI</v>
      </c>
      <c r="AT434" s="19">
        <f t="shared" si="34"/>
        <v>2</v>
      </c>
      <c r="AU434" s="19">
        <f t="shared" ca="1" si="33"/>
        <v>2</v>
      </c>
    </row>
    <row r="435" spans="1:47" x14ac:dyDescent="0.3">
      <c r="A435" t="s">
        <v>632</v>
      </c>
      <c r="B435" t="str">
        <f t="shared" si="30"/>
        <v>S29_2026</v>
      </c>
      <c r="C435" t="str">
        <f t="shared" si="32"/>
        <v>S29_2026</v>
      </c>
      <c r="E435">
        <v>697433864</v>
      </c>
      <c r="F435">
        <v>14</v>
      </c>
      <c r="G435" t="s">
        <v>40</v>
      </c>
      <c r="H435" t="s">
        <v>468</v>
      </c>
      <c r="I435" t="s">
        <v>553</v>
      </c>
      <c r="J435" t="s">
        <v>459</v>
      </c>
      <c r="K435" t="s">
        <v>460</v>
      </c>
      <c r="L435" t="s">
        <v>459</v>
      </c>
      <c r="M435" t="s">
        <v>460</v>
      </c>
      <c r="N435" t="s">
        <v>45</v>
      </c>
      <c r="O435" t="s">
        <v>45</v>
      </c>
      <c r="P435">
        <v>1</v>
      </c>
      <c r="Q435" s="7">
        <v>46217</v>
      </c>
      <c r="R435" s="7">
        <v>46217</v>
      </c>
      <c r="S435" s="7">
        <v>46217</v>
      </c>
      <c r="T435" t="s">
        <v>45</v>
      </c>
      <c r="V435" t="s">
        <v>462</v>
      </c>
      <c r="W435" t="s">
        <v>45</v>
      </c>
      <c r="X435" t="s">
        <v>45</v>
      </c>
      <c r="Y435" t="s">
        <v>45</v>
      </c>
      <c r="Z435" t="s">
        <v>45</v>
      </c>
      <c r="AF435">
        <v>2</v>
      </c>
      <c r="AH435" t="s">
        <v>75</v>
      </c>
      <c r="AI435">
        <v>1</v>
      </c>
      <c r="AJ435" s="9"/>
      <c r="AK435" t="s">
        <v>86</v>
      </c>
      <c r="AN435" t="s">
        <v>663</v>
      </c>
      <c r="AO435" t="s">
        <v>663</v>
      </c>
      <c r="AP435">
        <v>4</v>
      </c>
      <c r="AQ435"/>
      <c r="AR435" s="18" t="str">
        <f>IFERROR(VLOOKUP(K435,[1]POP!$F:$J,1,0),M435)</f>
        <v>KOUSSERI</v>
      </c>
      <c r="AS435" s="18" t="str">
        <f t="shared" si="31"/>
        <v>PAGUI</v>
      </c>
      <c r="AT435" s="19">
        <f t="shared" si="34"/>
        <v>2</v>
      </c>
      <c r="AU435" s="19">
        <f t="shared" ca="1" si="33"/>
        <v>2</v>
      </c>
    </row>
    <row r="436" spans="1:47" x14ac:dyDescent="0.3">
      <c r="A436" t="s">
        <v>633</v>
      </c>
      <c r="B436" t="str">
        <f t="shared" si="30"/>
        <v>S29_2026</v>
      </c>
      <c r="C436" t="str">
        <f t="shared" si="32"/>
        <v>S29_2026</v>
      </c>
      <c r="E436">
        <v>677818830</v>
      </c>
      <c r="F436">
        <v>64</v>
      </c>
      <c r="G436" t="s">
        <v>55</v>
      </c>
      <c r="H436" t="s">
        <v>562</v>
      </c>
      <c r="I436" t="s">
        <v>634</v>
      </c>
      <c r="J436" t="s">
        <v>635</v>
      </c>
      <c r="K436" t="s">
        <v>460</v>
      </c>
      <c r="L436" t="s">
        <v>459</v>
      </c>
      <c r="M436" t="s">
        <v>460</v>
      </c>
      <c r="N436" t="s">
        <v>45</v>
      </c>
      <c r="O436" t="s">
        <v>45</v>
      </c>
      <c r="P436">
        <v>1</v>
      </c>
      <c r="Q436" s="7">
        <v>46218</v>
      </c>
      <c r="R436" s="7">
        <v>46219</v>
      </c>
      <c r="S436" s="7">
        <v>46219</v>
      </c>
      <c r="T436" t="s">
        <v>45</v>
      </c>
      <c r="V436" t="s">
        <v>462</v>
      </c>
      <c r="W436" t="s">
        <v>74</v>
      </c>
      <c r="X436" t="s">
        <v>45</v>
      </c>
      <c r="Y436" t="s">
        <v>45</v>
      </c>
      <c r="Z436" t="s">
        <v>74</v>
      </c>
      <c r="AF436">
        <v>2</v>
      </c>
      <c r="AH436" t="s">
        <v>75</v>
      </c>
      <c r="AI436">
        <v>1</v>
      </c>
      <c r="AJ436" s="9"/>
      <c r="AK436" t="s">
        <v>86</v>
      </c>
      <c r="AN436"/>
      <c r="AO436"/>
      <c r="AP436"/>
      <c r="AQ436"/>
      <c r="AR436" s="18" t="str">
        <f>IFERROR(VLOOKUP(K436,[1]POP!$F:$J,1,0),M436)</f>
        <v>KOUSSERI</v>
      </c>
      <c r="AS436" s="18" t="str">
        <f t="shared" si="31"/>
        <v>HILE-HAOUSSA</v>
      </c>
      <c r="AT436" s="19">
        <f t="shared" si="34"/>
        <v>2</v>
      </c>
      <c r="AU436" s="19">
        <f t="shared" ca="1" si="33"/>
        <v>2</v>
      </c>
    </row>
    <row r="437" spans="1:47" x14ac:dyDescent="0.3">
      <c r="A437" t="s">
        <v>636</v>
      </c>
      <c r="B437" t="str">
        <f t="shared" si="30"/>
        <v>S29_2026</v>
      </c>
      <c r="C437" t="str">
        <f t="shared" si="32"/>
        <v>S29_2026</v>
      </c>
      <c r="E437">
        <v>696816734</v>
      </c>
      <c r="F437">
        <v>18</v>
      </c>
      <c r="G437" t="s">
        <v>40</v>
      </c>
      <c r="H437" t="s">
        <v>77</v>
      </c>
      <c r="I437" t="s">
        <v>637</v>
      </c>
      <c r="J437" t="s">
        <v>459</v>
      </c>
      <c r="K437" t="s">
        <v>460</v>
      </c>
      <c r="L437" t="s">
        <v>459</v>
      </c>
      <c r="M437" t="s">
        <v>460</v>
      </c>
      <c r="N437" t="s">
        <v>45</v>
      </c>
      <c r="O437" t="s">
        <v>45</v>
      </c>
      <c r="P437">
        <v>2</v>
      </c>
      <c r="Q437" s="7">
        <v>46217</v>
      </c>
      <c r="R437" s="7">
        <v>46219</v>
      </c>
      <c r="S437" s="7">
        <v>46219</v>
      </c>
      <c r="T437" t="s">
        <v>45</v>
      </c>
      <c r="V437" t="s">
        <v>462</v>
      </c>
      <c r="W437" t="s">
        <v>45</v>
      </c>
      <c r="X437" t="s">
        <v>74</v>
      </c>
      <c r="Y437" t="s">
        <v>45</v>
      </c>
      <c r="Z437" t="s">
        <v>45</v>
      </c>
      <c r="AA437" s="7">
        <v>46219</v>
      </c>
      <c r="AB437" t="s">
        <v>48</v>
      </c>
      <c r="AC437" t="s">
        <v>45</v>
      </c>
      <c r="AD437" t="s">
        <v>48</v>
      </c>
      <c r="AF437">
        <v>2</v>
      </c>
      <c r="AH437" t="s">
        <v>75</v>
      </c>
      <c r="AI437">
        <v>1</v>
      </c>
      <c r="AJ437" s="9"/>
      <c r="AK437" t="s">
        <v>86</v>
      </c>
      <c r="AN437"/>
      <c r="AO437"/>
      <c r="AP437"/>
      <c r="AQ437"/>
      <c r="AR437" s="18" t="str">
        <f>IFERROR(VLOOKUP(K437,[1]POP!$F:$J,1,0),M437)</f>
        <v>KOUSSERI</v>
      </c>
      <c r="AS437" s="18" t="str">
        <f t="shared" si="31"/>
        <v>PAGUI</v>
      </c>
      <c r="AT437" s="19">
        <f t="shared" si="34"/>
        <v>2</v>
      </c>
      <c r="AU437" s="19">
        <f t="shared" ca="1" si="33"/>
        <v>2</v>
      </c>
    </row>
    <row r="438" spans="1:47" x14ac:dyDescent="0.3">
      <c r="A438" t="s">
        <v>638</v>
      </c>
      <c r="B438" t="str">
        <f t="shared" si="30"/>
        <v>S29_2026</v>
      </c>
      <c r="C438" t="str">
        <f t="shared" si="32"/>
        <v>S29_2026</v>
      </c>
      <c r="E438">
        <v>696816734</v>
      </c>
      <c r="F438">
        <v>4</v>
      </c>
      <c r="G438" t="s">
        <v>40</v>
      </c>
      <c r="H438" t="s">
        <v>85</v>
      </c>
      <c r="I438" t="s">
        <v>637</v>
      </c>
      <c r="J438" t="s">
        <v>459</v>
      </c>
      <c r="K438" t="s">
        <v>460</v>
      </c>
      <c r="L438" t="s">
        <v>459</v>
      </c>
      <c r="M438" t="s">
        <v>460</v>
      </c>
      <c r="N438" t="s">
        <v>45</v>
      </c>
      <c r="O438" t="s">
        <v>45</v>
      </c>
      <c r="P438">
        <v>2</v>
      </c>
      <c r="Q438" s="7">
        <v>46217</v>
      </c>
      <c r="R438" s="7">
        <v>46219</v>
      </c>
      <c r="S438" s="7">
        <v>46219</v>
      </c>
      <c r="T438" t="s">
        <v>45</v>
      </c>
      <c r="V438" t="s">
        <v>462</v>
      </c>
      <c r="W438" t="s">
        <v>45</v>
      </c>
      <c r="X438" t="s">
        <v>74</v>
      </c>
      <c r="Y438" t="s">
        <v>45</v>
      </c>
      <c r="Z438" t="s">
        <v>45</v>
      </c>
      <c r="AA438" s="7">
        <v>46219</v>
      </c>
      <c r="AB438" t="s">
        <v>62</v>
      </c>
      <c r="AC438" t="s">
        <v>45</v>
      </c>
      <c r="AD438" t="s">
        <v>62</v>
      </c>
      <c r="AF438">
        <v>2</v>
      </c>
      <c r="AH438" t="s">
        <v>75</v>
      </c>
      <c r="AI438">
        <v>1</v>
      </c>
      <c r="AJ438" s="9"/>
      <c r="AK438" t="s">
        <v>86</v>
      </c>
      <c r="AN438" t="s">
        <v>663</v>
      </c>
      <c r="AO438" t="s">
        <v>663</v>
      </c>
      <c r="AP438">
        <v>4</v>
      </c>
      <c r="AQ438" t="s">
        <v>664</v>
      </c>
      <c r="AR438" s="18" t="str">
        <f>IFERROR(VLOOKUP(K438,[1]POP!$F:$J,1,0),M438)</f>
        <v>KOUSSERI</v>
      </c>
      <c r="AS438" s="18" t="str">
        <f t="shared" si="31"/>
        <v>PAGUI</v>
      </c>
      <c r="AT438" s="19">
        <f t="shared" si="34"/>
        <v>2</v>
      </c>
      <c r="AU438" s="19">
        <f t="shared" ca="1" si="33"/>
        <v>2</v>
      </c>
    </row>
    <row r="439" spans="1:47" x14ac:dyDescent="0.3">
      <c r="A439" t="s">
        <v>639</v>
      </c>
      <c r="B439" t="str">
        <f t="shared" si="30"/>
        <v>S29_2026</v>
      </c>
      <c r="C439" t="str">
        <f t="shared" si="32"/>
        <v>S28_2026</v>
      </c>
      <c r="F439">
        <v>32</v>
      </c>
      <c r="G439" t="s">
        <v>40</v>
      </c>
      <c r="H439" t="s">
        <v>77</v>
      </c>
      <c r="I439" t="s">
        <v>640</v>
      </c>
      <c r="J439" t="s">
        <v>116</v>
      </c>
      <c r="K439" t="s">
        <v>116</v>
      </c>
      <c r="L439" t="s">
        <v>116</v>
      </c>
      <c r="M439" t="s">
        <v>116</v>
      </c>
      <c r="N439" t="s">
        <v>45</v>
      </c>
      <c r="O439" t="s">
        <v>45</v>
      </c>
      <c r="P439">
        <v>3</v>
      </c>
      <c r="Q439" s="7">
        <v>46215</v>
      </c>
      <c r="R439" s="7">
        <v>46216</v>
      </c>
      <c r="S439" s="7">
        <v>46216</v>
      </c>
      <c r="T439" t="s">
        <v>45</v>
      </c>
      <c r="V439" t="s">
        <v>641</v>
      </c>
      <c r="W439" t="s">
        <v>45</v>
      </c>
      <c r="X439" t="s">
        <v>45</v>
      </c>
      <c r="Y439" t="s">
        <v>45</v>
      </c>
      <c r="Z439" t="s">
        <v>45</v>
      </c>
      <c r="AA439" s="7">
        <v>46216</v>
      </c>
      <c r="AB439" t="s">
        <v>48</v>
      </c>
      <c r="AE439" s="7">
        <v>46240</v>
      </c>
      <c r="AF439">
        <v>2</v>
      </c>
      <c r="AH439" t="s">
        <v>75</v>
      </c>
      <c r="AI439">
        <v>1</v>
      </c>
      <c r="AJ439" s="9"/>
      <c r="AK439" t="s">
        <v>74</v>
      </c>
      <c r="AN439" t="s">
        <v>663</v>
      </c>
      <c r="AO439" t="s">
        <v>663</v>
      </c>
      <c r="AP439">
        <v>7</v>
      </c>
      <c r="AQ439" t="s">
        <v>664</v>
      </c>
      <c r="AR439" s="18" t="str">
        <f>IFERROR(VLOOKUP(K439,[1]POP!$F:$J,1,0),M439)</f>
        <v>MAKARY</v>
      </c>
      <c r="AS439" s="18" t="str">
        <f t="shared" si="31"/>
        <v>MAKARY</v>
      </c>
      <c r="AT439" s="19">
        <f t="shared" si="34"/>
        <v>2</v>
      </c>
      <c r="AU439" s="19">
        <f t="shared" ca="1" si="33"/>
        <v>2</v>
      </c>
    </row>
    <row r="440" spans="1:47" x14ac:dyDescent="0.3">
      <c r="A440" t="s">
        <v>642</v>
      </c>
      <c r="B440" t="str">
        <f t="shared" si="30"/>
        <v>S24_2026</v>
      </c>
      <c r="C440" t="str">
        <f t="shared" si="32"/>
        <v>S28_2026</v>
      </c>
      <c r="E440" t="s">
        <v>643</v>
      </c>
      <c r="F440">
        <v>14</v>
      </c>
      <c r="G440" t="s">
        <v>55</v>
      </c>
      <c r="H440" t="s">
        <v>644</v>
      </c>
      <c r="I440" t="s">
        <v>645</v>
      </c>
      <c r="J440" t="s">
        <v>116</v>
      </c>
      <c r="K440" t="s">
        <v>116</v>
      </c>
      <c r="L440" t="s">
        <v>115</v>
      </c>
      <c r="M440" t="s">
        <v>116</v>
      </c>
      <c r="N440" t="s">
        <v>117</v>
      </c>
      <c r="O440" t="s">
        <v>117</v>
      </c>
      <c r="P440">
        <v>3</v>
      </c>
      <c r="Q440" s="7">
        <v>46214</v>
      </c>
      <c r="R440" s="7">
        <v>46215</v>
      </c>
      <c r="S440" s="7">
        <v>46185</v>
      </c>
      <c r="T440" t="s">
        <v>117</v>
      </c>
      <c r="V440" t="s">
        <v>118</v>
      </c>
      <c r="W440" t="s">
        <v>117</v>
      </c>
      <c r="X440" t="s">
        <v>117</v>
      </c>
      <c r="Y440" t="s">
        <v>117</v>
      </c>
      <c r="Z440" t="s">
        <v>117</v>
      </c>
      <c r="AB440" t="s">
        <v>48</v>
      </c>
      <c r="AF440">
        <v>2</v>
      </c>
      <c r="AH440" t="s">
        <v>75</v>
      </c>
      <c r="AI440">
        <v>1</v>
      </c>
      <c r="AJ440" s="9"/>
      <c r="AK440" t="s">
        <v>74</v>
      </c>
      <c r="AN440" t="s">
        <v>663</v>
      </c>
      <c r="AO440" t="s">
        <v>663</v>
      </c>
      <c r="AP440">
        <v>3</v>
      </c>
      <c r="AQ440" t="s">
        <v>664</v>
      </c>
      <c r="AR440" s="18" t="str">
        <f>IFERROR(VLOOKUP(K440,[1]POP!$F:$J,1,0),M440)</f>
        <v>MAKARY</v>
      </c>
      <c r="AS440" s="18" t="str">
        <f t="shared" si="31"/>
        <v>MAKARY</v>
      </c>
      <c r="AT440" s="19">
        <f t="shared" si="34"/>
        <v>2</v>
      </c>
      <c r="AU440" s="19">
        <f t="shared" ca="1" si="33"/>
        <v>2</v>
      </c>
    </row>
    <row r="441" spans="1:47" x14ac:dyDescent="0.3">
      <c r="A441" t="s">
        <v>646</v>
      </c>
      <c r="B441" t="str">
        <f t="shared" si="30"/>
        <v>S29_2026</v>
      </c>
      <c r="C441" t="str">
        <f t="shared" si="32"/>
        <v>S28_2026</v>
      </c>
      <c r="E441" t="s">
        <v>647</v>
      </c>
      <c r="F441">
        <v>1</v>
      </c>
      <c r="G441" t="s">
        <v>40</v>
      </c>
      <c r="H441" t="s">
        <v>111</v>
      </c>
      <c r="I441" t="s">
        <v>159</v>
      </c>
      <c r="J441" t="s">
        <v>123</v>
      </c>
      <c r="K441" t="s">
        <v>124</v>
      </c>
      <c r="L441" t="s">
        <v>115</v>
      </c>
      <c r="M441" t="s">
        <v>116</v>
      </c>
      <c r="N441" t="s">
        <v>117</v>
      </c>
      <c r="O441" t="s">
        <v>117</v>
      </c>
      <c r="P441">
        <v>3</v>
      </c>
      <c r="Q441" s="7">
        <v>46214</v>
      </c>
      <c r="R441" s="7">
        <v>46216</v>
      </c>
      <c r="S441" s="7">
        <v>46216</v>
      </c>
      <c r="T441" t="s">
        <v>117</v>
      </c>
      <c r="V441" t="s">
        <v>118</v>
      </c>
      <c r="W441" t="s">
        <v>117</v>
      </c>
      <c r="X441" t="s">
        <v>117</v>
      </c>
      <c r="Y441" t="s">
        <v>117</v>
      </c>
      <c r="Z441" t="s">
        <v>117</v>
      </c>
      <c r="AB441" t="s">
        <v>48</v>
      </c>
      <c r="AF441">
        <v>2</v>
      </c>
      <c r="AH441" t="s">
        <v>75</v>
      </c>
      <c r="AI441">
        <v>1</v>
      </c>
      <c r="AJ441" s="9"/>
      <c r="AK441" t="s">
        <v>74</v>
      </c>
      <c r="AN441" t="s">
        <v>663</v>
      </c>
      <c r="AO441" t="s">
        <v>663</v>
      </c>
      <c r="AP441">
        <v>2</v>
      </c>
      <c r="AQ441" t="s">
        <v>664</v>
      </c>
      <c r="AR441" s="18" t="str">
        <f>IFERROR(VLOOKUP(K441,[1]POP!$F:$J,1,0),M441)</f>
        <v>MAKARY</v>
      </c>
      <c r="AS441" s="18" t="str">
        <f t="shared" si="31"/>
        <v>makary</v>
      </c>
      <c r="AT441" s="19">
        <f t="shared" si="34"/>
        <v>2</v>
      </c>
      <c r="AU441" s="19">
        <f t="shared" ca="1" si="33"/>
        <v>2</v>
      </c>
    </row>
    <row r="442" spans="1:47" x14ac:dyDescent="0.3">
      <c r="A442" t="s">
        <v>648</v>
      </c>
      <c r="B442" t="str">
        <f t="shared" si="30"/>
        <v>S29_2026</v>
      </c>
      <c r="C442" t="str">
        <f t="shared" si="32"/>
        <v>S28_2026</v>
      </c>
      <c r="E442" t="s">
        <v>649</v>
      </c>
      <c r="F442">
        <v>2</v>
      </c>
      <c r="G442" t="s">
        <v>40</v>
      </c>
      <c r="H442" t="s">
        <v>111</v>
      </c>
      <c r="I442" t="s">
        <v>429</v>
      </c>
      <c r="J442" t="s">
        <v>123</v>
      </c>
      <c r="K442" t="s">
        <v>124</v>
      </c>
      <c r="L442" t="s">
        <v>115</v>
      </c>
      <c r="M442" t="s">
        <v>116</v>
      </c>
      <c r="N442" t="s">
        <v>117</v>
      </c>
      <c r="O442" t="s">
        <v>117</v>
      </c>
      <c r="P442">
        <v>2</v>
      </c>
      <c r="Q442" s="7">
        <v>46215</v>
      </c>
      <c r="R442" s="7">
        <v>46216</v>
      </c>
      <c r="S442" s="7">
        <v>46216</v>
      </c>
      <c r="T442" t="s">
        <v>117</v>
      </c>
      <c r="V442" t="s">
        <v>118</v>
      </c>
      <c r="W442" t="s">
        <v>117</v>
      </c>
      <c r="X442" t="s">
        <v>117</v>
      </c>
      <c r="Y442" t="s">
        <v>150</v>
      </c>
      <c r="Z442" t="s">
        <v>117</v>
      </c>
      <c r="AB442" t="s">
        <v>48</v>
      </c>
      <c r="AF442">
        <v>2</v>
      </c>
      <c r="AH442" t="s">
        <v>75</v>
      </c>
      <c r="AI442">
        <v>1</v>
      </c>
      <c r="AJ442" s="9"/>
      <c r="AK442" t="s">
        <v>74</v>
      </c>
      <c r="AN442" t="s">
        <v>663</v>
      </c>
      <c r="AO442" t="s">
        <v>663</v>
      </c>
      <c r="AP442">
        <v>3</v>
      </c>
      <c r="AQ442" t="s">
        <v>664</v>
      </c>
      <c r="AR442" s="18" t="str">
        <f>IFERROR(VLOOKUP(K442,[1]POP!$F:$J,1,0),M442)</f>
        <v>MAKARY</v>
      </c>
      <c r="AS442" s="18" t="str">
        <f t="shared" si="31"/>
        <v>makary</v>
      </c>
      <c r="AT442" s="19">
        <f t="shared" si="34"/>
        <v>2</v>
      </c>
      <c r="AU442" s="19">
        <f t="shared" ca="1" si="33"/>
        <v>2</v>
      </c>
    </row>
    <row r="443" spans="1:47" x14ac:dyDescent="0.3">
      <c r="A443" t="s">
        <v>650</v>
      </c>
      <c r="B443" t="str">
        <f t="shared" si="30"/>
        <v>S29_2026</v>
      </c>
      <c r="C443" t="str">
        <f t="shared" si="32"/>
        <v>S28_2026</v>
      </c>
      <c r="E443" t="s">
        <v>651</v>
      </c>
      <c r="F443">
        <v>40</v>
      </c>
      <c r="G443" t="s">
        <v>40</v>
      </c>
      <c r="H443" t="s">
        <v>136</v>
      </c>
      <c r="I443" t="s">
        <v>652</v>
      </c>
      <c r="J443" t="s">
        <v>116</v>
      </c>
      <c r="K443" t="s">
        <v>116</v>
      </c>
      <c r="L443" t="s">
        <v>115</v>
      </c>
      <c r="M443" t="s">
        <v>116</v>
      </c>
      <c r="N443" t="s">
        <v>117</v>
      </c>
      <c r="O443" t="s">
        <v>117</v>
      </c>
      <c r="P443">
        <v>3</v>
      </c>
      <c r="Q443" s="7">
        <v>46213</v>
      </c>
      <c r="R443" s="7">
        <v>46216</v>
      </c>
      <c r="S443" s="7">
        <v>46216</v>
      </c>
      <c r="T443" t="s">
        <v>117</v>
      </c>
      <c r="V443" t="s">
        <v>118</v>
      </c>
      <c r="W443" t="s">
        <v>117</v>
      </c>
      <c r="X443" t="s">
        <v>117</v>
      </c>
      <c r="Y443" t="s">
        <v>117</v>
      </c>
      <c r="Z443" t="s">
        <v>117</v>
      </c>
      <c r="AB443" t="s">
        <v>48</v>
      </c>
      <c r="AF443">
        <v>2</v>
      </c>
      <c r="AH443" t="s">
        <v>75</v>
      </c>
      <c r="AI443">
        <v>1</v>
      </c>
      <c r="AJ443" s="9"/>
      <c r="AK443" t="s">
        <v>74</v>
      </c>
      <c r="AN443" t="s">
        <v>663</v>
      </c>
      <c r="AO443" t="s">
        <v>663</v>
      </c>
      <c r="AP443">
        <v>3</v>
      </c>
      <c r="AQ443" t="s">
        <v>664</v>
      </c>
      <c r="AR443" s="18" t="str">
        <f>IFERROR(VLOOKUP(K443,[1]POP!$F:$J,1,0),M443)</f>
        <v>MAKARY</v>
      </c>
      <c r="AS443" s="18" t="str">
        <f t="shared" si="31"/>
        <v>MAKARY</v>
      </c>
      <c r="AT443" s="19">
        <f t="shared" si="34"/>
        <v>2</v>
      </c>
      <c r="AU443" s="19">
        <f t="shared" ca="1" si="33"/>
        <v>2</v>
      </c>
    </row>
    <row r="444" spans="1:47" x14ac:dyDescent="0.3">
      <c r="A444" t="s">
        <v>653</v>
      </c>
      <c r="B444" t="str">
        <f t="shared" si="30"/>
        <v>S29_2026</v>
      </c>
      <c r="C444" t="str">
        <f t="shared" si="32"/>
        <v>S28_2026</v>
      </c>
      <c r="E444" t="s">
        <v>654</v>
      </c>
      <c r="F444">
        <v>12</v>
      </c>
      <c r="G444" t="s">
        <v>40</v>
      </c>
      <c r="H444" t="s">
        <v>655</v>
      </c>
      <c r="I444" t="s">
        <v>656</v>
      </c>
      <c r="J444" t="s">
        <v>657</v>
      </c>
      <c r="K444" t="s">
        <v>658</v>
      </c>
      <c r="L444" t="s">
        <v>659</v>
      </c>
      <c r="M444" t="s">
        <v>116</v>
      </c>
      <c r="N444" t="s">
        <v>660</v>
      </c>
      <c r="O444" t="s">
        <v>660</v>
      </c>
      <c r="P444">
        <v>3</v>
      </c>
      <c r="Q444" s="7">
        <v>46213</v>
      </c>
      <c r="R444" s="7">
        <v>46213</v>
      </c>
      <c r="S444" s="7">
        <v>46216</v>
      </c>
      <c r="T444" t="s">
        <v>661</v>
      </c>
      <c r="V444" t="s">
        <v>662</v>
      </c>
      <c r="W444" t="s">
        <v>661</v>
      </c>
      <c r="X444" t="s">
        <v>663</v>
      </c>
      <c r="Y444" t="s">
        <v>663</v>
      </c>
      <c r="Z444" t="s">
        <v>664</v>
      </c>
      <c r="AB444" t="s">
        <v>48</v>
      </c>
      <c r="AE444" s="7">
        <v>46216</v>
      </c>
      <c r="AF444">
        <v>2</v>
      </c>
      <c r="AH444" t="s">
        <v>75</v>
      </c>
      <c r="AI444">
        <v>1</v>
      </c>
      <c r="AJ444" s="9"/>
      <c r="AK444" t="s">
        <v>664</v>
      </c>
      <c r="AN444" t="s">
        <v>675</v>
      </c>
      <c r="AO444" t="s">
        <v>663</v>
      </c>
      <c r="AP444">
        <v>2</v>
      </c>
      <c r="AQ444" t="s">
        <v>664</v>
      </c>
      <c r="AR444" s="18" t="str">
        <f>IFERROR(VLOOKUP(K444,[1]POP!$F:$J,1,0),M444)</f>
        <v>MAKARY</v>
      </c>
      <c r="AS444" s="18" t="str">
        <f t="shared" si="31"/>
        <v>Amchilga</v>
      </c>
      <c r="AT444" s="19">
        <f t="shared" si="34"/>
        <v>2</v>
      </c>
      <c r="AU444" s="19">
        <f t="shared" ca="1" si="33"/>
        <v>2</v>
      </c>
    </row>
    <row r="445" spans="1:47" x14ac:dyDescent="0.3">
      <c r="A445" t="s">
        <v>665</v>
      </c>
      <c r="B445" t="str">
        <f t="shared" si="30"/>
        <v>S29_2026</v>
      </c>
      <c r="C445" t="str">
        <f t="shared" si="32"/>
        <v>S28_2026</v>
      </c>
      <c r="E445" t="s">
        <v>654</v>
      </c>
      <c r="F445">
        <v>5</v>
      </c>
      <c r="G445" t="s">
        <v>55</v>
      </c>
      <c r="H445" t="s">
        <v>655</v>
      </c>
      <c r="I445" t="s">
        <v>666</v>
      </c>
      <c r="J445" t="s">
        <v>657</v>
      </c>
      <c r="K445" t="s">
        <v>658</v>
      </c>
      <c r="L445" t="s">
        <v>659</v>
      </c>
      <c r="M445" t="s">
        <v>116</v>
      </c>
      <c r="N445" t="s">
        <v>661</v>
      </c>
      <c r="O445" t="s">
        <v>661</v>
      </c>
      <c r="P445">
        <v>3</v>
      </c>
      <c r="Q445" s="7">
        <v>46213</v>
      </c>
      <c r="R445" s="7">
        <v>46213</v>
      </c>
      <c r="S445" s="7">
        <v>46216</v>
      </c>
      <c r="T445" t="s">
        <v>661</v>
      </c>
      <c r="V445" t="s">
        <v>667</v>
      </c>
      <c r="W445" t="s">
        <v>663</v>
      </c>
      <c r="X445" t="s">
        <v>663</v>
      </c>
      <c r="Y445" t="s">
        <v>663</v>
      </c>
      <c r="Z445" t="s">
        <v>668</v>
      </c>
      <c r="AB445" t="s">
        <v>48</v>
      </c>
      <c r="AF445">
        <v>2</v>
      </c>
      <c r="AH445" t="s">
        <v>75</v>
      </c>
      <c r="AI445">
        <v>1</v>
      </c>
      <c r="AJ445" s="9"/>
      <c r="AK445" t="s">
        <v>664</v>
      </c>
      <c r="AN445" t="s">
        <v>663</v>
      </c>
      <c r="AO445" t="s">
        <v>663</v>
      </c>
      <c r="AP445">
        <v>4</v>
      </c>
      <c r="AQ445" t="s">
        <v>664</v>
      </c>
      <c r="AR445" s="18" t="str">
        <f>IFERROR(VLOOKUP(K445,[1]POP!$F:$J,1,0),M445)</f>
        <v>MAKARY</v>
      </c>
      <c r="AS445" s="18" t="str">
        <f t="shared" si="31"/>
        <v>Amchilga</v>
      </c>
      <c r="AT445" s="19">
        <f t="shared" si="34"/>
        <v>2</v>
      </c>
      <c r="AU445" s="19">
        <f t="shared" ca="1" si="33"/>
        <v>2</v>
      </c>
    </row>
    <row r="446" spans="1:47" x14ac:dyDescent="0.3">
      <c r="A446" t="s">
        <v>669</v>
      </c>
      <c r="B446" t="str">
        <f t="shared" si="30"/>
        <v>S29_2026</v>
      </c>
      <c r="C446" t="str">
        <f t="shared" si="32"/>
        <v>S29_2026</v>
      </c>
      <c r="E446" t="s">
        <v>654</v>
      </c>
      <c r="F446">
        <v>8</v>
      </c>
      <c r="G446" t="s">
        <v>40</v>
      </c>
      <c r="H446" t="s">
        <v>655</v>
      </c>
      <c r="I446" t="s">
        <v>670</v>
      </c>
      <c r="J446" t="s">
        <v>657</v>
      </c>
      <c r="K446" t="s">
        <v>671</v>
      </c>
      <c r="L446" t="s">
        <v>659</v>
      </c>
      <c r="M446" t="s">
        <v>116</v>
      </c>
      <c r="N446" t="s">
        <v>117</v>
      </c>
      <c r="O446" t="s">
        <v>117</v>
      </c>
      <c r="P446">
        <v>3</v>
      </c>
      <c r="Q446" s="7">
        <v>46216</v>
      </c>
      <c r="R446" s="7">
        <v>46216</v>
      </c>
      <c r="S446" s="7">
        <v>46216</v>
      </c>
      <c r="T446" t="s">
        <v>117</v>
      </c>
      <c r="V446" t="s">
        <v>667</v>
      </c>
      <c r="W446" t="s">
        <v>117</v>
      </c>
      <c r="X446" t="s">
        <v>117</v>
      </c>
      <c r="Y446" t="s">
        <v>117</v>
      </c>
      <c r="Z446" t="s">
        <v>668</v>
      </c>
      <c r="AB446" t="s">
        <v>48</v>
      </c>
      <c r="AF446">
        <v>2</v>
      </c>
      <c r="AH446" t="s">
        <v>75</v>
      </c>
      <c r="AI446">
        <v>1</v>
      </c>
      <c r="AJ446" s="9"/>
      <c r="AN446"/>
      <c r="AO446"/>
      <c r="AP446"/>
      <c r="AQ446"/>
      <c r="AR446" s="18" t="str">
        <f>IFERROR(VLOOKUP(K446,[1]POP!$F:$J,1,0),M446)</f>
        <v>MAKARY</v>
      </c>
      <c r="AS446" s="18" t="str">
        <f t="shared" si="31"/>
        <v>Amchilga</v>
      </c>
      <c r="AT446" s="19">
        <f t="shared" si="34"/>
        <v>2</v>
      </c>
      <c r="AU446" s="19">
        <f t="shared" ca="1" si="33"/>
        <v>2</v>
      </c>
    </row>
    <row r="447" spans="1:47" x14ac:dyDescent="0.3">
      <c r="A447" t="s">
        <v>672</v>
      </c>
      <c r="B447" t="str">
        <f t="shared" si="30"/>
        <v>S29_2026</v>
      </c>
      <c r="C447" t="str">
        <f t="shared" si="32"/>
        <v>S29_2026</v>
      </c>
      <c r="E447" t="s">
        <v>654</v>
      </c>
      <c r="F447">
        <v>17</v>
      </c>
      <c r="G447" t="s">
        <v>55</v>
      </c>
      <c r="H447" t="s">
        <v>673</v>
      </c>
      <c r="I447" t="s">
        <v>670</v>
      </c>
      <c r="J447" t="s">
        <v>657</v>
      </c>
      <c r="K447" t="s">
        <v>671</v>
      </c>
      <c r="L447" t="s">
        <v>659</v>
      </c>
      <c r="M447" t="s">
        <v>116</v>
      </c>
      <c r="N447" t="s">
        <v>117</v>
      </c>
      <c r="O447" t="s">
        <v>117</v>
      </c>
      <c r="P447">
        <v>3</v>
      </c>
      <c r="Q447" s="7">
        <v>46216</v>
      </c>
      <c r="R447" s="7">
        <v>46216</v>
      </c>
      <c r="S447" s="7">
        <v>46216</v>
      </c>
      <c r="T447" t="s">
        <v>117</v>
      </c>
      <c r="V447" t="s">
        <v>667</v>
      </c>
      <c r="W447" t="s">
        <v>117</v>
      </c>
      <c r="X447" t="s">
        <v>117</v>
      </c>
      <c r="Y447" t="s">
        <v>117</v>
      </c>
      <c r="Z447" t="s">
        <v>668</v>
      </c>
      <c r="AB447" t="s">
        <v>48</v>
      </c>
      <c r="AF447">
        <v>2</v>
      </c>
      <c r="AH447" t="s">
        <v>75</v>
      </c>
      <c r="AI447">
        <v>1</v>
      </c>
      <c r="AJ447" s="9"/>
      <c r="AN447"/>
      <c r="AO447"/>
      <c r="AP447"/>
      <c r="AQ447"/>
      <c r="AR447" s="18" t="str">
        <f>IFERROR(VLOOKUP(K447,[1]POP!$F:$J,1,0),M447)</f>
        <v>MAKARY</v>
      </c>
      <c r="AS447" s="18" t="str">
        <f t="shared" si="31"/>
        <v>Amchilga</v>
      </c>
      <c r="AT447" s="19">
        <f t="shared" si="34"/>
        <v>2</v>
      </c>
      <c r="AU447" s="19">
        <f t="shared" ca="1" si="33"/>
        <v>2</v>
      </c>
    </row>
    <row r="448" spans="1:47" x14ac:dyDescent="0.3">
      <c r="A448" t="s">
        <v>674</v>
      </c>
      <c r="B448" t="str">
        <f t="shared" si="30"/>
        <v>S29_2026</v>
      </c>
      <c r="C448" t="str">
        <f t="shared" si="32"/>
        <v>S29_2026</v>
      </c>
      <c r="E448" t="s">
        <v>654</v>
      </c>
      <c r="F448">
        <v>8</v>
      </c>
      <c r="G448" t="s">
        <v>55</v>
      </c>
      <c r="H448" t="s">
        <v>655</v>
      </c>
      <c r="I448" t="s">
        <v>666</v>
      </c>
      <c r="J448" t="s">
        <v>657</v>
      </c>
      <c r="K448" t="s">
        <v>658</v>
      </c>
      <c r="L448" t="s">
        <v>659</v>
      </c>
      <c r="M448" t="s">
        <v>116</v>
      </c>
      <c r="N448" t="s">
        <v>675</v>
      </c>
      <c r="O448" t="s">
        <v>675</v>
      </c>
      <c r="P448">
        <v>2</v>
      </c>
      <c r="Q448" s="7">
        <v>46217</v>
      </c>
      <c r="R448" s="7">
        <v>46217</v>
      </c>
      <c r="S448" s="7">
        <v>46217</v>
      </c>
      <c r="T448" t="s">
        <v>675</v>
      </c>
      <c r="V448" t="s">
        <v>662</v>
      </c>
      <c r="W448" t="s">
        <v>675</v>
      </c>
      <c r="X448" t="s">
        <v>676</v>
      </c>
      <c r="Y448" t="s">
        <v>663</v>
      </c>
      <c r="Z448" t="s">
        <v>117</v>
      </c>
      <c r="AB448" t="s">
        <v>48</v>
      </c>
      <c r="AF448">
        <v>2</v>
      </c>
      <c r="AH448" t="s">
        <v>75</v>
      </c>
      <c r="AI448">
        <v>1</v>
      </c>
      <c r="AJ448" s="9"/>
      <c r="AK448" t="s">
        <v>664</v>
      </c>
      <c r="AN448"/>
      <c r="AO448"/>
      <c r="AP448"/>
      <c r="AQ448"/>
      <c r="AR448" s="18" t="str">
        <f>IFERROR(VLOOKUP(K448,[1]POP!$F:$J,1,0),M448)</f>
        <v>MAKARY</v>
      </c>
      <c r="AS448" s="18" t="str">
        <f t="shared" si="31"/>
        <v>Amchilga</v>
      </c>
      <c r="AT448" s="19">
        <f t="shared" si="34"/>
        <v>2</v>
      </c>
      <c r="AU448" s="19">
        <f t="shared" ca="1" si="33"/>
        <v>2</v>
      </c>
    </row>
    <row r="449" spans="1:47" x14ac:dyDescent="0.3">
      <c r="A449" t="s">
        <v>677</v>
      </c>
      <c r="B449" t="str">
        <f t="shared" si="30"/>
        <v>S29_2026</v>
      </c>
      <c r="C449" t="str">
        <f t="shared" si="32"/>
        <v>S29_2026</v>
      </c>
      <c r="E449" t="s">
        <v>654</v>
      </c>
      <c r="F449">
        <v>18</v>
      </c>
      <c r="G449" t="s">
        <v>55</v>
      </c>
      <c r="H449" t="s">
        <v>678</v>
      </c>
      <c r="I449" t="s">
        <v>666</v>
      </c>
      <c r="J449" t="s">
        <v>657</v>
      </c>
      <c r="K449" t="s">
        <v>658</v>
      </c>
      <c r="L449" t="s">
        <v>659</v>
      </c>
      <c r="M449" t="s">
        <v>116</v>
      </c>
      <c r="N449" t="s">
        <v>663</v>
      </c>
      <c r="O449" t="s">
        <v>663</v>
      </c>
      <c r="P449">
        <v>3</v>
      </c>
      <c r="Q449" s="7">
        <v>46217</v>
      </c>
      <c r="R449" s="7">
        <v>46217</v>
      </c>
      <c r="S449" s="7">
        <v>46217</v>
      </c>
      <c r="T449" t="s">
        <v>663</v>
      </c>
      <c r="V449" t="s">
        <v>667</v>
      </c>
      <c r="W449" t="s">
        <v>663</v>
      </c>
      <c r="X449" t="s">
        <v>663</v>
      </c>
      <c r="Y449" t="s">
        <v>663</v>
      </c>
      <c r="Z449" t="s">
        <v>663</v>
      </c>
      <c r="AB449" t="s">
        <v>48</v>
      </c>
      <c r="AF449">
        <v>2</v>
      </c>
      <c r="AH449" t="s">
        <v>75</v>
      </c>
      <c r="AI449">
        <v>1</v>
      </c>
      <c r="AJ449" s="9"/>
      <c r="AK449" t="s">
        <v>664</v>
      </c>
      <c r="AN449"/>
      <c r="AO449"/>
      <c r="AP449"/>
      <c r="AQ449"/>
      <c r="AR449" s="18" t="str">
        <f>IFERROR(VLOOKUP(K449,[1]POP!$F:$J,1,0),M449)</f>
        <v>MAKARY</v>
      </c>
      <c r="AS449" s="18" t="str">
        <f t="shared" si="31"/>
        <v>Amchilga</v>
      </c>
      <c r="AT449" s="19">
        <f t="shared" si="34"/>
        <v>2</v>
      </c>
      <c r="AU449" s="19">
        <f t="shared" ca="1" si="33"/>
        <v>2</v>
      </c>
    </row>
    <row r="450" spans="1:47" x14ac:dyDescent="0.3">
      <c r="A450" t="s">
        <v>679</v>
      </c>
      <c r="B450" t="str">
        <f t="shared" ref="B450:B513" si="35">"S"&amp;(IF(_xlfn.ISOWEEKNUM(S450)&gt;9,_xlfn.ISOWEEKNUM(S450),_xlfn.CONCAT("0",_xlfn.ISOWEEKNUM(S450))))&amp;"_"&amp;(YEAR(S450+26-(_xlfn.ISOWEEKNUM(S450))))</f>
        <v>S29_2026</v>
      </c>
      <c r="C450" t="str">
        <f t="shared" si="32"/>
        <v>S29_2026</v>
      </c>
      <c r="E450" t="s">
        <v>654</v>
      </c>
      <c r="F450">
        <v>44</v>
      </c>
      <c r="G450" t="s">
        <v>55</v>
      </c>
      <c r="H450" t="s">
        <v>680</v>
      </c>
      <c r="I450" t="s">
        <v>666</v>
      </c>
      <c r="J450" t="s">
        <v>657</v>
      </c>
      <c r="K450" t="s">
        <v>658</v>
      </c>
      <c r="L450" t="s">
        <v>659</v>
      </c>
      <c r="M450" t="s">
        <v>116</v>
      </c>
      <c r="N450" t="s">
        <v>663</v>
      </c>
      <c r="O450" t="s">
        <v>663</v>
      </c>
      <c r="P450">
        <v>3</v>
      </c>
      <c r="Q450" s="7">
        <v>46217</v>
      </c>
      <c r="R450" s="7">
        <v>46217</v>
      </c>
      <c r="S450" s="7">
        <v>46217</v>
      </c>
      <c r="T450" t="s">
        <v>663</v>
      </c>
      <c r="V450" t="s">
        <v>662</v>
      </c>
      <c r="W450" t="s">
        <v>663</v>
      </c>
      <c r="X450" t="s">
        <v>663</v>
      </c>
      <c r="Y450" t="s">
        <v>663</v>
      </c>
      <c r="Z450" t="s">
        <v>663</v>
      </c>
      <c r="AB450" t="s">
        <v>48</v>
      </c>
      <c r="AF450">
        <v>2</v>
      </c>
      <c r="AH450" t="s">
        <v>75</v>
      </c>
      <c r="AI450">
        <v>1</v>
      </c>
      <c r="AJ450" s="9"/>
      <c r="AK450" t="s">
        <v>664</v>
      </c>
      <c r="AN450"/>
      <c r="AO450"/>
      <c r="AP450"/>
      <c r="AQ450"/>
      <c r="AR450" s="18" t="str">
        <f>IFERROR(VLOOKUP(K450,[1]POP!$F:$J,1,0),M450)</f>
        <v>MAKARY</v>
      </c>
      <c r="AS450" s="18" t="str">
        <f t="shared" ref="AS450:AS513" si="36">IF(AR450=K450,J450,L450)</f>
        <v>Amchilga</v>
      </c>
      <c r="AT450" s="19">
        <f t="shared" si="34"/>
        <v>2</v>
      </c>
      <c r="AU450" s="19">
        <f t="shared" ca="1" si="33"/>
        <v>2</v>
      </c>
    </row>
    <row r="451" spans="1:47" x14ac:dyDescent="0.3">
      <c r="A451" t="s">
        <v>681</v>
      </c>
      <c r="B451" t="str">
        <f t="shared" si="35"/>
        <v>S29_2026</v>
      </c>
      <c r="C451" t="str">
        <f t="shared" ref="C451:C514" si="37">"S"&amp;(IF(_xlfn.ISOWEEKNUM(Q451)&gt;9,_xlfn.ISOWEEKNUM(Q451),_xlfn.CONCAT("0",_xlfn.ISOWEEKNUM(Q451))))&amp;"_"&amp;(YEAR(Q451+26-(_xlfn.ISOWEEKNUM(Q451))))</f>
        <v>S29_2026</v>
      </c>
      <c r="E451" t="s">
        <v>654</v>
      </c>
      <c r="F451">
        <v>36</v>
      </c>
      <c r="G451" t="s">
        <v>40</v>
      </c>
      <c r="H451" t="s">
        <v>682</v>
      </c>
      <c r="I451" t="s">
        <v>666</v>
      </c>
      <c r="J451" t="s">
        <v>657</v>
      </c>
      <c r="K451" t="s">
        <v>658</v>
      </c>
      <c r="L451" t="s">
        <v>659</v>
      </c>
      <c r="M451" t="s">
        <v>116</v>
      </c>
      <c r="N451" t="s">
        <v>663</v>
      </c>
      <c r="O451" t="s">
        <v>663</v>
      </c>
      <c r="P451">
        <v>2</v>
      </c>
      <c r="Q451" s="7">
        <v>46217</v>
      </c>
      <c r="R451" s="7">
        <v>46217</v>
      </c>
      <c r="S451" s="7">
        <v>46217</v>
      </c>
      <c r="T451" t="s">
        <v>663</v>
      </c>
      <c r="V451" t="s">
        <v>667</v>
      </c>
      <c r="W451" t="s">
        <v>117</v>
      </c>
      <c r="X451" t="s">
        <v>663</v>
      </c>
      <c r="Y451" t="s">
        <v>663</v>
      </c>
      <c r="Z451" t="s">
        <v>663</v>
      </c>
      <c r="AB451" t="s">
        <v>48</v>
      </c>
      <c r="AF451">
        <v>2</v>
      </c>
      <c r="AH451" t="s">
        <v>75</v>
      </c>
      <c r="AI451">
        <v>1</v>
      </c>
      <c r="AJ451" s="9"/>
      <c r="AK451" t="s">
        <v>664</v>
      </c>
      <c r="AN451"/>
      <c r="AO451"/>
      <c r="AP451"/>
      <c r="AQ451"/>
      <c r="AR451" s="18" t="str">
        <f>IFERROR(VLOOKUP(K451,[1]POP!$F:$J,1,0),M451)</f>
        <v>MAKARY</v>
      </c>
      <c r="AS451" s="18" t="str">
        <f t="shared" si="36"/>
        <v>Amchilga</v>
      </c>
      <c r="AT451" s="19">
        <f t="shared" si="34"/>
        <v>2</v>
      </c>
      <c r="AU451" s="19">
        <f t="shared" ref="AU451:AU514" ca="1" si="38">IF((TODAY() - R451)&lt;=21,1,2)</f>
        <v>2</v>
      </c>
    </row>
    <row r="452" spans="1:47" x14ac:dyDescent="0.3">
      <c r="A452" t="s">
        <v>683</v>
      </c>
      <c r="B452" t="str">
        <f t="shared" si="35"/>
        <v>S29_2026</v>
      </c>
      <c r="C452" t="str">
        <f t="shared" si="37"/>
        <v>S29_2026</v>
      </c>
      <c r="E452" t="s">
        <v>654</v>
      </c>
      <c r="F452">
        <v>28</v>
      </c>
      <c r="G452" t="s">
        <v>40</v>
      </c>
      <c r="H452" t="s">
        <v>682</v>
      </c>
      <c r="I452" t="s">
        <v>666</v>
      </c>
      <c r="J452" t="s">
        <v>657</v>
      </c>
      <c r="K452" t="s">
        <v>658</v>
      </c>
      <c r="L452" t="s">
        <v>659</v>
      </c>
      <c r="M452" t="s">
        <v>116</v>
      </c>
      <c r="N452" t="s">
        <v>660</v>
      </c>
      <c r="O452" t="s">
        <v>661</v>
      </c>
      <c r="P452">
        <v>2</v>
      </c>
      <c r="Q452" s="7">
        <v>46217</v>
      </c>
      <c r="R452" s="7">
        <v>46217</v>
      </c>
      <c r="S452" s="7">
        <v>46217</v>
      </c>
      <c r="T452" t="s">
        <v>660</v>
      </c>
      <c r="V452" t="s">
        <v>662</v>
      </c>
      <c r="W452" t="s">
        <v>661</v>
      </c>
      <c r="X452" t="s">
        <v>660</v>
      </c>
      <c r="Y452" t="s">
        <v>117</v>
      </c>
      <c r="Z452" t="s">
        <v>663</v>
      </c>
      <c r="AB452" t="s">
        <v>48</v>
      </c>
      <c r="AF452">
        <v>2</v>
      </c>
      <c r="AH452" t="s">
        <v>75</v>
      </c>
      <c r="AI452">
        <v>1</v>
      </c>
      <c r="AJ452" s="9"/>
      <c r="AK452" t="s">
        <v>664</v>
      </c>
      <c r="AN452"/>
      <c r="AO452"/>
      <c r="AP452"/>
      <c r="AQ452"/>
      <c r="AR452" s="18" t="str">
        <f>IFERROR(VLOOKUP(K452,[1]POP!$F:$J,1,0),M452)</f>
        <v>MAKARY</v>
      </c>
      <c r="AS452" s="18" t="str">
        <f t="shared" si="36"/>
        <v>Amchilga</v>
      </c>
      <c r="AT452" s="19">
        <f t="shared" ref="AT452:AT515" si="39">IF($AI:$AI=2,3,IF($AI:$AI=3,3,IF($AI:$AI=4,3,IF($AI:$AI=1,2,0))))</f>
        <v>2</v>
      </c>
      <c r="AU452" s="19">
        <f t="shared" ca="1" si="38"/>
        <v>2</v>
      </c>
    </row>
    <row r="453" spans="1:47" x14ac:dyDescent="0.3">
      <c r="A453" t="s">
        <v>684</v>
      </c>
      <c r="B453" t="str">
        <f t="shared" si="35"/>
        <v>S29_2026</v>
      </c>
      <c r="C453" t="str">
        <f t="shared" si="37"/>
        <v>S29_2026</v>
      </c>
      <c r="E453" t="s">
        <v>654</v>
      </c>
      <c r="F453">
        <v>18</v>
      </c>
      <c r="G453" t="s">
        <v>55</v>
      </c>
      <c r="H453" t="s">
        <v>678</v>
      </c>
      <c r="I453" t="s">
        <v>666</v>
      </c>
      <c r="J453" t="s">
        <v>657</v>
      </c>
      <c r="K453" t="s">
        <v>658</v>
      </c>
      <c r="L453" t="s">
        <v>659</v>
      </c>
      <c r="M453" t="s">
        <v>116</v>
      </c>
      <c r="N453" t="s">
        <v>663</v>
      </c>
      <c r="O453" t="s">
        <v>663</v>
      </c>
      <c r="P453">
        <v>3</v>
      </c>
      <c r="Q453" s="7">
        <v>46217</v>
      </c>
      <c r="R453" s="7">
        <v>46217</v>
      </c>
      <c r="S453" s="7">
        <v>46217</v>
      </c>
      <c r="T453" t="s">
        <v>663</v>
      </c>
      <c r="V453" t="s">
        <v>667</v>
      </c>
      <c r="W453" t="s">
        <v>663</v>
      </c>
      <c r="X453" t="s">
        <v>663</v>
      </c>
      <c r="Y453" t="s">
        <v>663</v>
      </c>
      <c r="Z453" t="s">
        <v>663</v>
      </c>
      <c r="AB453" t="s">
        <v>48</v>
      </c>
      <c r="AF453">
        <v>2</v>
      </c>
      <c r="AH453" t="s">
        <v>75</v>
      </c>
      <c r="AI453">
        <v>1</v>
      </c>
      <c r="AJ453" s="9"/>
      <c r="AK453" t="s">
        <v>664</v>
      </c>
      <c r="AN453"/>
      <c r="AO453"/>
      <c r="AP453"/>
      <c r="AQ453"/>
      <c r="AR453" s="18" t="str">
        <f>IFERROR(VLOOKUP(K453,[1]POP!$F:$J,1,0),M453)</f>
        <v>MAKARY</v>
      </c>
      <c r="AS453" s="18" t="str">
        <f t="shared" si="36"/>
        <v>Amchilga</v>
      </c>
      <c r="AT453" s="19">
        <f t="shared" si="39"/>
        <v>2</v>
      </c>
      <c r="AU453" s="19">
        <f t="shared" ca="1" si="38"/>
        <v>2</v>
      </c>
    </row>
    <row r="454" spans="1:47" x14ac:dyDescent="0.3">
      <c r="A454" t="s">
        <v>685</v>
      </c>
      <c r="B454" t="str">
        <f t="shared" si="35"/>
        <v>S29_2026</v>
      </c>
      <c r="C454" t="str">
        <f t="shared" si="37"/>
        <v>S29_2026</v>
      </c>
      <c r="E454" t="s">
        <v>654</v>
      </c>
      <c r="F454">
        <v>29</v>
      </c>
      <c r="G454" t="s">
        <v>40</v>
      </c>
      <c r="H454" t="s">
        <v>682</v>
      </c>
      <c r="I454" t="s">
        <v>666</v>
      </c>
      <c r="J454" t="s">
        <v>657</v>
      </c>
      <c r="K454" t="s">
        <v>658</v>
      </c>
      <c r="L454" t="s">
        <v>659</v>
      </c>
      <c r="M454" t="s">
        <v>116</v>
      </c>
      <c r="N454" t="s">
        <v>663</v>
      </c>
      <c r="O454" t="s">
        <v>663</v>
      </c>
      <c r="P454">
        <v>3</v>
      </c>
      <c r="Q454" s="7">
        <v>46217</v>
      </c>
      <c r="R454" s="7">
        <v>46217</v>
      </c>
      <c r="S454" s="7">
        <v>46217</v>
      </c>
      <c r="T454" t="s">
        <v>663</v>
      </c>
      <c r="V454" t="s">
        <v>662</v>
      </c>
      <c r="W454" t="s">
        <v>663</v>
      </c>
      <c r="X454" t="s">
        <v>663</v>
      </c>
      <c r="Y454" t="s">
        <v>663</v>
      </c>
      <c r="Z454" t="s">
        <v>663</v>
      </c>
      <c r="AB454" t="s">
        <v>48</v>
      </c>
      <c r="AF454">
        <v>2</v>
      </c>
      <c r="AH454" t="s">
        <v>75</v>
      </c>
      <c r="AI454">
        <v>1</v>
      </c>
      <c r="AJ454" s="9"/>
      <c r="AK454" t="s">
        <v>664</v>
      </c>
      <c r="AN454"/>
      <c r="AO454"/>
      <c r="AP454"/>
      <c r="AQ454"/>
      <c r="AR454" s="18" t="str">
        <f>IFERROR(VLOOKUP(K454,[1]POP!$F:$J,1,0),M454)</f>
        <v>MAKARY</v>
      </c>
      <c r="AS454" s="18" t="str">
        <f t="shared" si="36"/>
        <v>Amchilga</v>
      </c>
      <c r="AT454" s="19">
        <f t="shared" si="39"/>
        <v>2</v>
      </c>
      <c r="AU454" s="19">
        <f t="shared" ca="1" si="38"/>
        <v>2</v>
      </c>
    </row>
    <row r="455" spans="1:47" x14ac:dyDescent="0.3">
      <c r="A455" t="s">
        <v>686</v>
      </c>
      <c r="B455" t="str">
        <f t="shared" si="35"/>
        <v>S29_2026</v>
      </c>
      <c r="C455" t="str">
        <f t="shared" si="37"/>
        <v>S29_2026</v>
      </c>
      <c r="E455" t="s">
        <v>654</v>
      </c>
      <c r="F455">
        <v>20</v>
      </c>
      <c r="G455" t="s">
        <v>55</v>
      </c>
      <c r="H455" t="s">
        <v>678</v>
      </c>
      <c r="I455" t="s">
        <v>666</v>
      </c>
      <c r="J455" t="s">
        <v>657</v>
      </c>
      <c r="K455" t="s">
        <v>658</v>
      </c>
      <c r="L455" t="s">
        <v>659</v>
      </c>
      <c r="M455" t="s">
        <v>116</v>
      </c>
      <c r="N455" t="s">
        <v>663</v>
      </c>
      <c r="O455" t="s">
        <v>663</v>
      </c>
      <c r="P455">
        <v>3</v>
      </c>
      <c r="Q455" s="7">
        <v>46217</v>
      </c>
      <c r="R455" s="7">
        <v>46217</v>
      </c>
      <c r="S455" s="7">
        <v>46217</v>
      </c>
      <c r="T455" t="s">
        <v>663</v>
      </c>
      <c r="V455" t="s">
        <v>667</v>
      </c>
      <c r="W455" t="s">
        <v>663</v>
      </c>
      <c r="X455" t="s">
        <v>663</v>
      </c>
      <c r="Y455" t="s">
        <v>663</v>
      </c>
      <c r="Z455" t="s">
        <v>663</v>
      </c>
      <c r="AB455" t="s">
        <v>48</v>
      </c>
      <c r="AF455">
        <v>2</v>
      </c>
      <c r="AH455" t="s">
        <v>75</v>
      </c>
      <c r="AI455">
        <v>1</v>
      </c>
      <c r="AJ455" s="9"/>
      <c r="AK455" t="s">
        <v>668</v>
      </c>
      <c r="AN455"/>
      <c r="AO455"/>
      <c r="AP455"/>
      <c r="AQ455"/>
      <c r="AR455" s="18" t="str">
        <f>IFERROR(VLOOKUP(K455,[1]POP!$F:$J,1,0),M455)</f>
        <v>MAKARY</v>
      </c>
      <c r="AS455" s="18" t="str">
        <f t="shared" si="36"/>
        <v>Amchilga</v>
      </c>
      <c r="AT455" s="19">
        <f t="shared" si="39"/>
        <v>2</v>
      </c>
      <c r="AU455" s="19">
        <f t="shared" ca="1" si="38"/>
        <v>2</v>
      </c>
    </row>
    <row r="456" spans="1:47" x14ac:dyDescent="0.3">
      <c r="A456" t="s">
        <v>687</v>
      </c>
      <c r="B456" t="str">
        <f t="shared" si="35"/>
        <v>S29_2026</v>
      </c>
      <c r="C456" t="str">
        <f t="shared" si="37"/>
        <v>S29_2026</v>
      </c>
      <c r="E456" t="s">
        <v>512</v>
      </c>
      <c r="F456">
        <v>15</v>
      </c>
      <c r="G456" t="s">
        <v>40</v>
      </c>
      <c r="H456" t="s">
        <v>521</v>
      </c>
      <c r="I456" t="s">
        <v>371</v>
      </c>
      <c r="J456" t="s">
        <v>657</v>
      </c>
      <c r="K456" t="s">
        <v>658</v>
      </c>
      <c r="L456" t="s">
        <v>659</v>
      </c>
      <c r="M456" t="s">
        <v>116</v>
      </c>
      <c r="N456" t="s">
        <v>663</v>
      </c>
      <c r="O456" t="s">
        <v>663</v>
      </c>
      <c r="P456">
        <v>3</v>
      </c>
      <c r="Q456" s="7">
        <v>46216</v>
      </c>
      <c r="R456" s="7">
        <v>46216</v>
      </c>
      <c r="S456" s="7">
        <v>46217</v>
      </c>
      <c r="T456" t="s">
        <v>663</v>
      </c>
      <c r="V456" t="s">
        <v>360</v>
      </c>
      <c r="W456" t="s">
        <v>663</v>
      </c>
      <c r="X456" t="s">
        <v>663</v>
      </c>
      <c r="Y456" t="s">
        <v>663</v>
      </c>
      <c r="Z456" t="s">
        <v>663</v>
      </c>
      <c r="AB456" t="s">
        <v>48</v>
      </c>
      <c r="AF456">
        <v>2</v>
      </c>
      <c r="AH456" t="s">
        <v>75</v>
      </c>
      <c r="AI456">
        <v>1</v>
      </c>
      <c r="AJ456" s="9"/>
      <c r="AN456"/>
      <c r="AO456"/>
      <c r="AP456"/>
      <c r="AQ456"/>
      <c r="AR456" s="18" t="str">
        <f>IFERROR(VLOOKUP(K456,[1]POP!$F:$J,1,0),M456)</f>
        <v>MAKARY</v>
      </c>
      <c r="AS456" s="18" t="str">
        <f t="shared" si="36"/>
        <v>Amchilga</v>
      </c>
      <c r="AT456" s="19">
        <f t="shared" si="39"/>
        <v>2</v>
      </c>
      <c r="AU456" s="19">
        <f t="shared" ca="1" si="38"/>
        <v>2</v>
      </c>
    </row>
    <row r="457" spans="1:47" x14ac:dyDescent="0.3">
      <c r="A457" t="s">
        <v>688</v>
      </c>
      <c r="B457" t="str">
        <f t="shared" si="35"/>
        <v>S29_2026</v>
      </c>
      <c r="C457" t="str">
        <f t="shared" si="37"/>
        <v>S29_2026</v>
      </c>
      <c r="E457" t="s">
        <v>512</v>
      </c>
      <c r="F457">
        <v>2</v>
      </c>
      <c r="G457" t="s">
        <v>40</v>
      </c>
      <c r="H457" t="s">
        <v>85</v>
      </c>
      <c r="I457" t="s">
        <v>371</v>
      </c>
      <c r="J457" t="s">
        <v>657</v>
      </c>
      <c r="K457" t="s">
        <v>658</v>
      </c>
      <c r="L457" t="s">
        <v>359</v>
      </c>
      <c r="M457" t="s">
        <v>116</v>
      </c>
      <c r="N457" t="s">
        <v>663</v>
      </c>
      <c r="O457" t="s">
        <v>663</v>
      </c>
      <c r="P457">
        <v>3</v>
      </c>
      <c r="Q457" s="7">
        <v>46216</v>
      </c>
      <c r="R457" s="7">
        <v>46216</v>
      </c>
      <c r="S457" s="7">
        <v>46217</v>
      </c>
      <c r="T457" t="s">
        <v>663</v>
      </c>
      <c r="V457" t="s">
        <v>360</v>
      </c>
      <c r="W457" t="s">
        <v>663</v>
      </c>
      <c r="X457" t="s">
        <v>663</v>
      </c>
      <c r="Y457" t="s">
        <v>663</v>
      </c>
      <c r="Z457" t="s">
        <v>663</v>
      </c>
      <c r="AB457" t="s">
        <v>48</v>
      </c>
      <c r="AF457">
        <v>2</v>
      </c>
      <c r="AH457" t="s">
        <v>75</v>
      </c>
      <c r="AI457">
        <v>1</v>
      </c>
      <c r="AJ457" s="9"/>
      <c r="AN457"/>
      <c r="AO457"/>
      <c r="AP457"/>
      <c r="AQ457"/>
      <c r="AR457" s="18" t="str">
        <f>IFERROR(VLOOKUP(K457,[1]POP!$F:$J,1,0),M457)</f>
        <v>MAKARY</v>
      </c>
      <c r="AS457" s="18" t="str">
        <f t="shared" si="36"/>
        <v>Ngouma</v>
      </c>
      <c r="AT457" s="19">
        <f t="shared" si="39"/>
        <v>2</v>
      </c>
      <c r="AU457" s="19">
        <f t="shared" ca="1" si="38"/>
        <v>2</v>
      </c>
    </row>
    <row r="458" spans="1:47" x14ac:dyDescent="0.3">
      <c r="A458" t="s">
        <v>689</v>
      </c>
      <c r="B458" t="str">
        <f t="shared" si="35"/>
        <v>S29_2026</v>
      </c>
      <c r="C458" t="str">
        <f t="shared" si="37"/>
        <v>S29_2026</v>
      </c>
      <c r="E458" t="s">
        <v>512</v>
      </c>
      <c r="F458">
        <v>6</v>
      </c>
      <c r="G458" t="s">
        <v>40</v>
      </c>
      <c r="H458" t="s">
        <v>85</v>
      </c>
      <c r="I458" t="s">
        <v>371</v>
      </c>
      <c r="J458" t="s">
        <v>657</v>
      </c>
      <c r="K458" t="s">
        <v>658</v>
      </c>
      <c r="L458" t="s">
        <v>359</v>
      </c>
      <c r="M458" t="s">
        <v>116</v>
      </c>
      <c r="N458" t="s">
        <v>663</v>
      </c>
      <c r="O458" t="s">
        <v>663</v>
      </c>
      <c r="P458">
        <v>3</v>
      </c>
      <c r="Q458" s="7">
        <v>46216</v>
      </c>
      <c r="R458" s="7">
        <v>46216</v>
      </c>
      <c r="S458" s="7">
        <v>46217</v>
      </c>
      <c r="T458" t="s">
        <v>663</v>
      </c>
      <c r="V458" t="s">
        <v>360</v>
      </c>
      <c r="W458" t="s">
        <v>663</v>
      </c>
      <c r="X458" t="s">
        <v>663</v>
      </c>
      <c r="Y458" t="s">
        <v>663</v>
      </c>
      <c r="Z458" t="s">
        <v>663</v>
      </c>
      <c r="AB458" t="s">
        <v>48</v>
      </c>
      <c r="AF458">
        <v>2</v>
      </c>
      <c r="AH458" t="s">
        <v>75</v>
      </c>
      <c r="AI458">
        <v>1</v>
      </c>
      <c r="AJ458" s="9"/>
      <c r="AN458"/>
      <c r="AO458"/>
      <c r="AP458"/>
      <c r="AQ458"/>
      <c r="AR458" s="18" t="str">
        <f>IFERROR(VLOOKUP(K458,[1]POP!$F:$J,1,0),M458)</f>
        <v>MAKARY</v>
      </c>
      <c r="AS458" s="18" t="str">
        <f t="shared" si="36"/>
        <v>Ngouma</v>
      </c>
      <c r="AT458" s="19">
        <f t="shared" si="39"/>
        <v>2</v>
      </c>
      <c r="AU458" s="19">
        <f t="shared" ca="1" si="38"/>
        <v>2</v>
      </c>
    </row>
    <row r="459" spans="1:47" x14ac:dyDescent="0.3">
      <c r="A459" t="s">
        <v>690</v>
      </c>
      <c r="B459" t="str">
        <f t="shared" si="35"/>
        <v>S29_2026</v>
      </c>
      <c r="C459" t="str">
        <f t="shared" si="37"/>
        <v>S29_2026</v>
      </c>
      <c r="E459" t="s">
        <v>512</v>
      </c>
      <c r="F459">
        <v>7</v>
      </c>
      <c r="G459" t="s">
        <v>40</v>
      </c>
      <c r="H459" t="s">
        <v>85</v>
      </c>
      <c r="I459" t="s">
        <v>371</v>
      </c>
      <c r="J459" t="s">
        <v>657</v>
      </c>
      <c r="K459" t="s">
        <v>658</v>
      </c>
      <c r="L459" t="s">
        <v>359</v>
      </c>
      <c r="M459" t="s">
        <v>116</v>
      </c>
      <c r="N459" t="s">
        <v>663</v>
      </c>
      <c r="O459" t="s">
        <v>663</v>
      </c>
      <c r="P459">
        <v>3</v>
      </c>
      <c r="Q459" s="7">
        <v>46216</v>
      </c>
      <c r="R459" s="7">
        <v>46216</v>
      </c>
      <c r="S459" s="7">
        <v>46217</v>
      </c>
      <c r="T459" t="s">
        <v>663</v>
      </c>
      <c r="V459" t="s">
        <v>360</v>
      </c>
      <c r="W459" t="s">
        <v>663</v>
      </c>
      <c r="X459" t="s">
        <v>663</v>
      </c>
      <c r="Y459" t="s">
        <v>663</v>
      </c>
      <c r="Z459" t="s">
        <v>663</v>
      </c>
      <c r="AB459" t="s">
        <v>48</v>
      </c>
      <c r="AF459">
        <v>2</v>
      </c>
      <c r="AH459" t="s">
        <v>75</v>
      </c>
      <c r="AI459">
        <v>1</v>
      </c>
      <c r="AJ459" s="9"/>
      <c r="AN459"/>
      <c r="AO459"/>
      <c r="AP459"/>
      <c r="AQ459"/>
      <c r="AR459" s="18" t="str">
        <f>IFERROR(VLOOKUP(K459,[1]POP!$F:$J,1,0),M459)</f>
        <v>MAKARY</v>
      </c>
      <c r="AS459" s="18" t="str">
        <f t="shared" si="36"/>
        <v>Ngouma</v>
      </c>
      <c r="AT459" s="19">
        <f t="shared" si="39"/>
        <v>2</v>
      </c>
      <c r="AU459" s="19">
        <f t="shared" ca="1" si="38"/>
        <v>2</v>
      </c>
    </row>
    <row r="460" spans="1:47" x14ac:dyDescent="0.3">
      <c r="A460" t="s">
        <v>691</v>
      </c>
      <c r="B460" t="str">
        <f t="shared" si="35"/>
        <v>S29_2026</v>
      </c>
      <c r="C460" t="str">
        <f t="shared" si="37"/>
        <v>S29_2026</v>
      </c>
      <c r="E460" t="s">
        <v>512</v>
      </c>
      <c r="F460">
        <v>3</v>
      </c>
      <c r="G460" t="s">
        <v>40</v>
      </c>
      <c r="H460" t="s">
        <v>85</v>
      </c>
      <c r="I460" t="s">
        <v>371</v>
      </c>
      <c r="J460" t="s">
        <v>657</v>
      </c>
      <c r="K460" t="s">
        <v>658</v>
      </c>
      <c r="L460" t="s">
        <v>359</v>
      </c>
      <c r="M460" t="s">
        <v>116</v>
      </c>
      <c r="N460" t="s">
        <v>663</v>
      </c>
      <c r="O460" t="s">
        <v>663</v>
      </c>
      <c r="P460">
        <v>3</v>
      </c>
      <c r="Q460" s="7">
        <v>46216</v>
      </c>
      <c r="R460" s="7">
        <v>46216</v>
      </c>
      <c r="S460" s="7">
        <v>46217</v>
      </c>
      <c r="T460" t="s">
        <v>663</v>
      </c>
      <c r="V460" t="s">
        <v>360</v>
      </c>
      <c r="W460" t="s">
        <v>663</v>
      </c>
      <c r="X460" t="s">
        <v>663</v>
      </c>
      <c r="Y460" t="s">
        <v>663</v>
      </c>
      <c r="Z460" t="s">
        <v>663</v>
      </c>
      <c r="AB460" t="s">
        <v>48</v>
      </c>
      <c r="AF460">
        <v>2</v>
      </c>
      <c r="AH460" t="s">
        <v>75</v>
      </c>
      <c r="AI460">
        <v>1</v>
      </c>
      <c r="AJ460" s="9"/>
      <c r="AN460"/>
      <c r="AO460"/>
      <c r="AP460"/>
      <c r="AQ460"/>
      <c r="AR460" s="18" t="str">
        <f>IFERROR(VLOOKUP(K460,[1]POP!$F:$J,1,0),M460)</f>
        <v>MAKARY</v>
      </c>
      <c r="AS460" s="18" t="str">
        <f t="shared" si="36"/>
        <v>Ngouma</v>
      </c>
      <c r="AT460" s="19">
        <f t="shared" si="39"/>
        <v>2</v>
      </c>
      <c r="AU460" s="19">
        <f t="shared" ca="1" si="38"/>
        <v>2</v>
      </c>
    </row>
    <row r="461" spans="1:47" x14ac:dyDescent="0.3">
      <c r="A461" t="s">
        <v>692</v>
      </c>
      <c r="B461" t="str">
        <f t="shared" si="35"/>
        <v>S29_2026</v>
      </c>
      <c r="C461" t="str">
        <f t="shared" si="37"/>
        <v>S29_2026</v>
      </c>
      <c r="E461" t="s">
        <v>512</v>
      </c>
      <c r="F461">
        <v>4</v>
      </c>
      <c r="G461" t="s">
        <v>40</v>
      </c>
      <c r="H461" t="s">
        <v>85</v>
      </c>
      <c r="I461" t="s">
        <v>371</v>
      </c>
      <c r="J461" t="s">
        <v>657</v>
      </c>
      <c r="K461" t="s">
        <v>658</v>
      </c>
      <c r="L461" t="s">
        <v>359</v>
      </c>
      <c r="M461" t="s">
        <v>116</v>
      </c>
      <c r="N461" t="s">
        <v>663</v>
      </c>
      <c r="O461" t="s">
        <v>663</v>
      </c>
      <c r="P461">
        <v>3</v>
      </c>
      <c r="Q461" s="7">
        <v>46216</v>
      </c>
      <c r="R461" s="7">
        <v>46216</v>
      </c>
      <c r="S461" s="7">
        <v>46217</v>
      </c>
      <c r="T461" t="s">
        <v>663</v>
      </c>
      <c r="V461" t="s">
        <v>360</v>
      </c>
      <c r="W461" t="s">
        <v>663</v>
      </c>
      <c r="X461" t="s">
        <v>663</v>
      </c>
      <c r="Y461" t="s">
        <v>663</v>
      </c>
      <c r="Z461" t="s">
        <v>663</v>
      </c>
      <c r="AB461" t="s">
        <v>48</v>
      </c>
      <c r="AF461">
        <v>2</v>
      </c>
      <c r="AH461" t="s">
        <v>75</v>
      </c>
      <c r="AI461">
        <v>1</v>
      </c>
      <c r="AJ461" s="9"/>
      <c r="AN461"/>
      <c r="AO461"/>
      <c r="AP461"/>
      <c r="AQ461"/>
      <c r="AR461" s="18" t="str">
        <f>IFERROR(VLOOKUP(K461,[1]POP!$F:$J,1,0),M461)</f>
        <v>MAKARY</v>
      </c>
      <c r="AS461" s="18" t="str">
        <f t="shared" si="36"/>
        <v>Ngouma</v>
      </c>
      <c r="AT461" s="19">
        <f t="shared" si="39"/>
        <v>2</v>
      </c>
      <c r="AU461" s="19">
        <f t="shared" ca="1" si="38"/>
        <v>2</v>
      </c>
    </row>
    <row r="462" spans="1:47" x14ac:dyDescent="0.3">
      <c r="A462" t="s">
        <v>693</v>
      </c>
      <c r="B462" t="str">
        <f t="shared" si="35"/>
        <v>S29_2026</v>
      </c>
      <c r="C462" t="str">
        <f t="shared" si="37"/>
        <v>S29_2026</v>
      </c>
      <c r="E462" t="s">
        <v>512</v>
      </c>
      <c r="F462">
        <v>3</v>
      </c>
      <c r="G462" t="s">
        <v>55</v>
      </c>
      <c r="H462" t="s">
        <v>85</v>
      </c>
      <c r="I462" t="s">
        <v>371</v>
      </c>
      <c r="J462" t="s">
        <v>657</v>
      </c>
      <c r="K462" t="s">
        <v>658</v>
      </c>
      <c r="L462" t="s">
        <v>359</v>
      </c>
      <c r="M462" t="s">
        <v>116</v>
      </c>
      <c r="N462" t="s">
        <v>663</v>
      </c>
      <c r="O462" t="s">
        <v>663</v>
      </c>
      <c r="P462">
        <v>3</v>
      </c>
      <c r="Q462" s="7">
        <v>46216</v>
      </c>
      <c r="R462" s="7">
        <v>46216</v>
      </c>
      <c r="S462" s="7">
        <v>46217</v>
      </c>
      <c r="T462" t="s">
        <v>663</v>
      </c>
      <c r="V462" t="s">
        <v>360</v>
      </c>
      <c r="W462" t="s">
        <v>663</v>
      </c>
      <c r="X462" t="s">
        <v>663</v>
      </c>
      <c r="Y462" t="s">
        <v>663</v>
      </c>
      <c r="Z462" t="s">
        <v>663</v>
      </c>
      <c r="AB462" t="s">
        <v>48</v>
      </c>
      <c r="AF462">
        <v>2</v>
      </c>
      <c r="AH462" t="s">
        <v>75</v>
      </c>
      <c r="AI462">
        <v>1</v>
      </c>
      <c r="AJ462" s="9"/>
      <c r="AN462"/>
      <c r="AO462"/>
      <c r="AP462"/>
      <c r="AQ462"/>
      <c r="AR462" s="18" t="str">
        <f>IFERROR(VLOOKUP(K462,[1]POP!$F:$J,1,0),M462)</f>
        <v>MAKARY</v>
      </c>
      <c r="AS462" s="18" t="str">
        <f t="shared" si="36"/>
        <v>Ngouma</v>
      </c>
      <c r="AT462" s="19">
        <f t="shared" si="39"/>
        <v>2</v>
      </c>
      <c r="AU462" s="19">
        <f t="shared" ca="1" si="38"/>
        <v>2</v>
      </c>
    </row>
    <row r="463" spans="1:47" x14ac:dyDescent="0.3">
      <c r="A463" t="s">
        <v>694</v>
      </c>
      <c r="B463" t="str">
        <f t="shared" si="35"/>
        <v>S29_2026</v>
      </c>
      <c r="C463" t="str">
        <f t="shared" si="37"/>
        <v>S29_2026</v>
      </c>
      <c r="E463" t="s">
        <v>512</v>
      </c>
      <c r="F463">
        <v>5</v>
      </c>
      <c r="G463" t="s">
        <v>40</v>
      </c>
      <c r="H463" t="s">
        <v>85</v>
      </c>
      <c r="I463" t="s">
        <v>371</v>
      </c>
      <c r="J463" t="s">
        <v>657</v>
      </c>
      <c r="K463" t="s">
        <v>658</v>
      </c>
      <c r="L463" t="s">
        <v>359</v>
      </c>
      <c r="M463" t="s">
        <v>116</v>
      </c>
      <c r="N463" t="s">
        <v>663</v>
      </c>
      <c r="O463" t="s">
        <v>663</v>
      </c>
      <c r="P463">
        <v>3</v>
      </c>
      <c r="Q463" s="7">
        <v>46216</v>
      </c>
      <c r="R463" s="7">
        <v>46216</v>
      </c>
      <c r="S463" s="7">
        <v>46217</v>
      </c>
      <c r="T463" t="s">
        <v>663</v>
      </c>
      <c r="V463" t="s">
        <v>360</v>
      </c>
      <c r="W463" t="s">
        <v>663</v>
      </c>
      <c r="X463" t="s">
        <v>663</v>
      </c>
      <c r="Y463" t="s">
        <v>663</v>
      </c>
      <c r="Z463" t="s">
        <v>663</v>
      </c>
      <c r="AB463" t="s">
        <v>48</v>
      </c>
      <c r="AF463">
        <v>2</v>
      </c>
      <c r="AH463" t="s">
        <v>75</v>
      </c>
      <c r="AI463">
        <v>1</v>
      </c>
      <c r="AJ463" s="9"/>
      <c r="AN463"/>
      <c r="AO463"/>
      <c r="AP463"/>
      <c r="AQ463"/>
      <c r="AR463" s="18" t="str">
        <f>IFERROR(VLOOKUP(K463,[1]POP!$F:$J,1,0),M463)</f>
        <v>MAKARY</v>
      </c>
      <c r="AS463" s="18" t="str">
        <f t="shared" si="36"/>
        <v>Ngouma</v>
      </c>
      <c r="AT463" s="19">
        <f t="shared" si="39"/>
        <v>2</v>
      </c>
      <c r="AU463" s="19">
        <f t="shared" ca="1" si="38"/>
        <v>2</v>
      </c>
    </row>
    <row r="464" spans="1:47" x14ac:dyDescent="0.3">
      <c r="A464" t="s">
        <v>695</v>
      </c>
      <c r="B464" t="str">
        <f t="shared" si="35"/>
        <v>S29_2026</v>
      </c>
      <c r="C464" t="str">
        <f t="shared" si="37"/>
        <v>S29_2026</v>
      </c>
      <c r="E464" t="s">
        <v>512</v>
      </c>
      <c r="F464">
        <v>1</v>
      </c>
      <c r="G464" t="s">
        <v>40</v>
      </c>
      <c r="H464" t="s">
        <v>85</v>
      </c>
      <c r="I464" t="s">
        <v>371</v>
      </c>
      <c r="J464" t="s">
        <v>657</v>
      </c>
      <c r="K464" t="s">
        <v>658</v>
      </c>
      <c r="L464" t="s">
        <v>359</v>
      </c>
      <c r="M464" t="s">
        <v>116</v>
      </c>
      <c r="N464" t="s">
        <v>663</v>
      </c>
      <c r="O464" t="s">
        <v>663</v>
      </c>
      <c r="P464">
        <v>3</v>
      </c>
      <c r="Q464" s="7">
        <v>46216</v>
      </c>
      <c r="R464" s="7">
        <v>46216</v>
      </c>
      <c r="S464" s="7">
        <v>46217</v>
      </c>
      <c r="T464" t="s">
        <v>663</v>
      </c>
      <c r="V464" t="s">
        <v>360</v>
      </c>
      <c r="W464" t="s">
        <v>663</v>
      </c>
      <c r="X464" t="s">
        <v>663</v>
      </c>
      <c r="Y464" t="s">
        <v>663</v>
      </c>
      <c r="Z464" t="s">
        <v>663</v>
      </c>
      <c r="AB464" t="s">
        <v>48</v>
      </c>
      <c r="AF464">
        <v>2</v>
      </c>
      <c r="AH464" t="s">
        <v>75</v>
      </c>
      <c r="AI464">
        <v>1</v>
      </c>
      <c r="AJ464" s="9"/>
      <c r="AN464"/>
      <c r="AO464"/>
      <c r="AP464"/>
      <c r="AQ464"/>
      <c r="AR464" s="18" t="str">
        <f>IFERROR(VLOOKUP(K464,[1]POP!$F:$J,1,0),M464)</f>
        <v>MAKARY</v>
      </c>
      <c r="AS464" s="18" t="str">
        <f t="shared" si="36"/>
        <v>Ngouma</v>
      </c>
      <c r="AT464" s="19">
        <f t="shared" si="39"/>
        <v>2</v>
      </c>
      <c r="AU464" s="19">
        <f t="shared" ca="1" si="38"/>
        <v>2</v>
      </c>
    </row>
    <row r="465" spans="1:47" x14ac:dyDescent="0.3">
      <c r="A465" t="s">
        <v>696</v>
      </c>
      <c r="B465" t="str">
        <f t="shared" si="35"/>
        <v>S29_2026</v>
      </c>
      <c r="C465" t="str">
        <f t="shared" si="37"/>
        <v>S29_2026</v>
      </c>
      <c r="E465" t="s">
        <v>512</v>
      </c>
      <c r="F465">
        <v>2</v>
      </c>
      <c r="G465" t="s">
        <v>55</v>
      </c>
      <c r="H465" t="s">
        <v>85</v>
      </c>
      <c r="I465" t="s">
        <v>371</v>
      </c>
      <c r="J465" t="s">
        <v>657</v>
      </c>
      <c r="K465" t="s">
        <v>658</v>
      </c>
      <c r="L465" t="s">
        <v>359</v>
      </c>
      <c r="M465" t="s">
        <v>116</v>
      </c>
      <c r="N465" t="s">
        <v>663</v>
      </c>
      <c r="O465" t="s">
        <v>663</v>
      </c>
      <c r="P465">
        <v>3</v>
      </c>
      <c r="Q465" s="7">
        <v>46216</v>
      </c>
      <c r="R465" s="7">
        <v>46216</v>
      </c>
      <c r="S465" s="7">
        <v>46217</v>
      </c>
      <c r="T465" t="s">
        <v>663</v>
      </c>
      <c r="V465" t="s">
        <v>360</v>
      </c>
      <c r="W465" t="s">
        <v>663</v>
      </c>
      <c r="X465" t="s">
        <v>663</v>
      </c>
      <c r="Y465" t="s">
        <v>663</v>
      </c>
      <c r="Z465" t="s">
        <v>663</v>
      </c>
      <c r="AB465" t="s">
        <v>48</v>
      </c>
      <c r="AF465">
        <v>2</v>
      </c>
      <c r="AH465" t="s">
        <v>75</v>
      </c>
      <c r="AI465">
        <v>1</v>
      </c>
      <c r="AJ465" s="9"/>
      <c r="AN465"/>
      <c r="AO465"/>
      <c r="AP465"/>
      <c r="AQ465"/>
      <c r="AR465" s="18" t="str">
        <f>IFERROR(VLOOKUP(K465,[1]POP!$F:$J,1,0),M465)</f>
        <v>MAKARY</v>
      </c>
      <c r="AS465" s="18" t="str">
        <f t="shared" si="36"/>
        <v>Ngouma</v>
      </c>
      <c r="AT465" s="19">
        <f t="shared" si="39"/>
        <v>2</v>
      </c>
      <c r="AU465" s="19">
        <f t="shared" ca="1" si="38"/>
        <v>2</v>
      </c>
    </row>
    <row r="466" spans="1:47" x14ac:dyDescent="0.3">
      <c r="A466" t="s">
        <v>697</v>
      </c>
      <c r="B466" t="str">
        <f t="shared" si="35"/>
        <v>S29_2026</v>
      </c>
      <c r="C466" t="str">
        <f t="shared" si="37"/>
        <v>S29_2026</v>
      </c>
      <c r="E466" t="s">
        <v>512</v>
      </c>
      <c r="F466">
        <v>3</v>
      </c>
      <c r="G466" t="s">
        <v>55</v>
      </c>
      <c r="H466" t="s">
        <v>85</v>
      </c>
      <c r="I466" t="s">
        <v>371</v>
      </c>
      <c r="J466" t="s">
        <v>657</v>
      </c>
      <c r="K466" t="s">
        <v>658</v>
      </c>
      <c r="L466" t="s">
        <v>359</v>
      </c>
      <c r="M466" t="s">
        <v>116</v>
      </c>
      <c r="N466" t="s">
        <v>663</v>
      </c>
      <c r="O466" t="s">
        <v>663</v>
      </c>
      <c r="P466">
        <v>3</v>
      </c>
      <c r="Q466" s="7">
        <v>46216</v>
      </c>
      <c r="R466" s="7">
        <v>46216</v>
      </c>
      <c r="S466" s="7">
        <v>46217</v>
      </c>
      <c r="T466" t="s">
        <v>663</v>
      </c>
      <c r="V466" t="s">
        <v>360</v>
      </c>
      <c r="W466" t="s">
        <v>663</v>
      </c>
      <c r="X466" t="s">
        <v>663</v>
      </c>
      <c r="Y466" t="s">
        <v>663</v>
      </c>
      <c r="Z466" t="s">
        <v>663</v>
      </c>
      <c r="AB466" t="s">
        <v>48</v>
      </c>
      <c r="AF466">
        <v>2</v>
      </c>
      <c r="AH466" t="s">
        <v>75</v>
      </c>
      <c r="AI466">
        <v>1</v>
      </c>
      <c r="AJ466" s="9"/>
      <c r="AN466"/>
      <c r="AO466"/>
      <c r="AP466"/>
      <c r="AQ466"/>
      <c r="AR466" s="18" t="str">
        <f>IFERROR(VLOOKUP(K466,[1]POP!$F:$J,1,0),M466)</f>
        <v>MAKARY</v>
      </c>
      <c r="AS466" s="18" t="str">
        <f t="shared" si="36"/>
        <v>Ngouma</v>
      </c>
      <c r="AT466" s="19">
        <f t="shared" si="39"/>
        <v>2</v>
      </c>
      <c r="AU466" s="19">
        <f t="shared" ca="1" si="38"/>
        <v>2</v>
      </c>
    </row>
    <row r="467" spans="1:47" x14ac:dyDescent="0.3">
      <c r="A467" t="s">
        <v>698</v>
      </c>
      <c r="B467" t="str">
        <f t="shared" si="35"/>
        <v>S29_2026</v>
      </c>
      <c r="C467" t="str">
        <f t="shared" si="37"/>
        <v>S29_2026</v>
      </c>
      <c r="E467" t="s">
        <v>512</v>
      </c>
      <c r="F467">
        <v>7</v>
      </c>
      <c r="G467" t="s">
        <v>55</v>
      </c>
      <c r="H467" t="s">
        <v>85</v>
      </c>
      <c r="I467" t="s">
        <v>371</v>
      </c>
      <c r="J467" t="s">
        <v>657</v>
      </c>
      <c r="K467" t="s">
        <v>658</v>
      </c>
      <c r="L467" t="s">
        <v>359</v>
      </c>
      <c r="M467" t="s">
        <v>116</v>
      </c>
      <c r="N467" t="s">
        <v>663</v>
      </c>
      <c r="O467" t="s">
        <v>663</v>
      </c>
      <c r="P467">
        <v>3</v>
      </c>
      <c r="Q467" s="7">
        <v>46216</v>
      </c>
      <c r="R467" s="7">
        <v>46216</v>
      </c>
      <c r="S467" s="7">
        <v>46217</v>
      </c>
      <c r="T467" t="s">
        <v>663</v>
      </c>
      <c r="V467" t="s">
        <v>360</v>
      </c>
      <c r="W467" t="s">
        <v>663</v>
      </c>
      <c r="X467" t="s">
        <v>663</v>
      </c>
      <c r="Y467" t="s">
        <v>663</v>
      </c>
      <c r="Z467" t="s">
        <v>663</v>
      </c>
      <c r="AB467" t="s">
        <v>48</v>
      </c>
      <c r="AF467">
        <v>2</v>
      </c>
      <c r="AH467" t="s">
        <v>75</v>
      </c>
      <c r="AI467">
        <v>1</v>
      </c>
      <c r="AJ467" s="9"/>
      <c r="AN467"/>
      <c r="AO467"/>
      <c r="AP467"/>
      <c r="AQ467"/>
      <c r="AR467" s="18" t="str">
        <f>IFERROR(VLOOKUP(K467,[1]POP!$F:$J,1,0),M467)</f>
        <v>MAKARY</v>
      </c>
      <c r="AS467" s="18" t="str">
        <f t="shared" si="36"/>
        <v>Ngouma</v>
      </c>
      <c r="AT467" s="19">
        <f t="shared" si="39"/>
        <v>2</v>
      </c>
      <c r="AU467" s="19">
        <f t="shared" ca="1" si="38"/>
        <v>2</v>
      </c>
    </row>
    <row r="468" spans="1:47" x14ac:dyDescent="0.3">
      <c r="A468" t="s">
        <v>699</v>
      </c>
      <c r="B468" t="str">
        <f t="shared" si="35"/>
        <v>S29_2026</v>
      </c>
      <c r="C468" t="str">
        <f t="shared" si="37"/>
        <v>S29_2026</v>
      </c>
      <c r="E468" t="s">
        <v>512</v>
      </c>
      <c r="F468">
        <v>6</v>
      </c>
      <c r="G468" t="s">
        <v>55</v>
      </c>
      <c r="H468" t="s">
        <v>85</v>
      </c>
      <c r="I468" t="s">
        <v>371</v>
      </c>
      <c r="J468" t="s">
        <v>657</v>
      </c>
      <c r="K468" t="s">
        <v>658</v>
      </c>
      <c r="L468" t="s">
        <v>359</v>
      </c>
      <c r="M468" t="s">
        <v>116</v>
      </c>
      <c r="N468" t="s">
        <v>663</v>
      </c>
      <c r="O468" t="s">
        <v>663</v>
      </c>
      <c r="P468">
        <v>3</v>
      </c>
      <c r="Q468" s="7">
        <v>46216</v>
      </c>
      <c r="R468" s="7">
        <v>46216</v>
      </c>
      <c r="S468" s="7">
        <v>46217</v>
      </c>
      <c r="T468" t="s">
        <v>663</v>
      </c>
      <c r="V468" t="s">
        <v>360</v>
      </c>
      <c r="W468" t="s">
        <v>663</v>
      </c>
      <c r="X468" t="s">
        <v>663</v>
      </c>
      <c r="Y468" t="s">
        <v>663</v>
      </c>
      <c r="Z468" t="s">
        <v>663</v>
      </c>
      <c r="AB468" t="s">
        <v>48</v>
      </c>
      <c r="AF468">
        <v>2</v>
      </c>
      <c r="AH468" t="s">
        <v>75</v>
      </c>
      <c r="AI468">
        <v>1</v>
      </c>
      <c r="AJ468" s="9"/>
      <c r="AN468"/>
      <c r="AO468"/>
      <c r="AP468"/>
      <c r="AQ468"/>
      <c r="AR468" s="18" t="str">
        <f>IFERROR(VLOOKUP(K468,[1]POP!$F:$J,1,0),M468)</f>
        <v>MAKARY</v>
      </c>
      <c r="AS468" s="18" t="str">
        <f t="shared" si="36"/>
        <v>Ngouma</v>
      </c>
      <c r="AT468" s="19">
        <f t="shared" si="39"/>
        <v>2</v>
      </c>
      <c r="AU468" s="19">
        <f t="shared" ca="1" si="38"/>
        <v>2</v>
      </c>
    </row>
    <row r="469" spans="1:47" x14ac:dyDescent="0.3">
      <c r="A469" t="s">
        <v>700</v>
      </c>
      <c r="B469" t="str">
        <f t="shared" si="35"/>
        <v>S29_2026</v>
      </c>
      <c r="C469" t="str">
        <f t="shared" si="37"/>
        <v>S29_2026</v>
      </c>
      <c r="E469" t="s">
        <v>512</v>
      </c>
      <c r="F469">
        <v>10</v>
      </c>
      <c r="G469" t="s">
        <v>55</v>
      </c>
      <c r="H469" t="s">
        <v>85</v>
      </c>
      <c r="I469" t="s">
        <v>371</v>
      </c>
      <c r="J469" t="s">
        <v>657</v>
      </c>
      <c r="K469" t="s">
        <v>658</v>
      </c>
      <c r="L469" t="s">
        <v>359</v>
      </c>
      <c r="M469" t="s">
        <v>116</v>
      </c>
      <c r="N469" t="s">
        <v>663</v>
      </c>
      <c r="O469" t="s">
        <v>663</v>
      </c>
      <c r="P469">
        <v>3</v>
      </c>
      <c r="Q469" s="7">
        <v>46216</v>
      </c>
      <c r="R469" s="7">
        <v>46216</v>
      </c>
      <c r="S469" s="7">
        <v>46217</v>
      </c>
      <c r="T469" t="s">
        <v>663</v>
      </c>
      <c r="V469" t="s">
        <v>360</v>
      </c>
      <c r="W469" t="s">
        <v>663</v>
      </c>
      <c r="X469" t="s">
        <v>663</v>
      </c>
      <c r="Y469" t="s">
        <v>663</v>
      </c>
      <c r="Z469" t="s">
        <v>663</v>
      </c>
      <c r="AB469" t="s">
        <v>48</v>
      </c>
      <c r="AF469">
        <v>2</v>
      </c>
      <c r="AH469" t="s">
        <v>75</v>
      </c>
      <c r="AI469">
        <v>1</v>
      </c>
      <c r="AJ469" s="9"/>
      <c r="AN469"/>
      <c r="AO469"/>
      <c r="AP469"/>
      <c r="AQ469"/>
      <c r="AR469" s="18" t="str">
        <f>IFERROR(VLOOKUP(K469,[1]POP!$F:$J,1,0),M469)</f>
        <v>MAKARY</v>
      </c>
      <c r="AS469" s="18" t="str">
        <f t="shared" si="36"/>
        <v>Ngouma</v>
      </c>
      <c r="AT469" s="19">
        <f t="shared" si="39"/>
        <v>2</v>
      </c>
      <c r="AU469" s="19">
        <f t="shared" ca="1" si="38"/>
        <v>2</v>
      </c>
    </row>
    <row r="470" spans="1:47" x14ac:dyDescent="0.3">
      <c r="A470" t="s">
        <v>701</v>
      </c>
      <c r="B470" t="str">
        <f t="shared" si="35"/>
        <v>S29_2026</v>
      </c>
      <c r="C470" t="str">
        <f t="shared" si="37"/>
        <v>S29_2026</v>
      </c>
      <c r="E470" t="s">
        <v>512</v>
      </c>
      <c r="F470">
        <v>16</v>
      </c>
      <c r="G470" t="s">
        <v>55</v>
      </c>
      <c r="H470" t="s">
        <v>702</v>
      </c>
      <c r="I470" t="s">
        <v>371</v>
      </c>
      <c r="J470" t="s">
        <v>657</v>
      </c>
      <c r="K470" t="s">
        <v>658</v>
      </c>
      <c r="L470" t="s">
        <v>359</v>
      </c>
      <c r="M470" t="s">
        <v>116</v>
      </c>
      <c r="N470" t="s">
        <v>663</v>
      </c>
      <c r="O470" t="s">
        <v>663</v>
      </c>
      <c r="P470">
        <v>3</v>
      </c>
      <c r="Q470" s="7">
        <v>46216</v>
      </c>
      <c r="R470" s="7">
        <v>46216</v>
      </c>
      <c r="S470" s="7">
        <v>46217</v>
      </c>
      <c r="T470" t="s">
        <v>663</v>
      </c>
      <c r="V470" t="s">
        <v>360</v>
      </c>
      <c r="W470" t="s">
        <v>663</v>
      </c>
      <c r="X470" t="s">
        <v>663</v>
      </c>
      <c r="Y470" t="s">
        <v>663</v>
      </c>
      <c r="Z470" t="s">
        <v>663</v>
      </c>
      <c r="AB470" t="s">
        <v>48</v>
      </c>
      <c r="AF470">
        <v>2</v>
      </c>
      <c r="AH470" t="s">
        <v>75</v>
      </c>
      <c r="AI470">
        <v>1</v>
      </c>
      <c r="AJ470" s="9"/>
      <c r="AN470"/>
      <c r="AO470"/>
      <c r="AP470"/>
      <c r="AQ470"/>
      <c r="AR470" s="18" t="str">
        <f>IFERROR(VLOOKUP(K470,[1]POP!$F:$J,1,0),M470)</f>
        <v>MAKARY</v>
      </c>
      <c r="AS470" s="18" t="str">
        <f t="shared" si="36"/>
        <v>Ngouma</v>
      </c>
      <c r="AT470" s="19">
        <f t="shared" si="39"/>
        <v>2</v>
      </c>
      <c r="AU470" s="19">
        <f t="shared" ca="1" si="38"/>
        <v>2</v>
      </c>
    </row>
    <row r="471" spans="1:47" x14ac:dyDescent="0.3">
      <c r="A471" t="s">
        <v>703</v>
      </c>
      <c r="B471" t="str">
        <f t="shared" si="35"/>
        <v>S29_2026</v>
      </c>
      <c r="C471" t="str">
        <f t="shared" si="37"/>
        <v>S29_2026</v>
      </c>
      <c r="E471" t="s">
        <v>512</v>
      </c>
      <c r="F471">
        <v>8</v>
      </c>
      <c r="G471" t="s">
        <v>40</v>
      </c>
      <c r="H471" t="s">
        <v>85</v>
      </c>
      <c r="I471" t="s">
        <v>371</v>
      </c>
      <c r="J471" t="s">
        <v>657</v>
      </c>
      <c r="K471" t="s">
        <v>658</v>
      </c>
      <c r="L471" t="s">
        <v>359</v>
      </c>
      <c r="M471" t="s">
        <v>116</v>
      </c>
      <c r="N471" t="s">
        <v>663</v>
      </c>
      <c r="O471" t="s">
        <v>663</v>
      </c>
      <c r="P471">
        <v>3</v>
      </c>
      <c r="Q471" s="7">
        <v>46217</v>
      </c>
      <c r="R471" s="7">
        <v>46217</v>
      </c>
      <c r="S471" s="7">
        <v>46218</v>
      </c>
      <c r="T471" t="s">
        <v>663</v>
      </c>
      <c r="V471" t="s">
        <v>360</v>
      </c>
      <c r="W471" t="s">
        <v>663</v>
      </c>
      <c r="X471" t="s">
        <v>663</v>
      </c>
      <c r="Y471" t="s">
        <v>663</v>
      </c>
      <c r="Z471" t="s">
        <v>663</v>
      </c>
      <c r="AB471" t="s">
        <v>48</v>
      </c>
      <c r="AF471">
        <v>2</v>
      </c>
      <c r="AH471" t="s">
        <v>75</v>
      </c>
      <c r="AI471">
        <v>1</v>
      </c>
      <c r="AJ471" s="9"/>
      <c r="AN471"/>
      <c r="AO471"/>
      <c r="AP471"/>
      <c r="AQ471"/>
      <c r="AR471" s="18" t="str">
        <f>IFERROR(VLOOKUP(K471,[1]POP!$F:$J,1,0),M471)</f>
        <v>MAKARY</v>
      </c>
      <c r="AS471" s="18" t="str">
        <f t="shared" si="36"/>
        <v>Ngouma</v>
      </c>
      <c r="AT471" s="19">
        <f t="shared" si="39"/>
        <v>2</v>
      </c>
      <c r="AU471" s="19">
        <f t="shared" ca="1" si="38"/>
        <v>2</v>
      </c>
    </row>
    <row r="472" spans="1:47" x14ac:dyDescent="0.3">
      <c r="A472" t="s">
        <v>704</v>
      </c>
      <c r="B472" t="str">
        <f t="shared" si="35"/>
        <v>S29_2026</v>
      </c>
      <c r="C472" t="str">
        <f t="shared" si="37"/>
        <v>S29_2026</v>
      </c>
      <c r="E472" t="s">
        <v>512</v>
      </c>
      <c r="F472">
        <v>2</v>
      </c>
      <c r="G472" t="s">
        <v>55</v>
      </c>
      <c r="H472" t="s">
        <v>85</v>
      </c>
      <c r="I472" t="s">
        <v>371</v>
      </c>
      <c r="J472" t="s">
        <v>657</v>
      </c>
      <c r="K472" t="s">
        <v>658</v>
      </c>
      <c r="L472" t="s">
        <v>359</v>
      </c>
      <c r="M472" t="s">
        <v>116</v>
      </c>
      <c r="N472" t="s">
        <v>663</v>
      </c>
      <c r="O472" t="s">
        <v>663</v>
      </c>
      <c r="P472">
        <v>3</v>
      </c>
      <c r="Q472" s="7">
        <v>46217</v>
      </c>
      <c r="R472" s="7">
        <v>46217</v>
      </c>
      <c r="S472" s="7">
        <v>46218</v>
      </c>
      <c r="T472" t="s">
        <v>663</v>
      </c>
      <c r="V472" t="s">
        <v>360</v>
      </c>
      <c r="W472" t="s">
        <v>663</v>
      </c>
      <c r="X472" t="s">
        <v>663</v>
      </c>
      <c r="Y472" t="s">
        <v>663</v>
      </c>
      <c r="Z472" t="s">
        <v>663</v>
      </c>
      <c r="AB472" t="s">
        <v>48</v>
      </c>
      <c r="AF472">
        <v>2</v>
      </c>
      <c r="AH472" t="s">
        <v>75</v>
      </c>
      <c r="AI472">
        <v>1</v>
      </c>
      <c r="AJ472" s="9"/>
      <c r="AN472" t="s">
        <v>663</v>
      </c>
      <c r="AO472" t="s">
        <v>663</v>
      </c>
      <c r="AP472">
        <v>4</v>
      </c>
      <c r="AQ472" t="s">
        <v>664</v>
      </c>
      <c r="AR472" s="18" t="str">
        <f>IFERROR(VLOOKUP(K472,[1]POP!$F:$J,1,0),M472)</f>
        <v>MAKARY</v>
      </c>
      <c r="AS472" s="18" t="str">
        <f t="shared" si="36"/>
        <v>Ngouma</v>
      </c>
      <c r="AT472" s="19">
        <f t="shared" si="39"/>
        <v>2</v>
      </c>
      <c r="AU472" s="19">
        <f t="shared" ca="1" si="38"/>
        <v>2</v>
      </c>
    </row>
    <row r="473" spans="1:47" x14ac:dyDescent="0.3">
      <c r="A473" t="s">
        <v>705</v>
      </c>
      <c r="B473" t="str">
        <f t="shared" si="35"/>
        <v>S29_2026</v>
      </c>
      <c r="C473" t="str">
        <f t="shared" si="37"/>
        <v>S29_2026</v>
      </c>
      <c r="E473" t="s">
        <v>512</v>
      </c>
      <c r="F473">
        <v>12</v>
      </c>
      <c r="G473" t="s">
        <v>55</v>
      </c>
      <c r="H473" t="s">
        <v>706</v>
      </c>
      <c r="I473" t="s">
        <v>371</v>
      </c>
      <c r="J473" t="s">
        <v>657</v>
      </c>
      <c r="K473" t="s">
        <v>658</v>
      </c>
      <c r="L473" t="s">
        <v>359</v>
      </c>
      <c r="M473" t="s">
        <v>116</v>
      </c>
      <c r="N473" t="s">
        <v>663</v>
      </c>
      <c r="O473" t="s">
        <v>663</v>
      </c>
      <c r="P473">
        <v>3</v>
      </c>
      <c r="Q473" s="7">
        <v>46217</v>
      </c>
      <c r="R473" s="7">
        <v>46217</v>
      </c>
      <c r="S473" s="7">
        <v>46218</v>
      </c>
      <c r="T473" t="s">
        <v>663</v>
      </c>
      <c r="V473" t="s">
        <v>360</v>
      </c>
      <c r="W473" t="s">
        <v>663</v>
      </c>
      <c r="X473" t="s">
        <v>663</v>
      </c>
      <c r="Y473" t="s">
        <v>663</v>
      </c>
      <c r="Z473" t="s">
        <v>663</v>
      </c>
      <c r="AB473" t="s">
        <v>48</v>
      </c>
      <c r="AF473">
        <v>2</v>
      </c>
      <c r="AH473" t="s">
        <v>75</v>
      </c>
      <c r="AI473">
        <v>1</v>
      </c>
      <c r="AJ473" s="9"/>
      <c r="AN473" t="s">
        <v>663</v>
      </c>
      <c r="AO473" t="s">
        <v>663</v>
      </c>
      <c r="AP473">
        <v>3</v>
      </c>
      <c r="AQ473" t="s">
        <v>664</v>
      </c>
      <c r="AR473" s="18" t="str">
        <f>IFERROR(VLOOKUP(K473,[1]POP!$F:$J,1,0),M473)</f>
        <v>MAKARY</v>
      </c>
      <c r="AS473" s="18" t="str">
        <f t="shared" si="36"/>
        <v>Ngouma</v>
      </c>
      <c r="AT473" s="19">
        <f t="shared" si="39"/>
        <v>2</v>
      </c>
      <c r="AU473" s="19">
        <f t="shared" ca="1" si="38"/>
        <v>2</v>
      </c>
    </row>
    <row r="474" spans="1:47" x14ac:dyDescent="0.3">
      <c r="A474" t="s">
        <v>707</v>
      </c>
      <c r="B474" t="str">
        <f t="shared" si="35"/>
        <v>S29_2026</v>
      </c>
      <c r="C474" t="str">
        <f t="shared" si="37"/>
        <v>S29_2026</v>
      </c>
      <c r="E474" t="s">
        <v>512</v>
      </c>
      <c r="F474">
        <v>1.2</v>
      </c>
      <c r="G474" t="s">
        <v>55</v>
      </c>
      <c r="H474" t="s">
        <v>85</v>
      </c>
      <c r="I474" t="s">
        <v>371</v>
      </c>
      <c r="J474" t="s">
        <v>657</v>
      </c>
      <c r="K474" t="s">
        <v>658</v>
      </c>
      <c r="L474" t="s">
        <v>359</v>
      </c>
      <c r="M474" t="s">
        <v>116</v>
      </c>
      <c r="N474" t="s">
        <v>663</v>
      </c>
      <c r="O474" t="s">
        <v>663</v>
      </c>
      <c r="P474">
        <v>3</v>
      </c>
      <c r="Q474" s="7">
        <v>46217</v>
      </c>
      <c r="R474" s="7">
        <v>46217</v>
      </c>
      <c r="S474" s="7">
        <v>46218</v>
      </c>
      <c r="T474" t="s">
        <v>663</v>
      </c>
      <c r="V474" t="s">
        <v>360</v>
      </c>
      <c r="W474" t="s">
        <v>663</v>
      </c>
      <c r="X474" t="s">
        <v>663</v>
      </c>
      <c r="Y474" t="s">
        <v>663</v>
      </c>
      <c r="Z474" t="s">
        <v>663</v>
      </c>
      <c r="AB474" t="s">
        <v>48</v>
      </c>
      <c r="AF474">
        <v>2</v>
      </c>
      <c r="AH474" t="s">
        <v>75</v>
      </c>
      <c r="AI474">
        <v>1</v>
      </c>
      <c r="AJ474" s="9"/>
      <c r="AN474" t="s">
        <v>117</v>
      </c>
      <c r="AO474" t="s">
        <v>117</v>
      </c>
      <c r="AP474">
        <v>4</v>
      </c>
      <c r="AQ474" t="s">
        <v>664</v>
      </c>
      <c r="AR474" s="18" t="str">
        <f>IFERROR(VLOOKUP(K474,[1]POP!$F:$J,1,0),M474)</f>
        <v>MAKARY</v>
      </c>
      <c r="AS474" s="18" t="str">
        <f t="shared" si="36"/>
        <v>Ngouma</v>
      </c>
      <c r="AT474" s="19">
        <f t="shared" si="39"/>
        <v>2</v>
      </c>
      <c r="AU474" s="19">
        <f t="shared" ca="1" si="38"/>
        <v>2</v>
      </c>
    </row>
    <row r="475" spans="1:47" x14ac:dyDescent="0.3">
      <c r="A475" t="s">
        <v>708</v>
      </c>
      <c r="B475" t="str">
        <f t="shared" si="35"/>
        <v>S29_2026</v>
      </c>
      <c r="C475" t="str">
        <f t="shared" si="37"/>
        <v>S29_2026</v>
      </c>
      <c r="E475" t="s">
        <v>512</v>
      </c>
      <c r="F475">
        <v>4</v>
      </c>
      <c r="G475" t="s">
        <v>55</v>
      </c>
      <c r="H475" t="s">
        <v>85</v>
      </c>
      <c r="I475" t="s">
        <v>371</v>
      </c>
      <c r="J475" t="s">
        <v>657</v>
      </c>
      <c r="K475" t="s">
        <v>658</v>
      </c>
      <c r="L475" t="s">
        <v>359</v>
      </c>
      <c r="M475" t="s">
        <v>116</v>
      </c>
      <c r="N475" t="s">
        <v>663</v>
      </c>
      <c r="O475" t="s">
        <v>663</v>
      </c>
      <c r="P475">
        <v>3</v>
      </c>
      <c r="Q475" s="7">
        <v>46217</v>
      </c>
      <c r="R475" s="7">
        <v>46217</v>
      </c>
      <c r="S475" s="7">
        <v>46218</v>
      </c>
      <c r="T475" t="s">
        <v>663</v>
      </c>
      <c r="V475" t="s">
        <v>360</v>
      </c>
      <c r="W475" t="s">
        <v>663</v>
      </c>
      <c r="X475" t="s">
        <v>663</v>
      </c>
      <c r="Y475" t="s">
        <v>663</v>
      </c>
      <c r="Z475" t="s">
        <v>663</v>
      </c>
      <c r="AB475" t="s">
        <v>48</v>
      </c>
      <c r="AF475">
        <v>2</v>
      </c>
      <c r="AH475" t="s">
        <v>75</v>
      </c>
      <c r="AI475">
        <v>1</v>
      </c>
      <c r="AJ475" s="9"/>
      <c r="AN475" t="s">
        <v>45</v>
      </c>
      <c r="AO475" t="s">
        <v>86</v>
      </c>
      <c r="AP475"/>
      <c r="AQ475" t="s">
        <v>74</v>
      </c>
      <c r="AR475" s="18" t="str">
        <f>IFERROR(VLOOKUP(K475,[1]POP!$F:$J,1,0),M475)</f>
        <v>MAKARY</v>
      </c>
      <c r="AS475" s="18" t="str">
        <f t="shared" si="36"/>
        <v>Ngouma</v>
      </c>
      <c r="AT475" s="19">
        <f t="shared" si="39"/>
        <v>2</v>
      </c>
      <c r="AU475" s="19">
        <f t="shared" ca="1" si="38"/>
        <v>2</v>
      </c>
    </row>
    <row r="476" spans="1:47" x14ac:dyDescent="0.3">
      <c r="A476" t="s">
        <v>709</v>
      </c>
      <c r="B476" t="str">
        <f t="shared" si="35"/>
        <v>S29_2026</v>
      </c>
      <c r="C476" t="str">
        <f t="shared" si="37"/>
        <v>S29_2026</v>
      </c>
      <c r="E476" t="s">
        <v>512</v>
      </c>
      <c r="F476">
        <v>3</v>
      </c>
      <c r="G476" t="s">
        <v>55</v>
      </c>
      <c r="H476" t="s">
        <v>85</v>
      </c>
      <c r="I476" t="s">
        <v>371</v>
      </c>
      <c r="J476" t="s">
        <v>657</v>
      </c>
      <c r="K476" t="s">
        <v>658</v>
      </c>
      <c r="L476" t="s">
        <v>359</v>
      </c>
      <c r="M476" t="s">
        <v>116</v>
      </c>
      <c r="N476" t="s">
        <v>663</v>
      </c>
      <c r="O476" t="s">
        <v>663</v>
      </c>
      <c r="P476">
        <v>3</v>
      </c>
      <c r="Q476" s="7">
        <v>46217</v>
      </c>
      <c r="R476" s="7">
        <v>46217</v>
      </c>
      <c r="S476" s="7">
        <v>46218</v>
      </c>
      <c r="T476" t="s">
        <v>663</v>
      </c>
      <c r="V476" t="s">
        <v>360</v>
      </c>
      <c r="W476" t="s">
        <v>663</v>
      </c>
      <c r="X476" t="s">
        <v>663</v>
      </c>
      <c r="Y476" t="s">
        <v>663</v>
      </c>
      <c r="Z476" t="s">
        <v>663</v>
      </c>
      <c r="AB476" t="s">
        <v>48</v>
      </c>
      <c r="AF476">
        <v>2</v>
      </c>
      <c r="AH476" t="s">
        <v>75</v>
      </c>
      <c r="AI476">
        <v>1</v>
      </c>
      <c r="AJ476" s="9"/>
      <c r="AN476" t="s">
        <v>45</v>
      </c>
      <c r="AO476" t="s">
        <v>86</v>
      </c>
      <c r="AP476"/>
      <c r="AQ476" t="s">
        <v>74</v>
      </c>
      <c r="AR476" s="18" t="str">
        <f>IFERROR(VLOOKUP(K476,[1]POP!$F:$J,1,0),M476)</f>
        <v>MAKARY</v>
      </c>
      <c r="AS476" s="18" t="str">
        <f t="shared" si="36"/>
        <v>Ngouma</v>
      </c>
      <c r="AT476" s="19">
        <f t="shared" si="39"/>
        <v>2</v>
      </c>
      <c r="AU476" s="19">
        <f t="shared" ca="1" si="38"/>
        <v>2</v>
      </c>
    </row>
    <row r="477" spans="1:47" x14ac:dyDescent="0.3">
      <c r="A477" t="s">
        <v>710</v>
      </c>
      <c r="B477" t="str">
        <f t="shared" si="35"/>
        <v>S29_2026</v>
      </c>
      <c r="C477" t="str">
        <f t="shared" si="37"/>
        <v>S29_2026</v>
      </c>
      <c r="E477" t="s">
        <v>512</v>
      </c>
      <c r="F477">
        <v>13</v>
      </c>
      <c r="G477" t="s">
        <v>55</v>
      </c>
      <c r="H477" t="s">
        <v>85</v>
      </c>
      <c r="I477" t="s">
        <v>371</v>
      </c>
      <c r="J477" t="s">
        <v>657</v>
      </c>
      <c r="K477" t="s">
        <v>658</v>
      </c>
      <c r="L477" t="s">
        <v>359</v>
      </c>
      <c r="M477" t="s">
        <v>116</v>
      </c>
      <c r="N477" t="s">
        <v>663</v>
      </c>
      <c r="O477" t="s">
        <v>663</v>
      </c>
      <c r="P477">
        <v>3</v>
      </c>
      <c r="Q477" s="7">
        <v>46217</v>
      </c>
      <c r="R477" s="7">
        <v>46217</v>
      </c>
      <c r="S477" s="7">
        <v>46218</v>
      </c>
      <c r="T477" t="s">
        <v>663</v>
      </c>
      <c r="V477" t="s">
        <v>360</v>
      </c>
      <c r="W477" t="s">
        <v>663</v>
      </c>
      <c r="X477" t="s">
        <v>663</v>
      </c>
      <c r="Y477" t="s">
        <v>663</v>
      </c>
      <c r="Z477" t="s">
        <v>663</v>
      </c>
      <c r="AB477" t="s">
        <v>48</v>
      </c>
      <c r="AF477">
        <v>2</v>
      </c>
      <c r="AH477" t="s">
        <v>75</v>
      </c>
      <c r="AI477">
        <v>1</v>
      </c>
      <c r="AJ477" s="9"/>
      <c r="AN477" t="s">
        <v>45</v>
      </c>
      <c r="AO477" t="s">
        <v>86</v>
      </c>
      <c r="AP477"/>
      <c r="AQ477" t="s">
        <v>74</v>
      </c>
      <c r="AR477" s="18" t="str">
        <f>IFERROR(VLOOKUP(K477,[1]POP!$F:$J,1,0),M477)</f>
        <v>MAKARY</v>
      </c>
      <c r="AS477" s="18" t="str">
        <f t="shared" si="36"/>
        <v>Ngouma</v>
      </c>
      <c r="AT477" s="19">
        <f t="shared" si="39"/>
        <v>2</v>
      </c>
      <c r="AU477" s="19">
        <f t="shared" ca="1" si="38"/>
        <v>2</v>
      </c>
    </row>
    <row r="478" spans="1:47" x14ac:dyDescent="0.3">
      <c r="A478" t="s">
        <v>711</v>
      </c>
      <c r="B478" t="str">
        <f t="shared" si="35"/>
        <v>S29_2026</v>
      </c>
      <c r="C478" t="str">
        <f t="shared" si="37"/>
        <v>S29_2026</v>
      </c>
      <c r="E478" t="s">
        <v>512</v>
      </c>
      <c r="F478">
        <v>21</v>
      </c>
      <c r="G478" t="s">
        <v>55</v>
      </c>
      <c r="H478" t="s">
        <v>521</v>
      </c>
      <c r="I478" t="s">
        <v>371</v>
      </c>
      <c r="J478" t="s">
        <v>657</v>
      </c>
      <c r="K478" t="s">
        <v>658</v>
      </c>
      <c r="L478" t="s">
        <v>359</v>
      </c>
      <c r="M478" t="s">
        <v>116</v>
      </c>
      <c r="N478" t="s">
        <v>663</v>
      </c>
      <c r="O478" t="s">
        <v>663</v>
      </c>
      <c r="P478">
        <v>3</v>
      </c>
      <c r="Q478" s="7">
        <v>46217</v>
      </c>
      <c r="R478" s="7">
        <v>46217</v>
      </c>
      <c r="S478" s="7">
        <v>46218</v>
      </c>
      <c r="T478" t="s">
        <v>663</v>
      </c>
      <c r="V478" t="s">
        <v>360</v>
      </c>
      <c r="W478" t="s">
        <v>663</v>
      </c>
      <c r="X478" t="s">
        <v>663</v>
      </c>
      <c r="Y478" t="s">
        <v>663</v>
      </c>
      <c r="Z478" t="s">
        <v>663</v>
      </c>
      <c r="AB478" t="s">
        <v>48</v>
      </c>
      <c r="AF478">
        <v>2</v>
      </c>
      <c r="AH478" t="s">
        <v>75</v>
      </c>
      <c r="AI478">
        <v>1</v>
      </c>
      <c r="AJ478" s="9"/>
      <c r="AN478" t="s">
        <v>45</v>
      </c>
      <c r="AO478" t="s">
        <v>86</v>
      </c>
      <c r="AP478"/>
      <c r="AQ478" t="s">
        <v>74</v>
      </c>
      <c r="AR478" s="18" t="str">
        <f>IFERROR(VLOOKUP(K478,[1]POP!$F:$J,1,0),M478)</f>
        <v>MAKARY</v>
      </c>
      <c r="AS478" s="18" t="str">
        <f t="shared" si="36"/>
        <v>Ngouma</v>
      </c>
      <c r="AT478" s="19">
        <f t="shared" si="39"/>
        <v>2</v>
      </c>
      <c r="AU478" s="19">
        <f t="shared" ca="1" si="38"/>
        <v>2</v>
      </c>
    </row>
    <row r="479" spans="1:47" x14ac:dyDescent="0.3">
      <c r="A479" t="s">
        <v>712</v>
      </c>
      <c r="B479" t="str">
        <f t="shared" si="35"/>
        <v>S29_2026</v>
      </c>
      <c r="C479" t="str">
        <f t="shared" si="37"/>
        <v>S29_2026</v>
      </c>
      <c r="E479" t="s">
        <v>512</v>
      </c>
      <c r="F479">
        <v>2</v>
      </c>
      <c r="G479" t="s">
        <v>40</v>
      </c>
      <c r="H479" t="s">
        <v>85</v>
      </c>
      <c r="I479" t="s">
        <v>371</v>
      </c>
      <c r="J479" t="s">
        <v>657</v>
      </c>
      <c r="K479" t="s">
        <v>658</v>
      </c>
      <c r="L479" t="s">
        <v>359</v>
      </c>
      <c r="M479" t="s">
        <v>116</v>
      </c>
      <c r="N479" t="s">
        <v>663</v>
      </c>
      <c r="O479" t="s">
        <v>663</v>
      </c>
      <c r="P479">
        <v>3</v>
      </c>
      <c r="Q479" s="7">
        <v>46217</v>
      </c>
      <c r="R479" s="7">
        <v>46217</v>
      </c>
      <c r="S479" s="7">
        <v>46218</v>
      </c>
      <c r="T479" t="s">
        <v>663</v>
      </c>
      <c r="V479" t="s">
        <v>360</v>
      </c>
      <c r="W479" t="s">
        <v>663</v>
      </c>
      <c r="X479" t="s">
        <v>663</v>
      </c>
      <c r="Y479" t="s">
        <v>663</v>
      </c>
      <c r="Z479" t="s">
        <v>663</v>
      </c>
      <c r="AB479" t="s">
        <v>48</v>
      </c>
      <c r="AF479">
        <v>2</v>
      </c>
      <c r="AH479" t="s">
        <v>75</v>
      </c>
      <c r="AI479">
        <v>1</v>
      </c>
      <c r="AJ479" s="9"/>
      <c r="AN479" t="s">
        <v>45</v>
      </c>
      <c r="AO479" t="s">
        <v>86</v>
      </c>
      <c r="AP479"/>
      <c r="AQ479" t="s">
        <v>74</v>
      </c>
      <c r="AR479" s="18" t="str">
        <f>IFERROR(VLOOKUP(K479,[1]POP!$F:$J,1,0),M479)</f>
        <v>MAKARY</v>
      </c>
      <c r="AS479" s="18" t="str">
        <f t="shared" si="36"/>
        <v>Ngouma</v>
      </c>
      <c r="AT479" s="19">
        <f t="shared" si="39"/>
        <v>2</v>
      </c>
      <c r="AU479" s="19">
        <f t="shared" ca="1" si="38"/>
        <v>2</v>
      </c>
    </row>
    <row r="480" spans="1:47" x14ac:dyDescent="0.3">
      <c r="A480" t="s">
        <v>713</v>
      </c>
      <c r="B480" t="str">
        <f t="shared" si="35"/>
        <v>S29_2026</v>
      </c>
      <c r="C480" t="str">
        <f t="shared" si="37"/>
        <v>S29_2026</v>
      </c>
      <c r="E480" t="s">
        <v>512</v>
      </c>
      <c r="F480">
        <v>6</v>
      </c>
      <c r="G480" t="s">
        <v>55</v>
      </c>
      <c r="H480" t="s">
        <v>85</v>
      </c>
      <c r="I480" t="s">
        <v>371</v>
      </c>
      <c r="J480" t="s">
        <v>657</v>
      </c>
      <c r="K480" t="s">
        <v>658</v>
      </c>
      <c r="L480" t="s">
        <v>359</v>
      </c>
      <c r="M480" t="s">
        <v>116</v>
      </c>
      <c r="N480" t="s">
        <v>663</v>
      </c>
      <c r="O480" t="s">
        <v>663</v>
      </c>
      <c r="P480">
        <v>3</v>
      </c>
      <c r="Q480" s="7">
        <v>46217</v>
      </c>
      <c r="R480" s="7">
        <v>46217</v>
      </c>
      <c r="S480" s="7">
        <v>46218</v>
      </c>
      <c r="T480" t="s">
        <v>663</v>
      </c>
      <c r="V480" t="s">
        <v>360</v>
      </c>
      <c r="W480" t="s">
        <v>663</v>
      </c>
      <c r="X480" t="s">
        <v>663</v>
      </c>
      <c r="Y480" t="s">
        <v>663</v>
      </c>
      <c r="Z480" t="s">
        <v>663</v>
      </c>
      <c r="AB480" t="s">
        <v>48</v>
      </c>
      <c r="AF480">
        <v>2</v>
      </c>
      <c r="AH480" t="s">
        <v>75</v>
      </c>
      <c r="AI480">
        <v>1</v>
      </c>
      <c r="AJ480" s="9"/>
      <c r="AN480" t="s">
        <v>45</v>
      </c>
      <c r="AO480" t="s">
        <v>86</v>
      </c>
      <c r="AP480"/>
      <c r="AQ480" t="s">
        <v>74</v>
      </c>
      <c r="AR480" s="18" t="str">
        <f>IFERROR(VLOOKUP(K480,[1]POP!$F:$J,1,0),M480)</f>
        <v>MAKARY</v>
      </c>
      <c r="AS480" s="18" t="str">
        <f t="shared" si="36"/>
        <v>Ngouma</v>
      </c>
      <c r="AT480" s="19">
        <f t="shared" si="39"/>
        <v>2</v>
      </c>
      <c r="AU480" s="19">
        <f t="shared" ca="1" si="38"/>
        <v>2</v>
      </c>
    </row>
    <row r="481" spans="1:47" x14ac:dyDescent="0.3">
      <c r="A481" t="s">
        <v>714</v>
      </c>
      <c r="B481" t="str">
        <f t="shared" si="35"/>
        <v>S29_2026</v>
      </c>
      <c r="C481" t="str">
        <f t="shared" si="37"/>
        <v>S29_2026</v>
      </c>
      <c r="E481" t="s">
        <v>512</v>
      </c>
      <c r="F481">
        <v>4</v>
      </c>
      <c r="G481" t="s">
        <v>40</v>
      </c>
      <c r="H481" t="s">
        <v>85</v>
      </c>
      <c r="I481" t="s">
        <v>371</v>
      </c>
      <c r="J481" t="s">
        <v>657</v>
      </c>
      <c r="K481" t="s">
        <v>658</v>
      </c>
      <c r="L481" t="s">
        <v>359</v>
      </c>
      <c r="M481" t="s">
        <v>116</v>
      </c>
      <c r="N481" t="s">
        <v>663</v>
      </c>
      <c r="O481" t="s">
        <v>663</v>
      </c>
      <c r="P481">
        <v>3</v>
      </c>
      <c r="Q481" s="7">
        <v>46217</v>
      </c>
      <c r="R481" s="7">
        <v>46217</v>
      </c>
      <c r="S481" s="7">
        <v>46218</v>
      </c>
      <c r="T481" t="s">
        <v>663</v>
      </c>
      <c r="V481" t="s">
        <v>360</v>
      </c>
      <c r="W481" t="s">
        <v>663</v>
      </c>
      <c r="X481" t="s">
        <v>663</v>
      </c>
      <c r="Y481" t="s">
        <v>663</v>
      </c>
      <c r="Z481" t="s">
        <v>663</v>
      </c>
      <c r="AB481" t="s">
        <v>48</v>
      </c>
      <c r="AF481">
        <v>2</v>
      </c>
      <c r="AH481" t="s">
        <v>75</v>
      </c>
      <c r="AI481">
        <v>1</v>
      </c>
      <c r="AJ481" s="9"/>
      <c r="AN481" t="s">
        <v>45</v>
      </c>
      <c r="AO481" t="s">
        <v>86</v>
      </c>
      <c r="AP481"/>
      <c r="AQ481" t="s">
        <v>74</v>
      </c>
      <c r="AR481" s="18" t="str">
        <f>IFERROR(VLOOKUP(K481,[1]POP!$F:$J,1,0),M481)</f>
        <v>MAKARY</v>
      </c>
      <c r="AS481" s="18" t="str">
        <f t="shared" si="36"/>
        <v>Ngouma</v>
      </c>
      <c r="AT481" s="19">
        <f t="shared" si="39"/>
        <v>2</v>
      </c>
      <c r="AU481" s="19">
        <f t="shared" ca="1" si="38"/>
        <v>2</v>
      </c>
    </row>
    <row r="482" spans="1:47" x14ac:dyDescent="0.3">
      <c r="A482" t="s">
        <v>715</v>
      </c>
      <c r="B482" t="str">
        <f t="shared" si="35"/>
        <v>S29_2026</v>
      </c>
      <c r="C482" t="str">
        <f t="shared" si="37"/>
        <v>S29_2026</v>
      </c>
      <c r="E482" t="s">
        <v>654</v>
      </c>
      <c r="F482">
        <v>38</v>
      </c>
      <c r="G482" t="s">
        <v>40</v>
      </c>
      <c r="H482" t="s">
        <v>682</v>
      </c>
      <c r="I482" t="s">
        <v>666</v>
      </c>
      <c r="J482" t="s">
        <v>657</v>
      </c>
      <c r="K482" t="s">
        <v>658</v>
      </c>
      <c r="L482" t="s">
        <v>659</v>
      </c>
      <c r="M482" t="s">
        <v>116</v>
      </c>
      <c r="N482" t="s">
        <v>663</v>
      </c>
      <c r="O482" t="s">
        <v>663</v>
      </c>
      <c r="P482">
        <v>3</v>
      </c>
      <c r="Q482" s="7">
        <v>46218</v>
      </c>
      <c r="R482" s="7">
        <v>46218</v>
      </c>
      <c r="S482" s="7">
        <v>46218</v>
      </c>
      <c r="T482" t="s">
        <v>663</v>
      </c>
      <c r="V482" t="s">
        <v>662</v>
      </c>
      <c r="W482" t="s">
        <v>663</v>
      </c>
      <c r="X482" t="s">
        <v>663</v>
      </c>
      <c r="Y482" t="s">
        <v>663</v>
      </c>
      <c r="Z482" t="s">
        <v>663</v>
      </c>
      <c r="AB482" t="s">
        <v>48</v>
      </c>
      <c r="AF482">
        <v>2</v>
      </c>
      <c r="AH482" t="s">
        <v>75</v>
      </c>
      <c r="AI482">
        <v>1</v>
      </c>
      <c r="AJ482" s="9"/>
      <c r="AN482" t="s">
        <v>45</v>
      </c>
      <c r="AO482" t="s">
        <v>86</v>
      </c>
      <c r="AP482"/>
      <c r="AQ482" t="s">
        <v>74</v>
      </c>
      <c r="AR482" s="18" t="str">
        <f>IFERROR(VLOOKUP(K482,[1]POP!$F:$J,1,0),M482)</f>
        <v>MAKARY</v>
      </c>
      <c r="AS482" s="18" t="str">
        <f t="shared" si="36"/>
        <v>Amchilga</v>
      </c>
      <c r="AT482" s="19">
        <f t="shared" si="39"/>
        <v>2</v>
      </c>
      <c r="AU482" s="19">
        <f t="shared" ca="1" si="38"/>
        <v>2</v>
      </c>
    </row>
    <row r="483" spans="1:47" x14ac:dyDescent="0.3">
      <c r="A483" t="s">
        <v>716</v>
      </c>
      <c r="B483" t="str">
        <f t="shared" si="35"/>
        <v>S29_2026</v>
      </c>
      <c r="C483" t="str">
        <f t="shared" si="37"/>
        <v>S29_2026</v>
      </c>
      <c r="E483" t="s">
        <v>654</v>
      </c>
      <c r="F483">
        <v>2</v>
      </c>
      <c r="G483" t="s">
        <v>55</v>
      </c>
      <c r="H483" t="s">
        <v>655</v>
      </c>
      <c r="I483" t="s">
        <v>666</v>
      </c>
      <c r="J483" t="s">
        <v>657</v>
      </c>
      <c r="K483" t="s">
        <v>658</v>
      </c>
      <c r="L483" t="s">
        <v>659</v>
      </c>
      <c r="M483" t="s">
        <v>116</v>
      </c>
      <c r="N483" t="s">
        <v>663</v>
      </c>
      <c r="O483" t="s">
        <v>117</v>
      </c>
      <c r="P483">
        <v>2</v>
      </c>
      <c r="Q483" s="7">
        <v>46218</v>
      </c>
      <c r="R483" s="7">
        <v>46218</v>
      </c>
      <c r="S483" s="7">
        <v>46218</v>
      </c>
      <c r="T483" t="s">
        <v>663</v>
      </c>
      <c r="V483" t="s">
        <v>667</v>
      </c>
      <c r="W483" t="s">
        <v>663</v>
      </c>
      <c r="X483" t="s">
        <v>117</v>
      </c>
      <c r="Y483" t="s">
        <v>117</v>
      </c>
      <c r="Z483" t="s">
        <v>663</v>
      </c>
      <c r="AB483" t="s">
        <v>48</v>
      </c>
      <c r="AF483">
        <v>2</v>
      </c>
      <c r="AH483" t="s">
        <v>75</v>
      </c>
      <c r="AI483">
        <v>1</v>
      </c>
      <c r="AJ483" s="9"/>
      <c r="AN483" t="s">
        <v>45</v>
      </c>
      <c r="AO483" t="s">
        <v>86</v>
      </c>
      <c r="AP483"/>
      <c r="AQ483" t="s">
        <v>74</v>
      </c>
      <c r="AR483" s="18" t="str">
        <f>IFERROR(VLOOKUP(K483,[1]POP!$F:$J,1,0),M483)</f>
        <v>MAKARY</v>
      </c>
      <c r="AS483" s="18" t="str">
        <f t="shared" si="36"/>
        <v>Amchilga</v>
      </c>
      <c r="AT483" s="19">
        <f t="shared" si="39"/>
        <v>2</v>
      </c>
      <c r="AU483" s="19">
        <f t="shared" ca="1" si="38"/>
        <v>2</v>
      </c>
    </row>
    <row r="484" spans="1:47" x14ac:dyDescent="0.3">
      <c r="A484" t="s">
        <v>717</v>
      </c>
      <c r="B484" t="str">
        <f t="shared" si="35"/>
        <v>S29_2026</v>
      </c>
      <c r="C484" t="str">
        <f t="shared" si="37"/>
        <v>S29_2026</v>
      </c>
      <c r="E484" t="s">
        <v>654</v>
      </c>
      <c r="F484">
        <v>8</v>
      </c>
      <c r="G484" t="s">
        <v>55</v>
      </c>
      <c r="H484" t="s">
        <v>655</v>
      </c>
      <c r="I484" t="s">
        <v>666</v>
      </c>
      <c r="J484" t="s">
        <v>657</v>
      </c>
      <c r="K484" t="s">
        <v>658</v>
      </c>
      <c r="L484" t="s">
        <v>659</v>
      </c>
      <c r="M484" t="s">
        <v>116</v>
      </c>
      <c r="N484" t="s">
        <v>663</v>
      </c>
      <c r="O484" t="s">
        <v>117</v>
      </c>
      <c r="P484">
        <v>2</v>
      </c>
      <c r="Q484" s="7">
        <v>46218</v>
      </c>
      <c r="R484" s="7">
        <v>46218</v>
      </c>
      <c r="S484" s="7">
        <v>46218</v>
      </c>
      <c r="T484" t="s">
        <v>663</v>
      </c>
      <c r="V484" t="s">
        <v>662</v>
      </c>
      <c r="W484" t="s">
        <v>663</v>
      </c>
      <c r="X484" t="s">
        <v>663</v>
      </c>
      <c r="Y484" t="s">
        <v>117</v>
      </c>
      <c r="Z484" t="s">
        <v>663</v>
      </c>
      <c r="AB484" t="s">
        <v>48</v>
      </c>
      <c r="AF484">
        <v>2</v>
      </c>
      <c r="AH484" t="s">
        <v>75</v>
      </c>
      <c r="AI484">
        <v>1</v>
      </c>
      <c r="AJ484" s="9"/>
      <c r="AN484" t="s">
        <v>86</v>
      </c>
      <c r="AO484" t="s">
        <v>45</v>
      </c>
      <c r="AP484">
        <v>8</v>
      </c>
      <c r="AQ484" t="s">
        <v>74</v>
      </c>
      <c r="AR484" s="18" t="str">
        <f>IFERROR(VLOOKUP(K484,[1]POP!$F:$J,1,0),M484)</f>
        <v>MAKARY</v>
      </c>
      <c r="AS484" s="18" t="str">
        <f t="shared" si="36"/>
        <v>Amchilga</v>
      </c>
      <c r="AT484" s="19">
        <f t="shared" si="39"/>
        <v>2</v>
      </c>
      <c r="AU484" s="19">
        <f t="shared" ca="1" si="38"/>
        <v>2</v>
      </c>
    </row>
    <row r="485" spans="1:47" x14ac:dyDescent="0.3">
      <c r="A485" t="s">
        <v>718</v>
      </c>
      <c r="B485" t="str">
        <f t="shared" si="35"/>
        <v>S29_2026</v>
      </c>
      <c r="C485" t="str">
        <f t="shared" si="37"/>
        <v>S29_2026</v>
      </c>
      <c r="E485" t="s">
        <v>539</v>
      </c>
      <c r="F485">
        <v>7</v>
      </c>
      <c r="G485" t="s">
        <v>55</v>
      </c>
      <c r="H485" t="s">
        <v>111</v>
      </c>
      <c r="I485" t="s">
        <v>371</v>
      </c>
      <c r="J485" t="s">
        <v>133</v>
      </c>
      <c r="K485" t="s">
        <v>116</v>
      </c>
      <c r="L485" t="s">
        <v>133</v>
      </c>
      <c r="M485" t="s">
        <v>116</v>
      </c>
      <c r="N485" t="s">
        <v>45</v>
      </c>
      <c r="O485" t="s">
        <v>45</v>
      </c>
      <c r="P485">
        <v>3</v>
      </c>
      <c r="Q485" s="7">
        <v>46217</v>
      </c>
      <c r="R485" s="7">
        <v>46218</v>
      </c>
      <c r="S485" s="7">
        <v>46218</v>
      </c>
      <c r="T485" t="s">
        <v>45</v>
      </c>
      <c r="V485" t="s">
        <v>360</v>
      </c>
      <c r="W485" t="s">
        <v>45</v>
      </c>
      <c r="X485" t="s">
        <v>45</v>
      </c>
      <c r="Y485" t="s">
        <v>45</v>
      </c>
      <c r="Z485" t="s">
        <v>45</v>
      </c>
      <c r="AB485" t="s">
        <v>48</v>
      </c>
      <c r="AF485">
        <v>2</v>
      </c>
      <c r="AH485" t="s">
        <v>75</v>
      </c>
      <c r="AI485">
        <v>1</v>
      </c>
      <c r="AJ485" s="9"/>
      <c r="AK485" t="s">
        <v>74</v>
      </c>
      <c r="AN485" t="s">
        <v>86</v>
      </c>
      <c r="AO485" t="s">
        <v>45</v>
      </c>
      <c r="AP485">
        <v>7</v>
      </c>
      <c r="AQ485" t="s">
        <v>45</v>
      </c>
      <c r="AR485" s="18" t="str">
        <f>IFERROR(VLOOKUP(K485,[1]POP!$F:$J,1,0),M485)</f>
        <v>MAKARY</v>
      </c>
      <c r="AS485" s="18" t="str">
        <f t="shared" si="36"/>
        <v>NGOUMA</v>
      </c>
      <c r="AT485" s="19">
        <f t="shared" si="39"/>
        <v>2</v>
      </c>
      <c r="AU485" s="19">
        <f t="shared" ca="1" si="38"/>
        <v>2</v>
      </c>
    </row>
    <row r="486" spans="1:47" x14ac:dyDescent="0.3">
      <c r="A486" t="s">
        <v>719</v>
      </c>
      <c r="B486" t="str">
        <f t="shared" si="35"/>
        <v>S29_2026</v>
      </c>
      <c r="C486" t="str">
        <f t="shared" si="37"/>
        <v>S29_2026</v>
      </c>
      <c r="E486" t="s">
        <v>539</v>
      </c>
      <c r="F486">
        <v>2</v>
      </c>
      <c r="G486" t="s">
        <v>40</v>
      </c>
      <c r="H486" t="s">
        <v>111</v>
      </c>
      <c r="I486" t="s">
        <v>371</v>
      </c>
      <c r="J486" t="s">
        <v>133</v>
      </c>
      <c r="K486" t="s">
        <v>116</v>
      </c>
      <c r="L486" t="s">
        <v>133</v>
      </c>
      <c r="M486" t="s">
        <v>116</v>
      </c>
      <c r="N486" t="s">
        <v>45</v>
      </c>
      <c r="O486" t="s">
        <v>45</v>
      </c>
      <c r="P486">
        <v>3</v>
      </c>
      <c r="Q486" s="7">
        <v>46218</v>
      </c>
      <c r="R486" s="7">
        <v>46218</v>
      </c>
      <c r="S486" s="7">
        <v>46218</v>
      </c>
      <c r="T486" t="s">
        <v>45</v>
      </c>
      <c r="V486" t="s">
        <v>360</v>
      </c>
      <c r="W486" t="s">
        <v>45</v>
      </c>
      <c r="X486" t="s">
        <v>45</v>
      </c>
      <c r="Y486" t="s">
        <v>45</v>
      </c>
      <c r="Z486" t="s">
        <v>45</v>
      </c>
      <c r="AB486" t="s">
        <v>48</v>
      </c>
      <c r="AF486">
        <v>2</v>
      </c>
      <c r="AH486" t="s">
        <v>75</v>
      </c>
      <c r="AI486">
        <v>1</v>
      </c>
      <c r="AJ486" s="9"/>
      <c r="AK486" t="s">
        <v>74</v>
      </c>
      <c r="AN486" t="s">
        <v>86</v>
      </c>
      <c r="AO486" t="s">
        <v>45</v>
      </c>
      <c r="AP486">
        <v>6</v>
      </c>
      <c r="AQ486" t="s">
        <v>45</v>
      </c>
      <c r="AR486" s="18" t="str">
        <f>IFERROR(VLOOKUP(K486,[1]POP!$F:$J,1,0),M486)</f>
        <v>MAKARY</v>
      </c>
      <c r="AS486" s="18" t="str">
        <f t="shared" si="36"/>
        <v>NGOUMA</v>
      </c>
      <c r="AT486" s="19">
        <f t="shared" si="39"/>
        <v>2</v>
      </c>
      <c r="AU486" s="19">
        <f t="shared" ca="1" si="38"/>
        <v>2</v>
      </c>
    </row>
    <row r="487" spans="1:47" x14ac:dyDescent="0.3">
      <c r="A487" t="s">
        <v>720</v>
      </c>
      <c r="B487" t="str">
        <f t="shared" si="35"/>
        <v>S29_2026</v>
      </c>
      <c r="C487" t="str">
        <f t="shared" si="37"/>
        <v>S29_2026</v>
      </c>
      <c r="E487" t="s">
        <v>539</v>
      </c>
      <c r="F487">
        <v>10</v>
      </c>
      <c r="G487" t="s">
        <v>40</v>
      </c>
      <c r="H487" t="s">
        <v>111</v>
      </c>
      <c r="I487" t="s">
        <v>371</v>
      </c>
      <c r="J487" t="s">
        <v>133</v>
      </c>
      <c r="K487" t="s">
        <v>116</v>
      </c>
      <c r="L487" t="s">
        <v>133</v>
      </c>
      <c r="M487" t="s">
        <v>116</v>
      </c>
      <c r="N487" t="s">
        <v>45</v>
      </c>
      <c r="O487" t="s">
        <v>45</v>
      </c>
      <c r="P487">
        <v>3</v>
      </c>
      <c r="Q487" s="7">
        <v>46218</v>
      </c>
      <c r="R487" s="7">
        <v>46218</v>
      </c>
      <c r="S487" s="7">
        <v>46218</v>
      </c>
      <c r="T487" t="s">
        <v>45</v>
      </c>
      <c r="V487" t="s">
        <v>360</v>
      </c>
      <c r="W487" t="s">
        <v>45</v>
      </c>
      <c r="X487" t="s">
        <v>45</v>
      </c>
      <c r="Y487" t="s">
        <v>45</v>
      </c>
      <c r="Z487" t="s">
        <v>45</v>
      </c>
      <c r="AB487" t="s">
        <v>48</v>
      </c>
      <c r="AF487">
        <v>2</v>
      </c>
      <c r="AH487" t="s">
        <v>75</v>
      </c>
      <c r="AI487">
        <v>1</v>
      </c>
      <c r="AJ487" s="9"/>
      <c r="AK487" t="s">
        <v>74</v>
      </c>
      <c r="AN487" t="s">
        <v>86</v>
      </c>
      <c r="AO487" t="s">
        <v>45</v>
      </c>
      <c r="AP487">
        <v>5</v>
      </c>
      <c r="AQ487" t="s">
        <v>74</v>
      </c>
      <c r="AR487" s="18" t="str">
        <f>IFERROR(VLOOKUP(K487,[1]POP!$F:$J,1,0),M487)</f>
        <v>MAKARY</v>
      </c>
      <c r="AS487" s="18" t="str">
        <f t="shared" si="36"/>
        <v>NGOUMA</v>
      </c>
      <c r="AT487" s="19">
        <f t="shared" si="39"/>
        <v>2</v>
      </c>
      <c r="AU487" s="19">
        <f t="shared" ca="1" si="38"/>
        <v>2</v>
      </c>
    </row>
    <row r="488" spans="1:47" x14ac:dyDescent="0.3">
      <c r="A488" t="s">
        <v>721</v>
      </c>
      <c r="B488" t="str">
        <f t="shared" si="35"/>
        <v>S29_2026</v>
      </c>
      <c r="C488" t="str">
        <f t="shared" si="37"/>
        <v>S29_2026</v>
      </c>
      <c r="E488" t="s">
        <v>539</v>
      </c>
      <c r="F488">
        <v>65</v>
      </c>
      <c r="G488" t="s">
        <v>40</v>
      </c>
      <c r="H488" t="s">
        <v>136</v>
      </c>
      <c r="I488" t="s">
        <v>371</v>
      </c>
      <c r="J488" t="s">
        <v>133</v>
      </c>
      <c r="K488" t="s">
        <v>116</v>
      </c>
      <c r="L488" t="s">
        <v>133</v>
      </c>
      <c r="M488" t="s">
        <v>116</v>
      </c>
      <c r="N488" t="s">
        <v>45</v>
      </c>
      <c r="O488" t="s">
        <v>45</v>
      </c>
      <c r="P488">
        <v>3</v>
      </c>
      <c r="Q488" s="7">
        <v>46218</v>
      </c>
      <c r="R488" s="7">
        <v>46218</v>
      </c>
      <c r="S488" s="7">
        <v>46218</v>
      </c>
      <c r="T488" t="s">
        <v>45</v>
      </c>
      <c r="V488" t="s">
        <v>360</v>
      </c>
      <c r="W488" t="s">
        <v>45</v>
      </c>
      <c r="X488" t="s">
        <v>45</v>
      </c>
      <c r="Y488" t="s">
        <v>45</v>
      </c>
      <c r="Z488" t="s">
        <v>45</v>
      </c>
      <c r="AB488" t="s">
        <v>48</v>
      </c>
      <c r="AF488">
        <v>2</v>
      </c>
      <c r="AH488" t="s">
        <v>75</v>
      </c>
      <c r="AI488">
        <v>1</v>
      </c>
      <c r="AJ488" s="9"/>
      <c r="AK488" t="s">
        <v>74</v>
      </c>
      <c r="AN488" t="s">
        <v>86</v>
      </c>
      <c r="AO488" t="s">
        <v>45</v>
      </c>
      <c r="AP488">
        <v>6</v>
      </c>
      <c r="AQ488" t="s">
        <v>74</v>
      </c>
      <c r="AR488" s="18" t="str">
        <f>IFERROR(VLOOKUP(K488,[1]POP!$F:$J,1,0),M488)</f>
        <v>MAKARY</v>
      </c>
      <c r="AS488" s="18" t="str">
        <f t="shared" si="36"/>
        <v>NGOUMA</v>
      </c>
      <c r="AT488" s="19">
        <f t="shared" si="39"/>
        <v>2</v>
      </c>
      <c r="AU488" s="19">
        <f t="shared" ca="1" si="38"/>
        <v>2</v>
      </c>
    </row>
    <row r="489" spans="1:47" x14ac:dyDescent="0.3">
      <c r="A489" t="s">
        <v>722</v>
      </c>
      <c r="B489" t="str">
        <f t="shared" si="35"/>
        <v>S29_2026</v>
      </c>
      <c r="C489" t="str">
        <f t="shared" si="37"/>
        <v>S29_2026</v>
      </c>
      <c r="E489" t="s">
        <v>539</v>
      </c>
      <c r="F489">
        <v>13</v>
      </c>
      <c r="G489" t="s">
        <v>40</v>
      </c>
      <c r="H489" t="s">
        <v>111</v>
      </c>
      <c r="I489" t="s">
        <v>371</v>
      </c>
      <c r="J489" t="s">
        <v>133</v>
      </c>
      <c r="K489" t="s">
        <v>116</v>
      </c>
      <c r="L489" t="s">
        <v>133</v>
      </c>
      <c r="M489" t="s">
        <v>116</v>
      </c>
      <c r="N489" t="s">
        <v>45</v>
      </c>
      <c r="O489" t="s">
        <v>45</v>
      </c>
      <c r="P489">
        <v>3</v>
      </c>
      <c r="Q489" s="7">
        <v>46218</v>
      </c>
      <c r="R489" s="7">
        <v>46218</v>
      </c>
      <c r="S489" s="7">
        <v>46218</v>
      </c>
      <c r="T489" t="s">
        <v>45</v>
      </c>
      <c r="V489" t="s">
        <v>360</v>
      </c>
      <c r="W489" t="s">
        <v>45</v>
      </c>
      <c r="X489" t="s">
        <v>45</v>
      </c>
      <c r="Y489" t="s">
        <v>45</v>
      </c>
      <c r="Z489" t="s">
        <v>45</v>
      </c>
      <c r="AB489" t="s">
        <v>48</v>
      </c>
      <c r="AF489">
        <v>2</v>
      </c>
      <c r="AH489" t="s">
        <v>75</v>
      </c>
      <c r="AI489">
        <v>1</v>
      </c>
      <c r="AJ489" s="9"/>
      <c r="AK489" t="s">
        <v>74</v>
      </c>
      <c r="AN489" t="s">
        <v>86</v>
      </c>
      <c r="AO489" t="s">
        <v>45</v>
      </c>
      <c r="AP489"/>
      <c r="AQ489" t="s">
        <v>74</v>
      </c>
      <c r="AR489" s="18" t="str">
        <f>IFERROR(VLOOKUP(K489,[1]POP!$F:$J,1,0),M489)</f>
        <v>MAKARY</v>
      </c>
      <c r="AS489" s="18" t="str">
        <f t="shared" si="36"/>
        <v>NGOUMA</v>
      </c>
      <c r="AT489" s="19">
        <f t="shared" si="39"/>
        <v>2</v>
      </c>
      <c r="AU489" s="19">
        <f t="shared" ca="1" si="38"/>
        <v>2</v>
      </c>
    </row>
    <row r="490" spans="1:47" x14ac:dyDescent="0.3">
      <c r="A490" t="s">
        <v>723</v>
      </c>
      <c r="B490" t="str">
        <f t="shared" si="35"/>
        <v>S29_2026</v>
      </c>
      <c r="C490" t="str">
        <f t="shared" si="37"/>
        <v>S29_2026</v>
      </c>
      <c r="E490" t="s">
        <v>539</v>
      </c>
      <c r="F490">
        <v>2</v>
      </c>
      <c r="G490" t="s">
        <v>55</v>
      </c>
      <c r="H490" t="s">
        <v>111</v>
      </c>
      <c r="I490" t="s">
        <v>371</v>
      </c>
      <c r="J490" t="s">
        <v>133</v>
      </c>
      <c r="K490" t="s">
        <v>116</v>
      </c>
      <c r="L490" t="s">
        <v>133</v>
      </c>
      <c r="M490" t="s">
        <v>116</v>
      </c>
      <c r="N490" t="s">
        <v>45</v>
      </c>
      <c r="O490" t="s">
        <v>45</v>
      </c>
      <c r="P490">
        <v>3</v>
      </c>
      <c r="Q490" s="7">
        <v>46218</v>
      </c>
      <c r="R490" s="7">
        <v>46218</v>
      </c>
      <c r="S490" s="7">
        <v>46218</v>
      </c>
      <c r="T490" t="s">
        <v>45</v>
      </c>
      <c r="V490" t="s">
        <v>360</v>
      </c>
      <c r="W490" t="s">
        <v>45</v>
      </c>
      <c r="X490" t="s">
        <v>45</v>
      </c>
      <c r="Y490" t="s">
        <v>45</v>
      </c>
      <c r="Z490" t="s">
        <v>45</v>
      </c>
      <c r="AB490" t="s">
        <v>48</v>
      </c>
      <c r="AF490">
        <v>2</v>
      </c>
      <c r="AH490" t="s">
        <v>75</v>
      </c>
      <c r="AI490">
        <v>1</v>
      </c>
      <c r="AJ490" s="9"/>
      <c r="AK490" t="s">
        <v>74</v>
      </c>
      <c r="AN490" t="s">
        <v>86</v>
      </c>
      <c r="AO490" t="s">
        <v>45</v>
      </c>
      <c r="AP490"/>
      <c r="AQ490" t="s">
        <v>74</v>
      </c>
      <c r="AR490" s="18" t="str">
        <f>IFERROR(VLOOKUP(K490,[1]POP!$F:$J,1,0),M490)</f>
        <v>MAKARY</v>
      </c>
      <c r="AS490" s="18" t="str">
        <f t="shared" si="36"/>
        <v>NGOUMA</v>
      </c>
      <c r="AT490" s="19">
        <f t="shared" si="39"/>
        <v>2</v>
      </c>
      <c r="AU490" s="19">
        <f t="shared" ca="1" si="38"/>
        <v>2</v>
      </c>
    </row>
    <row r="491" spans="1:47" x14ac:dyDescent="0.3">
      <c r="A491" t="s">
        <v>724</v>
      </c>
      <c r="B491" t="str">
        <f t="shared" si="35"/>
        <v>S29_2026</v>
      </c>
      <c r="C491" t="str">
        <f t="shared" si="37"/>
        <v>S29_2026</v>
      </c>
      <c r="E491" t="s">
        <v>539</v>
      </c>
      <c r="F491">
        <v>2</v>
      </c>
      <c r="G491" t="s">
        <v>55</v>
      </c>
      <c r="H491" t="s">
        <v>111</v>
      </c>
      <c r="I491" t="s">
        <v>371</v>
      </c>
      <c r="J491" t="s">
        <v>133</v>
      </c>
      <c r="K491" t="s">
        <v>116</v>
      </c>
      <c r="L491" t="s">
        <v>133</v>
      </c>
      <c r="M491" t="s">
        <v>116</v>
      </c>
      <c r="N491" t="s">
        <v>45</v>
      </c>
      <c r="O491" t="s">
        <v>45</v>
      </c>
      <c r="P491">
        <v>3</v>
      </c>
      <c r="Q491" s="7">
        <v>46218</v>
      </c>
      <c r="R491" s="7">
        <v>46218</v>
      </c>
      <c r="S491" s="7">
        <v>46218</v>
      </c>
      <c r="T491" t="s">
        <v>45</v>
      </c>
      <c r="V491" t="s">
        <v>360</v>
      </c>
      <c r="W491" t="s">
        <v>45</v>
      </c>
      <c r="X491" t="s">
        <v>45</v>
      </c>
      <c r="Y491" t="s">
        <v>45</v>
      </c>
      <c r="Z491" t="s">
        <v>45</v>
      </c>
      <c r="AB491" t="s">
        <v>48</v>
      </c>
      <c r="AF491">
        <v>2</v>
      </c>
      <c r="AH491" t="s">
        <v>75</v>
      </c>
      <c r="AI491">
        <v>1</v>
      </c>
      <c r="AJ491" s="9"/>
      <c r="AK491" t="s">
        <v>74</v>
      </c>
      <c r="AN491" t="s">
        <v>74</v>
      </c>
      <c r="AO491" t="s">
        <v>74</v>
      </c>
      <c r="AP491">
        <v>8</v>
      </c>
      <c r="AQ491" t="s">
        <v>86</v>
      </c>
      <c r="AR491" s="18" t="str">
        <f>IFERROR(VLOOKUP(K491,[1]POP!$F:$J,1,0),M491)</f>
        <v>MAKARY</v>
      </c>
      <c r="AS491" s="18" t="str">
        <f t="shared" si="36"/>
        <v>NGOUMA</v>
      </c>
      <c r="AT491" s="19">
        <f t="shared" si="39"/>
        <v>2</v>
      </c>
      <c r="AU491" s="19">
        <f t="shared" ca="1" si="38"/>
        <v>2</v>
      </c>
    </row>
    <row r="492" spans="1:47" x14ac:dyDescent="0.3">
      <c r="A492" t="s">
        <v>725</v>
      </c>
      <c r="B492" t="str">
        <f t="shared" si="35"/>
        <v>S29_2026</v>
      </c>
      <c r="C492" t="str">
        <f t="shared" si="37"/>
        <v>S29_2026</v>
      </c>
      <c r="E492" t="s">
        <v>539</v>
      </c>
      <c r="F492">
        <v>6</v>
      </c>
      <c r="G492" t="s">
        <v>40</v>
      </c>
      <c r="H492" t="s">
        <v>111</v>
      </c>
      <c r="I492" t="s">
        <v>371</v>
      </c>
      <c r="J492" t="s">
        <v>133</v>
      </c>
      <c r="K492" t="s">
        <v>116</v>
      </c>
      <c r="L492" t="s">
        <v>133</v>
      </c>
      <c r="M492" t="s">
        <v>116</v>
      </c>
      <c r="N492" t="s">
        <v>45</v>
      </c>
      <c r="O492" t="s">
        <v>45</v>
      </c>
      <c r="P492">
        <v>3</v>
      </c>
      <c r="Q492" s="7">
        <v>46218</v>
      </c>
      <c r="R492" s="7">
        <v>46218</v>
      </c>
      <c r="S492" s="7">
        <v>46218</v>
      </c>
      <c r="T492" t="s">
        <v>45</v>
      </c>
      <c r="V492" t="s">
        <v>360</v>
      </c>
      <c r="W492" t="s">
        <v>45</v>
      </c>
      <c r="X492" t="s">
        <v>45</v>
      </c>
      <c r="Y492" t="s">
        <v>45</v>
      </c>
      <c r="Z492" t="s">
        <v>45</v>
      </c>
      <c r="AB492" t="s">
        <v>48</v>
      </c>
      <c r="AF492">
        <v>2</v>
      </c>
      <c r="AH492" t="s">
        <v>75</v>
      </c>
      <c r="AI492">
        <v>1</v>
      </c>
      <c r="AJ492" s="9"/>
      <c r="AK492" t="s">
        <v>74</v>
      </c>
      <c r="AL492" t="s">
        <v>549</v>
      </c>
      <c r="AN492" t="s">
        <v>74</v>
      </c>
      <c r="AO492" t="s">
        <v>74</v>
      </c>
      <c r="AP492">
        <v>4</v>
      </c>
      <c r="AQ492" t="s">
        <v>45</v>
      </c>
      <c r="AR492" s="18" t="str">
        <f>IFERROR(VLOOKUP(K492,[1]POP!$F:$J,1,0),M492)</f>
        <v>MAKARY</v>
      </c>
      <c r="AS492" s="18" t="str">
        <f t="shared" si="36"/>
        <v>NGOUMA</v>
      </c>
      <c r="AT492" s="19">
        <f t="shared" si="39"/>
        <v>2</v>
      </c>
      <c r="AU492" s="19">
        <f t="shared" ca="1" si="38"/>
        <v>2</v>
      </c>
    </row>
    <row r="493" spans="1:47" x14ac:dyDescent="0.3">
      <c r="A493" t="s">
        <v>726</v>
      </c>
      <c r="B493" t="str">
        <f t="shared" si="35"/>
        <v>S29_2026</v>
      </c>
      <c r="C493" t="str">
        <f t="shared" si="37"/>
        <v>S29_2026</v>
      </c>
      <c r="E493" t="s">
        <v>539</v>
      </c>
      <c r="F493">
        <v>2</v>
      </c>
      <c r="G493" t="s">
        <v>40</v>
      </c>
      <c r="H493" t="s">
        <v>111</v>
      </c>
      <c r="I493" t="s">
        <v>371</v>
      </c>
      <c r="J493" t="s">
        <v>133</v>
      </c>
      <c r="K493" t="s">
        <v>116</v>
      </c>
      <c r="L493" t="s">
        <v>133</v>
      </c>
      <c r="M493" t="s">
        <v>116</v>
      </c>
      <c r="N493" t="s">
        <v>45</v>
      </c>
      <c r="O493" t="s">
        <v>45</v>
      </c>
      <c r="P493">
        <v>3</v>
      </c>
      <c r="Q493" s="7">
        <v>46218</v>
      </c>
      <c r="R493" s="7">
        <v>46218</v>
      </c>
      <c r="S493" s="7">
        <v>46218</v>
      </c>
      <c r="T493" t="s">
        <v>45</v>
      </c>
      <c r="V493" t="s">
        <v>360</v>
      </c>
      <c r="W493" t="s">
        <v>45</v>
      </c>
      <c r="X493" t="s">
        <v>45</v>
      </c>
      <c r="Y493" t="s">
        <v>45</v>
      </c>
      <c r="Z493" t="s">
        <v>45</v>
      </c>
      <c r="AB493" t="s">
        <v>48</v>
      </c>
      <c r="AF493">
        <v>3</v>
      </c>
      <c r="AH493" t="s">
        <v>75</v>
      </c>
      <c r="AI493">
        <v>2</v>
      </c>
      <c r="AJ493" s="9"/>
      <c r="AK493" t="s">
        <v>74</v>
      </c>
      <c r="AL493" t="s">
        <v>549</v>
      </c>
      <c r="AN493" t="s">
        <v>86</v>
      </c>
      <c r="AO493" t="s">
        <v>86</v>
      </c>
      <c r="AP493"/>
      <c r="AQ493" t="s">
        <v>45</v>
      </c>
      <c r="AR493" s="18" t="str">
        <f>IFERROR(VLOOKUP(K493,[1]POP!$F:$J,1,0),M493)</f>
        <v>MAKARY</v>
      </c>
      <c r="AS493" s="18" t="str">
        <f t="shared" si="36"/>
        <v>NGOUMA</v>
      </c>
      <c r="AT493" s="19">
        <f t="shared" si="39"/>
        <v>3</v>
      </c>
      <c r="AU493" s="19">
        <f t="shared" ca="1" si="38"/>
        <v>2</v>
      </c>
    </row>
    <row r="494" spans="1:47" x14ac:dyDescent="0.3">
      <c r="A494" t="s">
        <v>727</v>
      </c>
      <c r="B494" t="str">
        <f t="shared" si="35"/>
        <v>S29_2026</v>
      </c>
      <c r="C494" t="str">
        <f t="shared" si="37"/>
        <v>S29_2026</v>
      </c>
      <c r="F494">
        <v>20</v>
      </c>
      <c r="G494" t="s">
        <v>55</v>
      </c>
      <c r="H494" t="s">
        <v>164</v>
      </c>
      <c r="I494" t="s">
        <v>728</v>
      </c>
      <c r="J494" t="s">
        <v>72</v>
      </c>
      <c r="K494" t="s">
        <v>72</v>
      </c>
      <c r="L494" t="s">
        <v>72</v>
      </c>
      <c r="M494" t="s">
        <v>72</v>
      </c>
      <c r="N494" t="s">
        <v>45</v>
      </c>
      <c r="O494" t="s">
        <v>45</v>
      </c>
      <c r="P494">
        <v>2</v>
      </c>
      <c r="Q494" s="7">
        <v>46217</v>
      </c>
      <c r="R494" s="7">
        <v>46217</v>
      </c>
      <c r="S494" s="7">
        <v>46217</v>
      </c>
      <c r="T494" t="s">
        <v>45</v>
      </c>
      <c r="V494" t="s">
        <v>343</v>
      </c>
      <c r="W494" t="s">
        <v>45</v>
      </c>
      <c r="X494" t="s">
        <v>45</v>
      </c>
      <c r="Y494" t="s">
        <v>45</v>
      </c>
      <c r="Z494" t="s">
        <v>74</v>
      </c>
      <c r="AA494" s="7">
        <v>46217</v>
      </c>
      <c r="AE494" s="7">
        <v>46224</v>
      </c>
      <c r="AF494">
        <v>2</v>
      </c>
      <c r="AH494" t="s">
        <v>75</v>
      </c>
      <c r="AI494">
        <v>1</v>
      </c>
      <c r="AJ494" s="9"/>
      <c r="AK494" t="s">
        <v>74</v>
      </c>
      <c r="AL494" t="s">
        <v>549</v>
      </c>
      <c r="AN494" t="s">
        <v>74</v>
      </c>
      <c r="AO494" t="s">
        <v>86</v>
      </c>
      <c r="AP494">
        <v>6</v>
      </c>
      <c r="AQ494" t="s">
        <v>74</v>
      </c>
      <c r="AR494" s="18" t="str">
        <f>IFERROR(VLOOKUP(K494,[1]POP!$F:$J,1,0),M494)</f>
        <v>FOTOKOL</v>
      </c>
      <c r="AS494" s="18" t="str">
        <f t="shared" si="36"/>
        <v>FOTOKOL</v>
      </c>
      <c r="AT494" s="19">
        <f t="shared" si="39"/>
        <v>2</v>
      </c>
      <c r="AU494" s="19">
        <f t="shared" ca="1" si="38"/>
        <v>2</v>
      </c>
    </row>
    <row r="495" spans="1:47" x14ac:dyDescent="0.3">
      <c r="A495" t="s">
        <v>729</v>
      </c>
      <c r="B495" t="str">
        <f t="shared" si="35"/>
        <v>S29_2026</v>
      </c>
      <c r="C495" t="str">
        <f t="shared" si="37"/>
        <v>S29_2026</v>
      </c>
      <c r="F495">
        <v>30</v>
      </c>
      <c r="G495" t="s">
        <v>40</v>
      </c>
      <c r="H495" t="s">
        <v>77</v>
      </c>
      <c r="I495" t="s">
        <v>623</v>
      </c>
      <c r="J495" t="s">
        <v>624</v>
      </c>
      <c r="K495" t="s">
        <v>72</v>
      </c>
      <c r="L495" t="s">
        <v>72</v>
      </c>
      <c r="M495" t="s">
        <v>72</v>
      </c>
      <c r="N495" t="s">
        <v>45</v>
      </c>
      <c r="O495" t="s">
        <v>45</v>
      </c>
      <c r="P495">
        <v>2</v>
      </c>
      <c r="Q495" s="7">
        <v>46217</v>
      </c>
      <c r="R495" s="7">
        <v>46217</v>
      </c>
      <c r="S495" s="7">
        <v>46217</v>
      </c>
      <c r="T495" t="s">
        <v>45</v>
      </c>
      <c r="V495" t="s">
        <v>343</v>
      </c>
      <c r="W495" t="s">
        <v>45</v>
      </c>
      <c r="X495" t="s">
        <v>45</v>
      </c>
      <c r="Y495" t="s">
        <v>45</v>
      </c>
      <c r="Z495" t="s">
        <v>74</v>
      </c>
      <c r="AA495" s="7">
        <v>46217</v>
      </c>
      <c r="AB495" t="s">
        <v>48</v>
      </c>
      <c r="AE495" s="7">
        <v>46222</v>
      </c>
      <c r="AF495">
        <v>2</v>
      </c>
      <c r="AH495" t="s">
        <v>75</v>
      </c>
      <c r="AI495">
        <v>1</v>
      </c>
      <c r="AJ495" s="9"/>
      <c r="AK495" t="s">
        <v>74</v>
      </c>
      <c r="AL495" t="s">
        <v>549</v>
      </c>
      <c r="AN495" t="s">
        <v>74</v>
      </c>
      <c r="AO495" t="s">
        <v>86</v>
      </c>
      <c r="AP495">
        <v>4</v>
      </c>
      <c r="AQ495" t="s">
        <v>45</v>
      </c>
      <c r="AR495" s="18" t="str">
        <f>IFERROR(VLOOKUP(K495,[1]POP!$F:$J,1,0),M495)</f>
        <v>FOTOKOL</v>
      </c>
      <c r="AS495" s="18" t="str">
        <f t="shared" si="36"/>
        <v>BELGUEDE</v>
      </c>
      <c r="AT495" s="19">
        <f t="shared" si="39"/>
        <v>2</v>
      </c>
      <c r="AU495" s="19">
        <f t="shared" ca="1" si="38"/>
        <v>2</v>
      </c>
    </row>
    <row r="496" spans="1:47" x14ac:dyDescent="0.3">
      <c r="A496" t="s">
        <v>730</v>
      </c>
      <c r="B496" t="str">
        <f t="shared" si="35"/>
        <v>S29_2026</v>
      </c>
      <c r="C496" t="str">
        <f t="shared" si="37"/>
        <v>S29_2026</v>
      </c>
      <c r="F496">
        <v>6</v>
      </c>
      <c r="G496" t="s">
        <v>55</v>
      </c>
      <c r="H496" t="s">
        <v>85</v>
      </c>
      <c r="I496" t="s">
        <v>731</v>
      </c>
      <c r="J496" t="s">
        <v>731</v>
      </c>
      <c r="K496" t="s">
        <v>72</v>
      </c>
      <c r="L496" t="s">
        <v>72</v>
      </c>
      <c r="M496" t="s">
        <v>72</v>
      </c>
      <c r="N496" t="s">
        <v>45</v>
      </c>
      <c r="O496" t="s">
        <v>45</v>
      </c>
      <c r="P496">
        <v>2</v>
      </c>
      <c r="Q496" s="7">
        <v>46219</v>
      </c>
      <c r="R496" s="7">
        <v>46219</v>
      </c>
      <c r="S496" s="7">
        <v>46219</v>
      </c>
      <c r="T496" t="s">
        <v>45</v>
      </c>
      <c r="V496" t="s">
        <v>343</v>
      </c>
      <c r="W496" t="s">
        <v>45</v>
      </c>
      <c r="X496" t="s">
        <v>45</v>
      </c>
      <c r="Y496" t="s">
        <v>45</v>
      </c>
      <c r="Z496" t="s">
        <v>74</v>
      </c>
      <c r="AA496" s="7">
        <v>46219</v>
      </c>
      <c r="AB496" t="s">
        <v>48</v>
      </c>
      <c r="AE496" s="7">
        <v>46224</v>
      </c>
      <c r="AF496">
        <v>2</v>
      </c>
      <c r="AH496" t="s">
        <v>75</v>
      </c>
      <c r="AI496">
        <v>1</v>
      </c>
      <c r="AJ496" s="9"/>
      <c r="AK496" t="s">
        <v>74</v>
      </c>
      <c r="AL496" t="s">
        <v>549</v>
      </c>
      <c r="AN496" t="s">
        <v>74</v>
      </c>
      <c r="AO496" t="s">
        <v>86</v>
      </c>
      <c r="AP496">
        <v>5</v>
      </c>
      <c r="AQ496" t="s">
        <v>74</v>
      </c>
      <c r="AR496" s="18" t="str">
        <f>IFERROR(VLOOKUP(K496,[1]POP!$F:$J,1,0),M496)</f>
        <v>FOTOKOL</v>
      </c>
      <c r="AS496" s="18" t="str">
        <f t="shared" si="36"/>
        <v>SOUERAM</v>
      </c>
      <c r="AT496" s="19">
        <f t="shared" si="39"/>
        <v>2</v>
      </c>
      <c r="AU496" s="19">
        <f t="shared" ca="1" si="38"/>
        <v>2</v>
      </c>
    </row>
    <row r="497" spans="1:47" x14ac:dyDescent="0.3">
      <c r="A497" t="s">
        <v>732</v>
      </c>
      <c r="B497" t="str">
        <f t="shared" si="35"/>
        <v>S29_2026</v>
      </c>
      <c r="C497" t="str">
        <f t="shared" si="37"/>
        <v>S29_2026</v>
      </c>
      <c r="F497">
        <v>2</v>
      </c>
      <c r="G497" t="s">
        <v>55</v>
      </c>
      <c r="H497" t="s">
        <v>85</v>
      </c>
      <c r="I497" t="s">
        <v>731</v>
      </c>
      <c r="J497" t="s">
        <v>731</v>
      </c>
      <c r="K497" t="s">
        <v>72</v>
      </c>
      <c r="L497" t="s">
        <v>72</v>
      </c>
      <c r="M497" t="s">
        <v>72</v>
      </c>
      <c r="N497" t="s">
        <v>45</v>
      </c>
      <c r="O497" t="s">
        <v>45</v>
      </c>
      <c r="P497">
        <v>2</v>
      </c>
      <c r="Q497" s="7">
        <v>46220</v>
      </c>
      <c r="R497" s="7">
        <v>46220</v>
      </c>
      <c r="S497" s="7">
        <v>46220</v>
      </c>
      <c r="T497" t="s">
        <v>45</v>
      </c>
      <c r="V497" t="s">
        <v>343</v>
      </c>
      <c r="W497" t="s">
        <v>45</v>
      </c>
      <c r="X497" t="s">
        <v>45</v>
      </c>
      <c r="Y497" t="s">
        <v>45</v>
      </c>
      <c r="Z497" t="s">
        <v>74</v>
      </c>
      <c r="AE497" s="7">
        <v>46224</v>
      </c>
      <c r="AF497">
        <v>2</v>
      </c>
      <c r="AH497" t="s">
        <v>75</v>
      </c>
      <c r="AI497">
        <v>1</v>
      </c>
      <c r="AJ497" s="9"/>
      <c r="AK497" t="s">
        <v>74</v>
      </c>
      <c r="AN497" t="s">
        <v>86</v>
      </c>
      <c r="AO497" t="s">
        <v>45</v>
      </c>
      <c r="AP497">
        <v>5</v>
      </c>
      <c r="AQ497" t="s">
        <v>45</v>
      </c>
      <c r="AR497" s="18" t="str">
        <f>IFERROR(VLOOKUP(K497,[1]POP!$F:$J,1,0),M497)</f>
        <v>FOTOKOL</v>
      </c>
      <c r="AS497" s="18" t="str">
        <f t="shared" si="36"/>
        <v>SOUERAM</v>
      </c>
      <c r="AT497" s="19">
        <f t="shared" si="39"/>
        <v>2</v>
      </c>
      <c r="AU497" s="19">
        <f t="shared" ca="1" si="38"/>
        <v>2</v>
      </c>
    </row>
    <row r="498" spans="1:47" x14ac:dyDescent="0.3">
      <c r="A498" t="s">
        <v>733</v>
      </c>
      <c r="B498" t="str">
        <f t="shared" si="35"/>
        <v>S29_2026</v>
      </c>
      <c r="C498" t="str">
        <f t="shared" si="37"/>
        <v>S29_2026</v>
      </c>
      <c r="F498">
        <v>6</v>
      </c>
      <c r="G498" t="s">
        <v>55</v>
      </c>
      <c r="H498" t="s">
        <v>85</v>
      </c>
      <c r="I498" t="s">
        <v>731</v>
      </c>
      <c r="J498" t="s">
        <v>731</v>
      </c>
      <c r="K498" t="s">
        <v>72</v>
      </c>
      <c r="L498" t="s">
        <v>72</v>
      </c>
      <c r="M498" t="s">
        <v>72</v>
      </c>
      <c r="N498" t="s">
        <v>45</v>
      </c>
      <c r="O498" t="s">
        <v>45</v>
      </c>
      <c r="P498">
        <v>2</v>
      </c>
      <c r="Q498" s="7">
        <v>46220</v>
      </c>
      <c r="R498" s="7">
        <v>46220</v>
      </c>
      <c r="S498" s="7">
        <v>46221</v>
      </c>
      <c r="T498" t="s">
        <v>45</v>
      </c>
      <c r="V498" t="s">
        <v>343</v>
      </c>
      <c r="W498" t="s">
        <v>45</v>
      </c>
      <c r="X498" t="s">
        <v>45</v>
      </c>
      <c r="Y498" t="s">
        <v>45</v>
      </c>
      <c r="Z498" t="s">
        <v>74</v>
      </c>
      <c r="AE498" s="7">
        <v>46224</v>
      </c>
      <c r="AF498">
        <v>2</v>
      </c>
      <c r="AH498" t="s">
        <v>75</v>
      </c>
      <c r="AI498">
        <v>1</v>
      </c>
      <c r="AJ498" s="9"/>
      <c r="AK498" t="s">
        <v>74</v>
      </c>
      <c r="AN498" t="s">
        <v>86</v>
      </c>
      <c r="AO498" t="s">
        <v>45</v>
      </c>
      <c r="AP498">
        <v>7</v>
      </c>
      <c r="AQ498" t="s">
        <v>45</v>
      </c>
      <c r="AR498" s="18" t="str">
        <f>IFERROR(VLOOKUP(K498,[1]POP!$F:$J,1,0),M498)</f>
        <v>FOTOKOL</v>
      </c>
      <c r="AS498" s="18" t="str">
        <f t="shared" si="36"/>
        <v>SOUERAM</v>
      </c>
      <c r="AT498" s="19">
        <f t="shared" si="39"/>
        <v>2</v>
      </c>
      <c r="AU498" s="19">
        <f t="shared" ca="1" si="38"/>
        <v>2</v>
      </c>
    </row>
    <row r="499" spans="1:47" x14ac:dyDescent="0.3">
      <c r="A499" t="s">
        <v>734</v>
      </c>
      <c r="B499" t="str">
        <f t="shared" si="35"/>
        <v>S29_2026</v>
      </c>
      <c r="C499" t="str">
        <f t="shared" si="37"/>
        <v>S29_2026</v>
      </c>
      <c r="F499">
        <v>7</v>
      </c>
      <c r="G499" t="s">
        <v>55</v>
      </c>
      <c r="H499" t="s">
        <v>85</v>
      </c>
      <c r="I499" t="s">
        <v>731</v>
      </c>
      <c r="J499" t="s">
        <v>731</v>
      </c>
      <c r="K499" t="s">
        <v>72</v>
      </c>
      <c r="L499" t="s">
        <v>72</v>
      </c>
      <c r="M499" t="s">
        <v>72</v>
      </c>
      <c r="N499" t="s">
        <v>45</v>
      </c>
      <c r="O499" t="s">
        <v>45</v>
      </c>
      <c r="P499">
        <v>2</v>
      </c>
      <c r="Q499" s="7">
        <v>46222</v>
      </c>
      <c r="R499" s="7">
        <v>46222</v>
      </c>
      <c r="S499" s="7">
        <v>46222</v>
      </c>
      <c r="T499" t="s">
        <v>45</v>
      </c>
      <c r="V499" t="s">
        <v>343</v>
      </c>
      <c r="W499" t="s">
        <v>45</v>
      </c>
      <c r="X499" t="s">
        <v>45</v>
      </c>
      <c r="Y499" t="s">
        <v>45</v>
      </c>
      <c r="Z499" t="s">
        <v>45</v>
      </c>
      <c r="AA499" s="7">
        <v>46222</v>
      </c>
      <c r="AB499" t="s">
        <v>48</v>
      </c>
      <c r="AC499" t="s">
        <v>74</v>
      </c>
      <c r="AE499" s="7">
        <v>46224</v>
      </c>
      <c r="AF499">
        <v>2</v>
      </c>
      <c r="AH499" t="s">
        <v>75</v>
      </c>
      <c r="AI499">
        <v>1</v>
      </c>
      <c r="AJ499" s="9"/>
      <c r="AK499" t="s">
        <v>74</v>
      </c>
      <c r="AN499" t="s">
        <v>45</v>
      </c>
      <c r="AO499" t="s">
        <v>86</v>
      </c>
      <c r="AP499"/>
      <c r="AQ499" t="s">
        <v>74</v>
      </c>
      <c r="AR499" s="18" t="str">
        <f>IFERROR(VLOOKUP(K499,[1]POP!$F:$J,1,0),M499)</f>
        <v>FOTOKOL</v>
      </c>
      <c r="AS499" s="18" t="str">
        <f t="shared" si="36"/>
        <v>SOUERAM</v>
      </c>
      <c r="AT499" s="19">
        <f t="shared" si="39"/>
        <v>2</v>
      </c>
      <c r="AU499" s="19">
        <f t="shared" ca="1" si="38"/>
        <v>2</v>
      </c>
    </row>
    <row r="500" spans="1:47" x14ac:dyDescent="0.3">
      <c r="A500" t="s">
        <v>735</v>
      </c>
      <c r="B500" t="str">
        <f t="shared" si="35"/>
        <v>S29_2026</v>
      </c>
      <c r="C500" t="str">
        <f t="shared" si="37"/>
        <v>S29_2026</v>
      </c>
      <c r="F500">
        <v>5</v>
      </c>
      <c r="G500" t="s">
        <v>40</v>
      </c>
      <c r="H500" t="s">
        <v>85</v>
      </c>
      <c r="I500" t="s">
        <v>731</v>
      </c>
      <c r="J500" t="s">
        <v>731</v>
      </c>
      <c r="K500" t="s">
        <v>72</v>
      </c>
      <c r="L500" t="s">
        <v>72</v>
      </c>
      <c r="M500" t="s">
        <v>72</v>
      </c>
      <c r="N500" t="s">
        <v>45</v>
      </c>
      <c r="O500" t="s">
        <v>45</v>
      </c>
      <c r="P500">
        <v>2</v>
      </c>
      <c r="Q500" s="7">
        <v>46222</v>
      </c>
      <c r="R500" s="7">
        <v>46222</v>
      </c>
      <c r="S500" s="7">
        <v>46222</v>
      </c>
      <c r="T500" t="s">
        <v>45</v>
      </c>
      <c r="V500" t="s">
        <v>343</v>
      </c>
      <c r="W500" t="s">
        <v>45</v>
      </c>
      <c r="X500" t="s">
        <v>45</v>
      </c>
      <c r="Y500" t="s">
        <v>45</v>
      </c>
      <c r="Z500" t="s">
        <v>45</v>
      </c>
      <c r="AE500" s="7">
        <v>46589</v>
      </c>
      <c r="AF500">
        <v>2</v>
      </c>
      <c r="AH500" t="s">
        <v>75</v>
      </c>
      <c r="AI500">
        <v>1</v>
      </c>
      <c r="AJ500" s="15"/>
      <c r="AN500" t="s">
        <v>45</v>
      </c>
      <c r="AO500" t="s">
        <v>86</v>
      </c>
      <c r="AP500"/>
      <c r="AQ500" t="s">
        <v>74</v>
      </c>
      <c r="AR500" s="18" t="str">
        <f>IFERROR(VLOOKUP(K500,[1]POP!$F:$J,1,0),M500)</f>
        <v>FOTOKOL</v>
      </c>
      <c r="AS500" s="18" t="str">
        <f t="shared" si="36"/>
        <v>SOUERAM</v>
      </c>
      <c r="AT500" s="19">
        <f t="shared" si="39"/>
        <v>2</v>
      </c>
      <c r="AU500" s="19">
        <f t="shared" ca="1" si="38"/>
        <v>2</v>
      </c>
    </row>
    <row r="501" spans="1:47" x14ac:dyDescent="0.3">
      <c r="A501" t="s">
        <v>736</v>
      </c>
      <c r="B501" t="str">
        <f t="shared" si="35"/>
        <v>S27_2026</v>
      </c>
      <c r="C501" t="str">
        <f t="shared" si="37"/>
        <v>S26_2026</v>
      </c>
      <c r="F501">
        <v>56</v>
      </c>
      <c r="G501" t="s">
        <v>55</v>
      </c>
      <c r="H501" t="s">
        <v>70</v>
      </c>
      <c r="I501" t="s">
        <v>737</v>
      </c>
      <c r="J501" t="s">
        <v>145</v>
      </c>
      <c r="K501" t="s">
        <v>146</v>
      </c>
      <c r="L501" t="s">
        <v>145</v>
      </c>
      <c r="M501" t="s">
        <v>146</v>
      </c>
      <c r="N501" t="s">
        <v>45</v>
      </c>
      <c r="O501" t="s">
        <v>45</v>
      </c>
      <c r="P501">
        <v>1</v>
      </c>
      <c r="Q501" s="7">
        <v>46201</v>
      </c>
      <c r="R501" s="7">
        <v>46203</v>
      </c>
      <c r="S501" s="7">
        <v>46205</v>
      </c>
      <c r="T501" t="s">
        <v>45</v>
      </c>
      <c r="V501" t="s">
        <v>147</v>
      </c>
      <c r="W501" t="s">
        <v>45</v>
      </c>
      <c r="X501" t="s">
        <v>45</v>
      </c>
      <c r="Y501" t="s">
        <v>45</v>
      </c>
      <c r="Z501" t="s">
        <v>45</v>
      </c>
      <c r="AB501" t="s">
        <v>62</v>
      </c>
      <c r="AC501" t="s">
        <v>74</v>
      </c>
      <c r="AE501" s="7">
        <v>46207</v>
      </c>
      <c r="AF501">
        <v>2</v>
      </c>
      <c r="AH501" t="s">
        <v>75</v>
      </c>
      <c r="AI501">
        <v>1</v>
      </c>
      <c r="AJ501" s="15"/>
      <c r="AK501" t="s">
        <v>74</v>
      </c>
      <c r="AN501" t="s">
        <v>45</v>
      </c>
      <c r="AO501" t="s">
        <v>86</v>
      </c>
      <c r="AP501"/>
      <c r="AQ501" t="s">
        <v>74</v>
      </c>
      <c r="AR501" s="18" t="str">
        <f>IFERROR(VLOOKUP(K501,[1]POP!$F:$J,1,0),M501)</f>
        <v>KOLOFATA</v>
      </c>
      <c r="AS501" s="18" t="str">
        <f t="shared" si="36"/>
        <v>AMCHIDE</v>
      </c>
      <c r="AT501" s="19">
        <f t="shared" si="39"/>
        <v>2</v>
      </c>
      <c r="AU501" s="19">
        <f t="shared" ca="1" si="38"/>
        <v>2</v>
      </c>
    </row>
    <row r="502" spans="1:47" x14ac:dyDescent="0.3">
      <c r="A502" t="s">
        <v>738</v>
      </c>
      <c r="B502" t="str">
        <f t="shared" si="35"/>
        <v>S29_2026</v>
      </c>
      <c r="C502" t="str">
        <f t="shared" si="37"/>
        <v>S29_2026</v>
      </c>
      <c r="F502">
        <v>30</v>
      </c>
      <c r="G502" t="s">
        <v>40</v>
      </c>
      <c r="H502" t="s">
        <v>77</v>
      </c>
      <c r="I502" t="s">
        <v>739</v>
      </c>
      <c r="J502" t="s">
        <v>740</v>
      </c>
      <c r="K502" t="s">
        <v>146</v>
      </c>
      <c r="L502" t="s">
        <v>741</v>
      </c>
      <c r="M502" t="s">
        <v>146</v>
      </c>
      <c r="N502" t="s">
        <v>45</v>
      </c>
      <c r="O502" t="s">
        <v>45</v>
      </c>
      <c r="P502">
        <v>3</v>
      </c>
      <c r="Q502" s="7">
        <v>46220</v>
      </c>
      <c r="R502" s="7">
        <v>46220</v>
      </c>
      <c r="S502" s="7">
        <v>46220</v>
      </c>
      <c r="T502" t="s">
        <v>45</v>
      </c>
      <c r="V502" t="s">
        <v>742</v>
      </c>
      <c r="W502" t="s">
        <v>45</v>
      </c>
      <c r="X502" t="s">
        <v>45</v>
      </c>
      <c r="Y502" t="s">
        <v>45</v>
      </c>
      <c r="Z502" t="s">
        <v>45</v>
      </c>
      <c r="AA502" s="7">
        <v>46220</v>
      </c>
      <c r="AB502" t="s">
        <v>48</v>
      </c>
      <c r="AC502" t="s">
        <v>45</v>
      </c>
      <c r="AD502" t="s">
        <v>48</v>
      </c>
      <c r="AF502">
        <v>2</v>
      </c>
      <c r="AH502" t="s">
        <v>75</v>
      </c>
      <c r="AI502">
        <v>1</v>
      </c>
      <c r="AJ502" s="15"/>
      <c r="AK502" t="s">
        <v>74</v>
      </c>
      <c r="AN502" t="s">
        <v>663</v>
      </c>
      <c r="AO502"/>
      <c r="AP502"/>
      <c r="AQ502"/>
      <c r="AR502" s="18" t="str">
        <f>IFERROR(VLOOKUP(K502,[1]POP!$F:$J,1,0),M502)</f>
        <v>KOLOFATA</v>
      </c>
      <c r="AS502" s="18" t="str">
        <f t="shared" si="36"/>
        <v>KOLOFATA 2</v>
      </c>
      <c r="AT502" s="19">
        <f t="shared" si="39"/>
        <v>2</v>
      </c>
      <c r="AU502" s="19">
        <f t="shared" ca="1" si="38"/>
        <v>2</v>
      </c>
    </row>
    <row r="503" spans="1:47" x14ac:dyDescent="0.3">
      <c r="A503" t="s">
        <v>743</v>
      </c>
      <c r="B503" t="str">
        <f t="shared" si="35"/>
        <v>S28_2026</v>
      </c>
      <c r="C503" t="str">
        <f t="shared" si="37"/>
        <v>S27_2026</v>
      </c>
      <c r="F503">
        <v>5</v>
      </c>
      <c r="G503" t="s">
        <v>55</v>
      </c>
      <c r="H503" t="s">
        <v>85</v>
      </c>
      <c r="I503" t="s">
        <v>744</v>
      </c>
      <c r="J503" t="s">
        <v>745</v>
      </c>
      <c r="K503" t="s">
        <v>746</v>
      </c>
      <c r="L503" t="s">
        <v>745</v>
      </c>
      <c r="M503" t="s">
        <v>746</v>
      </c>
      <c r="N503" t="s">
        <v>45</v>
      </c>
      <c r="O503" t="s">
        <v>45</v>
      </c>
      <c r="P503">
        <v>3</v>
      </c>
      <c r="Q503" s="7">
        <v>46208</v>
      </c>
      <c r="R503" s="7">
        <v>46212</v>
      </c>
      <c r="S503" s="7">
        <v>46212</v>
      </c>
      <c r="T503" t="s">
        <v>74</v>
      </c>
      <c r="V503" t="s">
        <v>747</v>
      </c>
      <c r="W503" t="s">
        <v>45</v>
      </c>
      <c r="X503" t="s">
        <v>45</v>
      </c>
      <c r="Y503" t="s">
        <v>45</v>
      </c>
      <c r="Z503" t="s">
        <v>45</v>
      </c>
      <c r="AC503" t="s">
        <v>74</v>
      </c>
      <c r="AF503">
        <v>3</v>
      </c>
      <c r="AH503" t="s">
        <v>75</v>
      </c>
      <c r="AI503">
        <v>2</v>
      </c>
      <c r="AJ503" s="15"/>
      <c r="AK503" t="s">
        <v>86</v>
      </c>
      <c r="AN503" t="s">
        <v>663</v>
      </c>
      <c r="AO503"/>
      <c r="AP503"/>
      <c r="AQ503"/>
      <c r="AR503" s="18" t="str">
        <f>IFERROR(VLOOKUP(K503,[1]POP!$F:$J,1,0),M503)</f>
        <v>MORA</v>
      </c>
      <c r="AS503" s="18" t="str">
        <f t="shared" si="36"/>
        <v>KOSSA</v>
      </c>
      <c r="AT503" s="19">
        <f t="shared" si="39"/>
        <v>3</v>
      </c>
      <c r="AU503" s="19">
        <f t="shared" ca="1" si="38"/>
        <v>2</v>
      </c>
    </row>
    <row r="504" spans="1:47" x14ac:dyDescent="0.3">
      <c r="A504" t="s">
        <v>748</v>
      </c>
      <c r="B504" t="str">
        <f t="shared" si="35"/>
        <v>S29_2026</v>
      </c>
      <c r="C504" t="str">
        <f t="shared" si="37"/>
        <v>S29_2026</v>
      </c>
      <c r="F504">
        <v>12</v>
      </c>
      <c r="G504" t="s">
        <v>55</v>
      </c>
      <c r="H504" t="s">
        <v>85</v>
      </c>
      <c r="I504" t="s">
        <v>749</v>
      </c>
      <c r="J504" t="s">
        <v>740</v>
      </c>
      <c r="K504" t="s">
        <v>146</v>
      </c>
      <c r="L504" t="s">
        <v>741</v>
      </c>
      <c r="M504" t="s">
        <v>146</v>
      </c>
      <c r="N504" t="s">
        <v>45</v>
      </c>
      <c r="O504" t="s">
        <v>45</v>
      </c>
      <c r="P504">
        <v>2</v>
      </c>
      <c r="Q504" s="7">
        <v>46221</v>
      </c>
      <c r="R504" s="7">
        <v>46221</v>
      </c>
      <c r="S504" s="7">
        <v>46221</v>
      </c>
      <c r="T504" t="s">
        <v>45</v>
      </c>
      <c r="V504" t="s">
        <v>742</v>
      </c>
      <c r="W504" t="s">
        <v>45</v>
      </c>
      <c r="X504" t="s">
        <v>45</v>
      </c>
      <c r="Y504" t="s">
        <v>45</v>
      </c>
      <c r="Z504" t="s">
        <v>45</v>
      </c>
      <c r="AA504" s="7">
        <v>46221</v>
      </c>
      <c r="AB504" t="s">
        <v>48</v>
      </c>
      <c r="AC504" t="s">
        <v>45</v>
      </c>
      <c r="AD504" t="s">
        <v>48</v>
      </c>
      <c r="AF504">
        <v>2</v>
      </c>
      <c r="AH504" t="s">
        <v>75</v>
      </c>
      <c r="AI504">
        <v>1</v>
      </c>
      <c r="AJ504" s="15"/>
      <c r="AK504" t="s">
        <v>74</v>
      </c>
      <c r="AN504" t="s">
        <v>663</v>
      </c>
      <c r="AO504"/>
      <c r="AP504"/>
      <c r="AQ504"/>
      <c r="AR504" s="18" t="str">
        <f>IFERROR(VLOOKUP(K504,[1]POP!$F:$J,1,0),M504)</f>
        <v>KOLOFATA</v>
      </c>
      <c r="AS504" s="18" t="str">
        <f t="shared" si="36"/>
        <v>KOLOFATA 2</v>
      </c>
      <c r="AT504" s="19">
        <f t="shared" si="39"/>
        <v>2</v>
      </c>
      <c r="AU504" s="19">
        <f t="shared" ca="1" si="38"/>
        <v>2</v>
      </c>
    </row>
    <row r="505" spans="1:47" x14ac:dyDescent="0.3">
      <c r="A505" t="s">
        <v>750</v>
      </c>
      <c r="B505" t="str">
        <f t="shared" si="35"/>
        <v>S29_2026</v>
      </c>
      <c r="C505" t="str">
        <f t="shared" si="37"/>
        <v>S29_2026</v>
      </c>
      <c r="F505">
        <v>9</v>
      </c>
      <c r="G505" t="s">
        <v>55</v>
      </c>
      <c r="H505" t="s">
        <v>85</v>
      </c>
      <c r="I505" t="s">
        <v>751</v>
      </c>
      <c r="J505" t="s">
        <v>752</v>
      </c>
      <c r="K505" t="s">
        <v>146</v>
      </c>
      <c r="L505" t="s">
        <v>752</v>
      </c>
      <c r="M505" t="s">
        <v>146</v>
      </c>
      <c r="N505" t="s">
        <v>45</v>
      </c>
      <c r="O505" t="s">
        <v>45</v>
      </c>
      <c r="P505">
        <v>3</v>
      </c>
      <c r="Q505" s="7">
        <v>46222</v>
      </c>
      <c r="R505" s="7">
        <v>46222</v>
      </c>
      <c r="S505" s="7">
        <v>46222</v>
      </c>
      <c r="T505" t="s">
        <v>45</v>
      </c>
      <c r="V505" t="s">
        <v>753</v>
      </c>
      <c r="W505" t="s">
        <v>45</v>
      </c>
      <c r="X505" t="s">
        <v>45</v>
      </c>
      <c r="Y505" t="s">
        <v>45</v>
      </c>
      <c r="Z505" t="s">
        <v>45</v>
      </c>
      <c r="AA505" s="7">
        <v>46222</v>
      </c>
      <c r="AB505" t="s">
        <v>48</v>
      </c>
      <c r="AC505" t="s">
        <v>45</v>
      </c>
      <c r="AD505" t="s">
        <v>48</v>
      </c>
      <c r="AF505">
        <v>2</v>
      </c>
      <c r="AH505" t="s">
        <v>75</v>
      </c>
      <c r="AI505">
        <v>1</v>
      </c>
      <c r="AJ505" s="15"/>
      <c r="AK505" t="s">
        <v>74</v>
      </c>
      <c r="AN505" t="s">
        <v>663</v>
      </c>
      <c r="AO505"/>
      <c r="AP505"/>
      <c r="AQ505"/>
      <c r="AR505" s="18" t="str">
        <f>IFERROR(VLOOKUP(K505,[1]POP!$F:$J,1,0),M505)</f>
        <v>KOLOFATA</v>
      </c>
      <c r="AS505" s="18" t="str">
        <f t="shared" si="36"/>
        <v>LIMANI</v>
      </c>
      <c r="AT505" s="19">
        <f t="shared" si="39"/>
        <v>2</v>
      </c>
      <c r="AU505" s="19">
        <f t="shared" ca="1" si="38"/>
        <v>2</v>
      </c>
    </row>
    <row r="506" spans="1:47" x14ac:dyDescent="0.3">
      <c r="A506" t="s">
        <v>754</v>
      </c>
      <c r="B506" t="str">
        <f t="shared" si="35"/>
        <v>S29_2026</v>
      </c>
      <c r="C506" t="str">
        <f t="shared" si="37"/>
        <v>S29_2026</v>
      </c>
      <c r="F506">
        <v>7</v>
      </c>
      <c r="G506" t="s">
        <v>40</v>
      </c>
      <c r="H506" t="s">
        <v>85</v>
      </c>
      <c r="I506" t="s">
        <v>739</v>
      </c>
      <c r="J506" t="s">
        <v>740</v>
      </c>
      <c r="K506" t="s">
        <v>146</v>
      </c>
      <c r="L506" t="s">
        <v>741</v>
      </c>
      <c r="M506" t="s">
        <v>146</v>
      </c>
      <c r="N506" t="s">
        <v>45</v>
      </c>
      <c r="O506" t="s">
        <v>45</v>
      </c>
      <c r="P506">
        <v>3</v>
      </c>
      <c r="Q506" s="7">
        <v>46222</v>
      </c>
      <c r="R506" s="7">
        <v>46222</v>
      </c>
      <c r="S506" s="7">
        <v>46222</v>
      </c>
      <c r="T506" t="s">
        <v>45</v>
      </c>
      <c r="V506" t="s">
        <v>742</v>
      </c>
      <c r="W506" t="s">
        <v>45</v>
      </c>
      <c r="X506" t="s">
        <v>45</v>
      </c>
      <c r="Y506" t="s">
        <v>45</v>
      </c>
      <c r="Z506" t="s">
        <v>45</v>
      </c>
      <c r="AA506" s="7">
        <v>46222</v>
      </c>
      <c r="AB506" t="s">
        <v>48</v>
      </c>
      <c r="AC506" t="s">
        <v>45</v>
      </c>
      <c r="AD506" t="s">
        <v>48</v>
      </c>
      <c r="AF506">
        <v>2</v>
      </c>
      <c r="AH506" t="s">
        <v>75</v>
      </c>
      <c r="AI506">
        <v>1</v>
      </c>
      <c r="AJ506" s="15"/>
      <c r="AK506" t="s">
        <v>74</v>
      </c>
      <c r="AN506" t="s">
        <v>663</v>
      </c>
      <c r="AO506"/>
      <c r="AP506"/>
      <c r="AQ506"/>
      <c r="AR506" s="18" t="str">
        <f>IFERROR(VLOOKUP(K506,[1]POP!$F:$J,1,0),M506)</f>
        <v>KOLOFATA</v>
      </c>
      <c r="AS506" s="18" t="str">
        <f t="shared" si="36"/>
        <v>KOLOFATA 2</v>
      </c>
      <c r="AT506" s="19">
        <f t="shared" si="39"/>
        <v>2</v>
      </c>
      <c r="AU506" s="19">
        <f t="shared" ca="1" si="38"/>
        <v>2</v>
      </c>
    </row>
    <row r="507" spans="1:47" x14ac:dyDescent="0.3">
      <c r="A507" t="s">
        <v>755</v>
      </c>
      <c r="B507" t="str">
        <f t="shared" si="35"/>
        <v>S30_2026</v>
      </c>
      <c r="C507" t="str">
        <f t="shared" si="37"/>
        <v>S29_2026</v>
      </c>
      <c r="F507">
        <v>47</v>
      </c>
      <c r="G507" t="s">
        <v>55</v>
      </c>
      <c r="H507" t="s">
        <v>756</v>
      </c>
      <c r="I507" t="s">
        <v>757</v>
      </c>
      <c r="J507" t="s">
        <v>72</v>
      </c>
      <c r="K507" t="s">
        <v>72</v>
      </c>
      <c r="L507" t="s">
        <v>72</v>
      </c>
      <c r="M507" t="s">
        <v>72</v>
      </c>
      <c r="N507" t="s">
        <v>45</v>
      </c>
      <c r="O507" t="s">
        <v>45</v>
      </c>
      <c r="P507">
        <v>2</v>
      </c>
      <c r="Q507" s="7">
        <v>46222</v>
      </c>
      <c r="R507" s="7">
        <v>46222</v>
      </c>
      <c r="S507" s="7">
        <v>46223</v>
      </c>
      <c r="T507" t="s">
        <v>45</v>
      </c>
      <c r="V507" t="s">
        <v>343</v>
      </c>
      <c r="W507" t="s">
        <v>45</v>
      </c>
      <c r="X507" t="s">
        <v>45</v>
      </c>
      <c r="Y507" t="s">
        <v>45</v>
      </c>
      <c r="Z507" t="s">
        <v>45</v>
      </c>
      <c r="AE507" s="7">
        <v>46224</v>
      </c>
      <c r="AF507">
        <v>2</v>
      </c>
      <c r="AH507" t="s">
        <v>75</v>
      </c>
      <c r="AI507">
        <v>1</v>
      </c>
      <c r="AJ507" s="15"/>
      <c r="AK507" t="s">
        <v>74</v>
      </c>
      <c r="AN507" t="s">
        <v>663</v>
      </c>
      <c r="AO507"/>
      <c r="AP507"/>
      <c r="AQ507"/>
      <c r="AR507" s="18" t="str">
        <f>IFERROR(VLOOKUP(K507,[1]POP!$F:$J,1,0),M507)</f>
        <v>FOTOKOL</v>
      </c>
      <c r="AS507" s="18" t="str">
        <f t="shared" si="36"/>
        <v>FOTOKOL</v>
      </c>
      <c r="AT507" s="19">
        <f t="shared" si="39"/>
        <v>2</v>
      </c>
      <c r="AU507" s="19">
        <f t="shared" ca="1" si="38"/>
        <v>2</v>
      </c>
    </row>
    <row r="508" spans="1:47" x14ac:dyDescent="0.3">
      <c r="A508" t="s">
        <v>758</v>
      </c>
      <c r="B508" t="str">
        <f t="shared" si="35"/>
        <v>S30_2026</v>
      </c>
      <c r="C508" t="str">
        <f t="shared" si="37"/>
        <v>S30_2026</v>
      </c>
      <c r="F508">
        <v>40</v>
      </c>
      <c r="G508" t="s">
        <v>40</v>
      </c>
      <c r="H508" t="s">
        <v>77</v>
      </c>
      <c r="I508" t="s">
        <v>731</v>
      </c>
      <c r="J508" t="s">
        <v>72</v>
      </c>
      <c r="K508" t="s">
        <v>72</v>
      </c>
      <c r="L508" t="s">
        <v>72</v>
      </c>
      <c r="M508" t="s">
        <v>72</v>
      </c>
      <c r="N508" t="s">
        <v>45</v>
      </c>
      <c r="O508" t="s">
        <v>45</v>
      </c>
      <c r="P508">
        <v>2</v>
      </c>
      <c r="Q508" s="7">
        <v>46223</v>
      </c>
      <c r="R508" s="7">
        <v>46223</v>
      </c>
      <c r="S508" s="7">
        <v>46223</v>
      </c>
      <c r="T508" t="s">
        <v>45</v>
      </c>
      <c r="V508" t="s">
        <v>343</v>
      </c>
      <c r="W508" t="s">
        <v>45</v>
      </c>
      <c r="X508" t="s">
        <v>45</v>
      </c>
      <c r="Y508" t="s">
        <v>45</v>
      </c>
      <c r="Z508" t="s">
        <v>45</v>
      </c>
      <c r="AA508" s="7">
        <v>46222</v>
      </c>
      <c r="AB508" t="s">
        <v>62</v>
      </c>
      <c r="AC508" t="s">
        <v>74</v>
      </c>
      <c r="AE508" s="7">
        <v>46224</v>
      </c>
      <c r="AF508">
        <v>2</v>
      </c>
      <c r="AH508" t="s">
        <v>75</v>
      </c>
      <c r="AI508">
        <v>1</v>
      </c>
      <c r="AJ508" s="15"/>
      <c r="AK508" t="s">
        <v>74</v>
      </c>
      <c r="AN508" t="s">
        <v>663</v>
      </c>
      <c r="AO508"/>
      <c r="AP508"/>
      <c r="AQ508"/>
      <c r="AR508" s="18" t="str">
        <f>IFERROR(VLOOKUP(K508,[1]POP!$F:$J,1,0),M508)</f>
        <v>FOTOKOL</v>
      </c>
      <c r="AS508" s="18" t="str">
        <f t="shared" si="36"/>
        <v>FOTOKOL</v>
      </c>
      <c r="AT508" s="19">
        <f t="shared" si="39"/>
        <v>2</v>
      </c>
      <c r="AU508" s="19">
        <f t="shared" ca="1" si="38"/>
        <v>2</v>
      </c>
    </row>
    <row r="509" spans="1:47" x14ac:dyDescent="0.3">
      <c r="A509" t="s">
        <v>759</v>
      </c>
      <c r="B509" t="str">
        <f t="shared" si="35"/>
        <v>S29_2026</v>
      </c>
      <c r="C509" t="str">
        <f t="shared" si="37"/>
        <v>S29_2026</v>
      </c>
      <c r="E509" t="s">
        <v>760</v>
      </c>
      <c r="F509">
        <v>20</v>
      </c>
      <c r="G509" t="s">
        <v>40</v>
      </c>
      <c r="H509" t="s">
        <v>682</v>
      </c>
      <c r="I509" t="s">
        <v>666</v>
      </c>
      <c r="J509" t="s">
        <v>657</v>
      </c>
      <c r="K509" t="s">
        <v>116</v>
      </c>
      <c r="L509" t="s">
        <v>659</v>
      </c>
      <c r="M509" t="s">
        <v>116</v>
      </c>
      <c r="N509" t="s">
        <v>663</v>
      </c>
      <c r="O509" t="s">
        <v>663</v>
      </c>
      <c r="P509">
        <v>2</v>
      </c>
      <c r="Q509" s="7">
        <v>46219</v>
      </c>
      <c r="R509" s="7">
        <v>46219</v>
      </c>
      <c r="S509" s="7">
        <v>46219</v>
      </c>
      <c r="T509" t="s">
        <v>663</v>
      </c>
      <c r="V509" t="s">
        <v>662</v>
      </c>
      <c r="W509" t="s">
        <v>663</v>
      </c>
      <c r="X509" t="s">
        <v>663</v>
      </c>
      <c r="Y509" t="s">
        <v>663</v>
      </c>
      <c r="Z509" t="s">
        <v>663</v>
      </c>
      <c r="AB509" t="s">
        <v>48</v>
      </c>
      <c r="AF509">
        <v>2</v>
      </c>
      <c r="AH509" t="s">
        <v>75</v>
      </c>
      <c r="AI509">
        <v>1</v>
      </c>
      <c r="AJ509" s="15"/>
      <c r="AK509" t="s">
        <v>74</v>
      </c>
      <c r="AN509" t="s">
        <v>663</v>
      </c>
      <c r="AO509"/>
      <c r="AP509"/>
      <c r="AQ509"/>
      <c r="AR509" s="18" t="str">
        <f>IFERROR(VLOOKUP(K509,[1]POP!$F:$J,1,0),M509)</f>
        <v>MAKARY</v>
      </c>
      <c r="AS509" s="18" t="str">
        <f t="shared" si="36"/>
        <v xml:space="preserve">NGOUMA </v>
      </c>
      <c r="AT509" s="19">
        <f t="shared" si="39"/>
        <v>2</v>
      </c>
      <c r="AU509" s="19">
        <f t="shared" ca="1" si="38"/>
        <v>2</v>
      </c>
    </row>
    <row r="510" spans="1:47" x14ac:dyDescent="0.3">
      <c r="A510" t="s">
        <v>761</v>
      </c>
      <c r="B510" t="str">
        <f t="shared" si="35"/>
        <v>S29_2026</v>
      </c>
      <c r="C510" t="str">
        <f t="shared" si="37"/>
        <v>S29_2026</v>
      </c>
      <c r="E510" t="s">
        <v>760</v>
      </c>
      <c r="F510">
        <v>12</v>
      </c>
      <c r="G510" t="s">
        <v>55</v>
      </c>
      <c r="H510" t="s">
        <v>673</v>
      </c>
      <c r="I510" t="s">
        <v>666</v>
      </c>
      <c r="J510" t="s">
        <v>657</v>
      </c>
      <c r="K510" t="s">
        <v>116</v>
      </c>
      <c r="L510" t="s">
        <v>659</v>
      </c>
      <c r="M510" t="s">
        <v>116</v>
      </c>
      <c r="N510" t="s">
        <v>663</v>
      </c>
      <c r="O510" t="s">
        <v>117</v>
      </c>
      <c r="P510">
        <v>2</v>
      </c>
      <c r="Q510" s="7">
        <v>46219</v>
      </c>
      <c r="R510" s="7">
        <v>46219</v>
      </c>
      <c r="S510" s="7">
        <v>46219</v>
      </c>
      <c r="T510" t="s">
        <v>117</v>
      </c>
      <c r="V510" t="s">
        <v>662</v>
      </c>
      <c r="W510" t="s">
        <v>663</v>
      </c>
      <c r="X510" t="s">
        <v>663</v>
      </c>
      <c r="Y510" t="s">
        <v>663</v>
      </c>
      <c r="Z510" t="s">
        <v>663</v>
      </c>
      <c r="AB510" t="s">
        <v>48</v>
      </c>
      <c r="AF510">
        <v>2</v>
      </c>
      <c r="AH510" t="s">
        <v>75</v>
      </c>
      <c r="AI510">
        <v>1</v>
      </c>
      <c r="AJ510" s="15"/>
      <c r="AK510" t="s">
        <v>74</v>
      </c>
      <c r="AN510" t="s">
        <v>663</v>
      </c>
      <c r="AO510"/>
      <c r="AP510"/>
      <c r="AQ510"/>
      <c r="AR510" s="18" t="str">
        <f>IFERROR(VLOOKUP(K510,[1]POP!$F:$J,1,0),M510)</f>
        <v>MAKARY</v>
      </c>
      <c r="AS510" s="18" t="str">
        <f t="shared" si="36"/>
        <v xml:space="preserve">NGOUMA </v>
      </c>
      <c r="AT510" s="19">
        <f t="shared" si="39"/>
        <v>2</v>
      </c>
      <c r="AU510" s="19">
        <f t="shared" ca="1" si="38"/>
        <v>2</v>
      </c>
    </row>
    <row r="511" spans="1:47" x14ac:dyDescent="0.3">
      <c r="A511" t="s">
        <v>762</v>
      </c>
      <c r="B511" t="str">
        <f t="shared" si="35"/>
        <v>S29_2026</v>
      </c>
      <c r="C511" t="str">
        <f t="shared" si="37"/>
        <v>S29_2026</v>
      </c>
      <c r="E511" t="s">
        <v>760</v>
      </c>
      <c r="F511">
        <v>19</v>
      </c>
      <c r="G511" t="s">
        <v>40</v>
      </c>
      <c r="H511" t="s">
        <v>682</v>
      </c>
      <c r="I511" t="s">
        <v>666</v>
      </c>
      <c r="J511" t="s">
        <v>657</v>
      </c>
      <c r="K511" t="s">
        <v>116</v>
      </c>
      <c r="L511" t="s">
        <v>659</v>
      </c>
      <c r="M511" t="s">
        <v>116</v>
      </c>
      <c r="N511" t="s">
        <v>663</v>
      </c>
      <c r="O511" t="s">
        <v>663</v>
      </c>
      <c r="P511">
        <v>2</v>
      </c>
      <c r="Q511" s="7">
        <v>46219</v>
      </c>
      <c r="R511" s="7">
        <v>46219</v>
      </c>
      <c r="S511" s="7">
        <v>46219</v>
      </c>
      <c r="T511" t="s">
        <v>663</v>
      </c>
      <c r="V511" t="s">
        <v>667</v>
      </c>
      <c r="W511" t="s">
        <v>663</v>
      </c>
      <c r="X511" t="s">
        <v>663</v>
      </c>
      <c r="Y511" t="s">
        <v>663</v>
      </c>
      <c r="Z511" t="s">
        <v>663</v>
      </c>
      <c r="AB511" t="s">
        <v>48</v>
      </c>
      <c r="AF511">
        <v>2</v>
      </c>
      <c r="AH511" t="s">
        <v>75</v>
      </c>
      <c r="AI511">
        <v>1</v>
      </c>
      <c r="AJ511" s="15"/>
      <c r="AK511" t="s">
        <v>74</v>
      </c>
      <c r="AN511" t="s">
        <v>663</v>
      </c>
      <c r="AO511"/>
      <c r="AP511"/>
      <c r="AQ511"/>
      <c r="AR511" s="18" t="str">
        <f>IFERROR(VLOOKUP(K511,[1]POP!$F:$J,1,0),M511)</f>
        <v>MAKARY</v>
      </c>
      <c r="AS511" s="18" t="str">
        <f t="shared" si="36"/>
        <v xml:space="preserve">NGOUMA </v>
      </c>
      <c r="AT511" s="19">
        <f t="shared" si="39"/>
        <v>2</v>
      </c>
      <c r="AU511" s="19">
        <f t="shared" ca="1" si="38"/>
        <v>2</v>
      </c>
    </row>
    <row r="512" spans="1:47" x14ac:dyDescent="0.3">
      <c r="A512" t="s">
        <v>763</v>
      </c>
      <c r="B512" t="str">
        <f t="shared" si="35"/>
        <v>S29_2026</v>
      </c>
      <c r="C512" t="str">
        <f t="shared" si="37"/>
        <v>S29_2026</v>
      </c>
      <c r="E512" t="s">
        <v>539</v>
      </c>
      <c r="F512">
        <v>31</v>
      </c>
      <c r="G512" t="s">
        <v>40</v>
      </c>
      <c r="H512" t="s">
        <v>136</v>
      </c>
      <c r="I512" t="s">
        <v>371</v>
      </c>
      <c r="J512" t="s">
        <v>133</v>
      </c>
      <c r="K512" t="s">
        <v>116</v>
      </c>
      <c r="L512" t="s">
        <v>133</v>
      </c>
      <c r="M512" t="s">
        <v>116</v>
      </c>
      <c r="N512" t="s">
        <v>663</v>
      </c>
      <c r="O512" t="s">
        <v>663</v>
      </c>
      <c r="P512">
        <v>3</v>
      </c>
      <c r="Q512" s="7">
        <v>46219</v>
      </c>
      <c r="R512" s="7">
        <v>46219</v>
      </c>
      <c r="S512" s="7">
        <v>46219</v>
      </c>
      <c r="T512" t="s">
        <v>663</v>
      </c>
      <c r="V512" t="s">
        <v>360</v>
      </c>
      <c r="W512" t="s">
        <v>663</v>
      </c>
      <c r="X512" t="s">
        <v>663</v>
      </c>
      <c r="Y512" t="s">
        <v>663</v>
      </c>
      <c r="Z512" t="s">
        <v>663</v>
      </c>
      <c r="AF512">
        <v>2</v>
      </c>
      <c r="AH512" t="s">
        <v>75</v>
      </c>
      <c r="AI512">
        <v>1</v>
      </c>
      <c r="AJ512" s="15"/>
      <c r="AK512" t="s">
        <v>668</v>
      </c>
      <c r="AN512" t="s">
        <v>45</v>
      </c>
      <c r="AO512" t="s">
        <v>86</v>
      </c>
      <c r="AP512">
        <v>3</v>
      </c>
      <c r="AQ512" t="s">
        <v>74</v>
      </c>
      <c r="AR512" s="18" t="str">
        <f>IFERROR(VLOOKUP(K512,[1]POP!$F:$J,1,0),M512)</f>
        <v>MAKARY</v>
      </c>
      <c r="AS512" s="18" t="str">
        <f t="shared" si="36"/>
        <v>NGOUMA</v>
      </c>
      <c r="AT512" s="19">
        <f t="shared" si="39"/>
        <v>2</v>
      </c>
      <c r="AU512" s="19">
        <f t="shared" ca="1" si="38"/>
        <v>2</v>
      </c>
    </row>
    <row r="513" spans="1:47" x14ac:dyDescent="0.3">
      <c r="A513" t="s">
        <v>764</v>
      </c>
      <c r="B513" t="str">
        <f t="shared" si="35"/>
        <v>S29_2026</v>
      </c>
      <c r="C513" t="str">
        <f t="shared" si="37"/>
        <v>S29_2026</v>
      </c>
      <c r="E513" t="s">
        <v>539</v>
      </c>
      <c r="F513">
        <v>4</v>
      </c>
      <c r="G513" t="s">
        <v>55</v>
      </c>
      <c r="H513" t="s">
        <v>111</v>
      </c>
      <c r="I513" t="s">
        <v>371</v>
      </c>
      <c r="J513" t="s">
        <v>133</v>
      </c>
      <c r="K513" t="s">
        <v>116</v>
      </c>
      <c r="L513" t="s">
        <v>133</v>
      </c>
      <c r="M513" t="s">
        <v>116</v>
      </c>
      <c r="N513" t="s">
        <v>663</v>
      </c>
      <c r="O513" t="s">
        <v>663</v>
      </c>
      <c r="P513">
        <v>3</v>
      </c>
      <c r="Q513" s="7">
        <v>46219</v>
      </c>
      <c r="R513" s="7">
        <v>46219</v>
      </c>
      <c r="S513" s="7">
        <v>46219</v>
      </c>
      <c r="T513" t="s">
        <v>663</v>
      </c>
      <c r="V513" t="s">
        <v>360</v>
      </c>
      <c r="W513" t="s">
        <v>663</v>
      </c>
      <c r="X513" t="s">
        <v>663</v>
      </c>
      <c r="Y513" t="s">
        <v>663</v>
      </c>
      <c r="Z513" t="s">
        <v>663</v>
      </c>
      <c r="AF513">
        <v>2</v>
      </c>
      <c r="AH513" t="s">
        <v>75</v>
      </c>
      <c r="AI513">
        <v>1</v>
      </c>
      <c r="AJ513" s="15"/>
      <c r="AK513" t="s">
        <v>668</v>
      </c>
      <c r="AN513" t="s">
        <v>86</v>
      </c>
      <c r="AO513" t="s">
        <v>86</v>
      </c>
      <c r="AP513">
        <v>8</v>
      </c>
      <c r="AQ513" t="s">
        <v>74</v>
      </c>
      <c r="AR513" s="18" t="str">
        <f>IFERROR(VLOOKUP(K513,[1]POP!$F:$J,1,0),M513)</f>
        <v>MAKARY</v>
      </c>
      <c r="AS513" s="18" t="str">
        <f t="shared" si="36"/>
        <v>NGOUMA</v>
      </c>
      <c r="AT513" s="19">
        <f t="shared" si="39"/>
        <v>2</v>
      </c>
      <c r="AU513" s="19">
        <f t="shared" ca="1" si="38"/>
        <v>2</v>
      </c>
    </row>
    <row r="514" spans="1:47" x14ac:dyDescent="0.3">
      <c r="A514" t="s">
        <v>765</v>
      </c>
      <c r="B514" t="str">
        <f t="shared" ref="B514:B577" si="40">"S"&amp;(IF(_xlfn.ISOWEEKNUM(S514)&gt;9,_xlfn.ISOWEEKNUM(S514),_xlfn.CONCAT("0",_xlfn.ISOWEEKNUM(S514))))&amp;"_"&amp;(YEAR(S514+26-(_xlfn.ISOWEEKNUM(S514))))</f>
        <v>S29_2026</v>
      </c>
      <c r="C514" t="str">
        <f t="shared" si="37"/>
        <v>S29_2026</v>
      </c>
      <c r="E514" t="s">
        <v>539</v>
      </c>
      <c r="F514">
        <v>18</v>
      </c>
      <c r="G514" t="s">
        <v>55</v>
      </c>
      <c r="H514" t="s">
        <v>678</v>
      </c>
      <c r="I514" t="s">
        <v>371</v>
      </c>
      <c r="J514" t="s">
        <v>133</v>
      </c>
      <c r="K514" t="s">
        <v>116</v>
      </c>
      <c r="L514" t="s">
        <v>133</v>
      </c>
      <c r="M514" t="s">
        <v>116</v>
      </c>
      <c r="N514" t="s">
        <v>663</v>
      </c>
      <c r="O514" t="s">
        <v>663</v>
      </c>
      <c r="P514">
        <v>3</v>
      </c>
      <c r="Q514" s="7">
        <v>46219</v>
      </c>
      <c r="R514" s="7">
        <v>46219</v>
      </c>
      <c r="S514" s="7">
        <v>46219</v>
      </c>
      <c r="T514" t="s">
        <v>663</v>
      </c>
      <c r="V514" t="s">
        <v>360</v>
      </c>
      <c r="W514" t="s">
        <v>663</v>
      </c>
      <c r="X514" t="s">
        <v>663</v>
      </c>
      <c r="Y514" t="s">
        <v>663</v>
      </c>
      <c r="Z514" t="s">
        <v>663</v>
      </c>
      <c r="AF514">
        <v>2</v>
      </c>
      <c r="AH514" t="s">
        <v>75</v>
      </c>
      <c r="AI514">
        <v>1</v>
      </c>
      <c r="AJ514" s="15"/>
      <c r="AK514" t="s">
        <v>668</v>
      </c>
      <c r="AN514" t="s">
        <v>45</v>
      </c>
      <c r="AO514"/>
      <c r="AP514"/>
      <c r="AQ514"/>
      <c r="AR514" s="18" t="str">
        <f>IFERROR(VLOOKUP(K514,[1]POP!$F:$J,1,0),M514)</f>
        <v>MAKARY</v>
      </c>
      <c r="AS514" s="18" t="str">
        <f t="shared" ref="AS514:AS577" si="41">IF(AR514=K514,J514,L514)</f>
        <v>NGOUMA</v>
      </c>
      <c r="AT514" s="19">
        <f t="shared" si="39"/>
        <v>2</v>
      </c>
      <c r="AU514" s="19">
        <f t="shared" ca="1" si="38"/>
        <v>2</v>
      </c>
    </row>
    <row r="515" spans="1:47" x14ac:dyDescent="0.3">
      <c r="A515" t="s">
        <v>766</v>
      </c>
      <c r="B515" t="str">
        <f t="shared" si="40"/>
        <v>S29_2026</v>
      </c>
      <c r="C515" t="str">
        <f t="shared" ref="C515:C578" si="42">"S"&amp;(IF(_xlfn.ISOWEEKNUM(Q515)&gt;9,_xlfn.ISOWEEKNUM(Q515),_xlfn.CONCAT("0",_xlfn.ISOWEEKNUM(Q515))))&amp;"_"&amp;(YEAR(Q515+26-(_xlfn.ISOWEEKNUM(Q515))))</f>
        <v>S29_2026</v>
      </c>
      <c r="E515" t="s">
        <v>539</v>
      </c>
      <c r="F515">
        <v>2</v>
      </c>
      <c r="G515" t="s">
        <v>40</v>
      </c>
      <c r="H515" t="s">
        <v>111</v>
      </c>
      <c r="I515" t="s">
        <v>371</v>
      </c>
      <c r="J515" t="s">
        <v>133</v>
      </c>
      <c r="K515" t="s">
        <v>116</v>
      </c>
      <c r="L515" t="s">
        <v>133</v>
      </c>
      <c r="M515" t="s">
        <v>116</v>
      </c>
      <c r="N515" t="s">
        <v>663</v>
      </c>
      <c r="O515" t="s">
        <v>663</v>
      </c>
      <c r="P515">
        <v>3</v>
      </c>
      <c r="Q515" s="7">
        <v>46219</v>
      </c>
      <c r="R515" s="7">
        <v>46219</v>
      </c>
      <c r="S515" s="7">
        <v>46219</v>
      </c>
      <c r="T515" t="s">
        <v>663</v>
      </c>
      <c r="V515" t="s">
        <v>360</v>
      </c>
      <c r="W515" t="s">
        <v>663</v>
      </c>
      <c r="X515" t="s">
        <v>663</v>
      </c>
      <c r="Y515" t="s">
        <v>663</v>
      </c>
      <c r="Z515" t="s">
        <v>663</v>
      </c>
      <c r="AF515">
        <v>2</v>
      </c>
      <c r="AH515" t="s">
        <v>75</v>
      </c>
      <c r="AI515">
        <v>1</v>
      </c>
      <c r="AJ515" s="15"/>
      <c r="AK515" t="s">
        <v>668</v>
      </c>
      <c r="AN515" t="s">
        <v>45</v>
      </c>
      <c r="AO515"/>
      <c r="AP515"/>
      <c r="AQ515"/>
      <c r="AR515" s="18" t="str">
        <f>IFERROR(VLOOKUP(K515,[1]POP!$F:$J,1,0),M515)</f>
        <v>MAKARY</v>
      </c>
      <c r="AS515" s="18" t="str">
        <f t="shared" si="41"/>
        <v>NGOUMA</v>
      </c>
      <c r="AT515" s="19">
        <f t="shared" si="39"/>
        <v>2</v>
      </c>
      <c r="AU515" s="19">
        <f t="shared" ref="AU515:AU578" ca="1" si="43">IF((TODAY() - R515)&lt;=21,1,2)</f>
        <v>2</v>
      </c>
    </row>
    <row r="516" spans="1:47" x14ac:dyDescent="0.3">
      <c r="A516" t="s">
        <v>767</v>
      </c>
      <c r="B516" t="str">
        <f t="shared" si="40"/>
        <v>S29_2026</v>
      </c>
      <c r="C516" t="str">
        <f t="shared" si="42"/>
        <v>S29_2026</v>
      </c>
      <c r="E516" t="s">
        <v>539</v>
      </c>
      <c r="F516">
        <v>12</v>
      </c>
      <c r="G516" t="s">
        <v>40</v>
      </c>
      <c r="H516" t="s">
        <v>111</v>
      </c>
      <c r="I516" t="s">
        <v>371</v>
      </c>
      <c r="J516" t="s">
        <v>133</v>
      </c>
      <c r="K516" t="s">
        <v>116</v>
      </c>
      <c r="L516" t="s">
        <v>133</v>
      </c>
      <c r="M516" t="s">
        <v>116</v>
      </c>
      <c r="N516" t="s">
        <v>663</v>
      </c>
      <c r="O516" t="s">
        <v>663</v>
      </c>
      <c r="P516">
        <v>3</v>
      </c>
      <c r="Q516" s="7">
        <v>46219</v>
      </c>
      <c r="R516" s="7">
        <v>46219</v>
      </c>
      <c r="S516" s="7">
        <v>46219</v>
      </c>
      <c r="T516" t="s">
        <v>663</v>
      </c>
      <c r="V516" t="s">
        <v>360</v>
      </c>
      <c r="W516" t="s">
        <v>663</v>
      </c>
      <c r="X516" t="s">
        <v>663</v>
      </c>
      <c r="Y516" t="s">
        <v>663</v>
      </c>
      <c r="Z516" t="s">
        <v>663</v>
      </c>
      <c r="AF516">
        <v>2</v>
      </c>
      <c r="AH516" t="s">
        <v>75</v>
      </c>
      <c r="AI516">
        <v>1</v>
      </c>
      <c r="AJ516" s="15"/>
      <c r="AK516" t="s">
        <v>668</v>
      </c>
      <c r="AN516" t="s">
        <v>45</v>
      </c>
      <c r="AO516"/>
      <c r="AP516"/>
      <c r="AQ516"/>
      <c r="AR516" s="18" t="str">
        <f>IFERROR(VLOOKUP(K516,[1]POP!$F:$J,1,0),M516)</f>
        <v>MAKARY</v>
      </c>
      <c r="AS516" s="18" t="str">
        <f t="shared" si="41"/>
        <v>NGOUMA</v>
      </c>
      <c r="AT516" s="19">
        <f t="shared" ref="AT516:AT579" si="44">IF($AI:$AI=2,3,IF($AI:$AI=3,3,IF($AI:$AI=4,3,IF($AI:$AI=1,2,0))))</f>
        <v>2</v>
      </c>
      <c r="AU516" s="19">
        <f t="shared" ca="1" si="43"/>
        <v>2</v>
      </c>
    </row>
    <row r="517" spans="1:47" x14ac:dyDescent="0.3">
      <c r="A517" t="s">
        <v>768</v>
      </c>
      <c r="B517" t="str">
        <f t="shared" si="40"/>
        <v>S29_2026</v>
      </c>
      <c r="C517" t="str">
        <f t="shared" si="42"/>
        <v>S29_2026</v>
      </c>
      <c r="E517" t="s">
        <v>539</v>
      </c>
      <c r="F517">
        <v>6</v>
      </c>
      <c r="G517" t="s">
        <v>40</v>
      </c>
      <c r="H517" t="s">
        <v>111</v>
      </c>
      <c r="I517" t="s">
        <v>371</v>
      </c>
      <c r="J517" t="s">
        <v>133</v>
      </c>
      <c r="K517" t="s">
        <v>116</v>
      </c>
      <c r="L517" t="s">
        <v>133</v>
      </c>
      <c r="M517" t="s">
        <v>116</v>
      </c>
      <c r="N517" t="s">
        <v>663</v>
      </c>
      <c r="O517" t="s">
        <v>663</v>
      </c>
      <c r="P517">
        <v>3</v>
      </c>
      <c r="Q517" s="7">
        <v>46219</v>
      </c>
      <c r="R517" s="7">
        <v>46219</v>
      </c>
      <c r="S517" s="7">
        <v>46219</v>
      </c>
      <c r="T517" t="s">
        <v>663</v>
      </c>
      <c r="V517" t="s">
        <v>360</v>
      </c>
      <c r="W517" t="s">
        <v>663</v>
      </c>
      <c r="X517" t="s">
        <v>663</v>
      </c>
      <c r="Y517" t="s">
        <v>663</v>
      </c>
      <c r="Z517" t="s">
        <v>663</v>
      </c>
      <c r="AF517">
        <v>2</v>
      </c>
      <c r="AH517" t="s">
        <v>75</v>
      </c>
      <c r="AI517">
        <v>1</v>
      </c>
      <c r="AJ517" s="15"/>
      <c r="AK517" t="s">
        <v>668</v>
      </c>
      <c r="AN517" t="s">
        <v>45</v>
      </c>
      <c r="AO517"/>
      <c r="AP517"/>
      <c r="AQ517"/>
      <c r="AR517" s="18" t="str">
        <f>IFERROR(VLOOKUP(K517,[1]POP!$F:$J,1,0),M517)</f>
        <v>MAKARY</v>
      </c>
      <c r="AS517" s="18" t="str">
        <f t="shared" si="41"/>
        <v>NGOUMA</v>
      </c>
      <c r="AT517" s="19">
        <f t="shared" si="44"/>
        <v>2</v>
      </c>
      <c r="AU517" s="19">
        <f t="shared" ca="1" si="43"/>
        <v>2</v>
      </c>
    </row>
    <row r="518" spans="1:47" x14ac:dyDescent="0.3">
      <c r="A518" t="s">
        <v>769</v>
      </c>
      <c r="B518" t="str">
        <f t="shared" si="40"/>
        <v>S29_2026</v>
      </c>
      <c r="C518" t="str">
        <f t="shared" si="42"/>
        <v>S29_2026</v>
      </c>
      <c r="E518" t="s">
        <v>539</v>
      </c>
      <c r="F518">
        <v>23</v>
      </c>
      <c r="G518" t="s">
        <v>40</v>
      </c>
      <c r="H518" t="s">
        <v>136</v>
      </c>
      <c r="I518" t="s">
        <v>371</v>
      </c>
      <c r="J518" t="s">
        <v>133</v>
      </c>
      <c r="K518" t="s">
        <v>116</v>
      </c>
      <c r="L518" t="s">
        <v>133</v>
      </c>
      <c r="M518" t="s">
        <v>116</v>
      </c>
      <c r="N518" t="s">
        <v>663</v>
      </c>
      <c r="O518" t="s">
        <v>663</v>
      </c>
      <c r="P518">
        <v>3</v>
      </c>
      <c r="Q518" s="7">
        <v>46219</v>
      </c>
      <c r="R518" s="7">
        <v>46219</v>
      </c>
      <c r="S518" s="7">
        <v>46219</v>
      </c>
      <c r="T518" t="s">
        <v>663</v>
      </c>
      <c r="V518" t="s">
        <v>360</v>
      </c>
      <c r="W518" t="s">
        <v>663</v>
      </c>
      <c r="X518" t="s">
        <v>663</v>
      </c>
      <c r="Y518" t="s">
        <v>663</v>
      </c>
      <c r="Z518" t="s">
        <v>663</v>
      </c>
      <c r="AF518">
        <v>2</v>
      </c>
      <c r="AH518" t="s">
        <v>75</v>
      </c>
      <c r="AI518">
        <v>1</v>
      </c>
      <c r="AJ518" s="15"/>
      <c r="AK518" t="s">
        <v>668</v>
      </c>
      <c r="AN518" t="s">
        <v>45</v>
      </c>
      <c r="AO518"/>
      <c r="AP518"/>
      <c r="AQ518"/>
      <c r="AR518" s="18" t="str">
        <f>IFERROR(VLOOKUP(K518,[1]POP!$F:$J,1,0),M518)</f>
        <v>MAKARY</v>
      </c>
      <c r="AS518" s="18" t="str">
        <f t="shared" si="41"/>
        <v>NGOUMA</v>
      </c>
      <c r="AT518" s="19">
        <f t="shared" si="44"/>
        <v>2</v>
      </c>
      <c r="AU518" s="19">
        <f t="shared" ca="1" si="43"/>
        <v>2</v>
      </c>
    </row>
    <row r="519" spans="1:47" x14ac:dyDescent="0.3">
      <c r="A519" t="s">
        <v>770</v>
      </c>
      <c r="B519" t="str">
        <f t="shared" si="40"/>
        <v>S29_2026</v>
      </c>
      <c r="C519" t="str">
        <f t="shared" si="42"/>
        <v>S29_2026</v>
      </c>
      <c r="E519" t="s">
        <v>539</v>
      </c>
      <c r="F519">
        <v>26</v>
      </c>
      <c r="G519" t="s">
        <v>55</v>
      </c>
      <c r="H519" t="s">
        <v>70</v>
      </c>
      <c r="I519" t="s">
        <v>371</v>
      </c>
      <c r="J519" t="s">
        <v>133</v>
      </c>
      <c r="K519" t="s">
        <v>116</v>
      </c>
      <c r="L519" t="s">
        <v>133</v>
      </c>
      <c r="M519" t="s">
        <v>116</v>
      </c>
      <c r="N519" t="s">
        <v>663</v>
      </c>
      <c r="O519" t="s">
        <v>663</v>
      </c>
      <c r="P519">
        <v>3</v>
      </c>
      <c r="Q519" s="7">
        <v>46219</v>
      </c>
      <c r="R519" s="7">
        <v>46219</v>
      </c>
      <c r="S519" s="7">
        <v>46219</v>
      </c>
      <c r="T519" t="s">
        <v>663</v>
      </c>
      <c r="V519" t="s">
        <v>360</v>
      </c>
      <c r="W519" t="s">
        <v>663</v>
      </c>
      <c r="X519" t="s">
        <v>663</v>
      </c>
      <c r="Y519" t="s">
        <v>663</v>
      </c>
      <c r="Z519" t="s">
        <v>663</v>
      </c>
      <c r="AF519">
        <v>2</v>
      </c>
      <c r="AH519" t="s">
        <v>75</v>
      </c>
      <c r="AI519">
        <v>1</v>
      </c>
      <c r="AJ519" s="15"/>
      <c r="AK519" t="s">
        <v>668</v>
      </c>
      <c r="AN519" t="s">
        <v>45</v>
      </c>
      <c r="AO519"/>
      <c r="AP519"/>
      <c r="AQ519"/>
      <c r="AR519" s="18" t="str">
        <f>IFERROR(VLOOKUP(K519,[1]POP!$F:$J,1,0),M519)</f>
        <v>MAKARY</v>
      </c>
      <c r="AS519" s="18" t="str">
        <f t="shared" si="41"/>
        <v>NGOUMA</v>
      </c>
      <c r="AT519" s="19">
        <f t="shared" si="44"/>
        <v>2</v>
      </c>
      <c r="AU519" s="19">
        <f t="shared" ca="1" si="43"/>
        <v>2</v>
      </c>
    </row>
    <row r="520" spans="1:47" x14ac:dyDescent="0.3">
      <c r="A520" t="s">
        <v>771</v>
      </c>
      <c r="B520" t="str">
        <f t="shared" si="40"/>
        <v>S29_2026</v>
      </c>
      <c r="C520" t="str">
        <f t="shared" si="42"/>
        <v>S29_2026</v>
      </c>
      <c r="E520" t="s">
        <v>539</v>
      </c>
      <c r="F520">
        <v>5</v>
      </c>
      <c r="G520" t="s">
        <v>55</v>
      </c>
      <c r="H520" t="s">
        <v>655</v>
      </c>
      <c r="I520" t="s">
        <v>371</v>
      </c>
      <c r="J520" t="s">
        <v>133</v>
      </c>
      <c r="K520" t="s">
        <v>116</v>
      </c>
      <c r="L520" t="s">
        <v>133</v>
      </c>
      <c r="M520" t="s">
        <v>116</v>
      </c>
      <c r="N520" t="s">
        <v>663</v>
      </c>
      <c r="O520" t="s">
        <v>663</v>
      </c>
      <c r="P520">
        <v>3</v>
      </c>
      <c r="Q520" s="7">
        <v>46219</v>
      </c>
      <c r="R520" s="7">
        <v>46219</v>
      </c>
      <c r="S520" s="7">
        <v>46219</v>
      </c>
      <c r="T520" t="s">
        <v>663</v>
      </c>
      <c r="V520" t="s">
        <v>360</v>
      </c>
      <c r="W520" t="s">
        <v>663</v>
      </c>
      <c r="X520" t="s">
        <v>663</v>
      </c>
      <c r="Y520" t="s">
        <v>663</v>
      </c>
      <c r="Z520" t="s">
        <v>663</v>
      </c>
      <c r="AF520">
        <v>2</v>
      </c>
      <c r="AH520" t="s">
        <v>75</v>
      </c>
      <c r="AI520">
        <v>1</v>
      </c>
      <c r="AJ520" s="15"/>
      <c r="AK520" t="s">
        <v>668</v>
      </c>
      <c r="AN520" t="s">
        <v>45</v>
      </c>
      <c r="AO520"/>
      <c r="AP520"/>
      <c r="AQ520"/>
      <c r="AR520" s="18" t="str">
        <f>IFERROR(VLOOKUP(K520,[1]POP!$F:$J,1,0),M520)</f>
        <v>MAKARY</v>
      </c>
      <c r="AS520" s="18" t="str">
        <f t="shared" si="41"/>
        <v>NGOUMA</v>
      </c>
      <c r="AT520" s="19">
        <f t="shared" si="44"/>
        <v>2</v>
      </c>
      <c r="AU520" s="19">
        <f t="shared" ca="1" si="43"/>
        <v>2</v>
      </c>
    </row>
    <row r="521" spans="1:47" x14ac:dyDescent="0.3">
      <c r="A521" t="s">
        <v>772</v>
      </c>
      <c r="B521" t="str">
        <f t="shared" si="40"/>
        <v>S29_2026</v>
      </c>
      <c r="C521" t="str">
        <f t="shared" si="42"/>
        <v>S29_2026</v>
      </c>
      <c r="E521" t="s">
        <v>539</v>
      </c>
      <c r="F521">
        <v>17</v>
      </c>
      <c r="G521" t="s">
        <v>55</v>
      </c>
      <c r="H521" t="s">
        <v>644</v>
      </c>
      <c r="I521" t="s">
        <v>371</v>
      </c>
      <c r="J521" t="s">
        <v>133</v>
      </c>
      <c r="K521" t="s">
        <v>116</v>
      </c>
      <c r="L521" t="s">
        <v>133</v>
      </c>
      <c r="M521" t="s">
        <v>116</v>
      </c>
      <c r="N521" t="s">
        <v>663</v>
      </c>
      <c r="O521" t="s">
        <v>663</v>
      </c>
      <c r="P521">
        <v>3</v>
      </c>
      <c r="Q521" s="7">
        <v>46219</v>
      </c>
      <c r="R521" s="7">
        <v>46219</v>
      </c>
      <c r="S521" s="7">
        <v>46219</v>
      </c>
      <c r="T521" t="s">
        <v>663</v>
      </c>
      <c r="V521" t="s">
        <v>360</v>
      </c>
      <c r="W521" t="s">
        <v>663</v>
      </c>
      <c r="X521" t="s">
        <v>663</v>
      </c>
      <c r="Y521" t="s">
        <v>663</v>
      </c>
      <c r="Z521" t="s">
        <v>663</v>
      </c>
      <c r="AF521">
        <v>2</v>
      </c>
      <c r="AH521" t="s">
        <v>75</v>
      </c>
      <c r="AI521">
        <v>1</v>
      </c>
      <c r="AJ521" s="15"/>
      <c r="AK521" t="s">
        <v>668</v>
      </c>
      <c r="AN521" t="s">
        <v>45</v>
      </c>
      <c r="AO521"/>
      <c r="AP521"/>
      <c r="AQ521"/>
      <c r="AR521" s="18" t="str">
        <f>IFERROR(VLOOKUP(K521,[1]POP!$F:$J,1,0),M521)</f>
        <v>MAKARY</v>
      </c>
      <c r="AS521" s="18" t="str">
        <f t="shared" si="41"/>
        <v>NGOUMA</v>
      </c>
      <c r="AT521" s="19">
        <f t="shared" si="44"/>
        <v>2</v>
      </c>
      <c r="AU521" s="19">
        <f t="shared" ca="1" si="43"/>
        <v>2</v>
      </c>
    </row>
    <row r="522" spans="1:47" x14ac:dyDescent="0.3">
      <c r="A522" t="s">
        <v>773</v>
      </c>
      <c r="B522" t="str">
        <f t="shared" si="40"/>
        <v>S29_2026</v>
      </c>
      <c r="C522" t="str">
        <f t="shared" si="42"/>
        <v>S29_2026</v>
      </c>
      <c r="E522" t="s">
        <v>774</v>
      </c>
      <c r="F522">
        <v>1</v>
      </c>
      <c r="G522" t="s">
        <v>55</v>
      </c>
      <c r="H522" t="s">
        <v>111</v>
      </c>
      <c r="I522" t="s">
        <v>652</v>
      </c>
      <c r="J522" t="s">
        <v>116</v>
      </c>
      <c r="K522" t="s">
        <v>116</v>
      </c>
      <c r="L522" t="s">
        <v>115</v>
      </c>
      <c r="M522" t="s">
        <v>116</v>
      </c>
      <c r="N522" t="s">
        <v>117</v>
      </c>
      <c r="O522" t="s">
        <v>117</v>
      </c>
      <c r="P522">
        <v>3</v>
      </c>
      <c r="Q522" s="7">
        <v>46219</v>
      </c>
      <c r="R522" s="7">
        <v>46219</v>
      </c>
      <c r="S522" s="7">
        <v>46220</v>
      </c>
      <c r="T522" t="s">
        <v>117</v>
      </c>
      <c r="V522" t="s">
        <v>118</v>
      </c>
      <c r="W522" t="s">
        <v>117</v>
      </c>
      <c r="X522" t="s">
        <v>117</v>
      </c>
      <c r="Y522" t="s">
        <v>117</v>
      </c>
      <c r="Z522" t="s">
        <v>117</v>
      </c>
      <c r="AB522" t="s">
        <v>48</v>
      </c>
      <c r="AC522" t="s">
        <v>74</v>
      </c>
      <c r="AF522">
        <v>2</v>
      </c>
      <c r="AH522" t="s">
        <v>75</v>
      </c>
      <c r="AI522">
        <v>1</v>
      </c>
      <c r="AJ522" s="15"/>
      <c r="AK522" t="s">
        <v>74</v>
      </c>
      <c r="AN522" t="s">
        <v>45</v>
      </c>
      <c r="AO522"/>
      <c r="AP522"/>
      <c r="AQ522" t="s">
        <v>45</v>
      </c>
      <c r="AR522" s="18" t="str">
        <f>IFERROR(VLOOKUP(K522,[1]POP!$F:$J,1,0),M522)</f>
        <v>MAKARY</v>
      </c>
      <c r="AS522" s="18" t="str">
        <f t="shared" si="41"/>
        <v>MAKARY</v>
      </c>
      <c r="AT522" s="19">
        <f t="shared" si="44"/>
        <v>2</v>
      </c>
      <c r="AU522" s="19">
        <f t="shared" ca="1" si="43"/>
        <v>2</v>
      </c>
    </row>
    <row r="523" spans="1:47" x14ac:dyDescent="0.3">
      <c r="A523" t="s">
        <v>775</v>
      </c>
      <c r="B523" t="str">
        <f t="shared" si="40"/>
        <v>S29_2026</v>
      </c>
      <c r="C523" t="str">
        <f t="shared" si="42"/>
        <v>S29_2026</v>
      </c>
      <c r="E523" t="s">
        <v>776</v>
      </c>
      <c r="F523">
        <v>1</v>
      </c>
      <c r="G523" t="s">
        <v>55</v>
      </c>
      <c r="H523" t="s">
        <v>111</v>
      </c>
      <c r="I523" t="s">
        <v>777</v>
      </c>
      <c r="J523" t="s">
        <v>778</v>
      </c>
      <c r="K523" t="s">
        <v>116</v>
      </c>
      <c r="L523" t="s">
        <v>115</v>
      </c>
      <c r="M523" t="s">
        <v>116</v>
      </c>
      <c r="N523" t="s">
        <v>117</v>
      </c>
      <c r="O523" t="s">
        <v>117</v>
      </c>
      <c r="P523">
        <v>3</v>
      </c>
      <c r="Q523" s="7">
        <v>46219</v>
      </c>
      <c r="R523" s="7">
        <v>46219</v>
      </c>
      <c r="S523" s="7">
        <v>46220</v>
      </c>
      <c r="T523" t="s">
        <v>117</v>
      </c>
      <c r="V523" t="s">
        <v>118</v>
      </c>
      <c r="W523" t="s">
        <v>117</v>
      </c>
      <c r="X523" t="s">
        <v>117</v>
      </c>
      <c r="Y523" t="s">
        <v>117</v>
      </c>
      <c r="Z523" t="s">
        <v>117</v>
      </c>
      <c r="AB523" t="s">
        <v>48</v>
      </c>
      <c r="AC523" t="s">
        <v>74</v>
      </c>
      <c r="AF523">
        <v>2</v>
      </c>
      <c r="AH523" t="s">
        <v>75</v>
      </c>
      <c r="AI523">
        <v>1</v>
      </c>
      <c r="AJ523" s="15"/>
      <c r="AK523" t="s">
        <v>74</v>
      </c>
      <c r="AN523" t="s">
        <v>45</v>
      </c>
      <c r="AO523" t="s">
        <v>45</v>
      </c>
      <c r="AP523"/>
      <c r="AQ523" t="s">
        <v>74</v>
      </c>
      <c r="AR523" s="18" t="str">
        <f>IFERROR(VLOOKUP(K523,[1]POP!$F:$J,1,0),M523)</f>
        <v>MAKARY</v>
      </c>
      <c r="AS523" s="18" t="str">
        <f t="shared" si="41"/>
        <v>WOULKY</v>
      </c>
      <c r="AT523" s="19">
        <f t="shared" si="44"/>
        <v>2</v>
      </c>
      <c r="AU523" s="19">
        <f t="shared" ca="1" si="43"/>
        <v>2</v>
      </c>
    </row>
    <row r="524" spans="1:47" x14ac:dyDescent="0.3">
      <c r="A524" t="s">
        <v>779</v>
      </c>
      <c r="B524" t="str">
        <f t="shared" si="40"/>
        <v>S29_2026</v>
      </c>
      <c r="C524" t="str">
        <f t="shared" si="42"/>
        <v>S29_2026</v>
      </c>
      <c r="E524" t="s">
        <v>539</v>
      </c>
      <c r="F524">
        <v>27</v>
      </c>
      <c r="G524" t="s">
        <v>55</v>
      </c>
      <c r="H524" t="s">
        <v>70</v>
      </c>
      <c r="I524" t="s">
        <v>371</v>
      </c>
      <c r="J524" t="s">
        <v>133</v>
      </c>
      <c r="K524" t="s">
        <v>116</v>
      </c>
      <c r="L524" t="s">
        <v>133</v>
      </c>
      <c r="M524" t="s">
        <v>116</v>
      </c>
      <c r="N524" t="s">
        <v>117</v>
      </c>
      <c r="O524" t="s">
        <v>117</v>
      </c>
      <c r="P524">
        <v>3</v>
      </c>
      <c r="Q524" s="7">
        <v>46220</v>
      </c>
      <c r="R524" s="7">
        <v>46220</v>
      </c>
      <c r="S524" s="7">
        <v>46220</v>
      </c>
      <c r="T524" t="s">
        <v>117</v>
      </c>
      <c r="V524" t="s">
        <v>360</v>
      </c>
      <c r="W524" t="s">
        <v>117</v>
      </c>
      <c r="X524" t="s">
        <v>117</v>
      </c>
      <c r="Y524" t="s">
        <v>117</v>
      </c>
      <c r="Z524" t="s">
        <v>117</v>
      </c>
      <c r="AC524" t="s">
        <v>74</v>
      </c>
      <c r="AF524">
        <v>2</v>
      </c>
      <c r="AH524" t="s">
        <v>75</v>
      </c>
      <c r="AI524">
        <v>1</v>
      </c>
      <c r="AJ524" s="15"/>
      <c r="AK524" t="s">
        <v>74</v>
      </c>
      <c r="AN524" t="s">
        <v>45</v>
      </c>
      <c r="AO524" t="s">
        <v>45</v>
      </c>
      <c r="AP524"/>
      <c r="AQ524" t="s">
        <v>74</v>
      </c>
      <c r="AR524" s="18" t="str">
        <f>IFERROR(VLOOKUP(K524,[1]POP!$F:$J,1,0),M524)</f>
        <v>MAKARY</v>
      </c>
      <c r="AS524" s="18" t="str">
        <f t="shared" si="41"/>
        <v>NGOUMA</v>
      </c>
      <c r="AT524" s="19">
        <f t="shared" si="44"/>
        <v>2</v>
      </c>
      <c r="AU524" s="19">
        <f t="shared" ca="1" si="43"/>
        <v>2</v>
      </c>
    </row>
    <row r="525" spans="1:47" x14ac:dyDescent="0.3">
      <c r="A525" t="s">
        <v>780</v>
      </c>
      <c r="B525" t="str">
        <f t="shared" si="40"/>
        <v>S29_2026</v>
      </c>
      <c r="C525" t="str">
        <f t="shared" si="42"/>
        <v>S29_2026</v>
      </c>
      <c r="E525" t="s">
        <v>539</v>
      </c>
      <c r="F525">
        <v>10</v>
      </c>
      <c r="G525" t="s">
        <v>40</v>
      </c>
      <c r="H525" t="s">
        <v>111</v>
      </c>
      <c r="I525" t="s">
        <v>371</v>
      </c>
      <c r="J525" t="s">
        <v>133</v>
      </c>
      <c r="K525" t="s">
        <v>116</v>
      </c>
      <c r="L525" t="s">
        <v>133</v>
      </c>
      <c r="M525" t="s">
        <v>116</v>
      </c>
      <c r="N525" t="s">
        <v>117</v>
      </c>
      <c r="O525" t="s">
        <v>117</v>
      </c>
      <c r="P525">
        <v>3</v>
      </c>
      <c r="Q525" s="7">
        <v>46220</v>
      </c>
      <c r="R525" s="7">
        <v>46220</v>
      </c>
      <c r="S525" s="7">
        <v>46220</v>
      </c>
      <c r="T525" t="s">
        <v>117</v>
      </c>
      <c r="V525" t="s">
        <v>360</v>
      </c>
      <c r="W525" t="s">
        <v>117</v>
      </c>
      <c r="X525" t="s">
        <v>117</v>
      </c>
      <c r="Y525" t="s">
        <v>117</v>
      </c>
      <c r="Z525" t="s">
        <v>117</v>
      </c>
      <c r="AC525" t="s">
        <v>74</v>
      </c>
      <c r="AF525">
        <v>2</v>
      </c>
      <c r="AH525" t="s">
        <v>75</v>
      </c>
      <c r="AI525">
        <v>1</v>
      </c>
      <c r="AJ525" s="15"/>
      <c r="AK525" t="s">
        <v>74</v>
      </c>
      <c r="AN525" t="s">
        <v>45</v>
      </c>
      <c r="AO525" t="s">
        <v>45</v>
      </c>
      <c r="AP525"/>
      <c r="AQ525" t="s">
        <v>74</v>
      </c>
      <c r="AR525" s="18" t="str">
        <f>IFERROR(VLOOKUP(K525,[1]POP!$F:$J,1,0),M525)</f>
        <v>MAKARY</v>
      </c>
      <c r="AS525" s="18" t="str">
        <f t="shared" si="41"/>
        <v>NGOUMA</v>
      </c>
      <c r="AT525" s="19">
        <f t="shared" si="44"/>
        <v>2</v>
      </c>
      <c r="AU525" s="19">
        <f t="shared" ca="1" si="43"/>
        <v>2</v>
      </c>
    </row>
    <row r="526" spans="1:47" x14ac:dyDescent="0.3">
      <c r="A526" t="s">
        <v>781</v>
      </c>
      <c r="B526" t="str">
        <f t="shared" si="40"/>
        <v>S29_2026</v>
      </c>
      <c r="C526" t="str">
        <f t="shared" si="42"/>
        <v>S29_2026</v>
      </c>
      <c r="E526" t="s">
        <v>365</v>
      </c>
      <c r="F526">
        <v>28</v>
      </c>
      <c r="G526" t="s">
        <v>40</v>
      </c>
      <c r="H526" t="s">
        <v>136</v>
      </c>
      <c r="I526" t="s">
        <v>366</v>
      </c>
      <c r="J526" t="s">
        <v>133</v>
      </c>
      <c r="K526" t="s">
        <v>116</v>
      </c>
      <c r="L526" t="s">
        <v>133</v>
      </c>
      <c r="M526" t="s">
        <v>116</v>
      </c>
      <c r="N526" t="s">
        <v>117</v>
      </c>
      <c r="O526" t="s">
        <v>117</v>
      </c>
      <c r="P526">
        <v>3</v>
      </c>
      <c r="Q526" s="7">
        <v>46220</v>
      </c>
      <c r="R526" s="7">
        <v>46220</v>
      </c>
      <c r="S526" s="7">
        <v>46220</v>
      </c>
      <c r="T526" t="s">
        <v>117</v>
      </c>
      <c r="V526" t="s">
        <v>360</v>
      </c>
      <c r="W526" t="s">
        <v>117</v>
      </c>
      <c r="X526" t="s">
        <v>117</v>
      </c>
      <c r="Y526" t="s">
        <v>117</v>
      </c>
      <c r="Z526" t="s">
        <v>117</v>
      </c>
      <c r="AC526" t="s">
        <v>74</v>
      </c>
      <c r="AF526">
        <v>2</v>
      </c>
      <c r="AH526" t="s">
        <v>75</v>
      </c>
      <c r="AI526">
        <v>1</v>
      </c>
      <c r="AJ526" s="15"/>
      <c r="AK526" t="s">
        <v>74</v>
      </c>
      <c r="AN526" t="s">
        <v>45</v>
      </c>
      <c r="AO526" t="s">
        <v>45</v>
      </c>
      <c r="AP526"/>
      <c r="AQ526" t="s">
        <v>74</v>
      </c>
      <c r="AR526" s="18" t="str">
        <f>IFERROR(VLOOKUP(K526,[1]POP!$F:$J,1,0),M526)</f>
        <v>MAKARY</v>
      </c>
      <c r="AS526" s="18" t="str">
        <f t="shared" si="41"/>
        <v>NGOUMA</v>
      </c>
      <c r="AT526" s="19">
        <f t="shared" si="44"/>
        <v>2</v>
      </c>
      <c r="AU526" s="19">
        <f t="shared" ca="1" si="43"/>
        <v>2</v>
      </c>
    </row>
    <row r="527" spans="1:47" x14ac:dyDescent="0.3">
      <c r="A527" t="s">
        <v>782</v>
      </c>
      <c r="B527" t="str">
        <f t="shared" si="40"/>
        <v>S29_2026</v>
      </c>
      <c r="C527" t="str">
        <f t="shared" si="42"/>
        <v>S29_2026</v>
      </c>
      <c r="E527" t="s">
        <v>651</v>
      </c>
      <c r="F527">
        <v>14</v>
      </c>
      <c r="G527" t="s">
        <v>40</v>
      </c>
      <c r="H527" t="s">
        <v>111</v>
      </c>
      <c r="I527" t="s">
        <v>666</v>
      </c>
      <c r="J527" t="s">
        <v>133</v>
      </c>
      <c r="K527" t="s">
        <v>116</v>
      </c>
      <c r="L527" t="s">
        <v>133</v>
      </c>
      <c r="M527" t="s">
        <v>116</v>
      </c>
      <c r="N527" t="s">
        <v>117</v>
      </c>
      <c r="O527" t="s">
        <v>117</v>
      </c>
      <c r="P527">
        <v>3</v>
      </c>
      <c r="Q527" s="7">
        <v>46220</v>
      </c>
      <c r="R527" s="7">
        <v>46220</v>
      </c>
      <c r="S527" s="7">
        <v>46220</v>
      </c>
      <c r="T527" t="s">
        <v>117</v>
      </c>
      <c r="V527" t="s">
        <v>360</v>
      </c>
      <c r="W527" t="s">
        <v>117</v>
      </c>
      <c r="X527" t="s">
        <v>117</v>
      </c>
      <c r="Y527" t="s">
        <v>117</v>
      </c>
      <c r="Z527" t="s">
        <v>117</v>
      </c>
      <c r="AC527" t="s">
        <v>74</v>
      </c>
      <c r="AF527">
        <v>2</v>
      </c>
      <c r="AH527" t="s">
        <v>75</v>
      </c>
      <c r="AI527">
        <v>1</v>
      </c>
      <c r="AJ527" s="15"/>
      <c r="AK527" t="s">
        <v>74</v>
      </c>
      <c r="AN527" t="s">
        <v>45</v>
      </c>
      <c r="AO527" t="s">
        <v>45</v>
      </c>
      <c r="AP527"/>
      <c r="AQ527" t="s">
        <v>74</v>
      </c>
      <c r="AR527" s="18" t="str">
        <f>IFERROR(VLOOKUP(K527,[1]POP!$F:$J,1,0),M527)</f>
        <v>MAKARY</v>
      </c>
      <c r="AS527" s="18" t="str">
        <f t="shared" si="41"/>
        <v>NGOUMA</v>
      </c>
      <c r="AT527" s="19">
        <f t="shared" si="44"/>
        <v>2</v>
      </c>
      <c r="AU527" s="19">
        <f t="shared" ca="1" si="43"/>
        <v>2</v>
      </c>
    </row>
    <row r="528" spans="1:47" x14ac:dyDescent="0.3">
      <c r="A528" t="s">
        <v>783</v>
      </c>
      <c r="B528" t="str">
        <f t="shared" si="40"/>
        <v>S29_2026</v>
      </c>
      <c r="C528" t="str">
        <f t="shared" si="42"/>
        <v>S29_2026</v>
      </c>
      <c r="E528" t="s">
        <v>539</v>
      </c>
      <c r="F528">
        <v>12</v>
      </c>
      <c r="G528" t="s">
        <v>40</v>
      </c>
      <c r="H528" t="s">
        <v>111</v>
      </c>
      <c r="I528" t="s">
        <v>371</v>
      </c>
      <c r="J528" t="s">
        <v>133</v>
      </c>
      <c r="K528" t="s">
        <v>116</v>
      </c>
      <c r="L528" t="s">
        <v>133</v>
      </c>
      <c r="M528" t="s">
        <v>116</v>
      </c>
      <c r="N528" t="s">
        <v>117</v>
      </c>
      <c r="O528" t="s">
        <v>117</v>
      </c>
      <c r="P528">
        <v>3</v>
      </c>
      <c r="Q528" s="7">
        <v>46220</v>
      </c>
      <c r="R528" s="7">
        <v>46220</v>
      </c>
      <c r="S528" s="7">
        <v>46220</v>
      </c>
      <c r="T528" t="s">
        <v>117</v>
      </c>
      <c r="V528" t="s">
        <v>360</v>
      </c>
      <c r="W528" t="s">
        <v>117</v>
      </c>
      <c r="X528" t="s">
        <v>117</v>
      </c>
      <c r="Y528" t="s">
        <v>117</v>
      </c>
      <c r="Z528" t="s">
        <v>117</v>
      </c>
      <c r="AC528" t="s">
        <v>74</v>
      </c>
      <c r="AF528">
        <v>2</v>
      </c>
      <c r="AH528" t="s">
        <v>75</v>
      </c>
      <c r="AI528">
        <v>1</v>
      </c>
      <c r="AJ528" s="15"/>
      <c r="AK528" t="s">
        <v>74</v>
      </c>
      <c r="AN528" t="s">
        <v>45</v>
      </c>
      <c r="AO528" t="s">
        <v>45</v>
      </c>
      <c r="AP528"/>
      <c r="AQ528" t="s">
        <v>74</v>
      </c>
      <c r="AR528" s="18" t="str">
        <f>IFERROR(VLOOKUP(K528,[1]POP!$F:$J,1,0),M528)</f>
        <v>MAKARY</v>
      </c>
      <c r="AS528" s="18" t="str">
        <f t="shared" si="41"/>
        <v>NGOUMA</v>
      </c>
      <c r="AT528" s="19">
        <f t="shared" si="44"/>
        <v>2</v>
      </c>
      <c r="AU528" s="19">
        <f t="shared" ca="1" si="43"/>
        <v>2</v>
      </c>
    </row>
    <row r="529" spans="1:47" x14ac:dyDescent="0.3">
      <c r="A529" t="s">
        <v>784</v>
      </c>
      <c r="B529" t="str">
        <f t="shared" si="40"/>
        <v>S29_2026</v>
      </c>
      <c r="C529" t="str">
        <f t="shared" si="42"/>
        <v>S29_2026</v>
      </c>
      <c r="E529" t="s">
        <v>539</v>
      </c>
      <c r="F529">
        <v>22</v>
      </c>
      <c r="G529" t="s">
        <v>55</v>
      </c>
      <c r="H529" t="s">
        <v>680</v>
      </c>
      <c r="I529" t="s">
        <v>371</v>
      </c>
      <c r="J529" t="s">
        <v>133</v>
      </c>
      <c r="K529" t="s">
        <v>116</v>
      </c>
      <c r="L529" t="s">
        <v>133</v>
      </c>
      <c r="M529" t="s">
        <v>116</v>
      </c>
      <c r="N529" t="s">
        <v>117</v>
      </c>
      <c r="O529" t="s">
        <v>117</v>
      </c>
      <c r="P529">
        <v>3</v>
      </c>
      <c r="Q529" s="7">
        <v>46220</v>
      </c>
      <c r="R529" s="7">
        <v>46220</v>
      </c>
      <c r="S529" s="7">
        <v>46220</v>
      </c>
      <c r="T529" t="s">
        <v>117</v>
      </c>
      <c r="V529" t="s">
        <v>360</v>
      </c>
      <c r="W529" t="s">
        <v>117</v>
      </c>
      <c r="X529" t="s">
        <v>117</v>
      </c>
      <c r="Y529" t="s">
        <v>117</v>
      </c>
      <c r="Z529" t="s">
        <v>117</v>
      </c>
      <c r="AC529" t="s">
        <v>74</v>
      </c>
      <c r="AF529">
        <v>2</v>
      </c>
      <c r="AH529" t="s">
        <v>75</v>
      </c>
      <c r="AI529">
        <v>1</v>
      </c>
      <c r="AJ529" s="15"/>
      <c r="AK529" t="s">
        <v>74</v>
      </c>
      <c r="AN529" t="s">
        <v>45</v>
      </c>
      <c r="AO529" t="s">
        <v>45</v>
      </c>
      <c r="AP529"/>
      <c r="AQ529" t="s">
        <v>74</v>
      </c>
      <c r="AR529" s="18" t="str">
        <f>IFERROR(VLOOKUP(K529,[1]POP!$F:$J,1,0),M529)</f>
        <v>MAKARY</v>
      </c>
      <c r="AS529" s="18" t="str">
        <f t="shared" si="41"/>
        <v>NGOUMA</v>
      </c>
      <c r="AT529" s="19">
        <f t="shared" si="44"/>
        <v>2</v>
      </c>
      <c r="AU529" s="19">
        <f t="shared" ca="1" si="43"/>
        <v>2</v>
      </c>
    </row>
    <row r="530" spans="1:47" x14ac:dyDescent="0.3">
      <c r="A530" t="s">
        <v>785</v>
      </c>
      <c r="B530" t="str">
        <f t="shared" si="40"/>
        <v>S29_2026</v>
      </c>
      <c r="C530" t="str">
        <f t="shared" si="42"/>
        <v>S29_2026</v>
      </c>
      <c r="E530" t="s">
        <v>156</v>
      </c>
      <c r="F530">
        <v>25</v>
      </c>
      <c r="G530" t="s">
        <v>40</v>
      </c>
      <c r="H530" t="s">
        <v>136</v>
      </c>
      <c r="I530" t="s">
        <v>666</v>
      </c>
      <c r="J530" t="s">
        <v>133</v>
      </c>
      <c r="K530" t="s">
        <v>116</v>
      </c>
      <c r="L530" t="s">
        <v>133</v>
      </c>
      <c r="M530" t="s">
        <v>116</v>
      </c>
      <c r="N530" t="s">
        <v>117</v>
      </c>
      <c r="O530" t="s">
        <v>117</v>
      </c>
      <c r="P530">
        <v>3</v>
      </c>
      <c r="Q530" s="7">
        <v>46220</v>
      </c>
      <c r="R530" s="7">
        <v>46220</v>
      </c>
      <c r="S530" s="7">
        <v>46220</v>
      </c>
      <c r="T530" t="s">
        <v>117</v>
      </c>
      <c r="V530" t="s">
        <v>360</v>
      </c>
      <c r="W530" t="s">
        <v>117</v>
      </c>
      <c r="X530" t="s">
        <v>117</v>
      </c>
      <c r="Y530" t="s">
        <v>117</v>
      </c>
      <c r="Z530" t="s">
        <v>117</v>
      </c>
      <c r="AC530" t="s">
        <v>74</v>
      </c>
      <c r="AF530">
        <v>2</v>
      </c>
      <c r="AH530" t="s">
        <v>75</v>
      </c>
      <c r="AI530">
        <v>1</v>
      </c>
      <c r="AJ530" s="15"/>
      <c r="AK530" t="s">
        <v>74</v>
      </c>
      <c r="AN530" t="s">
        <v>45</v>
      </c>
      <c r="AO530" t="s">
        <v>45</v>
      </c>
      <c r="AP530"/>
      <c r="AQ530" t="s">
        <v>74</v>
      </c>
      <c r="AR530" s="18" t="str">
        <f>IFERROR(VLOOKUP(K530,[1]POP!$F:$J,1,0),M530)</f>
        <v>MAKARY</v>
      </c>
      <c r="AS530" s="18" t="str">
        <f t="shared" si="41"/>
        <v>NGOUMA</v>
      </c>
      <c r="AT530" s="19">
        <f t="shared" si="44"/>
        <v>2</v>
      </c>
      <c r="AU530" s="19">
        <f t="shared" ca="1" si="43"/>
        <v>2</v>
      </c>
    </row>
    <row r="531" spans="1:47" x14ac:dyDescent="0.3">
      <c r="A531" t="s">
        <v>786</v>
      </c>
      <c r="B531" t="str">
        <f t="shared" si="40"/>
        <v>S29_2026</v>
      </c>
      <c r="C531" t="str">
        <f t="shared" si="42"/>
        <v>S29_2026</v>
      </c>
      <c r="E531" t="s">
        <v>787</v>
      </c>
      <c r="F531">
        <v>27</v>
      </c>
      <c r="G531" t="s">
        <v>40</v>
      </c>
      <c r="H531" t="s">
        <v>136</v>
      </c>
      <c r="I531" t="s">
        <v>788</v>
      </c>
      <c r="J531" t="s">
        <v>133</v>
      </c>
      <c r="K531" t="s">
        <v>116</v>
      </c>
      <c r="L531" t="s">
        <v>133</v>
      </c>
      <c r="M531" t="s">
        <v>116</v>
      </c>
      <c r="N531" t="s">
        <v>117</v>
      </c>
      <c r="O531" t="s">
        <v>117</v>
      </c>
      <c r="P531">
        <v>3</v>
      </c>
      <c r="Q531" s="7">
        <v>46220</v>
      </c>
      <c r="R531" s="7">
        <v>46220</v>
      </c>
      <c r="S531" s="7">
        <v>46220</v>
      </c>
      <c r="T531" t="s">
        <v>117</v>
      </c>
      <c r="V531" t="s">
        <v>360</v>
      </c>
      <c r="W531" t="s">
        <v>117</v>
      </c>
      <c r="X531" t="s">
        <v>117</v>
      </c>
      <c r="Y531" t="s">
        <v>117</v>
      </c>
      <c r="Z531" t="s">
        <v>117</v>
      </c>
      <c r="AC531" t="s">
        <v>74</v>
      </c>
      <c r="AF531">
        <v>2</v>
      </c>
      <c r="AH531" t="s">
        <v>75</v>
      </c>
      <c r="AI531">
        <v>1</v>
      </c>
      <c r="AJ531" s="15"/>
      <c r="AK531" t="s">
        <v>74</v>
      </c>
      <c r="AN531" t="s">
        <v>45</v>
      </c>
      <c r="AO531" t="s">
        <v>45</v>
      </c>
      <c r="AP531"/>
      <c r="AQ531" t="s">
        <v>74</v>
      </c>
      <c r="AR531" s="18" t="str">
        <f>IFERROR(VLOOKUP(K531,[1]POP!$F:$J,1,0),M531)</f>
        <v>MAKARY</v>
      </c>
      <c r="AS531" s="18" t="str">
        <f t="shared" si="41"/>
        <v>NGOUMA</v>
      </c>
      <c r="AT531" s="19">
        <f t="shared" si="44"/>
        <v>2</v>
      </c>
      <c r="AU531" s="19">
        <f t="shared" ca="1" si="43"/>
        <v>2</v>
      </c>
    </row>
    <row r="532" spans="1:47" x14ac:dyDescent="0.3">
      <c r="A532" t="s">
        <v>789</v>
      </c>
      <c r="B532" t="str">
        <f t="shared" si="40"/>
        <v>S29_2026</v>
      </c>
      <c r="C532" t="str">
        <f t="shared" si="42"/>
        <v>S29_2026</v>
      </c>
      <c r="F532">
        <v>32</v>
      </c>
      <c r="G532" t="s">
        <v>55</v>
      </c>
      <c r="H532" t="s">
        <v>790</v>
      </c>
      <c r="I532" t="s">
        <v>791</v>
      </c>
      <c r="J532" t="s">
        <v>792</v>
      </c>
      <c r="K532" t="s">
        <v>460</v>
      </c>
      <c r="L532" t="s">
        <v>793</v>
      </c>
      <c r="M532" t="s">
        <v>116</v>
      </c>
      <c r="N532" t="s">
        <v>117</v>
      </c>
      <c r="O532" t="s">
        <v>74</v>
      </c>
      <c r="P532">
        <v>1</v>
      </c>
      <c r="Q532" s="7">
        <v>46220</v>
      </c>
      <c r="R532" s="7">
        <v>46221</v>
      </c>
      <c r="S532" s="7">
        <v>46221</v>
      </c>
      <c r="T532" t="s">
        <v>117</v>
      </c>
      <c r="V532" t="s">
        <v>794</v>
      </c>
      <c r="W532" t="s">
        <v>117</v>
      </c>
      <c r="X532" t="s">
        <v>117</v>
      </c>
      <c r="Y532" t="s">
        <v>117</v>
      </c>
      <c r="Z532" t="s">
        <v>117</v>
      </c>
      <c r="AB532" t="s">
        <v>48</v>
      </c>
      <c r="AC532" t="s">
        <v>74</v>
      </c>
      <c r="AF532">
        <v>2</v>
      </c>
      <c r="AH532" t="s">
        <v>75</v>
      </c>
      <c r="AI532">
        <v>1</v>
      </c>
      <c r="AJ532" s="15"/>
      <c r="AK532" t="s">
        <v>74</v>
      </c>
      <c r="AN532" t="s">
        <v>45</v>
      </c>
      <c r="AO532" t="s">
        <v>45</v>
      </c>
      <c r="AP532"/>
      <c r="AQ532" t="s">
        <v>74</v>
      </c>
      <c r="AR532" s="18" t="str">
        <f>IFERROR(VLOOKUP(K532,[1]POP!$F:$J,1,0),M532)</f>
        <v>MAKARY</v>
      </c>
      <c r="AS532" s="18" t="str">
        <f t="shared" si="41"/>
        <v>BODO</v>
      </c>
      <c r="AT532" s="19">
        <f t="shared" si="44"/>
        <v>2</v>
      </c>
      <c r="AU532" s="19">
        <f t="shared" ca="1" si="43"/>
        <v>2</v>
      </c>
    </row>
    <row r="533" spans="1:47" x14ac:dyDescent="0.3">
      <c r="A533" t="s">
        <v>795</v>
      </c>
      <c r="B533" t="str">
        <f t="shared" si="40"/>
        <v>S29_2026</v>
      </c>
      <c r="C533" t="str">
        <f t="shared" si="42"/>
        <v>S29_2026</v>
      </c>
      <c r="E533" t="s">
        <v>539</v>
      </c>
      <c r="F533">
        <v>50</v>
      </c>
      <c r="G533" t="s">
        <v>40</v>
      </c>
      <c r="H533" t="s">
        <v>136</v>
      </c>
      <c r="I533" t="s">
        <v>371</v>
      </c>
      <c r="J533" t="s">
        <v>133</v>
      </c>
      <c r="K533" t="s">
        <v>116</v>
      </c>
      <c r="L533" t="s">
        <v>133</v>
      </c>
      <c r="M533" t="s">
        <v>116</v>
      </c>
      <c r="N533" t="s">
        <v>117</v>
      </c>
      <c r="O533" t="s">
        <v>117</v>
      </c>
      <c r="P533">
        <v>3</v>
      </c>
      <c r="Q533" s="7">
        <v>46221</v>
      </c>
      <c r="R533" s="7">
        <v>46221</v>
      </c>
      <c r="S533" s="7">
        <v>46221</v>
      </c>
      <c r="T533" t="s">
        <v>117</v>
      </c>
      <c r="V533" t="s">
        <v>360</v>
      </c>
      <c r="W533" t="s">
        <v>117</v>
      </c>
      <c r="X533" t="s">
        <v>117</v>
      </c>
      <c r="Y533" t="s">
        <v>117</v>
      </c>
      <c r="Z533" t="s">
        <v>117</v>
      </c>
      <c r="AC533" t="s">
        <v>74</v>
      </c>
      <c r="AF533">
        <v>2</v>
      </c>
      <c r="AH533" t="s">
        <v>75</v>
      </c>
      <c r="AI533">
        <v>1</v>
      </c>
      <c r="AJ533" s="15"/>
      <c r="AK533" t="s">
        <v>74</v>
      </c>
      <c r="AN533" t="s">
        <v>45</v>
      </c>
      <c r="AO533" t="s">
        <v>45</v>
      </c>
      <c r="AP533"/>
      <c r="AQ533" t="s">
        <v>74</v>
      </c>
      <c r="AR533" s="18" t="str">
        <f>IFERROR(VLOOKUP(K533,[1]POP!$F:$J,1,0),M533)</f>
        <v>MAKARY</v>
      </c>
      <c r="AS533" s="18" t="str">
        <f t="shared" si="41"/>
        <v>NGOUMA</v>
      </c>
      <c r="AT533" s="19">
        <f t="shared" si="44"/>
        <v>2</v>
      </c>
      <c r="AU533" s="19">
        <f t="shared" ca="1" si="43"/>
        <v>2</v>
      </c>
    </row>
    <row r="534" spans="1:47" x14ac:dyDescent="0.3">
      <c r="A534" t="s">
        <v>796</v>
      </c>
      <c r="B534" t="str">
        <f t="shared" si="40"/>
        <v>S29_2026</v>
      </c>
      <c r="C534" t="str">
        <f t="shared" si="42"/>
        <v>S29_2026</v>
      </c>
      <c r="E534" t="s">
        <v>539</v>
      </c>
      <c r="F534">
        <v>17</v>
      </c>
      <c r="G534" t="s">
        <v>40</v>
      </c>
      <c r="H534" t="s">
        <v>136</v>
      </c>
      <c r="I534" t="s">
        <v>371</v>
      </c>
      <c r="J534" t="s">
        <v>133</v>
      </c>
      <c r="K534" t="s">
        <v>116</v>
      </c>
      <c r="L534" t="s">
        <v>133</v>
      </c>
      <c r="M534" t="s">
        <v>116</v>
      </c>
      <c r="N534" t="s">
        <v>117</v>
      </c>
      <c r="O534" t="s">
        <v>117</v>
      </c>
      <c r="P534">
        <v>3</v>
      </c>
      <c r="Q534" s="7">
        <v>46221</v>
      </c>
      <c r="R534" s="7">
        <v>46221</v>
      </c>
      <c r="S534" s="7">
        <v>46221</v>
      </c>
      <c r="T534" t="s">
        <v>117</v>
      </c>
      <c r="V534" t="s">
        <v>360</v>
      </c>
      <c r="W534" t="s">
        <v>117</v>
      </c>
      <c r="X534" t="s">
        <v>117</v>
      </c>
      <c r="Y534" t="s">
        <v>117</v>
      </c>
      <c r="Z534" t="s">
        <v>117</v>
      </c>
      <c r="AC534" t="s">
        <v>74</v>
      </c>
      <c r="AF534">
        <v>2</v>
      </c>
      <c r="AH534" t="s">
        <v>75</v>
      </c>
      <c r="AI534">
        <v>1</v>
      </c>
      <c r="AJ534" s="15"/>
      <c r="AK534" t="s">
        <v>74</v>
      </c>
      <c r="AN534" t="s">
        <v>45</v>
      </c>
      <c r="AO534" t="s">
        <v>45</v>
      </c>
      <c r="AP534"/>
      <c r="AQ534" t="s">
        <v>74</v>
      </c>
      <c r="AR534" s="18" t="str">
        <f>IFERROR(VLOOKUP(K534,[1]POP!$F:$J,1,0),M534)</f>
        <v>MAKARY</v>
      </c>
      <c r="AS534" s="18" t="str">
        <f t="shared" si="41"/>
        <v>NGOUMA</v>
      </c>
      <c r="AT534" s="19">
        <f t="shared" si="44"/>
        <v>2</v>
      </c>
      <c r="AU534" s="19">
        <f t="shared" ca="1" si="43"/>
        <v>2</v>
      </c>
    </row>
    <row r="535" spans="1:47" x14ac:dyDescent="0.3">
      <c r="A535" t="s">
        <v>797</v>
      </c>
      <c r="B535" t="str">
        <f t="shared" si="40"/>
        <v>S29_2026</v>
      </c>
      <c r="C535" t="str">
        <f t="shared" si="42"/>
        <v>S29_2026</v>
      </c>
      <c r="E535" t="s">
        <v>539</v>
      </c>
      <c r="F535">
        <v>25</v>
      </c>
      <c r="G535" t="s">
        <v>55</v>
      </c>
      <c r="H535" t="s">
        <v>79</v>
      </c>
      <c r="I535" t="s">
        <v>371</v>
      </c>
      <c r="J535" t="s">
        <v>133</v>
      </c>
      <c r="K535" t="s">
        <v>116</v>
      </c>
      <c r="L535" t="s">
        <v>133</v>
      </c>
      <c r="M535" t="s">
        <v>116</v>
      </c>
      <c r="N535" t="s">
        <v>117</v>
      </c>
      <c r="O535" t="s">
        <v>117</v>
      </c>
      <c r="P535">
        <v>3</v>
      </c>
      <c r="Q535" s="7">
        <v>46221</v>
      </c>
      <c r="R535" s="7">
        <v>46221</v>
      </c>
      <c r="S535" s="7">
        <v>46221</v>
      </c>
      <c r="T535" t="s">
        <v>117</v>
      </c>
      <c r="V535" t="s">
        <v>360</v>
      </c>
      <c r="W535" t="s">
        <v>117</v>
      </c>
      <c r="X535" t="s">
        <v>117</v>
      </c>
      <c r="Y535" t="s">
        <v>117</v>
      </c>
      <c r="Z535" t="s">
        <v>117</v>
      </c>
      <c r="AC535" t="s">
        <v>74</v>
      </c>
      <c r="AF535">
        <v>2</v>
      </c>
      <c r="AH535" t="s">
        <v>75</v>
      </c>
      <c r="AI535">
        <v>1</v>
      </c>
      <c r="AJ535" s="15"/>
      <c r="AK535" t="s">
        <v>74</v>
      </c>
      <c r="AN535" t="s">
        <v>45</v>
      </c>
      <c r="AO535" t="s">
        <v>45</v>
      </c>
      <c r="AP535"/>
      <c r="AQ535" t="s">
        <v>74</v>
      </c>
      <c r="AR535" s="18" t="str">
        <f>IFERROR(VLOOKUP(K535,[1]POP!$F:$J,1,0),M535)</f>
        <v>MAKARY</v>
      </c>
      <c r="AS535" s="18" t="str">
        <f t="shared" si="41"/>
        <v>NGOUMA</v>
      </c>
      <c r="AT535" s="19">
        <f t="shared" si="44"/>
        <v>2</v>
      </c>
      <c r="AU535" s="19">
        <f t="shared" ca="1" si="43"/>
        <v>2</v>
      </c>
    </row>
    <row r="536" spans="1:47" x14ac:dyDescent="0.3">
      <c r="A536" t="s">
        <v>798</v>
      </c>
      <c r="B536" t="str">
        <f t="shared" si="40"/>
        <v>S29_2026</v>
      </c>
      <c r="C536" t="str">
        <f t="shared" si="42"/>
        <v>S29_2026</v>
      </c>
      <c r="E536" t="s">
        <v>539</v>
      </c>
      <c r="F536">
        <v>3</v>
      </c>
      <c r="G536" t="s">
        <v>55</v>
      </c>
      <c r="H536" t="s">
        <v>655</v>
      </c>
      <c r="I536" t="s">
        <v>371</v>
      </c>
      <c r="J536" t="s">
        <v>133</v>
      </c>
      <c r="K536" t="s">
        <v>116</v>
      </c>
      <c r="L536" t="s">
        <v>133</v>
      </c>
      <c r="M536" t="s">
        <v>116</v>
      </c>
      <c r="N536" t="s">
        <v>117</v>
      </c>
      <c r="O536" t="s">
        <v>117</v>
      </c>
      <c r="P536">
        <v>3</v>
      </c>
      <c r="Q536" s="7">
        <v>46221</v>
      </c>
      <c r="R536" s="7">
        <v>46221</v>
      </c>
      <c r="S536" s="7">
        <v>46221</v>
      </c>
      <c r="T536" t="s">
        <v>117</v>
      </c>
      <c r="V536" t="s">
        <v>360</v>
      </c>
      <c r="W536" t="s">
        <v>117</v>
      </c>
      <c r="X536" t="s">
        <v>117</v>
      </c>
      <c r="Y536" t="s">
        <v>117</v>
      </c>
      <c r="Z536" t="s">
        <v>117</v>
      </c>
      <c r="AC536" t="s">
        <v>74</v>
      </c>
      <c r="AF536">
        <v>2</v>
      </c>
      <c r="AH536" t="s">
        <v>75</v>
      </c>
      <c r="AI536">
        <v>1</v>
      </c>
      <c r="AJ536" s="15"/>
      <c r="AK536" t="s">
        <v>74</v>
      </c>
      <c r="AN536" t="s">
        <v>45</v>
      </c>
      <c r="AO536" t="s">
        <v>45</v>
      </c>
      <c r="AP536"/>
      <c r="AQ536" t="s">
        <v>74</v>
      </c>
      <c r="AR536" s="18" t="str">
        <f>IFERROR(VLOOKUP(K536,[1]POP!$F:$J,1,0),M536)</f>
        <v>MAKARY</v>
      </c>
      <c r="AS536" s="18" t="str">
        <f t="shared" si="41"/>
        <v>NGOUMA</v>
      </c>
      <c r="AT536" s="19">
        <f t="shared" si="44"/>
        <v>2</v>
      </c>
      <c r="AU536" s="19">
        <f t="shared" ca="1" si="43"/>
        <v>2</v>
      </c>
    </row>
    <row r="537" spans="1:47" x14ac:dyDescent="0.3">
      <c r="A537" t="s">
        <v>799</v>
      </c>
      <c r="B537" t="str">
        <f t="shared" si="40"/>
        <v>S29_2026</v>
      </c>
      <c r="C537" t="str">
        <f t="shared" si="42"/>
        <v>S29_2026</v>
      </c>
      <c r="E537" t="s">
        <v>539</v>
      </c>
      <c r="F537">
        <v>4</v>
      </c>
      <c r="G537" t="s">
        <v>40</v>
      </c>
      <c r="H537" t="s">
        <v>655</v>
      </c>
      <c r="I537" t="s">
        <v>371</v>
      </c>
      <c r="J537" t="s">
        <v>133</v>
      </c>
      <c r="K537" t="s">
        <v>116</v>
      </c>
      <c r="L537" t="s">
        <v>133</v>
      </c>
      <c r="M537" t="s">
        <v>116</v>
      </c>
      <c r="N537" t="s">
        <v>117</v>
      </c>
      <c r="O537" t="s">
        <v>117</v>
      </c>
      <c r="P537">
        <v>3</v>
      </c>
      <c r="Q537" s="7">
        <v>46221</v>
      </c>
      <c r="R537" s="7">
        <v>46221</v>
      </c>
      <c r="S537" s="7">
        <v>46221</v>
      </c>
      <c r="T537" t="s">
        <v>117</v>
      </c>
      <c r="V537" t="s">
        <v>360</v>
      </c>
      <c r="W537" t="s">
        <v>117</v>
      </c>
      <c r="X537" t="s">
        <v>117</v>
      </c>
      <c r="Y537" t="s">
        <v>117</v>
      </c>
      <c r="Z537" t="s">
        <v>117</v>
      </c>
      <c r="AC537" t="s">
        <v>74</v>
      </c>
      <c r="AF537">
        <v>2</v>
      </c>
      <c r="AH537" t="s">
        <v>75</v>
      </c>
      <c r="AI537">
        <v>1</v>
      </c>
      <c r="AJ537" s="15"/>
      <c r="AK537" t="s">
        <v>74</v>
      </c>
      <c r="AN537" t="s">
        <v>45</v>
      </c>
      <c r="AO537" t="s">
        <v>45</v>
      </c>
      <c r="AP537"/>
      <c r="AQ537" t="s">
        <v>74</v>
      </c>
      <c r="AR537" s="18" t="str">
        <f>IFERROR(VLOOKUP(K537,[1]POP!$F:$J,1,0),M537)</f>
        <v>MAKARY</v>
      </c>
      <c r="AS537" s="18" t="str">
        <f t="shared" si="41"/>
        <v>NGOUMA</v>
      </c>
      <c r="AT537" s="19">
        <f t="shared" si="44"/>
        <v>2</v>
      </c>
      <c r="AU537" s="19">
        <f t="shared" ca="1" si="43"/>
        <v>2</v>
      </c>
    </row>
    <row r="538" spans="1:47" x14ac:dyDescent="0.3">
      <c r="A538" t="s">
        <v>800</v>
      </c>
      <c r="B538" t="str">
        <f t="shared" si="40"/>
        <v>S29_2026</v>
      </c>
      <c r="C538" t="str">
        <f t="shared" si="42"/>
        <v>S29_2026</v>
      </c>
      <c r="E538" t="s">
        <v>539</v>
      </c>
      <c r="F538">
        <v>4</v>
      </c>
      <c r="G538" t="s">
        <v>55</v>
      </c>
      <c r="H538" t="s">
        <v>655</v>
      </c>
      <c r="I538" t="s">
        <v>371</v>
      </c>
      <c r="J538" t="s">
        <v>133</v>
      </c>
      <c r="K538" t="s">
        <v>116</v>
      </c>
      <c r="L538" t="s">
        <v>133</v>
      </c>
      <c r="M538" t="s">
        <v>116</v>
      </c>
      <c r="N538" t="s">
        <v>117</v>
      </c>
      <c r="O538" t="s">
        <v>117</v>
      </c>
      <c r="P538">
        <v>3</v>
      </c>
      <c r="Q538" s="7">
        <v>46221</v>
      </c>
      <c r="R538" s="7">
        <v>46221</v>
      </c>
      <c r="S538" s="7">
        <v>46221</v>
      </c>
      <c r="T538" t="s">
        <v>117</v>
      </c>
      <c r="V538" t="s">
        <v>360</v>
      </c>
      <c r="W538" t="s">
        <v>117</v>
      </c>
      <c r="X538" t="s">
        <v>117</v>
      </c>
      <c r="Y538" t="s">
        <v>117</v>
      </c>
      <c r="Z538" t="s">
        <v>117</v>
      </c>
      <c r="AC538" t="s">
        <v>74</v>
      </c>
      <c r="AF538">
        <v>2</v>
      </c>
      <c r="AH538" t="s">
        <v>75</v>
      </c>
      <c r="AI538">
        <v>1</v>
      </c>
      <c r="AJ538" s="15"/>
      <c r="AK538" t="s">
        <v>74</v>
      </c>
      <c r="AN538" t="s">
        <v>45</v>
      </c>
      <c r="AO538" t="s">
        <v>45</v>
      </c>
      <c r="AP538"/>
      <c r="AQ538" t="s">
        <v>74</v>
      </c>
      <c r="AR538" s="18" t="str">
        <f>IFERROR(VLOOKUP(K538,[1]POP!$F:$J,1,0),M538)</f>
        <v>MAKARY</v>
      </c>
      <c r="AS538" s="18" t="str">
        <f t="shared" si="41"/>
        <v>NGOUMA</v>
      </c>
      <c r="AT538" s="19">
        <f t="shared" si="44"/>
        <v>2</v>
      </c>
      <c r="AU538" s="19">
        <f t="shared" ca="1" si="43"/>
        <v>2</v>
      </c>
    </row>
    <row r="539" spans="1:47" x14ac:dyDescent="0.3">
      <c r="A539" t="s">
        <v>801</v>
      </c>
      <c r="B539" t="str">
        <f t="shared" si="40"/>
        <v>S29_2026</v>
      </c>
      <c r="C539" t="str">
        <f t="shared" si="42"/>
        <v>S29_2026</v>
      </c>
      <c r="E539" t="s">
        <v>539</v>
      </c>
      <c r="F539">
        <v>25</v>
      </c>
      <c r="G539" t="s">
        <v>55</v>
      </c>
      <c r="H539" t="s">
        <v>70</v>
      </c>
      <c r="I539" t="s">
        <v>371</v>
      </c>
      <c r="J539" t="s">
        <v>133</v>
      </c>
      <c r="K539" t="s">
        <v>116</v>
      </c>
      <c r="L539" t="s">
        <v>133</v>
      </c>
      <c r="M539" t="s">
        <v>116</v>
      </c>
      <c r="N539" t="s">
        <v>117</v>
      </c>
      <c r="O539" t="s">
        <v>117</v>
      </c>
      <c r="P539">
        <v>3</v>
      </c>
      <c r="Q539" s="7">
        <v>46221</v>
      </c>
      <c r="R539" s="7">
        <v>46221</v>
      </c>
      <c r="S539" s="7">
        <v>46221</v>
      </c>
      <c r="T539" t="s">
        <v>117</v>
      </c>
      <c r="V539" t="s">
        <v>360</v>
      </c>
      <c r="W539" t="s">
        <v>117</v>
      </c>
      <c r="X539" t="s">
        <v>117</v>
      </c>
      <c r="Y539" t="s">
        <v>117</v>
      </c>
      <c r="Z539" t="s">
        <v>117</v>
      </c>
      <c r="AC539" t="s">
        <v>74</v>
      </c>
      <c r="AF539">
        <v>2</v>
      </c>
      <c r="AH539" t="s">
        <v>75</v>
      </c>
      <c r="AI539">
        <v>1</v>
      </c>
      <c r="AJ539" s="15"/>
      <c r="AK539" t="s">
        <v>74</v>
      </c>
      <c r="AN539" t="s">
        <v>45</v>
      </c>
      <c r="AO539" t="s">
        <v>45</v>
      </c>
      <c r="AP539"/>
      <c r="AQ539" t="s">
        <v>74</v>
      </c>
      <c r="AR539" s="18" t="str">
        <f>IFERROR(VLOOKUP(K539,[1]POP!$F:$J,1,0),M539)</f>
        <v>MAKARY</v>
      </c>
      <c r="AS539" s="18" t="str">
        <f t="shared" si="41"/>
        <v>NGOUMA</v>
      </c>
      <c r="AT539" s="19">
        <f t="shared" si="44"/>
        <v>2</v>
      </c>
      <c r="AU539" s="19">
        <f t="shared" ca="1" si="43"/>
        <v>2</v>
      </c>
    </row>
    <row r="540" spans="1:47" x14ac:dyDescent="0.3">
      <c r="A540" t="s">
        <v>802</v>
      </c>
      <c r="B540" t="str">
        <f t="shared" si="40"/>
        <v>S29_2026</v>
      </c>
      <c r="C540" t="str">
        <f t="shared" si="42"/>
        <v>S29_2026</v>
      </c>
      <c r="F540">
        <v>30</v>
      </c>
      <c r="G540" t="s">
        <v>40</v>
      </c>
      <c r="H540" t="s">
        <v>136</v>
      </c>
      <c r="I540" t="s">
        <v>803</v>
      </c>
      <c r="J540" t="s">
        <v>133</v>
      </c>
      <c r="K540" t="s">
        <v>116</v>
      </c>
      <c r="L540" t="s">
        <v>133</v>
      </c>
      <c r="M540" t="s">
        <v>116</v>
      </c>
      <c r="N540" t="s">
        <v>117</v>
      </c>
      <c r="O540" t="s">
        <v>117</v>
      </c>
      <c r="P540">
        <v>3</v>
      </c>
      <c r="Q540" s="7">
        <v>46221</v>
      </c>
      <c r="R540" s="7">
        <v>46221</v>
      </c>
      <c r="S540" s="7">
        <v>46221</v>
      </c>
      <c r="T540" t="s">
        <v>117</v>
      </c>
      <c r="V540" t="s">
        <v>360</v>
      </c>
      <c r="W540" t="s">
        <v>117</v>
      </c>
      <c r="X540" t="s">
        <v>117</v>
      </c>
      <c r="Y540" t="s">
        <v>117</v>
      </c>
      <c r="Z540" t="s">
        <v>117</v>
      </c>
      <c r="AC540" t="s">
        <v>74</v>
      </c>
      <c r="AF540">
        <v>2</v>
      </c>
      <c r="AH540" t="s">
        <v>75</v>
      </c>
      <c r="AI540">
        <v>1</v>
      </c>
      <c r="AJ540" s="15"/>
      <c r="AK540" t="s">
        <v>74</v>
      </c>
      <c r="AN540" t="s">
        <v>45</v>
      </c>
      <c r="AO540" t="s">
        <v>45</v>
      </c>
      <c r="AP540"/>
      <c r="AQ540" t="s">
        <v>74</v>
      </c>
      <c r="AR540" s="18" t="str">
        <f>IFERROR(VLOOKUP(K540,[1]POP!$F:$J,1,0),M540)</f>
        <v>MAKARY</v>
      </c>
      <c r="AS540" s="18" t="str">
        <f t="shared" si="41"/>
        <v>NGOUMA</v>
      </c>
      <c r="AT540" s="19">
        <f t="shared" si="44"/>
        <v>2</v>
      </c>
      <c r="AU540" s="19">
        <f t="shared" ca="1" si="43"/>
        <v>2</v>
      </c>
    </row>
    <row r="541" spans="1:47" x14ac:dyDescent="0.3">
      <c r="A541" t="s">
        <v>804</v>
      </c>
      <c r="B541" t="str">
        <f t="shared" si="40"/>
        <v>S29_2026</v>
      </c>
      <c r="C541" t="str">
        <f t="shared" si="42"/>
        <v>S29_2026</v>
      </c>
      <c r="E541" t="s">
        <v>539</v>
      </c>
      <c r="F541">
        <v>3</v>
      </c>
      <c r="G541" t="s">
        <v>55</v>
      </c>
      <c r="H541" t="s">
        <v>655</v>
      </c>
      <c r="I541" t="s">
        <v>371</v>
      </c>
      <c r="J541" t="s">
        <v>133</v>
      </c>
      <c r="K541" t="s">
        <v>116</v>
      </c>
      <c r="L541" t="s">
        <v>133</v>
      </c>
      <c r="M541" t="s">
        <v>116</v>
      </c>
      <c r="N541" t="s">
        <v>117</v>
      </c>
      <c r="O541" t="s">
        <v>117</v>
      </c>
      <c r="P541">
        <v>3</v>
      </c>
      <c r="Q541" s="7">
        <v>46222</v>
      </c>
      <c r="R541" s="7">
        <v>46222</v>
      </c>
      <c r="S541" s="7">
        <v>46222</v>
      </c>
      <c r="T541" t="s">
        <v>117</v>
      </c>
      <c r="V541" t="s">
        <v>360</v>
      </c>
      <c r="W541" t="s">
        <v>117</v>
      </c>
      <c r="X541" t="s">
        <v>117</v>
      </c>
      <c r="Y541" t="s">
        <v>117</v>
      </c>
      <c r="Z541" t="s">
        <v>117</v>
      </c>
      <c r="AC541" t="s">
        <v>74</v>
      </c>
      <c r="AF541">
        <v>2</v>
      </c>
      <c r="AH541" t="s">
        <v>75</v>
      </c>
      <c r="AI541">
        <v>1</v>
      </c>
      <c r="AJ541" s="15"/>
      <c r="AK541" t="s">
        <v>74</v>
      </c>
      <c r="AN541" t="s">
        <v>45</v>
      </c>
      <c r="AO541" t="s">
        <v>45</v>
      </c>
      <c r="AP541"/>
      <c r="AQ541" t="s">
        <v>74</v>
      </c>
      <c r="AR541" s="18" t="str">
        <f>IFERROR(VLOOKUP(K541,[1]POP!$F:$J,1,0),M541)</f>
        <v>MAKARY</v>
      </c>
      <c r="AS541" s="18" t="str">
        <f t="shared" si="41"/>
        <v>NGOUMA</v>
      </c>
      <c r="AT541" s="19">
        <f t="shared" si="44"/>
        <v>2</v>
      </c>
      <c r="AU541" s="19">
        <f t="shared" ca="1" si="43"/>
        <v>2</v>
      </c>
    </row>
    <row r="542" spans="1:47" x14ac:dyDescent="0.3">
      <c r="A542" t="s">
        <v>805</v>
      </c>
      <c r="B542" t="str">
        <f t="shared" si="40"/>
        <v>S29_2026</v>
      </c>
      <c r="C542" t="str">
        <f t="shared" si="42"/>
        <v>S29_2026</v>
      </c>
      <c r="E542" t="s">
        <v>539</v>
      </c>
      <c r="F542">
        <v>13</v>
      </c>
      <c r="G542" t="s">
        <v>40</v>
      </c>
      <c r="H542" t="s">
        <v>655</v>
      </c>
      <c r="I542" t="s">
        <v>371</v>
      </c>
      <c r="J542" t="s">
        <v>133</v>
      </c>
      <c r="K542" t="s">
        <v>116</v>
      </c>
      <c r="L542" t="s">
        <v>133</v>
      </c>
      <c r="M542" t="s">
        <v>116</v>
      </c>
      <c r="N542" t="s">
        <v>117</v>
      </c>
      <c r="O542" t="s">
        <v>117</v>
      </c>
      <c r="P542">
        <v>3</v>
      </c>
      <c r="Q542" s="7">
        <v>46222</v>
      </c>
      <c r="R542" s="7">
        <v>46222</v>
      </c>
      <c r="S542" s="7">
        <v>46222</v>
      </c>
      <c r="T542" t="s">
        <v>117</v>
      </c>
      <c r="V542" t="s">
        <v>360</v>
      </c>
      <c r="W542" t="s">
        <v>117</v>
      </c>
      <c r="X542" t="s">
        <v>117</v>
      </c>
      <c r="Y542" t="s">
        <v>117</v>
      </c>
      <c r="Z542" t="s">
        <v>117</v>
      </c>
      <c r="AC542" t="s">
        <v>74</v>
      </c>
      <c r="AF542">
        <v>2</v>
      </c>
      <c r="AH542" t="s">
        <v>75</v>
      </c>
      <c r="AI542">
        <v>1</v>
      </c>
      <c r="AJ542" s="15"/>
      <c r="AK542" t="s">
        <v>74</v>
      </c>
      <c r="AN542" t="s">
        <v>45</v>
      </c>
      <c r="AO542" t="s">
        <v>45</v>
      </c>
      <c r="AP542"/>
      <c r="AQ542" t="s">
        <v>74</v>
      </c>
      <c r="AR542" s="18" t="str">
        <f>IFERROR(VLOOKUP(K542,[1]POP!$F:$J,1,0),M542)</f>
        <v>MAKARY</v>
      </c>
      <c r="AS542" s="18" t="str">
        <f t="shared" si="41"/>
        <v>NGOUMA</v>
      </c>
      <c r="AT542" s="19">
        <f t="shared" si="44"/>
        <v>2</v>
      </c>
      <c r="AU542" s="19">
        <f t="shared" ca="1" si="43"/>
        <v>2</v>
      </c>
    </row>
    <row r="543" spans="1:47" x14ac:dyDescent="0.3">
      <c r="A543" t="s">
        <v>806</v>
      </c>
      <c r="B543" t="str">
        <f t="shared" si="40"/>
        <v>S29_2026</v>
      </c>
      <c r="C543" t="str">
        <f t="shared" si="42"/>
        <v>S29_2026</v>
      </c>
      <c r="E543" t="s">
        <v>539</v>
      </c>
      <c r="F543">
        <v>13</v>
      </c>
      <c r="G543" t="s">
        <v>40</v>
      </c>
      <c r="H543" t="s">
        <v>655</v>
      </c>
      <c r="I543" t="s">
        <v>371</v>
      </c>
      <c r="J543" t="s">
        <v>133</v>
      </c>
      <c r="K543" t="s">
        <v>116</v>
      </c>
      <c r="L543" t="s">
        <v>133</v>
      </c>
      <c r="M543" t="s">
        <v>116</v>
      </c>
      <c r="N543" t="s">
        <v>117</v>
      </c>
      <c r="O543" t="s">
        <v>117</v>
      </c>
      <c r="P543">
        <v>3</v>
      </c>
      <c r="Q543" s="7">
        <v>46222</v>
      </c>
      <c r="R543" s="7">
        <v>46222</v>
      </c>
      <c r="S543" s="7">
        <v>46222</v>
      </c>
      <c r="T543" t="s">
        <v>117</v>
      </c>
      <c r="V543" t="s">
        <v>360</v>
      </c>
      <c r="W543" t="s">
        <v>117</v>
      </c>
      <c r="X543" t="s">
        <v>117</v>
      </c>
      <c r="Y543" t="s">
        <v>117</v>
      </c>
      <c r="Z543" t="s">
        <v>117</v>
      </c>
      <c r="AC543" t="s">
        <v>74</v>
      </c>
      <c r="AF543">
        <v>2</v>
      </c>
      <c r="AH543" t="s">
        <v>75</v>
      </c>
      <c r="AI543">
        <v>1</v>
      </c>
      <c r="AJ543" s="15"/>
      <c r="AK543" t="s">
        <v>74</v>
      </c>
      <c r="AN543" t="s">
        <v>86</v>
      </c>
      <c r="AO543" t="s">
        <v>663</v>
      </c>
      <c r="AP543">
        <v>7</v>
      </c>
      <c r="AQ543" t="s">
        <v>74</v>
      </c>
      <c r="AR543" s="18" t="str">
        <f>IFERROR(VLOOKUP(K543,[1]POP!$F:$J,1,0),M543)</f>
        <v>MAKARY</v>
      </c>
      <c r="AS543" s="18" t="str">
        <f t="shared" si="41"/>
        <v>NGOUMA</v>
      </c>
      <c r="AT543" s="19">
        <f t="shared" si="44"/>
        <v>2</v>
      </c>
      <c r="AU543" s="19">
        <f t="shared" ca="1" si="43"/>
        <v>2</v>
      </c>
    </row>
    <row r="544" spans="1:47" x14ac:dyDescent="0.3">
      <c r="A544" t="s">
        <v>807</v>
      </c>
      <c r="B544" t="str">
        <f t="shared" si="40"/>
        <v>S29_2026</v>
      </c>
      <c r="C544" t="str">
        <f t="shared" si="42"/>
        <v>S29_2026</v>
      </c>
      <c r="E544" t="s">
        <v>539</v>
      </c>
      <c r="F544">
        <v>10</v>
      </c>
      <c r="G544" t="s">
        <v>40</v>
      </c>
      <c r="H544" t="s">
        <v>655</v>
      </c>
      <c r="I544" t="s">
        <v>371</v>
      </c>
      <c r="J544" t="s">
        <v>133</v>
      </c>
      <c r="K544" t="s">
        <v>116</v>
      </c>
      <c r="L544" t="s">
        <v>133</v>
      </c>
      <c r="M544" t="s">
        <v>116</v>
      </c>
      <c r="N544" t="s">
        <v>117</v>
      </c>
      <c r="O544" t="s">
        <v>117</v>
      </c>
      <c r="P544">
        <v>3</v>
      </c>
      <c r="Q544" s="7">
        <v>46222</v>
      </c>
      <c r="R544" s="7">
        <v>46222</v>
      </c>
      <c r="S544" s="7">
        <v>46222</v>
      </c>
      <c r="T544" t="s">
        <v>117</v>
      </c>
      <c r="V544" t="s">
        <v>360</v>
      </c>
      <c r="W544" t="s">
        <v>117</v>
      </c>
      <c r="X544" t="s">
        <v>117</v>
      </c>
      <c r="Y544" t="s">
        <v>117</v>
      </c>
      <c r="Z544" t="s">
        <v>117</v>
      </c>
      <c r="AC544" t="s">
        <v>74</v>
      </c>
      <c r="AF544">
        <v>2</v>
      </c>
      <c r="AH544" t="s">
        <v>75</v>
      </c>
      <c r="AI544">
        <v>1</v>
      </c>
      <c r="AJ544" s="15"/>
      <c r="AK544" t="s">
        <v>74</v>
      </c>
      <c r="AN544" t="s">
        <v>86</v>
      </c>
      <c r="AO544" t="s">
        <v>663</v>
      </c>
      <c r="AP544">
        <v>7</v>
      </c>
      <c r="AQ544" t="s">
        <v>74</v>
      </c>
      <c r="AR544" s="18" t="str">
        <f>IFERROR(VLOOKUP(K544,[1]POP!$F:$J,1,0),M544)</f>
        <v>MAKARY</v>
      </c>
      <c r="AS544" s="18" t="str">
        <f t="shared" si="41"/>
        <v>NGOUMA</v>
      </c>
      <c r="AT544" s="19">
        <f t="shared" si="44"/>
        <v>2</v>
      </c>
      <c r="AU544" s="19">
        <f t="shared" ca="1" si="43"/>
        <v>2</v>
      </c>
    </row>
    <row r="545" spans="1:47" x14ac:dyDescent="0.3">
      <c r="A545" t="s">
        <v>808</v>
      </c>
      <c r="B545" t="str">
        <f t="shared" si="40"/>
        <v>S29_2026</v>
      </c>
      <c r="C545" t="str">
        <f t="shared" si="42"/>
        <v>S29_2026</v>
      </c>
      <c r="E545" t="s">
        <v>539</v>
      </c>
      <c r="F545">
        <v>12</v>
      </c>
      <c r="G545" t="s">
        <v>55</v>
      </c>
      <c r="H545" t="s">
        <v>655</v>
      </c>
      <c r="I545" t="s">
        <v>371</v>
      </c>
      <c r="J545" t="s">
        <v>133</v>
      </c>
      <c r="K545" t="s">
        <v>116</v>
      </c>
      <c r="L545" t="s">
        <v>133</v>
      </c>
      <c r="M545" t="s">
        <v>116</v>
      </c>
      <c r="N545" t="s">
        <v>117</v>
      </c>
      <c r="O545" t="s">
        <v>117</v>
      </c>
      <c r="P545">
        <v>3</v>
      </c>
      <c r="Q545" s="7">
        <v>46222</v>
      </c>
      <c r="R545" s="7">
        <v>46222</v>
      </c>
      <c r="S545" s="7">
        <v>46222</v>
      </c>
      <c r="T545" t="s">
        <v>117</v>
      </c>
      <c r="V545" t="s">
        <v>360</v>
      </c>
      <c r="W545" t="s">
        <v>117</v>
      </c>
      <c r="X545" t="s">
        <v>117</v>
      </c>
      <c r="Y545" t="s">
        <v>117</v>
      </c>
      <c r="Z545" t="s">
        <v>117</v>
      </c>
      <c r="AC545" t="s">
        <v>74</v>
      </c>
      <c r="AF545">
        <v>2</v>
      </c>
      <c r="AH545" t="s">
        <v>75</v>
      </c>
      <c r="AI545">
        <v>1</v>
      </c>
      <c r="AJ545" s="15"/>
      <c r="AK545" t="s">
        <v>74</v>
      </c>
      <c r="AN545" t="s">
        <v>74</v>
      </c>
      <c r="AO545" t="s">
        <v>86</v>
      </c>
      <c r="AP545">
        <v>7</v>
      </c>
      <c r="AQ545" t="s">
        <v>45</v>
      </c>
      <c r="AR545" s="18" t="str">
        <f>IFERROR(VLOOKUP(K545,[1]POP!$F:$J,1,0),M545)</f>
        <v>MAKARY</v>
      </c>
      <c r="AS545" s="18" t="str">
        <f t="shared" si="41"/>
        <v>NGOUMA</v>
      </c>
      <c r="AT545" s="19">
        <f t="shared" si="44"/>
        <v>2</v>
      </c>
      <c r="AU545" s="19">
        <f t="shared" ca="1" si="43"/>
        <v>2</v>
      </c>
    </row>
    <row r="546" spans="1:47" x14ac:dyDescent="0.3">
      <c r="A546" t="s">
        <v>809</v>
      </c>
      <c r="B546" t="str">
        <f t="shared" si="40"/>
        <v>S29_2026</v>
      </c>
      <c r="C546" t="str">
        <f t="shared" si="42"/>
        <v>S29_2026</v>
      </c>
      <c r="E546" t="s">
        <v>539</v>
      </c>
      <c r="F546">
        <v>33</v>
      </c>
      <c r="G546" t="s">
        <v>40</v>
      </c>
      <c r="H546" t="s">
        <v>136</v>
      </c>
      <c r="I546" t="s">
        <v>371</v>
      </c>
      <c r="J546" t="s">
        <v>133</v>
      </c>
      <c r="K546" t="s">
        <v>116</v>
      </c>
      <c r="L546" t="s">
        <v>133</v>
      </c>
      <c r="M546" t="s">
        <v>116</v>
      </c>
      <c r="N546" t="s">
        <v>117</v>
      </c>
      <c r="O546" t="s">
        <v>117</v>
      </c>
      <c r="P546">
        <v>3</v>
      </c>
      <c r="Q546" s="7">
        <v>46222</v>
      </c>
      <c r="R546" s="7">
        <v>46222</v>
      </c>
      <c r="S546" s="7">
        <v>46222</v>
      </c>
      <c r="T546" t="s">
        <v>117</v>
      </c>
      <c r="V546" t="s">
        <v>360</v>
      </c>
      <c r="W546" t="s">
        <v>117</v>
      </c>
      <c r="X546" t="s">
        <v>117</v>
      </c>
      <c r="Y546" t="s">
        <v>117</v>
      </c>
      <c r="Z546" t="s">
        <v>117</v>
      </c>
      <c r="AC546" t="s">
        <v>74</v>
      </c>
      <c r="AF546">
        <v>2</v>
      </c>
      <c r="AH546" t="s">
        <v>75</v>
      </c>
      <c r="AI546">
        <v>1</v>
      </c>
      <c r="AJ546" s="15"/>
      <c r="AK546" t="s">
        <v>74</v>
      </c>
      <c r="AN546" t="s">
        <v>74</v>
      </c>
      <c r="AO546" t="s">
        <v>86</v>
      </c>
      <c r="AP546">
        <v>6</v>
      </c>
      <c r="AQ546" t="s">
        <v>86</v>
      </c>
      <c r="AR546" s="18" t="str">
        <f>IFERROR(VLOOKUP(K546,[1]POP!$F:$J,1,0),M546)</f>
        <v>MAKARY</v>
      </c>
      <c r="AS546" s="18" t="str">
        <f t="shared" si="41"/>
        <v>NGOUMA</v>
      </c>
      <c r="AT546" s="19">
        <f t="shared" si="44"/>
        <v>2</v>
      </c>
      <c r="AU546" s="19">
        <f t="shared" ca="1" si="43"/>
        <v>2</v>
      </c>
    </row>
    <row r="547" spans="1:47" x14ac:dyDescent="0.3">
      <c r="A547" t="s">
        <v>810</v>
      </c>
      <c r="B547" t="str">
        <f t="shared" si="40"/>
        <v>S29_2026</v>
      </c>
      <c r="C547" t="str">
        <f t="shared" si="42"/>
        <v>S29_2026</v>
      </c>
      <c r="E547" t="s">
        <v>135</v>
      </c>
      <c r="F547">
        <v>8</v>
      </c>
      <c r="G547" t="s">
        <v>40</v>
      </c>
      <c r="H547" t="s">
        <v>655</v>
      </c>
      <c r="I547" t="s">
        <v>803</v>
      </c>
      <c r="J547" t="s">
        <v>133</v>
      </c>
      <c r="K547" t="s">
        <v>116</v>
      </c>
      <c r="L547" t="s">
        <v>133</v>
      </c>
      <c r="M547" t="s">
        <v>116</v>
      </c>
      <c r="N547" t="s">
        <v>117</v>
      </c>
      <c r="O547" t="s">
        <v>117</v>
      </c>
      <c r="P547">
        <v>3</v>
      </c>
      <c r="Q547" s="7">
        <v>46222</v>
      </c>
      <c r="R547" s="7">
        <v>46222</v>
      </c>
      <c r="S547" s="7">
        <v>46222</v>
      </c>
      <c r="T547" t="s">
        <v>117</v>
      </c>
      <c r="V547" t="s">
        <v>360</v>
      </c>
      <c r="W547" t="s">
        <v>117</v>
      </c>
      <c r="X547" t="s">
        <v>117</v>
      </c>
      <c r="Y547" t="s">
        <v>117</v>
      </c>
      <c r="Z547" t="s">
        <v>117</v>
      </c>
      <c r="AC547" t="s">
        <v>74</v>
      </c>
      <c r="AF547">
        <v>2</v>
      </c>
      <c r="AH547" t="s">
        <v>75</v>
      </c>
      <c r="AI547">
        <v>1</v>
      </c>
      <c r="AJ547" s="15"/>
      <c r="AK547" t="s">
        <v>74</v>
      </c>
      <c r="AN547" t="s">
        <v>2749</v>
      </c>
      <c r="AO547" t="s">
        <v>45</v>
      </c>
      <c r="AP547">
        <v>8</v>
      </c>
      <c r="AQ547" t="s">
        <v>45</v>
      </c>
      <c r="AR547" s="18" t="str">
        <f>IFERROR(VLOOKUP(K547,[1]POP!$F:$J,1,0),M547)</f>
        <v>MAKARY</v>
      </c>
      <c r="AS547" s="18" t="str">
        <f t="shared" si="41"/>
        <v>NGOUMA</v>
      </c>
      <c r="AT547" s="19">
        <f t="shared" si="44"/>
        <v>2</v>
      </c>
      <c r="AU547" s="19">
        <f t="shared" ca="1" si="43"/>
        <v>2</v>
      </c>
    </row>
    <row r="548" spans="1:47" x14ac:dyDescent="0.3">
      <c r="A548" t="s">
        <v>811</v>
      </c>
      <c r="B548" t="str">
        <f t="shared" si="40"/>
        <v>S29_2026</v>
      </c>
      <c r="C548" t="str">
        <f t="shared" si="42"/>
        <v>S29_2026</v>
      </c>
      <c r="E548" t="s">
        <v>539</v>
      </c>
      <c r="F548">
        <v>25</v>
      </c>
      <c r="G548" t="s">
        <v>55</v>
      </c>
      <c r="H548" t="s">
        <v>680</v>
      </c>
      <c r="I548" t="s">
        <v>371</v>
      </c>
      <c r="J548" t="s">
        <v>133</v>
      </c>
      <c r="K548" t="s">
        <v>116</v>
      </c>
      <c r="L548" t="s">
        <v>133</v>
      </c>
      <c r="M548" t="s">
        <v>116</v>
      </c>
      <c r="N548" t="s">
        <v>117</v>
      </c>
      <c r="O548" t="s">
        <v>117</v>
      </c>
      <c r="P548">
        <v>3</v>
      </c>
      <c r="Q548" s="7">
        <v>46222</v>
      </c>
      <c r="R548" s="7">
        <v>46222</v>
      </c>
      <c r="S548" s="7">
        <v>46222</v>
      </c>
      <c r="T548" t="s">
        <v>117</v>
      </c>
      <c r="V548" t="s">
        <v>360</v>
      </c>
      <c r="W548" t="s">
        <v>117</v>
      </c>
      <c r="X548" t="s">
        <v>117</v>
      </c>
      <c r="Y548" t="s">
        <v>117</v>
      </c>
      <c r="Z548" t="s">
        <v>117</v>
      </c>
      <c r="AC548" t="s">
        <v>74</v>
      </c>
      <c r="AF548">
        <v>2</v>
      </c>
      <c r="AH548" t="s">
        <v>75</v>
      </c>
      <c r="AI548">
        <v>1</v>
      </c>
      <c r="AJ548" s="15"/>
      <c r="AK548" t="s">
        <v>74</v>
      </c>
      <c r="AN548" t="s">
        <v>86</v>
      </c>
      <c r="AO548" t="s">
        <v>86</v>
      </c>
      <c r="AP548">
        <v>5</v>
      </c>
      <c r="AQ548" t="s">
        <v>45</v>
      </c>
      <c r="AR548" s="18" t="str">
        <f>IFERROR(VLOOKUP(K548,[1]POP!$F:$J,1,0),M548)</f>
        <v>MAKARY</v>
      </c>
      <c r="AS548" s="18" t="str">
        <f t="shared" si="41"/>
        <v>NGOUMA</v>
      </c>
      <c r="AT548" s="19">
        <f t="shared" si="44"/>
        <v>2</v>
      </c>
      <c r="AU548" s="19">
        <f t="shared" ca="1" si="43"/>
        <v>2</v>
      </c>
    </row>
    <row r="549" spans="1:47" x14ac:dyDescent="0.3">
      <c r="A549" t="s">
        <v>812</v>
      </c>
      <c r="B549" t="str">
        <f t="shared" si="40"/>
        <v>S29_2026</v>
      </c>
      <c r="C549" t="str">
        <f t="shared" si="42"/>
        <v>S29_2026</v>
      </c>
      <c r="E549" t="s">
        <v>156</v>
      </c>
      <c r="F549">
        <v>13</v>
      </c>
      <c r="G549" t="s">
        <v>40</v>
      </c>
      <c r="H549" t="s">
        <v>655</v>
      </c>
      <c r="I549" t="s">
        <v>813</v>
      </c>
      <c r="J549" t="s">
        <v>133</v>
      </c>
      <c r="K549" t="s">
        <v>116</v>
      </c>
      <c r="L549" t="s">
        <v>133</v>
      </c>
      <c r="M549" t="s">
        <v>116</v>
      </c>
      <c r="N549" t="s">
        <v>117</v>
      </c>
      <c r="O549" t="s">
        <v>117</v>
      </c>
      <c r="P549">
        <v>3</v>
      </c>
      <c r="Q549" s="7">
        <v>46222</v>
      </c>
      <c r="R549" s="7">
        <v>46222</v>
      </c>
      <c r="S549" s="7">
        <v>46222</v>
      </c>
      <c r="T549" t="s">
        <v>117</v>
      </c>
      <c r="V549" t="s">
        <v>360</v>
      </c>
      <c r="W549" t="s">
        <v>117</v>
      </c>
      <c r="X549" t="s">
        <v>117</v>
      </c>
      <c r="Y549" t="s">
        <v>117</v>
      </c>
      <c r="Z549" t="s">
        <v>117</v>
      </c>
      <c r="AC549" t="s">
        <v>74</v>
      </c>
      <c r="AF549">
        <v>2</v>
      </c>
      <c r="AH549" t="s">
        <v>75</v>
      </c>
      <c r="AI549">
        <v>1</v>
      </c>
      <c r="AJ549" s="15"/>
      <c r="AK549" t="s">
        <v>74</v>
      </c>
      <c r="AN549" t="s">
        <v>86</v>
      </c>
      <c r="AO549" t="s">
        <v>86</v>
      </c>
      <c r="AP549">
        <v>9</v>
      </c>
      <c r="AQ549" t="s">
        <v>45</v>
      </c>
      <c r="AR549" s="18" t="str">
        <f>IFERROR(VLOOKUP(K549,[1]POP!$F:$J,1,0),M549)</f>
        <v>MAKARY</v>
      </c>
      <c r="AS549" s="18" t="str">
        <f t="shared" si="41"/>
        <v>NGOUMA</v>
      </c>
      <c r="AT549" s="19">
        <f t="shared" si="44"/>
        <v>2</v>
      </c>
      <c r="AU549" s="19">
        <f t="shared" ca="1" si="43"/>
        <v>2</v>
      </c>
    </row>
    <row r="550" spans="1:47" x14ac:dyDescent="0.3">
      <c r="A550" t="s">
        <v>814</v>
      </c>
      <c r="B550" t="str">
        <f t="shared" si="40"/>
        <v>S29_2026</v>
      </c>
      <c r="C550" t="str">
        <f t="shared" si="42"/>
        <v>S29_2026</v>
      </c>
      <c r="E550" t="s">
        <v>135</v>
      </c>
      <c r="F550">
        <v>3</v>
      </c>
      <c r="G550" t="s">
        <v>40</v>
      </c>
      <c r="H550" t="s">
        <v>655</v>
      </c>
      <c r="I550" t="s">
        <v>803</v>
      </c>
      <c r="J550" t="s">
        <v>133</v>
      </c>
      <c r="K550" t="s">
        <v>116</v>
      </c>
      <c r="L550" t="s">
        <v>133</v>
      </c>
      <c r="M550" t="s">
        <v>116</v>
      </c>
      <c r="N550" t="s">
        <v>117</v>
      </c>
      <c r="O550" t="s">
        <v>117</v>
      </c>
      <c r="P550">
        <v>3</v>
      </c>
      <c r="Q550" s="7">
        <v>46222</v>
      </c>
      <c r="R550" s="7">
        <v>46222</v>
      </c>
      <c r="S550" s="7">
        <v>46222</v>
      </c>
      <c r="T550" t="s">
        <v>117</v>
      </c>
      <c r="V550" t="s">
        <v>360</v>
      </c>
      <c r="W550" t="s">
        <v>117</v>
      </c>
      <c r="X550" t="s">
        <v>117</v>
      </c>
      <c r="Y550" t="s">
        <v>117</v>
      </c>
      <c r="Z550" t="s">
        <v>117</v>
      </c>
      <c r="AC550" t="s">
        <v>74</v>
      </c>
      <c r="AF550">
        <v>2</v>
      </c>
      <c r="AH550" t="s">
        <v>75</v>
      </c>
      <c r="AI550">
        <v>1</v>
      </c>
      <c r="AJ550" s="15"/>
      <c r="AK550" t="s">
        <v>74</v>
      </c>
      <c r="AN550" t="s">
        <v>86</v>
      </c>
      <c r="AO550" t="s">
        <v>86</v>
      </c>
      <c r="AP550">
        <v>8</v>
      </c>
      <c r="AQ550" t="s">
        <v>45</v>
      </c>
      <c r="AR550" s="18" t="str">
        <f>IFERROR(VLOOKUP(K550,[1]POP!$F:$J,1,0),M550)</f>
        <v>MAKARY</v>
      </c>
      <c r="AS550" s="18" t="str">
        <f t="shared" si="41"/>
        <v>NGOUMA</v>
      </c>
      <c r="AT550" s="19">
        <f t="shared" si="44"/>
        <v>2</v>
      </c>
      <c r="AU550" s="19">
        <f t="shared" ca="1" si="43"/>
        <v>2</v>
      </c>
    </row>
    <row r="551" spans="1:47" x14ac:dyDescent="0.3">
      <c r="A551" t="s">
        <v>815</v>
      </c>
      <c r="B551" t="str">
        <f t="shared" si="40"/>
        <v>S29_2026</v>
      </c>
      <c r="C551" t="str">
        <f t="shared" si="42"/>
        <v>S29_2026</v>
      </c>
      <c r="E551" t="s">
        <v>539</v>
      </c>
      <c r="F551">
        <v>3</v>
      </c>
      <c r="G551" t="s">
        <v>55</v>
      </c>
      <c r="H551" t="s">
        <v>655</v>
      </c>
      <c r="I551" t="s">
        <v>371</v>
      </c>
      <c r="J551" t="s">
        <v>133</v>
      </c>
      <c r="K551" t="s">
        <v>116</v>
      </c>
      <c r="L551" t="s">
        <v>133</v>
      </c>
      <c r="M551" t="s">
        <v>116</v>
      </c>
      <c r="N551" t="s">
        <v>117</v>
      </c>
      <c r="O551" t="s">
        <v>117</v>
      </c>
      <c r="P551">
        <v>3</v>
      </c>
      <c r="Q551" s="7">
        <v>46222</v>
      </c>
      <c r="R551" s="7">
        <v>46222</v>
      </c>
      <c r="S551" s="7">
        <v>46222</v>
      </c>
      <c r="T551" t="s">
        <v>117</v>
      </c>
      <c r="V551" t="s">
        <v>360</v>
      </c>
      <c r="W551" t="s">
        <v>117</v>
      </c>
      <c r="X551" t="s">
        <v>117</v>
      </c>
      <c r="Y551" t="s">
        <v>117</v>
      </c>
      <c r="Z551" t="s">
        <v>117</v>
      </c>
      <c r="AC551" t="s">
        <v>74</v>
      </c>
      <c r="AF551">
        <v>2</v>
      </c>
      <c r="AH551" t="s">
        <v>75</v>
      </c>
      <c r="AI551">
        <v>1</v>
      </c>
      <c r="AJ551" s="15"/>
      <c r="AK551" t="s">
        <v>74</v>
      </c>
      <c r="AN551" t="s">
        <v>86</v>
      </c>
      <c r="AO551" t="s">
        <v>86</v>
      </c>
      <c r="AP551">
        <v>16</v>
      </c>
      <c r="AQ551" t="s">
        <v>45</v>
      </c>
      <c r="AR551" s="18" t="str">
        <f>IFERROR(VLOOKUP(K551,[1]POP!$F:$J,1,0),M551)</f>
        <v>MAKARY</v>
      </c>
      <c r="AS551" s="18" t="str">
        <f t="shared" si="41"/>
        <v>NGOUMA</v>
      </c>
      <c r="AT551" s="19">
        <f t="shared" si="44"/>
        <v>2</v>
      </c>
      <c r="AU551" s="19">
        <f t="shared" ca="1" si="43"/>
        <v>2</v>
      </c>
    </row>
    <row r="552" spans="1:47" x14ac:dyDescent="0.3">
      <c r="A552" t="s">
        <v>816</v>
      </c>
      <c r="B552" t="str">
        <f t="shared" si="40"/>
        <v>S29_2026</v>
      </c>
      <c r="C552" t="str">
        <f t="shared" si="42"/>
        <v>S29_2026</v>
      </c>
      <c r="E552" t="s">
        <v>539</v>
      </c>
      <c r="F552">
        <v>4</v>
      </c>
      <c r="G552" t="s">
        <v>55</v>
      </c>
      <c r="H552" t="s">
        <v>655</v>
      </c>
      <c r="I552" t="s">
        <v>371</v>
      </c>
      <c r="J552" t="s">
        <v>133</v>
      </c>
      <c r="K552" t="s">
        <v>116</v>
      </c>
      <c r="L552" t="s">
        <v>133</v>
      </c>
      <c r="M552" t="s">
        <v>116</v>
      </c>
      <c r="N552" t="s">
        <v>117</v>
      </c>
      <c r="O552" t="s">
        <v>117</v>
      </c>
      <c r="P552">
        <v>3</v>
      </c>
      <c r="Q552" s="7">
        <v>46222</v>
      </c>
      <c r="R552" s="7">
        <v>46222</v>
      </c>
      <c r="S552" s="7">
        <v>46222</v>
      </c>
      <c r="T552" t="s">
        <v>117</v>
      </c>
      <c r="V552" t="s">
        <v>360</v>
      </c>
      <c r="W552" t="s">
        <v>117</v>
      </c>
      <c r="X552" t="s">
        <v>117</v>
      </c>
      <c r="Y552" t="s">
        <v>117</v>
      </c>
      <c r="Z552" t="s">
        <v>117</v>
      </c>
      <c r="AC552" t="s">
        <v>74</v>
      </c>
      <c r="AF552">
        <v>2</v>
      </c>
      <c r="AH552" t="s">
        <v>75</v>
      </c>
      <c r="AI552">
        <v>1</v>
      </c>
      <c r="AJ552" s="15"/>
      <c r="AK552" t="s">
        <v>74</v>
      </c>
      <c r="AN552" t="s">
        <v>86</v>
      </c>
      <c r="AO552" t="s">
        <v>86</v>
      </c>
      <c r="AP552">
        <v>7</v>
      </c>
      <c r="AQ552" t="s">
        <v>45</v>
      </c>
      <c r="AR552" s="18" t="str">
        <f>IFERROR(VLOOKUP(K552,[1]POP!$F:$J,1,0),M552)</f>
        <v>MAKARY</v>
      </c>
      <c r="AS552" s="18" t="str">
        <f t="shared" si="41"/>
        <v>NGOUMA</v>
      </c>
      <c r="AT552" s="19">
        <f t="shared" si="44"/>
        <v>2</v>
      </c>
      <c r="AU552" s="19">
        <f t="shared" ca="1" si="43"/>
        <v>2</v>
      </c>
    </row>
    <row r="553" spans="1:47" x14ac:dyDescent="0.3">
      <c r="A553" t="s">
        <v>817</v>
      </c>
      <c r="B553" t="str">
        <f t="shared" si="40"/>
        <v>S29_2026</v>
      </c>
      <c r="C553" t="str">
        <f t="shared" si="42"/>
        <v>S29_2026</v>
      </c>
      <c r="E553" t="s">
        <v>818</v>
      </c>
      <c r="F553">
        <v>7</v>
      </c>
      <c r="G553" t="s">
        <v>40</v>
      </c>
      <c r="H553" t="s">
        <v>655</v>
      </c>
      <c r="I553" t="s">
        <v>666</v>
      </c>
      <c r="J553" t="s">
        <v>657</v>
      </c>
      <c r="K553" t="s">
        <v>116</v>
      </c>
      <c r="L553" t="s">
        <v>659</v>
      </c>
      <c r="M553" t="s">
        <v>116</v>
      </c>
      <c r="N553" t="s">
        <v>663</v>
      </c>
      <c r="O553" t="s">
        <v>663</v>
      </c>
      <c r="P553">
        <v>3</v>
      </c>
      <c r="Q553" s="7">
        <v>46220</v>
      </c>
      <c r="R553" s="7">
        <v>46220</v>
      </c>
      <c r="S553" s="7">
        <v>46220</v>
      </c>
      <c r="T553" t="s">
        <v>663</v>
      </c>
      <c r="V553" t="s">
        <v>667</v>
      </c>
      <c r="W553" t="s">
        <v>663</v>
      </c>
      <c r="X553" t="s">
        <v>663</v>
      </c>
      <c r="Y553" t="s">
        <v>663</v>
      </c>
      <c r="Z553" t="s">
        <v>663</v>
      </c>
      <c r="AB553" t="s">
        <v>48</v>
      </c>
      <c r="AC553" t="s">
        <v>74</v>
      </c>
      <c r="AF553">
        <v>2</v>
      </c>
      <c r="AH553" t="s">
        <v>75</v>
      </c>
      <c r="AI553">
        <v>1</v>
      </c>
      <c r="AJ553" s="15"/>
      <c r="AK553" t="s">
        <v>74</v>
      </c>
      <c r="AN553" t="s">
        <v>86</v>
      </c>
      <c r="AO553" t="s">
        <v>86</v>
      </c>
      <c r="AP553">
        <v>5</v>
      </c>
      <c r="AQ553" t="s">
        <v>45</v>
      </c>
      <c r="AR553" s="18" t="str">
        <f>IFERROR(VLOOKUP(K553,[1]POP!$F:$J,1,0),M553)</f>
        <v>MAKARY</v>
      </c>
      <c r="AS553" s="18" t="str">
        <f t="shared" si="41"/>
        <v xml:space="preserve">NGOUMA </v>
      </c>
      <c r="AT553" s="19">
        <f t="shared" si="44"/>
        <v>2</v>
      </c>
      <c r="AU553" s="19">
        <f t="shared" ca="1" si="43"/>
        <v>2</v>
      </c>
    </row>
    <row r="554" spans="1:47" x14ac:dyDescent="0.3">
      <c r="A554" t="s">
        <v>819</v>
      </c>
      <c r="B554" t="str">
        <f t="shared" si="40"/>
        <v>S29_2026</v>
      </c>
      <c r="C554" t="str">
        <f t="shared" si="42"/>
        <v>S29_2026</v>
      </c>
      <c r="E554" t="s">
        <v>818</v>
      </c>
      <c r="F554">
        <v>40</v>
      </c>
      <c r="G554" t="s">
        <v>55</v>
      </c>
      <c r="H554" t="s">
        <v>680</v>
      </c>
      <c r="I554" t="s">
        <v>666</v>
      </c>
      <c r="J554" t="s">
        <v>657</v>
      </c>
      <c r="K554" t="s">
        <v>116</v>
      </c>
      <c r="L554" t="s">
        <v>659</v>
      </c>
      <c r="M554" t="s">
        <v>116</v>
      </c>
      <c r="N554" t="s">
        <v>663</v>
      </c>
      <c r="O554" t="s">
        <v>663</v>
      </c>
      <c r="P554">
        <v>3</v>
      </c>
      <c r="Q554" s="7">
        <v>46220</v>
      </c>
      <c r="R554" s="7">
        <v>46220</v>
      </c>
      <c r="S554" s="7">
        <v>46220</v>
      </c>
      <c r="T554" t="s">
        <v>663</v>
      </c>
      <c r="V554" t="s">
        <v>667</v>
      </c>
      <c r="W554" t="s">
        <v>663</v>
      </c>
      <c r="X554" t="s">
        <v>663</v>
      </c>
      <c r="Y554" t="s">
        <v>663</v>
      </c>
      <c r="Z554" t="s">
        <v>663</v>
      </c>
      <c r="AB554" t="s">
        <v>48</v>
      </c>
      <c r="AC554" t="s">
        <v>74</v>
      </c>
      <c r="AF554">
        <v>2</v>
      </c>
      <c r="AH554" t="s">
        <v>75</v>
      </c>
      <c r="AI554">
        <v>1</v>
      </c>
      <c r="AJ554" s="15"/>
      <c r="AK554" t="s">
        <v>74</v>
      </c>
      <c r="AN554" t="s">
        <v>86</v>
      </c>
      <c r="AO554" t="s">
        <v>86</v>
      </c>
      <c r="AP554">
        <v>7</v>
      </c>
      <c r="AQ554" t="s">
        <v>45</v>
      </c>
      <c r="AR554" s="18" t="str">
        <f>IFERROR(VLOOKUP(K554,[1]POP!$F:$J,1,0),M554)</f>
        <v>MAKARY</v>
      </c>
      <c r="AS554" s="18" t="str">
        <f t="shared" si="41"/>
        <v xml:space="preserve">NGOUMA </v>
      </c>
      <c r="AT554" s="19">
        <f t="shared" si="44"/>
        <v>2</v>
      </c>
      <c r="AU554" s="19">
        <f t="shared" ca="1" si="43"/>
        <v>2</v>
      </c>
    </row>
    <row r="555" spans="1:47" x14ac:dyDescent="0.3">
      <c r="A555" t="s">
        <v>820</v>
      </c>
      <c r="B555" t="str">
        <f t="shared" si="40"/>
        <v>S30_2026</v>
      </c>
      <c r="C555" t="str">
        <f t="shared" si="42"/>
        <v>S30_2026</v>
      </c>
      <c r="F555">
        <v>20</v>
      </c>
      <c r="G555" t="s">
        <v>40</v>
      </c>
      <c r="H555" t="s">
        <v>77</v>
      </c>
      <c r="I555" t="s">
        <v>147</v>
      </c>
      <c r="J555" t="s">
        <v>147</v>
      </c>
      <c r="K555" t="s">
        <v>147</v>
      </c>
      <c r="L555" t="s">
        <v>752</v>
      </c>
      <c r="M555" t="s">
        <v>146</v>
      </c>
      <c r="N555" t="s">
        <v>45</v>
      </c>
      <c r="O555" t="s">
        <v>45</v>
      </c>
      <c r="P555">
        <v>3</v>
      </c>
      <c r="Q555" s="7">
        <v>46223</v>
      </c>
      <c r="R555" s="7">
        <v>46223</v>
      </c>
      <c r="S555" s="7">
        <v>46223</v>
      </c>
      <c r="T555" t="s">
        <v>45</v>
      </c>
      <c r="V555" t="s">
        <v>753</v>
      </c>
      <c r="W555" t="s">
        <v>45</v>
      </c>
      <c r="X555" t="s">
        <v>45</v>
      </c>
      <c r="Y555" t="s">
        <v>45</v>
      </c>
      <c r="Z555" t="s">
        <v>45</v>
      </c>
      <c r="AF555">
        <v>2</v>
      </c>
      <c r="AH555" t="s">
        <v>75</v>
      </c>
      <c r="AI555">
        <v>1</v>
      </c>
      <c r="AJ555" s="15"/>
      <c r="AK555" t="s">
        <v>74</v>
      </c>
      <c r="AN555" t="s">
        <v>86</v>
      </c>
      <c r="AO555" t="s">
        <v>86</v>
      </c>
      <c r="AP555">
        <v>9</v>
      </c>
      <c r="AQ555" t="s">
        <v>45</v>
      </c>
      <c r="AR555" s="18" t="str">
        <f>IFERROR(VLOOKUP(K555,[1]POP!$F:$J,1,0),M555)</f>
        <v>KOLOFATA</v>
      </c>
      <c r="AS555" s="18" t="str">
        <f t="shared" si="41"/>
        <v>LIMANI</v>
      </c>
      <c r="AT555" s="19">
        <f t="shared" si="44"/>
        <v>2</v>
      </c>
      <c r="AU555" s="19">
        <f t="shared" ca="1" si="43"/>
        <v>2</v>
      </c>
    </row>
    <row r="556" spans="1:47" x14ac:dyDescent="0.3">
      <c r="A556" t="s">
        <v>821</v>
      </c>
      <c r="B556" t="str">
        <f t="shared" si="40"/>
        <v>S30_2026</v>
      </c>
      <c r="C556" t="str">
        <f t="shared" si="42"/>
        <v>S30_2026</v>
      </c>
      <c r="F556">
        <v>6</v>
      </c>
      <c r="G556" t="s">
        <v>55</v>
      </c>
      <c r="H556" t="s">
        <v>85</v>
      </c>
      <c r="I556" t="s">
        <v>749</v>
      </c>
      <c r="J556" t="s">
        <v>740</v>
      </c>
      <c r="K556" t="s">
        <v>146</v>
      </c>
      <c r="L556" t="s">
        <v>741</v>
      </c>
      <c r="M556" t="s">
        <v>146</v>
      </c>
      <c r="N556" t="s">
        <v>45</v>
      </c>
      <c r="O556" t="s">
        <v>45</v>
      </c>
      <c r="P556">
        <v>2</v>
      </c>
      <c r="Q556" s="7">
        <v>46223</v>
      </c>
      <c r="R556" s="7">
        <v>46223</v>
      </c>
      <c r="S556" s="7">
        <v>46223</v>
      </c>
      <c r="T556" t="s">
        <v>45</v>
      </c>
      <c r="V556" t="s">
        <v>742</v>
      </c>
      <c r="W556" t="s">
        <v>45</v>
      </c>
      <c r="X556" t="s">
        <v>45</v>
      </c>
      <c r="Y556" t="s">
        <v>45</v>
      </c>
      <c r="Z556" t="s">
        <v>45</v>
      </c>
      <c r="AF556">
        <v>2</v>
      </c>
      <c r="AH556" t="s">
        <v>75</v>
      </c>
      <c r="AI556">
        <v>1</v>
      </c>
      <c r="AJ556" s="15"/>
      <c r="AK556" t="s">
        <v>74</v>
      </c>
      <c r="AN556" t="s">
        <v>86</v>
      </c>
      <c r="AO556" t="s">
        <v>86</v>
      </c>
      <c r="AP556"/>
      <c r="AQ556" t="s">
        <v>45</v>
      </c>
      <c r="AR556" s="18" t="str">
        <f>IFERROR(VLOOKUP(K556,[1]POP!$F:$J,1,0),M556)</f>
        <v>KOLOFATA</v>
      </c>
      <c r="AS556" s="18" t="str">
        <f t="shared" si="41"/>
        <v>KOLOFATA 2</v>
      </c>
      <c r="AT556" s="19">
        <f t="shared" si="44"/>
        <v>2</v>
      </c>
      <c r="AU556" s="19">
        <f t="shared" ca="1" si="43"/>
        <v>2</v>
      </c>
    </row>
    <row r="557" spans="1:47" x14ac:dyDescent="0.3">
      <c r="A557" t="s">
        <v>822</v>
      </c>
      <c r="B557" t="str">
        <f t="shared" si="40"/>
        <v>S28_2026</v>
      </c>
      <c r="C557" t="str">
        <f t="shared" si="42"/>
        <v>S28_2026</v>
      </c>
      <c r="F557">
        <v>55</v>
      </c>
      <c r="G557" t="s">
        <v>55</v>
      </c>
      <c r="H557" t="s">
        <v>70</v>
      </c>
      <c r="I557" t="s">
        <v>823</v>
      </c>
      <c r="J557" t="s">
        <v>745</v>
      </c>
      <c r="K557" t="s">
        <v>746</v>
      </c>
      <c r="L557" t="s">
        <v>745</v>
      </c>
      <c r="M557" t="s">
        <v>746</v>
      </c>
      <c r="N557" t="s">
        <v>45</v>
      </c>
      <c r="O557" t="s">
        <v>45</v>
      </c>
      <c r="P557">
        <v>3</v>
      </c>
      <c r="Q557" s="7">
        <v>46209</v>
      </c>
      <c r="R557" s="7">
        <v>46210</v>
      </c>
      <c r="S557" s="7">
        <v>46210</v>
      </c>
      <c r="T557" t="s">
        <v>45</v>
      </c>
      <c r="V557" t="s">
        <v>747</v>
      </c>
      <c r="W557" t="s">
        <v>45</v>
      </c>
      <c r="X557" t="s">
        <v>45</v>
      </c>
      <c r="Y557" t="s">
        <v>45</v>
      </c>
      <c r="Z557" t="s">
        <v>45</v>
      </c>
      <c r="AC557" t="s">
        <v>74</v>
      </c>
      <c r="AE557" s="7">
        <v>46212</v>
      </c>
      <c r="AF557">
        <v>2</v>
      </c>
      <c r="AH557" t="s">
        <v>75</v>
      </c>
      <c r="AI557">
        <v>1</v>
      </c>
      <c r="AJ557" s="15"/>
      <c r="AK557" t="s">
        <v>74</v>
      </c>
      <c r="AN557" t="s">
        <v>86</v>
      </c>
      <c r="AO557" t="s">
        <v>86</v>
      </c>
      <c r="AP557"/>
      <c r="AQ557" t="s">
        <v>45</v>
      </c>
      <c r="AR557" s="18" t="str">
        <f>IFERROR(VLOOKUP(K557,[1]POP!$F:$J,1,0),M557)</f>
        <v>MORA</v>
      </c>
      <c r="AS557" s="18" t="str">
        <f t="shared" si="41"/>
        <v>KOSSA</v>
      </c>
      <c r="AT557" s="19">
        <f t="shared" si="44"/>
        <v>2</v>
      </c>
      <c r="AU557" s="19">
        <f t="shared" ca="1" si="43"/>
        <v>2</v>
      </c>
    </row>
    <row r="558" spans="1:47" x14ac:dyDescent="0.3">
      <c r="A558" t="s">
        <v>824</v>
      </c>
      <c r="B558" t="str">
        <f t="shared" si="40"/>
        <v>S28_2026</v>
      </c>
      <c r="C558" t="str">
        <f t="shared" si="42"/>
        <v>S28_2026</v>
      </c>
      <c r="F558">
        <v>0.66666666666666663</v>
      </c>
      <c r="G558" t="s">
        <v>55</v>
      </c>
      <c r="H558" t="s">
        <v>85</v>
      </c>
      <c r="I558" t="s">
        <v>823</v>
      </c>
      <c r="J558" t="s">
        <v>745</v>
      </c>
      <c r="K558" t="s">
        <v>746</v>
      </c>
      <c r="L558" t="s">
        <v>745</v>
      </c>
      <c r="M558" t="s">
        <v>746</v>
      </c>
      <c r="N558" t="s">
        <v>45</v>
      </c>
      <c r="O558" t="s">
        <v>45</v>
      </c>
      <c r="P558">
        <v>3</v>
      </c>
      <c r="Q558" s="7">
        <v>46209</v>
      </c>
      <c r="R558" s="7">
        <v>46210</v>
      </c>
      <c r="S558" s="7">
        <v>46210</v>
      </c>
      <c r="T558" t="s">
        <v>45</v>
      </c>
      <c r="V558" t="s">
        <v>747</v>
      </c>
      <c r="W558" t="s">
        <v>45</v>
      </c>
      <c r="X558" t="s">
        <v>45</v>
      </c>
      <c r="Y558" t="s">
        <v>45</v>
      </c>
      <c r="Z558" t="s">
        <v>45</v>
      </c>
      <c r="AC558" t="s">
        <v>74</v>
      </c>
      <c r="AF558">
        <v>2</v>
      </c>
      <c r="AH558" t="s">
        <v>75</v>
      </c>
      <c r="AI558">
        <v>1</v>
      </c>
      <c r="AJ558" s="15"/>
      <c r="AK558" t="s">
        <v>86</v>
      </c>
      <c r="AN558" t="s">
        <v>86</v>
      </c>
      <c r="AO558" t="s">
        <v>86</v>
      </c>
      <c r="AP558"/>
      <c r="AQ558" t="s">
        <v>45</v>
      </c>
      <c r="AR558" s="18" t="str">
        <f>IFERROR(VLOOKUP(K558,[1]POP!$F:$J,1,0),M558)</f>
        <v>MORA</v>
      </c>
      <c r="AS558" s="18" t="str">
        <f t="shared" si="41"/>
        <v>KOSSA</v>
      </c>
      <c r="AT558" s="19">
        <f t="shared" si="44"/>
        <v>2</v>
      </c>
      <c r="AU558" s="19">
        <f t="shared" ca="1" si="43"/>
        <v>2</v>
      </c>
    </row>
    <row r="559" spans="1:47" x14ac:dyDescent="0.3">
      <c r="A559" t="s">
        <v>825</v>
      </c>
      <c r="B559" t="str">
        <f t="shared" si="40"/>
        <v>S28_2026</v>
      </c>
      <c r="C559" t="str">
        <f t="shared" si="42"/>
        <v>S28_2026</v>
      </c>
      <c r="F559">
        <v>1.666666666666667</v>
      </c>
      <c r="G559" t="s">
        <v>40</v>
      </c>
      <c r="H559" t="s">
        <v>85</v>
      </c>
      <c r="I559" t="s">
        <v>823</v>
      </c>
      <c r="J559" t="s">
        <v>745</v>
      </c>
      <c r="K559" t="s">
        <v>746</v>
      </c>
      <c r="L559" t="s">
        <v>745</v>
      </c>
      <c r="M559" t="s">
        <v>746</v>
      </c>
      <c r="N559" t="s">
        <v>45</v>
      </c>
      <c r="O559" t="s">
        <v>45</v>
      </c>
      <c r="P559">
        <v>3</v>
      </c>
      <c r="Q559" s="7">
        <v>46209</v>
      </c>
      <c r="R559" s="7">
        <v>46210</v>
      </c>
      <c r="S559" s="7">
        <v>46210</v>
      </c>
      <c r="T559" t="s">
        <v>45</v>
      </c>
      <c r="V559" t="s">
        <v>747</v>
      </c>
      <c r="W559" t="s">
        <v>45</v>
      </c>
      <c r="X559" t="s">
        <v>45</v>
      </c>
      <c r="Y559" t="s">
        <v>45</v>
      </c>
      <c r="Z559" t="s">
        <v>45</v>
      </c>
      <c r="AC559" t="s">
        <v>74</v>
      </c>
      <c r="AE559" s="7">
        <v>46212</v>
      </c>
      <c r="AF559">
        <v>2</v>
      </c>
      <c r="AH559" t="s">
        <v>75</v>
      </c>
      <c r="AI559">
        <v>1</v>
      </c>
      <c r="AJ559" s="15"/>
      <c r="AK559" t="s">
        <v>86</v>
      </c>
      <c r="AN559" t="s">
        <v>86</v>
      </c>
      <c r="AO559" t="s">
        <v>86</v>
      </c>
      <c r="AP559"/>
      <c r="AQ559" t="s">
        <v>45</v>
      </c>
      <c r="AR559" s="18" t="str">
        <f>IFERROR(VLOOKUP(K559,[1]POP!$F:$J,1,0),M559)</f>
        <v>MORA</v>
      </c>
      <c r="AS559" s="18" t="str">
        <f t="shared" si="41"/>
        <v>KOSSA</v>
      </c>
      <c r="AT559" s="19">
        <f t="shared" si="44"/>
        <v>2</v>
      </c>
      <c r="AU559" s="19">
        <f t="shared" ca="1" si="43"/>
        <v>2</v>
      </c>
    </row>
    <row r="560" spans="1:47" x14ac:dyDescent="0.3">
      <c r="A560" t="s">
        <v>826</v>
      </c>
      <c r="B560" t="str">
        <f t="shared" si="40"/>
        <v>S28_2026</v>
      </c>
      <c r="C560" t="str">
        <f t="shared" si="42"/>
        <v>S28_2026</v>
      </c>
      <c r="F560">
        <v>13</v>
      </c>
      <c r="G560" t="s">
        <v>40</v>
      </c>
      <c r="H560" t="s">
        <v>827</v>
      </c>
      <c r="I560" t="s">
        <v>823</v>
      </c>
      <c r="J560" t="s">
        <v>745</v>
      </c>
      <c r="K560" t="s">
        <v>746</v>
      </c>
      <c r="L560" t="s">
        <v>745</v>
      </c>
      <c r="M560" t="s">
        <v>746</v>
      </c>
      <c r="N560" t="s">
        <v>45</v>
      </c>
      <c r="O560" t="s">
        <v>45</v>
      </c>
      <c r="P560">
        <v>3</v>
      </c>
      <c r="Q560" s="7">
        <v>46211</v>
      </c>
      <c r="R560" s="7">
        <v>46211</v>
      </c>
      <c r="S560" s="7">
        <v>46211</v>
      </c>
      <c r="T560" t="s">
        <v>45</v>
      </c>
      <c r="V560" t="s">
        <v>747</v>
      </c>
      <c r="W560" t="s">
        <v>45</v>
      </c>
      <c r="X560" t="s">
        <v>45</v>
      </c>
      <c r="Y560" t="s">
        <v>45</v>
      </c>
      <c r="Z560" t="s">
        <v>45</v>
      </c>
      <c r="AC560" t="s">
        <v>74</v>
      </c>
      <c r="AE560" s="7">
        <v>46212</v>
      </c>
      <c r="AF560">
        <v>2</v>
      </c>
      <c r="AH560" t="s">
        <v>75</v>
      </c>
      <c r="AI560">
        <v>1</v>
      </c>
      <c r="AJ560" s="15"/>
      <c r="AK560" t="s">
        <v>86</v>
      </c>
      <c r="AN560" t="s">
        <v>86</v>
      </c>
      <c r="AO560" t="s">
        <v>86</v>
      </c>
      <c r="AP560"/>
      <c r="AQ560" t="s">
        <v>45</v>
      </c>
      <c r="AR560" s="18" t="str">
        <f>IFERROR(VLOOKUP(K560,[1]POP!$F:$J,1,0),M560)</f>
        <v>MORA</v>
      </c>
      <c r="AS560" s="18" t="str">
        <f t="shared" si="41"/>
        <v>KOSSA</v>
      </c>
      <c r="AT560" s="19">
        <f t="shared" si="44"/>
        <v>2</v>
      </c>
      <c r="AU560" s="19">
        <f t="shared" ca="1" si="43"/>
        <v>2</v>
      </c>
    </row>
    <row r="561" spans="1:47" x14ac:dyDescent="0.3">
      <c r="A561" t="s">
        <v>828</v>
      </c>
      <c r="B561" t="str">
        <f t="shared" si="40"/>
        <v>S28_2026</v>
      </c>
      <c r="C561" t="str">
        <f t="shared" si="42"/>
        <v>S28_2026</v>
      </c>
      <c r="F561">
        <v>12</v>
      </c>
      <c r="G561" t="s">
        <v>40</v>
      </c>
      <c r="H561" t="s">
        <v>829</v>
      </c>
      <c r="I561" t="s">
        <v>823</v>
      </c>
      <c r="J561" t="s">
        <v>745</v>
      </c>
      <c r="K561" t="s">
        <v>746</v>
      </c>
      <c r="L561" t="s">
        <v>745</v>
      </c>
      <c r="M561" t="s">
        <v>746</v>
      </c>
      <c r="N561" t="s">
        <v>45</v>
      </c>
      <c r="O561" t="s">
        <v>45</v>
      </c>
      <c r="P561">
        <v>3</v>
      </c>
      <c r="Q561" s="7">
        <v>46210</v>
      </c>
      <c r="R561" s="7">
        <v>46212</v>
      </c>
      <c r="S561" s="7">
        <v>46212</v>
      </c>
      <c r="T561" t="s">
        <v>45</v>
      </c>
      <c r="V561" t="s">
        <v>747</v>
      </c>
      <c r="W561" t="s">
        <v>45</v>
      </c>
      <c r="X561" t="s">
        <v>45</v>
      </c>
      <c r="Y561" t="s">
        <v>45</v>
      </c>
      <c r="Z561" t="s">
        <v>45</v>
      </c>
      <c r="AC561" t="s">
        <v>74</v>
      </c>
      <c r="AF561">
        <v>2</v>
      </c>
      <c r="AH561" t="s">
        <v>75</v>
      </c>
      <c r="AI561">
        <v>1</v>
      </c>
      <c r="AJ561" s="15"/>
      <c r="AK561" t="s">
        <v>86</v>
      </c>
      <c r="AN561" t="s">
        <v>86</v>
      </c>
      <c r="AO561" t="s">
        <v>86</v>
      </c>
      <c r="AP561"/>
      <c r="AQ561" t="s">
        <v>45</v>
      </c>
      <c r="AR561" s="18" t="str">
        <f>IFERROR(VLOOKUP(K561,[1]POP!$F:$J,1,0),M561)</f>
        <v>MORA</v>
      </c>
      <c r="AS561" s="18" t="str">
        <f t="shared" si="41"/>
        <v>KOSSA</v>
      </c>
      <c r="AT561" s="19">
        <f t="shared" si="44"/>
        <v>2</v>
      </c>
      <c r="AU561" s="19">
        <f t="shared" ca="1" si="43"/>
        <v>2</v>
      </c>
    </row>
    <row r="562" spans="1:47" x14ac:dyDescent="0.3">
      <c r="A562" t="s">
        <v>830</v>
      </c>
      <c r="B562" t="str">
        <f t="shared" si="40"/>
        <v>S28_2026</v>
      </c>
      <c r="C562" t="str">
        <f t="shared" si="42"/>
        <v>S28_2026</v>
      </c>
      <c r="F562">
        <v>8</v>
      </c>
      <c r="G562" t="s">
        <v>40</v>
      </c>
      <c r="H562" t="s">
        <v>85</v>
      </c>
      <c r="I562" t="s">
        <v>831</v>
      </c>
      <c r="J562" t="s">
        <v>745</v>
      </c>
      <c r="K562" t="s">
        <v>746</v>
      </c>
      <c r="L562" t="s">
        <v>745</v>
      </c>
      <c r="M562" t="s">
        <v>746</v>
      </c>
      <c r="N562" t="s">
        <v>45</v>
      </c>
      <c r="O562" t="s">
        <v>45</v>
      </c>
      <c r="P562">
        <v>3</v>
      </c>
      <c r="Q562" s="7">
        <v>46212</v>
      </c>
      <c r="R562" s="7">
        <v>46213</v>
      </c>
      <c r="S562" s="7">
        <v>46213</v>
      </c>
      <c r="T562" t="s">
        <v>45</v>
      </c>
      <c r="V562" t="s">
        <v>747</v>
      </c>
      <c r="W562" t="s">
        <v>45</v>
      </c>
      <c r="X562" t="s">
        <v>45</v>
      </c>
      <c r="Y562" t="s">
        <v>45</v>
      </c>
      <c r="Z562" t="s">
        <v>45</v>
      </c>
      <c r="AC562" t="s">
        <v>74</v>
      </c>
      <c r="AE562" s="7">
        <v>46215</v>
      </c>
      <c r="AF562">
        <v>2</v>
      </c>
      <c r="AH562" t="s">
        <v>75</v>
      </c>
      <c r="AI562">
        <v>1</v>
      </c>
      <c r="AJ562" s="15"/>
      <c r="AK562" t="s">
        <v>86</v>
      </c>
      <c r="AN562" t="s">
        <v>86</v>
      </c>
      <c r="AO562" t="s">
        <v>86</v>
      </c>
      <c r="AP562"/>
      <c r="AQ562" t="s">
        <v>45</v>
      </c>
      <c r="AR562" s="18" t="str">
        <f>IFERROR(VLOOKUP(K562,[1]POP!$F:$J,1,0),M562)</f>
        <v>MORA</v>
      </c>
      <c r="AS562" s="18" t="str">
        <f t="shared" si="41"/>
        <v>KOSSA</v>
      </c>
      <c r="AT562" s="19">
        <f t="shared" si="44"/>
        <v>2</v>
      </c>
      <c r="AU562" s="19">
        <f t="shared" ca="1" si="43"/>
        <v>2</v>
      </c>
    </row>
    <row r="563" spans="1:47" x14ac:dyDescent="0.3">
      <c r="A563" t="s">
        <v>832</v>
      </c>
      <c r="B563" t="str">
        <f t="shared" si="40"/>
        <v>S28_2026</v>
      </c>
      <c r="C563" t="str">
        <f t="shared" si="42"/>
        <v>S28_2026</v>
      </c>
      <c r="F563">
        <v>30</v>
      </c>
      <c r="G563" t="s">
        <v>40</v>
      </c>
      <c r="H563" t="s">
        <v>77</v>
      </c>
      <c r="I563" t="s">
        <v>823</v>
      </c>
      <c r="J563" t="s">
        <v>745</v>
      </c>
      <c r="K563" t="s">
        <v>746</v>
      </c>
      <c r="L563" t="s">
        <v>745</v>
      </c>
      <c r="M563" t="s">
        <v>746</v>
      </c>
      <c r="N563" t="s">
        <v>45</v>
      </c>
      <c r="O563" t="s">
        <v>45</v>
      </c>
      <c r="P563">
        <v>3</v>
      </c>
      <c r="Q563" s="7">
        <v>46212</v>
      </c>
      <c r="R563" s="7">
        <v>46213</v>
      </c>
      <c r="S563" s="7">
        <v>46213</v>
      </c>
      <c r="T563" t="s">
        <v>45</v>
      </c>
      <c r="V563" t="s">
        <v>747</v>
      </c>
      <c r="W563" t="s">
        <v>45</v>
      </c>
      <c r="X563" t="s">
        <v>45</v>
      </c>
      <c r="Y563" t="s">
        <v>45</v>
      </c>
      <c r="Z563" t="s">
        <v>45</v>
      </c>
      <c r="AC563" t="s">
        <v>74</v>
      </c>
      <c r="AE563" s="7">
        <v>46215</v>
      </c>
      <c r="AF563">
        <v>2</v>
      </c>
      <c r="AH563" t="s">
        <v>75</v>
      </c>
      <c r="AI563">
        <v>1</v>
      </c>
      <c r="AJ563" s="15"/>
      <c r="AK563" t="s">
        <v>86</v>
      </c>
      <c r="AN563" t="s">
        <v>86</v>
      </c>
      <c r="AO563" t="s">
        <v>86</v>
      </c>
      <c r="AP563"/>
      <c r="AQ563" t="s">
        <v>45</v>
      </c>
      <c r="AR563" s="18" t="str">
        <f>IFERROR(VLOOKUP(K563,[1]POP!$F:$J,1,0),M563)</f>
        <v>MORA</v>
      </c>
      <c r="AS563" s="18" t="str">
        <f t="shared" si="41"/>
        <v>KOSSA</v>
      </c>
      <c r="AT563" s="19">
        <f t="shared" si="44"/>
        <v>2</v>
      </c>
      <c r="AU563" s="19">
        <f t="shared" ca="1" si="43"/>
        <v>2</v>
      </c>
    </row>
    <row r="564" spans="1:47" x14ac:dyDescent="0.3">
      <c r="A564" t="s">
        <v>833</v>
      </c>
      <c r="B564" t="str">
        <f t="shared" si="40"/>
        <v>S29_2026</v>
      </c>
      <c r="C564" t="str">
        <f t="shared" si="42"/>
        <v>S29_2026</v>
      </c>
      <c r="F564">
        <v>50</v>
      </c>
      <c r="G564" t="s">
        <v>55</v>
      </c>
      <c r="H564" t="s">
        <v>70</v>
      </c>
      <c r="I564" t="s">
        <v>823</v>
      </c>
      <c r="J564" t="s">
        <v>745</v>
      </c>
      <c r="K564" t="s">
        <v>746</v>
      </c>
      <c r="L564" t="s">
        <v>745</v>
      </c>
      <c r="M564" t="s">
        <v>746</v>
      </c>
      <c r="N564" t="s">
        <v>45</v>
      </c>
      <c r="O564" t="s">
        <v>45</v>
      </c>
      <c r="P564">
        <v>3</v>
      </c>
      <c r="Q564" s="7">
        <v>46217</v>
      </c>
      <c r="R564" s="7">
        <v>46218</v>
      </c>
      <c r="S564" s="7">
        <v>46218</v>
      </c>
      <c r="T564" t="s">
        <v>45</v>
      </c>
      <c r="V564" t="s">
        <v>747</v>
      </c>
      <c r="W564" t="s">
        <v>45</v>
      </c>
      <c r="X564" t="s">
        <v>45</v>
      </c>
      <c r="Y564" t="s">
        <v>45</v>
      </c>
      <c r="Z564" t="s">
        <v>45</v>
      </c>
      <c r="AA564" s="7">
        <v>46218</v>
      </c>
      <c r="AB564" t="s">
        <v>62</v>
      </c>
      <c r="AC564" t="s">
        <v>45</v>
      </c>
      <c r="AD564" t="s">
        <v>62</v>
      </c>
      <c r="AE564" s="7">
        <v>46216</v>
      </c>
      <c r="AF564">
        <v>2</v>
      </c>
      <c r="AH564" t="s">
        <v>75</v>
      </c>
      <c r="AI564">
        <v>1</v>
      </c>
      <c r="AJ564" s="15"/>
      <c r="AK564" t="s">
        <v>86</v>
      </c>
      <c r="AN564" t="s">
        <v>86</v>
      </c>
      <c r="AO564" t="s">
        <v>86</v>
      </c>
      <c r="AP564"/>
      <c r="AQ564" t="s">
        <v>45</v>
      </c>
      <c r="AR564" s="18" t="str">
        <f>IFERROR(VLOOKUP(K564,[1]POP!$F:$J,1,0),M564)</f>
        <v>MORA</v>
      </c>
      <c r="AS564" s="18" t="str">
        <f t="shared" si="41"/>
        <v>KOSSA</v>
      </c>
      <c r="AT564" s="19">
        <f t="shared" si="44"/>
        <v>2</v>
      </c>
      <c r="AU564" s="19">
        <f t="shared" ca="1" si="43"/>
        <v>2</v>
      </c>
    </row>
    <row r="565" spans="1:47" x14ac:dyDescent="0.3">
      <c r="A565" t="s">
        <v>834</v>
      </c>
      <c r="B565" t="str">
        <f t="shared" si="40"/>
        <v>S28_2026</v>
      </c>
      <c r="C565" t="str">
        <f t="shared" si="42"/>
        <v>S28_2026</v>
      </c>
      <c r="F565">
        <v>9</v>
      </c>
      <c r="G565" t="s">
        <v>40</v>
      </c>
      <c r="H565" t="s">
        <v>85</v>
      </c>
      <c r="I565" t="s">
        <v>823</v>
      </c>
      <c r="J565" t="s">
        <v>745</v>
      </c>
      <c r="K565" t="s">
        <v>746</v>
      </c>
      <c r="L565" t="s">
        <v>745</v>
      </c>
      <c r="M565" t="s">
        <v>746</v>
      </c>
      <c r="N565" t="s">
        <v>45</v>
      </c>
      <c r="O565" t="s">
        <v>45</v>
      </c>
      <c r="P565">
        <v>3</v>
      </c>
      <c r="Q565" s="7">
        <v>46211</v>
      </c>
      <c r="R565" s="7">
        <v>46213</v>
      </c>
      <c r="S565" s="7">
        <v>46213</v>
      </c>
      <c r="T565" t="s">
        <v>45</v>
      </c>
      <c r="V565" t="s">
        <v>747</v>
      </c>
      <c r="W565" t="s">
        <v>45</v>
      </c>
      <c r="X565" t="s">
        <v>45</v>
      </c>
      <c r="Y565" t="s">
        <v>45</v>
      </c>
      <c r="Z565" t="s">
        <v>45</v>
      </c>
      <c r="AC565" t="s">
        <v>74</v>
      </c>
      <c r="AE565" s="7">
        <v>46215</v>
      </c>
      <c r="AF565">
        <v>2</v>
      </c>
      <c r="AH565" t="s">
        <v>75</v>
      </c>
      <c r="AI565">
        <v>1</v>
      </c>
      <c r="AJ565" s="15"/>
      <c r="AK565" t="s">
        <v>86</v>
      </c>
      <c r="AN565" t="s">
        <v>86</v>
      </c>
      <c r="AO565" t="s">
        <v>86</v>
      </c>
      <c r="AP565"/>
      <c r="AQ565" t="s">
        <v>45</v>
      </c>
      <c r="AR565" s="18" t="str">
        <f>IFERROR(VLOOKUP(K565,[1]POP!$F:$J,1,0),M565)</f>
        <v>MORA</v>
      </c>
      <c r="AS565" s="18" t="str">
        <f t="shared" si="41"/>
        <v>KOSSA</v>
      </c>
      <c r="AT565" s="19">
        <f t="shared" si="44"/>
        <v>2</v>
      </c>
      <c r="AU565" s="19">
        <f t="shared" ca="1" si="43"/>
        <v>2</v>
      </c>
    </row>
    <row r="566" spans="1:47" x14ac:dyDescent="0.3">
      <c r="A566" t="s">
        <v>835</v>
      </c>
      <c r="B566" t="str">
        <f t="shared" si="40"/>
        <v>S28_2026</v>
      </c>
      <c r="C566" t="str">
        <f t="shared" si="42"/>
        <v>S28_2026</v>
      </c>
      <c r="F566">
        <v>6</v>
      </c>
      <c r="G566" t="s">
        <v>40</v>
      </c>
      <c r="H566" t="s">
        <v>85</v>
      </c>
      <c r="I566" t="s">
        <v>744</v>
      </c>
      <c r="J566" t="s">
        <v>745</v>
      </c>
      <c r="K566" t="s">
        <v>746</v>
      </c>
      <c r="L566" t="s">
        <v>745</v>
      </c>
      <c r="M566" t="s">
        <v>746</v>
      </c>
      <c r="N566" t="s">
        <v>45</v>
      </c>
      <c r="O566" t="s">
        <v>45</v>
      </c>
      <c r="P566">
        <v>3</v>
      </c>
      <c r="Q566" s="7">
        <v>46212</v>
      </c>
      <c r="R566" s="7">
        <v>46214</v>
      </c>
      <c r="S566" s="7">
        <v>46214</v>
      </c>
      <c r="T566" t="s">
        <v>45</v>
      </c>
      <c r="V566" t="s">
        <v>747</v>
      </c>
      <c r="W566" t="s">
        <v>45</v>
      </c>
      <c r="X566" t="s">
        <v>45</v>
      </c>
      <c r="Y566" t="s">
        <v>45</v>
      </c>
      <c r="Z566" t="s">
        <v>45</v>
      </c>
      <c r="AC566" t="s">
        <v>74</v>
      </c>
      <c r="AE566" s="7">
        <v>46216</v>
      </c>
      <c r="AF566">
        <v>2</v>
      </c>
      <c r="AH566" t="s">
        <v>75</v>
      </c>
      <c r="AI566">
        <v>1</v>
      </c>
      <c r="AJ566" s="15"/>
      <c r="AK566" t="s">
        <v>86</v>
      </c>
      <c r="AN566" t="s">
        <v>86</v>
      </c>
      <c r="AO566" t="s">
        <v>86</v>
      </c>
      <c r="AP566"/>
      <c r="AQ566" t="s">
        <v>45</v>
      </c>
      <c r="AR566" s="18" t="str">
        <f>IFERROR(VLOOKUP(K566,[1]POP!$F:$J,1,0),M566)</f>
        <v>MORA</v>
      </c>
      <c r="AS566" s="18" t="str">
        <f t="shared" si="41"/>
        <v>KOSSA</v>
      </c>
      <c r="AT566" s="19">
        <f t="shared" si="44"/>
        <v>2</v>
      </c>
      <c r="AU566" s="19">
        <f t="shared" ca="1" si="43"/>
        <v>2</v>
      </c>
    </row>
    <row r="567" spans="1:47" x14ac:dyDescent="0.3">
      <c r="A567" t="s">
        <v>836</v>
      </c>
      <c r="B567" t="str">
        <f t="shared" si="40"/>
        <v>S28_2026</v>
      </c>
      <c r="C567" t="str">
        <f t="shared" si="42"/>
        <v>S28_2026</v>
      </c>
      <c r="F567">
        <v>11</v>
      </c>
      <c r="G567" t="s">
        <v>55</v>
      </c>
      <c r="H567" t="s">
        <v>829</v>
      </c>
      <c r="I567" t="s">
        <v>823</v>
      </c>
      <c r="J567" t="s">
        <v>745</v>
      </c>
      <c r="K567" t="s">
        <v>746</v>
      </c>
      <c r="L567" t="s">
        <v>745</v>
      </c>
      <c r="M567" t="s">
        <v>746</v>
      </c>
      <c r="N567" t="s">
        <v>45</v>
      </c>
      <c r="O567" t="s">
        <v>45</v>
      </c>
      <c r="P567">
        <v>3</v>
      </c>
      <c r="Q567" s="7">
        <v>46214</v>
      </c>
      <c r="R567" s="7">
        <v>46215</v>
      </c>
      <c r="S567" s="7">
        <v>46215</v>
      </c>
      <c r="T567" t="s">
        <v>45</v>
      </c>
      <c r="V567" t="s">
        <v>747</v>
      </c>
      <c r="W567" t="s">
        <v>45</v>
      </c>
      <c r="X567" t="s">
        <v>45</v>
      </c>
      <c r="Y567" t="s">
        <v>45</v>
      </c>
      <c r="Z567" t="s">
        <v>45</v>
      </c>
      <c r="AC567" t="s">
        <v>74</v>
      </c>
      <c r="AE567" s="7">
        <v>46217</v>
      </c>
      <c r="AF567">
        <v>2</v>
      </c>
      <c r="AH567" t="s">
        <v>75</v>
      </c>
      <c r="AI567">
        <v>1</v>
      </c>
      <c r="AJ567" s="15"/>
      <c r="AK567" t="s">
        <v>86</v>
      </c>
      <c r="AN567" t="s">
        <v>86</v>
      </c>
      <c r="AO567" t="s">
        <v>86</v>
      </c>
      <c r="AP567"/>
      <c r="AQ567" t="s">
        <v>45</v>
      </c>
      <c r="AR567" s="18" t="str">
        <f>IFERROR(VLOOKUP(K567,[1]POP!$F:$J,1,0),M567)</f>
        <v>MORA</v>
      </c>
      <c r="AS567" s="18" t="str">
        <f t="shared" si="41"/>
        <v>KOSSA</v>
      </c>
      <c r="AT567" s="19">
        <f t="shared" si="44"/>
        <v>2</v>
      </c>
      <c r="AU567" s="19">
        <f t="shared" ca="1" si="43"/>
        <v>2</v>
      </c>
    </row>
    <row r="568" spans="1:47" x14ac:dyDescent="0.3">
      <c r="A568" t="s">
        <v>837</v>
      </c>
      <c r="B568" t="str">
        <f t="shared" si="40"/>
        <v>S28_2026</v>
      </c>
      <c r="C568" t="str">
        <f t="shared" si="42"/>
        <v>S28_2026</v>
      </c>
      <c r="F568">
        <v>13</v>
      </c>
      <c r="G568" t="s">
        <v>55</v>
      </c>
      <c r="H568" t="s">
        <v>829</v>
      </c>
      <c r="I568" t="s">
        <v>823</v>
      </c>
      <c r="J568" t="s">
        <v>745</v>
      </c>
      <c r="K568" t="s">
        <v>746</v>
      </c>
      <c r="L568" t="s">
        <v>745</v>
      </c>
      <c r="M568" t="s">
        <v>746</v>
      </c>
      <c r="N568" t="s">
        <v>45</v>
      </c>
      <c r="O568" t="s">
        <v>45</v>
      </c>
      <c r="P568">
        <v>3</v>
      </c>
      <c r="Q568" s="7">
        <v>46214</v>
      </c>
      <c r="R568" s="7">
        <v>46215</v>
      </c>
      <c r="S568" s="7">
        <v>46215</v>
      </c>
      <c r="T568" t="s">
        <v>45</v>
      </c>
      <c r="V568" t="s">
        <v>747</v>
      </c>
      <c r="W568" t="s">
        <v>45</v>
      </c>
      <c r="X568" t="s">
        <v>45</v>
      </c>
      <c r="Y568" t="s">
        <v>45</v>
      </c>
      <c r="Z568" t="s">
        <v>45</v>
      </c>
      <c r="AC568" t="s">
        <v>74</v>
      </c>
      <c r="AE568" s="7">
        <v>46217</v>
      </c>
      <c r="AF568">
        <v>2</v>
      </c>
      <c r="AH568" t="s">
        <v>75</v>
      </c>
      <c r="AI568">
        <v>1</v>
      </c>
      <c r="AJ568" s="15"/>
      <c r="AK568" t="s">
        <v>86</v>
      </c>
      <c r="AN568" t="s">
        <v>86</v>
      </c>
      <c r="AO568" t="s">
        <v>86</v>
      </c>
      <c r="AP568"/>
      <c r="AQ568" t="s">
        <v>45</v>
      </c>
      <c r="AR568" s="18" t="str">
        <f>IFERROR(VLOOKUP(K568,[1]POP!$F:$J,1,0),M568)</f>
        <v>MORA</v>
      </c>
      <c r="AS568" s="18" t="str">
        <f t="shared" si="41"/>
        <v>KOSSA</v>
      </c>
      <c r="AT568" s="19">
        <f t="shared" si="44"/>
        <v>2</v>
      </c>
      <c r="AU568" s="19">
        <f t="shared" ca="1" si="43"/>
        <v>2</v>
      </c>
    </row>
    <row r="569" spans="1:47" x14ac:dyDescent="0.3">
      <c r="A569" t="s">
        <v>838</v>
      </c>
      <c r="B569" t="str">
        <f t="shared" si="40"/>
        <v>S28_2026</v>
      </c>
      <c r="C569" t="str">
        <f t="shared" si="42"/>
        <v>S28_2026</v>
      </c>
      <c r="F569">
        <v>7</v>
      </c>
      <c r="G569" t="s">
        <v>40</v>
      </c>
      <c r="H569" t="s">
        <v>85</v>
      </c>
      <c r="I569" t="s">
        <v>823</v>
      </c>
      <c r="J569" t="s">
        <v>745</v>
      </c>
      <c r="K569" t="s">
        <v>746</v>
      </c>
      <c r="L569" t="s">
        <v>745</v>
      </c>
      <c r="M569" t="s">
        <v>746</v>
      </c>
      <c r="N569" t="s">
        <v>45</v>
      </c>
      <c r="O569" t="s">
        <v>45</v>
      </c>
      <c r="P569">
        <v>3</v>
      </c>
      <c r="Q569" s="7">
        <v>46215</v>
      </c>
      <c r="R569" s="7">
        <v>46215</v>
      </c>
      <c r="S569" s="7">
        <v>46215</v>
      </c>
      <c r="T569" t="s">
        <v>45</v>
      </c>
      <c r="V569" t="s">
        <v>747</v>
      </c>
      <c r="W569" t="s">
        <v>45</v>
      </c>
      <c r="X569" t="s">
        <v>45</v>
      </c>
      <c r="Y569" t="s">
        <v>45</v>
      </c>
      <c r="Z569" t="s">
        <v>45</v>
      </c>
      <c r="AC569" t="s">
        <v>74</v>
      </c>
      <c r="AE569" s="7">
        <v>46216</v>
      </c>
      <c r="AF569">
        <v>2</v>
      </c>
      <c r="AH569" t="s">
        <v>75</v>
      </c>
      <c r="AI569">
        <v>1</v>
      </c>
      <c r="AJ569" s="15"/>
      <c r="AK569" t="s">
        <v>86</v>
      </c>
      <c r="AN569" t="s">
        <v>86</v>
      </c>
      <c r="AO569" t="s">
        <v>86</v>
      </c>
      <c r="AP569"/>
      <c r="AQ569" t="s">
        <v>45</v>
      </c>
      <c r="AR569" s="18" t="str">
        <f>IFERROR(VLOOKUP(K569,[1]POP!$F:$J,1,0),M569)</f>
        <v>MORA</v>
      </c>
      <c r="AS569" s="18" t="str">
        <f t="shared" si="41"/>
        <v>KOSSA</v>
      </c>
      <c r="AT569" s="19">
        <f t="shared" si="44"/>
        <v>2</v>
      </c>
      <c r="AU569" s="19">
        <f t="shared" ca="1" si="43"/>
        <v>2</v>
      </c>
    </row>
    <row r="570" spans="1:47" x14ac:dyDescent="0.3">
      <c r="A570" t="s">
        <v>839</v>
      </c>
      <c r="B570" t="str">
        <f t="shared" si="40"/>
        <v>S29_2026</v>
      </c>
      <c r="C570" t="str">
        <f t="shared" si="42"/>
        <v>S28_2026</v>
      </c>
      <c r="F570">
        <v>45</v>
      </c>
      <c r="G570" t="s">
        <v>55</v>
      </c>
      <c r="H570" t="s">
        <v>70</v>
      </c>
      <c r="I570" t="s">
        <v>823</v>
      </c>
      <c r="J570" t="s">
        <v>745</v>
      </c>
      <c r="K570" t="s">
        <v>746</v>
      </c>
      <c r="L570" t="s">
        <v>745</v>
      </c>
      <c r="M570" t="s">
        <v>746</v>
      </c>
      <c r="N570" t="s">
        <v>45</v>
      </c>
      <c r="O570" t="s">
        <v>45</v>
      </c>
      <c r="P570">
        <v>3</v>
      </c>
      <c r="Q570" s="7">
        <v>46214</v>
      </c>
      <c r="R570" s="7">
        <v>46216</v>
      </c>
      <c r="S570" s="7">
        <v>46216</v>
      </c>
      <c r="T570" t="s">
        <v>45</v>
      </c>
      <c r="V570" t="s">
        <v>747</v>
      </c>
      <c r="W570" t="s">
        <v>45</v>
      </c>
      <c r="X570" t="s">
        <v>45</v>
      </c>
      <c r="Y570" t="s">
        <v>45</v>
      </c>
      <c r="Z570" t="s">
        <v>45</v>
      </c>
      <c r="AC570" t="s">
        <v>74</v>
      </c>
      <c r="AF570">
        <v>3</v>
      </c>
      <c r="AH570" t="s">
        <v>75</v>
      </c>
      <c r="AI570">
        <v>2</v>
      </c>
      <c r="AJ570" s="15"/>
      <c r="AK570" t="s">
        <v>86</v>
      </c>
      <c r="AL570" t="s">
        <v>549</v>
      </c>
      <c r="AN570" t="s">
        <v>45</v>
      </c>
      <c r="AO570" t="s">
        <v>45</v>
      </c>
      <c r="AP570"/>
      <c r="AQ570" t="s">
        <v>45</v>
      </c>
      <c r="AR570" s="18" t="str">
        <f>IFERROR(VLOOKUP(K570,[1]POP!$F:$J,1,0),M570)</f>
        <v>MORA</v>
      </c>
      <c r="AS570" s="18" t="str">
        <f t="shared" si="41"/>
        <v>KOSSA</v>
      </c>
      <c r="AT570" s="19">
        <f t="shared" si="44"/>
        <v>3</v>
      </c>
      <c r="AU570" s="19">
        <f t="shared" ca="1" si="43"/>
        <v>2</v>
      </c>
    </row>
    <row r="571" spans="1:47" x14ac:dyDescent="0.3">
      <c r="A571" t="s">
        <v>840</v>
      </c>
      <c r="B571" t="str">
        <f t="shared" si="40"/>
        <v>S29_2026</v>
      </c>
      <c r="C571" t="str">
        <f t="shared" si="42"/>
        <v>S28_2026</v>
      </c>
      <c r="F571">
        <v>50</v>
      </c>
      <c r="G571" t="s">
        <v>40</v>
      </c>
      <c r="H571" t="s">
        <v>841</v>
      </c>
      <c r="I571" t="s">
        <v>744</v>
      </c>
      <c r="J571" t="s">
        <v>745</v>
      </c>
      <c r="K571" t="s">
        <v>746</v>
      </c>
      <c r="L571" t="s">
        <v>745</v>
      </c>
      <c r="M571" t="s">
        <v>746</v>
      </c>
      <c r="N571" t="s">
        <v>45</v>
      </c>
      <c r="O571" t="s">
        <v>45</v>
      </c>
      <c r="P571">
        <v>3</v>
      </c>
      <c r="Q571" s="7">
        <v>46213</v>
      </c>
      <c r="R571" s="7">
        <v>46216</v>
      </c>
      <c r="S571" s="7">
        <v>46216</v>
      </c>
      <c r="T571" t="s">
        <v>45</v>
      </c>
      <c r="V571" t="s">
        <v>747</v>
      </c>
      <c r="W571" t="s">
        <v>45</v>
      </c>
      <c r="X571" t="s">
        <v>45</v>
      </c>
      <c r="Y571" t="s">
        <v>45</v>
      </c>
      <c r="Z571" t="s">
        <v>45</v>
      </c>
      <c r="AC571" t="s">
        <v>74</v>
      </c>
      <c r="AF571">
        <v>3</v>
      </c>
      <c r="AH571" t="s">
        <v>75</v>
      </c>
      <c r="AI571">
        <v>2</v>
      </c>
      <c r="AJ571" s="15"/>
      <c r="AK571" t="s">
        <v>86</v>
      </c>
      <c r="AN571" t="s">
        <v>74</v>
      </c>
      <c r="AO571" t="s">
        <v>86</v>
      </c>
      <c r="AP571">
        <v>5</v>
      </c>
      <c r="AQ571" t="s">
        <v>86</v>
      </c>
      <c r="AR571" s="18" t="str">
        <f>IFERROR(VLOOKUP(K571,[1]POP!$F:$J,1,0),M571)</f>
        <v>MORA</v>
      </c>
      <c r="AS571" s="18" t="str">
        <f t="shared" si="41"/>
        <v>KOSSA</v>
      </c>
      <c r="AT571" s="19">
        <f t="shared" si="44"/>
        <v>3</v>
      </c>
      <c r="AU571" s="19">
        <f t="shared" ca="1" si="43"/>
        <v>2</v>
      </c>
    </row>
    <row r="572" spans="1:47" x14ac:dyDescent="0.3">
      <c r="A572" t="s">
        <v>842</v>
      </c>
      <c r="B572" t="str">
        <f t="shared" si="40"/>
        <v>S29_2026</v>
      </c>
      <c r="C572" t="str">
        <f t="shared" si="42"/>
        <v>S29_2026</v>
      </c>
      <c r="F572">
        <v>17</v>
      </c>
      <c r="G572" t="s">
        <v>55</v>
      </c>
      <c r="H572" t="s">
        <v>70</v>
      </c>
      <c r="I572" t="s">
        <v>823</v>
      </c>
      <c r="J572" t="s">
        <v>745</v>
      </c>
      <c r="K572" t="s">
        <v>746</v>
      </c>
      <c r="L572" t="s">
        <v>745</v>
      </c>
      <c r="M572" t="s">
        <v>746</v>
      </c>
      <c r="N572" t="s">
        <v>45</v>
      </c>
      <c r="O572" t="s">
        <v>45</v>
      </c>
      <c r="P572">
        <v>3</v>
      </c>
      <c r="Q572" s="7">
        <v>46216</v>
      </c>
      <c r="R572" s="7">
        <v>46216</v>
      </c>
      <c r="S572" s="7">
        <v>46216</v>
      </c>
      <c r="T572" t="s">
        <v>45</v>
      </c>
      <c r="V572" t="s">
        <v>747</v>
      </c>
      <c r="W572" t="s">
        <v>45</v>
      </c>
      <c r="X572" t="s">
        <v>45</v>
      </c>
      <c r="Y572" t="s">
        <v>45</v>
      </c>
      <c r="Z572" t="s">
        <v>45</v>
      </c>
      <c r="AB572" t="s">
        <v>62</v>
      </c>
      <c r="AC572" t="s">
        <v>74</v>
      </c>
      <c r="AF572">
        <v>3</v>
      </c>
      <c r="AH572" t="s">
        <v>75</v>
      </c>
      <c r="AI572">
        <v>2</v>
      </c>
      <c r="AJ572" s="15"/>
      <c r="AK572" t="s">
        <v>86</v>
      </c>
      <c r="AN572" t="s">
        <v>74</v>
      </c>
      <c r="AO572" t="s">
        <v>86</v>
      </c>
      <c r="AP572">
        <v>5</v>
      </c>
      <c r="AQ572" t="s">
        <v>86</v>
      </c>
      <c r="AR572" s="18" t="str">
        <f>IFERROR(VLOOKUP(K572,[1]POP!$F:$J,1,0),M572)</f>
        <v>MORA</v>
      </c>
      <c r="AS572" s="18" t="str">
        <f t="shared" si="41"/>
        <v>KOSSA</v>
      </c>
      <c r="AT572" s="19">
        <f t="shared" si="44"/>
        <v>3</v>
      </c>
      <c r="AU572" s="19">
        <f t="shared" ca="1" si="43"/>
        <v>2</v>
      </c>
    </row>
    <row r="573" spans="1:47" x14ac:dyDescent="0.3">
      <c r="A573" t="s">
        <v>843</v>
      </c>
      <c r="B573" t="str">
        <f t="shared" si="40"/>
        <v>S29_2026</v>
      </c>
      <c r="C573" t="str">
        <f t="shared" si="42"/>
        <v>S29_2026</v>
      </c>
      <c r="F573">
        <v>30</v>
      </c>
      <c r="G573" t="s">
        <v>55</v>
      </c>
      <c r="H573" t="s">
        <v>85</v>
      </c>
      <c r="I573" t="s">
        <v>844</v>
      </c>
      <c r="J573" t="s">
        <v>745</v>
      </c>
      <c r="K573" t="s">
        <v>746</v>
      </c>
      <c r="L573" t="s">
        <v>745</v>
      </c>
      <c r="M573" t="s">
        <v>746</v>
      </c>
      <c r="N573" t="s">
        <v>45</v>
      </c>
      <c r="O573" t="s">
        <v>45</v>
      </c>
      <c r="P573">
        <v>3</v>
      </c>
      <c r="Q573" s="7">
        <v>46216</v>
      </c>
      <c r="R573" s="7">
        <v>46217</v>
      </c>
      <c r="S573" s="7">
        <v>46218</v>
      </c>
      <c r="T573" t="s">
        <v>45</v>
      </c>
      <c r="V573" t="s">
        <v>747</v>
      </c>
      <c r="W573" t="s">
        <v>45</v>
      </c>
      <c r="X573" t="s">
        <v>45</v>
      </c>
      <c r="Y573" t="s">
        <v>45</v>
      </c>
      <c r="Z573" t="s">
        <v>45</v>
      </c>
      <c r="AA573" s="7">
        <v>46218</v>
      </c>
      <c r="AB573" t="s">
        <v>62</v>
      </c>
      <c r="AC573" t="s">
        <v>45</v>
      </c>
      <c r="AD573" t="s">
        <v>62</v>
      </c>
      <c r="AE573" s="7">
        <v>46218</v>
      </c>
      <c r="AF573">
        <v>2</v>
      </c>
      <c r="AH573" t="s">
        <v>75</v>
      </c>
      <c r="AI573">
        <v>1</v>
      </c>
      <c r="AJ573" s="15"/>
      <c r="AK573" t="s">
        <v>86</v>
      </c>
      <c r="AN573" t="s">
        <v>74</v>
      </c>
      <c r="AO573" t="s">
        <v>86</v>
      </c>
      <c r="AP573">
        <v>4</v>
      </c>
      <c r="AQ573" t="s">
        <v>86</v>
      </c>
      <c r="AR573" s="18" t="str">
        <f>IFERROR(VLOOKUP(K573,[1]POP!$F:$J,1,0),M573)</f>
        <v>MORA</v>
      </c>
      <c r="AS573" s="18" t="str">
        <f t="shared" si="41"/>
        <v>KOSSA</v>
      </c>
      <c r="AT573" s="19">
        <f t="shared" si="44"/>
        <v>2</v>
      </c>
      <c r="AU573" s="19">
        <f t="shared" ca="1" si="43"/>
        <v>2</v>
      </c>
    </row>
    <row r="574" spans="1:47" x14ac:dyDescent="0.3">
      <c r="A574" t="s">
        <v>845</v>
      </c>
      <c r="B574" t="str">
        <f t="shared" si="40"/>
        <v>S29_2026</v>
      </c>
      <c r="C574" t="str">
        <f t="shared" si="42"/>
        <v>S28_2026</v>
      </c>
      <c r="F574">
        <v>2</v>
      </c>
      <c r="G574" t="s">
        <v>40</v>
      </c>
      <c r="H574" t="s">
        <v>85</v>
      </c>
      <c r="I574" t="s">
        <v>844</v>
      </c>
      <c r="J574" t="s">
        <v>745</v>
      </c>
      <c r="K574" t="s">
        <v>746</v>
      </c>
      <c r="L574" t="s">
        <v>745</v>
      </c>
      <c r="M574" t="s">
        <v>746</v>
      </c>
      <c r="N574" t="s">
        <v>45</v>
      </c>
      <c r="O574" t="s">
        <v>45</v>
      </c>
      <c r="P574">
        <v>3</v>
      </c>
      <c r="Q574" s="7">
        <v>46215</v>
      </c>
      <c r="R574" s="7">
        <v>46217</v>
      </c>
      <c r="S574" s="7">
        <v>46217</v>
      </c>
      <c r="T574" t="s">
        <v>45</v>
      </c>
      <c r="V574" t="s">
        <v>747</v>
      </c>
      <c r="W574" t="s">
        <v>45</v>
      </c>
      <c r="X574" t="s">
        <v>45</v>
      </c>
      <c r="Y574" t="s">
        <v>45</v>
      </c>
      <c r="Z574" t="s">
        <v>45</v>
      </c>
      <c r="AA574" s="7">
        <v>46216</v>
      </c>
      <c r="AB574" t="s">
        <v>62</v>
      </c>
      <c r="AC574" t="s">
        <v>74</v>
      </c>
      <c r="AE574" s="7">
        <v>46218</v>
      </c>
      <c r="AF574">
        <v>2</v>
      </c>
      <c r="AH574" t="s">
        <v>75</v>
      </c>
      <c r="AI574">
        <v>1</v>
      </c>
      <c r="AJ574" s="15"/>
      <c r="AK574" t="s">
        <v>86</v>
      </c>
      <c r="AN574" t="s">
        <v>74</v>
      </c>
      <c r="AO574" t="s">
        <v>86</v>
      </c>
      <c r="AP574">
        <v>7</v>
      </c>
      <c r="AQ574" t="s">
        <v>86</v>
      </c>
      <c r="AR574" s="18" t="str">
        <f>IFERROR(VLOOKUP(K574,[1]POP!$F:$J,1,0),M574)</f>
        <v>MORA</v>
      </c>
      <c r="AS574" s="18" t="str">
        <f t="shared" si="41"/>
        <v>KOSSA</v>
      </c>
      <c r="AT574" s="19">
        <f t="shared" si="44"/>
        <v>2</v>
      </c>
      <c r="AU574" s="19">
        <f t="shared" ca="1" si="43"/>
        <v>2</v>
      </c>
    </row>
    <row r="575" spans="1:47" x14ac:dyDescent="0.3">
      <c r="A575" t="s">
        <v>846</v>
      </c>
      <c r="B575" t="str">
        <f t="shared" si="40"/>
        <v>S29_2026</v>
      </c>
      <c r="C575" t="str">
        <f t="shared" si="42"/>
        <v>S29_2026</v>
      </c>
      <c r="F575">
        <v>23</v>
      </c>
      <c r="G575" t="s">
        <v>40</v>
      </c>
      <c r="H575" t="s">
        <v>77</v>
      </c>
      <c r="I575" t="s">
        <v>823</v>
      </c>
      <c r="J575" t="s">
        <v>745</v>
      </c>
      <c r="K575" t="s">
        <v>746</v>
      </c>
      <c r="L575" t="s">
        <v>745</v>
      </c>
      <c r="M575" t="s">
        <v>746</v>
      </c>
      <c r="N575" t="s">
        <v>45</v>
      </c>
      <c r="O575" t="s">
        <v>45</v>
      </c>
      <c r="P575">
        <v>2</v>
      </c>
      <c r="Q575" s="7">
        <v>46216</v>
      </c>
      <c r="R575" s="7">
        <v>46217</v>
      </c>
      <c r="S575" s="7">
        <v>46217</v>
      </c>
      <c r="T575" t="s">
        <v>45</v>
      </c>
      <c r="V575" t="s">
        <v>747</v>
      </c>
      <c r="W575" t="s">
        <v>45</v>
      </c>
      <c r="X575" t="s">
        <v>45</v>
      </c>
      <c r="Y575" t="s">
        <v>45</v>
      </c>
      <c r="Z575" t="s">
        <v>45</v>
      </c>
      <c r="AC575" t="s">
        <v>74</v>
      </c>
      <c r="AE575" s="7">
        <v>46219</v>
      </c>
      <c r="AF575">
        <v>2</v>
      </c>
      <c r="AH575" t="s">
        <v>75</v>
      </c>
      <c r="AI575">
        <v>1</v>
      </c>
      <c r="AJ575" s="15"/>
      <c r="AK575" t="s">
        <v>86</v>
      </c>
      <c r="AN575" t="s">
        <v>74</v>
      </c>
      <c r="AO575" t="s">
        <v>86</v>
      </c>
      <c r="AP575">
        <v>6</v>
      </c>
      <c r="AQ575" t="s">
        <v>86</v>
      </c>
      <c r="AR575" s="18" t="str">
        <f>IFERROR(VLOOKUP(K575,[1]POP!$F:$J,1,0),M575)</f>
        <v>MORA</v>
      </c>
      <c r="AS575" s="18" t="str">
        <f t="shared" si="41"/>
        <v>KOSSA</v>
      </c>
      <c r="AT575" s="19">
        <f t="shared" si="44"/>
        <v>2</v>
      </c>
      <c r="AU575" s="19">
        <f t="shared" ca="1" si="43"/>
        <v>2</v>
      </c>
    </row>
    <row r="576" spans="1:47" x14ac:dyDescent="0.3">
      <c r="A576" t="s">
        <v>847</v>
      </c>
      <c r="B576" t="str">
        <f t="shared" si="40"/>
        <v>S29_2026</v>
      </c>
      <c r="C576" t="str">
        <f t="shared" si="42"/>
        <v>S29_2026</v>
      </c>
      <c r="F576">
        <v>50</v>
      </c>
      <c r="G576" t="s">
        <v>55</v>
      </c>
      <c r="H576" t="s">
        <v>70</v>
      </c>
      <c r="I576" t="s">
        <v>823</v>
      </c>
      <c r="J576" t="s">
        <v>745</v>
      </c>
      <c r="K576" t="s">
        <v>746</v>
      </c>
      <c r="L576" t="s">
        <v>745</v>
      </c>
      <c r="M576" t="s">
        <v>746</v>
      </c>
      <c r="N576" t="s">
        <v>45</v>
      </c>
      <c r="O576" t="s">
        <v>45</v>
      </c>
      <c r="P576">
        <v>2</v>
      </c>
      <c r="Q576" s="7">
        <v>46216</v>
      </c>
      <c r="R576" s="7">
        <v>46218</v>
      </c>
      <c r="S576" s="7">
        <v>46218</v>
      </c>
      <c r="T576" t="s">
        <v>45</v>
      </c>
      <c r="V576" t="s">
        <v>747</v>
      </c>
      <c r="W576" t="s">
        <v>45</v>
      </c>
      <c r="X576" t="s">
        <v>45</v>
      </c>
      <c r="Y576" t="s">
        <v>45</v>
      </c>
      <c r="Z576" t="s">
        <v>45</v>
      </c>
      <c r="AC576" t="s">
        <v>74</v>
      </c>
      <c r="AE576" s="7">
        <v>46219</v>
      </c>
      <c r="AF576">
        <v>2</v>
      </c>
      <c r="AH576" t="s">
        <v>75</v>
      </c>
      <c r="AI576">
        <v>1</v>
      </c>
      <c r="AJ576" s="15"/>
      <c r="AK576" t="s">
        <v>86</v>
      </c>
      <c r="AN576" t="s">
        <v>74</v>
      </c>
      <c r="AO576" t="s">
        <v>86</v>
      </c>
      <c r="AP576">
        <v>7</v>
      </c>
      <c r="AQ576" t="s">
        <v>86</v>
      </c>
      <c r="AR576" s="18" t="str">
        <f>IFERROR(VLOOKUP(K576,[1]POP!$F:$J,1,0),M576)</f>
        <v>MORA</v>
      </c>
      <c r="AS576" s="18" t="str">
        <f t="shared" si="41"/>
        <v>KOSSA</v>
      </c>
      <c r="AT576" s="19">
        <f t="shared" si="44"/>
        <v>2</v>
      </c>
      <c r="AU576" s="19">
        <f t="shared" ca="1" si="43"/>
        <v>2</v>
      </c>
    </row>
    <row r="577" spans="1:47" x14ac:dyDescent="0.3">
      <c r="A577" t="s">
        <v>848</v>
      </c>
      <c r="B577" t="str">
        <f t="shared" si="40"/>
        <v>S29_2026</v>
      </c>
      <c r="C577" t="str">
        <f t="shared" si="42"/>
        <v>S29_2026</v>
      </c>
      <c r="F577">
        <v>13</v>
      </c>
      <c r="G577" t="s">
        <v>55</v>
      </c>
      <c r="H577" t="s">
        <v>706</v>
      </c>
      <c r="I577" t="s">
        <v>823</v>
      </c>
      <c r="J577" t="s">
        <v>745</v>
      </c>
      <c r="K577" t="s">
        <v>746</v>
      </c>
      <c r="L577" t="s">
        <v>745</v>
      </c>
      <c r="M577" t="s">
        <v>746</v>
      </c>
      <c r="N577" t="s">
        <v>45</v>
      </c>
      <c r="O577" t="s">
        <v>45</v>
      </c>
      <c r="P577">
        <v>2</v>
      </c>
      <c r="Q577" s="7">
        <v>46217</v>
      </c>
      <c r="R577" s="7">
        <v>46218</v>
      </c>
      <c r="S577" s="7">
        <v>46218</v>
      </c>
      <c r="T577" t="s">
        <v>45</v>
      </c>
      <c r="V577" t="s">
        <v>747</v>
      </c>
      <c r="W577" t="s">
        <v>45</v>
      </c>
      <c r="X577" t="s">
        <v>45</v>
      </c>
      <c r="Y577" t="s">
        <v>45</v>
      </c>
      <c r="Z577" t="s">
        <v>45</v>
      </c>
      <c r="AA577" s="7">
        <v>46218</v>
      </c>
      <c r="AB577" t="s">
        <v>62</v>
      </c>
      <c r="AC577" t="s">
        <v>45</v>
      </c>
      <c r="AD577" t="s">
        <v>62</v>
      </c>
      <c r="AE577" s="7">
        <v>46220</v>
      </c>
      <c r="AF577">
        <v>2</v>
      </c>
      <c r="AH577" t="s">
        <v>75</v>
      </c>
      <c r="AI577">
        <v>1</v>
      </c>
      <c r="AJ577" s="15"/>
      <c r="AK577" t="s">
        <v>86</v>
      </c>
      <c r="AN577" t="s">
        <v>74</v>
      </c>
      <c r="AO577" t="s">
        <v>86</v>
      </c>
      <c r="AP577">
        <v>5</v>
      </c>
      <c r="AQ577" t="s">
        <v>86</v>
      </c>
      <c r="AR577" s="18" t="str">
        <f>IFERROR(VLOOKUP(K577,[1]POP!$F:$J,1,0),M577)</f>
        <v>MORA</v>
      </c>
      <c r="AS577" s="18" t="str">
        <f t="shared" si="41"/>
        <v>KOSSA</v>
      </c>
      <c r="AT577" s="19">
        <f t="shared" si="44"/>
        <v>2</v>
      </c>
      <c r="AU577" s="19">
        <f t="shared" ca="1" si="43"/>
        <v>2</v>
      </c>
    </row>
    <row r="578" spans="1:47" x14ac:dyDescent="0.3">
      <c r="A578" t="s">
        <v>849</v>
      </c>
      <c r="B578" t="str">
        <f t="shared" ref="B578:B641" si="45">"S"&amp;(IF(_xlfn.ISOWEEKNUM(S578)&gt;9,_xlfn.ISOWEEKNUM(S578),_xlfn.CONCAT("0",_xlfn.ISOWEEKNUM(S578))))&amp;"_"&amp;(YEAR(S578+26-(_xlfn.ISOWEEKNUM(S578))))</f>
        <v>S29_2026</v>
      </c>
      <c r="C578" t="str">
        <f t="shared" si="42"/>
        <v>S29_2026</v>
      </c>
      <c r="F578">
        <v>28</v>
      </c>
      <c r="G578" t="s">
        <v>55</v>
      </c>
      <c r="H578" t="s">
        <v>70</v>
      </c>
      <c r="I578" t="s">
        <v>823</v>
      </c>
      <c r="J578" t="s">
        <v>745</v>
      </c>
      <c r="K578" t="s">
        <v>746</v>
      </c>
      <c r="L578" t="s">
        <v>745</v>
      </c>
      <c r="M578" t="s">
        <v>746</v>
      </c>
      <c r="N578" t="s">
        <v>45</v>
      </c>
      <c r="O578" t="s">
        <v>45</v>
      </c>
      <c r="P578">
        <v>2</v>
      </c>
      <c r="Q578" s="7">
        <v>46218</v>
      </c>
      <c r="R578" s="7">
        <v>46218</v>
      </c>
      <c r="S578" s="7">
        <v>46218</v>
      </c>
      <c r="T578" t="s">
        <v>45</v>
      </c>
      <c r="V578" t="s">
        <v>747</v>
      </c>
      <c r="W578" t="s">
        <v>45</v>
      </c>
      <c r="X578" t="s">
        <v>45</v>
      </c>
      <c r="Y578" t="s">
        <v>45</v>
      </c>
      <c r="Z578" t="s">
        <v>45</v>
      </c>
      <c r="AC578" t="s">
        <v>74</v>
      </c>
      <c r="AE578" s="7">
        <v>46220</v>
      </c>
      <c r="AF578">
        <v>2</v>
      </c>
      <c r="AH578" t="s">
        <v>75</v>
      </c>
      <c r="AI578">
        <v>1</v>
      </c>
      <c r="AJ578" s="15"/>
      <c r="AK578" t="s">
        <v>86</v>
      </c>
      <c r="AN578" t="s">
        <v>74</v>
      </c>
      <c r="AO578" t="s">
        <v>86</v>
      </c>
      <c r="AP578">
        <v>5</v>
      </c>
      <c r="AQ578" t="s">
        <v>86</v>
      </c>
      <c r="AR578" s="18" t="str">
        <f>IFERROR(VLOOKUP(K578,[1]POP!$F:$J,1,0),M578)</f>
        <v>MORA</v>
      </c>
      <c r="AS578" s="18" t="str">
        <f t="shared" ref="AS578:AS641" si="46">IF(AR578=K578,J578,L578)</f>
        <v>KOSSA</v>
      </c>
      <c r="AT578" s="19">
        <f t="shared" si="44"/>
        <v>2</v>
      </c>
      <c r="AU578" s="19">
        <f t="shared" ca="1" si="43"/>
        <v>2</v>
      </c>
    </row>
    <row r="579" spans="1:47" x14ac:dyDescent="0.3">
      <c r="A579" t="s">
        <v>850</v>
      </c>
      <c r="B579" t="str">
        <f t="shared" si="45"/>
        <v>S29_2026</v>
      </c>
      <c r="C579" t="str">
        <f t="shared" ref="C579:C642" si="47">"S"&amp;(IF(_xlfn.ISOWEEKNUM(Q579)&gt;9,_xlfn.ISOWEEKNUM(Q579),_xlfn.CONCAT("0",_xlfn.ISOWEEKNUM(Q579))))&amp;"_"&amp;(YEAR(Q579+26-(_xlfn.ISOWEEKNUM(Q579))))</f>
        <v>S29_2026</v>
      </c>
      <c r="E579">
        <v>699218232</v>
      </c>
      <c r="F579">
        <v>7</v>
      </c>
      <c r="G579" t="s">
        <v>55</v>
      </c>
      <c r="H579" t="s">
        <v>56</v>
      </c>
      <c r="I579" t="s">
        <v>851</v>
      </c>
      <c r="J579" t="s">
        <v>851</v>
      </c>
      <c r="K579" t="s">
        <v>146</v>
      </c>
      <c r="L579" t="s">
        <v>746</v>
      </c>
      <c r="M579" t="s">
        <v>746</v>
      </c>
      <c r="N579" t="s">
        <v>45</v>
      </c>
      <c r="O579" t="s">
        <v>45</v>
      </c>
      <c r="P579">
        <v>3</v>
      </c>
      <c r="Q579" s="7">
        <v>46221</v>
      </c>
      <c r="R579" s="7">
        <v>46221</v>
      </c>
      <c r="S579" s="7">
        <v>46221</v>
      </c>
      <c r="T579" t="s">
        <v>45</v>
      </c>
      <c r="V579" t="s">
        <v>852</v>
      </c>
      <c r="W579" t="s">
        <v>45</v>
      </c>
      <c r="X579" t="s">
        <v>45</v>
      </c>
      <c r="Y579" t="s">
        <v>45</v>
      </c>
      <c r="Z579" t="s">
        <v>45</v>
      </c>
      <c r="AA579" s="7">
        <v>46221</v>
      </c>
      <c r="AB579" t="s">
        <v>48</v>
      </c>
      <c r="AC579" t="s">
        <v>45</v>
      </c>
      <c r="AD579" t="s">
        <v>48</v>
      </c>
      <c r="AE579" s="7">
        <v>46227</v>
      </c>
      <c r="AF579">
        <v>2</v>
      </c>
      <c r="AH579" t="s">
        <v>75</v>
      </c>
      <c r="AI579">
        <v>1</v>
      </c>
      <c r="AJ579" s="15"/>
      <c r="AK579" t="s">
        <v>74</v>
      </c>
      <c r="AN579" t="s">
        <v>45</v>
      </c>
      <c r="AO579" t="s">
        <v>45</v>
      </c>
      <c r="AP579">
        <v>1</v>
      </c>
      <c r="AQ579" t="s">
        <v>74</v>
      </c>
      <c r="AR579" s="18" t="str">
        <f>IFERROR(VLOOKUP(K579,[1]POP!$F:$J,1,0),M579)</f>
        <v>MORA</v>
      </c>
      <c r="AS579" s="18" t="str">
        <f t="shared" si="46"/>
        <v>MORA</v>
      </c>
      <c r="AT579" s="19">
        <f t="shared" si="44"/>
        <v>2</v>
      </c>
      <c r="AU579" s="19">
        <f t="shared" ref="AU579:AU642" ca="1" si="48">IF((TODAY() - R579)&lt;=21,1,2)</f>
        <v>2</v>
      </c>
    </row>
    <row r="580" spans="1:47" x14ac:dyDescent="0.3">
      <c r="A580" t="s">
        <v>853</v>
      </c>
      <c r="B580" t="str">
        <f t="shared" si="45"/>
        <v>S30_2026</v>
      </c>
      <c r="C580" t="str">
        <f t="shared" si="47"/>
        <v>S29_2026</v>
      </c>
      <c r="F580">
        <v>35</v>
      </c>
      <c r="G580" t="s">
        <v>40</v>
      </c>
      <c r="I580" t="s">
        <v>854</v>
      </c>
      <c r="J580" t="s">
        <v>855</v>
      </c>
      <c r="K580" t="s">
        <v>856</v>
      </c>
      <c r="L580" t="s">
        <v>855</v>
      </c>
      <c r="M580" t="s">
        <v>856</v>
      </c>
      <c r="N580" t="s">
        <v>45</v>
      </c>
      <c r="O580" t="s">
        <v>45</v>
      </c>
      <c r="P580">
        <v>3</v>
      </c>
      <c r="Q580" s="7">
        <v>46222</v>
      </c>
      <c r="R580" s="7">
        <v>46222</v>
      </c>
      <c r="S580" s="7">
        <v>46223</v>
      </c>
      <c r="T580" t="s">
        <v>45</v>
      </c>
      <c r="V580" t="s">
        <v>857</v>
      </c>
      <c r="W580" t="s">
        <v>45</v>
      </c>
      <c r="X580" t="s">
        <v>45</v>
      </c>
      <c r="Y580" t="s">
        <v>45</v>
      </c>
      <c r="Z580" t="s">
        <v>45</v>
      </c>
      <c r="AA580" s="7">
        <v>46223</v>
      </c>
      <c r="AC580" t="s">
        <v>45</v>
      </c>
      <c r="AD580" t="s">
        <v>48</v>
      </c>
      <c r="AF580">
        <v>2</v>
      </c>
      <c r="AH580" t="s">
        <v>75</v>
      </c>
      <c r="AI580">
        <v>1</v>
      </c>
      <c r="AJ580" s="15"/>
      <c r="AK580" t="s">
        <v>74</v>
      </c>
      <c r="AL580" t="s">
        <v>549</v>
      </c>
      <c r="AN580" t="s">
        <v>45</v>
      </c>
      <c r="AO580" t="s">
        <v>45</v>
      </c>
      <c r="AP580">
        <v>5</v>
      </c>
      <c r="AQ580" t="s">
        <v>74</v>
      </c>
      <c r="AR580" s="18" t="str">
        <f>IFERROR(VLOOKUP(K580,[1]POP!$F:$J,1,0),M580)</f>
        <v>MAROUA 1</v>
      </c>
      <c r="AS580" s="18" t="str">
        <f t="shared" si="46"/>
        <v>DOMAYO 2</v>
      </c>
      <c r="AT580" s="19">
        <f t="shared" ref="AT580:AT643" si="49">IF($AI:$AI=2,3,IF($AI:$AI=3,3,IF($AI:$AI=4,3,IF($AI:$AI=1,2,0))))</f>
        <v>2</v>
      </c>
      <c r="AU580" s="19">
        <f t="shared" ca="1" si="48"/>
        <v>2</v>
      </c>
    </row>
    <row r="581" spans="1:47" x14ac:dyDescent="0.3">
      <c r="A581" t="s">
        <v>858</v>
      </c>
      <c r="B581" t="str">
        <f t="shared" si="45"/>
        <v>S30_2026</v>
      </c>
      <c r="C581" t="str">
        <f t="shared" si="47"/>
        <v>S30_2026</v>
      </c>
      <c r="F581">
        <v>12</v>
      </c>
      <c r="G581" t="s">
        <v>55</v>
      </c>
      <c r="H581" t="s">
        <v>85</v>
      </c>
      <c r="I581" t="s">
        <v>739</v>
      </c>
      <c r="J581" t="s">
        <v>740</v>
      </c>
      <c r="K581" t="s">
        <v>146</v>
      </c>
      <c r="L581" t="s">
        <v>741</v>
      </c>
      <c r="M581" t="s">
        <v>146</v>
      </c>
      <c r="N581" t="s">
        <v>45</v>
      </c>
      <c r="O581" t="s">
        <v>45</v>
      </c>
      <c r="P581">
        <v>1</v>
      </c>
      <c r="Q581" s="7">
        <v>46224</v>
      </c>
      <c r="R581" s="7">
        <v>46224</v>
      </c>
      <c r="S581" s="7">
        <v>46224</v>
      </c>
      <c r="T581" t="s">
        <v>45</v>
      </c>
      <c r="V581" t="s">
        <v>742</v>
      </c>
      <c r="W581" t="s">
        <v>45</v>
      </c>
      <c r="X581" t="s">
        <v>45</v>
      </c>
      <c r="Y581" t="s">
        <v>45</v>
      </c>
      <c r="Z581" t="s">
        <v>45</v>
      </c>
      <c r="AF581">
        <v>2</v>
      </c>
      <c r="AH581" t="s">
        <v>75</v>
      </c>
      <c r="AI581">
        <v>1</v>
      </c>
      <c r="AJ581" s="15"/>
      <c r="AK581" t="s">
        <v>74</v>
      </c>
      <c r="AN581" t="s">
        <v>45</v>
      </c>
      <c r="AO581" t="s">
        <v>45</v>
      </c>
      <c r="AP581">
        <v>10</v>
      </c>
      <c r="AQ581" t="s">
        <v>74</v>
      </c>
      <c r="AR581" s="18" t="str">
        <f>IFERROR(VLOOKUP(K581,[1]POP!$F:$J,1,0),M581)</f>
        <v>KOLOFATA</v>
      </c>
      <c r="AS581" s="18" t="str">
        <f t="shared" si="46"/>
        <v>KOLOFATA 2</v>
      </c>
      <c r="AT581" s="19">
        <f t="shared" si="49"/>
        <v>2</v>
      </c>
      <c r="AU581" s="19">
        <f t="shared" ca="1" si="48"/>
        <v>2</v>
      </c>
    </row>
    <row r="582" spans="1:47" x14ac:dyDescent="0.3">
      <c r="A582" t="s">
        <v>859</v>
      </c>
      <c r="B582" t="str">
        <f t="shared" si="45"/>
        <v>S30_2026</v>
      </c>
      <c r="C582" t="str">
        <f t="shared" si="47"/>
        <v>S30_2026</v>
      </c>
      <c r="F582">
        <v>5</v>
      </c>
      <c r="G582" t="s">
        <v>55</v>
      </c>
      <c r="H582" t="s">
        <v>85</v>
      </c>
      <c r="I582" t="s">
        <v>739</v>
      </c>
      <c r="J582" t="s">
        <v>740</v>
      </c>
      <c r="K582" t="s">
        <v>146</v>
      </c>
      <c r="L582" t="s">
        <v>741</v>
      </c>
      <c r="M582" t="s">
        <v>146</v>
      </c>
      <c r="N582" t="s">
        <v>45</v>
      </c>
      <c r="O582" t="s">
        <v>45</v>
      </c>
      <c r="P582">
        <v>2</v>
      </c>
      <c r="Q582" s="7">
        <v>46224</v>
      </c>
      <c r="R582" s="7">
        <v>46224</v>
      </c>
      <c r="S582" s="7">
        <v>46224</v>
      </c>
      <c r="T582" t="s">
        <v>45</v>
      </c>
      <c r="V582" t="s">
        <v>742</v>
      </c>
      <c r="W582" t="s">
        <v>45</v>
      </c>
      <c r="X582" t="s">
        <v>45</v>
      </c>
      <c r="Y582" t="s">
        <v>45</v>
      </c>
      <c r="Z582" t="s">
        <v>45</v>
      </c>
      <c r="AF582">
        <v>2</v>
      </c>
      <c r="AH582" t="s">
        <v>75</v>
      </c>
      <c r="AI582">
        <v>1</v>
      </c>
      <c r="AJ582" s="15"/>
      <c r="AK582" t="s">
        <v>74</v>
      </c>
      <c r="AL582" t="s">
        <v>549</v>
      </c>
      <c r="AN582" t="s">
        <v>45</v>
      </c>
      <c r="AO582" t="s">
        <v>74</v>
      </c>
      <c r="AP582">
        <v>12</v>
      </c>
      <c r="AQ582" t="s">
        <v>74</v>
      </c>
      <c r="AR582" s="18" t="str">
        <f>IFERROR(VLOOKUP(K582,[1]POP!$F:$J,1,0),M582)</f>
        <v>KOLOFATA</v>
      </c>
      <c r="AS582" s="18" t="str">
        <f t="shared" si="46"/>
        <v>KOLOFATA 2</v>
      </c>
      <c r="AT582" s="19">
        <f t="shared" si="49"/>
        <v>2</v>
      </c>
      <c r="AU582" s="19">
        <f t="shared" ca="1" si="48"/>
        <v>2</v>
      </c>
    </row>
    <row r="583" spans="1:47" x14ac:dyDescent="0.3">
      <c r="A583" t="s">
        <v>860</v>
      </c>
      <c r="B583" t="str">
        <f t="shared" si="45"/>
        <v>S30_2026</v>
      </c>
      <c r="C583" t="str">
        <f t="shared" si="47"/>
        <v>S30_2026</v>
      </c>
      <c r="F583">
        <v>20</v>
      </c>
      <c r="G583" t="s">
        <v>40</v>
      </c>
      <c r="H583" t="s">
        <v>85</v>
      </c>
      <c r="I583" t="s">
        <v>739</v>
      </c>
      <c r="J583" t="s">
        <v>740</v>
      </c>
      <c r="K583" t="s">
        <v>146</v>
      </c>
      <c r="L583" t="s">
        <v>741</v>
      </c>
      <c r="M583" t="s">
        <v>146</v>
      </c>
      <c r="N583" t="s">
        <v>45</v>
      </c>
      <c r="O583" t="s">
        <v>45</v>
      </c>
      <c r="P583">
        <v>3</v>
      </c>
      <c r="Q583" s="7">
        <v>46224</v>
      </c>
      <c r="R583" s="7">
        <v>46224</v>
      </c>
      <c r="S583" s="7">
        <v>46224</v>
      </c>
      <c r="T583" t="s">
        <v>45</v>
      </c>
      <c r="V583" t="s">
        <v>742</v>
      </c>
      <c r="W583" t="s">
        <v>45</v>
      </c>
      <c r="X583" t="s">
        <v>45</v>
      </c>
      <c r="Y583" t="s">
        <v>45</v>
      </c>
      <c r="Z583" t="s">
        <v>45</v>
      </c>
      <c r="AE583" s="7">
        <v>46240</v>
      </c>
      <c r="AF583">
        <v>2</v>
      </c>
      <c r="AH583" t="s">
        <v>75</v>
      </c>
      <c r="AI583">
        <v>1</v>
      </c>
      <c r="AJ583" s="15"/>
      <c r="AK583" t="s">
        <v>74</v>
      </c>
      <c r="AN583" t="s">
        <v>45</v>
      </c>
      <c r="AO583" t="s">
        <v>45</v>
      </c>
      <c r="AP583">
        <v>7</v>
      </c>
      <c r="AQ583" t="s">
        <v>74</v>
      </c>
      <c r="AR583" s="18" t="str">
        <f>IFERROR(VLOOKUP(K583,[1]POP!$F:$J,1,0),M583)</f>
        <v>KOLOFATA</v>
      </c>
      <c r="AS583" s="18" t="str">
        <f t="shared" si="46"/>
        <v>KOLOFATA 2</v>
      </c>
      <c r="AT583" s="19">
        <f t="shared" si="49"/>
        <v>2</v>
      </c>
      <c r="AU583" s="19">
        <f t="shared" ca="1" si="48"/>
        <v>2</v>
      </c>
    </row>
    <row r="584" spans="1:47" x14ac:dyDescent="0.3">
      <c r="A584" t="s">
        <v>861</v>
      </c>
      <c r="B584" t="str">
        <f t="shared" si="45"/>
        <v>S30_2026</v>
      </c>
      <c r="C584" t="str">
        <f t="shared" si="47"/>
        <v>S30_2026</v>
      </c>
      <c r="F584">
        <v>40</v>
      </c>
      <c r="G584" t="s">
        <v>40</v>
      </c>
      <c r="H584" t="s">
        <v>77</v>
      </c>
      <c r="I584" t="s">
        <v>862</v>
      </c>
      <c r="J584" t="s">
        <v>752</v>
      </c>
      <c r="K584" t="s">
        <v>146</v>
      </c>
      <c r="L584" t="s">
        <v>752</v>
      </c>
      <c r="M584" t="s">
        <v>146</v>
      </c>
      <c r="N584" t="s">
        <v>45</v>
      </c>
      <c r="O584" t="s">
        <v>45</v>
      </c>
      <c r="P584">
        <v>3</v>
      </c>
      <c r="Q584" s="7">
        <v>46224</v>
      </c>
      <c r="R584" s="7">
        <v>46224</v>
      </c>
      <c r="S584" s="7">
        <v>46224</v>
      </c>
      <c r="T584" t="s">
        <v>45</v>
      </c>
      <c r="V584" t="s">
        <v>753</v>
      </c>
      <c r="W584" t="s">
        <v>45</v>
      </c>
      <c r="X584" t="s">
        <v>45</v>
      </c>
      <c r="Y584" t="s">
        <v>45</v>
      </c>
      <c r="Z584" t="s">
        <v>45</v>
      </c>
      <c r="AF584">
        <v>2</v>
      </c>
      <c r="AH584" t="s">
        <v>75</v>
      </c>
      <c r="AI584">
        <v>1</v>
      </c>
      <c r="AJ584" s="15"/>
      <c r="AK584" t="s">
        <v>74</v>
      </c>
      <c r="AN584" t="s">
        <v>45</v>
      </c>
      <c r="AO584"/>
      <c r="AP584">
        <v>5</v>
      </c>
      <c r="AQ584" t="s">
        <v>74</v>
      </c>
      <c r="AR584" s="18" t="str">
        <f>IFERROR(VLOOKUP(K584,[1]POP!$F:$J,1,0),M584)</f>
        <v>KOLOFATA</v>
      </c>
      <c r="AS584" s="18" t="str">
        <f t="shared" si="46"/>
        <v>LIMANI</v>
      </c>
      <c r="AT584" s="19">
        <f t="shared" si="49"/>
        <v>2</v>
      </c>
      <c r="AU584" s="19">
        <f t="shared" ca="1" si="48"/>
        <v>2</v>
      </c>
    </row>
    <row r="585" spans="1:47" x14ac:dyDescent="0.3">
      <c r="A585" t="s">
        <v>863</v>
      </c>
      <c r="B585" t="str">
        <f t="shared" si="45"/>
        <v>S30_2026</v>
      </c>
      <c r="C585" t="str">
        <f t="shared" si="47"/>
        <v>S30_2026</v>
      </c>
      <c r="F585">
        <v>9</v>
      </c>
      <c r="G585" t="s">
        <v>55</v>
      </c>
      <c r="H585" t="s">
        <v>85</v>
      </c>
      <c r="I585" t="s">
        <v>862</v>
      </c>
      <c r="J585" t="s">
        <v>752</v>
      </c>
      <c r="K585" t="s">
        <v>146</v>
      </c>
      <c r="L585" t="s">
        <v>752</v>
      </c>
      <c r="M585" t="s">
        <v>146</v>
      </c>
      <c r="N585" t="s">
        <v>45</v>
      </c>
      <c r="O585" t="s">
        <v>45</v>
      </c>
      <c r="P585">
        <v>2</v>
      </c>
      <c r="Q585" s="7">
        <v>46224</v>
      </c>
      <c r="R585" s="7">
        <v>46224</v>
      </c>
      <c r="S585" s="7">
        <v>46224</v>
      </c>
      <c r="T585" t="s">
        <v>45</v>
      </c>
      <c r="V585" t="s">
        <v>753</v>
      </c>
      <c r="W585" t="s">
        <v>45</v>
      </c>
      <c r="X585" t="s">
        <v>45</v>
      </c>
      <c r="Y585" t="s">
        <v>45</v>
      </c>
      <c r="Z585" t="s">
        <v>45</v>
      </c>
      <c r="AF585">
        <v>2</v>
      </c>
      <c r="AH585" t="s">
        <v>75</v>
      </c>
      <c r="AI585">
        <v>1</v>
      </c>
      <c r="AJ585" s="15"/>
      <c r="AK585" t="s">
        <v>74</v>
      </c>
      <c r="AN585" t="s">
        <v>45</v>
      </c>
      <c r="AO585"/>
      <c r="AP585">
        <v>4</v>
      </c>
      <c r="AQ585" t="s">
        <v>74</v>
      </c>
      <c r="AR585" s="18" t="str">
        <f>IFERROR(VLOOKUP(K585,[1]POP!$F:$J,1,0),M585)</f>
        <v>KOLOFATA</v>
      </c>
      <c r="AS585" s="18" t="str">
        <f t="shared" si="46"/>
        <v>LIMANI</v>
      </c>
      <c r="AT585" s="19">
        <f t="shared" si="49"/>
        <v>2</v>
      </c>
      <c r="AU585" s="19">
        <f t="shared" ca="1" si="48"/>
        <v>2</v>
      </c>
    </row>
    <row r="586" spans="1:47" x14ac:dyDescent="0.3">
      <c r="A586" t="s">
        <v>864</v>
      </c>
      <c r="B586" t="str">
        <f t="shared" si="45"/>
        <v>S30_2026</v>
      </c>
      <c r="C586" t="str">
        <f t="shared" si="47"/>
        <v>S30_2026</v>
      </c>
      <c r="F586">
        <v>7</v>
      </c>
      <c r="G586" t="s">
        <v>40</v>
      </c>
      <c r="H586" t="s">
        <v>85</v>
      </c>
      <c r="I586" t="s">
        <v>862</v>
      </c>
      <c r="J586" t="s">
        <v>752</v>
      </c>
      <c r="K586" t="s">
        <v>146</v>
      </c>
      <c r="L586" t="s">
        <v>752</v>
      </c>
      <c r="M586" t="s">
        <v>146</v>
      </c>
      <c r="N586" t="s">
        <v>45</v>
      </c>
      <c r="O586" t="s">
        <v>45</v>
      </c>
      <c r="P586">
        <v>2</v>
      </c>
      <c r="Q586" s="7">
        <v>46224</v>
      </c>
      <c r="R586" s="7">
        <v>46224</v>
      </c>
      <c r="S586" s="7">
        <v>46224</v>
      </c>
      <c r="T586" t="s">
        <v>45</v>
      </c>
      <c r="V586" t="s">
        <v>753</v>
      </c>
      <c r="W586" t="s">
        <v>45</v>
      </c>
      <c r="X586" t="s">
        <v>45</v>
      </c>
      <c r="Y586" t="s">
        <v>45</v>
      </c>
      <c r="Z586" t="s">
        <v>45</v>
      </c>
      <c r="AF586">
        <v>2</v>
      </c>
      <c r="AH586" t="s">
        <v>75</v>
      </c>
      <c r="AI586">
        <v>1</v>
      </c>
      <c r="AJ586" s="15"/>
      <c r="AK586" t="s">
        <v>74</v>
      </c>
      <c r="AN586" t="s">
        <v>45</v>
      </c>
      <c r="AO586"/>
      <c r="AP586">
        <v>7</v>
      </c>
      <c r="AQ586" t="s">
        <v>74</v>
      </c>
      <c r="AR586" s="18" t="str">
        <f>IFERROR(VLOOKUP(K586,[1]POP!$F:$J,1,0),M586)</f>
        <v>KOLOFATA</v>
      </c>
      <c r="AS586" s="18" t="str">
        <f t="shared" si="46"/>
        <v>LIMANI</v>
      </c>
      <c r="AT586" s="19">
        <f t="shared" si="49"/>
        <v>2</v>
      </c>
      <c r="AU586" s="19">
        <f t="shared" ca="1" si="48"/>
        <v>2</v>
      </c>
    </row>
    <row r="587" spans="1:47" x14ac:dyDescent="0.3">
      <c r="A587" t="s">
        <v>865</v>
      </c>
      <c r="B587" t="str">
        <f t="shared" si="45"/>
        <v>S30_2026</v>
      </c>
      <c r="C587" t="str">
        <f t="shared" si="47"/>
        <v>S30_2026</v>
      </c>
      <c r="F587">
        <v>4</v>
      </c>
      <c r="G587" t="s">
        <v>40</v>
      </c>
      <c r="H587" t="s">
        <v>85</v>
      </c>
      <c r="I587" t="s">
        <v>862</v>
      </c>
      <c r="J587" t="s">
        <v>752</v>
      </c>
      <c r="K587" t="s">
        <v>146</v>
      </c>
      <c r="L587" t="s">
        <v>752</v>
      </c>
      <c r="M587" t="s">
        <v>146</v>
      </c>
      <c r="N587" t="s">
        <v>45</v>
      </c>
      <c r="O587" t="s">
        <v>45</v>
      </c>
      <c r="P587">
        <v>2</v>
      </c>
      <c r="Q587" s="7">
        <v>46224</v>
      </c>
      <c r="R587" s="7">
        <v>46224</v>
      </c>
      <c r="S587" s="7">
        <v>46224</v>
      </c>
      <c r="T587" t="s">
        <v>45</v>
      </c>
      <c r="V587" t="s">
        <v>753</v>
      </c>
      <c r="W587" t="s">
        <v>45</v>
      </c>
      <c r="X587" t="s">
        <v>45</v>
      </c>
      <c r="Y587" t="s">
        <v>45</v>
      </c>
      <c r="Z587" t="s">
        <v>45</v>
      </c>
      <c r="AF587">
        <v>2</v>
      </c>
      <c r="AH587" t="s">
        <v>75</v>
      </c>
      <c r="AI587">
        <v>1</v>
      </c>
      <c r="AJ587" s="15"/>
      <c r="AK587" t="s">
        <v>74</v>
      </c>
      <c r="AN587" t="s">
        <v>45</v>
      </c>
      <c r="AO587"/>
      <c r="AP587">
        <v>3</v>
      </c>
      <c r="AQ587" t="s">
        <v>74</v>
      </c>
      <c r="AR587" s="18" t="str">
        <f>IFERROR(VLOOKUP(K587,[1]POP!$F:$J,1,0),M587)</f>
        <v>KOLOFATA</v>
      </c>
      <c r="AS587" s="18" t="str">
        <f t="shared" si="46"/>
        <v>LIMANI</v>
      </c>
      <c r="AT587" s="19">
        <f t="shared" si="49"/>
        <v>2</v>
      </c>
      <c r="AU587" s="19">
        <f t="shared" ca="1" si="48"/>
        <v>2</v>
      </c>
    </row>
    <row r="588" spans="1:47" x14ac:dyDescent="0.3">
      <c r="A588" t="s">
        <v>866</v>
      </c>
      <c r="B588" t="str">
        <f t="shared" si="45"/>
        <v>S30_2026</v>
      </c>
      <c r="C588" t="str">
        <f t="shared" si="47"/>
        <v>S30_2026</v>
      </c>
      <c r="F588">
        <v>11</v>
      </c>
      <c r="G588" t="s">
        <v>55</v>
      </c>
      <c r="H588" t="s">
        <v>85</v>
      </c>
      <c r="I588" t="s">
        <v>862</v>
      </c>
      <c r="J588" t="s">
        <v>752</v>
      </c>
      <c r="K588" t="s">
        <v>146</v>
      </c>
      <c r="L588" t="s">
        <v>752</v>
      </c>
      <c r="M588" t="s">
        <v>146</v>
      </c>
      <c r="N588" t="s">
        <v>45</v>
      </c>
      <c r="O588" t="s">
        <v>45</v>
      </c>
      <c r="P588">
        <v>2</v>
      </c>
      <c r="Q588" s="7">
        <v>46224</v>
      </c>
      <c r="R588" s="7">
        <v>46224</v>
      </c>
      <c r="S588" s="7">
        <v>46224</v>
      </c>
      <c r="T588" t="s">
        <v>45</v>
      </c>
      <c r="V588" t="s">
        <v>753</v>
      </c>
      <c r="W588" t="s">
        <v>45</v>
      </c>
      <c r="X588" t="s">
        <v>45</v>
      </c>
      <c r="Y588" t="s">
        <v>45</v>
      </c>
      <c r="Z588" t="s">
        <v>45</v>
      </c>
      <c r="AF588">
        <v>2</v>
      </c>
      <c r="AH588" t="s">
        <v>75</v>
      </c>
      <c r="AI588">
        <v>1</v>
      </c>
      <c r="AJ588" s="15"/>
      <c r="AK588" t="s">
        <v>74</v>
      </c>
      <c r="AN588" t="s">
        <v>45</v>
      </c>
      <c r="AO588"/>
      <c r="AP588">
        <v>4</v>
      </c>
      <c r="AQ588" t="s">
        <v>74</v>
      </c>
      <c r="AR588" s="18" t="str">
        <f>IFERROR(VLOOKUP(K588,[1]POP!$F:$J,1,0),M588)</f>
        <v>KOLOFATA</v>
      </c>
      <c r="AS588" s="18" t="str">
        <f t="shared" si="46"/>
        <v>LIMANI</v>
      </c>
      <c r="AT588" s="19">
        <f t="shared" si="49"/>
        <v>2</v>
      </c>
      <c r="AU588" s="19">
        <f t="shared" ca="1" si="48"/>
        <v>2</v>
      </c>
    </row>
    <row r="589" spans="1:47" x14ac:dyDescent="0.3">
      <c r="A589" t="s">
        <v>867</v>
      </c>
      <c r="B589" t="str">
        <f t="shared" si="45"/>
        <v>S29_2026</v>
      </c>
      <c r="C589" t="str">
        <f t="shared" si="47"/>
        <v>S29_2026</v>
      </c>
      <c r="E589">
        <v>691114081</v>
      </c>
      <c r="F589">
        <v>24</v>
      </c>
      <c r="G589" t="s">
        <v>55</v>
      </c>
      <c r="H589" t="s">
        <v>868</v>
      </c>
      <c r="I589" t="s">
        <v>553</v>
      </c>
      <c r="J589" t="s">
        <v>459</v>
      </c>
      <c r="K589" t="s">
        <v>460</v>
      </c>
      <c r="L589" t="s">
        <v>459</v>
      </c>
      <c r="M589" t="s">
        <v>460</v>
      </c>
      <c r="N589" t="s">
        <v>45</v>
      </c>
      <c r="O589" t="s">
        <v>45</v>
      </c>
      <c r="P589">
        <v>2</v>
      </c>
      <c r="Q589" s="7">
        <v>46220</v>
      </c>
      <c r="R589" s="7">
        <v>46220</v>
      </c>
      <c r="S589" s="7">
        <v>46220</v>
      </c>
      <c r="T589" t="s">
        <v>45</v>
      </c>
      <c r="V589" t="s">
        <v>462</v>
      </c>
      <c r="W589" t="s">
        <v>45</v>
      </c>
      <c r="X589" t="s">
        <v>45</v>
      </c>
      <c r="Y589" t="s">
        <v>45</v>
      </c>
      <c r="Z589" t="s">
        <v>45</v>
      </c>
      <c r="AA589" s="7">
        <v>46221</v>
      </c>
      <c r="AB589" t="s">
        <v>48</v>
      </c>
      <c r="AC589" t="s">
        <v>74</v>
      </c>
      <c r="AF589">
        <v>3</v>
      </c>
      <c r="AH589" t="s">
        <v>75</v>
      </c>
      <c r="AI589">
        <v>2</v>
      </c>
      <c r="AJ589" s="15"/>
      <c r="AK589" t="s">
        <v>86</v>
      </c>
      <c r="AN589"/>
      <c r="AO589"/>
      <c r="AP589">
        <v>5</v>
      </c>
      <c r="AQ589" t="s">
        <v>74</v>
      </c>
      <c r="AR589" s="18" t="str">
        <f>IFERROR(VLOOKUP(K589,[1]POP!$F:$J,1,0),M589)</f>
        <v>KOUSSERI</v>
      </c>
      <c r="AS589" s="18" t="str">
        <f t="shared" si="46"/>
        <v>PAGUI</v>
      </c>
      <c r="AT589" s="19">
        <f t="shared" si="49"/>
        <v>3</v>
      </c>
      <c r="AU589" s="19">
        <f t="shared" ca="1" si="48"/>
        <v>2</v>
      </c>
    </row>
    <row r="590" spans="1:47" x14ac:dyDescent="0.3">
      <c r="A590" t="s">
        <v>869</v>
      </c>
      <c r="B590" t="str">
        <f t="shared" si="45"/>
        <v>S29_2026</v>
      </c>
      <c r="C590" t="str">
        <f t="shared" si="47"/>
        <v>S29_2026</v>
      </c>
      <c r="E590">
        <v>699966438</v>
      </c>
      <c r="F590">
        <v>34</v>
      </c>
      <c r="G590" t="s">
        <v>55</v>
      </c>
      <c r="H590" t="s">
        <v>870</v>
      </c>
      <c r="I590" t="s">
        <v>127</v>
      </c>
      <c r="J590" t="s">
        <v>459</v>
      </c>
      <c r="K590" t="s">
        <v>460</v>
      </c>
      <c r="L590" t="s">
        <v>459</v>
      </c>
      <c r="M590" t="s">
        <v>460</v>
      </c>
      <c r="N590" t="s">
        <v>45</v>
      </c>
      <c r="O590" t="s">
        <v>45</v>
      </c>
      <c r="P590">
        <v>3</v>
      </c>
      <c r="Q590" s="7">
        <v>46221</v>
      </c>
      <c r="R590" s="7">
        <v>46221</v>
      </c>
      <c r="S590" s="7">
        <v>46221</v>
      </c>
      <c r="T590" t="s">
        <v>45</v>
      </c>
      <c r="V590" t="s">
        <v>462</v>
      </c>
      <c r="W590" t="s">
        <v>45</v>
      </c>
      <c r="X590" t="s">
        <v>45</v>
      </c>
      <c r="Y590" t="s">
        <v>45</v>
      </c>
      <c r="Z590" t="s">
        <v>45</v>
      </c>
      <c r="AA590" s="7">
        <v>46221</v>
      </c>
      <c r="AB590" t="s">
        <v>48</v>
      </c>
      <c r="AC590" t="s">
        <v>45</v>
      </c>
      <c r="AD590" t="s">
        <v>48</v>
      </c>
      <c r="AE590" s="7">
        <v>46224</v>
      </c>
      <c r="AF590">
        <v>2</v>
      </c>
      <c r="AH590" t="s">
        <v>75</v>
      </c>
      <c r="AI590">
        <v>1</v>
      </c>
      <c r="AJ590" s="15"/>
      <c r="AK590" t="s">
        <v>86</v>
      </c>
      <c r="AN590"/>
      <c r="AO590"/>
      <c r="AP590">
        <v>9</v>
      </c>
      <c r="AQ590" t="s">
        <v>74</v>
      </c>
      <c r="AR590" s="18" t="str">
        <f>IFERROR(VLOOKUP(K590,[1]POP!$F:$J,1,0),M590)</f>
        <v>KOUSSERI</v>
      </c>
      <c r="AS590" s="18" t="str">
        <f t="shared" si="46"/>
        <v>PAGUI</v>
      </c>
      <c r="AT590" s="19">
        <f t="shared" si="49"/>
        <v>2</v>
      </c>
      <c r="AU590" s="19">
        <f t="shared" ca="1" si="48"/>
        <v>2</v>
      </c>
    </row>
    <row r="591" spans="1:47" x14ac:dyDescent="0.3">
      <c r="A591" t="s">
        <v>871</v>
      </c>
      <c r="B591" t="str">
        <f t="shared" si="45"/>
        <v>S30_2026</v>
      </c>
      <c r="C591" t="str">
        <f t="shared" si="47"/>
        <v>S29_2026</v>
      </c>
      <c r="F591">
        <v>43</v>
      </c>
      <c r="G591" t="s">
        <v>55</v>
      </c>
      <c r="H591" t="s">
        <v>870</v>
      </c>
      <c r="I591" t="s">
        <v>127</v>
      </c>
      <c r="J591" t="s">
        <v>459</v>
      </c>
      <c r="K591" t="s">
        <v>460</v>
      </c>
      <c r="L591" t="s">
        <v>459</v>
      </c>
      <c r="M591" t="s">
        <v>460</v>
      </c>
      <c r="N591" t="s">
        <v>45</v>
      </c>
      <c r="O591" t="s">
        <v>74</v>
      </c>
      <c r="P591">
        <v>3</v>
      </c>
      <c r="Q591" s="7">
        <v>46218</v>
      </c>
      <c r="R591" s="7">
        <v>46221</v>
      </c>
      <c r="S591" s="7">
        <v>46223</v>
      </c>
      <c r="T591" t="s">
        <v>45</v>
      </c>
      <c r="V591" t="s">
        <v>462</v>
      </c>
      <c r="W591" t="s">
        <v>45</v>
      </c>
      <c r="X591" t="s">
        <v>45</v>
      </c>
      <c r="Y591" t="s">
        <v>45</v>
      </c>
      <c r="Z591" t="s">
        <v>45</v>
      </c>
      <c r="AA591" s="7">
        <v>46221</v>
      </c>
      <c r="AB591" t="s">
        <v>48</v>
      </c>
      <c r="AC591" t="s">
        <v>74</v>
      </c>
      <c r="AF591">
        <v>3</v>
      </c>
      <c r="AH591" t="s">
        <v>75</v>
      </c>
      <c r="AI591">
        <v>2</v>
      </c>
      <c r="AJ591" s="15"/>
      <c r="AK591" t="s">
        <v>86</v>
      </c>
      <c r="AN591"/>
      <c r="AO591"/>
      <c r="AP591">
        <v>3</v>
      </c>
      <c r="AQ591" t="s">
        <v>74</v>
      </c>
      <c r="AR591" s="18" t="str">
        <f>IFERROR(VLOOKUP(K591,[1]POP!$F:$J,1,0),M591)</f>
        <v>KOUSSERI</v>
      </c>
      <c r="AS591" s="18" t="str">
        <f t="shared" si="46"/>
        <v>PAGUI</v>
      </c>
      <c r="AT591" s="19">
        <f t="shared" si="49"/>
        <v>3</v>
      </c>
      <c r="AU591" s="19">
        <f t="shared" ca="1" si="48"/>
        <v>2</v>
      </c>
    </row>
    <row r="592" spans="1:47" x14ac:dyDescent="0.3">
      <c r="A592" t="s">
        <v>872</v>
      </c>
      <c r="B592" t="str">
        <f t="shared" si="45"/>
        <v>S30_2026</v>
      </c>
      <c r="C592" t="str">
        <f t="shared" si="47"/>
        <v>S29_2026</v>
      </c>
      <c r="E592">
        <v>23566559239</v>
      </c>
      <c r="F592">
        <v>50</v>
      </c>
      <c r="G592" t="s">
        <v>55</v>
      </c>
      <c r="H592" t="s">
        <v>79</v>
      </c>
      <c r="I592" t="s">
        <v>873</v>
      </c>
      <c r="J592" t="s">
        <v>459</v>
      </c>
      <c r="K592" t="s">
        <v>460</v>
      </c>
      <c r="L592" t="s">
        <v>459</v>
      </c>
      <c r="M592" t="s">
        <v>460</v>
      </c>
      <c r="N592" t="s">
        <v>45</v>
      </c>
      <c r="O592" t="s">
        <v>45</v>
      </c>
      <c r="P592">
        <v>3</v>
      </c>
      <c r="Q592" s="7">
        <v>46221</v>
      </c>
      <c r="R592" s="7">
        <v>46221</v>
      </c>
      <c r="S592" s="7">
        <v>46223</v>
      </c>
      <c r="T592" t="s">
        <v>45</v>
      </c>
      <c r="V592" t="s">
        <v>462</v>
      </c>
      <c r="W592" t="s">
        <v>45</v>
      </c>
      <c r="X592" t="s">
        <v>45</v>
      </c>
      <c r="Y592" t="s">
        <v>45</v>
      </c>
      <c r="Z592" t="s">
        <v>45</v>
      </c>
      <c r="AA592" s="7">
        <v>46224</v>
      </c>
      <c r="AB592" t="s">
        <v>48</v>
      </c>
      <c r="AC592" t="s">
        <v>45</v>
      </c>
      <c r="AD592" t="s">
        <v>48</v>
      </c>
      <c r="AE592" s="7">
        <v>46224</v>
      </c>
      <c r="AF592">
        <v>2</v>
      </c>
      <c r="AH592" t="s">
        <v>75</v>
      </c>
      <c r="AI592">
        <v>1</v>
      </c>
      <c r="AJ592" s="15"/>
      <c r="AK592" t="s">
        <v>86</v>
      </c>
      <c r="AN592" t="s">
        <v>45</v>
      </c>
      <c r="AO592" t="s">
        <v>45</v>
      </c>
      <c r="AP592">
        <v>6</v>
      </c>
      <c r="AQ592" t="s">
        <v>74</v>
      </c>
      <c r="AR592" s="18" t="str">
        <f>IFERROR(VLOOKUP(K592,[1]POP!$F:$J,1,0),M592)</f>
        <v>KOUSSERI</v>
      </c>
      <c r="AS592" s="18" t="str">
        <f t="shared" si="46"/>
        <v>PAGUI</v>
      </c>
      <c r="AT592" s="19">
        <f t="shared" si="49"/>
        <v>2</v>
      </c>
      <c r="AU592" s="19">
        <f t="shared" ca="1" si="48"/>
        <v>2</v>
      </c>
    </row>
    <row r="593" spans="1:47" x14ac:dyDescent="0.3">
      <c r="A593" t="s">
        <v>874</v>
      </c>
      <c r="B593" t="str">
        <f t="shared" si="45"/>
        <v>S30_2026</v>
      </c>
      <c r="C593" t="str">
        <f t="shared" si="47"/>
        <v>S29_2026</v>
      </c>
      <c r="E593">
        <v>689932287</v>
      </c>
      <c r="F593">
        <v>87</v>
      </c>
      <c r="G593" t="s">
        <v>55</v>
      </c>
      <c r="H593" t="s">
        <v>70</v>
      </c>
      <c r="I593" t="s">
        <v>875</v>
      </c>
      <c r="J593" t="s">
        <v>875</v>
      </c>
      <c r="K593" t="s">
        <v>460</v>
      </c>
      <c r="L593" t="s">
        <v>459</v>
      </c>
      <c r="M593" t="s">
        <v>460</v>
      </c>
      <c r="N593" t="s">
        <v>45</v>
      </c>
      <c r="O593" t="s">
        <v>74</v>
      </c>
      <c r="P593">
        <v>2</v>
      </c>
      <c r="Q593" s="7">
        <v>46221</v>
      </c>
      <c r="R593" s="7">
        <v>46222</v>
      </c>
      <c r="S593" s="7">
        <v>46224</v>
      </c>
      <c r="T593" t="s">
        <v>45</v>
      </c>
      <c r="V593" t="s">
        <v>462</v>
      </c>
      <c r="W593" t="s">
        <v>45</v>
      </c>
      <c r="X593" t="s">
        <v>45</v>
      </c>
      <c r="Y593" t="s">
        <v>45</v>
      </c>
      <c r="Z593" t="s">
        <v>45</v>
      </c>
      <c r="AC593" t="s">
        <v>74</v>
      </c>
      <c r="AE593" s="7">
        <v>46224</v>
      </c>
      <c r="AF593">
        <v>2</v>
      </c>
      <c r="AH593" t="s">
        <v>75</v>
      </c>
      <c r="AI593">
        <v>1</v>
      </c>
      <c r="AJ593" s="15"/>
      <c r="AK593" t="s">
        <v>86</v>
      </c>
      <c r="AN593" t="s">
        <v>45</v>
      </c>
      <c r="AO593"/>
      <c r="AP593">
        <v>8</v>
      </c>
      <c r="AQ593" t="s">
        <v>74</v>
      </c>
      <c r="AR593" s="18" t="str">
        <f>IFERROR(VLOOKUP(K593,[1]POP!$F:$J,1,0),M593)</f>
        <v>KOUSSERI</v>
      </c>
      <c r="AS593" s="18" t="str">
        <f t="shared" si="46"/>
        <v>KALAKAFRA</v>
      </c>
      <c r="AT593" s="19">
        <f t="shared" si="49"/>
        <v>2</v>
      </c>
      <c r="AU593" s="19">
        <f t="shared" ca="1" si="48"/>
        <v>2</v>
      </c>
    </row>
    <row r="594" spans="1:47" x14ac:dyDescent="0.3">
      <c r="A594" t="s">
        <v>876</v>
      </c>
      <c r="B594" t="str">
        <f t="shared" si="45"/>
        <v>S29_2026</v>
      </c>
      <c r="C594" t="str">
        <f t="shared" si="47"/>
        <v>S29_2026</v>
      </c>
      <c r="E594">
        <v>692425454</v>
      </c>
      <c r="F594">
        <v>28</v>
      </c>
      <c r="G594" t="s">
        <v>40</v>
      </c>
      <c r="H594" t="s">
        <v>77</v>
      </c>
      <c r="I594" t="s">
        <v>458</v>
      </c>
      <c r="J594" t="s">
        <v>459</v>
      </c>
      <c r="K594" t="s">
        <v>460</v>
      </c>
      <c r="L594" t="s">
        <v>459</v>
      </c>
      <c r="M594" t="s">
        <v>460</v>
      </c>
      <c r="N594" t="s">
        <v>45</v>
      </c>
      <c r="O594" t="s">
        <v>45</v>
      </c>
      <c r="P594">
        <v>2</v>
      </c>
      <c r="Q594" s="7">
        <v>46222</v>
      </c>
      <c r="R594" s="7">
        <v>46222</v>
      </c>
      <c r="S594" s="7">
        <v>46222</v>
      </c>
      <c r="T594" t="s">
        <v>45</v>
      </c>
      <c r="V594" t="s">
        <v>462</v>
      </c>
      <c r="W594" t="s">
        <v>45</v>
      </c>
      <c r="X594" t="s">
        <v>45</v>
      </c>
      <c r="Y594" t="s">
        <v>45</v>
      </c>
      <c r="Z594" t="s">
        <v>45</v>
      </c>
      <c r="AA594" s="7">
        <v>46222</v>
      </c>
      <c r="AB594" t="s">
        <v>48</v>
      </c>
      <c r="AC594" t="s">
        <v>74</v>
      </c>
      <c r="AE594" s="7">
        <v>46224</v>
      </c>
      <c r="AF594">
        <v>2</v>
      </c>
      <c r="AH594" t="s">
        <v>75</v>
      </c>
      <c r="AI594">
        <v>1</v>
      </c>
      <c r="AJ594" s="15"/>
      <c r="AK594" t="s">
        <v>86</v>
      </c>
      <c r="AN594" t="s">
        <v>45</v>
      </c>
      <c r="AO594"/>
      <c r="AP594">
        <v>4</v>
      </c>
      <c r="AQ594" t="s">
        <v>74</v>
      </c>
      <c r="AR594" s="18" t="str">
        <f>IFERROR(VLOOKUP(K594,[1]POP!$F:$J,1,0),M594)</f>
        <v>KOUSSERI</v>
      </c>
      <c r="AS594" s="18" t="str">
        <f t="shared" si="46"/>
        <v>PAGUI</v>
      </c>
      <c r="AT594" s="19">
        <f t="shared" si="49"/>
        <v>2</v>
      </c>
      <c r="AU594" s="19">
        <f t="shared" ca="1" si="48"/>
        <v>2</v>
      </c>
    </row>
    <row r="595" spans="1:47" x14ac:dyDescent="0.3">
      <c r="A595" t="s">
        <v>877</v>
      </c>
      <c r="B595" t="str">
        <f t="shared" si="45"/>
        <v>S29_2026</v>
      </c>
      <c r="C595" t="str">
        <f t="shared" si="47"/>
        <v>S29_2026</v>
      </c>
      <c r="F595">
        <v>30</v>
      </c>
      <c r="G595" t="s">
        <v>40</v>
      </c>
      <c r="H595" t="s">
        <v>77</v>
      </c>
      <c r="I595" t="s">
        <v>553</v>
      </c>
      <c r="J595" t="s">
        <v>459</v>
      </c>
      <c r="K595" t="s">
        <v>460</v>
      </c>
      <c r="L595" t="s">
        <v>459</v>
      </c>
      <c r="M595" t="s">
        <v>460</v>
      </c>
      <c r="N595" t="s">
        <v>45</v>
      </c>
      <c r="O595" t="s">
        <v>45</v>
      </c>
      <c r="P595">
        <v>2</v>
      </c>
      <c r="Q595" s="7">
        <v>46222</v>
      </c>
      <c r="R595" s="7">
        <v>46222</v>
      </c>
      <c r="S595" s="7">
        <v>46222</v>
      </c>
      <c r="T595" t="s">
        <v>45</v>
      </c>
      <c r="V595" t="s">
        <v>462</v>
      </c>
      <c r="W595" t="s">
        <v>45</v>
      </c>
      <c r="X595" t="s">
        <v>45</v>
      </c>
      <c r="Y595" t="s">
        <v>45</v>
      </c>
      <c r="Z595" t="s">
        <v>45</v>
      </c>
      <c r="AA595" s="7">
        <v>46222</v>
      </c>
      <c r="AB595" t="s">
        <v>48</v>
      </c>
      <c r="AC595" t="s">
        <v>74</v>
      </c>
      <c r="AE595" s="7">
        <v>46224</v>
      </c>
      <c r="AF595">
        <v>2</v>
      </c>
      <c r="AH595" t="s">
        <v>75</v>
      </c>
      <c r="AI595">
        <v>1</v>
      </c>
      <c r="AJ595" s="15"/>
      <c r="AK595" t="s">
        <v>86</v>
      </c>
      <c r="AN595" t="s">
        <v>45</v>
      </c>
      <c r="AO595" t="s">
        <v>45</v>
      </c>
      <c r="AP595">
        <v>3</v>
      </c>
      <c r="AQ595"/>
      <c r="AR595" s="18" t="str">
        <f>IFERROR(VLOOKUP(K595,[1]POP!$F:$J,1,0),M595)</f>
        <v>KOUSSERI</v>
      </c>
      <c r="AS595" s="18" t="str">
        <f t="shared" si="46"/>
        <v>PAGUI</v>
      </c>
      <c r="AT595" s="19">
        <f t="shared" si="49"/>
        <v>2</v>
      </c>
      <c r="AU595" s="19">
        <f t="shared" ca="1" si="48"/>
        <v>2</v>
      </c>
    </row>
    <row r="596" spans="1:47" x14ac:dyDescent="0.3">
      <c r="A596" t="s">
        <v>878</v>
      </c>
      <c r="B596" t="str">
        <f t="shared" si="45"/>
        <v>S29_2026</v>
      </c>
      <c r="C596" t="str">
        <f t="shared" si="47"/>
        <v>S29_2026</v>
      </c>
      <c r="E596">
        <v>658683708</v>
      </c>
      <c r="F596">
        <v>25</v>
      </c>
      <c r="G596" t="s">
        <v>40</v>
      </c>
      <c r="H596" t="s">
        <v>77</v>
      </c>
      <c r="I596" t="s">
        <v>553</v>
      </c>
      <c r="J596" t="s">
        <v>459</v>
      </c>
      <c r="K596" t="s">
        <v>460</v>
      </c>
      <c r="L596" t="s">
        <v>459</v>
      </c>
      <c r="M596" t="s">
        <v>460</v>
      </c>
      <c r="N596" t="s">
        <v>45</v>
      </c>
      <c r="O596" t="s">
        <v>45</v>
      </c>
      <c r="P596">
        <v>2</v>
      </c>
      <c r="Q596" s="7">
        <v>46222</v>
      </c>
      <c r="R596" s="7">
        <v>46222</v>
      </c>
      <c r="S596" s="7">
        <v>46222</v>
      </c>
      <c r="T596" t="s">
        <v>45</v>
      </c>
      <c r="V596" t="s">
        <v>462</v>
      </c>
      <c r="W596" t="s">
        <v>45</v>
      </c>
      <c r="X596" t="s">
        <v>45</v>
      </c>
      <c r="Y596" t="s">
        <v>45</v>
      </c>
      <c r="Z596" t="s">
        <v>45</v>
      </c>
      <c r="AA596" s="7">
        <v>46222</v>
      </c>
      <c r="AB596" t="s">
        <v>62</v>
      </c>
      <c r="AC596" t="s">
        <v>74</v>
      </c>
      <c r="AE596" s="7">
        <v>46224</v>
      </c>
      <c r="AF596">
        <v>2</v>
      </c>
      <c r="AH596" t="s">
        <v>75</v>
      </c>
      <c r="AI596">
        <v>1</v>
      </c>
      <c r="AJ596" s="15"/>
      <c r="AK596" t="s">
        <v>86</v>
      </c>
      <c r="AN596" t="s">
        <v>86</v>
      </c>
      <c r="AO596" t="s">
        <v>45</v>
      </c>
      <c r="AP596">
        <v>6</v>
      </c>
      <c r="AQ596" t="s">
        <v>74</v>
      </c>
      <c r="AR596" s="18" t="str">
        <f>IFERROR(VLOOKUP(K596,[1]POP!$F:$J,1,0),M596)</f>
        <v>KOUSSERI</v>
      </c>
      <c r="AS596" s="18" t="str">
        <f t="shared" si="46"/>
        <v>PAGUI</v>
      </c>
      <c r="AT596" s="19">
        <f t="shared" si="49"/>
        <v>2</v>
      </c>
      <c r="AU596" s="19">
        <f t="shared" ca="1" si="48"/>
        <v>2</v>
      </c>
    </row>
    <row r="597" spans="1:47" x14ac:dyDescent="0.3">
      <c r="A597" t="s">
        <v>879</v>
      </c>
      <c r="B597" t="str">
        <f t="shared" si="45"/>
        <v>S29_2026</v>
      </c>
      <c r="C597" t="str">
        <f t="shared" si="47"/>
        <v>S29_2026</v>
      </c>
      <c r="F597">
        <v>24</v>
      </c>
      <c r="G597" t="s">
        <v>40</v>
      </c>
      <c r="H597" t="s">
        <v>77</v>
      </c>
      <c r="I597" t="s">
        <v>458</v>
      </c>
      <c r="J597" t="s">
        <v>459</v>
      </c>
      <c r="K597" t="s">
        <v>460</v>
      </c>
      <c r="L597" t="s">
        <v>459</v>
      </c>
      <c r="M597" t="s">
        <v>460</v>
      </c>
      <c r="N597" t="s">
        <v>45</v>
      </c>
      <c r="O597" t="s">
        <v>45</v>
      </c>
      <c r="P597">
        <v>1</v>
      </c>
      <c r="Q597" s="7">
        <v>46222</v>
      </c>
      <c r="R597" s="7">
        <v>46222</v>
      </c>
      <c r="S597" s="7">
        <v>46222</v>
      </c>
      <c r="T597" t="s">
        <v>45</v>
      </c>
      <c r="V597" t="s">
        <v>464</v>
      </c>
      <c r="W597" t="s">
        <v>45</v>
      </c>
      <c r="X597" t="s">
        <v>45</v>
      </c>
      <c r="Y597" t="s">
        <v>45</v>
      </c>
      <c r="Z597" t="s">
        <v>45</v>
      </c>
      <c r="AA597" s="7">
        <v>46222</v>
      </c>
      <c r="AB597" t="s">
        <v>48</v>
      </c>
      <c r="AC597" t="s">
        <v>74</v>
      </c>
      <c r="AE597" s="7">
        <v>46224</v>
      </c>
      <c r="AF597">
        <v>2</v>
      </c>
      <c r="AH597" t="s">
        <v>75</v>
      </c>
      <c r="AI597">
        <v>1</v>
      </c>
      <c r="AJ597" s="15"/>
      <c r="AK597" t="s">
        <v>86</v>
      </c>
      <c r="AN597" t="s">
        <v>86</v>
      </c>
      <c r="AO597" t="s">
        <v>45</v>
      </c>
      <c r="AP597">
        <v>7</v>
      </c>
      <c r="AQ597" t="s">
        <v>74</v>
      </c>
      <c r="AR597" s="18" t="str">
        <f>IFERROR(VLOOKUP(K597,[1]POP!$F:$J,1,0),M597)</f>
        <v>KOUSSERI</v>
      </c>
      <c r="AS597" s="18" t="str">
        <f t="shared" si="46"/>
        <v>PAGUI</v>
      </c>
      <c r="AT597" s="19">
        <f t="shared" si="49"/>
        <v>2</v>
      </c>
      <c r="AU597" s="19">
        <f t="shared" ca="1" si="48"/>
        <v>2</v>
      </c>
    </row>
    <row r="598" spans="1:47" x14ac:dyDescent="0.3">
      <c r="A598" t="s">
        <v>880</v>
      </c>
      <c r="B598" t="str">
        <f t="shared" si="45"/>
        <v>S29_2026</v>
      </c>
      <c r="C598" t="str">
        <f t="shared" si="47"/>
        <v>S29_2026</v>
      </c>
      <c r="E598">
        <v>699404016</v>
      </c>
      <c r="F598">
        <v>25</v>
      </c>
      <c r="G598" t="s">
        <v>40</v>
      </c>
      <c r="H598" t="s">
        <v>77</v>
      </c>
      <c r="I598" t="s">
        <v>553</v>
      </c>
      <c r="J598" t="s">
        <v>459</v>
      </c>
      <c r="K598" t="s">
        <v>460</v>
      </c>
      <c r="L598" t="s">
        <v>459</v>
      </c>
      <c r="M598" t="s">
        <v>460</v>
      </c>
      <c r="N598" t="s">
        <v>45</v>
      </c>
      <c r="O598" t="s">
        <v>45</v>
      </c>
      <c r="P598">
        <v>2</v>
      </c>
      <c r="Q598" s="7">
        <v>46222</v>
      </c>
      <c r="R598" s="7">
        <v>46222</v>
      </c>
      <c r="S598" s="7">
        <v>46222</v>
      </c>
      <c r="T598" t="s">
        <v>45</v>
      </c>
      <c r="V598" t="s">
        <v>464</v>
      </c>
      <c r="W598" t="s">
        <v>45</v>
      </c>
      <c r="X598" t="s">
        <v>45</v>
      </c>
      <c r="Y598" t="s">
        <v>45</v>
      </c>
      <c r="Z598" t="s">
        <v>45</v>
      </c>
      <c r="AA598" s="7">
        <v>46222</v>
      </c>
      <c r="AB598" t="s">
        <v>48</v>
      </c>
      <c r="AC598" t="s">
        <v>74</v>
      </c>
      <c r="AE598" s="7">
        <v>46224</v>
      </c>
      <c r="AF598">
        <v>2</v>
      </c>
      <c r="AH598" t="s">
        <v>75</v>
      </c>
      <c r="AI598">
        <v>1</v>
      </c>
      <c r="AJ598" s="15"/>
      <c r="AK598" t="s">
        <v>86</v>
      </c>
      <c r="AN598" t="s">
        <v>86</v>
      </c>
      <c r="AO598" t="s">
        <v>45</v>
      </c>
      <c r="AP598">
        <v>7</v>
      </c>
      <c r="AQ598" t="s">
        <v>86</v>
      </c>
      <c r="AR598" s="18" t="str">
        <f>IFERROR(VLOOKUP(K598,[1]POP!$F:$J,1,0),M598)</f>
        <v>KOUSSERI</v>
      </c>
      <c r="AS598" s="18" t="str">
        <f t="shared" si="46"/>
        <v>PAGUI</v>
      </c>
      <c r="AT598" s="19">
        <f t="shared" si="49"/>
        <v>2</v>
      </c>
      <c r="AU598" s="19">
        <f t="shared" ca="1" si="48"/>
        <v>2</v>
      </c>
    </row>
    <row r="599" spans="1:47" x14ac:dyDescent="0.3">
      <c r="A599" t="s">
        <v>881</v>
      </c>
      <c r="B599" t="str">
        <f t="shared" si="45"/>
        <v>S30_2026</v>
      </c>
      <c r="C599" t="str">
        <f t="shared" si="47"/>
        <v>S29_2026</v>
      </c>
      <c r="E599">
        <v>696606747</v>
      </c>
      <c r="F599">
        <v>10</v>
      </c>
      <c r="G599" t="s">
        <v>40</v>
      </c>
      <c r="H599" t="s">
        <v>56</v>
      </c>
      <c r="I599" t="s">
        <v>553</v>
      </c>
      <c r="J599" t="s">
        <v>459</v>
      </c>
      <c r="K599" t="s">
        <v>460</v>
      </c>
      <c r="L599" t="s">
        <v>459</v>
      </c>
      <c r="M599" t="s">
        <v>460</v>
      </c>
      <c r="N599" t="s">
        <v>45</v>
      </c>
      <c r="O599" t="s">
        <v>45</v>
      </c>
      <c r="P599">
        <v>3</v>
      </c>
      <c r="Q599" s="7">
        <v>46222</v>
      </c>
      <c r="R599" s="7">
        <v>46223</v>
      </c>
      <c r="S599" s="7">
        <v>46223</v>
      </c>
      <c r="T599" t="s">
        <v>45</v>
      </c>
      <c r="V599" t="s">
        <v>464</v>
      </c>
      <c r="W599" t="s">
        <v>45</v>
      </c>
      <c r="X599" t="s">
        <v>45</v>
      </c>
      <c r="Y599" t="s">
        <v>74</v>
      </c>
      <c r="Z599" t="s">
        <v>45</v>
      </c>
      <c r="AA599" s="7">
        <v>46223</v>
      </c>
      <c r="AB599" t="s">
        <v>62</v>
      </c>
      <c r="AC599" t="s">
        <v>74</v>
      </c>
      <c r="AE599" s="7">
        <v>46224</v>
      </c>
      <c r="AF599">
        <v>2</v>
      </c>
      <c r="AH599" t="s">
        <v>75</v>
      </c>
      <c r="AI599">
        <v>1</v>
      </c>
      <c r="AJ599" s="15"/>
      <c r="AK599" t="s">
        <v>86</v>
      </c>
      <c r="AN599" t="s">
        <v>86</v>
      </c>
      <c r="AO599" t="s">
        <v>45</v>
      </c>
      <c r="AP599">
        <v>5</v>
      </c>
      <c r="AQ599" t="s">
        <v>74</v>
      </c>
      <c r="AR599" s="18" t="str">
        <f>IFERROR(VLOOKUP(K599,[1]POP!$F:$J,1,0),M599)</f>
        <v>KOUSSERI</v>
      </c>
      <c r="AS599" s="18" t="str">
        <f t="shared" si="46"/>
        <v>PAGUI</v>
      </c>
      <c r="AT599" s="19">
        <f t="shared" si="49"/>
        <v>2</v>
      </c>
      <c r="AU599" s="19">
        <f t="shared" ca="1" si="48"/>
        <v>2</v>
      </c>
    </row>
    <row r="600" spans="1:47" x14ac:dyDescent="0.3">
      <c r="A600" t="s">
        <v>882</v>
      </c>
      <c r="B600" t="str">
        <f t="shared" si="45"/>
        <v>S30_2026</v>
      </c>
      <c r="C600" t="str">
        <f t="shared" si="47"/>
        <v>S30_2026</v>
      </c>
      <c r="F600">
        <v>25</v>
      </c>
      <c r="G600" t="s">
        <v>55</v>
      </c>
      <c r="H600" t="s">
        <v>883</v>
      </c>
      <c r="I600" t="s">
        <v>884</v>
      </c>
      <c r="J600" t="s">
        <v>459</v>
      </c>
      <c r="K600" t="s">
        <v>460</v>
      </c>
      <c r="L600" t="s">
        <v>459</v>
      </c>
      <c r="M600" t="s">
        <v>460</v>
      </c>
      <c r="N600" t="s">
        <v>45</v>
      </c>
      <c r="O600" t="s">
        <v>45</v>
      </c>
      <c r="P600">
        <v>3</v>
      </c>
      <c r="Q600" s="7">
        <v>46223</v>
      </c>
      <c r="R600" s="7">
        <v>46224</v>
      </c>
      <c r="S600" s="7">
        <v>46224</v>
      </c>
      <c r="T600" t="s">
        <v>45</v>
      </c>
      <c r="V600" t="s">
        <v>464</v>
      </c>
      <c r="W600" t="s">
        <v>45</v>
      </c>
      <c r="X600" t="s">
        <v>45</v>
      </c>
      <c r="Y600" t="s">
        <v>74</v>
      </c>
      <c r="Z600" t="s">
        <v>45</v>
      </c>
      <c r="AA600" s="7">
        <v>46224</v>
      </c>
      <c r="AB600" t="s">
        <v>48</v>
      </c>
      <c r="AC600" t="s">
        <v>74</v>
      </c>
      <c r="AE600" s="7">
        <v>46224</v>
      </c>
      <c r="AF600">
        <v>2</v>
      </c>
      <c r="AH600" t="s">
        <v>75</v>
      </c>
      <c r="AI600">
        <v>1</v>
      </c>
      <c r="AJ600" s="15"/>
      <c r="AK600" t="s">
        <v>86</v>
      </c>
      <c r="AL600" t="s">
        <v>549</v>
      </c>
      <c r="AN600" t="s">
        <v>86</v>
      </c>
      <c r="AO600" t="s">
        <v>86</v>
      </c>
      <c r="AP600"/>
      <c r="AQ600" t="s">
        <v>74</v>
      </c>
      <c r="AR600" s="18" t="str">
        <f>IFERROR(VLOOKUP(K600,[1]POP!$F:$J,1,0),M600)</f>
        <v>KOUSSERI</v>
      </c>
      <c r="AS600" s="18" t="str">
        <f t="shared" si="46"/>
        <v>PAGUI</v>
      </c>
      <c r="AT600" s="19">
        <f t="shared" si="49"/>
        <v>2</v>
      </c>
      <c r="AU600" s="19">
        <f t="shared" ca="1" si="48"/>
        <v>2</v>
      </c>
    </row>
    <row r="601" spans="1:47" x14ac:dyDescent="0.3">
      <c r="A601" t="s">
        <v>885</v>
      </c>
      <c r="B601" t="str">
        <f t="shared" si="45"/>
        <v>S30_2026</v>
      </c>
      <c r="C601" t="str">
        <f t="shared" si="47"/>
        <v>S30_2026</v>
      </c>
      <c r="F601">
        <v>64</v>
      </c>
      <c r="G601" t="s">
        <v>55</v>
      </c>
      <c r="H601" t="s">
        <v>886</v>
      </c>
      <c r="I601" t="s">
        <v>887</v>
      </c>
      <c r="J601" t="s">
        <v>459</v>
      </c>
      <c r="K601" t="s">
        <v>460</v>
      </c>
      <c r="L601" t="s">
        <v>459</v>
      </c>
      <c r="M601" t="s">
        <v>460</v>
      </c>
      <c r="N601" t="s">
        <v>45</v>
      </c>
      <c r="O601" t="s">
        <v>45</v>
      </c>
      <c r="P601">
        <v>3</v>
      </c>
      <c r="Q601" s="7">
        <v>46223</v>
      </c>
      <c r="R601" s="7">
        <v>46224</v>
      </c>
      <c r="S601" s="7">
        <v>46224</v>
      </c>
      <c r="T601" t="s">
        <v>45</v>
      </c>
      <c r="V601" t="s">
        <v>464</v>
      </c>
      <c r="W601" t="s">
        <v>45</v>
      </c>
      <c r="X601" t="s">
        <v>45</v>
      </c>
      <c r="Y601" t="s">
        <v>74</v>
      </c>
      <c r="Z601" t="s">
        <v>45</v>
      </c>
      <c r="AA601" s="7">
        <v>46224</v>
      </c>
      <c r="AB601" t="s">
        <v>48</v>
      </c>
      <c r="AC601" t="s">
        <v>74</v>
      </c>
      <c r="AE601" s="7">
        <v>46224</v>
      </c>
      <c r="AF601">
        <v>2</v>
      </c>
      <c r="AH601" t="s">
        <v>75</v>
      </c>
      <c r="AI601">
        <v>1</v>
      </c>
      <c r="AJ601" s="15"/>
      <c r="AK601" t="s">
        <v>86</v>
      </c>
      <c r="AN601" t="s">
        <v>2748</v>
      </c>
      <c r="AO601" t="s">
        <v>45</v>
      </c>
      <c r="AP601">
        <v>15</v>
      </c>
      <c r="AQ601" t="s">
        <v>74</v>
      </c>
      <c r="AR601" s="18" t="str">
        <f>IFERROR(VLOOKUP(K601,[1]POP!$F:$J,1,0),M601)</f>
        <v>KOUSSERI</v>
      </c>
      <c r="AS601" s="18" t="str">
        <f t="shared" si="46"/>
        <v>PAGUI</v>
      </c>
      <c r="AT601" s="19">
        <f t="shared" si="49"/>
        <v>2</v>
      </c>
      <c r="AU601" s="19">
        <f t="shared" ca="1" si="48"/>
        <v>2</v>
      </c>
    </row>
    <row r="602" spans="1:47" x14ac:dyDescent="0.3">
      <c r="A602" t="s">
        <v>888</v>
      </c>
      <c r="B602" t="str">
        <f t="shared" si="45"/>
        <v>S30_2026</v>
      </c>
      <c r="C602" t="str">
        <f t="shared" si="47"/>
        <v>S30_2026</v>
      </c>
      <c r="E602">
        <v>63260737</v>
      </c>
      <c r="F602">
        <v>45</v>
      </c>
      <c r="G602" t="s">
        <v>40</v>
      </c>
      <c r="H602" t="s">
        <v>77</v>
      </c>
      <c r="I602" t="s">
        <v>873</v>
      </c>
      <c r="J602" t="s">
        <v>459</v>
      </c>
      <c r="K602" t="s">
        <v>460</v>
      </c>
      <c r="L602" t="s">
        <v>459</v>
      </c>
      <c r="M602" t="s">
        <v>460</v>
      </c>
      <c r="N602" t="s">
        <v>45</v>
      </c>
      <c r="O602" t="s">
        <v>45</v>
      </c>
      <c r="P602">
        <v>3</v>
      </c>
      <c r="Q602" s="7">
        <v>46223</v>
      </c>
      <c r="R602" s="7">
        <v>46223</v>
      </c>
      <c r="S602" s="7">
        <v>46223</v>
      </c>
      <c r="T602" t="s">
        <v>45</v>
      </c>
      <c r="V602" t="s">
        <v>462</v>
      </c>
      <c r="W602" t="s">
        <v>45</v>
      </c>
      <c r="X602" t="s">
        <v>45</v>
      </c>
      <c r="Y602" t="s">
        <v>45</v>
      </c>
      <c r="Z602" t="s">
        <v>45</v>
      </c>
      <c r="AA602" s="7">
        <v>46224</v>
      </c>
      <c r="AB602" t="s">
        <v>48</v>
      </c>
      <c r="AC602" t="s">
        <v>74</v>
      </c>
      <c r="AE602" s="7">
        <v>46224</v>
      </c>
      <c r="AF602">
        <v>2</v>
      </c>
      <c r="AH602" t="s">
        <v>75</v>
      </c>
      <c r="AI602">
        <v>1</v>
      </c>
      <c r="AJ602" s="15"/>
      <c r="AK602" t="s">
        <v>86</v>
      </c>
      <c r="AN602" t="s">
        <v>2748</v>
      </c>
      <c r="AO602" t="s">
        <v>45</v>
      </c>
      <c r="AP602">
        <v>6</v>
      </c>
      <c r="AQ602" t="s">
        <v>74</v>
      </c>
      <c r="AR602" s="18" t="str">
        <f>IFERROR(VLOOKUP(K602,[1]POP!$F:$J,1,0),M602)</f>
        <v>KOUSSERI</v>
      </c>
      <c r="AS602" s="18" t="str">
        <f t="shared" si="46"/>
        <v>PAGUI</v>
      </c>
      <c r="AT602" s="19">
        <f t="shared" si="49"/>
        <v>2</v>
      </c>
      <c r="AU602" s="19">
        <f t="shared" ca="1" si="48"/>
        <v>2</v>
      </c>
    </row>
    <row r="603" spans="1:47" x14ac:dyDescent="0.3">
      <c r="A603" t="s">
        <v>889</v>
      </c>
      <c r="B603" t="str">
        <f t="shared" si="45"/>
        <v>S30_2026</v>
      </c>
      <c r="C603" t="str">
        <f t="shared" si="47"/>
        <v>S30_2026</v>
      </c>
      <c r="E603">
        <v>694627481</v>
      </c>
      <c r="F603">
        <v>29</v>
      </c>
      <c r="G603" t="s">
        <v>40</v>
      </c>
      <c r="H603" t="s">
        <v>77</v>
      </c>
      <c r="I603" t="s">
        <v>553</v>
      </c>
      <c r="J603" t="s">
        <v>459</v>
      </c>
      <c r="K603" t="s">
        <v>460</v>
      </c>
      <c r="L603" t="s">
        <v>459</v>
      </c>
      <c r="M603" t="s">
        <v>460</v>
      </c>
      <c r="N603" t="s">
        <v>45</v>
      </c>
      <c r="O603" t="s">
        <v>45</v>
      </c>
      <c r="P603">
        <v>3</v>
      </c>
      <c r="Q603" s="7">
        <v>46223</v>
      </c>
      <c r="R603" s="7">
        <v>46223</v>
      </c>
      <c r="S603" s="7">
        <v>46223</v>
      </c>
      <c r="T603" t="s">
        <v>45</v>
      </c>
      <c r="V603" t="s">
        <v>462</v>
      </c>
      <c r="W603" t="s">
        <v>45</v>
      </c>
      <c r="X603" t="s">
        <v>45</v>
      </c>
      <c r="Y603" t="s">
        <v>45</v>
      </c>
      <c r="Z603" t="s">
        <v>45</v>
      </c>
      <c r="AA603" s="7">
        <v>46223</v>
      </c>
      <c r="AB603" t="s">
        <v>62</v>
      </c>
      <c r="AC603" t="s">
        <v>74</v>
      </c>
      <c r="AE603" s="7">
        <v>46224</v>
      </c>
      <c r="AF603">
        <v>2</v>
      </c>
      <c r="AH603" t="s">
        <v>75</v>
      </c>
      <c r="AI603">
        <v>1</v>
      </c>
      <c r="AJ603" s="15"/>
      <c r="AK603" t="s">
        <v>86</v>
      </c>
      <c r="AN603"/>
      <c r="AO603"/>
      <c r="AP603"/>
      <c r="AQ603" t="s">
        <v>74</v>
      </c>
      <c r="AR603" s="18" t="str">
        <f>IFERROR(VLOOKUP(K603,[1]POP!$F:$J,1,0),M603)</f>
        <v>KOUSSERI</v>
      </c>
      <c r="AS603" s="18" t="str">
        <f t="shared" si="46"/>
        <v>PAGUI</v>
      </c>
      <c r="AT603" s="19">
        <f t="shared" si="49"/>
        <v>2</v>
      </c>
      <c r="AU603" s="19">
        <f t="shared" ca="1" si="48"/>
        <v>2</v>
      </c>
    </row>
    <row r="604" spans="1:47" x14ac:dyDescent="0.3">
      <c r="A604" t="s">
        <v>890</v>
      </c>
      <c r="B604" t="str">
        <f t="shared" si="45"/>
        <v>S30_2026</v>
      </c>
      <c r="C604" t="str">
        <f t="shared" si="47"/>
        <v>S30_2026</v>
      </c>
      <c r="E604">
        <v>677104559</v>
      </c>
      <c r="F604">
        <v>32</v>
      </c>
      <c r="G604" t="s">
        <v>40</v>
      </c>
      <c r="H604" t="s">
        <v>77</v>
      </c>
      <c r="I604" t="s">
        <v>553</v>
      </c>
      <c r="J604" t="s">
        <v>459</v>
      </c>
      <c r="K604" t="s">
        <v>460</v>
      </c>
      <c r="L604" t="s">
        <v>459</v>
      </c>
      <c r="M604" t="s">
        <v>460</v>
      </c>
      <c r="N604" t="s">
        <v>45</v>
      </c>
      <c r="O604" t="s">
        <v>45</v>
      </c>
      <c r="P604">
        <v>3</v>
      </c>
      <c r="Q604" s="7">
        <v>46223</v>
      </c>
      <c r="R604" s="7">
        <v>46223</v>
      </c>
      <c r="S604" s="7">
        <v>46223</v>
      </c>
      <c r="T604" t="s">
        <v>45</v>
      </c>
      <c r="V604" t="s">
        <v>462</v>
      </c>
      <c r="W604" t="s">
        <v>45</v>
      </c>
      <c r="X604" t="s">
        <v>74</v>
      </c>
      <c r="Y604" t="s">
        <v>45</v>
      </c>
      <c r="Z604" t="s">
        <v>45</v>
      </c>
      <c r="AA604" s="7">
        <v>46223</v>
      </c>
      <c r="AB604" t="s">
        <v>48</v>
      </c>
      <c r="AC604" t="s">
        <v>74</v>
      </c>
      <c r="AE604" s="7">
        <v>46224</v>
      </c>
      <c r="AF604">
        <v>2</v>
      </c>
      <c r="AH604" t="s">
        <v>75</v>
      </c>
      <c r="AI604">
        <v>1</v>
      </c>
      <c r="AJ604" s="15"/>
      <c r="AK604" t="s">
        <v>86</v>
      </c>
      <c r="AN604"/>
      <c r="AO604"/>
      <c r="AP604"/>
      <c r="AQ604" t="s">
        <v>74</v>
      </c>
      <c r="AR604" s="18" t="str">
        <f>IFERROR(VLOOKUP(K604,[1]POP!$F:$J,1,0),M604)</f>
        <v>KOUSSERI</v>
      </c>
      <c r="AS604" s="18" t="str">
        <f t="shared" si="46"/>
        <v>PAGUI</v>
      </c>
      <c r="AT604" s="19">
        <f t="shared" si="49"/>
        <v>2</v>
      </c>
      <c r="AU604" s="19">
        <f t="shared" ca="1" si="48"/>
        <v>2</v>
      </c>
    </row>
    <row r="605" spans="1:47" x14ac:dyDescent="0.3">
      <c r="A605" t="s">
        <v>891</v>
      </c>
      <c r="B605" t="str">
        <f t="shared" si="45"/>
        <v>S30_2026</v>
      </c>
      <c r="C605" t="str">
        <f t="shared" si="47"/>
        <v>S30_2026</v>
      </c>
      <c r="E605">
        <v>683148358</v>
      </c>
      <c r="F605">
        <v>41</v>
      </c>
      <c r="G605" t="s">
        <v>55</v>
      </c>
      <c r="H605" t="s">
        <v>892</v>
      </c>
      <c r="I605" t="s">
        <v>893</v>
      </c>
      <c r="J605" t="s">
        <v>635</v>
      </c>
      <c r="K605" t="s">
        <v>460</v>
      </c>
      <c r="L605" t="s">
        <v>459</v>
      </c>
      <c r="M605" t="s">
        <v>460</v>
      </c>
      <c r="N605" t="s">
        <v>45</v>
      </c>
      <c r="O605" t="s">
        <v>45</v>
      </c>
      <c r="P605">
        <v>3</v>
      </c>
      <c r="Q605" s="7">
        <v>46224</v>
      </c>
      <c r="R605" s="7">
        <v>46224</v>
      </c>
      <c r="S605" s="7">
        <v>46224</v>
      </c>
      <c r="T605" t="s">
        <v>45</v>
      </c>
      <c r="V605" t="s">
        <v>462</v>
      </c>
      <c r="W605" t="s">
        <v>45</v>
      </c>
      <c r="X605" t="s">
        <v>45</v>
      </c>
      <c r="Y605" t="s">
        <v>45</v>
      </c>
      <c r="Z605" t="s">
        <v>45</v>
      </c>
      <c r="AA605" s="7">
        <v>46224</v>
      </c>
      <c r="AB605" t="s">
        <v>62</v>
      </c>
      <c r="AC605" t="s">
        <v>74</v>
      </c>
      <c r="AF605">
        <v>2</v>
      </c>
      <c r="AH605" t="s">
        <v>75</v>
      </c>
      <c r="AI605">
        <v>1</v>
      </c>
      <c r="AJ605" s="15"/>
      <c r="AK605" t="s">
        <v>86</v>
      </c>
      <c r="AN605"/>
      <c r="AO605"/>
      <c r="AP605"/>
      <c r="AQ605" t="s">
        <v>74</v>
      </c>
      <c r="AR605" s="18" t="str">
        <f>IFERROR(VLOOKUP(K605,[1]POP!$F:$J,1,0),M605)</f>
        <v>KOUSSERI</v>
      </c>
      <c r="AS605" s="18" t="str">
        <f t="shared" si="46"/>
        <v>HILE-HAOUSSA</v>
      </c>
      <c r="AT605" s="19">
        <f t="shared" si="49"/>
        <v>2</v>
      </c>
      <c r="AU605" s="19">
        <f t="shared" ca="1" si="48"/>
        <v>2</v>
      </c>
    </row>
    <row r="606" spans="1:47" x14ac:dyDescent="0.3">
      <c r="A606" t="s">
        <v>894</v>
      </c>
      <c r="B606" t="str">
        <f t="shared" si="45"/>
        <v>S30_2026</v>
      </c>
      <c r="C606" t="str">
        <f t="shared" si="47"/>
        <v>S30_2026</v>
      </c>
      <c r="F606">
        <v>60</v>
      </c>
      <c r="G606" t="s">
        <v>40</v>
      </c>
      <c r="H606" t="s">
        <v>77</v>
      </c>
      <c r="I606" t="s">
        <v>71</v>
      </c>
      <c r="J606" t="s">
        <v>71</v>
      </c>
      <c r="K606" t="s">
        <v>72</v>
      </c>
      <c r="L606" t="s">
        <v>72</v>
      </c>
      <c r="M606" t="s">
        <v>72</v>
      </c>
      <c r="N606" t="s">
        <v>45</v>
      </c>
      <c r="O606" t="s">
        <v>45</v>
      </c>
      <c r="P606">
        <v>2</v>
      </c>
      <c r="Q606" s="7">
        <v>46224</v>
      </c>
      <c r="R606" s="7">
        <v>46224</v>
      </c>
      <c r="S606" s="7">
        <v>46224</v>
      </c>
      <c r="T606" t="s">
        <v>45</v>
      </c>
      <c r="V606" t="s">
        <v>343</v>
      </c>
      <c r="W606" t="s">
        <v>45</v>
      </c>
      <c r="X606" t="s">
        <v>45</v>
      </c>
      <c r="Y606" t="s">
        <v>45</v>
      </c>
      <c r="Z606" t="s">
        <v>45</v>
      </c>
      <c r="AE606" s="7">
        <v>46231</v>
      </c>
      <c r="AF606">
        <v>2</v>
      </c>
      <c r="AH606" t="s">
        <v>75</v>
      </c>
      <c r="AI606">
        <v>1</v>
      </c>
      <c r="AJ606" s="15"/>
      <c r="AK606" t="s">
        <v>74</v>
      </c>
      <c r="AN606"/>
      <c r="AO606"/>
      <c r="AP606"/>
      <c r="AQ606" t="s">
        <v>74</v>
      </c>
      <c r="AR606" s="18" t="str">
        <f>IFERROR(VLOOKUP(K606,[1]POP!$F:$J,1,0),M606)</f>
        <v>FOTOKOL</v>
      </c>
      <c r="AS606" s="18" t="str">
        <f t="shared" si="46"/>
        <v>SAGME</v>
      </c>
      <c r="AT606" s="19">
        <f t="shared" si="49"/>
        <v>2</v>
      </c>
      <c r="AU606" s="19">
        <f t="shared" ca="1" si="48"/>
        <v>2</v>
      </c>
    </row>
    <row r="607" spans="1:47" x14ac:dyDescent="0.3">
      <c r="A607" t="s">
        <v>895</v>
      </c>
      <c r="B607" t="str">
        <f t="shared" si="45"/>
        <v>S30_2026</v>
      </c>
      <c r="C607" t="str">
        <f t="shared" si="47"/>
        <v>S30_2026</v>
      </c>
      <c r="F607">
        <v>25</v>
      </c>
      <c r="G607" t="s">
        <v>40</v>
      </c>
      <c r="H607" t="s">
        <v>77</v>
      </c>
      <c r="I607" t="s">
        <v>896</v>
      </c>
      <c r="J607" t="s">
        <v>71</v>
      </c>
      <c r="K607" t="s">
        <v>72</v>
      </c>
      <c r="L607" t="s">
        <v>72</v>
      </c>
      <c r="M607" t="s">
        <v>72</v>
      </c>
      <c r="N607" t="s">
        <v>45</v>
      </c>
      <c r="O607" t="s">
        <v>45</v>
      </c>
      <c r="P607">
        <v>2</v>
      </c>
      <c r="Q607" s="7">
        <v>46226</v>
      </c>
      <c r="R607" s="7">
        <v>46226</v>
      </c>
      <c r="S607" s="7">
        <v>46226</v>
      </c>
      <c r="T607" t="s">
        <v>45</v>
      </c>
      <c r="V607" t="s">
        <v>343</v>
      </c>
      <c r="W607" t="s">
        <v>45</v>
      </c>
      <c r="X607" t="s">
        <v>45</v>
      </c>
      <c r="Y607" t="s">
        <v>45</v>
      </c>
      <c r="Z607" t="s">
        <v>45</v>
      </c>
      <c r="AE607" s="7">
        <v>46231</v>
      </c>
      <c r="AF607">
        <v>2</v>
      </c>
      <c r="AH607" t="s">
        <v>75</v>
      </c>
      <c r="AI607">
        <v>1</v>
      </c>
      <c r="AJ607" s="15"/>
      <c r="AK607" t="s">
        <v>74</v>
      </c>
      <c r="AN607"/>
      <c r="AO607"/>
      <c r="AP607"/>
      <c r="AQ607" t="s">
        <v>74</v>
      </c>
      <c r="AR607" s="18" t="str">
        <f>IFERROR(VLOOKUP(K607,[1]POP!$F:$J,1,0),M607)</f>
        <v>FOTOKOL</v>
      </c>
      <c r="AS607" s="18" t="str">
        <f t="shared" si="46"/>
        <v>SAGME</v>
      </c>
      <c r="AT607" s="19">
        <f t="shared" si="49"/>
        <v>2</v>
      </c>
      <c r="AU607" s="19">
        <f t="shared" ca="1" si="48"/>
        <v>2</v>
      </c>
    </row>
    <row r="608" spans="1:47" x14ac:dyDescent="0.3">
      <c r="A608" t="s">
        <v>897</v>
      </c>
      <c r="B608" t="str">
        <f t="shared" si="45"/>
        <v>S30_2026</v>
      </c>
      <c r="C608" t="str">
        <f t="shared" si="47"/>
        <v>S30_2026</v>
      </c>
      <c r="F608">
        <v>15</v>
      </c>
      <c r="G608" t="s">
        <v>55</v>
      </c>
      <c r="H608" t="s">
        <v>85</v>
      </c>
      <c r="I608" t="s">
        <v>731</v>
      </c>
      <c r="J608" t="s">
        <v>731</v>
      </c>
      <c r="K608" t="s">
        <v>72</v>
      </c>
      <c r="L608" t="s">
        <v>72</v>
      </c>
      <c r="M608" t="s">
        <v>72</v>
      </c>
      <c r="N608" t="s">
        <v>45</v>
      </c>
      <c r="O608" t="s">
        <v>45</v>
      </c>
      <c r="P608">
        <v>3</v>
      </c>
      <c r="Q608" s="7">
        <v>46225</v>
      </c>
      <c r="R608" s="7">
        <v>46225</v>
      </c>
      <c r="S608" s="7">
        <v>46225</v>
      </c>
      <c r="T608" t="s">
        <v>74</v>
      </c>
      <c r="W608" t="s">
        <v>45</v>
      </c>
      <c r="X608" t="s">
        <v>86</v>
      </c>
      <c r="Y608" t="s">
        <v>74</v>
      </c>
      <c r="Z608" t="s">
        <v>74</v>
      </c>
      <c r="AA608" s="7">
        <v>46225</v>
      </c>
      <c r="AB608" t="s">
        <v>48</v>
      </c>
      <c r="AC608" t="s">
        <v>74</v>
      </c>
      <c r="AE608" s="7">
        <v>46231</v>
      </c>
      <c r="AF608">
        <v>3</v>
      </c>
      <c r="AH608" t="s">
        <v>75</v>
      </c>
      <c r="AI608">
        <v>3</v>
      </c>
      <c r="AJ608" s="15"/>
      <c r="AK608" t="s">
        <v>86</v>
      </c>
      <c r="AN608"/>
      <c r="AO608"/>
      <c r="AP608"/>
      <c r="AQ608"/>
      <c r="AR608" s="18" t="str">
        <f>IFERROR(VLOOKUP(K608,[1]POP!$F:$J,1,0),M608)</f>
        <v>FOTOKOL</v>
      </c>
      <c r="AS608" s="18" t="str">
        <f t="shared" si="46"/>
        <v>SOUERAM</v>
      </c>
      <c r="AT608" s="19">
        <f t="shared" si="49"/>
        <v>3</v>
      </c>
      <c r="AU608" s="19">
        <f t="shared" ca="1" si="48"/>
        <v>2</v>
      </c>
    </row>
    <row r="609" spans="1:47" x14ac:dyDescent="0.3">
      <c r="A609" t="s">
        <v>898</v>
      </c>
      <c r="B609" t="str">
        <f t="shared" si="45"/>
        <v>S30_2026</v>
      </c>
      <c r="C609" t="str">
        <f t="shared" si="47"/>
        <v>S30_2026</v>
      </c>
      <c r="E609">
        <v>676406818</v>
      </c>
      <c r="F609">
        <v>30</v>
      </c>
      <c r="G609" t="s">
        <v>40</v>
      </c>
      <c r="H609" t="s">
        <v>899</v>
      </c>
      <c r="I609" t="s">
        <v>900</v>
      </c>
      <c r="J609" t="s">
        <v>901</v>
      </c>
      <c r="K609" t="s">
        <v>146</v>
      </c>
      <c r="L609" t="s">
        <v>902</v>
      </c>
      <c r="M609" t="s">
        <v>746</v>
      </c>
      <c r="N609" t="s">
        <v>45</v>
      </c>
      <c r="O609" t="s">
        <v>45</v>
      </c>
      <c r="P609">
        <v>2</v>
      </c>
      <c r="Q609" s="7">
        <v>46224</v>
      </c>
      <c r="R609" s="7">
        <v>46226</v>
      </c>
      <c r="S609" s="7">
        <v>46226</v>
      </c>
      <c r="T609" t="s">
        <v>45</v>
      </c>
      <c r="V609" t="s">
        <v>903</v>
      </c>
      <c r="W609" t="s">
        <v>45</v>
      </c>
      <c r="X609" t="s">
        <v>45</v>
      </c>
      <c r="Y609" t="s">
        <v>45</v>
      </c>
      <c r="Z609" t="s">
        <v>74</v>
      </c>
      <c r="AA609" s="7">
        <v>46228</v>
      </c>
      <c r="AB609" t="s">
        <v>48</v>
      </c>
      <c r="AC609" t="s">
        <v>117</v>
      </c>
      <c r="AD609" t="s">
        <v>48</v>
      </c>
      <c r="AE609" s="7">
        <v>46228</v>
      </c>
      <c r="AF609">
        <v>2</v>
      </c>
      <c r="AH609" t="s">
        <v>75</v>
      </c>
      <c r="AI609">
        <v>1</v>
      </c>
      <c r="AJ609" s="15"/>
      <c r="AK609" t="s">
        <v>74</v>
      </c>
      <c r="AN609"/>
      <c r="AO609"/>
      <c r="AP609"/>
      <c r="AQ609"/>
      <c r="AR609" s="18" t="str">
        <f>IFERROR(VLOOKUP(K609,[1]POP!$F:$J,1,0),M609)</f>
        <v>MORA</v>
      </c>
      <c r="AS609" s="18" t="str">
        <f t="shared" si="46"/>
        <v>KOURGUI</v>
      </c>
      <c r="AT609" s="19">
        <f t="shared" si="49"/>
        <v>2</v>
      </c>
      <c r="AU609" s="19">
        <f t="shared" ca="1" si="48"/>
        <v>2</v>
      </c>
    </row>
    <row r="610" spans="1:47" x14ac:dyDescent="0.3">
      <c r="A610" t="s">
        <v>904</v>
      </c>
      <c r="B610" t="str">
        <f t="shared" si="45"/>
        <v>S30_2026</v>
      </c>
      <c r="C610" t="str">
        <f t="shared" si="47"/>
        <v>S30_2026</v>
      </c>
      <c r="E610">
        <v>693923349</v>
      </c>
      <c r="F610">
        <v>60</v>
      </c>
      <c r="G610" t="s">
        <v>55</v>
      </c>
      <c r="H610" t="s">
        <v>680</v>
      </c>
      <c r="I610" t="s">
        <v>905</v>
      </c>
      <c r="J610" t="s">
        <v>906</v>
      </c>
      <c r="K610" t="s">
        <v>907</v>
      </c>
      <c r="L610" t="s">
        <v>906</v>
      </c>
      <c r="M610" t="s">
        <v>907</v>
      </c>
      <c r="N610" t="s">
        <v>117</v>
      </c>
      <c r="O610" t="s">
        <v>117</v>
      </c>
      <c r="P610">
        <v>1</v>
      </c>
      <c r="Q610" s="7">
        <v>46224</v>
      </c>
      <c r="R610" s="7">
        <v>46225</v>
      </c>
      <c r="S610" s="7">
        <v>46225</v>
      </c>
      <c r="T610" t="s">
        <v>117</v>
      </c>
      <c r="V610" t="s">
        <v>908</v>
      </c>
      <c r="W610" t="s">
        <v>117</v>
      </c>
      <c r="X610" t="s">
        <v>117</v>
      </c>
      <c r="Y610" t="s">
        <v>668</v>
      </c>
      <c r="Z610" t="s">
        <v>74</v>
      </c>
      <c r="AA610" s="7">
        <v>46225</v>
      </c>
      <c r="AB610" t="s">
        <v>48</v>
      </c>
      <c r="AC610" t="s">
        <v>668</v>
      </c>
      <c r="AE610" s="7">
        <v>46225</v>
      </c>
      <c r="AF610">
        <v>2</v>
      </c>
      <c r="AH610" t="s">
        <v>75</v>
      </c>
      <c r="AI610">
        <v>1</v>
      </c>
      <c r="AJ610" s="15"/>
      <c r="AK610" t="s">
        <v>668</v>
      </c>
      <c r="AN610"/>
      <c r="AO610"/>
      <c r="AP610"/>
      <c r="AQ610"/>
      <c r="AR610" s="18" t="str">
        <f>IFERROR(VLOOKUP(K610,[1]POP!$F:$J,1,0),M610)</f>
        <v>MORA</v>
      </c>
      <c r="AS610" s="18" t="str">
        <f t="shared" si="46"/>
        <v xml:space="preserve">MAGDEME </v>
      </c>
      <c r="AT610" s="19">
        <f t="shared" si="49"/>
        <v>2</v>
      </c>
      <c r="AU610" s="19">
        <f t="shared" ca="1" si="48"/>
        <v>2</v>
      </c>
    </row>
    <row r="611" spans="1:47" x14ac:dyDescent="0.3">
      <c r="A611" t="s">
        <v>909</v>
      </c>
      <c r="B611" t="str">
        <f t="shared" si="45"/>
        <v>S30_2026</v>
      </c>
      <c r="C611" t="str">
        <f t="shared" si="47"/>
        <v>S30_2026</v>
      </c>
      <c r="E611">
        <v>697743437</v>
      </c>
      <c r="F611">
        <v>12</v>
      </c>
      <c r="G611" t="s">
        <v>40</v>
      </c>
      <c r="H611" t="s">
        <v>56</v>
      </c>
      <c r="I611" t="s">
        <v>910</v>
      </c>
      <c r="J611" t="s">
        <v>568</v>
      </c>
      <c r="K611" t="s">
        <v>460</v>
      </c>
      <c r="L611" t="s">
        <v>459</v>
      </c>
      <c r="M611" t="s">
        <v>460</v>
      </c>
      <c r="N611" t="s">
        <v>45</v>
      </c>
      <c r="O611" t="s">
        <v>45</v>
      </c>
      <c r="P611">
        <v>1</v>
      </c>
      <c r="Q611" s="7">
        <v>46223</v>
      </c>
      <c r="R611" s="7">
        <v>46225</v>
      </c>
      <c r="S611" s="7">
        <v>46225</v>
      </c>
      <c r="T611" t="s">
        <v>117</v>
      </c>
      <c r="V611" t="s">
        <v>462</v>
      </c>
      <c r="W611" t="s">
        <v>45</v>
      </c>
      <c r="X611" t="s">
        <v>45</v>
      </c>
      <c r="Y611" t="s">
        <v>45</v>
      </c>
      <c r="Z611" t="s">
        <v>45</v>
      </c>
      <c r="AA611" s="7">
        <v>46227</v>
      </c>
      <c r="AC611" t="s">
        <v>74</v>
      </c>
      <c r="AF611">
        <v>2</v>
      </c>
      <c r="AH611" t="s">
        <v>75</v>
      </c>
      <c r="AI611">
        <v>1</v>
      </c>
      <c r="AJ611" s="15"/>
      <c r="AK611" t="s">
        <v>86</v>
      </c>
      <c r="AN611"/>
      <c r="AO611"/>
      <c r="AP611"/>
      <c r="AQ611"/>
      <c r="AR611" s="18" t="str">
        <f>IFERROR(VLOOKUP(K611,[1]POP!$F:$J,1,0),M611)</f>
        <v>KOUSSERI</v>
      </c>
      <c r="AS611" s="18" t="str">
        <f t="shared" si="46"/>
        <v>PARPAR</v>
      </c>
      <c r="AT611" s="19">
        <f t="shared" si="49"/>
        <v>2</v>
      </c>
      <c r="AU611" s="19">
        <f t="shared" ca="1" si="48"/>
        <v>2</v>
      </c>
    </row>
    <row r="612" spans="1:47" x14ac:dyDescent="0.3">
      <c r="A612" t="s">
        <v>911</v>
      </c>
      <c r="B612" t="str">
        <f t="shared" si="45"/>
        <v>S30_2026</v>
      </c>
      <c r="C612" t="str">
        <f t="shared" si="47"/>
        <v>S30_2026</v>
      </c>
      <c r="E612">
        <v>675779257</v>
      </c>
      <c r="F612">
        <v>2</v>
      </c>
      <c r="G612" t="s">
        <v>40</v>
      </c>
      <c r="H612" t="s">
        <v>85</v>
      </c>
      <c r="I612" t="s">
        <v>912</v>
      </c>
      <c r="J612" t="s">
        <v>913</v>
      </c>
      <c r="K612" t="s">
        <v>460</v>
      </c>
      <c r="L612" t="s">
        <v>459</v>
      </c>
      <c r="M612" t="s">
        <v>460</v>
      </c>
      <c r="N612" t="s">
        <v>45</v>
      </c>
      <c r="O612" t="s">
        <v>74</v>
      </c>
      <c r="P612">
        <v>1</v>
      </c>
      <c r="Q612" s="7">
        <v>46223</v>
      </c>
      <c r="R612" s="7">
        <v>46225</v>
      </c>
      <c r="S612" s="7">
        <v>46225</v>
      </c>
      <c r="T612" t="s">
        <v>117</v>
      </c>
      <c r="V612" t="s">
        <v>462</v>
      </c>
      <c r="W612" t="s">
        <v>45</v>
      </c>
      <c r="X612" t="s">
        <v>45</v>
      </c>
      <c r="Y612" t="s">
        <v>45</v>
      </c>
      <c r="Z612" t="s">
        <v>45</v>
      </c>
      <c r="AA612" s="7">
        <v>46227</v>
      </c>
      <c r="AC612" t="s">
        <v>74</v>
      </c>
      <c r="AF612">
        <v>2</v>
      </c>
      <c r="AH612" t="s">
        <v>75</v>
      </c>
      <c r="AI612">
        <v>1</v>
      </c>
      <c r="AJ612" s="15"/>
      <c r="AK612" t="s">
        <v>86</v>
      </c>
      <c r="AN612"/>
      <c r="AO612"/>
      <c r="AP612"/>
      <c r="AQ612"/>
      <c r="AR612" s="18" t="str">
        <f>IFERROR(VLOOKUP(K612,[1]POP!$F:$J,1,0),M612)</f>
        <v>KOUSSERI</v>
      </c>
      <c r="AS612" s="18" t="str">
        <f t="shared" si="46"/>
        <v>AMCHEDIRE</v>
      </c>
      <c r="AT612" s="19">
        <f t="shared" si="49"/>
        <v>2</v>
      </c>
      <c r="AU612" s="19">
        <f t="shared" ca="1" si="48"/>
        <v>2</v>
      </c>
    </row>
    <row r="613" spans="1:47" x14ac:dyDescent="0.3">
      <c r="A613" t="s">
        <v>914</v>
      </c>
      <c r="B613" t="str">
        <f t="shared" si="45"/>
        <v>S30_2026</v>
      </c>
      <c r="C613" t="str">
        <f t="shared" si="47"/>
        <v>S30_2026</v>
      </c>
      <c r="E613">
        <v>68936660</v>
      </c>
      <c r="F613">
        <v>0</v>
      </c>
      <c r="G613" t="s">
        <v>40</v>
      </c>
      <c r="H613" t="s">
        <v>85</v>
      </c>
      <c r="I613" t="s">
        <v>553</v>
      </c>
      <c r="J613" t="s">
        <v>459</v>
      </c>
      <c r="K613" t="s">
        <v>460</v>
      </c>
      <c r="L613" t="s">
        <v>459</v>
      </c>
      <c r="M613" t="s">
        <v>460</v>
      </c>
      <c r="N613" t="s">
        <v>45</v>
      </c>
      <c r="O613" t="s">
        <v>45</v>
      </c>
      <c r="P613">
        <v>1</v>
      </c>
      <c r="Q613" s="7">
        <v>46224</v>
      </c>
      <c r="R613" s="7">
        <v>46225</v>
      </c>
      <c r="S613" s="7">
        <v>46225</v>
      </c>
      <c r="T613" t="s">
        <v>74</v>
      </c>
      <c r="V613" t="s">
        <v>464</v>
      </c>
      <c r="W613" t="s">
        <v>45</v>
      </c>
      <c r="X613" t="s">
        <v>45</v>
      </c>
      <c r="Y613" t="s">
        <v>74</v>
      </c>
      <c r="Z613" t="s">
        <v>45</v>
      </c>
      <c r="AA613" s="7">
        <v>46227</v>
      </c>
      <c r="AC613" t="s">
        <v>74</v>
      </c>
      <c r="AF613">
        <v>2</v>
      </c>
      <c r="AH613" t="s">
        <v>75</v>
      </c>
      <c r="AI613">
        <v>1</v>
      </c>
      <c r="AJ613" s="15"/>
      <c r="AK613" t="s">
        <v>86</v>
      </c>
      <c r="AN613"/>
      <c r="AO613"/>
      <c r="AP613"/>
      <c r="AQ613"/>
      <c r="AR613" s="18" t="str">
        <f>IFERROR(VLOOKUP(K613,[1]POP!$F:$J,1,0),M613)</f>
        <v>KOUSSERI</v>
      </c>
      <c r="AS613" s="18" t="str">
        <f t="shared" si="46"/>
        <v>PAGUI</v>
      </c>
      <c r="AT613" s="19">
        <f t="shared" si="49"/>
        <v>2</v>
      </c>
      <c r="AU613" s="19">
        <f t="shared" ca="1" si="48"/>
        <v>2</v>
      </c>
    </row>
    <row r="614" spans="1:47" x14ac:dyDescent="0.3">
      <c r="A614" t="s">
        <v>915</v>
      </c>
      <c r="B614" t="str">
        <f t="shared" si="45"/>
        <v>S30_2026</v>
      </c>
      <c r="C614" t="str">
        <f t="shared" si="47"/>
        <v>S30_2026</v>
      </c>
      <c r="E614">
        <v>694827970</v>
      </c>
      <c r="F614">
        <v>1</v>
      </c>
      <c r="G614" t="s">
        <v>40</v>
      </c>
      <c r="H614" t="s">
        <v>85</v>
      </c>
      <c r="I614" t="s">
        <v>553</v>
      </c>
      <c r="J614" t="s">
        <v>459</v>
      </c>
      <c r="K614" t="s">
        <v>460</v>
      </c>
      <c r="L614" t="s">
        <v>459</v>
      </c>
      <c r="M614" t="s">
        <v>460</v>
      </c>
      <c r="N614" t="s">
        <v>45</v>
      </c>
      <c r="O614" t="s">
        <v>45</v>
      </c>
      <c r="P614">
        <v>1</v>
      </c>
      <c r="Q614" s="7">
        <v>46224</v>
      </c>
      <c r="R614" s="7">
        <v>46225</v>
      </c>
      <c r="S614" s="7">
        <v>46225</v>
      </c>
      <c r="T614" t="s">
        <v>74</v>
      </c>
      <c r="V614" t="s">
        <v>464</v>
      </c>
      <c r="W614" t="s">
        <v>45</v>
      </c>
      <c r="X614" t="s">
        <v>45</v>
      </c>
      <c r="Y614" t="s">
        <v>74</v>
      </c>
      <c r="Z614" t="s">
        <v>45</v>
      </c>
      <c r="AA614" s="7">
        <v>46227</v>
      </c>
      <c r="AC614" t="s">
        <v>74</v>
      </c>
      <c r="AF614">
        <v>2</v>
      </c>
      <c r="AH614" t="s">
        <v>75</v>
      </c>
      <c r="AI614">
        <v>1</v>
      </c>
      <c r="AJ614" s="15"/>
      <c r="AK614" t="s">
        <v>86</v>
      </c>
      <c r="AN614"/>
      <c r="AO614"/>
      <c r="AP614"/>
      <c r="AQ614"/>
      <c r="AR614" s="18" t="str">
        <f>IFERROR(VLOOKUP(K614,[1]POP!$F:$J,1,0),M614)</f>
        <v>KOUSSERI</v>
      </c>
      <c r="AS614" s="18" t="str">
        <f t="shared" si="46"/>
        <v>PAGUI</v>
      </c>
      <c r="AT614" s="19">
        <f t="shared" si="49"/>
        <v>2</v>
      </c>
      <c r="AU614" s="19">
        <f t="shared" ca="1" si="48"/>
        <v>2</v>
      </c>
    </row>
    <row r="615" spans="1:47" x14ac:dyDescent="0.3">
      <c r="A615" t="s">
        <v>916</v>
      </c>
      <c r="B615" t="str">
        <f t="shared" si="45"/>
        <v>S30_2026</v>
      </c>
      <c r="C615" t="str">
        <f t="shared" si="47"/>
        <v>S30_2026</v>
      </c>
      <c r="F615">
        <v>50</v>
      </c>
      <c r="G615" t="s">
        <v>40</v>
      </c>
      <c r="H615" t="s">
        <v>77</v>
      </c>
      <c r="I615" t="s">
        <v>910</v>
      </c>
      <c r="J615" t="s">
        <v>917</v>
      </c>
      <c r="K615" t="s">
        <v>460</v>
      </c>
      <c r="L615" t="s">
        <v>459</v>
      </c>
      <c r="M615" t="s">
        <v>460</v>
      </c>
      <c r="N615" t="s">
        <v>45</v>
      </c>
      <c r="O615" t="s">
        <v>45</v>
      </c>
      <c r="P615">
        <v>2</v>
      </c>
      <c r="Q615" s="7">
        <v>46225</v>
      </c>
      <c r="R615" s="7">
        <v>46226</v>
      </c>
      <c r="S615" s="7">
        <v>46226</v>
      </c>
      <c r="T615" t="s">
        <v>45</v>
      </c>
      <c r="V615" t="s">
        <v>464</v>
      </c>
      <c r="W615" t="s">
        <v>45</v>
      </c>
      <c r="X615" t="s">
        <v>45</v>
      </c>
      <c r="Y615" t="s">
        <v>45</v>
      </c>
      <c r="Z615" t="s">
        <v>45</v>
      </c>
      <c r="AA615" s="7">
        <v>46227</v>
      </c>
      <c r="AC615" t="s">
        <v>74</v>
      </c>
      <c r="AF615">
        <v>2</v>
      </c>
      <c r="AH615" t="s">
        <v>75</v>
      </c>
      <c r="AI615">
        <v>1</v>
      </c>
      <c r="AJ615" s="15"/>
      <c r="AK615" t="s">
        <v>86</v>
      </c>
      <c r="AN615"/>
      <c r="AO615"/>
      <c r="AP615"/>
      <c r="AQ615"/>
      <c r="AR615" s="18" t="str">
        <f>IFERROR(VLOOKUP(K615,[1]POP!$F:$J,1,0),M615)</f>
        <v>KOUSSERI</v>
      </c>
      <c r="AS615" s="18" t="str">
        <f t="shared" si="46"/>
        <v>KODOGO</v>
      </c>
      <c r="AT615" s="19">
        <f t="shared" si="49"/>
        <v>2</v>
      </c>
      <c r="AU615" s="19">
        <f t="shared" ca="1" si="48"/>
        <v>2</v>
      </c>
    </row>
    <row r="616" spans="1:47" x14ac:dyDescent="0.3">
      <c r="A616" t="s">
        <v>918</v>
      </c>
      <c r="B616" t="str">
        <f t="shared" si="45"/>
        <v>S30_2026</v>
      </c>
      <c r="C616" t="str">
        <f t="shared" si="47"/>
        <v>S30_2026</v>
      </c>
      <c r="E616">
        <v>655587373</v>
      </c>
      <c r="F616">
        <v>25</v>
      </c>
      <c r="G616" t="s">
        <v>40</v>
      </c>
      <c r="H616" t="s">
        <v>77</v>
      </c>
      <c r="I616" t="s">
        <v>792</v>
      </c>
      <c r="J616" t="s">
        <v>635</v>
      </c>
      <c r="K616" t="s">
        <v>460</v>
      </c>
      <c r="L616" t="s">
        <v>459</v>
      </c>
      <c r="M616" t="s">
        <v>460</v>
      </c>
      <c r="N616" t="s">
        <v>45</v>
      </c>
      <c r="O616" t="s">
        <v>74</v>
      </c>
      <c r="P616">
        <v>2</v>
      </c>
      <c r="Q616" s="7">
        <v>46225</v>
      </c>
      <c r="R616" s="7">
        <v>46226</v>
      </c>
      <c r="S616" s="7">
        <v>46226</v>
      </c>
      <c r="T616" t="s">
        <v>45</v>
      </c>
      <c r="V616" t="s">
        <v>464</v>
      </c>
      <c r="W616" t="s">
        <v>45</v>
      </c>
      <c r="X616" t="s">
        <v>45</v>
      </c>
      <c r="Y616" t="s">
        <v>45</v>
      </c>
      <c r="Z616" t="s">
        <v>45</v>
      </c>
      <c r="AA616" s="7">
        <v>46227</v>
      </c>
      <c r="AC616" t="s">
        <v>74</v>
      </c>
      <c r="AF616">
        <v>2</v>
      </c>
      <c r="AH616" t="s">
        <v>75</v>
      </c>
      <c r="AI616">
        <v>1</v>
      </c>
      <c r="AJ616" s="15"/>
      <c r="AK616" t="s">
        <v>86</v>
      </c>
      <c r="AN616"/>
      <c r="AO616"/>
      <c r="AP616"/>
      <c r="AQ616"/>
      <c r="AR616" s="18" t="str">
        <f>IFERROR(VLOOKUP(K616,[1]POP!$F:$J,1,0),M616)</f>
        <v>KOUSSERI</v>
      </c>
      <c r="AS616" s="18" t="str">
        <f t="shared" si="46"/>
        <v>HILE-HAOUSSA</v>
      </c>
      <c r="AT616" s="19">
        <f t="shared" si="49"/>
        <v>2</v>
      </c>
      <c r="AU616" s="19">
        <f t="shared" ca="1" si="48"/>
        <v>2</v>
      </c>
    </row>
    <row r="617" spans="1:47" x14ac:dyDescent="0.3">
      <c r="A617" t="s">
        <v>919</v>
      </c>
      <c r="B617" t="str">
        <f t="shared" si="45"/>
        <v>S30_2026</v>
      </c>
      <c r="C617" t="str">
        <f t="shared" si="47"/>
        <v>S30_2026</v>
      </c>
      <c r="E617">
        <v>655955593</v>
      </c>
      <c r="F617">
        <v>26</v>
      </c>
      <c r="G617" t="s">
        <v>40</v>
      </c>
      <c r="H617" t="s">
        <v>77</v>
      </c>
      <c r="I617" t="s">
        <v>920</v>
      </c>
      <c r="J617" t="s">
        <v>635</v>
      </c>
      <c r="K617" t="s">
        <v>460</v>
      </c>
      <c r="L617" t="s">
        <v>459</v>
      </c>
      <c r="M617" t="s">
        <v>460</v>
      </c>
      <c r="N617" t="s">
        <v>45</v>
      </c>
      <c r="O617" t="s">
        <v>74</v>
      </c>
      <c r="P617">
        <v>1</v>
      </c>
      <c r="Q617" s="7">
        <v>46225</v>
      </c>
      <c r="R617" s="7">
        <v>46226</v>
      </c>
      <c r="S617" s="7">
        <v>46226</v>
      </c>
      <c r="T617" t="s">
        <v>74</v>
      </c>
      <c r="V617" t="s">
        <v>464</v>
      </c>
      <c r="W617" t="s">
        <v>45</v>
      </c>
      <c r="X617" t="s">
        <v>45</v>
      </c>
      <c r="Y617" t="s">
        <v>74</v>
      </c>
      <c r="Z617" t="s">
        <v>45</v>
      </c>
      <c r="AA617" s="7">
        <v>46227</v>
      </c>
      <c r="AC617" t="s">
        <v>74</v>
      </c>
      <c r="AF617">
        <v>2</v>
      </c>
      <c r="AH617" t="s">
        <v>75</v>
      </c>
      <c r="AI617">
        <v>1</v>
      </c>
      <c r="AJ617" s="15"/>
      <c r="AK617" t="s">
        <v>86</v>
      </c>
      <c r="AN617"/>
      <c r="AO617"/>
      <c r="AP617"/>
      <c r="AQ617"/>
      <c r="AR617" s="18" t="str">
        <f>IFERROR(VLOOKUP(K617,[1]POP!$F:$J,1,0),M617)</f>
        <v>KOUSSERI</v>
      </c>
      <c r="AS617" s="18" t="str">
        <f t="shared" si="46"/>
        <v>HILE-HAOUSSA</v>
      </c>
      <c r="AT617" s="19">
        <f t="shared" si="49"/>
        <v>2</v>
      </c>
      <c r="AU617" s="19">
        <f t="shared" ca="1" si="48"/>
        <v>2</v>
      </c>
    </row>
    <row r="618" spans="1:47" x14ac:dyDescent="0.3">
      <c r="A618" t="s">
        <v>921</v>
      </c>
      <c r="B618" t="str">
        <f t="shared" si="45"/>
        <v>S29_2026</v>
      </c>
      <c r="C618" t="str">
        <f t="shared" si="47"/>
        <v>S28_2026</v>
      </c>
      <c r="F618">
        <v>9</v>
      </c>
      <c r="G618" t="s">
        <v>55</v>
      </c>
      <c r="I618" t="s">
        <v>172</v>
      </c>
      <c r="J618" t="s">
        <v>173</v>
      </c>
      <c r="K618" t="s">
        <v>124</v>
      </c>
      <c r="L618" t="s">
        <v>174</v>
      </c>
      <c r="M618" t="s">
        <v>124</v>
      </c>
      <c r="N618" t="s">
        <v>45</v>
      </c>
      <c r="O618" t="s">
        <v>74</v>
      </c>
      <c r="P618">
        <v>1</v>
      </c>
      <c r="Q618" s="7">
        <v>46215</v>
      </c>
      <c r="R618" s="7">
        <v>46216</v>
      </c>
      <c r="S618" s="7">
        <v>46216</v>
      </c>
      <c r="T618" t="s">
        <v>45</v>
      </c>
      <c r="V618" t="s">
        <v>175</v>
      </c>
      <c r="W618" t="s">
        <v>45</v>
      </c>
      <c r="X618" t="s">
        <v>74</v>
      </c>
      <c r="Y618" t="s">
        <v>74</v>
      </c>
      <c r="Z618" t="s">
        <v>45</v>
      </c>
      <c r="AF618">
        <v>2</v>
      </c>
      <c r="AH618" t="s">
        <v>75</v>
      </c>
      <c r="AI618">
        <v>1</v>
      </c>
      <c r="AJ618" s="15"/>
      <c r="AN618"/>
      <c r="AO618"/>
      <c r="AP618"/>
      <c r="AQ618"/>
      <c r="AR618" s="18" t="str">
        <f>IFERROR(VLOOKUP(K618,[1]POP!$F:$J,1,0),M618)</f>
        <v>MADA</v>
      </c>
      <c r="AS618" s="18" t="str">
        <f t="shared" si="46"/>
        <v>TCHIKA</v>
      </c>
      <c r="AT618" s="19">
        <f t="shared" si="49"/>
        <v>2</v>
      </c>
      <c r="AU618" s="19">
        <f t="shared" ca="1" si="48"/>
        <v>2</v>
      </c>
    </row>
    <row r="619" spans="1:47" x14ac:dyDescent="0.3">
      <c r="A619" t="s">
        <v>922</v>
      </c>
      <c r="B619" t="str">
        <f t="shared" si="45"/>
        <v>S29_2026</v>
      </c>
      <c r="C619" t="str">
        <f t="shared" si="47"/>
        <v>S29_2026</v>
      </c>
      <c r="F619">
        <v>6</v>
      </c>
      <c r="G619" t="s">
        <v>55</v>
      </c>
      <c r="I619" t="s">
        <v>172</v>
      </c>
      <c r="J619" t="s">
        <v>173</v>
      </c>
      <c r="K619" t="s">
        <v>124</v>
      </c>
      <c r="L619" t="s">
        <v>174</v>
      </c>
      <c r="M619" t="s">
        <v>124</v>
      </c>
      <c r="N619" t="s">
        <v>45</v>
      </c>
      <c r="O619" t="s">
        <v>45</v>
      </c>
      <c r="P619">
        <v>3</v>
      </c>
      <c r="Q619" s="7">
        <v>46216</v>
      </c>
      <c r="R619" s="7">
        <v>46216</v>
      </c>
      <c r="S619" s="7">
        <v>46216</v>
      </c>
      <c r="T619" t="s">
        <v>45</v>
      </c>
      <c r="V619" t="s">
        <v>175</v>
      </c>
      <c r="W619" t="s">
        <v>45</v>
      </c>
      <c r="X619" t="s">
        <v>45</v>
      </c>
      <c r="Y619" t="s">
        <v>45</v>
      </c>
      <c r="Z619" t="s">
        <v>45</v>
      </c>
      <c r="AF619">
        <v>2</v>
      </c>
      <c r="AH619" t="s">
        <v>75</v>
      </c>
      <c r="AI619">
        <v>1</v>
      </c>
      <c r="AJ619" s="15"/>
      <c r="AN619"/>
      <c r="AO619"/>
      <c r="AP619"/>
      <c r="AQ619"/>
      <c r="AR619" s="18" t="str">
        <f>IFERROR(VLOOKUP(K619,[1]POP!$F:$J,1,0),M619)</f>
        <v>MADA</v>
      </c>
      <c r="AS619" s="18" t="str">
        <f t="shared" si="46"/>
        <v>TCHIKA</v>
      </c>
      <c r="AT619" s="19">
        <f t="shared" si="49"/>
        <v>2</v>
      </c>
      <c r="AU619" s="19">
        <f t="shared" ca="1" si="48"/>
        <v>2</v>
      </c>
    </row>
    <row r="620" spans="1:47" x14ac:dyDescent="0.3">
      <c r="A620" t="s">
        <v>923</v>
      </c>
      <c r="B620" t="str">
        <f t="shared" si="45"/>
        <v>S29_2026</v>
      </c>
      <c r="C620" t="str">
        <f t="shared" si="47"/>
        <v>S29_2026</v>
      </c>
      <c r="F620">
        <v>24</v>
      </c>
      <c r="G620" t="s">
        <v>40</v>
      </c>
      <c r="I620" t="s">
        <v>924</v>
      </c>
      <c r="J620" t="s">
        <v>174</v>
      </c>
      <c r="K620" t="s">
        <v>124</v>
      </c>
      <c r="L620" t="s">
        <v>174</v>
      </c>
      <c r="M620" t="s">
        <v>124</v>
      </c>
      <c r="N620" t="s">
        <v>45</v>
      </c>
      <c r="O620" t="s">
        <v>45</v>
      </c>
      <c r="P620">
        <v>2</v>
      </c>
      <c r="Q620" s="7">
        <v>46216</v>
      </c>
      <c r="R620" s="7">
        <v>46216</v>
      </c>
      <c r="S620" s="7">
        <v>46216</v>
      </c>
      <c r="T620" t="s">
        <v>45</v>
      </c>
      <c r="V620" t="s">
        <v>175</v>
      </c>
      <c r="W620" t="s">
        <v>45</v>
      </c>
      <c r="X620" t="s">
        <v>45</v>
      </c>
      <c r="Y620" t="s">
        <v>45</v>
      </c>
      <c r="Z620" t="s">
        <v>45</v>
      </c>
      <c r="AF620">
        <v>2</v>
      </c>
      <c r="AH620" t="s">
        <v>75</v>
      </c>
      <c r="AI620">
        <v>1</v>
      </c>
      <c r="AJ620" s="15"/>
      <c r="AN620"/>
      <c r="AO620"/>
      <c r="AP620"/>
      <c r="AQ620"/>
      <c r="AR620" s="18" t="str">
        <f>IFERROR(VLOOKUP(K620,[1]POP!$F:$J,1,0),M620)</f>
        <v>MADA</v>
      </c>
      <c r="AS620" s="18" t="str">
        <f t="shared" si="46"/>
        <v>HILE ALIFA</v>
      </c>
      <c r="AT620" s="19">
        <f t="shared" si="49"/>
        <v>2</v>
      </c>
      <c r="AU620" s="19">
        <f t="shared" ca="1" si="48"/>
        <v>2</v>
      </c>
    </row>
    <row r="621" spans="1:47" x14ac:dyDescent="0.3">
      <c r="A621" t="s">
        <v>925</v>
      </c>
      <c r="B621" t="str">
        <f t="shared" si="45"/>
        <v>S29_2026</v>
      </c>
      <c r="C621" t="str">
        <f t="shared" si="47"/>
        <v>S29_2026</v>
      </c>
      <c r="F621">
        <v>27</v>
      </c>
      <c r="G621" t="s">
        <v>40</v>
      </c>
      <c r="I621" t="s">
        <v>926</v>
      </c>
      <c r="J621" t="s">
        <v>173</v>
      </c>
      <c r="K621" t="s">
        <v>124</v>
      </c>
      <c r="L621" t="s">
        <v>174</v>
      </c>
      <c r="M621" t="s">
        <v>124</v>
      </c>
      <c r="N621" t="s">
        <v>45</v>
      </c>
      <c r="O621" t="s">
        <v>74</v>
      </c>
      <c r="P621">
        <v>1</v>
      </c>
      <c r="Q621" s="7">
        <v>46216</v>
      </c>
      <c r="R621" s="7">
        <v>46216</v>
      </c>
      <c r="S621" s="7">
        <v>46216</v>
      </c>
      <c r="T621" t="s">
        <v>45</v>
      </c>
      <c r="V621" t="s">
        <v>175</v>
      </c>
      <c r="W621" t="s">
        <v>45</v>
      </c>
      <c r="X621" t="s">
        <v>74</v>
      </c>
      <c r="Y621" t="s">
        <v>74</v>
      </c>
      <c r="Z621" t="s">
        <v>45</v>
      </c>
      <c r="AF621">
        <v>2</v>
      </c>
      <c r="AH621" t="s">
        <v>75</v>
      </c>
      <c r="AI621">
        <v>1</v>
      </c>
      <c r="AJ621" s="15"/>
      <c r="AN621"/>
      <c r="AO621"/>
      <c r="AP621"/>
      <c r="AQ621"/>
      <c r="AR621" s="18" t="str">
        <f>IFERROR(VLOOKUP(K621,[1]POP!$F:$J,1,0),M621)</f>
        <v>MADA</v>
      </c>
      <c r="AS621" s="18" t="str">
        <f t="shared" si="46"/>
        <v>TCHIKA</v>
      </c>
      <c r="AT621" s="19">
        <f t="shared" si="49"/>
        <v>2</v>
      </c>
      <c r="AU621" s="19">
        <f t="shared" ca="1" si="48"/>
        <v>2</v>
      </c>
    </row>
    <row r="622" spans="1:47" x14ac:dyDescent="0.3">
      <c r="A622" t="s">
        <v>927</v>
      </c>
      <c r="B622" t="str">
        <f t="shared" si="45"/>
        <v>S29_2026</v>
      </c>
      <c r="C622" t="str">
        <f t="shared" si="47"/>
        <v>S29_2026</v>
      </c>
      <c r="F622">
        <v>36</v>
      </c>
      <c r="G622" t="s">
        <v>40</v>
      </c>
      <c r="I622" t="s">
        <v>128</v>
      </c>
      <c r="J622" t="s">
        <v>173</v>
      </c>
      <c r="K622" t="s">
        <v>124</v>
      </c>
      <c r="L622" t="s">
        <v>174</v>
      </c>
      <c r="M622" t="s">
        <v>124</v>
      </c>
      <c r="N622" t="s">
        <v>45</v>
      </c>
      <c r="O622" t="s">
        <v>45</v>
      </c>
      <c r="P622">
        <v>3</v>
      </c>
      <c r="Q622" s="7">
        <v>46216</v>
      </c>
      <c r="R622" s="7">
        <v>46216</v>
      </c>
      <c r="S622" s="7">
        <v>46216</v>
      </c>
      <c r="T622" t="s">
        <v>45</v>
      </c>
      <c r="V622" t="s">
        <v>175</v>
      </c>
      <c r="W622" t="s">
        <v>45</v>
      </c>
      <c r="X622" t="s">
        <v>45</v>
      </c>
      <c r="Y622" t="s">
        <v>45</v>
      </c>
      <c r="Z622" t="s">
        <v>45</v>
      </c>
      <c r="AF622">
        <v>2</v>
      </c>
      <c r="AH622" t="s">
        <v>75</v>
      </c>
      <c r="AI622">
        <v>1</v>
      </c>
      <c r="AJ622" s="15"/>
      <c r="AN622"/>
      <c r="AO622"/>
      <c r="AP622"/>
      <c r="AQ622"/>
      <c r="AR622" s="18" t="str">
        <f>IFERROR(VLOOKUP(K622,[1]POP!$F:$J,1,0),M622)</f>
        <v>MADA</v>
      </c>
      <c r="AS622" s="18" t="str">
        <f t="shared" si="46"/>
        <v>TCHIKA</v>
      </c>
      <c r="AT622" s="19">
        <f t="shared" si="49"/>
        <v>2</v>
      </c>
      <c r="AU622" s="19">
        <f t="shared" ca="1" si="48"/>
        <v>2</v>
      </c>
    </row>
    <row r="623" spans="1:47" x14ac:dyDescent="0.3">
      <c r="A623" t="s">
        <v>928</v>
      </c>
      <c r="B623" t="str">
        <f t="shared" si="45"/>
        <v>S29_2026</v>
      </c>
      <c r="C623" t="str">
        <f t="shared" si="47"/>
        <v>S29_2026</v>
      </c>
      <c r="F623">
        <v>20</v>
      </c>
      <c r="G623" t="s">
        <v>55</v>
      </c>
      <c r="I623" t="s">
        <v>127</v>
      </c>
      <c r="J623" t="s">
        <v>173</v>
      </c>
      <c r="K623" t="s">
        <v>124</v>
      </c>
      <c r="L623" t="s">
        <v>174</v>
      </c>
      <c r="M623" t="s">
        <v>124</v>
      </c>
      <c r="N623" t="s">
        <v>45</v>
      </c>
      <c r="O623" t="s">
        <v>74</v>
      </c>
      <c r="P623">
        <v>1</v>
      </c>
      <c r="Q623" s="7">
        <v>46216</v>
      </c>
      <c r="R623" s="7">
        <v>46216</v>
      </c>
      <c r="S623" s="7">
        <v>46216</v>
      </c>
      <c r="T623" t="s">
        <v>45</v>
      </c>
      <c r="V623" t="s">
        <v>175</v>
      </c>
      <c r="W623" t="s">
        <v>45</v>
      </c>
      <c r="X623" t="s">
        <v>74</v>
      </c>
      <c r="Y623" t="s">
        <v>74</v>
      </c>
      <c r="Z623" t="s">
        <v>45</v>
      </c>
      <c r="AF623">
        <v>2</v>
      </c>
      <c r="AH623" t="s">
        <v>75</v>
      </c>
      <c r="AI623">
        <v>1</v>
      </c>
      <c r="AJ623" s="15"/>
      <c r="AN623"/>
      <c r="AO623"/>
      <c r="AP623"/>
      <c r="AQ623"/>
      <c r="AR623" s="18" t="str">
        <f>IFERROR(VLOOKUP(K623,[1]POP!$F:$J,1,0),M623)</f>
        <v>MADA</v>
      </c>
      <c r="AS623" s="18" t="str">
        <f t="shared" si="46"/>
        <v>TCHIKA</v>
      </c>
      <c r="AT623" s="19">
        <f t="shared" si="49"/>
        <v>2</v>
      </c>
      <c r="AU623" s="19">
        <f t="shared" ca="1" si="48"/>
        <v>2</v>
      </c>
    </row>
    <row r="624" spans="1:47" x14ac:dyDescent="0.3">
      <c r="A624" t="s">
        <v>929</v>
      </c>
      <c r="B624" t="str">
        <f t="shared" si="45"/>
        <v>S29_2026</v>
      </c>
      <c r="C624" t="str">
        <f t="shared" si="47"/>
        <v>S29_2026</v>
      </c>
      <c r="F624">
        <v>5</v>
      </c>
      <c r="G624" t="s">
        <v>40</v>
      </c>
      <c r="I624" t="s">
        <v>172</v>
      </c>
      <c r="J624" t="s">
        <v>173</v>
      </c>
      <c r="K624" t="s">
        <v>124</v>
      </c>
      <c r="L624" t="s">
        <v>174</v>
      </c>
      <c r="M624" t="s">
        <v>124</v>
      </c>
      <c r="N624" t="s">
        <v>45</v>
      </c>
      <c r="O624" t="s">
        <v>74</v>
      </c>
      <c r="P624">
        <v>1</v>
      </c>
      <c r="Q624" s="7">
        <v>46216</v>
      </c>
      <c r="R624" s="7">
        <v>46216</v>
      </c>
      <c r="S624" s="7">
        <v>46216</v>
      </c>
      <c r="T624" t="s">
        <v>45</v>
      </c>
      <c r="V624" t="s">
        <v>175</v>
      </c>
      <c r="W624" t="s">
        <v>45</v>
      </c>
      <c r="X624" t="s">
        <v>74</v>
      </c>
      <c r="Y624" t="s">
        <v>74</v>
      </c>
      <c r="Z624" t="s">
        <v>45</v>
      </c>
      <c r="AF624">
        <v>2</v>
      </c>
      <c r="AH624" t="s">
        <v>75</v>
      </c>
      <c r="AI624">
        <v>1</v>
      </c>
      <c r="AJ624" s="15"/>
      <c r="AN624"/>
      <c r="AO624"/>
      <c r="AP624"/>
      <c r="AQ624"/>
      <c r="AR624" s="18" t="str">
        <f>IFERROR(VLOOKUP(K624,[1]POP!$F:$J,1,0),M624)</f>
        <v>MADA</v>
      </c>
      <c r="AS624" s="18" t="str">
        <f t="shared" si="46"/>
        <v>TCHIKA</v>
      </c>
      <c r="AT624" s="19">
        <f t="shared" si="49"/>
        <v>2</v>
      </c>
      <c r="AU624" s="19">
        <f t="shared" ca="1" si="48"/>
        <v>2</v>
      </c>
    </row>
    <row r="625" spans="1:47" x14ac:dyDescent="0.3">
      <c r="A625" t="s">
        <v>930</v>
      </c>
      <c r="B625" t="str">
        <f t="shared" si="45"/>
        <v>S29_2026</v>
      </c>
      <c r="C625" t="str">
        <f t="shared" si="47"/>
        <v>S29_2026</v>
      </c>
      <c r="F625">
        <v>7</v>
      </c>
      <c r="G625" t="s">
        <v>55</v>
      </c>
      <c r="I625" t="s">
        <v>172</v>
      </c>
      <c r="J625" t="s">
        <v>173</v>
      </c>
      <c r="K625" t="s">
        <v>124</v>
      </c>
      <c r="L625" t="s">
        <v>174</v>
      </c>
      <c r="M625" t="s">
        <v>124</v>
      </c>
      <c r="N625" t="s">
        <v>45</v>
      </c>
      <c r="O625" t="s">
        <v>45</v>
      </c>
      <c r="P625">
        <v>3</v>
      </c>
      <c r="Q625" s="7">
        <v>46216</v>
      </c>
      <c r="R625" s="7">
        <v>46216</v>
      </c>
      <c r="S625" s="7">
        <v>46216</v>
      </c>
      <c r="T625" t="s">
        <v>45</v>
      </c>
      <c r="V625" t="s">
        <v>175</v>
      </c>
      <c r="W625" t="s">
        <v>45</v>
      </c>
      <c r="X625" t="s">
        <v>45</v>
      </c>
      <c r="Y625" t="s">
        <v>45</v>
      </c>
      <c r="Z625" t="s">
        <v>45</v>
      </c>
      <c r="AF625">
        <v>2</v>
      </c>
      <c r="AH625" t="s">
        <v>75</v>
      </c>
      <c r="AI625">
        <v>1</v>
      </c>
      <c r="AJ625" s="15"/>
      <c r="AN625"/>
      <c r="AO625"/>
      <c r="AP625"/>
      <c r="AQ625"/>
      <c r="AR625" s="18" t="str">
        <f>IFERROR(VLOOKUP(K625,[1]POP!$F:$J,1,0),M625)</f>
        <v>MADA</v>
      </c>
      <c r="AS625" s="18" t="str">
        <f t="shared" si="46"/>
        <v>TCHIKA</v>
      </c>
      <c r="AT625" s="19">
        <f t="shared" si="49"/>
        <v>2</v>
      </c>
      <c r="AU625" s="19">
        <f t="shared" ca="1" si="48"/>
        <v>2</v>
      </c>
    </row>
    <row r="626" spans="1:47" x14ac:dyDescent="0.3">
      <c r="A626" t="s">
        <v>931</v>
      </c>
      <c r="B626" t="str">
        <f t="shared" si="45"/>
        <v>S29_2026</v>
      </c>
      <c r="C626" t="str">
        <f t="shared" si="47"/>
        <v>S29_2026</v>
      </c>
      <c r="F626">
        <v>10</v>
      </c>
      <c r="G626" t="s">
        <v>40</v>
      </c>
      <c r="I626" t="s">
        <v>172</v>
      </c>
      <c r="J626" t="s">
        <v>173</v>
      </c>
      <c r="K626" t="s">
        <v>124</v>
      </c>
      <c r="L626" t="s">
        <v>174</v>
      </c>
      <c r="M626" t="s">
        <v>124</v>
      </c>
      <c r="N626" t="s">
        <v>45</v>
      </c>
      <c r="O626" t="s">
        <v>45</v>
      </c>
      <c r="P626">
        <v>1</v>
      </c>
      <c r="Q626" s="7">
        <v>46217</v>
      </c>
      <c r="R626" s="7">
        <v>46217</v>
      </c>
      <c r="S626" s="7">
        <v>46217</v>
      </c>
      <c r="T626" t="s">
        <v>45</v>
      </c>
      <c r="V626" t="s">
        <v>175</v>
      </c>
      <c r="W626" t="s">
        <v>45</v>
      </c>
      <c r="X626" t="s">
        <v>74</v>
      </c>
      <c r="Y626" t="s">
        <v>74</v>
      </c>
      <c r="Z626" t="s">
        <v>45</v>
      </c>
      <c r="AF626">
        <v>2</v>
      </c>
      <c r="AH626" t="s">
        <v>75</v>
      </c>
      <c r="AI626">
        <v>1</v>
      </c>
      <c r="AJ626" s="15"/>
      <c r="AN626"/>
      <c r="AO626"/>
      <c r="AP626"/>
      <c r="AQ626"/>
      <c r="AR626" s="18" t="str">
        <f>IFERROR(VLOOKUP(K626,[1]POP!$F:$J,1,0),M626)</f>
        <v>MADA</v>
      </c>
      <c r="AS626" s="18" t="str">
        <f t="shared" si="46"/>
        <v>TCHIKA</v>
      </c>
      <c r="AT626" s="19">
        <f t="shared" si="49"/>
        <v>2</v>
      </c>
      <c r="AU626" s="19">
        <f t="shared" ca="1" si="48"/>
        <v>2</v>
      </c>
    </row>
    <row r="627" spans="1:47" x14ac:dyDescent="0.3">
      <c r="A627" t="s">
        <v>932</v>
      </c>
      <c r="B627" t="str">
        <f t="shared" si="45"/>
        <v>S29_2026</v>
      </c>
      <c r="C627" t="str">
        <f t="shared" si="47"/>
        <v>S29_2026</v>
      </c>
      <c r="F627">
        <v>20</v>
      </c>
      <c r="G627" t="s">
        <v>40</v>
      </c>
      <c r="I627" t="s">
        <v>505</v>
      </c>
      <c r="J627" t="s">
        <v>166</v>
      </c>
      <c r="K627" t="s">
        <v>124</v>
      </c>
      <c r="L627" t="s">
        <v>166</v>
      </c>
      <c r="M627" t="s">
        <v>124</v>
      </c>
      <c r="N627" t="s">
        <v>45</v>
      </c>
      <c r="O627" t="s">
        <v>45</v>
      </c>
      <c r="P627">
        <v>1</v>
      </c>
      <c r="Q627" s="7">
        <v>46216</v>
      </c>
      <c r="R627" s="7">
        <v>46216</v>
      </c>
      <c r="S627" s="7">
        <v>46216</v>
      </c>
      <c r="T627" t="s">
        <v>45</v>
      </c>
      <c r="V627" t="s">
        <v>175</v>
      </c>
      <c r="W627" t="s">
        <v>45</v>
      </c>
      <c r="X627" t="s">
        <v>74</v>
      </c>
      <c r="Y627" t="s">
        <v>74</v>
      </c>
      <c r="Z627" t="s">
        <v>45</v>
      </c>
      <c r="AF627">
        <v>2</v>
      </c>
      <c r="AH627" t="s">
        <v>75</v>
      </c>
      <c r="AI627">
        <v>1</v>
      </c>
      <c r="AJ627" s="15"/>
      <c r="AN627"/>
      <c r="AO627"/>
      <c r="AP627"/>
      <c r="AQ627"/>
      <c r="AR627" s="18" t="str">
        <f>IFERROR(VLOOKUP(K627,[1]POP!$F:$J,1,0),M627)</f>
        <v>MADA</v>
      </c>
      <c r="AS627" s="18" t="str">
        <f t="shared" si="46"/>
        <v>BARGARAM</v>
      </c>
      <c r="AT627" s="19">
        <f t="shared" si="49"/>
        <v>2</v>
      </c>
      <c r="AU627" s="19">
        <f t="shared" ca="1" si="48"/>
        <v>2</v>
      </c>
    </row>
    <row r="628" spans="1:47" x14ac:dyDescent="0.3">
      <c r="A628" t="s">
        <v>933</v>
      </c>
      <c r="B628" t="str">
        <f t="shared" si="45"/>
        <v>S29_2026</v>
      </c>
      <c r="C628" t="str">
        <f t="shared" si="47"/>
        <v>S29_2026</v>
      </c>
      <c r="F628">
        <v>25</v>
      </c>
      <c r="G628" t="s">
        <v>55</v>
      </c>
      <c r="I628" t="s">
        <v>587</v>
      </c>
      <c r="J628" t="s">
        <v>166</v>
      </c>
      <c r="K628" t="s">
        <v>124</v>
      </c>
      <c r="L628" t="s">
        <v>166</v>
      </c>
      <c r="M628" t="s">
        <v>124</v>
      </c>
      <c r="N628" t="s">
        <v>45</v>
      </c>
      <c r="O628" t="s">
        <v>45</v>
      </c>
      <c r="P628">
        <v>1</v>
      </c>
      <c r="Q628" s="7">
        <v>46216</v>
      </c>
      <c r="R628" s="7">
        <v>46216</v>
      </c>
      <c r="S628" s="7">
        <v>46216</v>
      </c>
      <c r="T628" t="s">
        <v>45</v>
      </c>
      <c r="V628" t="s">
        <v>175</v>
      </c>
      <c r="W628" t="s">
        <v>45</v>
      </c>
      <c r="X628" t="s">
        <v>74</v>
      </c>
      <c r="Y628" t="s">
        <v>74</v>
      </c>
      <c r="Z628" t="s">
        <v>45</v>
      </c>
      <c r="AF628">
        <v>2</v>
      </c>
      <c r="AH628" t="s">
        <v>75</v>
      </c>
      <c r="AI628">
        <v>1</v>
      </c>
      <c r="AJ628" s="15"/>
      <c r="AN628"/>
      <c r="AO628"/>
      <c r="AP628"/>
      <c r="AQ628"/>
      <c r="AR628" s="18" t="str">
        <f>IFERROR(VLOOKUP(K628,[1]POP!$F:$J,1,0),M628)</f>
        <v>MADA</v>
      </c>
      <c r="AS628" s="18" t="str">
        <f t="shared" si="46"/>
        <v>BARGARAM</v>
      </c>
      <c r="AT628" s="19">
        <f t="shared" si="49"/>
        <v>2</v>
      </c>
      <c r="AU628" s="19">
        <f t="shared" ca="1" si="48"/>
        <v>2</v>
      </c>
    </row>
    <row r="629" spans="1:47" x14ac:dyDescent="0.3">
      <c r="A629" t="s">
        <v>934</v>
      </c>
      <c r="B629" t="str">
        <f t="shared" si="45"/>
        <v>S29_2026</v>
      </c>
      <c r="C629" t="str">
        <f t="shared" si="47"/>
        <v>S29_2026</v>
      </c>
      <c r="F629">
        <v>8</v>
      </c>
      <c r="G629" t="s">
        <v>55</v>
      </c>
      <c r="I629" t="s">
        <v>935</v>
      </c>
      <c r="J629" t="s">
        <v>166</v>
      </c>
      <c r="K629" t="s">
        <v>124</v>
      </c>
      <c r="L629" t="s">
        <v>166</v>
      </c>
      <c r="M629" t="s">
        <v>124</v>
      </c>
      <c r="N629" t="s">
        <v>45</v>
      </c>
      <c r="O629" t="s">
        <v>45</v>
      </c>
      <c r="P629">
        <v>1</v>
      </c>
      <c r="Q629" s="7">
        <v>46216</v>
      </c>
      <c r="R629" s="7">
        <v>46216</v>
      </c>
      <c r="S629" s="7">
        <v>46216</v>
      </c>
      <c r="T629" t="s">
        <v>45</v>
      </c>
      <c r="V629" t="s">
        <v>175</v>
      </c>
      <c r="W629" t="s">
        <v>45</v>
      </c>
      <c r="X629" t="s">
        <v>74</v>
      </c>
      <c r="Y629" t="s">
        <v>74</v>
      </c>
      <c r="Z629" t="s">
        <v>45</v>
      </c>
      <c r="AF629">
        <v>2</v>
      </c>
      <c r="AH629" t="s">
        <v>75</v>
      </c>
      <c r="AI629">
        <v>1</v>
      </c>
      <c r="AJ629" s="15"/>
      <c r="AN629"/>
      <c r="AO629"/>
      <c r="AP629"/>
      <c r="AQ629"/>
      <c r="AR629" s="18" t="str">
        <f>IFERROR(VLOOKUP(K629,[1]POP!$F:$J,1,0),M629)</f>
        <v>MADA</v>
      </c>
      <c r="AS629" s="18" t="str">
        <f t="shared" si="46"/>
        <v>BARGARAM</v>
      </c>
      <c r="AT629" s="19">
        <f t="shared" si="49"/>
        <v>2</v>
      </c>
      <c r="AU629" s="19">
        <f t="shared" ca="1" si="48"/>
        <v>2</v>
      </c>
    </row>
    <row r="630" spans="1:47" x14ac:dyDescent="0.3">
      <c r="A630" t="s">
        <v>936</v>
      </c>
      <c r="B630" t="str">
        <f t="shared" si="45"/>
        <v>S29_2026</v>
      </c>
      <c r="C630" t="str">
        <f t="shared" si="47"/>
        <v>S29_2026</v>
      </c>
      <c r="F630">
        <v>4</v>
      </c>
      <c r="G630" t="s">
        <v>55</v>
      </c>
      <c r="I630" t="s">
        <v>234</v>
      </c>
      <c r="J630" t="s">
        <v>166</v>
      </c>
      <c r="K630" t="s">
        <v>124</v>
      </c>
      <c r="L630" t="s">
        <v>166</v>
      </c>
      <c r="M630" t="s">
        <v>124</v>
      </c>
      <c r="N630" t="s">
        <v>45</v>
      </c>
      <c r="O630" t="s">
        <v>45</v>
      </c>
      <c r="P630">
        <v>1</v>
      </c>
      <c r="Q630" s="7">
        <v>46217</v>
      </c>
      <c r="R630" s="7">
        <v>46217</v>
      </c>
      <c r="S630" s="7">
        <v>46217</v>
      </c>
      <c r="T630" t="s">
        <v>45</v>
      </c>
      <c r="V630" t="s">
        <v>167</v>
      </c>
      <c r="W630" t="s">
        <v>45</v>
      </c>
      <c r="X630" t="s">
        <v>74</v>
      </c>
      <c r="Y630" t="s">
        <v>74</v>
      </c>
      <c r="Z630" t="s">
        <v>45</v>
      </c>
      <c r="AF630">
        <v>2</v>
      </c>
      <c r="AH630" t="s">
        <v>75</v>
      </c>
      <c r="AI630">
        <v>1</v>
      </c>
      <c r="AJ630" s="15"/>
      <c r="AN630"/>
      <c r="AO630"/>
      <c r="AP630"/>
      <c r="AQ630"/>
      <c r="AR630" s="18" t="str">
        <f>IFERROR(VLOOKUP(K630,[1]POP!$F:$J,1,0),M630)</f>
        <v>MADA</v>
      </c>
      <c r="AS630" s="18" t="str">
        <f t="shared" si="46"/>
        <v>BARGARAM</v>
      </c>
      <c r="AT630" s="19">
        <f t="shared" si="49"/>
        <v>2</v>
      </c>
      <c r="AU630" s="19">
        <f t="shared" ca="1" si="48"/>
        <v>2</v>
      </c>
    </row>
    <row r="631" spans="1:47" x14ac:dyDescent="0.3">
      <c r="A631" t="s">
        <v>937</v>
      </c>
      <c r="B631" t="str">
        <f t="shared" si="45"/>
        <v>S29_2026</v>
      </c>
      <c r="C631" t="str">
        <f t="shared" si="47"/>
        <v>S29_2026</v>
      </c>
      <c r="F631">
        <v>10</v>
      </c>
      <c r="G631" t="s">
        <v>55</v>
      </c>
      <c r="I631" t="s">
        <v>935</v>
      </c>
      <c r="J631" t="s">
        <v>166</v>
      </c>
      <c r="K631" t="s">
        <v>124</v>
      </c>
      <c r="L631" t="s">
        <v>166</v>
      </c>
      <c r="M631" t="s">
        <v>124</v>
      </c>
      <c r="N631" t="s">
        <v>45</v>
      </c>
      <c r="O631" t="s">
        <v>45</v>
      </c>
      <c r="P631">
        <v>1</v>
      </c>
      <c r="Q631" s="7">
        <v>46217</v>
      </c>
      <c r="R631" s="7">
        <v>46217</v>
      </c>
      <c r="S631" s="7">
        <v>46217</v>
      </c>
      <c r="T631" t="s">
        <v>45</v>
      </c>
      <c r="V631" t="s">
        <v>167</v>
      </c>
      <c r="W631" t="s">
        <v>45</v>
      </c>
      <c r="X631" t="s">
        <v>74</v>
      </c>
      <c r="Y631" t="s">
        <v>74</v>
      </c>
      <c r="Z631" t="s">
        <v>45</v>
      </c>
      <c r="AF631">
        <v>2</v>
      </c>
      <c r="AH631" t="s">
        <v>75</v>
      </c>
      <c r="AI631">
        <v>1</v>
      </c>
      <c r="AJ631" s="15"/>
      <c r="AN631"/>
      <c r="AO631"/>
      <c r="AP631"/>
      <c r="AQ631"/>
      <c r="AR631" s="18" t="str">
        <f>IFERROR(VLOOKUP(K631,[1]POP!$F:$J,1,0),M631)</f>
        <v>MADA</v>
      </c>
      <c r="AS631" s="18" t="str">
        <f t="shared" si="46"/>
        <v>BARGARAM</v>
      </c>
      <c r="AT631" s="19">
        <f t="shared" si="49"/>
        <v>2</v>
      </c>
      <c r="AU631" s="19">
        <f t="shared" ca="1" si="48"/>
        <v>2</v>
      </c>
    </row>
    <row r="632" spans="1:47" x14ac:dyDescent="0.3">
      <c r="A632" t="s">
        <v>938</v>
      </c>
      <c r="B632" t="str">
        <f t="shared" si="45"/>
        <v>S29_2026</v>
      </c>
      <c r="C632" t="str">
        <f t="shared" si="47"/>
        <v>S29_2026</v>
      </c>
      <c r="F632">
        <v>2</v>
      </c>
      <c r="G632" t="s">
        <v>40</v>
      </c>
      <c r="I632" t="s">
        <v>234</v>
      </c>
      <c r="J632" t="s">
        <v>166</v>
      </c>
      <c r="K632" t="s">
        <v>124</v>
      </c>
      <c r="L632" t="s">
        <v>166</v>
      </c>
      <c r="M632" t="s">
        <v>124</v>
      </c>
      <c r="N632" t="s">
        <v>45</v>
      </c>
      <c r="O632" t="s">
        <v>45</v>
      </c>
      <c r="P632">
        <v>1</v>
      </c>
      <c r="Q632" s="7">
        <v>46217</v>
      </c>
      <c r="R632" s="7">
        <v>46217</v>
      </c>
      <c r="S632" s="7">
        <v>46217</v>
      </c>
      <c r="T632" t="s">
        <v>45</v>
      </c>
      <c r="V632" t="s">
        <v>167</v>
      </c>
      <c r="W632" t="s">
        <v>45</v>
      </c>
      <c r="X632" t="s">
        <v>74</v>
      </c>
      <c r="Y632" t="s">
        <v>74</v>
      </c>
      <c r="Z632" t="s">
        <v>45</v>
      </c>
      <c r="AF632">
        <v>2</v>
      </c>
      <c r="AH632" t="s">
        <v>75</v>
      </c>
      <c r="AI632">
        <v>1</v>
      </c>
      <c r="AJ632" s="15"/>
      <c r="AN632"/>
      <c r="AO632"/>
      <c r="AP632"/>
      <c r="AQ632"/>
      <c r="AR632" s="18" t="str">
        <f>IFERROR(VLOOKUP(K632,[1]POP!$F:$J,1,0),M632)</f>
        <v>MADA</v>
      </c>
      <c r="AS632" s="18" t="str">
        <f t="shared" si="46"/>
        <v>BARGARAM</v>
      </c>
      <c r="AT632" s="19">
        <f t="shared" si="49"/>
        <v>2</v>
      </c>
      <c r="AU632" s="19">
        <f t="shared" ca="1" si="48"/>
        <v>2</v>
      </c>
    </row>
    <row r="633" spans="1:47" x14ac:dyDescent="0.3">
      <c r="A633" t="s">
        <v>939</v>
      </c>
      <c r="B633" t="str">
        <f t="shared" si="45"/>
        <v>S29_2026</v>
      </c>
      <c r="C633" t="str">
        <f t="shared" si="47"/>
        <v>S29_2026</v>
      </c>
      <c r="F633">
        <v>2</v>
      </c>
      <c r="G633" t="s">
        <v>55</v>
      </c>
      <c r="I633" t="s">
        <v>507</v>
      </c>
      <c r="J633" t="s">
        <v>166</v>
      </c>
      <c r="K633" t="s">
        <v>124</v>
      </c>
      <c r="L633" t="s">
        <v>166</v>
      </c>
      <c r="M633" t="s">
        <v>124</v>
      </c>
      <c r="N633" t="s">
        <v>45</v>
      </c>
      <c r="O633" t="s">
        <v>45</v>
      </c>
      <c r="P633">
        <v>1</v>
      </c>
      <c r="Q633" s="7">
        <v>46217</v>
      </c>
      <c r="R633" s="7">
        <v>46217</v>
      </c>
      <c r="S633" s="7">
        <v>46217</v>
      </c>
      <c r="T633" t="s">
        <v>45</v>
      </c>
      <c r="V633" t="s">
        <v>167</v>
      </c>
      <c r="W633" t="s">
        <v>45</v>
      </c>
      <c r="X633" t="s">
        <v>74</v>
      </c>
      <c r="Y633" t="s">
        <v>74</v>
      </c>
      <c r="Z633" t="s">
        <v>45</v>
      </c>
      <c r="AF633">
        <v>2</v>
      </c>
      <c r="AH633" t="s">
        <v>75</v>
      </c>
      <c r="AI633">
        <v>1</v>
      </c>
      <c r="AJ633" s="15"/>
      <c r="AN633"/>
      <c r="AO633"/>
      <c r="AP633"/>
      <c r="AQ633"/>
      <c r="AR633" s="18" t="str">
        <f>IFERROR(VLOOKUP(K633,[1]POP!$F:$J,1,0),M633)</f>
        <v>MADA</v>
      </c>
      <c r="AS633" s="18" t="str">
        <f t="shared" si="46"/>
        <v>BARGARAM</v>
      </c>
      <c r="AT633" s="19">
        <f t="shared" si="49"/>
        <v>2</v>
      </c>
      <c r="AU633" s="19">
        <f t="shared" ca="1" si="48"/>
        <v>2</v>
      </c>
    </row>
    <row r="634" spans="1:47" x14ac:dyDescent="0.3">
      <c r="A634" t="s">
        <v>940</v>
      </c>
      <c r="B634" t="str">
        <f t="shared" si="45"/>
        <v>S29_2026</v>
      </c>
      <c r="C634" t="str">
        <f t="shared" si="47"/>
        <v>S29_2026</v>
      </c>
      <c r="F634">
        <v>45</v>
      </c>
      <c r="G634" t="s">
        <v>55</v>
      </c>
      <c r="I634" t="s">
        <v>941</v>
      </c>
      <c r="J634" t="s">
        <v>166</v>
      </c>
      <c r="K634" t="s">
        <v>124</v>
      </c>
      <c r="L634" t="s">
        <v>166</v>
      </c>
      <c r="M634" t="s">
        <v>124</v>
      </c>
      <c r="N634" t="s">
        <v>45</v>
      </c>
      <c r="O634" t="s">
        <v>45</v>
      </c>
      <c r="P634">
        <v>1</v>
      </c>
      <c r="Q634" s="7">
        <v>46217</v>
      </c>
      <c r="R634" s="7">
        <v>46217</v>
      </c>
      <c r="S634" s="7">
        <v>46217</v>
      </c>
      <c r="T634" t="s">
        <v>45</v>
      </c>
      <c r="V634" t="s">
        <v>167</v>
      </c>
      <c r="W634" t="s">
        <v>45</v>
      </c>
      <c r="X634" t="s">
        <v>74</v>
      </c>
      <c r="Y634" t="s">
        <v>74</v>
      </c>
      <c r="Z634" t="s">
        <v>45</v>
      </c>
      <c r="AF634">
        <v>2</v>
      </c>
      <c r="AH634" t="s">
        <v>75</v>
      </c>
      <c r="AI634">
        <v>1</v>
      </c>
      <c r="AJ634" s="15"/>
      <c r="AN634"/>
      <c r="AO634"/>
      <c r="AP634"/>
      <c r="AQ634"/>
      <c r="AR634" s="18" t="str">
        <f>IFERROR(VLOOKUP(K634,[1]POP!$F:$J,1,0),M634)</f>
        <v>MADA</v>
      </c>
      <c r="AS634" s="18" t="str">
        <f t="shared" si="46"/>
        <v>BARGARAM</v>
      </c>
      <c r="AT634" s="19">
        <f t="shared" si="49"/>
        <v>2</v>
      </c>
      <c r="AU634" s="19">
        <f t="shared" ca="1" si="48"/>
        <v>2</v>
      </c>
    </row>
    <row r="635" spans="1:47" x14ac:dyDescent="0.3">
      <c r="A635" t="s">
        <v>942</v>
      </c>
      <c r="B635" t="str">
        <f t="shared" si="45"/>
        <v>S29_2026</v>
      </c>
      <c r="C635" t="str">
        <f t="shared" si="47"/>
        <v>S29_2026</v>
      </c>
      <c r="F635">
        <v>16</v>
      </c>
      <c r="G635" t="s">
        <v>55</v>
      </c>
      <c r="I635" t="s">
        <v>234</v>
      </c>
      <c r="J635" t="s">
        <v>166</v>
      </c>
      <c r="K635" t="s">
        <v>124</v>
      </c>
      <c r="L635" t="s">
        <v>166</v>
      </c>
      <c r="M635" t="s">
        <v>124</v>
      </c>
      <c r="N635" t="s">
        <v>45</v>
      </c>
      <c r="O635" t="s">
        <v>45</v>
      </c>
      <c r="P635">
        <v>1</v>
      </c>
      <c r="Q635" s="7">
        <v>46217</v>
      </c>
      <c r="R635" s="7">
        <v>46217</v>
      </c>
      <c r="S635" s="7">
        <v>46217</v>
      </c>
      <c r="T635" t="s">
        <v>45</v>
      </c>
      <c r="V635" t="s">
        <v>167</v>
      </c>
      <c r="W635" t="s">
        <v>45</v>
      </c>
      <c r="X635" t="s">
        <v>74</v>
      </c>
      <c r="Y635" t="s">
        <v>74</v>
      </c>
      <c r="Z635" t="s">
        <v>45</v>
      </c>
      <c r="AF635">
        <v>2</v>
      </c>
      <c r="AH635" t="s">
        <v>75</v>
      </c>
      <c r="AI635">
        <v>1</v>
      </c>
      <c r="AJ635" s="15"/>
      <c r="AN635"/>
      <c r="AO635"/>
      <c r="AP635"/>
      <c r="AQ635"/>
      <c r="AR635" s="18" t="str">
        <f>IFERROR(VLOOKUP(K635,[1]POP!$F:$J,1,0),M635)</f>
        <v>MADA</v>
      </c>
      <c r="AS635" s="18" t="str">
        <f t="shared" si="46"/>
        <v>BARGARAM</v>
      </c>
      <c r="AT635" s="19">
        <f t="shared" si="49"/>
        <v>2</v>
      </c>
      <c r="AU635" s="19">
        <f t="shared" ca="1" si="48"/>
        <v>2</v>
      </c>
    </row>
    <row r="636" spans="1:47" x14ac:dyDescent="0.3">
      <c r="A636" t="s">
        <v>943</v>
      </c>
      <c r="B636" t="str">
        <f t="shared" si="45"/>
        <v>S29_2026</v>
      </c>
      <c r="C636" t="str">
        <f t="shared" si="47"/>
        <v>S29_2026</v>
      </c>
      <c r="F636">
        <v>39</v>
      </c>
      <c r="G636" t="s">
        <v>55</v>
      </c>
      <c r="I636" t="s">
        <v>234</v>
      </c>
      <c r="J636" t="s">
        <v>166</v>
      </c>
      <c r="K636" t="s">
        <v>124</v>
      </c>
      <c r="L636" t="s">
        <v>166</v>
      </c>
      <c r="M636" t="s">
        <v>124</v>
      </c>
      <c r="N636" t="s">
        <v>45</v>
      </c>
      <c r="O636" t="s">
        <v>45</v>
      </c>
      <c r="P636">
        <v>1</v>
      </c>
      <c r="Q636" s="7">
        <v>46217</v>
      </c>
      <c r="R636" s="7">
        <v>46217</v>
      </c>
      <c r="S636" s="7">
        <v>46217</v>
      </c>
      <c r="T636" t="s">
        <v>45</v>
      </c>
      <c r="V636" t="s">
        <v>167</v>
      </c>
      <c r="W636" t="s">
        <v>45</v>
      </c>
      <c r="X636" t="s">
        <v>74</v>
      </c>
      <c r="Y636" t="s">
        <v>74</v>
      </c>
      <c r="Z636" t="s">
        <v>45</v>
      </c>
      <c r="AF636">
        <v>2</v>
      </c>
      <c r="AH636" t="s">
        <v>75</v>
      </c>
      <c r="AI636">
        <v>1</v>
      </c>
      <c r="AJ636" s="15"/>
      <c r="AN636"/>
      <c r="AO636"/>
      <c r="AP636"/>
      <c r="AQ636"/>
      <c r="AR636" s="18" t="str">
        <f>IFERROR(VLOOKUP(K636,[1]POP!$F:$J,1,0),M636)</f>
        <v>MADA</v>
      </c>
      <c r="AS636" s="18" t="str">
        <f t="shared" si="46"/>
        <v>BARGARAM</v>
      </c>
      <c r="AT636" s="19">
        <f t="shared" si="49"/>
        <v>2</v>
      </c>
      <c r="AU636" s="19">
        <f t="shared" ca="1" si="48"/>
        <v>2</v>
      </c>
    </row>
    <row r="637" spans="1:47" x14ac:dyDescent="0.3">
      <c r="A637" t="s">
        <v>944</v>
      </c>
      <c r="B637" t="str">
        <f t="shared" si="45"/>
        <v>S29_2026</v>
      </c>
      <c r="C637" t="str">
        <f t="shared" si="47"/>
        <v>S29_2026</v>
      </c>
      <c r="F637">
        <v>23</v>
      </c>
      <c r="G637" t="s">
        <v>40</v>
      </c>
      <c r="I637" t="s">
        <v>945</v>
      </c>
      <c r="J637" t="s">
        <v>166</v>
      </c>
      <c r="K637" t="s">
        <v>124</v>
      </c>
      <c r="L637" t="s">
        <v>166</v>
      </c>
      <c r="M637" t="s">
        <v>124</v>
      </c>
      <c r="N637" t="s">
        <v>45</v>
      </c>
      <c r="O637" t="s">
        <v>45</v>
      </c>
      <c r="P637">
        <v>1</v>
      </c>
      <c r="Q637" s="7">
        <v>46217</v>
      </c>
      <c r="R637" s="7">
        <v>46217</v>
      </c>
      <c r="S637" s="7">
        <v>46217</v>
      </c>
      <c r="T637" t="s">
        <v>45</v>
      </c>
      <c r="V637" t="s">
        <v>167</v>
      </c>
      <c r="W637" t="s">
        <v>45</v>
      </c>
      <c r="X637" t="s">
        <v>74</v>
      </c>
      <c r="Y637" t="s">
        <v>74</v>
      </c>
      <c r="Z637" t="s">
        <v>45</v>
      </c>
      <c r="AF637">
        <v>2</v>
      </c>
      <c r="AH637" t="s">
        <v>75</v>
      </c>
      <c r="AI637">
        <v>1</v>
      </c>
      <c r="AJ637" s="15"/>
      <c r="AN637"/>
      <c r="AO637"/>
      <c r="AP637"/>
      <c r="AQ637"/>
      <c r="AR637" s="18" t="str">
        <f>IFERROR(VLOOKUP(K637,[1]POP!$F:$J,1,0),M637)</f>
        <v>MADA</v>
      </c>
      <c r="AS637" s="18" t="str">
        <f t="shared" si="46"/>
        <v>BARGARAM</v>
      </c>
      <c r="AT637" s="19">
        <f t="shared" si="49"/>
        <v>2</v>
      </c>
      <c r="AU637" s="19">
        <f t="shared" ca="1" si="48"/>
        <v>2</v>
      </c>
    </row>
    <row r="638" spans="1:47" x14ac:dyDescent="0.3">
      <c r="A638" t="s">
        <v>946</v>
      </c>
      <c r="B638" t="str">
        <f t="shared" si="45"/>
        <v>S29_2026</v>
      </c>
      <c r="C638" t="str">
        <f t="shared" si="47"/>
        <v>S29_2026</v>
      </c>
      <c r="F638">
        <v>15</v>
      </c>
      <c r="G638" t="s">
        <v>40</v>
      </c>
      <c r="I638" t="s">
        <v>945</v>
      </c>
      <c r="J638" t="s">
        <v>166</v>
      </c>
      <c r="K638" t="s">
        <v>124</v>
      </c>
      <c r="L638" t="s">
        <v>166</v>
      </c>
      <c r="M638" t="s">
        <v>124</v>
      </c>
      <c r="N638" t="s">
        <v>45</v>
      </c>
      <c r="O638" t="s">
        <v>45</v>
      </c>
      <c r="P638">
        <v>1</v>
      </c>
      <c r="Q638" s="7">
        <v>46217</v>
      </c>
      <c r="R638" s="7">
        <v>46217</v>
      </c>
      <c r="S638" s="7">
        <v>46217</v>
      </c>
      <c r="T638" t="s">
        <v>45</v>
      </c>
      <c r="V638" t="s">
        <v>167</v>
      </c>
      <c r="W638" t="s">
        <v>45</v>
      </c>
      <c r="X638" t="s">
        <v>74</v>
      </c>
      <c r="Y638" t="s">
        <v>74</v>
      </c>
      <c r="Z638" t="s">
        <v>45</v>
      </c>
      <c r="AF638">
        <v>2</v>
      </c>
      <c r="AH638" t="s">
        <v>75</v>
      </c>
      <c r="AI638">
        <v>1</v>
      </c>
      <c r="AJ638" s="15"/>
      <c r="AN638"/>
      <c r="AO638"/>
      <c r="AP638"/>
      <c r="AQ638"/>
      <c r="AR638" s="18" t="str">
        <f>IFERROR(VLOOKUP(K638,[1]POP!$F:$J,1,0),M638)</f>
        <v>MADA</v>
      </c>
      <c r="AS638" s="18" t="str">
        <f t="shared" si="46"/>
        <v>BARGARAM</v>
      </c>
      <c r="AT638" s="19">
        <f t="shared" si="49"/>
        <v>2</v>
      </c>
      <c r="AU638" s="19">
        <f t="shared" ca="1" si="48"/>
        <v>2</v>
      </c>
    </row>
    <row r="639" spans="1:47" x14ac:dyDescent="0.3">
      <c r="A639" t="s">
        <v>947</v>
      </c>
      <c r="B639" t="str">
        <f t="shared" si="45"/>
        <v>S29_2026</v>
      </c>
      <c r="C639" t="str">
        <f t="shared" si="47"/>
        <v>S29_2026</v>
      </c>
      <c r="F639">
        <v>60</v>
      </c>
      <c r="G639" t="s">
        <v>55</v>
      </c>
      <c r="I639" t="s">
        <v>941</v>
      </c>
      <c r="J639" t="s">
        <v>166</v>
      </c>
      <c r="K639" t="s">
        <v>124</v>
      </c>
      <c r="L639" t="s">
        <v>166</v>
      </c>
      <c r="M639" t="s">
        <v>124</v>
      </c>
      <c r="N639" t="s">
        <v>45</v>
      </c>
      <c r="O639" t="s">
        <v>45</v>
      </c>
      <c r="P639">
        <v>1</v>
      </c>
      <c r="Q639" s="7">
        <v>46217</v>
      </c>
      <c r="R639" s="7">
        <v>46217</v>
      </c>
      <c r="S639" s="7">
        <v>46217</v>
      </c>
      <c r="T639" t="s">
        <v>45</v>
      </c>
      <c r="V639" t="s">
        <v>167</v>
      </c>
      <c r="W639" t="s">
        <v>45</v>
      </c>
      <c r="X639" t="s">
        <v>74</v>
      </c>
      <c r="Y639" t="s">
        <v>74</v>
      </c>
      <c r="Z639" t="s">
        <v>45</v>
      </c>
      <c r="AF639">
        <v>2</v>
      </c>
      <c r="AH639" t="s">
        <v>75</v>
      </c>
      <c r="AI639">
        <v>1</v>
      </c>
      <c r="AJ639" s="15"/>
      <c r="AN639"/>
      <c r="AO639"/>
      <c r="AP639"/>
      <c r="AQ639"/>
      <c r="AR639" s="18" t="str">
        <f>IFERROR(VLOOKUP(K639,[1]POP!$F:$J,1,0),M639)</f>
        <v>MADA</v>
      </c>
      <c r="AS639" s="18" t="str">
        <f t="shared" si="46"/>
        <v>BARGARAM</v>
      </c>
      <c r="AT639" s="19">
        <f t="shared" si="49"/>
        <v>2</v>
      </c>
      <c r="AU639" s="19">
        <f t="shared" ca="1" si="48"/>
        <v>2</v>
      </c>
    </row>
    <row r="640" spans="1:47" x14ac:dyDescent="0.3">
      <c r="A640" t="s">
        <v>948</v>
      </c>
      <c r="B640" t="str">
        <f t="shared" si="45"/>
        <v>S29_2026</v>
      </c>
      <c r="C640" t="str">
        <f t="shared" si="47"/>
        <v>S29_2026</v>
      </c>
      <c r="F640">
        <v>10</v>
      </c>
      <c r="G640" t="s">
        <v>55</v>
      </c>
      <c r="I640" t="s">
        <v>234</v>
      </c>
      <c r="J640" t="s">
        <v>166</v>
      </c>
      <c r="K640" t="s">
        <v>124</v>
      </c>
      <c r="L640" t="s">
        <v>166</v>
      </c>
      <c r="M640" t="s">
        <v>124</v>
      </c>
      <c r="N640" t="s">
        <v>45</v>
      </c>
      <c r="O640" t="s">
        <v>45</v>
      </c>
      <c r="P640">
        <v>1</v>
      </c>
      <c r="Q640" s="7">
        <v>46217</v>
      </c>
      <c r="R640" s="7">
        <v>46217</v>
      </c>
      <c r="S640" s="7">
        <v>46217</v>
      </c>
      <c r="T640" t="s">
        <v>45</v>
      </c>
      <c r="V640" t="s">
        <v>167</v>
      </c>
      <c r="W640" t="s">
        <v>45</v>
      </c>
      <c r="X640" t="s">
        <v>74</v>
      </c>
      <c r="Y640" t="s">
        <v>74</v>
      </c>
      <c r="Z640" t="s">
        <v>45</v>
      </c>
      <c r="AF640">
        <v>2</v>
      </c>
      <c r="AH640" t="s">
        <v>75</v>
      </c>
      <c r="AI640">
        <v>1</v>
      </c>
      <c r="AJ640" s="15"/>
      <c r="AN640"/>
      <c r="AO640"/>
      <c r="AP640"/>
      <c r="AQ640"/>
      <c r="AR640" s="18" t="str">
        <f>IFERROR(VLOOKUP(K640,[1]POP!$F:$J,1,0),M640)</f>
        <v>MADA</v>
      </c>
      <c r="AS640" s="18" t="str">
        <f t="shared" si="46"/>
        <v>BARGARAM</v>
      </c>
      <c r="AT640" s="19">
        <f t="shared" si="49"/>
        <v>2</v>
      </c>
      <c r="AU640" s="19">
        <f t="shared" ca="1" si="48"/>
        <v>2</v>
      </c>
    </row>
    <row r="641" spans="1:47" x14ac:dyDescent="0.3">
      <c r="A641" t="s">
        <v>949</v>
      </c>
      <c r="B641" t="str">
        <f t="shared" si="45"/>
        <v>S29_2026</v>
      </c>
      <c r="C641" t="str">
        <f t="shared" si="47"/>
        <v>S29_2026</v>
      </c>
      <c r="F641">
        <v>18</v>
      </c>
      <c r="G641" t="s">
        <v>55</v>
      </c>
      <c r="I641" t="s">
        <v>234</v>
      </c>
      <c r="J641" t="s">
        <v>166</v>
      </c>
      <c r="K641" t="s">
        <v>124</v>
      </c>
      <c r="L641" t="s">
        <v>166</v>
      </c>
      <c r="M641" t="s">
        <v>124</v>
      </c>
      <c r="N641" t="s">
        <v>45</v>
      </c>
      <c r="O641" t="s">
        <v>45</v>
      </c>
      <c r="P641">
        <v>1</v>
      </c>
      <c r="Q641" s="7">
        <v>46217</v>
      </c>
      <c r="R641" s="7">
        <v>46217</v>
      </c>
      <c r="S641" s="7">
        <v>46217</v>
      </c>
      <c r="T641" t="s">
        <v>45</v>
      </c>
      <c r="V641" t="s">
        <v>167</v>
      </c>
      <c r="W641" t="s">
        <v>45</v>
      </c>
      <c r="X641" t="s">
        <v>74</v>
      </c>
      <c r="Y641" t="s">
        <v>74</v>
      </c>
      <c r="Z641" t="s">
        <v>45</v>
      </c>
      <c r="AF641">
        <v>2</v>
      </c>
      <c r="AH641" t="s">
        <v>75</v>
      </c>
      <c r="AI641">
        <v>1</v>
      </c>
      <c r="AJ641" s="15"/>
      <c r="AN641"/>
      <c r="AO641"/>
      <c r="AP641"/>
      <c r="AQ641"/>
      <c r="AR641" s="18" t="str">
        <f>IFERROR(VLOOKUP(K641,[1]POP!$F:$J,1,0),M641)</f>
        <v>MADA</v>
      </c>
      <c r="AS641" s="18" t="str">
        <f t="shared" si="46"/>
        <v>BARGARAM</v>
      </c>
      <c r="AT641" s="19">
        <f t="shared" si="49"/>
        <v>2</v>
      </c>
      <c r="AU641" s="19">
        <f t="shared" ca="1" si="48"/>
        <v>2</v>
      </c>
    </row>
    <row r="642" spans="1:47" x14ac:dyDescent="0.3">
      <c r="A642" t="s">
        <v>950</v>
      </c>
      <c r="B642" t="str">
        <f t="shared" ref="B642:B705" si="50">"S"&amp;(IF(_xlfn.ISOWEEKNUM(S642)&gt;9,_xlfn.ISOWEEKNUM(S642),_xlfn.CONCAT("0",_xlfn.ISOWEEKNUM(S642))))&amp;"_"&amp;(YEAR(S642+26-(_xlfn.ISOWEEKNUM(S642))))</f>
        <v>S29_2026</v>
      </c>
      <c r="C642" t="str">
        <f t="shared" si="47"/>
        <v>S29_2026</v>
      </c>
      <c r="F642">
        <v>13</v>
      </c>
      <c r="G642" t="s">
        <v>40</v>
      </c>
      <c r="I642" t="s">
        <v>172</v>
      </c>
      <c r="J642" t="s">
        <v>173</v>
      </c>
      <c r="K642" t="s">
        <v>124</v>
      </c>
      <c r="L642" t="s">
        <v>174</v>
      </c>
      <c r="M642" t="s">
        <v>124</v>
      </c>
      <c r="N642" t="s">
        <v>45</v>
      </c>
      <c r="O642" t="s">
        <v>45</v>
      </c>
      <c r="P642">
        <v>2</v>
      </c>
      <c r="Q642" s="7">
        <v>46217</v>
      </c>
      <c r="R642" s="7">
        <v>46218</v>
      </c>
      <c r="S642" s="7">
        <v>46218</v>
      </c>
      <c r="T642" t="s">
        <v>45</v>
      </c>
      <c r="V642" t="s">
        <v>175</v>
      </c>
      <c r="W642" t="s">
        <v>45</v>
      </c>
      <c r="X642" t="s">
        <v>45</v>
      </c>
      <c r="Y642" t="s">
        <v>45</v>
      </c>
      <c r="Z642" t="s">
        <v>45</v>
      </c>
      <c r="AF642">
        <v>2</v>
      </c>
      <c r="AH642" t="s">
        <v>75</v>
      </c>
      <c r="AI642">
        <v>1</v>
      </c>
      <c r="AJ642" s="15"/>
      <c r="AN642"/>
      <c r="AO642"/>
      <c r="AP642"/>
      <c r="AQ642"/>
      <c r="AR642" s="18" t="str">
        <f>IFERROR(VLOOKUP(K642,[1]POP!$F:$J,1,0),M642)</f>
        <v>MADA</v>
      </c>
      <c r="AS642" s="18" t="str">
        <f t="shared" ref="AS642:AS705" si="51">IF(AR642=K642,J642,L642)</f>
        <v>TCHIKA</v>
      </c>
      <c r="AT642" s="19">
        <f t="shared" si="49"/>
        <v>2</v>
      </c>
      <c r="AU642" s="19">
        <f t="shared" ca="1" si="48"/>
        <v>2</v>
      </c>
    </row>
    <row r="643" spans="1:47" x14ac:dyDescent="0.3">
      <c r="A643" t="s">
        <v>951</v>
      </c>
      <c r="B643" t="str">
        <f t="shared" si="50"/>
        <v>S29_2026</v>
      </c>
      <c r="C643" t="str">
        <f t="shared" ref="C643:C706" si="52">"S"&amp;(IF(_xlfn.ISOWEEKNUM(Q643)&gt;9,_xlfn.ISOWEEKNUM(Q643),_xlfn.CONCAT("0",_xlfn.ISOWEEKNUM(Q643))))&amp;"_"&amp;(YEAR(Q643+26-(_xlfn.ISOWEEKNUM(Q643))))</f>
        <v>S29_2026</v>
      </c>
      <c r="F643">
        <v>32</v>
      </c>
      <c r="G643" t="s">
        <v>40</v>
      </c>
      <c r="I643" t="s">
        <v>172</v>
      </c>
      <c r="J643" t="s">
        <v>173</v>
      </c>
      <c r="K643" t="s">
        <v>124</v>
      </c>
      <c r="L643" t="s">
        <v>174</v>
      </c>
      <c r="M643" t="s">
        <v>124</v>
      </c>
      <c r="N643" t="s">
        <v>45</v>
      </c>
      <c r="O643" t="s">
        <v>45</v>
      </c>
      <c r="P643">
        <v>3</v>
      </c>
      <c r="Q643" s="7">
        <v>46217</v>
      </c>
      <c r="R643" s="7">
        <v>46218</v>
      </c>
      <c r="S643" s="7">
        <v>46218</v>
      </c>
      <c r="T643" t="s">
        <v>45</v>
      </c>
      <c r="V643" t="s">
        <v>175</v>
      </c>
      <c r="W643" t="s">
        <v>45</v>
      </c>
      <c r="X643" t="s">
        <v>45</v>
      </c>
      <c r="Y643" t="s">
        <v>45</v>
      </c>
      <c r="Z643" t="s">
        <v>45</v>
      </c>
      <c r="AF643">
        <v>2</v>
      </c>
      <c r="AH643" t="s">
        <v>75</v>
      </c>
      <c r="AI643">
        <v>1</v>
      </c>
      <c r="AJ643" s="15"/>
      <c r="AN643"/>
      <c r="AO643"/>
      <c r="AP643"/>
      <c r="AQ643"/>
      <c r="AR643" s="18" t="str">
        <f>IFERROR(VLOOKUP(K643,[1]POP!$F:$J,1,0),M643)</f>
        <v>MADA</v>
      </c>
      <c r="AS643" s="18" t="str">
        <f t="shared" si="51"/>
        <v>TCHIKA</v>
      </c>
      <c r="AT643" s="19">
        <f t="shared" si="49"/>
        <v>2</v>
      </c>
      <c r="AU643" s="19">
        <f t="shared" ref="AU643:AU706" ca="1" si="53">IF((TODAY() - R643)&lt;=21,1,2)</f>
        <v>2</v>
      </c>
    </row>
    <row r="644" spans="1:47" x14ac:dyDescent="0.3">
      <c r="A644" t="s">
        <v>952</v>
      </c>
      <c r="B644" t="str">
        <f t="shared" si="50"/>
        <v>S29_2026</v>
      </c>
      <c r="C644" t="str">
        <f t="shared" si="52"/>
        <v>S29_2026</v>
      </c>
      <c r="F644">
        <v>3</v>
      </c>
      <c r="G644" t="s">
        <v>55</v>
      </c>
      <c r="I644" t="s">
        <v>173</v>
      </c>
      <c r="J644" t="s">
        <v>173</v>
      </c>
      <c r="K644" t="s">
        <v>124</v>
      </c>
      <c r="L644" t="s">
        <v>174</v>
      </c>
      <c r="M644" t="s">
        <v>124</v>
      </c>
      <c r="N644" t="s">
        <v>45</v>
      </c>
      <c r="O644" t="s">
        <v>45</v>
      </c>
      <c r="P644">
        <v>2</v>
      </c>
      <c r="Q644" s="7">
        <v>46217</v>
      </c>
      <c r="R644" s="7">
        <v>46218</v>
      </c>
      <c r="S644" s="7">
        <v>46218</v>
      </c>
      <c r="T644" t="s">
        <v>45</v>
      </c>
      <c r="V644" t="s">
        <v>175</v>
      </c>
      <c r="W644" t="s">
        <v>45</v>
      </c>
      <c r="X644" t="s">
        <v>45</v>
      </c>
      <c r="Y644" t="s">
        <v>45</v>
      </c>
      <c r="Z644" t="s">
        <v>45</v>
      </c>
      <c r="AF644">
        <v>2</v>
      </c>
      <c r="AH644" t="s">
        <v>75</v>
      </c>
      <c r="AI644">
        <v>1</v>
      </c>
      <c r="AJ644" s="15"/>
      <c r="AN644"/>
      <c r="AO644"/>
      <c r="AP644"/>
      <c r="AQ644"/>
      <c r="AR644" s="18" t="str">
        <f>IFERROR(VLOOKUP(K644,[1]POP!$F:$J,1,0),M644)</f>
        <v>MADA</v>
      </c>
      <c r="AS644" s="18" t="str">
        <f t="shared" si="51"/>
        <v>TCHIKA</v>
      </c>
      <c r="AT644" s="19">
        <f t="shared" ref="AT644:AT707" si="54">IF($AI:$AI=2,3,IF($AI:$AI=3,3,IF($AI:$AI=4,3,IF($AI:$AI=1,2,0))))</f>
        <v>2</v>
      </c>
      <c r="AU644" s="19">
        <f t="shared" ca="1" si="53"/>
        <v>2</v>
      </c>
    </row>
    <row r="645" spans="1:47" x14ac:dyDescent="0.3">
      <c r="A645" t="s">
        <v>953</v>
      </c>
      <c r="B645" t="str">
        <f t="shared" si="50"/>
        <v>S29_2026</v>
      </c>
      <c r="C645" t="str">
        <f t="shared" si="52"/>
        <v>S29_2026</v>
      </c>
      <c r="F645">
        <v>25</v>
      </c>
      <c r="G645" t="s">
        <v>40</v>
      </c>
      <c r="I645" t="s">
        <v>172</v>
      </c>
      <c r="J645" t="s">
        <v>173</v>
      </c>
      <c r="K645" t="s">
        <v>124</v>
      </c>
      <c r="L645" t="s">
        <v>174</v>
      </c>
      <c r="M645" t="s">
        <v>124</v>
      </c>
      <c r="N645" t="s">
        <v>45</v>
      </c>
      <c r="O645" t="s">
        <v>45</v>
      </c>
      <c r="P645">
        <v>2</v>
      </c>
      <c r="Q645" s="7">
        <v>46218</v>
      </c>
      <c r="R645" s="7">
        <v>46219</v>
      </c>
      <c r="S645" s="7">
        <v>46219</v>
      </c>
      <c r="T645" t="s">
        <v>45</v>
      </c>
      <c r="V645" t="s">
        <v>175</v>
      </c>
      <c r="W645" t="s">
        <v>45</v>
      </c>
      <c r="X645" t="s">
        <v>45</v>
      </c>
      <c r="Y645" t="s">
        <v>45</v>
      </c>
      <c r="Z645" t="s">
        <v>45</v>
      </c>
      <c r="AF645">
        <v>2</v>
      </c>
      <c r="AH645" t="s">
        <v>75</v>
      </c>
      <c r="AI645">
        <v>1</v>
      </c>
      <c r="AJ645" s="15"/>
      <c r="AN645"/>
      <c r="AO645"/>
      <c r="AP645"/>
      <c r="AQ645"/>
      <c r="AR645" s="18" t="str">
        <f>IFERROR(VLOOKUP(K645,[1]POP!$F:$J,1,0),M645)</f>
        <v>MADA</v>
      </c>
      <c r="AS645" s="18" t="str">
        <f t="shared" si="51"/>
        <v>TCHIKA</v>
      </c>
      <c r="AT645" s="19">
        <f t="shared" si="54"/>
        <v>2</v>
      </c>
      <c r="AU645" s="19">
        <f t="shared" ca="1" si="53"/>
        <v>2</v>
      </c>
    </row>
    <row r="646" spans="1:47" x14ac:dyDescent="0.3">
      <c r="A646" t="s">
        <v>954</v>
      </c>
      <c r="B646" t="str">
        <f t="shared" si="50"/>
        <v>S29_2026</v>
      </c>
      <c r="C646" t="str">
        <f t="shared" si="52"/>
        <v>S29_2026</v>
      </c>
      <c r="F646">
        <v>24</v>
      </c>
      <c r="G646" t="s">
        <v>55</v>
      </c>
      <c r="I646" t="s">
        <v>128</v>
      </c>
      <c r="J646" t="s">
        <v>128</v>
      </c>
      <c r="K646" t="s">
        <v>124</v>
      </c>
      <c r="L646" t="s">
        <v>174</v>
      </c>
      <c r="M646" t="s">
        <v>124</v>
      </c>
      <c r="N646" t="s">
        <v>45</v>
      </c>
      <c r="O646" t="s">
        <v>74</v>
      </c>
      <c r="P646">
        <v>1</v>
      </c>
      <c r="Q646" s="7">
        <v>46218</v>
      </c>
      <c r="R646" s="7">
        <v>46219</v>
      </c>
      <c r="S646" s="7">
        <v>46219</v>
      </c>
      <c r="T646" t="s">
        <v>45</v>
      </c>
      <c r="V646" t="s">
        <v>175</v>
      </c>
      <c r="W646" t="s">
        <v>45</v>
      </c>
      <c r="X646" t="s">
        <v>74</v>
      </c>
      <c r="Y646" t="s">
        <v>74</v>
      </c>
      <c r="Z646" t="s">
        <v>45</v>
      </c>
      <c r="AF646">
        <v>2</v>
      </c>
      <c r="AH646" t="s">
        <v>75</v>
      </c>
      <c r="AI646">
        <v>1</v>
      </c>
      <c r="AJ646" s="15"/>
      <c r="AN646"/>
      <c r="AO646"/>
      <c r="AP646"/>
      <c r="AQ646"/>
      <c r="AR646" s="18" t="str">
        <f>IFERROR(VLOOKUP(K646,[1]POP!$F:$J,1,0),M646)</f>
        <v>MADA</v>
      </c>
      <c r="AS646" s="18" t="str">
        <f t="shared" si="51"/>
        <v>NAGA</v>
      </c>
      <c r="AT646" s="19">
        <f t="shared" si="54"/>
        <v>2</v>
      </c>
      <c r="AU646" s="19">
        <f t="shared" ca="1" si="53"/>
        <v>2</v>
      </c>
    </row>
    <row r="647" spans="1:47" x14ac:dyDescent="0.3">
      <c r="A647" t="s">
        <v>955</v>
      </c>
      <c r="B647" t="str">
        <f t="shared" si="50"/>
        <v>S29_2026</v>
      </c>
      <c r="C647" t="str">
        <f t="shared" si="52"/>
        <v>S29_2026</v>
      </c>
      <c r="F647">
        <v>20</v>
      </c>
      <c r="G647" t="s">
        <v>40</v>
      </c>
      <c r="I647" t="s">
        <v>172</v>
      </c>
      <c r="J647" t="s">
        <v>173</v>
      </c>
      <c r="K647" t="s">
        <v>124</v>
      </c>
      <c r="L647" t="s">
        <v>174</v>
      </c>
      <c r="M647" t="s">
        <v>124</v>
      </c>
      <c r="N647" t="s">
        <v>45</v>
      </c>
      <c r="O647" t="s">
        <v>45</v>
      </c>
      <c r="P647">
        <v>2</v>
      </c>
      <c r="Q647" s="7">
        <v>46219</v>
      </c>
      <c r="R647" s="7">
        <v>46220</v>
      </c>
      <c r="S647" s="7">
        <v>46220</v>
      </c>
      <c r="T647" t="s">
        <v>45</v>
      </c>
      <c r="V647" t="s">
        <v>175</v>
      </c>
      <c r="W647" t="s">
        <v>45</v>
      </c>
      <c r="X647" t="s">
        <v>45</v>
      </c>
      <c r="Y647" t="s">
        <v>45</v>
      </c>
      <c r="Z647" t="s">
        <v>45</v>
      </c>
      <c r="AF647">
        <v>2</v>
      </c>
      <c r="AH647" t="s">
        <v>75</v>
      </c>
      <c r="AI647">
        <v>1</v>
      </c>
      <c r="AJ647" s="15"/>
      <c r="AN647"/>
      <c r="AO647"/>
      <c r="AP647"/>
      <c r="AQ647"/>
      <c r="AR647" s="18" t="str">
        <f>IFERROR(VLOOKUP(K647,[1]POP!$F:$J,1,0),M647)</f>
        <v>MADA</v>
      </c>
      <c r="AS647" s="18" t="str">
        <f t="shared" si="51"/>
        <v>TCHIKA</v>
      </c>
      <c r="AT647" s="19">
        <f t="shared" si="54"/>
        <v>2</v>
      </c>
      <c r="AU647" s="19">
        <f t="shared" ca="1" si="53"/>
        <v>2</v>
      </c>
    </row>
    <row r="648" spans="1:47" x14ac:dyDescent="0.3">
      <c r="A648" t="s">
        <v>956</v>
      </c>
      <c r="B648" t="str">
        <f t="shared" si="50"/>
        <v>S29_2026</v>
      </c>
      <c r="C648" t="str">
        <f t="shared" si="52"/>
        <v>S29_2026</v>
      </c>
      <c r="F648">
        <v>51</v>
      </c>
      <c r="G648" t="s">
        <v>40</v>
      </c>
      <c r="I648" t="s">
        <v>172</v>
      </c>
      <c r="J648" t="s">
        <v>173</v>
      </c>
      <c r="K648" t="s">
        <v>124</v>
      </c>
      <c r="L648" t="s">
        <v>174</v>
      </c>
      <c r="M648" t="s">
        <v>124</v>
      </c>
      <c r="N648" t="s">
        <v>45</v>
      </c>
      <c r="O648" t="s">
        <v>45</v>
      </c>
      <c r="P648">
        <v>2</v>
      </c>
      <c r="Q648" s="7">
        <v>46219</v>
      </c>
      <c r="R648" s="7">
        <v>46220</v>
      </c>
      <c r="S648" s="7">
        <v>46220</v>
      </c>
      <c r="T648" t="s">
        <v>45</v>
      </c>
      <c r="V648" t="s">
        <v>175</v>
      </c>
      <c r="W648" t="s">
        <v>45</v>
      </c>
      <c r="X648" t="s">
        <v>45</v>
      </c>
      <c r="Y648" t="s">
        <v>45</v>
      </c>
      <c r="Z648" t="s">
        <v>45</v>
      </c>
      <c r="AF648">
        <v>2</v>
      </c>
      <c r="AH648" t="s">
        <v>75</v>
      </c>
      <c r="AI648">
        <v>1</v>
      </c>
      <c r="AJ648" s="15"/>
      <c r="AN648"/>
      <c r="AO648"/>
      <c r="AP648"/>
      <c r="AQ648"/>
      <c r="AR648" s="18" t="str">
        <f>IFERROR(VLOOKUP(K648,[1]POP!$F:$J,1,0),M648)</f>
        <v>MADA</v>
      </c>
      <c r="AS648" s="18" t="str">
        <f t="shared" si="51"/>
        <v>TCHIKA</v>
      </c>
      <c r="AT648" s="19">
        <f t="shared" si="54"/>
        <v>2</v>
      </c>
      <c r="AU648" s="19">
        <f t="shared" ca="1" si="53"/>
        <v>2</v>
      </c>
    </row>
    <row r="649" spans="1:47" x14ac:dyDescent="0.3">
      <c r="A649" t="s">
        <v>957</v>
      </c>
      <c r="B649" t="str">
        <f t="shared" si="50"/>
        <v>S29_2026</v>
      </c>
      <c r="C649" t="str">
        <f t="shared" si="52"/>
        <v>S29_2026</v>
      </c>
      <c r="F649">
        <v>2</v>
      </c>
      <c r="G649" t="s">
        <v>55</v>
      </c>
      <c r="I649" t="s">
        <v>172</v>
      </c>
      <c r="J649" t="s">
        <v>173</v>
      </c>
      <c r="K649" t="s">
        <v>124</v>
      </c>
      <c r="L649" t="s">
        <v>174</v>
      </c>
      <c r="M649" t="s">
        <v>124</v>
      </c>
      <c r="N649" t="s">
        <v>45</v>
      </c>
      <c r="O649" t="s">
        <v>45</v>
      </c>
      <c r="P649">
        <v>2</v>
      </c>
      <c r="Q649" s="7">
        <v>46219</v>
      </c>
      <c r="R649" s="7">
        <v>46220</v>
      </c>
      <c r="S649" s="7">
        <v>46220</v>
      </c>
      <c r="T649" t="s">
        <v>45</v>
      </c>
      <c r="V649" t="s">
        <v>175</v>
      </c>
      <c r="W649" t="s">
        <v>45</v>
      </c>
      <c r="X649" t="s">
        <v>45</v>
      </c>
      <c r="Y649" t="s">
        <v>45</v>
      </c>
      <c r="Z649" t="s">
        <v>45</v>
      </c>
      <c r="AF649">
        <v>2</v>
      </c>
      <c r="AH649" t="s">
        <v>75</v>
      </c>
      <c r="AI649">
        <v>1</v>
      </c>
      <c r="AJ649" s="15"/>
      <c r="AN649"/>
      <c r="AO649"/>
      <c r="AP649"/>
      <c r="AQ649"/>
      <c r="AR649" s="18" t="str">
        <f>IFERROR(VLOOKUP(K649,[1]POP!$F:$J,1,0),M649)</f>
        <v>MADA</v>
      </c>
      <c r="AS649" s="18" t="str">
        <f t="shared" si="51"/>
        <v>TCHIKA</v>
      </c>
      <c r="AT649" s="19">
        <f t="shared" si="54"/>
        <v>2</v>
      </c>
      <c r="AU649" s="19">
        <f t="shared" ca="1" si="53"/>
        <v>2</v>
      </c>
    </row>
    <row r="650" spans="1:47" x14ac:dyDescent="0.3">
      <c r="A650" t="s">
        <v>958</v>
      </c>
      <c r="B650" t="str">
        <f t="shared" si="50"/>
        <v>S29_2026</v>
      </c>
      <c r="C650" t="str">
        <f t="shared" si="52"/>
        <v>S29_2026</v>
      </c>
      <c r="F650">
        <v>4</v>
      </c>
      <c r="G650" t="s">
        <v>55</v>
      </c>
      <c r="I650" t="s">
        <v>172</v>
      </c>
      <c r="J650" t="s">
        <v>173</v>
      </c>
      <c r="K650" t="s">
        <v>124</v>
      </c>
      <c r="L650" t="s">
        <v>174</v>
      </c>
      <c r="M650" t="s">
        <v>124</v>
      </c>
      <c r="N650" t="s">
        <v>45</v>
      </c>
      <c r="O650" t="s">
        <v>45</v>
      </c>
      <c r="P650">
        <v>2</v>
      </c>
      <c r="Q650" s="7">
        <v>46219</v>
      </c>
      <c r="R650" s="7">
        <v>46220</v>
      </c>
      <c r="S650" s="7">
        <v>46220</v>
      </c>
      <c r="T650" t="s">
        <v>45</v>
      </c>
      <c r="V650" t="s">
        <v>175</v>
      </c>
      <c r="W650" t="s">
        <v>45</v>
      </c>
      <c r="X650" t="s">
        <v>45</v>
      </c>
      <c r="Y650" t="s">
        <v>45</v>
      </c>
      <c r="Z650" t="s">
        <v>45</v>
      </c>
      <c r="AF650">
        <v>2</v>
      </c>
      <c r="AH650" t="s">
        <v>75</v>
      </c>
      <c r="AI650">
        <v>1</v>
      </c>
      <c r="AJ650" s="15"/>
      <c r="AN650"/>
      <c r="AO650"/>
      <c r="AP650"/>
      <c r="AQ650"/>
      <c r="AR650" s="18" t="str">
        <f>IFERROR(VLOOKUP(K650,[1]POP!$F:$J,1,0),M650)</f>
        <v>MADA</v>
      </c>
      <c r="AS650" s="18" t="str">
        <f t="shared" si="51"/>
        <v>TCHIKA</v>
      </c>
      <c r="AT650" s="19">
        <f t="shared" si="54"/>
        <v>2</v>
      </c>
      <c r="AU650" s="19">
        <f t="shared" ca="1" si="53"/>
        <v>2</v>
      </c>
    </row>
    <row r="651" spans="1:47" x14ac:dyDescent="0.3">
      <c r="A651" t="s">
        <v>959</v>
      </c>
      <c r="B651" t="str">
        <f t="shared" si="50"/>
        <v>S29_2026</v>
      </c>
      <c r="C651" t="str">
        <f t="shared" si="52"/>
        <v>S29_2026</v>
      </c>
      <c r="F651">
        <v>2</v>
      </c>
      <c r="G651" t="s">
        <v>55</v>
      </c>
      <c r="I651" t="s">
        <v>172</v>
      </c>
      <c r="J651" t="s">
        <v>173</v>
      </c>
      <c r="K651" t="s">
        <v>124</v>
      </c>
      <c r="L651" t="s">
        <v>174</v>
      </c>
      <c r="M651" t="s">
        <v>124</v>
      </c>
      <c r="N651" t="s">
        <v>45</v>
      </c>
      <c r="O651" t="s">
        <v>45</v>
      </c>
      <c r="P651">
        <v>3</v>
      </c>
      <c r="Q651" s="7">
        <v>46219</v>
      </c>
      <c r="R651" s="7">
        <v>46220</v>
      </c>
      <c r="S651" s="7">
        <v>46220</v>
      </c>
      <c r="T651" t="s">
        <v>45</v>
      </c>
      <c r="V651" t="s">
        <v>175</v>
      </c>
      <c r="W651" t="s">
        <v>45</v>
      </c>
      <c r="X651" t="s">
        <v>45</v>
      </c>
      <c r="Y651" t="s">
        <v>45</v>
      </c>
      <c r="Z651" t="s">
        <v>45</v>
      </c>
      <c r="AF651">
        <v>2</v>
      </c>
      <c r="AH651" t="s">
        <v>75</v>
      </c>
      <c r="AI651">
        <v>1</v>
      </c>
      <c r="AJ651" s="15"/>
      <c r="AN651"/>
      <c r="AO651"/>
      <c r="AP651"/>
      <c r="AQ651"/>
      <c r="AR651" s="18" t="str">
        <f>IFERROR(VLOOKUP(K651,[1]POP!$F:$J,1,0),M651)</f>
        <v>MADA</v>
      </c>
      <c r="AS651" s="18" t="str">
        <f t="shared" si="51"/>
        <v>TCHIKA</v>
      </c>
      <c r="AT651" s="19">
        <f t="shared" si="54"/>
        <v>2</v>
      </c>
      <c r="AU651" s="19">
        <f t="shared" ca="1" si="53"/>
        <v>2</v>
      </c>
    </row>
    <row r="652" spans="1:47" x14ac:dyDescent="0.3">
      <c r="A652" t="s">
        <v>960</v>
      </c>
      <c r="B652" t="str">
        <f t="shared" si="50"/>
        <v>S29_2026</v>
      </c>
      <c r="C652" t="str">
        <f t="shared" si="52"/>
        <v>S29_2026</v>
      </c>
      <c r="F652">
        <v>15</v>
      </c>
      <c r="G652" t="s">
        <v>40</v>
      </c>
      <c r="I652" t="s">
        <v>172</v>
      </c>
      <c r="J652" t="s">
        <v>173</v>
      </c>
      <c r="K652" t="s">
        <v>124</v>
      </c>
      <c r="L652" t="s">
        <v>174</v>
      </c>
      <c r="M652" t="s">
        <v>124</v>
      </c>
      <c r="N652" t="s">
        <v>45</v>
      </c>
      <c r="O652" t="s">
        <v>45</v>
      </c>
      <c r="P652">
        <v>3</v>
      </c>
      <c r="Q652" s="7">
        <v>46220</v>
      </c>
      <c r="R652" s="7">
        <v>46221</v>
      </c>
      <c r="S652" s="7">
        <v>46221</v>
      </c>
      <c r="T652" t="s">
        <v>45</v>
      </c>
      <c r="V652" t="s">
        <v>175</v>
      </c>
      <c r="W652" t="s">
        <v>45</v>
      </c>
      <c r="X652" t="s">
        <v>45</v>
      </c>
      <c r="Y652" t="s">
        <v>45</v>
      </c>
      <c r="Z652" t="s">
        <v>45</v>
      </c>
      <c r="AF652">
        <v>2</v>
      </c>
      <c r="AH652" t="s">
        <v>75</v>
      </c>
      <c r="AI652">
        <v>1</v>
      </c>
      <c r="AJ652" s="15"/>
      <c r="AN652"/>
      <c r="AO652"/>
      <c r="AP652"/>
      <c r="AQ652"/>
      <c r="AR652" s="18" t="str">
        <f>IFERROR(VLOOKUP(K652,[1]POP!$F:$J,1,0),M652)</f>
        <v>MADA</v>
      </c>
      <c r="AS652" s="18" t="str">
        <f t="shared" si="51"/>
        <v>TCHIKA</v>
      </c>
      <c r="AT652" s="19">
        <f t="shared" si="54"/>
        <v>2</v>
      </c>
      <c r="AU652" s="19">
        <f t="shared" ca="1" si="53"/>
        <v>2</v>
      </c>
    </row>
    <row r="653" spans="1:47" x14ac:dyDescent="0.3">
      <c r="A653" t="s">
        <v>961</v>
      </c>
      <c r="B653" t="str">
        <f t="shared" si="50"/>
        <v>S29_2026</v>
      </c>
      <c r="C653" t="str">
        <f t="shared" si="52"/>
        <v>S29_2026</v>
      </c>
      <c r="F653">
        <v>40</v>
      </c>
      <c r="G653" t="s">
        <v>40</v>
      </c>
      <c r="I653" t="s">
        <v>400</v>
      </c>
      <c r="J653" t="s">
        <v>174</v>
      </c>
      <c r="K653" t="s">
        <v>124</v>
      </c>
      <c r="L653" t="s">
        <v>174</v>
      </c>
      <c r="M653" t="s">
        <v>124</v>
      </c>
      <c r="N653" t="s">
        <v>45</v>
      </c>
      <c r="O653" t="s">
        <v>74</v>
      </c>
      <c r="P653">
        <v>1</v>
      </c>
      <c r="Q653" s="7">
        <v>46221</v>
      </c>
      <c r="R653" s="7">
        <v>46221</v>
      </c>
      <c r="S653" s="7">
        <v>46221</v>
      </c>
      <c r="T653" t="s">
        <v>45</v>
      </c>
      <c r="V653" t="s">
        <v>175</v>
      </c>
      <c r="W653" t="s">
        <v>45</v>
      </c>
      <c r="X653" t="s">
        <v>74</v>
      </c>
      <c r="Y653" t="s">
        <v>74</v>
      </c>
      <c r="Z653" t="s">
        <v>45</v>
      </c>
      <c r="AF653">
        <v>2</v>
      </c>
      <c r="AH653" t="s">
        <v>75</v>
      </c>
      <c r="AI653">
        <v>1</v>
      </c>
      <c r="AJ653" s="15"/>
      <c r="AN653"/>
      <c r="AO653"/>
      <c r="AP653"/>
      <c r="AQ653"/>
      <c r="AR653" s="18" t="str">
        <f>IFERROR(VLOOKUP(K653,[1]POP!$F:$J,1,0),M653)</f>
        <v>MADA</v>
      </c>
      <c r="AS653" s="18" t="str">
        <f t="shared" si="51"/>
        <v>HILE ALIFA</v>
      </c>
      <c r="AT653" s="19">
        <f t="shared" si="54"/>
        <v>2</v>
      </c>
      <c r="AU653" s="19">
        <f t="shared" ca="1" si="53"/>
        <v>2</v>
      </c>
    </row>
    <row r="654" spans="1:47" x14ac:dyDescent="0.3">
      <c r="A654" t="s">
        <v>962</v>
      </c>
      <c r="B654" t="str">
        <f t="shared" si="50"/>
        <v>S29_2026</v>
      </c>
      <c r="C654" t="str">
        <f t="shared" si="52"/>
        <v>S29_2026</v>
      </c>
      <c r="F654">
        <v>30</v>
      </c>
      <c r="G654" t="s">
        <v>40</v>
      </c>
      <c r="I654" t="s">
        <v>172</v>
      </c>
      <c r="J654" t="s">
        <v>173</v>
      </c>
      <c r="K654" t="s">
        <v>124</v>
      </c>
      <c r="L654" t="s">
        <v>174</v>
      </c>
      <c r="M654" t="s">
        <v>124</v>
      </c>
      <c r="N654" t="s">
        <v>45</v>
      </c>
      <c r="O654" t="s">
        <v>45</v>
      </c>
      <c r="P654">
        <v>3</v>
      </c>
      <c r="Q654" s="7">
        <v>46221</v>
      </c>
      <c r="R654" s="7">
        <v>46221</v>
      </c>
      <c r="S654" s="7">
        <v>46221</v>
      </c>
      <c r="T654" t="s">
        <v>45</v>
      </c>
      <c r="V654" t="s">
        <v>175</v>
      </c>
      <c r="W654" t="s">
        <v>45</v>
      </c>
      <c r="X654" t="s">
        <v>45</v>
      </c>
      <c r="Y654" t="s">
        <v>45</v>
      </c>
      <c r="Z654" t="s">
        <v>45</v>
      </c>
      <c r="AF654">
        <v>2</v>
      </c>
      <c r="AH654" t="s">
        <v>75</v>
      </c>
      <c r="AI654">
        <v>1</v>
      </c>
      <c r="AJ654" s="15"/>
      <c r="AN654"/>
      <c r="AO654"/>
      <c r="AP654"/>
      <c r="AQ654"/>
      <c r="AR654" s="18" t="str">
        <f>IFERROR(VLOOKUP(K654,[1]POP!$F:$J,1,0),M654)</f>
        <v>MADA</v>
      </c>
      <c r="AS654" s="18" t="str">
        <f t="shared" si="51"/>
        <v>TCHIKA</v>
      </c>
      <c r="AT654" s="19">
        <f t="shared" si="54"/>
        <v>2</v>
      </c>
      <c r="AU654" s="19">
        <f t="shared" ca="1" si="53"/>
        <v>2</v>
      </c>
    </row>
    <row r="655" spans="1:47" x14ac:dyDescent="0.3">
      <c r="A655" t="s">
        <v>963</v>
      </c>
      <c r="B655" t="str">
        <f t="shared" si="50"/>
        <v>S29_2026</v>
      </c>
      <c r="C655" t="str">
        <f t="shared" si="52"/>
        <v>S29_2026</v>
      </c>
      <c r="F655">
        <v>3</v>
      </c>
      <c r="G655" t="s">
        <v>55</v>
      </c>
      <c r="I655" t="s">
        <v>172</v>
      </c>
      <c r="J655" t="s">
        <v>173</v>
      </c>
      <c r="K655" t="s">
        <v>124</v>
      </c>
      <c r="L655" t="s">
        <v>174</v>
      </c>
      <c r="M655" t="s">
        <v>124</v>
      </c>
      <c r="N655" t="s">
        <v>45</v>
      </c>
      <c r="O655" t="s">
        <v>45</v>
      </c>
      <c r="P655">
        <v>2</v>
      </c>
      <c r="Q655" s="7">
        <v>46220</v>
      </c>
      <c r="R655" s="7">
        <v>46221</v>
      </c>
      <c r="S655" s="7">
        <v>46221</v>
      </c>
      <c r="T655" t="s">
        <v>45</v>
      </c>
      <c r="V655" t="s">
        <v>175</v>
      </c>
      <c r="W655" t="s">
        <v>45</v>
      </c>
      <c r="X655" t="s">
        <v>45</v>
      </c>
      <c r="Y655" t="s">
        <v>45</v>
      </c>
      <c r="Z655" t="s">
        <v>45</v>
      </c>
      <c r="AF655">
        <v>2</v>
      </c>
      <c r="AH655" t="s">
        <v>75</v>
      </c>
      <c r="AI655">
        <v>1</v>
      </c>
      <c r="AJ655" s="15"/>
      <c r="AN655"/>
      <c r="AO655"/>
      <c r="AP655"/>
      <c r="AQ655"/>
      <c r="AR655" s="18" t="str">
        <f>IFERROR(VLOOKUP(K655,[1]POP!$F:$J,1,0),M655)</f>
        <v>MADA</v>
      </c>
      <c r="AS655" s="18" t="str">
        <f t="shared" si="51"/>
        <v>TCHIKA</v>
      </c>
      <c r="AT655" s="19">
        <f t="shared" si="54"/>
        <v>2</v>
      </c>
      <c r="AU655" s="19">
        <f t="shared" ca="1" si="53"/>
        <v>2</v>
      </c>
    </row>
    <row r="656" spans="1:47" x14ac:dyDescent="0.3">
      <c r="A656" t="s">
        <v>964</v>
      </c>
      <c r="B656" t="str">
        <f t="shared" si="50"/>
        <v>S29_2026</v>
      </c>
      <c r="C656" t="str">
        <f t="shared" si="52"/>
        <v>S29_2026</v>
      </c>
      <c r="F656">
        <v>8</v>
      </c>
      <c r="G656" t="s">
        <v>55</v>
      </c>
      <c r="I656" t="s">
        <v>172</v>
      </c>
      <c r="J656" t="s">
        <v>173</v>
      </c>
      <c r="K656" t="s">
        <v>124</v>
      </c>
      <c r="L656" t="s">
        <v>174</v>
      </c>
      <c r="M656" t="s">
        <v>124</v>
      </c>
      <c r="N656" t="s">
        <v>45</v>
      </c>
      <c r="O656" t="s">
        <v>45</v>
      </c>
      <c r="P656">
        <v>2</v>
      </c>
      <c r="Q656" s="7">
        <v>46221</v>
      </c>
      <c r="R656" s="7">
        <v>46221</v>
      </c>
      <c r="S656" s="7">
        <v>46221</v>
      </c>
      <c r="T656" t="s">
        <v>45</v>
      </c>
      <c r="V656" t="s">
        <v>175</v>
      </c>
      <c r="W656" t="s">
        <v>45</v>
      </c>
      <c r="X656" t="s">
        <v>45</v>
      </c>
      <c r="Y656" t="s">
        <v>45</v>
      </c>
      <c r="Z656" t="s">
        <v>45</v>
      </c>
      <c r="AF656">
        <v>2</v>
      </c>
      <c r="AH656" t="s">
        <v>75</v>
      </c>
      <c r="AI656">
        <v>1</v>
      </c>
      <c r="AJ656" s="15"/>
      <c r="AN656"/>
      <c r="AO656"/>
      <c r="AP656"/>
      <c r="AQ656"/>
      <c r="AR656" s="18" t="str">
        <f>IFERROR(VLOOKUP(K656,[1]POP!$F:$J,1,0),M656)</f>
        <v>MADA</v>
      </c>
      <c r="AS656" s="18" t="str">
        <f t="shared" si="51"/>
        <v>TCHIKA</v>
      </c>
      <c r="AT656" s="19">
        <f t="shared" si="54"/>
        <v>2</v>
      </c>
      <c r="AU656" s="19">
        <f t="shared" ca="1" si="53"/>
        <v>2</v>
      </c>
    </row>
    <row r="657" spans="1:47" x14ac:dyDescent="0.3">
      <c r="A657" t="s">
        <v>965</v>
      </c>
      <c r="B657" t="str">
        <f t="shared" si="50"/>
        <v>S29_2026</v>
      </c>
      <c r="C657" t="str">
        <f t="shared" si="52"/>
        <v>S29_2026</v>
      </c>
      <c r="F657">
        <v>3</v>
      </c>
      <c r="G657" t="s">
        <v>40</v>
      </c>
      <c r="I657" t="s">
        <v>172</v>
      </c>
      <c r="J657" t="s">
        <v>173</v>
      </c>
      <c r="K657" t="s">
        <v>124</v>
      </c>
      <c r="L657" t="s">
        <v>174</v>
      </c>
      <c r="M657" t="s">
        <v>124</v>
      </c>
      <c r="N657" t="s">
        <v>45</v>
      </c>
      <c r="O657" t="s">
        <v>74</v>
      </c>
      <c r="P657">
        <v>2</v>
      </c>
      <c r="Q657" s="7">
        <v>46221</v>
      </c>
      <c r="R657" s="7">
        <v>46221</v>
      </c>
      <c r="S657" s="7">
        <v>46221</v>
      </c>
      <c r="T657" t="s">
        <v>45</v>
      </c>
      <c r="V657" t="s">
        <v>175</v>
      </c>
      <c r="W657" t="s">
        <v>45</v>
      </c>
      <c r="X657" t="s">
        <v>74</v>
      </c>
      <c r="Y657" t="s">
        <v>74</v>
      </c>
      <c r="Z657" t="s">
        <v>45</v>
      </c>
      <c r="AF657">
        <v>2</v>
      </c>
      <c r="AH657" t="s">
        <v>75</v>
      </c>
      <c r="AI657">
        <v>1</v>
      </c>
      <c r="AJ657" s="15"/>
      <c r="AN657"/>
      <c r="AO657"/>
      <c r="AP657"/>
      <c r="AQ657"/>
      <c r="AR657" s="18" t="str">
        <f>IFERROR(VLOOKUP(K657,[1]POP!$F:$J,1,0),M657)</f>
        <v>MADA</v>
      </c>
      <c r="AS657" s="18" t="str">
        <f t="shared" si="51"/>
        <v>TCHIKA</v>
      </c>
      <c r="AT657" s="19">
        <f t="shared" si="54"/>
        <v>2</v>
      </c>
      <c r="AU657" s="19">
        <f t="shared" ca="1" si="53"/>
        <v>2</v>
      </c>
    </row>
    <row r="658" spans="1:47" x14ac:dyDescent="0.3">
      <c r="A658" t="s">
        <v>966</v>
      </c>
      <c r="B658" t="str">
        <f t="shared" si="50"/>
        <v>S29_2026</v>
      </c>
      <c r="C658" t="str">
        <f t="shared" si="52"/>
        <v>S29_2026</v>
      </c>
      <c r="F658">
        <v>2</v>
      </c>
      <c r="G658" t="s">
        <v>55</v>
      </c>
      <c r="I658" t="s">
        <v>507</v>
      </c>
      <c r="J658" t="s">
        <v>166</v>
      </c>
      <c r="K658" t="s">
        <v>124</v>
      </c>
      <c r="L658" t="s">
        <v>166</v>
      </c>
      <c r="M658" t="s">
        <v>124</v>
      </c>
      <c r="N658" t="s">
        <v>45</v>
      </c>
      <c r="O658" t="s">
        <v>74</v>
      </c>
      <c r="P658">
        <v>2</v>
      </c>
      <c r="Q658" s="7">
        <v>46218</v>
      </c>
      <c r="R658" s="7">
        <v>46219</v>
      </c>
      <c r="S658" s="7">
        <v>46219</v>
      </c>
      <c r="T658" t="s">
        <v>45</v>
      </c>
      <c r="V658" t="s">
        <v>167</v>
      </c>
      <c r="W658" t="s">
        <v>45</v>
      </c>
      <c r="X658" t="s">
        <v>74</v>
      </c>
      <c r="Y658" t="s">
        <v>74</v>
      </c>
      <c r="Z658" t="s">
        <v>45</v>
      </c>
      <c r="AF658">
        <v>2</v>
      </c>
      <c r="AH658" t="s">
        <v>75</v>
      </c>
      <c r="AI658">
        <v>1</v>
      </c>
      <c r="AJ658" s="15"/>
      <c r="AN658"/>
      <c r="AO658"/>
      <c r="AP658"/>
      <c r="AQ658"/>
      <c r="AR658" s="18" t="str">
        <f>IFERROR(VLOOKUP(K658,[1]POP!$F:$J,1,0),M658)</f>
        <v>MADA</v>
      </c>
      <c r="AS658" s="18" t="str">
        <f t="shared" si="51"/>
        <v>BARGARAM</v>
      </c>
      <c r="AT658" s="19">
        <f t="shared" si="54"/>
        <v>2</v>
      </c>
      <c r="AU658" s="19">
        <f t="shared" ca="1" si="53"/>
        <v>2</v>
      </c>
    </row>
    <row r="659" spans="1:47" x14ac:dyDescent="0.3">
      <c r="A659" t="s">
        <v>967</v>
      </c>
      <c r="B659" t="str">
        <f t="shared" si="50"/>
        <v>S29_2026</v>
      </c>
      <c r="C659" t="str">
        <f t="shared" si="52"/>
        <v>S29_2026</v>
      </c>
      <c r="F659">
        <v>9</v>
      </c>
      <c r="G659" t="s">
        <v>40</v>
      </c>
      <c r="I659" t="s">
        <v>945</v>
      </c>
      <c r="J659" t="s">
        <v>166</v>
      </c>
      <c r="K659" t="s">
        <v>124</v>
      </c>
      <c r="L659" t="s">
        <v>166</v>
      </c>
      <c r="M659" t="s">
        <v>124</v>
      </c>
      <c r="N659" t="s">
        <v>45</v>
      </c>
      <c r="O659" t="s">
        <v>74</v>
      </c>
      <c r="P659">
        <v>2</v>
      </c>
      <c r="Q659" s="7">
        <v>46218</v>
      </c>
      <c r="R659" s="7">
        <v>46219</v>
      </c>
      <c r="S659" s="7">
        <v>46219</v>
      </c>
      <c r="T659" t="s">
        <v>45</v>
      </c>
      <c r="V659" t="s">
        <v>167</v>
      </c>
      <c r="W659" t="s">
        <v>45</v>
      </c>
      <c r="X659" t="s">
        <v>74</v>
      </c>
      <c r="Y659" t="s">
        <v>74</v>
      </c>
      <c r="Z659" t="s">
        <v>45</v>
      </c>
      <c r="AF659">
        <v>2</v>
      </c>
      <c r="AH659" t="s">
        <v>75</v>
      </c>
      <c r="AI659">
        <v>1</v>
      </c>
      <c r="AJ659" s="15"/>
      <c r="AN659"/>
      <c r="AO659"/>
      <c r="AP659"/>
      <c r="AQ659"/>
      <c r="AR659" s="18" t="str">
        <f>IFERROR(VLOOKUP(K659,[1]POP!$F:$J,1,0),M659)</f>
        <v>MADA</v>
      </c>
      <c r="AS659" s="18" t="str">
        <f t="shared" si="51"/>
        <v>BARGARAM</v>
      </c>
      <c r="AT659" s="19">
        <f t="shared" si="54"/>
        <v>2</v>
      </c>
      <c r="AU659" s="19">
        <f t="shared" ca="1" si="53"/>
        <v>2</v>
      </c>
    </row>
    <row r="660" spans="1:47" x14ac:dyDescent="0.3">
      <c r="A660" t="s">
        <v>968</v>
      </c>
      <c r="B660" t="str">
        <f t="shared" si="50"/>
        <v>S29_2026</v>
      </c>
      <c r="C660" t="str">
        <f t="shared" si="52"/>
        <v>S29_2026</v>
      </c>
      <c r="F660">
        <v>50</v>
      </c>
      <c r="G660" t="s">
        <v>40</v>
      </c>
      <c r="I660" t="s">
        <v>935</v>
      </c>
      <c r="J660" t="s">
        <v>166</v>
      </c>
      <c r="K660" t="s">
        <v>124</v>
      </c>
      <c r="L660" t="s">
        <v>166</v>
      </c>
      <c r="M660" t="s">
        <v>124</v>
      </c>
      <c r="N660" t="s">
        <v>45</v>
      </c>
      <c r="O660" t="s">
        <v>74</v>
      </c>
      <c r="P660">
        <v>2</v>
      </c>
      <c r="Q660" s="7">
        <v>46218</v>
      </c>
      <c r="R660" s="7">
        <v>46219</v>
      </c>
      <c r="S660" s="7">
        <v>46219</v>
      </c>
      <c r="T660" t="s">
        <v>45</v>
      </c>
      <c r="V660" t="s">
        <v>167</v>
      </c>
      <c r="W660" t="s">
        <v>45</v>
      </c>
      <c r="X660" t="s">
        <v>74</v>
      </c>
      <c r="Y660" t="s">
        <v>74</v>
      </c>
      <c r="Z660" t="s">
        <v>45</v>
      </c>
      <c r="AF660">
        <v>2</v>
      </c>
      <c r="AH660" t="s">
        <v>75</v>
      </c>
      <c r="AI660">
        <v>1</v>
      </c>
      <c r="AJ660" s="15"/>
      <c r="AN660"/>
      <c r="AO660"/>
      <c r="AP660"/>
      <c r="AQ660"/>
      <c r="AR660" s="18" t="str">
        <f>IFERROR(VLOOKUP(K660,[1]POP!$F:$J,1,0),M660)</f>
        <v>MADA</v>
      </c>
      <c r="AS660" s="18" t="str">
        <f t="shared" si="51"/>
        <v>BARGARAM</v>
      </c>
      <c r="AT660" s="19">
        <f t="shared" si="54"/>
        <v>2</v>
      </c>
      <c r="AU660" s="19">
        <f t="shared" ca="1" si="53"/>
        <v>2</v>
      </c>
    </row>
    <row r="661" spans="1:47" x14ac:dyDescent="0.3">
      <c r="A661" t="s">
        <v>969</v>
      </c>
      <c r="B661" t="str">
        <f t="shared" si="50"/>
        <v>S29_2026</v>
      </c>
      <c r="C661" t="str">
        <f t="shared" si="52"/>
        <v>S29_2026</v>
      </c>
      <c r="F661">
        <v>6</v>
      </c>
      <c r="G661" t="s">
        <v>40</v>
      </c>
      <c r="I661" t="s">
        <v>505</v>
      </c>
      <c r="J661" t="s">
        <v>166</v>
      </c>
      <c r="K661" t="s">
        <v>124</v>
      </c>
      <c r="L661" t="s">
        <v>166</v>
      </c>
      <c r="M661" t="s">
        <v>124</v>
      </c>
      <c r="N661" t="s">
        <v>45</v>
      </c>
      <c r="O661" t="s">
        <v>74</v>
      </c>
      <c r="P661">
        <v>2</v>
      </c>
      <c r="Q661" s="7">
        <v>46218</v>
      </c>
      <c r="R661" s="7">
        <v>46219</v>
      </c>
      <c r="S661" s="7">
        <v>46219</v>
      </c>
      <c r="T661" t="s">
        <v>45</v>
      </c>
      <c r="V661" t="s">
        <v>167</v>
      </c>
      <c r="W661" t="s">
        <v>45</v>
      </c>
      <c r="X661" t="s">
        <v>74</v>
      </c>
      <c r="Y661" t="s">
        <v>74</v>
      </c>
      <c r="Z661" t="s">
        <v>45</v>
      </c>
      <c r="AF661">
        <v>2</v>
      </c>
      <c r="AH661" t="s">
        <v>75</v>
      </c>
      <c r="AI661">
        <v>1</v>
      </c>
      <c r="AJ661" s="15"/>
      <c r="AN661"/>
      <c r="AO661"/>
      <c r="AP661"/>
      <c r="AQ661"/>
      <c r="AR661" s="18" t="str">
        <f>IFERROR(VLOOKUP(K661,[1]POP!$F:$J,1,0),M661)</f>
        <v>MADA</v>
      </c>
      <c r="AS661" s="18" t="str">
        <f t="shared" si="51"/>
        <v>BARGARAM</v>
      </c>
      <c r="AT661" s="19">
        <f t="shared" si="54"/>
        <v>2</v>
      </c>
      <c r="AU661" s="19">
        <f t="shared" ca="1" si="53"/>
        <v>2</v>
      </c>
    </row>
    <row r="662" spans="1:47" x14ac:dyDescent="0.3">
      <c r="A662" t="s">
        <v>970</v>
      </c>
      <c r="B662" t="str">
        <f t="shared" si="50"/>
        <v>S29_2026</v>
      </c>
      <c r="C662" t="str">
        <f t="shared" si="52"/>
        <v>S29_2026</v>
      </c>
      <c r="F662">
        <v>3</v>
      </c>
      <c r="G662" t="s">
        <v>55</v>
      </c>
      <c r="I662" t="s">
        <v>505</v>
      </c>
      <c r="J662" t="s">
        <v>166</v>
      </c>
      <c r="K662" t="s">
        <v>124</v>
      </c>
      <c r="L662" t="s">
        <v>166</v>
      </c>
      <c r="M662" t="s">
        <v>124</v>
      </c>
      <c r="N662" t="s">
        <v>45</v>
      </c>
      <c r="O662" t="s">
        <v>74</v>
      </c>
      <c r="P662">
        <v>2</v>
      </c>
      <c r="Q662" s="7">
        <v>46219</v>
      </c>
      <c r="R662" s="7">
        <v>46220</v>
      </c>
      <c r="S662" s="7">
        <v>46220</v>
      </c>
      <c r="T662" t="s">
        <v>45</v>
      </c>
      <c r="V662" t="s">
        <v>167</v>
      </c>
      <c r="W662" t="s">
        <v>45</v>
      </c>
      <c r="X662" t="s">
        <v>74</v>
      </c>
      <c r="Y662" t="s">
        <v>74</v>
      </c>
      <c r="Z662" t="s">
        <v>45</v>
      </c>
      <c r="AB662" t="s">
        <v>62</v>
      </c>
      <c r="AF662">
        <v>2</v>
      </c>
      <c r="AH662" t="s">
        <v>75</v>
      </c>
      <c r="AI662">
        <v>1</v>
      </c>
      <c r="AJ662" s="15"/>
      <c r="AN662"/>
      <c r="AO662"/>
      <c r="AP662"/>
      <c r="AQ662"/>
      <c r="AR662" s="18" t="str">
        <f>IFERROR(VLOOKUP(K662,[1]POP!$F:$J,1,0),M662)</f>
        <v>MADA</v>
      </c>
      <c r="AS662" s="18" t="str">
        <f t="shared" si="51"/>
        <v>BARGARAM</v>
      </c>
      <c r="AT662" s="19">
        <f t="shared" si="54"/>
        <v>2</v>
      </c>
      <c r="AU662" s="19">
        <f t="shared" ca="1" si="53"/>
        <v>2</v>
      </c>
    </row>
    <row r="663" spans="1:47" x14ac:dyDescent="0.3">
      <c r="A663" t="s">
        <v>971</v>
      </c>
      <c r="B663" t="str">
        <f t="shared" si="50"/>
        <v>S29_2026</v>
      </c>
      <c r="C663" t="str">
        <f t="shared" si="52"/>
        <v>S29_2026</v>
      </c>
      <c r="F663">
        <v>4</v>
      </c>
      <c r="G663" t="s">
        <v>40</v>
      </c>
      <c r="I663" t="s">
        <v>505</v>
      </c>
      <c r="J663" t="s">
        <v>166</v>
      </c>
      <c r="K663" t="s">
        <v>124</v>
      </c>
      <c r="L663" t="s">
        <v>166</v>
      </c>
      <c r="M663" t="s">
        <v>124</v>
      </c>
      <c r="N663" t="s">
        <v>45</v>
      </c>
      <c r="O663" t="s">
        <v>74</v>
      </c>
      <c r="P663">
        <v>2</v>
      </c>
      <c r="Q663" s="7">
        <v>46219</v>
      </c>
      <c r="R663" s="7">
        <v>46220</v>
      </c>
      <c r="S663" s="7">
        <v>46220</v>
      </c>
      <c r="T663" t="s">
        <v>45</v>
      </c>
      <c r="V663" t="s">
        <v>167</v>
      </c>
      <c r="W663" t="s">
        <v>45</v>
      </c>
      <c r="X663" t="s">
        <v>74</v>
      </c>
      <c r="Y663" t="s">
        <v>74</v>
      </c>
      <c r="Z663" t="s">
        <v>45</v>
      </c>
      <c r="AB663" t="s">
        <v>62</v>
      </c>
      <c r="AF663">
        <v>2</v>
      </c>
      <c r="AH663" t="s">
        <v>75</v>
      </c>
      <c r="AI663">
        <v>1</v>
      </c>
      <c r="AJ663" s="15"/>
      <c r="AN663"/>
      <c r="AO663"/>
      <c r="AP663"/>
      <c r="AQ663"/>
      <c r="AR663" s="18" t="str">
        <f>IFERROR(VLOOKUP(K663,[1]POP!$F:$J,1,0),M663)</f>
        <v>MADA</v>
      </c>
      <c r="AS663" s="18" t="str">
        <f t="shared" si="51"/>
        <v>BARGARAM</v>
      </c>
      <c r="AT663" s="19">
        <f t="shared" si="54"/>
        <v>2</v>
      </c>
      <c r="AU663" s="19">
        <f t="shared" ca="1" si="53"/>
        <v>2</v>
      </c>
    </row>
    <row r="664" spans="1:47" x14ac:dyDescent="0.3">
      <c r="A664" t="s">
        <v>972</v>
      </c>
      <c r="B664" t="str">
        <f t="shared" si="50"/>
        <v>S29_2026</v>
      </c>
      <c r="C664" t="str">
        <f t="shared" si="52"/>
        <v>S29_2026</v>
      </c>
      <c r="F664">
        <v>2</v>
      </c>
      <c r="G664" t="s">
        <v>55</v>
      </c>
      <c r="I664" t="s">
        <v>507</v>
      </c>
      <c r="J664" t="s">
        <v>166</v>
      </c>
      <c r="K664" t="s">
        <v>124</v>
      </c>
      <c r="L664" t="s">
        <v>166</v>
      </c>
      <c r="M664" t="s">
        <v>124</v>
      </c>
      <c r="N664" t="s">
        <v>45</v>
      </c>
      <c r="O664" t="s">
        <v>74</v>
      </c>
      <c r="P664">
        <v>2</v>
      </c>
      <c r="Q664" s="7">
        <v>46219</v>
      </c>
      <c r="R664" s="7">
        <v>46220</v>
      </c>
      <c r="S664" s="7">
        <v>46220</v>
      </c>
      <c r="T664" t="s">
        <v>45</v>
      </c>
      <c r="V664" t="s">
        <v>167</v>
      </c>
      <c r="W664" t="s">
        <v>45</v>
      </c>
      <c r="X664" t="s">
        <v>74</v>
      </c>
      <c r="Y664" t="s">
        <v>74</v>
      </c>
      <c r="Z664" t="s">
        <v>45</v>
      </c>
      <c r="AB664" t="s">
        <v>62</v>
      </c>
      <c r="AF664">
        <v>2</v>
      </c>
      <c r="AH664" t="s">
        <v>75</v>
      </c>
      <c r="AI664">
        <v>1</v>
      </c>
      <c r="AJ664" s="15"/>
      <c r="AN664"/>
      <c r="AO664"/>
      <c r="AP664"/>
      <c r="AQ664"/>
      <c r="AR664" s="18" t="str">
        <f>IFERROR(VLOOKUP(K664,[1]POP!$F:$J,1,0),M664)</f>
        <v>MADA</v>
      </c>
      <c r="AS664" s="18" t="str">
        <f t="shared" si="51"/>
        <v>BARGARAM</v>
      </c>
      <c r="AT664" s="19">
        <f t="shared" si="54"/>
        <v>2</v>
      </c>
      <c r="AU664" s="19">
        <f t="shared" ca="1" si="53"/>
        <v>2</v>
      </c>
    </row>
    <row r="665" spans="1:47" x14ac:dyDescent="0.3">
      <c r="A665" t="s">
        <v>973</v>
      </c>
      <c r="B665" t="str">
        <f t="shared" si="50"/>
        <v>S29_2026</v>
      </c>
      <c r="C665" t="str">
        <f t="shared" si="52"/>
        <v>S29_2026</v>
      </c>
      <c r="F665">
        <v>5</v>
      </c>
      <c r="G665" t="s">
        <v>40</v>
      </c>
      <c r="I665" t="s">
        <v>507</v>
      </c>
      <c r="J665" t="s">
        <v>166</v>
      </c>
      <c r="K665" t="s">
        <v>124</v>
      </c>
      <c r="L665" t="s">
        <v>166</v>
      </c>
      <c r="M665" t="s">
        <v>124</v>
      </c>
      <c r="N665" t="s">
        <v>45</v>
      </c>
      <c r="O665" t="s">
        <v>74</v>
      </c>
      <c r="P665">
        <v>2</v>
      </c>
      <c r="Q665" s="7">
        <v>46220</v>
      </c>
      <c r="R665" s="7">
        <v>46220</v>
      </c>
      <c r="S665" s="7">
        <v>46220</v>
      </c>
      <c r="T665" t="s">
        <v>45</v>
      </c>
      <c r="V665" t="s">
        <v>167</v>
      </c>
      <c r="W665" t="s">
        <v>45</v>
      </c>
      <c r="X665" t="s">
        <v>74</v>
      </c>
      <c r="Y665" t="s">
        <v>74</v>
      </c>
      <c r="Z665" t="s">
        <v>45</v>
      </c>
      <c r="AB665" t="s">
        <v>62</v>
      </c>
      <c r="AF665">
        <v>2</v>
      </c>
      <c r="AH665" t="s">
        <v>75</v>
      </c>
      <c r="AI665">
        <v>1</v>
      </c>
      <c r="AJ665" s="15"/>
      <c r="AN665"/>
      <c r="AO665"/>
      <c r="AP665"/>
      <c r="AQ665"/>
      <c r="AR665" s="18" t="str">
        <f>IFERROR(VLOOKUP(K665,[1]POP!$F:$J,1,0),M665)</f>
        <v>MADA</v>
      </c>
      <c r="AS665" s="18" t="str">
        <f t="shared" si="51"/>
        <v>BARGARAM</v>
      </c>
      <c r="AT665" s="19">
        <f t="shared" si="54"/>
        <v>2</v>
      </c>
      <c r="AU665" s="19">
        <f t="shared" ca="1" si="53"/>
        <v>2</v>
      </c>
    </row>
    <row r="666" spans="1:47" x14ac:dyDescent="0.3">
      <c r="A666" t="s">
        <v>974</v>
      </c>
      <c r="B666" t="str">
        <f t="shared" si="50"/>
        <v>S29_2026</v>
      </c>
      <c r="C666" t="str">
        <f t="shared" si="52"/>
        <v>S29_2026</v>
      </c>
      <c r="F666">
        <v>8</v>
      </c>
      <c r="G666" t="s">
        <v>40</v>
      </c>
      <c r="I666" t="s">
        <v>507</v>
      </c>
      <c r="J666" t="s">
        <v>166</v>
      </c>
      <c r="K666" t="s">
        <v>124</v>
      </c>
      <c r="L666" t="s">
        <v>166</v>
      </c>
      <c r="M666" t="s">
        <v>124</v>
      </c>
      <c r="N666" t="s">
        <v>45</v>
      </c>
      <c r="O666" t="s">
        <v>74</v>
      </c>
      <c r="P666">
        <v>3</v>
      </c>
      <c r="Q666" s="7">
        <v>46219</v>
      </c>
      <c r="R666" s="7">
        <v>46220</v>
      </c>
      <c r="S666" s="7">
        <v>46220</v>
      </c>
      <c r="T666" t="s">
        <v>45</v>
      </c>
      <c r="V666" t="s">
        <v>167</v>
      </c>
      <c r="W666" t="s">
        <v>45</v>
      </c>
      <c r="X666" t="s">
        <v>74</v>
      </c>
      <c r="Y666" t="s">
        <v>74</v>
      </c>
      <c r="Z666" t="s">
        <v>45</v>
      </c>
      <c r="AF666">
        <v>2</v>
      </c>
      <c r="AH666" t="s">
        <v>75</v>
      </c>
      <c r="AI666">
        <v>1</v>
      </c>
      <c r="AJ666" s="15"/>
      <c r="AN666"/>
      <c r="AO666"/>
      <c r="AP666"/>
      <c r="AQ666"/>
      <c r="AR666" s="18" t="str">
        <f>IFERROR(VLOOKUP(K666,[1]POP!$F:$J,1,0),M666)</f>
        <v>MADA</v>
      </c>
      <c r="AS666" s="18" t="str">
        <f t="shared" si="51"/>
        <v>BARGARAM</v>
      </c>
      <c r="AT666" s="19">
        <f t="shared" si="54"/>
        <v>2</v>
      </c>
      <c r="AU666" s="19">
        <f t="shared" ca="1" si="53"/>
        <v>2</v>
      </c>
    </row>
    <row r="667" spans="1:47" x14ac:dyDescent="0.3">
      <c r="A667" t="s">
        <v>975</v>
      </c>
      <c r="B667" t="str">
        <f t="shared" si="50"/>
        <v>S29_2026</v>
      </c>
      <c r="C667" t="str">
        <f t="shared" si="52"/>
        <v>S29_2026</v>
      </c>
      <c r="F667">
        <v>3</v>
      </c>
      <c r="G667" t="s">
        <v>55</v>
      </c>
      <c r="I667" t="s">
        <v>505</v>
      </c>
      <c r="J667" t="s">
        <v>166</v>
      </c>
      <c r="K667" t="s">
        <v>124</v>
      </c>
      <c r="L667" t="s">
        <v>166</v>
      </c>
      <c r="M667" t="s">
        <v>124</v>
      </c>
      <c r="N667" t="s">
        <v>45</v>
      </c>
      <c r="O667" t="s">
        <v>74</v>
      </c>
      <c r="P667">
        <v>3</v>
      </c>
      <c r="Q667" s="7">
        <v>46220</v>
      </c>
      <c r="R667" s="7">
        <v>46221</v>
      </c>
      <c r="S667" s="7">
        <v>46221</v>
      </c>
      <c r="T667" t="s">
        <v>45</v>
      </c>
      <c r="V667" t="s">
        <v>167</v>
      </c>
      <c r="W667" t="s">
        <v>45</v>
      </c>
      <c r="X667" t="s">
        <v>74</v>
      </c>
      <c r="Y667" t="s">
        <v>74</v>
      </c>
      <c r="Z667" t="s">
        <v>45</v>
      </c>
      <c r="AF667">
        <v>2</v>
      </c>
      <c r="AH667" t="s">
        <v>75</v>
      </c>
      <c r="AI667">
        <v>1</v>
      </c>
      <c r="AJ667" s="15"/>
      <c r="AN667"/>
      <c r="AO667"/>
      <c r="AP667"/>
      <c r="AQ667"/>
      <c r="AR667" s="18" t="str">
        <f>IFERROR(VLOOKUP(K667,[1]POP!$F:$J,1,0),M667)</f>
        <v>MADA</v>
      </c>
      <c r="AS667" s="18" t="str">
        <f t="shared" si="51"/>
        <v>BARGARAM</v>
      </c>
      <c r="AT667" s="19">
        <f t="shared" si="54"/>
        <v>2</v>
      </c>
      <c r="AU667" s="19">
        <f t="shared" ca="1" si="53"/>
        <v>2</v>
      </c>
    </row>
    <row r="668" spans="1:47" x14ac:dyDescent="0.3">
      <c r="A668" t="s">
        <v>976</v>
      </c>
      <c r="B668" t="str">
        <f t="shared" si="50"/>
        <v>S29_2026</v>
      </c>
      <c r="C668" t="str">
        <f t="shared" si="52"/>
        <v>S29_2026</v>
      </c>
      <c r="F668">
        <v>2</v>
      </c>
      <c r="G668" t="s">
        <v>40</v>
      </c>
      <c r="I668" t="s">
        <v>505</v>
      </c>
      <c r="J668" t="s">
        <v>166</v>
      </c>
      <c r="K668" t="s">
        <v>124</v>
      </c>
      <c r="L668" t="s">
        <v>166</v>
      </c>
      <c r="M668" t="s">
        <v>124</v>
      </c>
      <c r="N668" t="s">
        <v>45</v>
      </c>
      <c r="O668" t="s">
        <v>74</v>
      </c>
      <c r="P668">
        <v>3</v>
      </c>
      <c r="Q668" s="7">
        <v>46220</v>
      </c>
      <c r="R668" s="7">
        <v>46221</v>
      </c>
      <c r="S668" s="7">
        <v>46221</v>
      </c>
      <c r="T668" t="s">
        <v>45</v>
      </c>
      <c r="V668" t="s">
        <v>167</v>
      </c>
      <c r="W668" t="s">
        <v>45</v>
      </c>
      <c r="X668" t="s">
        <v>74</v>
      </c>
      <c r="Y668" t="s">
        <v>74</v>
      </c>
      <c r="Z668" t="s">
        <v>45</v>
      </c>
      <c r="AF668">
        <v>2</v>
      </c>
      <c r="AH668" t="s">
        <v>75</v>
      </c>
      <c r="AI668">
        <v>1</v>
      </c>
      <c r="AJ668" s="15"/>
      <c r="AN668"/>
      <c r="AO668"/>
      <c r="AP668"/>
      <c r="AQ668"/>
      <c r="AR668" s="18" t="str">
        <f>IFERROR(VLOOKUP(K668,[1]POP!$F:$J,1,0),M668)</f>
        <v>MADA</v>
      </c>
      <c r="AS668" s="18" t="str">
        <f t="shared" si="51"/>
        <v>BARGARAM</v>
      </c>
      <c r="AT668" s="19">
        <f t="shared" si="54"/>
        <v>2</v>
      </c>
      <c r="AU668" s="19">
        <f t="shared" ca="1" si="53"/>
        <v>2</v>
      </c>
    </row>
    <row r="669" spans="1:47" x14ac:dyDescent="0.3">
      <c r="A669" t="s">
        <v>977</v>
      </c>
      <c r="B669" t="str">
        <f t="shared" si="50"/>
        <v>S29_2026</v>
      </c>
      <c r="C669" t="str">
        <f t="shared" si="52"/>
        <v>S29_2026</v>
      </c>
      <c r="F669">
        <v>50</v>
      </c>
      <c r="G669" t="s">
        <v>40</v>
      </c>
      <c r="I669" t="s">
        <v>945</v>
      </c>
      <c r="J669" t="s">
        <v>166</v>
      </c>
      <c r="K669" t="s">
        <v>124</v>
      </c>
      <c r="L669" t="s">
        <v>166</v>
      </c>
      <c r="M669" t="s">
        <v>124</v>
      </c>
      <c r="N669" t="s">
        <v>45</v>
      </c>
      <c r="O669" t="s">
        <v>74</v>
      </c>
      <c r="P669">
        <v>3</v>
      </c>
      <c r="Q669" s="7">
        <v>46219</v>
      </c>
      <c r="R669" s="7">
        <v>46221</v>
      </c>
      <c r="S669" s="7">
        <v>46221</v>
      </c>
      <c r="T669" t="s">
        <v>45</v>
      </c>
      <c r="V669" t="s">
        <v>167</v>
      </c>
      <c r="W669" t="s">
        <v>45</v>
      </c>
      <c r="X669" t="s">
        <v>74</v>
      </c>
      <c r="Y669" t="s">
        <v>74</v>
      </c>
      <c r="Z669" t="s">
        <v>45</v>
      </c>
      <c r="AF669">
        <v>2</v>
      </c>
      <c r="AH669" t="s">
        <v>75</v>
      </c>
      <c r="AI669">
        <v>1</v>
      </c>
      <c r="AJ669" s="15"/>
      <c r="AN669"/>
      <c r="AO669"/>
      <c r="AP669"/>
      <c r="AQ669"/>
      <c r="AR669" s="18" t="str">
        <f>IFERROR(VLOOKUP(K669,[1]POP!$F:$J,1,0),M669)</f>
        <v>MADA</v>
      </c>
      <c r="AS669" s="18" t="str">
        <f t="shared" si="51"/>
        <v>BARGARAM</v>
      </c>
      <c r="AT669" s="19">
        <f t="shared" si="54"/>
        <v>2</v>
      </c>
      <c r="AU669" s="19">
        <f t="shared" ca="1" si="53"/>
        <v>2</v>
      </c>
    </row>
    <row r="670" spans="1:47" x14ac:dyDescent="0.3">
      <c r="A670" t="s">
        <v>978</v>
      </c>
      <c r="B670" t="str">
        <f t="shared" si="50"/>
        <v>S29_2026</v>
      </c>
      <c r="C670" t="str">
        <f t="shared" si="52"/>
        <v>S29_2026</v>
      </c>
      <c r="F670">
        <v>4</v>
      </c>
      <c r="G670" t="s">
        <v>40</v>
      </c>
      <c r="I670" t="s">
        <v>505</v>
      </c>
      <c r="J670" t="s">
        <v>166</v>
      </c>
      <c r="K670" t="s">
        <v>124</v>
      </c>
      <c r="L670" t="s">
        <v>166</v>
      </c>
      <c r="M670" t="s">
        <v>124</v>
      </c>
      <c r="N670" t="s">
        <v>45</v>
      </c>
      <c r="O670" t="s">
        <v>74</v>
      </c>
      <c r="P670">
        <v>3</v>
      </c>
      <c r="Q670" s="7">
        <v>46221</v>
      </c>
      <c r="R670" s="7">
        <v>46222</v>
      </c>
      <c r="S670" s="7">
        <v>46222</v>
      </c>
      <c r="T670" t="s">
        <v>45</v>
      </c>
      <c r="V670" t="s">
        <v>167</v>
      </c>
      <c r="W670" t="s">
        <v>45</v>
      </c>
      <c r="X670" t="s">
        <v>74</v>
      </c>
      <c r="Y670" t="s">
        <v>74</v>
      </c>
      <c r="Z670" t="s">
        <v>45</v>
      </c>
      <c r="AF670">
        <v>2</v>
      </c>
      <c r="AH670" t="s">
        <v>75</v>
      </c>
      <c r="AI670">
        <v>1</v>
      </c>
      <c r="AJ670" s="15"/>
      <c r="AN670"/>
      <c r="AO670"/>
      <c r="AP670"/>
      <c r="AQ670"/>
      <c r="AR670" s="18" t="str">
        <f>IFERROR(VLOOKUP(K670,[1]POP!$F:$J,1,0),M670)</f>
        <v>MADA</v>
      </c>
      <c r="AS670" s="18" t="str">
        <f t="shared" si="51"/>
        <v>BARGARAM</v>
      </c>
      <c r="AT670" s="19">
        <f t="shared" si="54"/>
        <v>2</v>
      </c>
      <c r="AU670" s="19">
        <f t="shared" ca="1" si="53"/>
        <v>2</v>
      </c>
    </row>
    <row r="671" spans="1:47" x14ac:dyDescent="0.3">
      <c r="A671" t="s">
        <v>979</v>
      </c>
      <c r="B671" t="str">
        <f t="shared" si="50"/>
        <v>S29_2026</v>
      </c>
      <c r="C671" t="str">
        <f t="shared" si="52"/>
        <v>S29_2026</v>
      </c>
      <c r="F671">
        <v>2</v>
      </c>
      <c r="G671" t="s">
        <v>55</v>
      </c>
      <c r="I671" t="s">
        <v>507</v>
      </c>
      <c r="J671" t="s">
        <v>166</v>
      </c>
      <c r="K671" t="s">
        <v>124</v>
      </c>
      <c r="L671" t="s">
        <v>166</v>
      </c>
      <c r="M671" t="s">
        <v>124</v>
      </c>
      <c r="N671" t="s">
        <v>45</v>
      </c>
      <c r="O671" t="s">
        <v>74</v>
      </c>
      <c r="P671">
        <v>3</v>
      </c>
      <c r="Q671" s="7">
        <v>46221</v>
      </c>
      <c r="R671" s="7">
        <v>46222</v>
      </c>
      <c r="S671" s="7">
        <v>46222</v>
      </c>
      <c r="T671" t="s">
        <v>45</v>
      </c>
      <c r="V671" t="s">
        <v>167</v>
      </c>
      <c r="W671" t="s">
        <v>45</v>
      </c>
      <c r="X671" t="s">
        <v>74</v>
      </c>
      <c r="Y671" t="s">
        <v>74</v>
      </c>
      <c r="Z671" t="s">
        <v>45</v>
      </c>
      <c r="AF671">
        <v>2</v>
      </c>
      <c r="AH671" t="s">
        <v>75</v>
      </c>
      <c r="AI671">
        <v>1</v>
      </c>
      <c r="AJ671" s="15"/>
      <c r="AN671"/>
      <c r="AO671"/>
      <c r="AP671"/>
      <c r="AQ671"/>
      <c r="AR671" s="18" t="str">
        <f>IFERROR(VLOOKUP(K671,[1]POP!$F:$J,1,0),M671)</f>
        <v>MADA</v>
      </c>
      <c r="AS671" s="18" t="str">
        <f t="shared" si="51"/>
        <v>BARGARAM</v>
      </c>
      <c r="AT671" s="19">
        <f t="shared" si="54"/>
        <v>2</v>
      </c>
      <c r="AU671" s="19">
        <f t="shared" ca="1" si="53"/>
        <v>2</v>
      </c>
    </row>
    <row r="672" spans="1:47" x14ac:dyDescent="0.3">
      <c r="A672" t="s">
        <v>980</v>
      </c>
      <c r="B672" t="str">
        <f t="shared" si="50"/>
        <v>S29_2026</v>
      </c>
      <c r="C672" t="str">
        <f t="shared" si="52"/>
        <v>S29_2026</v>
      </c>
      <c r="F672">
        <v>3</v>
      </c>
      <c r="G672" t="s">
        <v>55</v>
      </c>
      <c r="I672" t="s">
        <v>505</v>
      </c>
      <c r="J672" t="s">
        <v>166</v>
      </c>
      <c r="K672" t="s">
        <v>124</v>
      </c>
      <c r="L672" t="s">
        <v>166</v>
      </c>
      <c r="M672" t="s">
        <v>124</v>
      </c>
      <c r="N672" t="s">
        <v>45</v>
      </c>
      <c r="O672" t="s">
        <v>74</v>
      </c>
      <c r="P672">
        <v>3</v>
      </c>
      <c r="Q672" s="7">
        <v>46221</v>
      </c>
      <c r="R672" s="7">
        <v>46222</v>
      </c>
      <c r="S672" s="7">
        <v>46222</v>
      </c>
      <c r="T672" t="s">
        <v>45</v>
      </c>
      <c r="V672" t="s">
        <v>167</v>
      </c>
      <c r="W672" t="s">
        <v>45</v>
      </c>
      <c r="X672" t="s">
        <v>74</v>
      </c>
      <c r="Y672" t="s">
        <v>74</v>
      </c>
      <c r="Z672" t="s">
        <v>45</v>
      </c>
      <c r="AF672">
        <v>2</v>
      </c>
      <c r="AH672" t="s">
        <v>75</v>
      </c>
      <c r="AI672">
        <v>1</v>
      </c>
      <c r="AJ672" s="15"/>
      <c r="AN672"/>
      <c r="AO672"/>
      <c r="AP672"/>
      <c r="AQ672"/>
      <c r="AR672" s="18" t="str">
        <f>IFERROR(VLOOKUP(K672,[1]POP!$F:$J,1,0),M672)</f>
        <v>MADA</v>
      </c>
      <c r="AS672" s="18" t="str">
        <f t="shared" si="51"/>
        <v>BARGARAM</v>
      </c>
      <c r="AT672" s="19">
        <f t="shared" si="54"/>
        <v>2</v>
      </c>
      <c r="AU672" s="19">
        <f t="shared" ca="1" si="53"/>
        <v>2</v>
      </c>
    </row>
    <row r="673" spans="1:47" x14ac:dyDescent="0.3">
      <c r="A673" t="s">
        <v>981</v>
      </c>
      <c r="B673" t="str">
        <f t="shared" si="50"/>
        <v>S29_2026</v>
      </c>
      <c r="C673" t="str">
        <f t="shared" si="52"/>
        <v>S29_2026</v>
      </c>
      <c r="F673">
        <v>3</v>
      </c>
      <c r="G673" t="s">
        <v>40</v>
      </c>
      <c r="I673" t="s">
        <v>507</v>
      </c>
      <c r="J673" t="s">
        <v>166</v>
      </c>
      <c r="K673" t="s">
        <v>124</v>
      </c>
      <c r="L673" t="s">
        <v>166</v>
      </c>
      <c r="M673" t="s">
        <v>124</v>
      </c>
      <c r="N673" t="s">
        <v>45</v>
      </c>
      <c r="O673" t="s">
        <v>74</v>
      </c>
      <c r="P673">
        <v>3</v>
      </c>
      <c r="Q673" s="7">
        <v>46222</v>
      </c>
      <c r="R673" s="7">
        <v>46222</v>
      </c>
      <c r="S673" s="7">
        <v>46222</v>
      </c>
      <c r="T673" t="s">
        <v>45</v>
      </c>
      <c r="V673" t="s">
        <v>167</v>
      </c>
      <c r="W673" t="s">
        <v>45</v>
      </c>
      <c r="X673" t="s">
        <v>74</v>
      </c>
      <c r="Y673" t="s">
        <v>74</v>
      </c>
      <c r="Z673" t="s">
        <v>45</v>
      </c>
      <c r="AF673">
        <v>2</v>
      </c>
      <c r="AH673" t="s">
        <v>75</v>
      </c>
      <c r="AI673">
        <v>1</v>
      </c>
      <c r="AJ673" s="15"/>
      <c r="AN673"/>
      <c r="AO673"/>
      <c r="AP673"/>
      <c r="AQ673"/>
      <c r="AR673" s="18" t="str">
        <f>IFERROR(VLOOKUP(K673,[1]POP!$F:$J,1,0),M673)</f>
        <v>MADA</v>
      </c>
      <c r="AS673" s="18" t="str">
        <f t="shared" si="51"/>
        <v>BARGARAM</v>
      </c>
      <c r="AT673" s="19">
        <f t="shared" si="54"/>
        <v>2</v>
      </c>
      <c r="AU673" s="19">
        <f t="shared" ca="1" si="53"/>
        <v>2</v>
      </c>
    </row>
    <row r="674" spans="1:47" x14ac:dyDescent="0.3">
      <c r="A674" t="s">
        <v>982</v>
      </c>
      <c r="B674" t="str">
        <f t="shared" si="50"/>
        <v>S29_2026</v>
      </c>
      <c r="C674" t="str">
        <f t="shared" si="52"/>
        <v>S29_2026</v>
      </c>
      <c r="F674">
        <v>7</v>
      </c>
      <c r="G674" t="s">
        <v>55</v>
      </c>
      <c r="I674" t="s">
        <v>507</v>
      </c>
      <c r="J674" t="s">
        <v>166</v>
      </c>
      <c r="K674" t="s">
        <v>124</v>
      </c>
      <c r="L674" t="s">
        <v>166</v>
      </c>
      <c r="M674" t="s">
        <v>124</v>
      </c>
      <c r="N674" t="s">
        <v>45</v>
      </c>
      <c r="O674" t="s">
        <v>74</v>
      </c>
      <c r="P674">
        <v>3</v>
      </c>
      <c r="Q674" s="7">
        <v>46221</v>
      </c>
      <c r="R674" s="7">
        <v>46222</v>
      </c>
      <c r="S674" s="7">
        <v>46222</v>
      </c>
      <c r="T674" t="s">
        <v>45</v>
      </c>
      <c r="V674" t="s">
        <v>167</v>
      </c>
      <c r="W674" t="s">
        <v>45</v>
      </c>
      <c r="X674" t="s">
        <v>74</v>
      </c>
      <c r="Y674" t="s">
        <v>74</v>
      </c>
      <c r="Z674" t="s">
        <v>45</v>
      </c>
      <c r="AF674">
        <v>2</v>
      </c>
      <c r="AH674" t="s">
        <v>75</v>
      </c>
      <c r="AI674">
        <v>1</v>
      </c>
      <c r="AJ674" s="15"/>
      <c r="AN674"/>
      <c r="AO674"/>
      <c r="AP674"/>
      <c r="AQ674"/>
      <c r="AR674" s="18" t="str">
        <f>IFERROR(VLOOKUP(K674,[1]POP!$F:$J,1,0),M674)</f>
        <v>MADA</v>
      </c>
      <c r="AS674" s="18" t="str">
        <f t="shared" si="51"/>
        <v>BARGARAM</v>
      </c>
      <c r="AT674" s="19">
        <f t="shared" si="54"/>
        <v>2</v>
      </c>
      <c r="AU674" s="19">
        <f t="shared" ca="1" si="53"/>
        <v>2</v>
      </c>
    </row>
    <row r="675" spans="1:47" x14ac:dyDescent="0.3">
      <c r="A675" t="s">
        <v>983</v>
      </c>
      <c r="B675" t="str">
        <f t="shared" si="50"/>
        <v>S29_2026</v>
      </c>
      <c r="C675" t="str">
        <f t="shared" si="52"/>
        <v>S29_2026</v>
      </c>
      <c r="F675">
        <v>17</v>
      </c>
      <c r="G675" t="s">
        <v>40</v>
      </c>
      <c r="I675" t="s">
        <v>505</v>
      </c>
      <c r="J675" t="s">
        <v>166</v>
      </c>
      <c r="K675" t="s">
        <v>124</v>
      </c>
      <c r="L675" t="s">
        <v>166</v>
      </c>
      <c r="M675" t="s">
        <v>124</v>
      </c>
      <c r="N675" t="s">
        <v>45</v>
      </c>
      <c r="O675" t="s">
        <v>74</v>
      </c>
      <c r="P675">
        <v>3</v>
      </c>
      <c r="Q675" s="7">
        <v>46221</v>
      </c>
      <c r="R675" s="7">
        <v>46222</v>
      </c>
      <c r="S675" s="7">
        <v>46222</v>
      </c>
      <c r="T675" t="s">
        <v>45</v>
      </c>
      <c r="V675" t="s">
        <v>167</v>
      </c>
      <c r="W675" t="s">
        <v>45</v>
      </c>
      <c r="X675" t="s">
        <v>74</v>
      </c>
      <c r="Y675" t="s">
        <v>74</v>
      </c>
      <c r="Z675" t="s">
        <v>45</v>
      </c>
      <c r="AF675">
        <v>2</v>
      </c>
      <c r="AH675" t="s">
        <v>75</v>
      </c>
      <c r="AI675">
        <v>1</v>
      </c>
      <c r="AJ675" s="15"/>
      <c r="AN675"/>
      <c r="AO675"/>
      <c r="AP675"/>
      <c r="AQ675"/>
      <c r="AR675" s="18" t="str">
        <f>IFERROR(VLOOKUP(K675,[1]POP!$F:$J,1,0),M675)</f>
        <v>MADA</v>
      </c>
      <c r="AS675" s="18" t="str">
        <f t="shared" si="51"/>
        <v>BARGARAM</v>
      </c>
      <c r="AT675" s="19">
        <f t="shared" si="54"/>
        <v>2</v>
      </c>
      <c r="AU675" s="19">
        <f t="shared" ca="1" si="53"/>
        <v>2</v>
      </c>
    </row>
    <row r="676" spans="1:47" x14ac:dyDescent="0.3">
      <c r="A676" t="s">
        <v>984</v>
      </c>
      <c r="B676" t="str">
        <f t="shared" si="50"/>
        <v>S29_2026</v>
      </c>
      <c r="C676" t="str">
        <f t="shared" si="52"/>
        <v>S29_2026</v>
      </c>
      <c r="F676">
        <v>4</v>
      </c>
      <c r="G676" t="s">
        <v>40</v>
      </c>
      <c r="I676" t="s">
        <v>985</v>
      </c>
      <c r="J676" t="s">
        <v>985</v>
      </c>
      <c r="K676" t="s">
        <v>124</v>
      </c>
      <c r="L676" t="s">
        <v>985</v>
      </c>
      <c r="M676" t="s">
        <v>124</v>
      </c>
      <c r="N676" t="s">
        <v>45</v>
      </c>
      <c r="O676" t="s">
        <v>45</v>
      </c>
      <c r="P676">
        <v>1</v>
      </c>
      <c r="Q676" s="7">
        <v>46218</v>
      </c>
      <c r="R676" s="7">
        <v>46218</v>
      </c>
      <c r="S676" s="7">
        <v>46218</v>
      </c>
      <c r="T676" t="s">
        <v>45</v>
      </c>
      <c r="V676" t="s">
        <v>986</v>
      </c>
      <c r="W676" t="s">
        <v>45</v>
      </c>
      <c r="X676" t="s">
        <v>74</v>
      </c>
      <c r="Y676" t="s">
        <v>74</v>
      </c>
      <c r="Z676" t="s">
        <v>45</v>
      </c>
      <c r="AF676">
        <v>2</v>
      </c>
      <c r="AH676" t="s">
        <v>75</v>
      </c>
      <c r="AI676">
        <v>1</v>
      </c>
      <c r="AJ676" s="15"/>
      <c r="AN676"/>
      <c r="AO676"/>
      <c r="AP676"/>
      <c r="AQ676"/>
      <c r="AR676" s="18" t="str">
        <f>IFERROR(VLOOKUP(K676,[1]POP!$F:$J,1,0),M676)</f>
        <v>MADA</v>
      </c>
      <c r="AS676" s="18" t="str">
        <f t="shared" si="51"/>
        <v>KOFIA</v>
      </c>
      <c r="AT676" s="19">
        <f t="shared" si="54"/>
        <v>2</v>
      </c>
      <c r="AU676" s="19">
        <f t="shared" ca="1" si="53"/>
        <v>2</v>
      </c>
    </row>
    <row r="677" spans="1:47" x14ac:dyDescent="0.3">
      <c r="A677" t="s">
        <v>987</v>
      </c>
      <c r="B677" t="str">
        <f t="shared" si="50"/>
        <v>S29_2026</v>
      </c>
      <c r="C677" t="str">
        <f t="shared" si="52"/>
        <v>S29_2026</v>
      </c>
      <c r="F677">
        <v>6</v>
      </c>
      <c r="G677" t="s">
        <v>55</v>
      </c>
      <c r="I677" t="s">
        <v>985</v>
      </c>
      <c r="J677" t="s">
        <v>985</v>
      </c>
      <c r="K677" t="s">
        <v>124</v>
      </c>
      <c r="L677" t="s">
        <v>985</v>
      </c>
      <c r="M677" t="s">
        <v>124</v>
      </c>
      <c r="N677" t="s">
        <v>45</v>
      </c>
      <c r="O677" t="s">
        <v>45</v>
      </c>
      <c r="P677">
        <v>1</v>
      </c>
      <c r="Q677" s="7">
        <v>46218</v>
      </c>
      <c r="R677" s="7">
        <v>46218</v>
      </c>
      <c r="S677" s="7">
        <v>46218</v>
      </c>
      <c r="T677" t="s">
        <v>45</v>
      </c>
      <c r="V677" t="s">
        <v>986</v>
      </c>
      <c r="W677" t="s">
        <v>45</v>
      </c>
      <c r="X677" t="s">
        <v>74</v>
      </c>
      <c r="Y677" t="s">
        <v>74</v>
      </c>
      <c r="Z677" t="s">
        <v>45</v>
      </c>
      <c r="AF677">
        <v>2</v>
      </c>
      <c r="AH677" t="s">
        <v>75</v>
      </c>
      <c r="AI677">
        <v>1</v>
      </c>
      <c r="AJ677" s="15"/>
      <c r="AN677"/>
      <c r="AO677"/>
      <c r="AP677"/>
      <c r="AQ677"/>
      <c r="AR677" s="18" t="str">
        <f>IFERROR(VLOOKUP(K677,[1]POP!$F:$J,1,0),M677)</f>
        <v>MADA</v>
      </c>
      <c r="AS677" s="18" t="str">
        <f t="shared" si="51"/>
        <v>KOFIA</v>
      </c>
      <c r="AT677" s="19">
        <f t="shared" si="54"/>
        <v>2</v>
      </c>
      <c r="AU677" s="19">
        <f t="shared" ca="1" si="53"/>
        <v>2</v>
      </c>
    </row>
    <row r="678" spans="1:47" x14ac:dyDescent="0.3">
      <c r="A678" t="s">
        <v>988</v>
      </c>
      <c r="B678" t="str">
        <f t="shared" si="50"/>
        <v>S29_2026</v>
      </c>
      <c r="C678" t="str">
        <f t="shared" si="52"/>
        <v>S29_2026</v>
      </c>
      <c r="F678">
        <v>13</v>
      </c>
      <c r="G678" t="s">
        <v>40</v>
      </c>
      <c r="I678" t="s">
        <v>985</v>
      </c>
      <c r="J678" t="s">
        <v>985</v>
      </c>
      <c r="K678" t="s">
        <v>124</v>
      </c>
      <c r="L678" t="s">
        <v>985</v>
      </c>
      <c r="M678" t="s">
        <v>124</v>
      </c>
      <c r="N678" t="s">
        <v>45</v>
      </c>
      <c r="O678" t="s">
        <v>45</v>
      </c>
      <c r="P678">
        <v>1</v>
      </c>
      <c r="Q678" s="7">
        <v>46219</v>
      </c>
      <c r="R678" s="7">
        <v>46219</v>
      </c>
      <c r="S678" s="7">
        <v>46219</v>
      </c>
      <c r="T678" t="s">
        <v>45</v>
      </c>
      <c r="V678" t="s">
        <v>986</v>
      </c>
      <c r="W678" t="s">
        <v>45</v>
      </c>
      <c r="X678" t="s">
        <v>74</v>
      </c>
      <c r="Y678" t="s">
        <v>74</v>
      </c>
      <c r="Z678" t="s">
        <v>45</v>
      </c>
      <c r="AF678">
        <v>2</v>
      </c>
      <c r="AH678" t="s">
        <v>75</v>
      </c>
      <c r="AI678">
        <v>1</v>
      </c>
      <c r="AJ678" s="15"/>
      <c r="AN678"/>
      <c r="AO678"/>
      <c r="AP678"/>
      <c r="AQ678"/>
      <c r="AR678" s="18" t="str">
        <f>IFERROR(VLOOKUP(K678,[1]POP!$F:$J,1,0),M678)</f>
        <v>MADA</v>
      </c>
      <c r="AS678" s="18" t="str">
        <f t="shared" si="51"/>
        <v>KOFIA</v>
      </c>
      <c r="AT678" s="19">
        <f t="shared" si="54"/>
        <v>2</v>
      </c>
      <c r="AU678" s="19">
        <f t="shared" ca="1" si="53"/>
        <v>2</v>
      </c>
    </row>
    <row r="679" spans="1:47" x14ac:dyDescent="0.3">
      <c r="A679" t="s">
        <v>989</v>
      </c>
      <c r="B679" t="str">
        <f t="shared" si="50"/>
        <v>S29_2026</v>
      </c>
      <c r="C679" t="str">
        <f t="shared" si="52"/>
        <v>S29_2026</v>
      </c>
      <c r="F679">
        <v>16</v>
      </c>
      <c r="G679" t="s">
        <v>55</v>
      </c>
      <c r="I679" t="s">
        <v>985</v>
      </c>
      <c r="J679" t="s">
        <v>985</v>
      </c>
      <c r="K679" t="s">
        <v>124</v>
      </c>
      <c r="L679" t="s">
        <v>985</v>
      </c>
      <c r="M679" t="s">
        <v>124</v>
      </c>
      <c r="N679" t="s">
        <v>45</v>
      </c>
      <c r="O679" t="s">
        <v>45</v>
      </c>
      <c r="P679">
        <v>1</v>
      </c>
      <c r="Q679" s="7">
        <v>46219</v>
      </c>
      <c r="R679" s="7">
        <v>46219</v>
      </c>
      <c r="S679" s="7">
        <v>46219</v>
      </c>
      <c r="T679" t="s">
        <v>45</v>
      </c>
      <c r="V679" t="s">
        <v>986</v>
      </c>
      <c r="W679" t="s">
        <v>45</v>
      </c>
      <c r="X679" t="s">
        <v>74</v>
      </c>
      <c r="Y679" t="s">
        <v>74</v>
      </c>
      <c r="Z679" t="s">
        <v>45</v>
      </c>
      <c r="AF679">
        <v>2</v>
      </c>
      <c r="AH679" t="s">
        <v>75</v>
      </c>
      <c r="AI679">
        <v>1</v>
      </c>
      <c r="AJ679" s="15"/>
      <c r="AN679"/>
      <c r="AO679"/>
      <c r="AP679"/>
      <c r="AQ679"/>
      <c r="AR679" s="18" t="str">
        <f>IFERROR(VLOOKUP(K679,[1]POP!$F:$J,1,0),M679)</f>
        <v>MADA</v>
      </c>
      <c r="AS679" s="18" t="str">
        <f t="shared" si="51"/>
        <v>KOFIA</v>
      </c>
      <c r="AT679" s="19">
        <f t="shared" si="54"/>
        <v>2</v>
      </c>
      <c r="AU679" s="19">
        <f t="shared" ca="1" si="53"/>
        <v>2</v>
      </c>
    </row>
    <row r="680" spans="1:47" x14ac:dyDescent="0.3">
      <c r="A680" t="s">
        <v>990</v>
      </c>
      <c r="B680" t="str">
        <f t="shared" si="50"/>
        <v>S29_2026</v>
      </c>
      <c r="C680" t="str">
        <f t="shared" si="52"/>
        <v>S29_2026</v>
      </c>
      <c r="F680">
        <v>20</v>
      </c>
      <c r="G680" t="s">
        <v>40</v>
      </c>
      <c r="I680" t="s">
        <v>573</v>
      </c>
      <c r="J680" t="s">
        <v>401</v>
      </c>
      <c r="K680" t="s">
        <v>124</v>
      </c>
      <c r="L680" t="s">
        <v>401</v>
      </c>
      <c r="M680" t="s">
        <v>124</v>
      </c>
      <c r="N680" t="s">
        <v>45</v>
      </c>
      <c r="O680" t="s">
        <v>45</v>
      </c>
      <c r="P680">
        <v>3</v>
      </c>
      <c r="Q680" s="7">
        <v>46217</v>
      </c>
      <c r="R680" s="7">
        <v>46217</v>
      </c>
      <c r="S680" s="7">
        <v>46217</v>
      </c>
      <c r="T680" t="s">
        <v>45</v>
      </c>
      <c r="V680" t="s">
        <v>574</v>
      </c>
      <c r="W680" t="s">
        <v>45</v>
      </c>
      <c r="X680" t="s">
        <v>74</v>
      </c>
      <c r="Y680" t="s">
        <v>45</v>
      </c>
      <c r="Z680" t="s">
        <v>74</v>
      </c>
      <c r="AF680">
        <v>2</v>
      </c>
      <c r="AH680" t="s">
        <v>75</v>
      </c>
      <c r="AI680">
        <v>1</v>
      </c>
      <c r="AJ680" s="15"/>
      <c r="AK680" t="s">
        <v>74</v>
      </c>
      <c r="AN680"/>
      <c r="AO680"/>
      <c r="AP680"/>
      <c r="AQ680"/>
      <c r="AR680" s="18" t="str">
        <f>IFERROR(VLOOKUP(K680,[1]POP!$F:$J,1,0),M680)</f>
        <v>MADA</v>
      </c>
      <c r="AS680" s="18" t="str">
        <f t="shared" si="51"/>
        <v>DARAK</v>
      </c>
      <c r="AT680" s="19">
        <f t="shared" si="54"/>
        <v>2</v>
      </c>
      <c r="AU680" s="19">
        <f t="shared" ca="1" si="53"/>
        <v>2</v>
      </c>
    </row>
    <row r="681" spans="1:47" x14ac:dyDescent="0.3">
      <c r="A681" t="s">
        <v>991</v>
      </c>
      <c r="B681" t="str">
        <f t="shared" si="50"/>
        <v>S29_2026</v>
      </c>
      <c r="C681" t="str">
        <f t="shared" si="52"/>
        <v>S29_2026</v>
      </c>
      <c r="F681">
        <v>1</v>
      </c>
      <c r="G681" t="s">
        <v>55</v>
      </c>
      <c r="I681" t="s">
        <v>573</v>
      </c>
      <c r="J681" t="s">
        <v>401</v>
      </c>
      <c r="K681" t="s">
        <v>124</v>
      </c>
      <c r="L681" t="s">
        <v>401</v>
      </c>
      <c r="M681" t="s">
        <v>124</v>
      </c>
      <c r="N681" t="s">
        <v>45</v>
      </c>
      <c r="O681" t="s">
        <v>45</v>
      </c>
      <c r="P681">
        <v>3</v>
      </c>
      <c r="Q681" s="7">
        <v>46217</v>
      </c>
      <c r="R681" s="7">
        <v>46217</v>
      </c>
      <c r="S681" s="7">
        <v>46217</v>
      </c>
      <c r="T681" t="s">
        <v>45</v>
      </c>
      <c r="V681" t="s">
        <v>574</v>
      </c>
      <c r="W681" t="s">
        <v>45</v>
      </c>
      <c r="X681" t="s">
        <v>74</v>
      </c>
      <c r="Y681" t="s">
        <v>45</v>
      </c>
      <c r="Z681" t="s">
        <v>74</v>
      </c>
      <c r="AF681">
        <v>2</v>
      </c>
      <c r="AH681" t="s">
        <v>75</v>
      </c>
      <c r="AI681">
        <v>1</v>
      </c>
      <c r="AJ681" s="15"/>
      <c r="AN681"/>
      <c r="AO681"/>
      <c r="AP681"/>
      <c r="AQ681"/>
      <c r="AR681" s="18" t="str">
        <f>IFERROR(VLOOKUP(K681,[1]POP!$F:$J,1,0),M681)</f>
        <v>MADA</v>
      </c>
      <c r="AS681" s="18" t="str">
        <f t="shared" si="51"/>
        <v>DARAK</v>
      </c>
      <c r="AT681" s="19">
        <f t="shared" si="54"/>
        <v>2</v>
      </c>
      <c r="AU681" s="19">
        <f t="shared" ca="1" si="53"/>
        <v>2</v>
      </c>
    </row>
    <row r="682" spans="1:47" x14ac:dyDescent="0.3">
      <c r="A682" t="s">
        <v>992</v>
      </c>
      <c r="B682" t="str">
        <f t="shared" si="50"/>
        <v>S29_2026</v>
      </c>
      <c r="C682" t="str">
        <f t="shared" si="52"/>
        <v>S29_2026</v>
      </c>
      <c r="F682">
        <v>3</v>
      </c>
      <c r="G682" t="s">
        <v>40</v>
      </c>
      <c r="I682" t="s">
        <v>573</v>
      </c>
      <c r="J682" t="s">
        <v>401</v>
      </c>
      <c r="K682" t="s">
        <v>124</v>
      </c>
      <c r="L682" t="s">
        <v>401</v>
      </c>
      <c r="M682" t="s">
        <v>124</v>
      </c>
      <c r="N682" t="s">
        <v>45</v>
      </c>
      <c r="O682" t="s">
        <v>45</v>
      </c>
      <c r="P682">
        <v>3</v>
      </c>
      <c r="Q682" s="7">
        <v>46217</v>
      </c>
      <c r="R682" s="7">
        <v>46217</v>
      </c>
      <c r="S682" s="7">
        <v>46217</v>
      </c>
      <c r="T682" t="s">
        <v>45</v>
      </c>
      <c r="V682" t="s">
        <v>574</v>
      </c>
      <c r="W682" t="s">
        <v>45</v>
      </c>
      <c r="X682" t="s">
        <v>74</v>
      </c>
      <c r="Y682" t="s">
        <v>45</v>
      </c>
      <c r="Z682" t="s">
        <v>74</v>
      </c>
      <c r="AF682">
        <v>2</v>
      </c>
      <c r="AH682" t="s">
        <v>75</v>
      </c>
      <c r="AI682">
        <v>1</v>
      </c>
      <c r="AJ682" s="15"/>
      <c r="AN682"/>
      <c r="AO682"/>
      <c r="AP682"/>
      <c r="AQ682"/>
      <c r="AR682" s="18" t="str">
        <f>IFERROR(VLOOKUP(K682,[1]POP!$F:$J,1,0),M682)</f>
        <v>MADA</v>
      </c>
      <c r="AS682" s="18" t="str">
        <f t="shared" si="51"/>
        <v>DARAK</v>
      </c>
      <c r="AT682" s="19">
        <f t="shared" si="54"/>
        <v>2</v>
      </c>
      <c r="AU682" s="19">
        <f t="shared" ca="1" si="53"/>
        <v>2</v>
      </c>
    </row>
    <row r="683" spans="1:47" x14ac:dyDescent="0.3">
      <c r="A683" t="s">
        <v>993</v>
      </c>
      <c r="B683" t="str">
        <f t="shared" si="50"/>
        <v>S29_2026</v>
      </c>
      <c r="C683" t="str">
        <f t="shared" si="52"/>
        <v>S29_2026</v>
      </c>
      <c r="F683">
        <v>8</v>
      </c>
      <c r="G683" t="s">
        <v>40</v>
      </c>
      <c r="I683" t="s">
        <v>573</v>
      </c>
      <c r="J683" t="s">
        <v>401</v>
      </c>
      <c r="K683" t="s">
        <v>124</v>
      </c>
      <c r="L683" t="s">
        <v>401</v>
      </c>
      <c r="M683" t="s">
        <v>124</v>
      </c>
      <c r="N683" t="s">
        <v>45</v>
      </c>
      <c r="O683" t="s">
        <v>45</v>
      </c>
      <c r="P683">
        <v>3</v>
      </c>
      <c r="Q683" s="7">
        <v>46218</v>
      </c>
      <c r="R683" s="7">
        <v>46217</v>
      </c>
      <c r="S683" s="7">
        <v>46217</v>
      </c>
      <c r="T683" t="s">
        <v>45</v>
      </c>
      <c r="V683" t="s">
        <v>574</v>
      </c>
      <c r="W683" t="s">
        <v>45</v>
      </c>
      <c r="X683" t="s">
        <v>74</v>
      </c>
      <c r="Y683" t="s">
        <v>45</v>
      </c>
      <c r="Z683" t="s">
        <v>74</v>
      </c>
      <c r="AF683">
        <v>2</v>
      </c>
      <c r="AH683" t="s">
        <v>75</v>
      </c>
      <c r="AI683">
        <v>1</v>
      </c>
      <c r="AJ683" s="15"/>
      <c r="AN683"/>
      <c r="AO683"/>
      <c r="AP683"/>
      <c r="AQ683"/>
      <c r="AR683" s="18" t="str">
        <f>IFERROR(VLOOKUP(K683,[1]POP!$F:$J,1,0),M683)</f>
        <v>MADA</v>
      </c>
      <c r="AS683" s="18" t="str">
        <f t="shared" si="51"/>
        <v>DARAK</v>
      </c>
      <c r="AT683" s="19">
        <f t="shared" si="54"/>
        <v>2</v>
      </c>
      <c r="AU683" s="19">
        <f t="shared" ca="1" si="53"/>
        <v>2</v>
      </c>
    </row>
    <row r="684" spans="1:47" x14ac:dyDescent="0.3">
      <c r="A684" t="s">
        <v>994</v>
      </c>
      <c r="B684" t="str">
        <f t="shared" si="50"/>
        <v>S29_2026</v>
      </c>
      <c r="C684" t="str">
        <f t="shared" si="52"/>
        <v>S29_2026</v>
      </c>
      <c r="F684">
        <v>12</v>
      </c>
      <c r="G684" t="s">
        <v>40</v>
      </c>
      <c r="I684" t="s">
        <v>573</v>
      </c>
      <c r="J684" t="s">
        <v>401</v>
      </c>
      <c r="K684" t="s">
        <v>124</v>
      </c>
      <c r="L684" t="s">
        <v>401</v>
      </c>
      <c r="M684" t="s">
        <v>124</v>
      </c>
      <c r="N684" t="s">
        <v>45</v>
      </c>
      <c r="O684" t="s">
        <v>45</v>
      </c>
      <c r="P684">
        <v>3</v>
      </c>
      <c r="Q684" s="7">
        <v>46218</v>
      </c>
      <c r="R684" s="7">
        <v>46218</v>
      </c>
      <c r="S684" s="7">
        <v>46218</v>
      </c>
      <c r="T684" t="s">
        <v>45</v>
      </c>
      <c r="V684" t="s">
        <v>574</v>
      </c>
      <c r="W684" t="s">
        <v>45</v>
      </c>
      <c r="X684" t="s">
        <v>74</v>
      </c>
      <c r="Y684" t="s">
        <v>45</v>
      </c>
      <c r="Z684" t="s">
        <v>74</v>
      </c>
      <c r="AF684">
        <v>2</v>
      </c>
      <c r="AH684" t="s">
        <v>75</v>
      </c>
      <c r="AI684">
        <v>1</v>
      </c>
      <c r="AJ684" s="15"/>
      <c r="AN684"/>
      <c r="AO684"/>
      <c r="AP684"/>
      <c r="AQ684"/>
      <c r="AR684" s="18" t="str">
        <f>IFERROR(VLOOKUP(K684,[1]POP!$F:$J,1,0),M684)</f>
        <v>MADA</v>
      </c>
      <c r="AS684" s="18" t="str">
        <f t="shared" si="51"/>
        <v>DARAK</v>
      </c>
      <c r="AT684" s="19">
        <f t="shared" si="54"/>
        <v>2</v>
      </c>
      <c r="AU684" s="19">
        <f t="shared" ca="1" si="53"/>
        <v>2</v>
      </c>
    </row>
    <row r="685" spans="1:47" x14ac:dyDescent="0.3">
      <c r="A685" t="s">
        <v>995</v>
      </c>
      <c r="B685" t="str">
        <f t="shared" si="50"/>
        <v>S29_2026</v>
      </c>
      <c r="C685" t="str">
        <f t="shared" si="52"/>
        <v>S29_2026</v>
      </c>
      <c r="F685">
        <v>12</v>
      </c>
      <c r="G685" t="s">
        <v>55</v>
      </c>
      <c r="I685" t="s">
        <v>996</v>
      </c>
      <c r="J685" t="s">
        <v>401</v>
      </c>
      <c r="K685" t="s">
        <v>124</v>
      </c>
      <c r="L685" t="s">
        <v>401</v>
      </c>
      <c r="M685" t="s">
        <v>124</v>
      </c>
      <c r="N685" t="s">
        <v>45</v>
      </c>
      <c r="O685" t="s">
        <v>45</v>
      </c>
      <c r="P685">
        <v>3</v>
      </c>
      <c r="Q685" s="7">
        <v>46219</v>
      </c>
      <c r="R685" s="7">
        <v>46218</v>
      </c>
      <c r="S685" s="7">
        <v>46218</v>
      </c>
      <c r="T685" t="s">
        <v>45</v>
      </c>
      <c r="V685" t="s">
        <v>574</v>
      </c>
      <c r="W685" t="s">
        <v>45</v>
      </c>
      <c r="X685" t="s">
        <v>74</v>
      </c>
      <c r="Y685" t="s">
        <v>45</v>
      </c>
      <c r="Z685" t="s">
        <v>74</v>
      </c>
      <c r="AF685">
        <v>2</v>
      </c>
      <c r="AH685" t="s">
        <v>75</v>
      </c>
      <c r="AI685">
        <v>1</v>
      </c>
      <c r="AJ685" s="15"/>
      <c r="AN685"/>
      <c r="AO685"/>
      <c r="AP685"/>
      <c r="AQ685"/>
      <c r="AR685" s="18" t="str">
        <f>IFERROR(VLOOKUP(K685,[1]POP!$F:$J,1,0),M685)</f>
        <v>MADA</v>
      </c>
      <c r="AS685" s="18" t="str">
        <f t="shared" si="51"/>
        <v>DARAK</v>
      </c>
      <c r="AT685" s="19">
        <f t="shared" si="54"/>
        <v>2</v>
      </c>
      <c r="AU685" s="19">
        <f t="shared" ca="1" si="53"/>
        <v>2</v>
      </c>
    </row>
    <row r="686" spans="1:47" x14ac:dyDescent="0.3">
      <c r="A686" t="s">
        <v>997</v>
      </c>
      <c r="B686" t="str">
        <f t="shared" si="50"/>
        <v>S29_2026</v>
      </c>
      <c r="C686" t="str">
        <f t="shared" si="52"/>
        <v>S29_2026</v>
      </c>
      <c r="F686">
        <v>18</v>
      </c>
      <c r="G686" t="s">
        <v>55</v>
      </c>
      <c r="I686" t="s">
        <v>996</v>
      </c>
      <c r="J686" t="s">
        <v>401</v>
      </c>
      <c r="K686" t="s">
        <v>124</v>
      </c>
      <c r="L686" t="s">
        <v>401</v>
      </c>
      <c r="M686" t="s">
        <v>124</v>
      </c>
      <c r="N686" t="s">
        <v>45</v>
      </c>
      <c r="O686" t="s">
        <v>45</v>
      </c>
      <c r="P686">
        <v>3</v>
      </c>
      <c r="Q686" s="7">
        <v>46219</v>
      </c>
      <c r="R686" s="7">
        <v>46219</v>
      </c>
      <c r="S686" s="7">
        <v>46219</v>
      </c>
      <c r="T686" t="s">
        <v>45</v>
      </c>
      <c r="V686" t="s">
        <v>574</v>
      </c>
      <c r="W686" t="s">
        <v>45</v>
      </c>
      <c r="X686" t="s">
        <v>74</v>
      </c>
      <c r="Y686" t="s">
        <v>45</v>
      </c>
      <c r="Z686" t="s">
        <v>74</v>
      </c>
      <c r="AF686">
        <v>2</v>
      </c>
      <c r="AH686" t="s">
        <v>75</v>
      </c>
      <c r="AI686">
        <v>1</v>
      </c>
      <c r="AJ686" s="15"/>
      <c r="AN686"/>
      <c r="AO686"/>
      <c r="AP686"/>
      <c r="AQ686"/>
      <c r="AR686" s="18" t="str">
        <f>IFERROR(VLOOKUP(K686,[1]POP!$F:$J,1,0),M686)</f>
        <v>MADA</v>
      </c>
      <c r="AS686" s="18" t="str">
        <f t="shared" si="51"/>
        <v>DARAK</v>
      </c>
      <c r="AT686" s="19">
        <f t="shared" si="54"/>
        <v>2</v>
      </c>
      <c r="AU686" s="19">
        <f t="shared" ca="1" si="53"/>
        <v>2</v>
      </c>
    </row>
    <row r="687" spans="1:47" x14ac:dyDescent="0.3">
      <c r="A687" t="s">
        <v>998</v>
      </c>
      <c r="B687" t="str">
        <f t="shared" si="50"/>
        <v>S29_2026</v>
      </c>
      <c r="C687" t="str">
        <f t="shared" si="52"/>
        <v>S29_2026</v>
      </c>
      <c r="F687">
        <v>4</v>
      </c>
      <c r="G687" t="s">
        <v>55</v>
      </c>
      <c r="I687" t="s">
        <v>996</v>
      </c>
      <c r="J687" t="s">
        <v>401</v>
      </c>
      <c r="K687" t="s">
        <v>124</v>
      </c>
      <c r="L687" t="s">
        <v>401</v>
      </c>
      <c r="M687" t="s">
        <v>124</v>
      </c>
      <c r="N687" t="s">
        <v>45</v>
      </c>
      <c r="O687" t="s">
        <v>45</v>
      </c>
      <c r="P687">
        <v>3</v>
      </c>
      <c r="Q687" s="7">
        <v>46219</v>
      </c>
      <c r="R687" s="7">
        <v>46219</v>
      </c>
      <c r="S687" s="7">
        <v>46219</v>
      </c>
      <c r="T687" t="s">
        <v>45</v>
      </c>
      <c r="V687" t="s">
        <v>574</v>
      </c>
      <c r="W687" t="s">
        <v>45</v>
      </c>
      <c r="X687" t="s">
        <v>74</v>
      </c>
      <c r="Y687" t="s">
        <v>45</v>
      </c>
      <c r="Z687" t="s">
        <v>74</v>
      </c>
      <c r="AF687">
        <v>2</v>
      </c>
      <c r="AH687" t="s">
        <v>75</v>
      </c>
      <c r="AI687">
        <v>1</v>
      </c>
      <c r="AJ687" s="15"/>
      <c r="AN687"/>
      <c r="AO687"/>
      <c r="AP687"/>
      <c r="AQ687"/>
      <c r="AR687" s="18" t="str">
        <f>IFERROR(VLOOKUP(K687,[1]POP!$F:$J,1,0),M687)</f>
        <v>MADA</v>
      </c>
      <c r="AS687" s="18" t="str">
        <f t="shared" si="51"/>
        <v>DARAK</v>
      </c>
      <c r="AT687" s="19">
        <f t="shared" si="54"/>
        <v>2</v>
      </c>
      <c r="AU687" s="19">
        <f t="shared" ca="1" si="53"/>
        <v>2</v>
      </c>
    </row>
    <row r="688" spans="1:47" x14ac:dyDescent="0.3">
      <c r="A688" t="s">
        <v>999</v>
      </c>
      <c r="B688" t="str">
        <f t="shared" si="50"/>
        <v>S29_2026</v>
      </c>
      <c r="C688" t="str">
        <f t="shared" si="52"/>
        <v>S29_2026</v>
      </c>
      <c r="F688">
        <v>25</v>
      </c>
      <c r="G688" t="s">
        <v>40</v>
      </c>
      <c r="I688" t="s">
        <v>996</v>
      </c>
      <c r="J688" t="s">
        <v>401</v>
      </c>
      <c r="K688" t="s">
        <v>124</v>
      </c>
      <c r="L688" t="s">
        <v>401</v>
      </c>
      <c r="M688" t="s">
        <v>124</v>
      </c>
      <c r="N688" t="s">
        <v>45</v>
      </c>
      <c r="O688" t="s">
        <v>45</v>
      </c>
      <c r="P688">
        <v>3</v>
      </c>
      <c r="Q688" s="7">
        <v>46219</v>
      </c>
      <c r="R688" s="7">
        <v>46219</v>
      </c>
      <c r="S688" s="7">
        <v>46219</v>
      </c>
      <c r="T688" t="s">
        <v>45</v>
      </c>
      <c r="V688" t="s">
        <v>574</v>
      </c>
      <c r="W688" t="s">
        <v>45</v>
      </c>
      <c r="X688" t="s">
        <v>74</v>
      </c>
      <c r="Y688" t="s">
        <v>45</v>
      </c>
      <c r="Z688" t="s">
        <v>74</v>
      </c>
      <c r="AF688">
        <v>2</v>
      </c>
      <c r="AH688" t="s">
        <v>75</v>
      </c>
      <c r="AI688">
        <v>1</v>
      </c>
      <c r="AJ688" s="15"/>
      <c r="AN688"/>
      <c r="AO688"/>
      <c r="AP688"/>
      <c r="AQ688"/>
      <c r="AR688" s="18" t="str">
        <f>IFERROR(VLOOKUP(K688,[1]POP!$F:$J,1,0),M688)</f>
        <v>MADA</v>
      </c>
      <c r="AS688" s="18" t="str">
        <f t="shared" si="51"/>
        <v>DARAK</v>
      </c>
      <c r="AT688" s="19">
        <f t="shared" si="54"/>
        <v>2</v>
      </c>
      <c r="AU688" s="19">
        <f t="shared" ca="1" si="53"/>
        <v>2</v>
      </c>
    </row>
    <row r="689" spans="1:47" x14ac:dyDescent="0.3">
      <c r="A689" t="s">
        <v>1000</v>
      </c>
      <c r="B689" t="str">
        <f t="shared" si="50"/>
        <v>S29_2026</v>
      </c>
      <c r="C689" t="str">
        <f t="shared" si="52"/>
        <v>S29_2026</v>
      </c>
      <c r="F689">
        <v>4</v>
      </c>
      <c r="G689" t="s">
        <v>55</v>
      </c>
      <c r="I689" t="s">
        <v>573</v>
      </c>
      <c r="J689" t="s">
        <v>401</v>
      </c>
      <c r="K689" t="s">
        <v>124</v>
      </c>
      <c r="L689" t="s">
        <v>401</v>
      </c>
      <c r="M689" t="s">
        <v>124</v>
      </c>
      <c r="N689" t="s">
        <v>45</v>
      </c>
      <c r="O689" t="s">
        <v>45</v>
      </c>
      <c r="P689">
        <v>3</v>
      </c>
      <c r="Q689" s="7">
        <v>46219</v>
      </c>
      <c r="R689" s="7">
        <v>46219</v>
      </c>
      <c r="S689" s="7">
        <v>46219</v>
      </c>
      <c r="T689" t="s">
        <v>45</v>
      </c>
      <c r="V689" t="s">
        <v>574</v>
      </c>
      <c r="W689" t="s">
        <v>45</v>
      </c>
      <c r="X689" t="s">
        <v>74</v>
      </c>
      <c r="Y689" t="s">
        <v>45</v>
      </c>
      <c r="Z689" t="s">
        <v>74</v>
      </c>
      <c r="AF689">
        <v>2</v>
      </c>
      <c r="AH689" t="s">
        <v>75</v>
      </c>
      <c r="AI689">
        <v>1</v>
      </c>
      <c r="AJ689" s="15"/>
      <c r="AN689"/>
      <c r="AO689"/>
      <c r="AP689"/>
      <c r="AQ689"/>
      <c r="AR689" s="18" t="str">
        <f>IFERROR(VLOOKUP(K689,[1]POP!$F:$J,1,0),M689)</f>
        <v>MADA</v>
      </c>
      <c r="AS689" s="18" t="str">
        <f t="shared" si="51"/>
        <v>DARAK</v>
      </c>
      <c r="AT689" s="19">
        <f t="shared" si="54"/>
        <v>2</v>
      </c>
      <c r="AU689" s="19">
        <f t="shared" ca="1" si="53"/>
        <v>2</v>
      </c>
    </row>
    <row r="690" spans="1:47" x14ac:dyDescent="0.3">
      <c r="A690" t="s">
        <v>1001</v>
      </c>
      <c r="B690" t="str">
        <f t="shared" si="50"/>
        <v>S29_2026</v>
      </c>
      <c r="C690" t="str">
        <f t="shared" si="52"/>
        <v>S29_2026</v>
      </c>
      <c r="F690">
        <v>7</v>
      </c>
      <c r="G690" t="s">
        <v>40</v>
      </c>
      <c r="I690" t="s">
        <v>573</v>
      </c>
      <c r="J690" t="s">
        <v>401</v>
      </c>
      <c r="K690" t="s">
        <v>124</v>
      </c>
      <c r="L690" t="s">
        <v>401</v>
      </c>
      <c r="M690" t="s">
        <v>124</v>
      </c>
      <c r="N690" t="s">
        <v>45</v>
      </c>
      <c r="O690" t="s">
        <v>45</v>
      </c>
      <c r="P690">
        <v>3</v>
      </c>
      <c r="Q690" s="7">
        <v>46219</v>
      </c>
      <c r="R690" s="7">
        <v>46219</v>
      </c>
      <c r="S690" s="7">
        <v>46219</v>
      </c>
      <c r="T690" t="s">
        <v>45</v>
      </c>
      <c r="V690" t="s">
        <v>574</v>
      </c>
      <c r="W690" t="s">
        <v>45</v>
      </c>
      <c r="X690" t="s">
        <v>74</v>
      </c>
      <c r="Y690" t="s">
        <v>45</v>
      </c>
      <c r="Z690" t="s">
        <v>74</v>
      </c>
      <c r="AF690">
        <v>2</v>
      </c>
      <c r="AH690" t="s">
        <v>75</v>
      </c>
      <c r="AI690">
        <v>1</v>
      </c>
      <c r="AJ690" s="15"/>
      <c r="AN690"/>
      <c r="AO690"/>
      <c r="AP690"/>
      <c r="AQ690"/>
      <c r="AR690" s="18" t="str">
        <f>IFERROR(VLOOKUP(K690,[1]POP!$F:$J,1,0),M690)</f>
        <v>MADA</v>
      </c>
      <c r="AS690" s="18" t="str">
        <f t="shared" si="51"/>
        <v>DARAK</v>
      </c>
      <c r="AT690" s="19">
        <f t="shared" si="54"/>
        <v>2</v>
      </c>
      <c r="AU690" s="19">
        <f t="shared" ca="1" si="53"/>
        <v>2</v>
      </c>
    </row>
    <row r="691" spans="1:47" x14ac:dyDescent="0.3">
      <c r="A691" t="s">
        <v>1002</v>
      </c>
      <c r="B691" t="str">
        <f t="shared" si="50"/>
        <v>S29_2026</v>
      </c>
      <c r="C691" t="str">
        <f t="shared" si="52"/>
        <v>S29_2026</v>
      </c>
      <c r="F691">
        <v>22</v>
      </c>
      <c r="G691" t="s">
        <v>55</v>
      </c>
      <c r="I691" t="s">
        <v>573</v>
      </c>
      <c r="J691" t="s">
        <v>401</v>
      </c>
      <c r="K691" t="s">
        <v>124</v>
      </c>
      <c r="L691" t="s">
        <v>401</v>
      </c>
      <c r="M691" t="s">
        <v>124</v>
      </c>
      <c r="N691" t="s">
        <v>45</v>
      </c>
      <c r="O691" t="s">
        <v>45</v>
      </c>
      <c r="P691">
        <v>3</v>
      </c>
      <c r="Q691" s="7">
        <v>46219</v>
      </c>
      <c r="R691" s="7">
        <v>46219</v>
      </c>
      <c r="S691" s="7">
        <v>46219</v>
      </c>
      <c r="T691" t="s">
        <v>45</v>
      </c>
      <c r="V691" t="s">
        <v>574</v>
      </c>
      <c r="W691" t="s">
        <v>45</v>
      </c>
      <c r="X691" t="s">
        <v>74</v>
      </c>
      <c r="Y691" t="s">
        <v>45</v>
      </c>
      <c r="Z691" t="s">
        <v>74</v>
      </c>
      <c r="AF691">
        <v>2</v>
      </c>
      <c r="AH691" t="s">
        <v>75</v>
      </c>
      <c r="AI691">
        <v>1</v>
      </c>
      <c r="AJ691" s="15"/>
      <c r="AN691"/>
      <c r="AO691"/>
      <c r="AP691"/>
      <c r="AQ691"/>
      <c r="AR691" s="18" t="str">
        <f>IFERROR(VLOOKUP(K691,[1]POP!$F:$J,1,0),M691)</f>
        <v>MADA</v>
      </c>
      <c r="AS691" s="18" t="str">
        <f t="shared" si="51"/>
        <v>DARAK</v>
      </c>
      <c r="AT691" s="19">
        <f t="shared" si="54"/>
        <v>2</v>
      </c>
      <c r="AU691" s="19">
        <f t="shared" ca="1" si="53"/>
        <v>2</v>
      </c>
    </row>
    <row r="692" spans="1:47" x14ac:dyDescent="0.3">
      <c r="A692" t="s">
        <v>1003</v>
      </c>
      <c r="B692" t="str">
        <f t="shared" si="50"/>
        <v>S29_2026</v>
      </c>
      <c r="C692" t="str">
        <f t="shared" si="52"/>
        <v>S29_2026</v>
      </c>
      <c r="F692">
        <v>8</v>
      </c>
      <c r="G692" t="s">
        <v>40</v>
      </c>
      <c r="I692" t="s">
        <v>573</v>
      </c>
      <c r="J692" t="s">
        <v>401</v>
      </c>
      <c r="K692" t="s">
        <v>124</v>
      </c>
      <c r="L692" t="s">
        <v>401</v>
      </c>
      <c r="M692" t="s">
        <v>124</v>
      </c>
      <c r="N692" t="s">
        <v>45</v>
      </c>
      <c r="O692" t="s">
        <v>45</v>
      </c>
      <c r="P692">
        <v>3</v>
      </c>
      <c r="Q692" s="7">
        <v>46221</v>
      </c>
      <c r="R692" s="7">
        <v>46221</v>
      </c>
      <c r="S692" s="7">
        <v>46221</v>
      </c>
      <c r="T692" t="s">
        <v>45</v>
      </c>
      <c r="V692" t="s">
        <v>574</v>
      </c>
      <c r="W692" t="s">
        <v>45</v>
      </c>
      <c r="X692" t="s">
        <v>74</v>
      </c>
      <c r="Y692" t="s">
        <v>45</v>
      </c>
      <c r="Z692" t="s">
        <v>74</v>
      </c>
      <c r="AF692">
        <v>2</v>
      </c>
      <c r="AH692" t="s">
        <v>75</v>
      </c>
      <c r="AI692">
        <v>1</v>
      </c>
      <c r="AJ692" s="15"/>
      <c r="AN692"/>
      <c r="AO692"/>
      <c r="AP692"/>
      <c r="AQ692"/>
      <c r="AR692" s="18" t="str">
        <f>IFERROR(VLOOKUP(K692,[1]POP!$F:$J,1,0),M692)</f>
        <v>MADA</v>
      </c>
      <c r="AS692" s="18" t="str">
        <f t="shared" si="51"/>
        <v>DARAK</v>
      </c>
      <c r="AT692" s="19">
        <f t="shared" si="54"/>
        <v>2</v>
      </c>
      <c r="AU692" s="19">
        <f t="shared" ca="1" si="53"/>
        <v>2</v>
      </c>
    </row>
    <row r="693" spans="1:47" x14ac:dyDescent="0.3">
      <c r="A693" t="s">
        <v>1004</v>
      </c>
      <c r="B693" t="str">
        <f t="shared" si="50"/>
        <v>S29_2026</v>
      </c>
      <c r="C693" t="str">
        <f t="shared" si="52"/>
        <v>S29_2026</v>
      </c>
      <c r="F693">
        <v>16</v>
      </c>
      <c r="G693" t="s">
        <v>40</v>
      </c>
      <c r="I693" t="s">
        <v>1005</v>
      </c>
      <c r="J693" t="s">
        <v>401</v>
      </c>
      <c r="K693" t="s">
        <v>124</v>
      </c>
      <c r="L693" t="s">
        <v>401</v>
      </c>
      <c r="M693" t="s">
        <v>124</v>
      </c>
      <c r="N693" t="s">
        <v>45</v>
      </c>
      <c r="O693" t="s">
        <v>45</v>
      </c>
      <c r="P693">
        <v>3</v>
      </c>
      <c r="Q693" s="7">
        <v>46222</v>
      </c>
      <c r="R693" s="7">
        <v>46222</v>
      </c>
      <c r="S693" s="7">
        <v>46222</v>
      </c>
      <c r="T693" t="s">
        <v>45</v>
      </c>
      <c r="V693" t="s">
        <v>574</v>
      </c>
      <c r="W693" t="s">
        <v>45</v>
      </c>
      <c r="X693" t="s">
        <v>74</v>
      </c>
      <c r="Y693" t="s">
        <v>45</v>
      </c>
      <c r="Z693" t="s">
        <v>74</v>
      </c>
      <c r="AF693">
        <v>2</v>
      </c>
      <c r="AH693" t="s">
        <v>75</v>
      </c>
      <c r="AI693">
        <v>1</v>
      </c>
      <c r="AJ693" s="15"/>
      <c r="AN693"/>
      <c r="AO693"/>
      <c r="AP693"/>
      <c r="AQ693"/>
      <c r="AR693" s="18" t="str">
        <f>IFERROR(VLOOKUP(K693,[1]POP!$F:$J,1,0),M693)</f>
        <v>MADA</v>
      </c>
      <c r="AS693" s="18" t="str">
        <f t="shared" si="51"/>
        <v>DARAK</v>
      </c>
      <c r="AT693" s="19">
        <f t="shared" si="54"/>
        <v>2</v>
      </c>
      <c r="AU693" s="19">
        <f t="shared" ca="1" si="53"/>
        <v>2</v>
      </c>
    </row>
    <row r="694" spans="1:47" x14ac:dyDescent="0.3">
      <c r="A694" t="s">
        <v>1006</v>
      </c>
      <c r="B694" t="str">
        <f t="shared" si="50"/>
        <v>S29_2026</v>
      </c>
      <c r="C694" t="str">
        <f t="shared" si="52"/>
        <v>S29_2026</v>
      </c>
      <c r="F694">
        <v>26</v>
      </c>
      <c r="G694" t="s">
        <v>55</v>
      </c>
      <c r="I694" t="s">
        <v>1007</v>
      </c>
      <c r="J694" t="s">
        <v>1008</v>
      </c>
      <c r="K694" t="s">
        <v>124</v>
      </c>
      <c r="L694" t="s">
        <v>1008</v>
      </c>
      <c r="M694" t="s">
        <v>124</v>
      </c>
      <c r="N694" t="s">
        <v>45</v>
      </c>
      <c r="O694" t="s">
        <v>45</v>
      </c>
      <c r="P694">
        <v>3</v>
      </c>
      <c r="Q694" s="7">
        <v>46220</v>
      </c>
      <c r="R694" s="7">
        <v>46220</v>
      </c>
      <c r="S694" s="7">
        <v>46220</v>
      </c>
      <c r="T694" t="s">
        <v>45</v>
      </c>
      <c r="V694" t="s">
        <v>1009</v>
      </c>
      <c r="W694" t="s">
        <v>45</v>
      </c>
      <c r="X694" t="s">
        <v>74</v>
      </c>
      <c r="Y694" t="s">
        <v>45</v>
      </c>
      <c r="Z694" t="s">
        <v>74</v>
      </c>
      <c r="AF694">
        <v>2</v>
      </c>
      <c r="AH694" t="s">
        <v>75</v>
      </c>
      <c r="AI694">
        <v>1</v>
      </c>
      <c r="AJ694" s="15"/>
      <c r="AN694"/>
      <c r="AO694"/>
      <c r="AP694"/>
      <c r="AQ694"/>
      <c r="AR694" s="18" t="str">
        <f>IFERROR(VLOOKUP(K694,[1]POP!$F:$J,1,0),M694)</f>
        <v>MADA</v>
      </c>
      <c r="AS694" s="18" t="str">
        <f t="shared" si="51"/>
        <v>BLANGOUA</v>
      </c>
      <c r="AT694" s="19">
        <f t="shared" si="54"/>
        <v>2</v>
      </c>
      <c r="AU694" s="19">
        <f t="shared" ca="1" si="53"/>
        <v>2</v>
      </c>
    </row>
    <row r="695" spans="1:47" x14ac:dyDescent="0.3">
      <c r="A695" t="s">
        <v>1010</v>
      </c>
      <c r="B695" t="str">
        <f t="shared" si="50"/>
        <v>S29_2026</v>
      </c>
      <c r="C695" t="str">
        <f t="shared" si="52"/>
        <v>S29_2026</v>
      </c>
      <c r="F695">
        <v>55</v>
      </c>
      <c r="G695" t="s">
        <v>40</v>
      </c>
      <c r="I695" t="s">
        <v>1011</v>
      </c>
      <c r="J695" t="s">
        <v>1008</v>
      </c>
      <c r="K695" t="s">
        <v>124</v>
      </c>
      <c r="L695" t="s">
        <v>1008</v>
      </c>
      <c r="M695" t="s">
        <v>124</v>
      </c>
      <c r="N695" t="s">
        <v>45</v>
      </c>
      <c r="O695" t="s">
        <v>45</v>
      </c>
      <c r="P695">
        <v>3</v>
      </c>
      <c r="Q695" s="7">
        <v>46220</v>
      </c>
      <c r="R695" s="7">
        <v>46220</v>
      </c>
      <c r="S695" s="7">
        <v>46220</v>
      </c>
      <c r="T695" t="s">
        <v>45</v>
      </c>
      <c r="V695" t="s">
        <v>1009</v>
      </c>
      <c r="W695" t="s">
        <v>45</v>
      </c>
      <c r="X695" t="s">
        <v>74</v>
      </c>
      <c r="Y695" t="s">
        <v>45</v>
      </c>
      <c r="Z695" t="s">
        <v>74</v>
      </c>
      <c r="AF695">
        <v>2</v>
      </c>
      <c r="AH695" t="s">
        <v>75</v>
      </c>
      <c r="AI695">
        <v>1</v>
      </c>
      <c r="AJ695" s="15"/>
      <c r="AN695"/>
      <c r="AO695"/>
      <c r="AP695"/>
      <c r="AQ695"/>
      <c r="AR695" s="18" t="str">
        <f>IFERROR(VLOOKUP(K695,[1]POP!$F:$J,1,0),M695)</f>
        <v>MADA</v>
      </c>
      <c r="AS695" s="18" t="str">
        <f t="shared" si="51"/>
        <v>BLANGOUA</v>
      </c>
      <c r="AT695" s="19">
        <f t="shared" si="54"/>
        <v>2</v>
      </c>
      <c r="AU695" s="19">
        <f t="shared" ca="1" si="53"/>
        <v>2</v>
      </c>
    </row>
    <row r="696" spans="1:47" x14ac:dyDescent="0.3">
      <c r="A696" t="s">
        <v>1012</v>
      </c>
      <c r="B696" t="str">
        <f t="shared" si="50"/>
        <v>S30_2026</v>
      </c>
      <c r="C696" t="str">
        <f t="shared" si="52"/>
        <v>S30_2026</v>
      </c>
      <c r="F696">
        <v>20</v>
      </c>
      <c r="G696" t="s">
        <v>55</v>
      </c>
      <c r="I696" t="s">
        <v>985</v>
      </c>
      <c r="J696" t="s">
        <v>985</v>
      </c>
      <c r="K696" t="s">
        <v>124</v>
      </c>
      <c r="L696" t="s">
        <v>985</v>
      </c>
      <c r="M696" t="s">
        <v>124</v>
      </c>
      <c r="N696" t="s">
        <v>45</v>
      </c>
      <c r="O696" t="s">
        <v>45</v>
      </c>
      <c r="P696">
        <v>3</v>
      </c>
      <c r="Q696" s="7">
        <v>46224</v>
      </c>
      <c r="R696" s="7">
        <v>46225</v>
      </c>
      <c r="S696" s="7">
        <v>46225</v>
      </c>
      <c r="T696" t="s">
        <v>45</v>
      </c>
      <c r="V696" t="s">
        <v>986</v>
      </c>
      <c r="W696" t="s">
        <v>45</v>
      </c>
      <c r="X696" t="s">
        <v>74</v>
      </c>
      <c r="Y696" t="s">
        <v>45</v>
      </c>
      <c r="Z696" t="s">
        <v>74</v>
      </c>
      <c r="AF696">
        <v>2</v>
      </c>
      <c r="AH696" t="s">
        <v>75</v>
      </c>
      <c r="AI696">
        <v>1</v>
      </c>
      <c r="AJ696" s="15"/>
      <c r="AN696"/>
      <c r="AO696"/>
      <c r="AP696"/>
      <c r="AQ696"/>
      <c r="AR696" s="18" t="str">
        <f>IFERROR(VLOOKUP(K696,[1]POP!$F:$J,1,0),M696)</f>
        <v>MADA</v>
      </c>
      <c r="AS696" s="18" t="str">
        <f t="shared" si="51"/>
        <v>KOFIA</v>
      </c>
      <c r="AT696" s="19">
        <f t="shared" si="54"/>
        <v>2</v>
      </c>
      <c r="AU696" s="19">
        <f t="shared" ca="1" si="53"/>
        <v>2</v>
      </c>
    </row>
    <row r="697" spans="1:47" x14ac:dyDescent="0.3">
      <c r="A697" t="s">
        <v>1013</v>
      </c>
      <c r="B697" t="str">
        <f t="shared" si="50"/>
        <v>S30_2026</v>
      </c>
      <c r="C697" t="str">
        <f t="shared" si="52"/>
        <v>S30_2026</v>
      </c>
      <c r="F697">
        <v>7</v>
      </c>
      <c r="G697" t="s">
        <v>55</v>
      </c>
      <c r="I697" t="s">
        <v>985</v>
      </c>
      <c r="J697" t="s">
        <v>985</v>
      </c>
      <c r="K697" t="s">
        <v>124</v>
      </c>
      <c r="L697" t="s">
        <v>985</v>
      </c>
      <c r="M697" t="s">
        <v>124</v>
      </c>
      <c r="N697" t="s">
        <v>45</v>
      </c>
      <c r="O697" t="s">
        <v>45</v>
      </c>
      <c r="P697">
        <v>3</v>
      </c>
      <c r="Q697" s="7">
        <v>46225</v>
      </c>
      <c r="R697" s="7">
        <v>46225</v>
      </c>
      <c r="S697" s="7">
        <v>46225</v>
      </c>
      <c r="T697" t="s">
        <v>45</v>
      </c>
      <c r="V697" t="s">
        <v>986</v>
      </c>
      <c r="W697" t="s">
        <v>45</v>
      </c>
      <c r="X697" t="s">
        <v>74</v>
      </c>
      <c r="Y697" t="s">
        <v>45</v>
      </c>
      <c r="Z697" t="s">
        <v>74</v>
      </c>
      <c r="AF697">
        <v>2</v>
      </c>
      <c r="AH697" t="s">
        <v>75</v>
      </c>
      <c r="AI697">
        <v>1</v>
      </c>
      <c r="AJ697" s="15"/>
      <c r="AN697"/>
      <c r="AO697"/>
      <c r="AP697"/>
      <c r="AQ697"/>
      <c r="AR697" s="18" t="str">
        <f>IFERROR(VLOOKUP(K697,[1]POP!$F:$J,1,0),M697)</f>
        <v>MADA</v>
      </c>
      <c r="AS697" s="18" t="str">
        <f t="shared" si="51"/>
        <v>KOFIA</v>
      </c>
      <c r="AT697" s="19">
        <f t="shared" si="54"/>
        <v>2</v>
      </c>
      <c r="AU697" s="19">
        <f t="shared" ca="1" si="53"/>
        <v>2</v>
      </c>
    </row>
    <row r="698" spans="1:47" x14ac:dyDescent="0.3">
      <c r="A698" t="s">
        <v>1014</v>
      </c>
      <c r="B698" t="str">
        <f t="shared" si="50"/>
        <v>S30_2026</v>
      </c>
      <c r="C698" t="str">
        <f t="shared" si="52"/>
        <v>S30_2026</v>
      </c>
      <c r="F698">
        <v>4</v>
      </c>
      <c r="G698" t="s">
        <v>40</v>
      </c>
      <c r="I698" t="s">
        <v>985</v>
      </c>
      <c r="J698" t="s">
        <v>985</v>
      </c>
      <c r="K698" t="s">
        <v>124</v>
      </c>
      <c r="L698" t="s">
        <v>985</v>
      </c>
      <c r="M698" t="s">
        <v>124</v>
      </c>
      <c r="N698" t="s">
        <v>45</v>
      </c>
      <c r="O698" t="s">
        <v>45</v>
      </c>
      <c r="P698">
        <v>3</v>
      </c>
      <c r="Q698" s="7">
        <v>46225</v>
      </c>
      <c r="R698" s="7">
        <v>46225</v>
      </c>
      <c r="S698" s="7">
        <v>46225</v>
      </c>
      <c r="T698" t="s">
        <v>45</v>
      </c>
      <c r="V698" t="s">
        <v>986</v>
      </c>
      <c r="W698" t="s">
        <v>45</v>
      </c>
      <c r="X698" t="s">
        <v>74</v>
      </c>
      <c r="Y698" t="s">
        <v>45</v>
      </c>
      <c r="Z698" t="s">
        <v>74</v>
      </c>
      <c r="AF698">
        <v>2</v>
      </c>
      <c r="AH698" t="s">
        <v>75</v>
      </c>
      <c r="AI698">
        <v>1</v>
      </c>
      <c r="AJ698" s="15"/>
      <c r="AN698"/>
      <c r="AO698"/>
      <c r="AP698"/>
      <c r="AQ698"/>
      <c r="AR698" s="18" t="str">
        <f>IFERROR(VLOOKUP(K698,[1]POP!$F:$J,1,0),M698)</f>
        <v>MADA</v>
      </c>
      <c r="AS698" s="18" t="str">
        <f t="shared" si="51"/>
        <v>KOFIA</v>
      </c>
      <c r="AT698" s="19">
        <f t="shared" si="54"/>
        <v>2</v>
      </c>
      <c r="AU698" s="19">
        <f t="shared" ca="1" si="53"/>
        <v>2</v>
      </c>
    </row>
    <row r="699" spans="1:47" x14ac:dyDescent="0.3">
      <c r="A699" t="s">
        <v>1015</v>
      </c>
      <c r="B699" t="str">
        <f t="shared" si="50"/>
        <v>S30_2026</v>
      </c>
      <c r="C699" t="str">
        <f t="shared" si="52"/>
        <v>S30_2026</v>
      </c>
      <c r="F699">
        <v>20</v>
      </c>
      <c r="G699" t="s">
        <v>40</v>
      </c>
      <c r="I699" t="s">
        <v>985</v>
      </c>
      <c r="J699" t="s">
        <v>985</v>
      </c>
      <c r="K699" t="s">
        <v>124</v>
      </c>
      <c r="L699" t="s">
        <v>985</v>
      </c>
      <c r="M699" t="s">
        <v>124</v>
      </c>
      <c r="N699" t="s">
        <v>45</v>
      </c>
      <c r="O699" t="s">
        <v>45</v>
      </c>
      <c r="P699">
        <v>3</v>
      </c>
      <c r="Q699" s="7">
        <v>46226</v>
      </c>
      <c r="R699" s="7">
        <v>46226</v>
      </c>
      <c r="S699" s="7">
        <v>46226</v>
      </c>
      <c r="T699" t="s">
        <v>45</v>
      </c>
      <c r="V699" t="s">
        <v>986</v>
      </c>
      <c r="W699" t="s">
        <v>45</v>
      </c>
      <c r="X699" t="s">
        <v>74</v>
      </c>
      <c r="Y699" t="s">
        <v>45</v>
      </c>
      <c r="Z699" t="s">
        <v>74</v>
      </c>
      <c r="AF699">
        <v>2</v>
      </c>
      <c r="AH699" t="s">
        <v>75</v>
      </c>
      <c r="AI699">
        <v>1</v>
      </c>
      <c r="AJ699" s="15"/>
      <c r="AN699"/>
      <c r="AO699"/>
      <c r="AP699"/>
      <c r="AQ699"/>
      <c r="AR699" s="18" t="str">
        <f>IFERROR(VLOOKUP(K699,[1]POP!$F:$J,1,0),M699)</f>
        <v>MADA</v>
      </c>
      <c r="AS699" s="18" t="str">
        <f t="shared" si="51"/>
        <v>KOFIA</v>
      </c>
      <c r="AT699" s="19">
        <f t="shared" si="54"/>
        <v>2</v>
      </c>
      <c r="AU699" s="19">
        <f t="shared" ca="1" si="53"/>
        <v>2</v>
      </c>
    </row>
    <row r="700" spans="1:47" x14ac:dyDescent="0.3">
      <c r="A700" t="s">
        <v>1016</v>
      </c>
      <c r="B700" t="str">
        <f t="shared" si="50"/>
        <v>S30_2026</v>
      </c>
      <c r="C700" t="str">
        <f t="shared" si="52"/>
        <v>S30_2026</v>
      </c>
      <c r="F700">
        <v>31</v>
      </c>
      <c r="G700" t="s">
        <v>55</v>
      </c>
      <c r="I700" t="s">
        <v>985</v>
      </c>
      <c r="J700" t="s">
        <v>985</v>
      </c>
      <c r="K700" t="s">
        <v>124</v>
      </c>
      <c r="L700" t="s">
        <v>985</v>
      </c>
      <c r="M700" t="s">
        <v>124</v>
      </c>
      <c r="N700" t="s">
        <v>45</v>
      </c>
      <c r="O700" t="s">
        <v>45</v>
      </c>
      <c r="P700">
        <v>3</v>
      </c>
      <c r="Q700" s="7">
        <v>46226</v>
      </c>
      <c r="R700" s="7">
        <v>46226</v>
      </c>
      <c r="S700" s="7">
        <v>46226</v>
      </c>
      <c r="T700" t="s">
        <v>45</v>
      </c>
      <c r="V700" t="s">
        <v>986</v>
      </c>
      <c r="W700" t="s">
        <v>45</v>
      </c>
      <c r="X700" t="s">
        <v>74</v>
      </c>
      <c r="Y700" t="s">
        <v>45</v>
      </c>
      <c r="Z700" t="s">
        <v>74</v>
      </c>
      <c r="AF700">
        <v>2</v>
      </c>
      <c r="AH700" t="s">
        <v>75</v>
      </c>
      <c r="AI700">
        <v>1</v>
      </c>
      <c r="AJ700" s="15"/>
      <c r="AN700"/>
      <c r="AO700"/>
      <c r="AP700"/>
      <c r="AQ700"/>
      <c r="AR700" s="18" t="str">
        <f>IFERROR(VLOOKUP(K700,[1]POP!$F:$J,1,0),M700)</f>
        <v>MADA</v>
      </c>
      <c r="AS700" s="18" t="str">
        <f t="shared" si="51"/>
        <v>KOFIA</v>
      </c>
      <c r="AT700" s="19">
        <f t="shared" si="54"/>
        <v>2</v>
      </c>
      <c r="AU700" s="19">
        <f t="shared" ca="1" si="53"/>
        <v>2</v>
      </c>
    </row>
    <row r="701" spans="1:47" x14ac:dyDescent="0.3">
      <c r="A701" t="s">
        <v>1017</v>
      </c>
      <c r="B701" t="str">
        <f t="shared" si="50"/>
        <v>S30_2026</v>
      </c>
      <c r="C701" t="str">
        <f t="shared" si="52"/>
        <v>S30_2026</v>
      </c>
      <c r="F701">
        <v>2</v>
      </c>
      <c r="G701" t="s">
        <v>40</v>
      </c>
      <c r="I701" t="s">
        <v>985</v>
      </c>
      <c r="J701" t="s">
        <v>985</v>
      </c>
      <c r="K701" t="s">
        <v>124</v>
      </c>
      <c r="L701" t="s">
        <v>985</v>
      </c>
      <c r="M701" t="s">
        <v>124</v>
      </c>
      <c r="N701" t="s">
        <v>45</v>
      </c>
      <c r="O701" t="s">
        <v>45</v>
      </c>
      <c r="P701">
        <v>3</v>
      </c>
      <c r="Q701" s="7">
        <v>46226</v>
      </c>
      <c r="R701" s="7">
        <v>46226</v>
      </c>
      <c r="S701" s="7">
        <v>46226</v>
      </c>
      <c r="T701" t="s">
        <v>45</v>
      </c>
      <c r="V701" t="s">
        <v>986</v>
      </c>
      <c r="W701" t="s">
        <v>45</v>
      </c>
      <c r="X701" t="s">
        <v>74</v>
      </c>
      <c r="Y701" t="s">
        <v>45</v>
      </c>
      <c r="Z701" t="s">
        <v>74</v>
      </c>
      <c r="AF701">
        <v>2</v>
      </c>
      <c r="AH701" t="s">
        <v>75</v>
      </c>
      <c r="AI701">
        <v>1</v>
      </c>
      <c r="AJ701" s="15"/>
      <c r="AN701"/>
      <c r="AO701"/>
      <c r="AP701"/>
      <c r="AQ701"/>
      <c r="AR701" s="18" t="str">
        <f>IFERROR(VLOOKUP(K701,[1]POP!$F:$J,1,0),M701)</f>
        <v>MADA</v>
      </c>
      <c r="AS701" s="18" t="str">
        <f t="shared" si="51"/>
        <v>KOFIA</v>
      </c>
      <c r="AT701" s="19">
        <f t="shared" si="54"/>
        <v>2</v>
      </c>
      <c r="AU701" s="19">
        <f t="shared" ca="1" si="53"/>
        <v>2</v>
      </c>
    </row>
    <row r="702" spans="1:47" x14ac:dyDescent="0.3">
      <c r="A702" t="s">
        <v>1018</v>
      </c>
      <c r="B702" t="str">
        <f t="shared" si="50"/>
        <v>S30_2026</v>
      </c>
      <c r="C702" t="str">
        <f t="shared" si="52"/>
        <v>S30_2026</v>
      </c>
      <c r="F702">
        <v>19</v>
      </c>
      <c r="G702" t="s">
        <v>55</v>
      </c>
      <c r="I702" t="s">
        <v>985</v>
      </c>
      <c r="J702" t="s">
        <v>985</v>
      </c>
      <c r="K702" t="s">
        <v>124</v>
      </c>
      <c r="L702" t="s">
        <v>985</v>
      </c>
      <c r="M702" t="s">
        <v>124</v>
      </c>
      <c r="N702" t="s">
        <v>45</v>
      </c>
      <c r="O702" t="s">
        <v>45</v>
      </c>
      <c r="P702">
        <v>3</v>
      </c>
      <c r="Q702" s="7">
        <v>46226</v>
      </c>
      <c r="R702" s="7">
        <v>46226</v>
      </c>
      <c r="S702" s="7">
        <v>46226</v>
      </c>
      <c r="T702" t="s">
        <v>45</v>
      </c>
      <c r="V702" t="s">
        <v>986</v>
      </c>
      <c r="W702" t="s">
        <v>45</v>
      </c>
      <c r="X702" t="s">
        <v>74</v>
      </c>
      <c r="Y702" t="s">
        <v>45</v>
      </c>
      <c r="Z702" t="s">
        <v>74</v>
      </c>
      <c r="AF702">
        <v>2</v>
      </c>
      <c r="AH702" t="s">
        <v>75</v>
      </c>
      <c r="AI702">
        <v>1</v>
      </c>
      <c r="AJ702" s="15"/>
      <c r="AN702"/>
      <c r="AO702"/>
      <c r="AP702"/>
      <c r="AQ702"/>
      <c r="AR702" s="18" t="str">
        <f>IFERROR(VLOOKUP(K702,[1]POP!$F:$J,1,0),M702)</f>
        <v>MADA</v>
      </c>
      <c r="AS702" s="18" t="str">
        <f t="shared" si="51"/>
        <v>KOFIA</v>
      </c>
      <c r="AT702" s="19">
        <f t="shared" si="54"/>
        <v>2</v>
      </c>
      <c r="AU702" s="19">
        <f t="shared" ca="1" si="53"/>
        <v>2</v>
      </c>
    </row>
    <row r="703" spans="1:47" x14ac:dyDescent="0.3">
      <c r="A703" t="s">
        <v>1019</v>
      </c>
      <c r="B703" t="str">
        <f t="shared" si="50"/>
        <v>S30_2026</v>
      </c>
      <c r="C703" t="str">
        <f t="shared" si="52"/>
        <v>S29_2026</v>
      </c>
      <c r="F703">
        <v>2</v>
      </c>
      <c r="G703" t="s">
        <v>55</v>
      </c>
      <c r="I703" t="s">
        <v>172</v>
      </c>
      <c r="J703" t="s">
        <v>173</v>
      </c>
      <c r="K703" t="s">
        <v>124</v>
      </c>
      <c r="L703" t="s">
        <v>174</v>
      </c>
      <c r="M703" t="s">
        <v>124</v>
      </c>
      <c r="N703" t="s">
        <v>45</v>
      </c>
      <c r="O703" t="s">
        <v>45</v>
      </c>
      <c r="P703">
        <v>3</v>
      </c>
      <c r="Q703" s="7">
        <v>46222</v>
      </c>
      <c r="R703" s="7">
        <v>46223</v>
      </c>
      <c r="S703" s="7">
        <v>46223</v>
      </c>
      <c r="T703" t="s">
        <v>45</v>
      </c>
      <c r="V703" t="s">
        <v>175</v>
      </c>
      <c r="W703" t="s">
        <v>45</v>
      </c>
      <c r="X703" t="s">
        <v>74</v>
      </c>
      <c r="Y703" t="s">
        <v>45</v>
      </c>
      <c r="Z703" t="s">
        <v>74</v>
      </c>
      <c r="AF703">
        <v>2</v>
      </c>
      <c r="AH703" t="s">
        <v>75</v>
      </c>
      <c r="AI703">
        <v>1</v>
      </c>
      <c r="AJ703" s="15"/>
      <c r="AN703"/>
      <c r="AO703"/>
      <c r="AP703"/>
      <c r="AQ703"/>
      <c r="AR703" s="18" t="str">
        <f>IFERROR(VLOOKUP(K703,[1]POP!$F:$J,1,0),M703)</f>
        <v>MADA</v>
      </c>
      <c r="AS703" s="18" t="str">
        <f t="shared" si="51"/>
        <v>TCHIKA</v>
      </c>
      <c r="AT703" s="19">
        <f t="shared" si="54"/>
        <v>2</v>
      </c>
      <c r="AU703" s="19">
        <f t="shared" ca="1" si="53"/>
        <v>2</v>
      </c>
    </row>
    <row r="704" spans="1:47" x14ac:dyDescent="0.3">
      <c r="A704" t="s">
        <v>1020</v>
      </c>
      <c r="B704" t="str">
        <f t="shared" si="50"/>
        <v>S30_2026</v>
      </c>
      <c r="C704" t="str">
        <f t="shared" si="52"/>
        <v>S29_2026</v>
      </c>
      <c r="F704">
        <v>33</v>
      </c>
      <c r="G704" t="s">
        <v>40</v>
      </c>
      <c r="I704" t="s">
        <v>172</v>
      </c>
      <c r="J704" t="s">
        <v>173</v>
      </c>
      <c r="K704" t="s">
        <v>124</v>
      </c>
      <c r="L704" t="s">
        <v>174</v>
      </c>
      <c r="M704" t="s">
        <v>124</v>
      </c>
      <c r="N704" t="s">
        <v>45</v>
      </c>
      <c r="O704" t="s">
        <v>45</v>
      </c>
      <c r="P704">
        <v>3</v>
      </c>
      <c r="Q704" s="7">
        <v>46222</v>
      </c>
      <c r="R704" s="7">
        <v>46223</v>
      </c>
      <c r="S704" s="7">
        <v>46223</v>
      </c>
      <c r="T704" t="s">
        <v>45</v>
      </c>
      <c r="V704" t="s">
        <v>175</v>
      </c>
      <c r="W704" t="s">
        <v>45</v>
      </c>
      <c r="X704" t="s">
        <v>74</v>
      </c>
      <c r="Y704" t="s">
        <v>45</v>
      </c>
      <c r="Z704" t="s">
        <v>74</v>
      </c>
      <c r="AF704">
        <v>2</v>
      </c>
      <c r="AH704" t="s">
        <v>75</v>
      </c>
      <c r="AI704">
        <v>1</v>
      </c>
      <c r="AJ704" s="15"/>
      <c r="AN704"/>
      <c r="AO704"/>
      <c r="AP704"/>
      <c r="AQ704"/>
      <c r="AR704" s="18" t="str">
        <f>IFERROR(VLOOKUP(K704,[1]POP!$F:$J,1,0),M704)</f>
        <v>MADA</v>
      </c>
      <c r="AS704" s="18" t="str">
        <f t="shared" si="51"/>
        <v>TCHIKA</v>
      </c>
      <c r="AT704" s="19">
        <f t="shared" si="54"/>
        <v>2</v>
      </c>
      <c r="AU704" s="19">
        <f t="shared" ca="1" si="53"/>
        <v>2</v>
      </c>
    </row>
    <row r="705" spans="1:47" x14ac:dyDescent="0.3">
      <c r="A705" t="s">
        <v>1021</v>
      </c>
      <c r="B705" t="str">
        <f t="shared" si="50"/>
        <v>S30_2026</v>
      </c>
      <c r="C705" t="str">
        <f t="shared" si="52"/>
        <v>S30_2026</v>
      </c>
      <c r="F705">
        <v>3</v>
      </c>
      <c r="G705" t="s">
        <v>40</v>
      </c>
      <c r="I705" t="s">
        <v>172</v>
      </c>
      <c r="J705" t="s">
        <v>173</v>
      </c>
      <c r="K705" t="s">
        <v>124</v>
      </c>
      <c r="L705" t="s">
        <v>174</v>
      </c>
      <c r="M705" t="s">
        <v>124</v>
      </c>
      <c r="N705" t="s">
        <v>45</v>
      </c>
      <c r="O705" t="s">
        <v>45</v>
      </c>
      <c r="P705">
        <v>3</v>
      </c>
      <c r="Q705" s="7">
        <v>46223</v>
      </c>
      <c r="R705" s="7">
        <v>46224</v>
      </c>
      <c r="S705" s="7">
        <v>46224</v>
      </c>
      <c r="T705" t="s">
        <v>45</v>
      </c>
      <c r="V705" t="s">
        <v>175</v>
      </c>
      <c r="W705" t="s">
        <v>45</v>
      </c>
      <c r="X705" t="s">
        <v>74</v>
      </c>
      <c r="Y705" t="s">
        <v>45</v>
      </c>
      <c r="Z705" t="s">
        <v>74</v>
      </c>
      <c r="AF705">
        <v>2</v>
      </c>
      <c r="AH705" t="s">
        <v>75</v>
      </c>
      <c r="AI705">
        <v>1</v>
      </c>
      <c r="AJ705" s="15"/>
      <c r="AN705"/>
      <c r="AO705"/>
      <c r="AP705"/>
      <c r="AQ705"/>
      <c r="AR705" s="18" t="str">
        <f>IFERROR(VLOOKUP(K705,[1]POP!$F:$J,1,0),M705)</f>
        <v>MADA</v>
      </c>
      <c r="AS705" s="18" t="str">
        <f t="shared" si="51"/>
        <v>TCHIKA</v>
      </c>
      <c r="AT705" s="19">
        <f t="shared" si="54"/>
        <v>2</v>
      </c>
      <c r="AU705" s="19">
        <f t="shared" ca="1" si="53"/>
        <v>2</v>
      </c>
    </row>
    <row r="706" spans="1:47" x14ac:dyDescent="0.3">
      <c r="A706" t="s">
        <v>1022</v>
      </c>
      <c r="B706" t="str">
        <f t="shared" ref="B706:B769" si="55">"S"&amp;(IF(_xlfn.ISOWEEKNUM(S706)&gt;9,_xlfn.ISOWEEKNUM(S706),_xlfn.CONCAT("0",_xlfn.ISOWEEKNUM(S706))))&amp;"_"&amp;(YEAR(S706+26-(_xlfn.ISOWEEKNUM(S706))))</f>
        <v>S30_2026</v>
      </c>
      <c r="C706" t="str">
        <f t="shared" si="52"/>
        <v>S30_2026</v>
      </c>
      <c r="F706">
        <v>20</v>
      </c>
      <c r="G706" t="s">
        <v>40</v>
      </c>
      <c r="I706" t="s">
        <v>172</v>
      </c>
      <c r="J706" t="s">
        <v>173</v>
      </c>
      <c r="K706" t="s">
        <v>124</v>
      </c>
      <c r="L706" t="s">
        <v>174</v>
      </c>
      <c r="M706" t="s">
        <v>124</v>
      </c>
      <c r="N706" t="s">
        <v>45</v>
      </c>
      <c r="O706" t="s">
        <v>45</v>
      </c>
      <c r="P706">
        <v>3</v>
      </c>
      <c r="Q706" s="7">
        <v>46223</v>
      </c>
      <c r="R706" s="7">
        <v>46224</v>
      </c>
      <c r="S706" s="7">
        <v>46224</v>
      </c>
      <c r="T706" t="s">
        <v>45</v>
      </c>
      <c r="V706" t="s">
        <v>175</v>
      </c>
      <c r="W706" t="s">
        <v>45</v>
      </c>
      <c r="X706" t="s">
        <v>74</v>
      </c>
      <c r="Y706" t="s">
        <v>45</v>
      </c>
      <c r="Z706" t="s">
        <v>74</v>
      </c>
      <c r="AF706">
        <v>2</v>
      </c>
      <c r="AH706" t="s">
        <v>75</v>
      </c>
      <c r="AI706">
        <v>1</v>
      </c>
      <c r="AJ706" s="15"/>
      <c r="AN706"/>
      <c r="AO706"/>
      <c r="AP706"/>
      <c r="AQ706"/>
      <c r="AR706" s="18" t="str">
        <f>IFERROR(VLOOKUP(K706,[1]POP!$F:$J,1,0),M706)</f>
        <v>MADA</v>
      </c>
      <c r="AS706" s="18" t="str">
        <f t="shared" ref="AS706:AS769" si="56">IF(AR706=K706,J706,L706)</f>
        <v>TCHIKA</v>
      </c>
      <c r="AT706" s="19">
        <f t="shared" si="54"/>
        <v>2</v>
      </c>
      <c r="AU706" s="19">
        <f t="shared" ca="1" si="53"/>
        <v>2</v>
      </c>
    </row>
    <row r="707" spans="1:47" x14ac:dyDescent="0.3">
      <c r="A707" t="s">
        <v>1023</v>
      </c>
      <c r="B707" t="str">
        <f t="shared" si="55"/>
        <v>S30_2026</v>
      </c>
      <c r="C707" t="str">
        <f t="shared" ref="C707:C770" si="57">"S"&amp;(IF(_xlfn.ISOWEEKNUM(Q707)&gt;9,_xlfn.ISOWEEKNUM(Q707),_xlfn.CONCAT("0",_xlfn.ISOWEEKNUM(Q707))))&amp;"_"&amp;(YEAR(Q707+26-(_xlfn.ISOWEEKNUM(Q707))))</f>
        <v>S30_2026</v>
      </c>
      <c r="F707">
        <v>58</v>
      </c>
      <c r="G707" t="s">
        <v>55</v>
      </c>
      <c r="I707" t="s">
        <v>172</v>
      </c>
      <c r="J707" t="s">
        <v>173</v>
      </c>
      <c r="K707" t="s">
        <v>124</v>
      </c>
      <c r="L707" t="s">
        <v>174</v>
      </c>
      <c r="M707" t="s">
        <v>124</v>
      </c>
      <c r="N707" t="s">
        <v>45</v>
      </c>
      <c r="O707" t="s">
        <v>45</v>
      </c>
      <c r="P707">
        <v>3</v>
      </c>
      <c r="Q707" s="7">
        <v>46223</v>
      </c>
      <c r="R707" s="7">
        <v>46224</v>
      </c>
      <c r="S707" s="7">
        <v>46224</v>
      </c>
      <c r="T707" t="s">
        <v>45</v>
      </c>
      <c r="V707" t="s">
        <v>175</v>
      </c>
      <c r="W707" t="s">
        <v>45</v>
      </c>
      <c r="X707" t="s">
        <v>74</v>
      </c>
      <c r="Y707" t="s">
        <v>45</v>
      </c>
      <c r="Z707" t="s">
        <v>74</v>
      </c>
      <c r="AF707">
        <v>2</v>
      </c>
      <c r="AH707" t="s">
        <v>75</v>
      </c>
      <c r="AI707">
        <v>1</v>
      </c>
      <c r="AJ707" s="15"/>
      <c r="AN707"/>
      <c r="AO707"/>
      <c r="AP707"/>
      <c r="AQ707"/>
      <c r="AR707" s="18" t="str">
        <f>IFERROR(VLOOKUP(K707,[1]POP!$F:$J,1,0),M707)</f>
        <v>MADA</v>
      </c>
      <c r="AS707" s="18" t="str">
        <f t="shared" si="56"/>
        <v>TCHIKA</v>
      </c>
      <c r="AT707" s="19">
        <f t="shared" si="54"/>
        <v>2</v>
      </c>
      <c r="AU707" s="19">
        <f t="shared" ref="AU707:AU770" ca="1" si="58">IF((TODAY() - R707)&lt;=21,1,2)</f>
        <v>2</v>
      </c>
    </row>
    <row r="708" spans="1:47" x14ac:dyDescent="0.3">
      <c r="A708" t="s">
        <v>1024</v>
      </c>
      <c r="B708" t="str">
        <f t="shared" si="55"/>
        <v>S30_2026</v>
      </c>
      <c r="C708" t="str">
        <f t="shared" si="57"/>
        <v>S30_2026</v>
      </c>
      <c r="F708">
        <v>9</v>
      </c>
      <c r="G708" t="s">
        <v>55</v>
      </c>
      <c r="I708" t="s">
        <v>477</v>
      </c>
      <c r="J708" t="s">
        <v>128</v>
      </c>
      <c r="K708" t="s">
        <v>124</v>
      </c>
      <c r="L708" t="s">
        <v>174</v>
      </c>
      <c r="M708" t="s">
        <v>124</v>
      </c>
      <c r="N708" t="s">
        <v>45</v>
      </c>
      <c r="O708" t="s">
        <v>45</v>
      </c>
      <c r="P708">
        <v>3</v>
      </c>
      <c r="Q708" s="7">
        <v>46225</v>
      </c>
      <c r="R708" s="7">
        <v>46226</v>
      </c>
      <c r="S708" s="7">
        <v>46226</v>
      </c>
      <c r="T708" t="s">
        <v>45</v>
      </c>
      <c r="V708" t="s">
        <v>175</v>
      </c>
      <c r="W708" t="s">
        <v>45</v>
      </c>
      <c r="X708" t="s">
        <v>45</v>
      </c>
      <c r="Y708" t="s">
        <v>45</v>
      </c>
      <c r="Z708" t="s">
        <v>45</v>
      </c>
      <c r="AF708">
        <v>2</v>
      </c>
      <c r="AH708" t="s">
        <v>75</v>
      </c>
      <c r="AI708">
        <v>1</v>
      </c>
      <c r="AJ708" s="15"/>
      <c r="AN708"/>
      <c r="AO708"/>
      <c r="AP708"/>
      <c r="AQ708"/>
      <c r="AR708" s="18" t="str">
        <f>IFERROR(VLOOKUP(K708,[1]POP!$F:$J,1,0),M708)</f>
        <v>MADA</v>
      </c>
      <c r="AS708" s="18" t="str">
        <f t="shared" si="56"/>
        <v>NAGA</v>
      </c>
      <c r="AT708" s="19">
        <f t="shared" ref="AT708:AT771" si="59">IF($AI:$AI=2,3,IF($AI:$AI=3,3,IF($AI:$AI=4,3,IF($AI:$AI=1,2,0))))</f>
        <v>2</v>
      </c>
      <c r="AU708" s="19">
        <f t="shared" ca="1" si="58"/>
        <v>2</v>
      </c>
    </row>
    <row r="709" spans="1:47" x14ac:dyDescent="0.3">
      <c r="A709" t="s">
        <v>1025</v>
      </c>
      <c r="B709" t="str">
        <f t="shared" si="55"/>
        <v>S30_2026</v>
      </c>
      <c r="C709" t="str">
        <f t="shared" si="57"/>
        <v>S30_2026</v>
      </c>
      <c r="F709">
        <v>19</v>
      </c>
      <c r="G709" t="s">
        <v>55</v>
      </c>
      <c r="I709" t="s">
        <v>477</v>
      </c>
      <c r="J709" t="s">
        <v>128</v>
      </c>
      <c r="K709" t="s">
        <v>124</v>
      </c>
      <c r="L709" t="s">
        <v>174</v>
      </c>
      <c r="M709" t="s">
        <v>124</v>
      </c>
      <c r="N709" t="s">
        <v>45</v>
      </c>
      <c r="O709" t="s">
        <v>45</v>
      </c>
      <c r="P709">
        <v>2</v>
      </c>
      <c r="Q709" s="7">
        <v>46225</v>
      </c>
      <c r="R709" s="7">
        <v>46226</v>
      </c>
      <c r="S709" s="7">
        <v>46226</v>
      </c>
      <c r="T709" t="s">
        <v>45</v>
      </c>
      <c r="V709" t="s">
        <v>175</v>
      </c>
      <c r="W709" t="s">
        <v>45</v>
      </c>
      <c r="X709" t="s">
        <v>45</v>
      </c>
      <c r="Y709" t="s">
        <v>45</v>
      </c>
      <c r="Z709" t="s">
        <v>45</v>
      </c>
      <c r="AF709">
        <v>2</v>
      </c>
      <c r="AH709" t="s">
        <v>75</v>
      </c>
      <c r="AI709">
        <v>1</v>
      </c>
      <c r="AJ709" s="15"/>
      <c r="AN709"/>
      <c r="AO709"/>
      <c r="AP709"/>
      <c r="AQ709"/>
      <c r="AR709" s="18" t="str">
        <f>IFERROR(VLOOKUP(K709,[1]POP!$F:$J,1,0),M709)</f>
        <v>MADA</v>
      </c>
      <c r="AS709" s="18" t="str">
        <f t="shared" si="56"/>
        <v>NAGA</v>
      </c>
      <c r="AT709" s="19">
        <f t="shared" si="59"/>
        <v>2</v>
      </c>
      <c r="AU709" s="19">
        <f t="shared" ca="1" si="58"/>
        <v>2</v>
      </c>
    </row>
    <row r="710" spans="1:47" x14ac:dyDescent="0.3">
      <c r="A710" t="s">
        <v>1026</v>
      </c>
      <c r="B710" t="str">
        <f t="shared" si="55"/>
        <v>S30_2026</v>
      </c>
      <c r="C710" t="str">
        <f t="shared" si="57"/>
        <v>S30_2026</v>
      </c>
      <c r="F710">
        <v>11</v>
      </c>
      <c r="G710" t="s">
        <v>55</v>
      </c>
      <c r="I710" t="s">
        <v>477</v>
      </c>
      <c r="J710" t="s">
        <v>128</v>
      </c>
      <c r="K710" t="s">
        <v>124</v>
      </c>
      <c r="L710" t="s">
        <v>174</v>
      </c>
      <c r="M710" t="s">
        <v>124</v>
      </c>
      <c r="N710" t="s">
        <v>45</v>
      </c>
      <c r="O710" t="s">
        <v>45</v>
      </c>
      <c r="P710">
        <v>3</v>
      </c>
      <c r="Q710" s="7">
        <v>46225</v>
      </c>
      <c r="R710" s="7">
        <v>46226</v>
      </c>
      <c r="S710" s="7">
        <v>46226</v>
      </c>
      <c r="T710" t="s">
        <v>45</v>
      </c>
      <c r="V710" t="s">
        <v>175</v>
      </c>
      <c r="W710" t="s">
        <v>45</v>
      </c>
      <c r="X710" t="s">
        <v>45</v>
      </c>
      <c r="Y710" t="s">
        <v>45</v>
      </c>
      <c r="Z710" t="s">
        <v>45</v>
      </c>
      <c r="AF710">
        <v>2</v>
      </c>
      <c r="AH710" t="s">
        <v>75</v>
      </c>
      <c r="AI710">
        <v>1</v>
      </c>
      <c r="AJ710" s="15"/>
      <c r="AN710"/>
      <c r="AO710"/>
      <c r="AP710"/>
      <c r="AQ710"/>
      <c r="AR710" s="18" t="str">
        <f>IFERROR(VLOOKUP(K710,[1]POP!$F:$J,1,0),M710)</f>
        <v>MADA</v>
      </c>
      <c r="AS710" s="18" t="str">
        <f t="shared" si="56"/>
        <v>NAGA</v>
      </c>
      <c r="AT710" s="19">
        <f t="shared" si="59"/>
        <v>2</v>
      </c>
      <c r="AU710" s="19">
        <f t="shared" ca="1" si="58"/>
        <v>2</v>
      </c>
    </row>
    <row r="711" spans="1:47" x14ac:dyDescent="0.3">
      <c r="A711" t="s">
        <v>1027</v>
      </c>
      <c r="B711" t="str">
        <f t="shared" si="55"/>
        <v>S30_2026</v>
      </c>
      <c r="C711" t="str">
        <f t="shared" si="57"/>
        <v>S30_2026</v>
      </c>
      <c r="F711">
        <v>9</v>
      </c>
      <c r="G711" t="s">
        <v>55</v>
      </c>
      <c r="I711" t="s">
        <v>477</v>
      </c>
      <c r="J711" t="s">
        <v>128</v>
      </c>
      <c r="K711" t="s">
        <v>124</v>
      </c>
      <c r="L711" t="s">
        <v>174</v>
      </c>
      <c r="M711" t="s">
        <v>124</v>
      </c>
      <c r="N711" t="s">
        <v>45</v>
      </c>
      <c r="O711" t="s">
        <v>45</v>
      </c>
      <c r="P711">
        <v>2</v>
      </c>
      <c r="Q711" s="7">
        <v>46225</v>
      </c>
      <c r="R711" s="7">
        <v>46226</v>
      </c>
      <c r="S711" s="7">
        <v>46226</v>
      </c>
      <c r="T711" t="s">
        <v>45</v>
      </c>
      <c r="V711" t="s">
        <v>175</v>
      </c>
      <c r="W711" t="s">
        <v>45</v>
      </c>
      <c r="X711" t="s">
        <v>45</v>
      </c>
      <c r="Y711" t="s">
        <v>45</v>
      </c>
      <c r="Z711" t="s">
        <v>45</v>
      </c>
      <c r="AF711">
        <v>2</v>
      </c>
      <c r="AH711" t="s">
        <v>75</v>
      </c>
      <c r="AI711">
        <v>1</v>
      </c>
      <c r="AJ711" s="15"/>
      <c r="AN711"/>
      <c r="AO711"/>
      <c r="AP711"/>
      <c r="AQ711"/>
      <c r="AR711" s="18" t="str">
        <f>IFERROR(VLOOKUP(K711,[1]POP!$F:$J,1,0),M711)</f>
        <v>MADA</v>
      </c>
      <c r="AS711" s="18" t="str">
        <f t="shared" si="56"/>
        <v>NAGA</v>
      </c>
      <c r="AT711" s="19">
        <f t="shared" si="59"/>
        <v>2</v>
      </c>
      <c r="AU711" s="19">
        <f t="shared" ca="1" si="58"/>
        <v>2</v>
      </c>
    </row>
    <row r="712" spans="1:47" x14ac:dyDescent="0.3">
      <c r="A712" t="s">
        <v>1028</v>
      </c>
      <c r="B712" t="str">
        <f t="shared" si="55"/>
        <v>S30_2026</v>
      </c>
      <c r="C712" t="str">
        <f t="shared" si="57"/>
        <v>S30_2026</v>
      </c>
      <c r="F712">
        <v>9</v>
      </c>
      <c r="G712" t="s">
        <v>40</v>
      </c>
      <c r="I712" t="s">
        <v>477</v>
      </c>
      <c r="J712" t="s">
        <v>128</v>
      </c>
      <c r="K712" t="s">
        <v>124</v>
      </c>
      <c r="L712" t="s">
        <v>174</v>
      </c>
      <c r="M712" t="s">
        <v>124</v>
      </c>
      <c r="N712" t="s">
        <v>45</v>
      </c>
      <c r="O712" t="s">
        <v>45</v>
      </c>
      <c r="P712">
        <v>3</v>
      </c>
      <c r="Q712" s="7">
        <v>46225</v>
      </c>
      <c r="R712" s="7">
        <v>46226</v>
      </c>
      <c r="S712" s="7">
        <v>46226</v>
      </c>
      <c r="T712" t="s">
        <v>45</v>
      </c>
      <c r="V712" t="s">
        <v>175</v>
      </c>
      <c r="W712" t="s">
        <v>45</v>
      </c>
      <c r="X712" t="s">
        <v>45</v>
      </c>
      <c r="Y712" t="s">
        <v>45</v>
      </c>
      <c r="Z712" t="s">
        <v>45</v>
      </c>
      <c r="AF712">
        <v>2</v>
      </c>
      <c r="AH712" t="s">
        <v>75</v>
      </c>
      <c r="AI712">
        <v>1</v>
      </c>
      <c r="AJ712" s="15"/>
      <c r="AN712"/>
      <c r="AO712"/>
      <c r="AP712"/>
      <c r="AQ712"/>
      <c r="AR712" s="18" t="str">
        <f>IFERROR(VLOOKUP(K712,[1]POP!$F:$J,1,0),M712)</f>
        <v>MADA</v>
      </c>
      <c r="AS712" s="18" t="str">
        <f t="shared" si="56"/>
        <v>NAGA</v>
      </c>
      <c r="AT712" s="19">
        <f t="shared" si="59"/>
        <v>2</v>
      </c>
      <c r="AU712" s="19">
        <f t="shared" ca="1" si="58"/>
        <v>2</v>
      </c>
    </row>
    <row r="713" spans="1:47" x14ac:dyDescent="0.3">
      <c r="A713" t="s">
        <v>1029</v>
      </c>
      <c r="B713" t="str">
        <f t="shared" si="55"/>
        <v>S30_2026</v>
      </c>
      <c r="C713" t="str">
        <f t="shared" si="57"/>
        <v>S30_2026</v>
      </c>
      <c r="F713">
        <v>2</v>
      </c>
      <c r="G713" t="s">
        <v>55</v>
      </c>
      <c r="I713" t="s">
        <v>477</v>
      </c>
      <c r="J713" t="s">
        <v>128</v>
      </c>
      <c r="K713" t="s">
        <v>124</v>
      </c>
      <c r="L713" t="s">
        <v>174</v>
      </c>
      <c r="M713" t="s">
        <v>124</v>
      </c>
      <c r="N713" t="s">
        <v>45</v>
      </c>
      <c r="O713" t="s">
        <v>45</v>
      </c>
      <c r="P713">
        <v>3</v>
      </c>
      <c r="Q713" s="7">
        <v>46225</v>
      </c>
      <c r="R713" s="7">
        <v>46226</v>
      </c>
      <c r="S713" s="7">
        <v>46226</v>
      </c>
      <c r="T713" t="s">
        <v>45</v>
      </c>
      <c r="V713" t="s">
        <v>175</v>
      </c>
      <c r="W713" t="s">
        <v>45</v>
      </c>
      <c r="X713" t="s">
        <v>45</v>
      </c>
      <c r="Y713" t="s">
        <v>45</v>
      </c>
      <c r="Z713" t="s">
        <v>45</v>
      </c>
      <c r="AF713">
        <v>2</v>
      </c>
      <c r="AH713" t="s">
        <v>75</v>
      </c>
      <c r="AI713">
        <v>1</v>
      </c>
      <c r="AJ713" s="15"/>
      <c r="AN713"/>
      <c r="AO713" t="s">
        <v>45</v>
      </c>
      <c r="AP713">
        <v>7</v>
      </c>
      <c r="AQ713" t="s">
        <v>74</v>
      </c>
      <c r="AR713" s="18" t="str">
        <f>IFERROR(VLOOKUP(K713,[1]POP!$F:$J,1,0),M713)</f>
        <v>MADA</v>
      </c>
      <c r="AS713" s="18" t="str">
        <f t="shared" si="56"/>
        <v>NAGA</v>
      </c>
      <c r="AT713" s="19">
        <f t="shared" si="59"/>
        <v>2</v>
      </c>
      <c r="AU713" s="19">
        <f t="shared" ca="1" si="58"/>
        <v>2</v>
      </c>
    </row>
    <row r="714" spans="1:47" x14ac:dyDescent="0.3">
      <c r="A714" t="s">
        <v>1030</v>
      </c>
      <c r="B714" t="str">
        <f t="shared" si="55"/>
        <v>S30_2026</v>
      </c>
      <c r="C714" t="str">
        <f t="shared" si="57"/>
        <v>S30_2026</v>
      </c>
      <c r="F714">
        <v>9</v>
      </c>
      <c r="G714" t="s">
        <v>55</v>
      </c>
      <c r="I714" t="s">
        <v>477</v>
      </c>
      <c r="J714" t="s">
        <v>128</v>
      </c>
      <c r="K714" t="s">
        <v>124</v>
      </c>
      <c r="L714" t="s">
        <v>174</v>
      </c>
      <c r="M714" t="s">
        <v>124</v>
      </c>
      <c r="N714" t="s">
        <v>45</v>
      </c>
      <c r="O714" t="s">
        <v>45</v>
      </c>
      <c r="P714">
        <v>2</v>
      </c>
      <c r="Q714" s="7">
        <v>46225</v>
      </c>
      <c r="R714" s="7">
        <v>46226</v>
      </c>
      <c r="S714" s="7">
        <v>46226</v>
      </c>
      <c r="T714" t="s">
        <v>45</v>
      </c>
      <c r="V714" t="s">
        <v>175</v>
      </c>
      <c r="W714" t="s">
        <v>45</v>
      </c>
      <c r="X714" t="s">
        <v>45</v>
      </c>
      <c r="Y714" t="s">
        <v>45</v>
      </c>
      <c r="Z714" t="s">
        <v>45</v>
      </c>
      <c r="AF714">
        <v>2</v>
      </c>
      <c r="AH714" t="s">
        <v>75</v>
      </c>
      <c r="AI714">
        <v>1</v>
      </c>
      <c r="AJ714" s="15"/>
      <c r="AN714" t="s">
        <v>74</v>
      </c>
      <c r="AO714" t="s">
        <v>86</v>
      </c>
      <c r="AP714">
        <v>7</v>
      </c>
      <c r="AQ714" t="s">
        <v>86</v>
      </c>
      <c r="AR714" s="18" t="str">
        <f>IFERROR(VLOOKUP(K714,[1]POP!$F:$J,1,0),M714)</f>
        <v>MADA</v>
      </c>
      <c r="AS714" s="18" t="str">
        <f t="shared" si="56"/>
        <v>NAGA</v>
      </c>
      <c r="AT714" s="19">
        <f t="shared" si="59"/>
        <v>2</v>
      </c>
      <c r="AU714" s="19">
        <f t="shared" ca="1" si="58"/>
        <v>2</v>
      </c>
    </row>
    <row r="715" spans="1:47" x14ac:dyDescent="0.3">
      <c r="A715" t="s">
        <v>1031</v>
      </c>
      <c r="B715" t="str">
        <f t="shared" si="55"/>
        <v>S30_2026</v>
      </c>
      <c r="C715" t="str">
        <f t="shared" si="57"/>
        <v>S30_2026</v>
      </c>
      <c r="F715">
        <v>10</v>
      </c>
      <c r="G715" t="s">
        <v>40</v>
      </c>
      <c r="I715" t="s">
        <v>477</v>
      </c>
      <c r="J715" t="s">
        <v>128</v>
      </c>
      <c r="K715" t="s">
        <v>124</v>
      </c>
      <c r="L715" t="s">
        <v>174</v>
      </c>
      <c r="M715" t="s">
        <v>124</v>
      </c>
      <c r="N715" t="s">
        <v>45</v>
      </c>
      <c r="O715" t="s">
        <v>45</v>
      </c>
      <c r="P715">
        <v>3</v>
      </c>
      <c r="Q715" s="7">
        <v>46225</v>
      </c>
      <c r="R715" s="7">
        <v>46226</v>
      </c>
      <c r="S715" s="7">
        <v>46226</v>
      </c>
      <c r="T715" t="s">
        <v>45</v>
      </c>
      <c r="V715" t="s">
        <v>175</v>
      </c>
      <c r="W715" t="s">
        <v>45</v>
      </c>
      <c r="X715" t="s">
        <v>45</v>
      </c>
      <c r="Y715" t="s">
        <v>45</v>
      </c>
      <c r="Z715" t="s">
        <v>45</v>
      </c>
      <c r="AF715">
        <v>2</v>
      </c>
      <c r="AH715" t="s">
        <v>75</v>
      </c>
      <c r="AI715">
        <v>1</v>
      </c>
      <c r="AJ715" s="15"/>
      <c r="AN715" t="s">
        <v>74</v>
      </c>
      <c r="AO715" t="s">
        <v>86</v>
      </c>
      <c r="AP715">
        <v>8</v>
      </c>
      <c r="AQ715" t="s">
        <v>86</v>
      </c>
      <c r="AR715" s="18" t="str">
        <f>IFERROR(VLOOKUP(K715,[1]POP!$F:$J,1,0),M715)</f>
        <v>MADA</v>
      </c>
      <c r="AS715" s="18" t="str">
        <f t="shared" si="56"/>
        <v>NAGA</v>
      </c>
      <c r="AT715" s="19">
        <f t="shared" si="59"/>
        <v>2</v>
      </c>
      <c r="AU715" s="19">
        <f t="shared" ca="1" si="58"/>
        <v>2</v>
      </c>
    </row>
    <row r="716" spans="1:47" x14ac:dyDescent="0.3">
      <c r="A716" t="s">
        <v>1032</v>
      </c>
      <c r="B716" t="str">
        <f t="shared" si="55"/>
        <v>S30_2026</v>
      </c>
      <c r="C716" t="str">
        <f t="shared" si="57"/>
        <v>S30_2026</v>
      </c>
      <c r="F716">
        <v>9</v>
      </c>
      <c r="G716" t="s">
        <v>40</v>
      </c>
      <c r="I716" t="s">
        <v>477</v>
      </c>
      <c r="J716" t="s">
        <v>128</v>
      </c>
      <c r="K716" t="s">
        <v>124</v>
      </c>
      <c r="L716" t="s">
        <v>174</v>
      </c>
      <c r="M716" t="s">
        <v>124</v>
      </c>
      <c r="N716" t="s">
        <v>45</v>
      </c>
      <c r="O716" t="s">
        <v>45</v>
      </c>
      <c r="P716">
        <v>3</v>
      </c>
      <c r="Q716" s="7">
        <v>46225</v>
      </c>
      <c r="R716" s="7">
        <v>46226</v>
      </c>
      <c r="S716" s="7">
        <v>46226</v>
      </c>
      <c r="T716" t="s">
        <v>45</v>
      </c>
      <c r="V716" t="s">
        <v>175</v>
      </c>
      <c r="W716" t="s">
        <v>45</v>
      </c>
      <c r="X716" t="s">
        <v>45</v>
      </c>
      <c r="Y716" t="s">
        <v>45</v>
      </c>
      <c r="Z716" t="s">
        <v>45</v>
      </c>
      <c r="AF716">
        <v>2</v>
      </c>
      <c r="AH716" t="s">
        <v>75</v>
      </c>
      <c r="AI716">
        <v>1</v>
      </c>
      <c r="AJ716" s="15"/>
      <c r="AN716" t="s">
        <v>74</v>
      </c>
      <c r="AO716" t="s">
        <v>86</v>
      </c>
      <c r="AP716">
        <v>6</v>
      </c>
      <c r="AQ716" t="s">
        <v>86</v>
      </c>
      <c r="AR716" s="18" t="str">
        <f>IFERROR(VLOOKUP(K716,[1]POP!$F:$J,1,0),M716)</f>
        <v>MADA</v>
      </c>
      <c r="AS716" s="18" t="str">
        <f t="shared" si="56"/>
        <v>NAGA</v>
      </c>
      <c r="AT716" s="19">
        <f t="shared" si="59"/>
        <v>2</v>
      </c>
      <c r="AU716" s="19">
        <f t="shared" ca="1" si="58"/>
        <v>2</v>
      </c>
    </row>
    <row r="717" spans="1:47" x14ac:dyDescent="0.3">
      <c r="A717" t="s">
        <v>1033</v>
      </c>
      <c r="B717" t="str">
        <f t="shared" si="55"/>
        <v>S30_2026</v>
      </c>
      <c r="C717" t="str">
        <f t="shared" si="57"/>
        <v>S30_2026</v>
      </c>
      <c r="F717">
        <v>8</v>
      </c>
      <c r="G717" t="s">
        <v>40</v>
      </c>
      <c r="I717" t="s">
        <v>477</v>
      </c>
      <c r="J717" t="s">
        <v>128</v>
      </c>
      <c r="K717" t="s">
        <v>124</v>
      </c>
      <c r="L717" t="s">
        <v>174</v>
      </c>
      <c r="M717" t="s">
        <v>124</v>
      </c>
      <c r="N717" t="s">
        <v>45</v>
      </c>
      <c r="O717" t="s">
        <v>45</v>
      </c>
      <c r="P717">
        <v>2</v>
      </c>
      <c r="Q717" s="7">
        <v>46225</v>
      </c>
      <c r="R717" s="7">
        <v>46226</v>
      </c>
      <c r="S717" s="7">
        <v>46226</v>
      </c>
      <c r="T717" t="s">
        <v>45</v>
      </c>
      <c r="V717" t="s">
        <v>175</v>
      </c>
      <c r="W717" t="s">
        <v>45</v>
      </c>
      <c r="X717" t="s">
        <v>45</v>
      </c>
      <c r="Y717" t="s">
        <v>45</v>
      </c>
      <c r="Z717" t="s">
        <v>45</v>
      </c>
      <c r="AF717">
        <v>2</v>
      </c>
      <c r="AH717" t="s">
        <v>75</v>
      </c>
      <c r="AI717">
        <v>1</v>
      </c>
      <c r="AJ717" s="15"/>
      <c r="AN717" t="s">
        <v>74</v>
      </c>
      <c r="AO717" t="s">
        <v>86</v>
      </c>
      <c r="AP717">
        <v>7</v>
      </c>
      <c r="AQ717" t="s">
        <v>86</v>
      </c>
      <c r="AR717" s="18" t="str">
        <f>IFERROR(VLOOKUP(K717,[1]POP!$F:$J,1,0),M717)</f>
        <v>MADA</v>
      </c>
      <c r="AS717" s="18" t="str">
        <f t="shared" si="56"/>
        <v>NAGA</v>
      </c>
      <c r="AT717" s="19">
        <f t="shared" si="59"/>
        <v>2</v>
      </c>
      <c r="AU717" s="19">
        <f t="shared" ca="1" si="58"/>
        <v>2</v>
      </c>
    </row>
    <row r="718" spans="1:47" x14ac:dyDescent="0.3">
      <c r="A718" t="s">
        <v>1034</v>
      </c>
      <c r="B718" t="str">
        <f t="shared" si="55"/>
        <v>S30_2026</v>
      </c>
      <c r="C718" t="str">
        <f t="shared" si="57"/>
        <v>S30_2026</v>
      </c>
      <c r="F718">
        <v>19</v>
      </c>
      <c r="G718" t="s">
        <v>55</v>
      </c>
      <c r="I718" t="s">
        <v>311</v>
      </c>
      <c r="J718" t="s">
        <v>174</v>
      </c>
      <c r="K718" t="s">
        <v>124</v>
      </c>
      <c r="L718" t="s">
        <v>174</v>
      </c>
      <c r="M718" t="s">
        <v>124</v>
      </c>
      <c r="N718" t="s">
        <v>45</v>
      </c>
      <c r="O718" t="s">
        <v>45</v>
      </c>
      <c r="P718">
        <v>2</v>
      </c>
      <c r="Q718" s="7">
        <v>46225</v>
      </c>
      <c r="R718" s="7">
        <v>46226</v>
      </c>
      <c r="S718" s="7">
        <v>46226</v>
      </c>
      <c r="T718" t="s">
        <v>45</v>
      </c>
      <c r="V718" t="s">
        <v>175</v>
      </c>
      <c r="W718" t="s">
        <v>45</v>
      </c>
      <c r="X718" t="s">
        <v>45</v>
      </c>
      <c r="Y718" t="s">
        <v>45</v>
      </c>
      <c r="Z718" t="s">
        <v>45</v>
      </c>
      <c r="AF718">
        <v>2</v>
      </c>
      <c r="AH718" t="s">
        <v>75</v>
      </c>
      <c r="AI718">
        <v>1</v>
      </c>
      <c r="AJ718" s="15"/>
      <c r="AN718" t="s">
        <v>74</v>
      </c>
      <c r="AO718" t="s">
        <v>86</v>
      </c>
      <c r="AP718">
        <v>6</v>
      </c>
      <c r="AQ718" t="s">
        <v>86</v>
      </c>
      <c r="AR718" s="18" t="str">
        <f>IFERROR(VLOOKUP(K718,[1]POP!$F:$J,1,0),M718)</f>
        <v>MADA</v>
      </c>
      <c r="AS718" s="18" t="str">
        <f t="shared" si="56"/>
        <v>HILE ALIFA</v>
      </c>
      <c r="AT718" s="19">
        <f t="shared" si="59"/>
        <v>2</v>
      </c>
      <c r="AU718" s="19">
        <f t="shared" ca="1" si="58"/>
        <v>2</v>
      </c>
    </row>
    <row r="719" spans="1:47" x14ac:dyDescent="0.3">
      <c r="A719" t="s">
        <v>1035</v>
      </c>
      <c r="B719" t="str">
        <f t="shared" si="55"/>
        <v>S30_2026</v>
      </c>
      <c r="C719" t="str">
        <f t="shared" si="57"/>
        <v>S30_2026</v>
      </c>
      <c r="F719">
        <v>10</v>
      </c>
      <c r="G719" t="s">
        <v>55</v>
      </c>
      <c r="I719" t="s">
        <v>505</v>
      </c>
      <c r="J719" t="s">
        <v>166</v>
      </c>
      <c r="K719" t="s">
        <v>124</v>
      </c>
      <c r="L719" t="s">
        <v>174</v>
      </c>
      <c r="M719" t="s">
        <v>124</v>
      </c>
      <c r="N719" t="s">
        <v>45</v>
      </c>
      <c r="O719" t="s">
        <v>45</v>
      </c>
      <c r="P719">
        <v>2</v>
      </c>
      <c r="Q719" s="7">
        <v>46225</v>
      </c>
      <c r="R719" s="7">
        <v>46226</v>
      </c>
      <c r="S719" s="7">
        <v>46226</v>
      </c>
      <c r="T719" t="s">
        <v>45</v>
      </c>
      <c r="V719" t="s">
        <v>175</v>
      </c>
      <c r="W719" t="s">
        <v>45</v>
      </c>
      <c r="X719" t="s">
        <v>45</v>
      </c>
      <c r="Y719" t="s">
        <v>45</v>
      </c>
      <c r="Z719" t="s">
        <v>45</v>
      </c>
      <c r="AF719">
        <v>2</v>
      </c>
      <c r="AH719" t="s">
        <v>75</v>
      </c>
      <c r="AI719">
        <v>1</v>
      </c>
      <c r="AJ719" s="15"/>
      <c r="AN719" t="s">
        <v>74</v>
      </c>
      <c r="AO719" t="s">
        <v>86</v>
      </c>
      <c r="AP719">
        <v>4</v>
      </c>
      <c r="AQ719" t="s">
        <v>86</v>
      </c>
      <c r="AR719" s="18" t="str">
        <f>IFERROR(VLOOKUP(K719,[1]POP!$F:$J,1,0),M719)</f>
        <v>MADA</v>
      </c>
      <c r="AS719" s="18" t="str">
        <f t="shared" si="56"/>
        <v>BARGARAM</v>
      </c>
      <c r="AT719" s="19">
        <f t="shared" si="59"/>
        <v>2</v>
      </c>
      <c r="AU719" s="19">
        <f t="shared" ca="1" si="58"/>
        <v>2</v>
      </c>
    </row>
    <row r="720" spans="1:47" x14ac:dyDescent="0.3">
      <c r="A720" t="s">
        <v>1036</v>
      </c>
      <c r="B720" t="str">
        <f t="shared" si="55"/>
        <v>S30_2026</v>
      </c>
      <c r="C720" t="str">
        <f t="shared" si="57"/>
        <v>S30_2026</v>
      </c>
      <c r="F720">
        <v>14</v>
      </c>
      <c r="G720" t="s">
        <v>55</v>
      </c>
      <c r="I720" t="s">
        <v>505</v>
      </c>
      <c r="J720" t="s">
        <v>166</v>
      </c>
      <c r="K720" t="s">
        <v>124</v>
      </c>
      <c r="L720" t="s">
        <v>174</v>
      </c>
      <c r="M720" t="s">
        <v>124</v>
      </c>
      <c r="N720" t="s">
        <v>45</v>
      </c>
      <c r="O720" t="s">
        <v>45</v>
      </c>
      <c r="P720">
        <v>3</v>
      </c>
      <c r="Q720" s="7">
        <v>46225</v>
      </c>
      <c r="R720" s="7">
        <v>46226</v>
      </c>
      <c r="S720" s="7">
        <v>46226</v>
      </c>
      <c r="T720" t="s">
        <v>45</v>
      </c>
      <c r="V720" t="s">
        <v>175</v>
      </c>
      <c r="W720" t="s">
        <v>45</v>
      </c>
      <c r="X720" t="s">
        <v>45</v>
      </c>
      <c r="Y720" t="s">
        <v>45</v>
      </c>
      <c r="Z720" t="s">
        <v>45</v>
      </c>
      <c r="AF720">
        <v>2</v>
      </c>
      <c r="AH720" t="s">
        <v>75</v>
      </c>
      <c r="AI720">
        <v>1</v>
      </c>
      <c r="AJ720" s="15"/>
      <c r="AN720" t="s">
        <v>74</v>
      </c>
      <c r="AO720" t="s">
        <v>86</v>
      </c>
      <c r="AP720">
        <v>8</v>
      </c>
      <c r="AQ720" t="s">
        <v>86</v>
      </c>
      <c r="AR720" s="18" t="str">
        <f>IFERROR(VLOOKUP(K720,[1]POP!$F:$J,1,0),M720)</f>
        <v>MADA</v>
      </c>
      <c r="AS720" s="18" t="str">
        <f t="shared" si="56"/>
        <v>BARGARAM</v>
      </c>
      <c r="AT720" s="19">
        <f t="shared" si="59"/>
        <v>2</v>
      </c>
      <c r="AU720" s="19">
        <f t="shared" ca="1" si="58"/>
        <v>2</v>
      </c>
    </row>
    <row r="721" spans="1:47" x14ac:dyDescent="0.3">
      <c r="A721" t="s">
        <v>1037</v>
      </c>
      <c r="B721" t="str">
        <f t="shared" si="55"/>
        <v>S30_2026</v>
      </c>
      <c r="C721" t="str">
        <f t="shared" si="57"/>
        <v>S30_2026</v>
      </c>
      <c r="F721">
        <v>45</v>
      </c>
      <c r="G721" t="s">
        <v>40</v>
      </c>
      <c r="I721" t="s">
        <v>166</v>
      </c>
      <c r="J721" t="s">
        <v>166</v>
      </c>
      <c r="K721" t="s">
        <v>124</v>
      </c>
      <c r="L721" t="s">
        <v>174</v>
      </c>
      <c r="M721" t="s">
        <v>124</v>
      </c>
      <c r="N721" t="s">
        <v>45</v>
      </c>
      <c r="O721" t="s">
        <v>45</v>
      </c>
      <c r="P721">
        <v>3</v>
      </c>
      <c r="Q721" s="7">
        <v>46225</v>
      </c>
      <c r="R721" s="7">
        <v>46226</v>
      </c>
      <c r="S721" s="7">
        <v>46226</v>
      </c>
      <c r="T721" t="s">
        <v>45</v>
      </c>
      <c r="V721" t="s">
        <v>175</v>
      </c>
      <c r="W721" t="s">
        <v>45</v>
      </c>
      <c r="X721" t="s">
        <v>45</v>
      </c>
      <c r="Y721" t="s">
        <v>45</v>
      </c>
      <c r="Z721" t="s">
        <v>45</v>
      </c>
      <c r="AF721">
        <v>2</v>
      </c>
      <c r="AH721" t="s">
        <v>75</v>
      </c>
      <c r="AI721">
        <v>1</v>
      </c>
      <c r="AJ721" s="15"/>
      <c r="AN721" t="s">
        <v>74</v>
      </c>
      <c r="AO721" t="s">
        <v>86</v>
      </c>
      <c r="AP721">
        <v>8</v>
      </c>
      <c r="AQ721" t="s">
        <v>86</v>
      </c>
      <c r="AR721" s="18" t="str">
        <f>IFERROR(VLOOKUP(K721,[1]POP!$F:$J,1,0),M721)</f>
        <v>MADA</v>
      </c>
      <c r="AS721" s="18" t="str">
        <f t="shared" si="56"/>
        <v>BARGARAM</v>
      </c>
      <c r="AT721" s="19">
        <f t="shared" si="59"/>
        <v>2</v>
      </c>
      <c r="AU721" s="19">
        <f t="shared" ca="1" si="58"/>
        <v>2</v>
      </c>
    </row>
    <row r="722" spans="1:47" x14ac:dyDescent="0.3">
      <c r="A722" t="s">
        <v>1038</v>
      </c>
      <c r="B722" t="str">
        <f t="shared" si="55"/>
        <v>S30_2026</v>
      </c>
      <c r="C722" t="str">
        <f t="shared" si="57"/>
        <v>S30_2026</v>
      </c>
      <c r="F722">
        <v>30</v>
      </c>
      <c r="G722" t="s">
        <v>40</v>
      </c>
      <c r="I722" t="s">
        <v>505</v>
      </c>
      <c r="J722" t="s">
        <v>166</v>
      </c>
      <c r="K722" t="s">
        <v>124</v>
      </c>
      <c r="L722" t="s">
        <v>174</v>
      </c>
      <c r="M722" t="s">
        <v>124</v>
      </c>
      <c r="N722" t="s">
        <v>45</v>
      </c>
      <c r="O722" t="s">
        <v>45</v>
      </c>
      <c r="P722">
        <v>3</v>
      </c>
      <c r="Q722" s="7">
        <v>46225</v>
      </c>
      <c r="R722" s="7">
        <v>46226</v>
      </c>
      <c r="S722" s="7">
        <v>46226</v>
      </c>
      <c r="T722" t="s">
        <v>45</v>
      </c>
      <c r="V722" t="s">
        <v>175</v>
      </c>
      <c r="W722" t="s">
        <v>45</v>
      </c>
      <c r="X722" t="s">
        <v>45</v>
      </c>
      <c r="Y722" t="s">
        <v>45</v>
      </c>
      <c r="Z722" t="s">
        <v>45</v>
      </c>
      <c r="AF722">
        <v>2</v>
      </c>
      <c r="AH722" t="s">
        <v>75</v>
      </c>
      <c r="AI722">
        <v>1</v>
      </c>
      <c r="AJ722" s="15"/>
      <c r="AN722" t="s">
        <v>74</v>
      </c>
      <c r="AO722" t="s">
        <v>86</v>
      </c>
      <c r="AP722">
        <v>8</v>
      </c>
      <c r="AQ722" t="s">
        <v>86</v>
      </c>
      <c r="AR722" s="18" t="str">
        <f>IFERROR(VLOOKUP(K722,[1]POP!$F:$J,1,0),M722)</f>
        <v>MADA</v>
      </c>
      <c r="AS722" s="18" t="str">
        <f t="shared" si="56"/>
        <v>BARGARAM</v>
      </c>
      <c r="AT722" s="19">
        <f t="shared" si="59"/>
        <v>2</v>
      </c>
      <c r="AU722" s="19">
        <f t="shared" ca="1" si="58"/>
        <v>2</v>
      </c>
    </row>
    <row r="723" spans="1:47" x14ac:dyDescent="0.3">
      <c r="A723" t="s">
        <v>1039</v>
      </c>
      <c r="B723" t="str">
        <f t="shared" si="55"/>
        <v>S30_2026</v>
      </c>
      <c r="C723" t="str">
        <f t="shared" si="57"/>
        <v>S30_2026</v>
      </c>
      <c r="F723">
        <v>18</v>
      </c>
      <c r="G723" t="s">
        <v>55</v>
      </c>
      <c r="H723" t="s">
        <v>85</v>
      </c>
      <c r="I723" t="s">
        <v>1040</v>
      </c>
      <c r="J723" t="s">
        <v>851</v>
      </c>
      <c r="K723" t="s">
        <v>746</v>
      </c>
      <c r="L723" t="s">
        <v>1041</v>
      </c>
      <c r="M723" t="s">
        <v>746</v>
      </c>
      <c r="N723" t="s">
        <v>45</v>
      </c>
      <c r="O723" t="s">
        <v>45</v>
      </c>
      <c r="P723">
        <v>2</v>
      </c>
      <c r="Q723" s="7">
        <v>46225</v>
      </c>
      <c r="R723" s="7">
        <v>46225</v>
      </c>
      <c r="S723" s="7">
        <v>46226</v>
      </c>
      <c r="T723" t="s">
        <v>45</v>
      </c>
      <c r="V723" t="s">
        <v>1042</v>
      </c>
      <c r="W723" t="s">
        <v>117</v>
      </c>
      <c r="X723" t="s">
        <v>45</v>
      </c>
      <c r="Y723" t="s">
        <v>45</v>
      </c>
      <c r="Z723" t="s">
        <v>74</v>
      </c>
      <c r="AA723" s="7">
        <v>46225</v>
      </c>
      <c r="AB723" t="s">
        <v>62</v>
      </c>
      <c r="AC723" t="s">
        <v>74</v>
      </c>
      <c r="AE723" s="7">
        <v>46227</v>
      </c>
      <c r="AF723">
        <v>2</v>
      </c>
      <c r="AH723" t="s">
        <v>75</v>
      </c>
      <c r="AI723">
        <v>1</v>
      </c>
      <c r="AJ723" s="15"/>
      <c r="AK723" t="s">
        <v>74</v>
      </c>
      <c r="AN723" t="s">
        <v>74</v>
      </c>
      <c r="AO723" t="s">
        <v>86</v>
      </c>
      <c r="AP723">
        <v>7</v>
      </c>
      <c r="AQ723" t="s">
        <v>86</v>
      </c>
      <c r="AR723" s="18" t="str">
        <f>IFERROR(VLOOKUP(K723,[1]POP!$F:$J,1,0),M723)</f>
        <v>MORA</v>
      </c>
      <c r="AS723" s="18" t="str">
        <f t="shared" si="56"/>
        <v>TOLKOMARI</v>
      </c>
      <c r="AT723" s="19">
        <f t="shared" si="59"/>
        <v>2</v>
      </c>
      <c r="AU723" s="19">
        <f t="shared" ca="1" si="58"/>
        <v>2</v>
      </c>
    </row>
    <row r="724" spans="1:47" x14ac:dyDescent="0.3">
      <c r="A724" t="s">
        <v>1043</v>
      </c>
      <c r="B724" t="str">
        <f t="shared" si="55"/>
        <v>S30_2026</v>
      </c>
      <c r="C724" t="str">
        <f t="shared" si="57"/>
        <v>S30_2026</v>
      </c>
      <c r="F724">
        <v>0.57999999999999996</v>
      </c>
      <c r="G724" t="s">
        <v>40</v>
      </c>
      <c r="H724" t="s">
        <v>85</v>
      </c>
      <c r="I724" t="s">
        <v>862</v>
      </c>
      <c r="J724" t="s">
        <v>752</v>
      </c>
      <c r="K724" t="s">
        <v>146</v>
      </c>
      <c r="L724" t="s">
        <v>752</v>
      </c>
      <c r="M724" t="s">
        <v>146</v>
      </c>
      <c r="N724" t="s">
        <v>45</v>
      </c>
      <c r="O724" t="s">
        <v>45</v>
      </c>
      <c r="P724">
        <v>2</v>
      </c>
      <c r="Q724" s="7">
        <v>46224</v>
      </c>
      <c r="R724" s="7">
        <v>46224</v>
      </c>
      <c r="S724" s="7">
        <v>46224</v>
      </c>
      <c r="T724" t="s">
        <v>45</v>
      </c>
      <c r="V724" t="s">
        <v>753</v>
      </c>
      <c r="W724" t="s">
        <v>45</v>
      </c>
      <c r="X724" t="s">
        <v>45</v>
      </c>
      <c r="Y724" t="s">
        <v>45</v>
      </c>
      <c r="Z724" t="s">
        <v>45</v>
      </c>
      <c r="AB724" t="s">
        <v>48</v>
      </c>
      <c r="AC724" t="s">
        <v>74</v>
      </c>
      <c r="AF724">
        <v>2</v>
      </c>
      <c r="AH724" t="s">
        <v>75</v>
      </c>
      <c r="AI724">
        <v>1</v>
      </c>
      <c r="AJ724" s="15"/>
      <c r="AK724" t="s">
        <v>74</v>
      </c>
      <c r="AN724" t="s">
        <v>74</v>
      </c>
      <c r="AO724" t="s">
        <v>86</v>
      </c>
      <c r="AP724">
        <v>6</v>
      </c>
      <c r="AQ724" t="s">
        <v>86</v>
      </c>
      <c r="AR724" s="18" t="str">
        <f>IFERROR(VLOOKUP(K724,[1]POP!$F:$J,1,0),M724)</f>
        <v>KOLOFATA</v>
      </c>
      <c r="AS724" s="18" t="str">
        <f t="shared" si="56"/>
        <v>LIMANI</v>
      </c>
      <c r="AT724" s="19">
        <f t="shared" si="59"/>
        <v>2</v>
      </c>
      <c r="AU724" s="19">
        <f t="shared" ca="1" si="58"/>
        <v>2</v>
      </c>
    </row>
    <row r="725" spans="1:47" x14ac:dyDescent="0.3">
      <c r="A725" t="s">
        <v>1044</v>
      </c>
      <c r="B725" t="str">
        <f t="shared" si="55"/>
        <v>S30_2026</v>
      </c>
      <c r="C725" t="str">
        <f t="shared" si="57"/>
        <v>S30_2026</v>
      </c>
      <c r="F725">
        <v>30</v>
      </c>
      <c r="G725" t="s">
        <v>40</v>
      </c>
      <c r="H725" t="s">
        <v>77</v>
      </c>
      <c r="I725" t="s">
        <v>1045</v>
      </c>
      <c r="J725" t="s">
        <v>851</v>
      </c>
      <c r="K725" t="s">
        <v>146</v>
      </c>
      <c r="L725" t="s">
        <v>851</v>
      </c>
      <c r="M725" t="s">
        <v>146</v>
      </c>
      <c r="N725" t="s">
        <v>45</v>
      </c>
      <c r="O725" t="s">
        <v>45</v>
      </c>
      <c r="P725">
        <v>3</v>
      </c>
      <c r="Q725" s="7">
        <v>46224</v>
      </c>
      <c r="R725" s="7">
        <v>46225</v>
      </c>
      <c r="S725" s="7">
        <v>46225</v>
      </c>
      <c r="T725" t="s">
        <v>74</v>
      </c>
      <c r="W725" t="s">
        <v>74</v>
      </c>
      <c r="X725" t="s">
        <v>74</v>
      </c>
      <c r="Y725" t="s">
        <v>74</v>
      </c>
      <c r="Z725" t="s">
        <v>74</v>
      </c>
      <c r="AC725" t="s">
        <v>74</v>
      </c>
      <c r="AF725">
        <v>3</v>
      </c>
      <c r="AH725" t="s">
        <v>75</v>
      </c>
      <c r="AI725">
        <v>3</v>
      </c>
      <c r="AJ725" s="15"/>
      <c r="AK725" t="s">
        <v>74</v>
      </c>
      <c r="AN725" t="s">
        <v>74</v>
      </c>
      <c r="AO725" t="s">
        <v>86</v>
      </c>
      <c r="AP725">
        <v>5</v>
      </c>
      <c r="AQ725" t="s">
        <v>86</v>
      </c>
      <c r="AR725" s="18" t="str">
        <f>IFERROR(VLOOKUP(K725,[1]POP!$F:$J,1,0),M725)</f>
        <v>KOLOFATA</v>
      </c>
      <c r="AS725" s="18" t="str">
        <f t="shared" si="56"/>
        <v>TOLKOMARI</v>
      </c>
      <c r="AT725" s="19">
        <f t="shared" si="59"/>
        <v>3</v>
      </c>
      <c r="AU725" s="19">
        <f t="shared" ca="1" si="58"/>
        <v>2</v>
      </c>
    </row>
    <row r="726" spans="1:47" x14ac:dyDescent="0.3">
      <c r="A726" t="s">
        <v>1046</v>
      </c>
      <c r="B726" t="str">
        <f t="shared" si="55"/>
        <v>S30_2026</v>
      </c>
      <c r="C726" t="str">
        <f t="shared" si="57"/>
        <v>S30_2026</v>
      </c>
      <c r="F726">
        <v>65</v>
      </c>
      <c r="G726" t="s">
        <v>40</v>
      </c>
      <c r="H726" t="s">
        <v>77</v>
      </c>
      <c r="I726" t="s">
        <v>851</v>
      </c>
      <c r="J726" t="s">
        <v>851</v>
      </c>
      <c r="K726" t="s">
        <v>146</v>
      </c>
      <c r="L726" t="s">
        <v>851</v>
      </c>
      <c r="M726" t="s">
        <v>146</v>
      </c>
      <c r="N726" t="s">
        <v>45</v>
      </c>
      <c r="O726" t="s">
        <v>45</v>
      </c>
      <c r="P726">
        <v>3</v>
      </c>
      <c r="Q726" s="7">
        <v>46224</v>
      </c>
      <c r="R726" s="7">
        <v>46225</v>
      </c>
      <c r="S726" s="7">
        <v>46225</v>
      </c>
      <c r="T726" t="s">
        <v>74</v>
      </c>
      <c r="W726" t="s">
        <v>74</v>
      </c>
      <c r="X726" t="s">
        <v>74</v>
      </c>
      <c r="Y726" t="s">
        <v>74</v>
      </c>
      <c r="Z726" t="s">
        <v>74</v>
      </c>
      <c r="AC726" t="s">
        <v>74</v>
      </c>
      <c r="AF726">
        <v>3</v>
      </c>
      <c r="AH726" t="s">
        <v>75</v>
      </c>
      <c r="AI726">
        <v>3</v>
      </c>
      <c r="AJ726" s="15"/>
      <c r="AK726" t="s">
        <v>74</v>
      </c>
      <c r="AN726" t="s">
        <v>74</v>
      </c>
      <c r="AO726" t="s">
        <v>86</v>
      </c>
      <c r="AP726">
        <v>7</v>
      </c>
      <c r="AQ726" t="s">
        <v>86</v>
      </c>
      <c r="AR726" s="18" t="str">
        <f>IFERROR(VLOOKUP(K726,[1]POP!$F:$J,1,0),M726)</f>
        <v>KOLOFATA</v>
      </c>
      <c r="AS726" s="18" t="str">
        <f t="shared" si="56"/>
        <v>TOLKOMARI</v>
      </c>
      <c r="AT726" s="19">
        <f t="shared" si="59"/>
        <v>3</v>
      </c>
      <c r="AU726" s="19">
        <f t="shared" ca="1" si="58"/>
        <v>2</v>
      </c>
    </row>
    <row r="727" spans="1:47" x14ac:dyDescent="0.3">
      <c r="A727" t="s">
        <v>1047</v>
      </c>
      <c r="B727" t="str">
        <f t="shared" si="55"/>
        <v>S30_2026</v>
      </c>
      <c r="C727" t="str">
        <f t="shared" si="57"/>
        <v>S30_2026</v>
      </c>
      <c r="F727">
        <v>2</v>
      </c>
      <c r="G727" t="s">
        <v>55</v>
      </c>
      <c r="H727" t="s">
        <v>85</v>
      </c>
      <c r="I727" t="s">
        <v>851</v>
      </c>
      <c r="J727" t="s">
        <v>851</v>
      </c>
      <c r="K727" t="s">
        <v>146</v>
      </c>
      <c r="L727" t="s">
        <v>851</v>
      </c>
      <c r="M727" t="s">
        <v>146</v>
      </c>
      <c r="N727" t="s">
        <v>45</v>
      </c>
      <c r="O727" t="s">
        <v>45</v>
      </c>
      <c r="P727">
        <v>3</v>
      </c>
      <c r="Q727" s="7">
        <v>46225</v>
      </c>
      <c r="R727" s="7">
        <v>46225</v>
      </c>
      <c r="S727" s="7">
        <v>46225</v>
      </c>
      <c r="T727" t="s">
        <v>45</v>
      </c>
      <c r="V727" t="s">
        <v>1048</v>
      </c>
      <c r="W727" t="s">
        <v>45</v>
      </c>
      <c r="X727" t="s">
        <v>45</v>
      </c>
      <c r="Y727" t="s">
        <v>45</v>
      </c>
      <c r="Z727" t="s">
        <v>45</v>
      </c>
      <c r="AB727" t="s">
        <v>48</v>
      </c>
      <c r="AC727" t="s">
        <v>74</v>
      </c>
      <c r="AE727" s="7">
        <v>46227</v>
      </c>
      <c r="AF727">
        <v>2</v>
      </c>
      <c r="AH727" t="s">
        <v>75</v>
      </c>
      <c r="AI727">
        <v>1</v>
      </c>
      <c r="AJ727" s="15"/>
      <c r="AK727" t="s">
        <v>74</v>
      </c>
      <c r="AN727" t="s">
        <v>74</v>
      </c>
      <c r="AO727" t="s">
        <v>86</v>
      </c>
      <c r="AP727">
        <v>7</v>
      </c>
      <c r="AQ727" t="s">
        <v>86</v>
      </c>
      <c r="AR727" s="18" t="str">
        <f>IFERROR(VLOOKUP(K727,[1]POP!$F:$J,1,0),M727)</f>
        <v>KOLOFATA</v>
      </c>
      <c r="AS727" s="18" t="str">
        <f t="shared" si="56"/>
        <v>TOLKOMARI</v>
      </c>
      <c r="AT727" s="19">
        <f t="shared" si="59"/>
        <v>2</v>
      </c>
      <c r="AU727" s="19">
        <f t="shared" ca="1" si="58"/>
        <v>2</v>
      </c>
    </row>
    <row r="728" spans="1:47" x14ac:dyDescent="0.3">
      <c r="A728" t="s">
        <v>1049</v>
      </c>
      <c r="B728" t="str">
        <f t="shared" si="55"/>
        <v>S30_2026</v>
      </c>
      <c r="C728" t="str">
        <f t="shared" si="57"/>
        <v>S30_2026</v>
      </c>
      <c r="F728">
        <v>6</v>
      </c>
      <c r="G728" t="s">
        <v>40</v>
      </c>
      <c r="H728" t="s">
        <v>85</v>
      </c>
      <c r="I728" t="s">
        <v>851</v>
      </c>
      <c r="J728" t="s">
        <v>851</v>
      </c>
      <c r="K728" t="s">
        <v>146</v>
      </c>
      <c r="L728" t="s">
        <v>851</v>
      </c>
      <c r="M728" t="s">
        <v>146</v>
      </c>
      <c r="N728" t="s">
        <v>45</v>
      </c>
      <c r="O728" t="s">
        <v>45</v>
      </c>
      <c r="P728">
        <v>3</v>
      </c>
      <c r="Q728" s="7">
        <v>46226</v>
      </c>
      <c r="R728" s="7">
        <v>46226</v>
      </c>
      <c r="S728" s="7">
        <v>46226</v>
      </c>
      <c r="T728" t="s">
        <v>45</v>
      </c>
      <c r="V728" t="s">
        <v>1048</v>
      </c>
      <c r="W728" t="s">
        <v>45</v>
      </c>
      <c r="X728" t="s">
        <v>45</v>
      </c>
      <c r="Y728" t="s">
        <v>45</v>
      </c>
      <c r="Z728" t="s">
        <v>45</v>
      </c>
      <c r="AB728" t="s">
        <v>48</v>
      </c>
      <c r="AC728" t="s">
        <v>74</v>
      </c>
      <c r="AE728" s="7">
        <v>46230</v>
      </c>
      <c r="AF728">
        <v>2</v>
      </c>
      <c r="AH728" t="s">
        <v>75</v>
      </c>
      <c r="AI728">
        <v>1</v>
      </c>
      <c r="AJ728" s="15"/>
      <c r="AK728" t="s">
        <v>74</v>
      </c>
      <c r="AN728" t="s">
        <v>74</v>
      </c>
      <c r="AO728" t="s">
        <v>86</v>
      </c>
      <c r="AP728">
        <v>8</v>
      </c>
      <c r="AQ728" t="s">
        <v>86</v>
      </c>
      <c r="AR728" s="18" t="str">
        <f>IFERROR(VLOOKUP(K728,[1]POP!$F:$J,1,0),M728)</f>
        <v>KOLOFATA</v>
      </c>
      <c r="AS728" s="18" t="str">
        <f t="shared" si="56"/>
        <v>TOLKOMARI</v>
      </c>
      <c r="AT728" s="19">
        <f t="shared" si="59"/>
        <v>2</v>
      </c>
      <c r="AU728" s="19">
        <f t="shared" ca="1" si="58"/>
        <v>2</v>
      </c>
    </row>
    <row r="729" spans="1:47" x14ac:dyDescent="0.3">
      <c r="A729" t="s">
        <v>1050</v>
      </c>
      <c r="B729" t="str">
        <f t="shared" si="55"/>
        <v>S30_2026</v>
      </c>
      <c r="C729" t="str">
        <f t="shared" si="57"/>
        <v>S30_2026</v>
      </c>
      <c r="F729">
        <v>32</v>
      </c>
      <c r="G729" t="s">
        <v>40</v>
      </c>
      <c r="H729" t="s">
        <v>77</v>
      </c>
      <c r="I729" t="s">
        <v>851</v>
      </c>
      <c r="J729" t="s">
        <v>851</v>
      </c>
      <c r="K729" t="s">
        <v>146</v>
      </c>
      <c r="L729" t="s">
        <v>851</v>
      </c>
      <c r="M729" t="s">
        <v>146</v>
      </c>
      <c r="N729" t="s">
        <v>45</v>
      </c>
      <c r="O729" t="s">
        <v>45</v>
      </c>
      <c r="P729">
        <v>2</v>
      </c>
      <c r="Q729" s="7">
        <v>46226</v>
      </c>
      <c r="R729" s="7">
        <v>46226</v>
      </c>
      <c r="S729" s="7">
        <v>46226</v>
      </c>
      <c r="T729" t="s">
        <v>45</v>
      </c>
      <c r="V729" t="s">
        <v>1048</v>
      </c>
      <c r="W729" t="s">
        <v>45</v>
      </c>
      <c r="X729" t="s">
        <v>45</v>
      </c>
      <c r="Y729" t="s">
        <v>45</v>
      </c>
      <c r="Z729" t="s">
        <v>45</v>
      </c>
      <c r="AB729" t="s">
        <v>48</v>
      </c>
      <c r="AC729" t="s">
        <v>74</v>
      </c>
      <c r="AE729" s="7">
        <v>46230</v>
      </c>
      <c r="AF729">
        <v>2</v>
      </c>
      <c r="AH729" t="s">
        <v>75</v>
      </c>
      <c r="AI729">
        <v>1</v>
      </c>
      <c r="AJ729" s="15"/>
      <c r="AK729" t="s">
        <v>74</v>
      </c>
      <c r="AN729" t="s">
        <v>74</v>
      </c>
      <c r="AO729" t="s">
        <v>86</v>
      </c>
      <c r="AP729">
        <v>8</v>
      </c>
      <c r="AQ729" t="s">
        <v>86</v>
      </c>
      <c r="AR729" s="18" t="str">
        <f>IFERROR(VLOOKUP(K729,[1]POP!$F:$J,1,0),M729)</f>
        <v>KOLOFATA</v>
      </c>
      <c r="AS729" s="18" t="str">
        <f t="shared" si="56"/>
        <v>TOLKOMARI</v>
      </c>
      <c r="AT729" s="19">
        <f t="shared" si="59"/>
        <v>2</v>
      </c>
      <c r="AU729" s="19">
        <f t="shared" ca="1" si="58"/>
        <v>2</v>
      </c>
    </row>
    <row r="730" spans="1:47" x14ac:dyDescent="0.3">
      <c r="A730" t="s">
        <v>1051</v>
      </c>
      <c r="B730" t="str">
        <f t="shared" si="55"/>
        <v>S30_2026</v>
      </c>
      <c r="C730" t="str">
        <f t="shared" si="57"/>
        <v>S30_2026</v>
      </c>
      <c r="F730">
        <v>6</v>
      </c>
      <c r="G730" t="s">
        <v>55</v>
      </c>
      <c r="H730" t="s">
        <v>85</v>
      </c>
      <c r="I730" t="s">
        <v>851</v>
      </c>
      <c r="J730" t="s">
        <v>851</v>
      </c>
      <c r="K730" t="s">
        <v>146</v>
      </c>
      <c r="L730" t="s">
        <v>851</v>
      </c>
      <c r="M730" t="s">
        <v>146</v>
      </c>
      <c r="N730" t="s">
        <v>45</v>
      </c>
      <c r="O730" t="s">
        <v>45</v>
      </c>
      <c r="P730">
        <v>2</v>
      </c>
      <c r="Q730" s="7">
        <v>46226</v>
      </c>
      <c r="R730" s="7">
        <v>46226</v>
      </c>
      <c r="S730" s="7">
        <v>46226</v>
      </c>
      <c r="T730" t="s">
        <v>45</v>
      </c>
      <c r="V730" t="s">
        <v>1048</v>
      </c>
      <c r="W730" t="s">
        <v>45</v>
      </c>
      <c r="X730" t="s">
        <v>45</v>
      </c>
      <c r="Y730" t="s">
        <v>45</v>
      </c>
      <c r="Z730" t="s">
        <v>45</v>
      </c>
      <c r="AB730" t="s">
        <v>48</v>
      </c>
      <c r="AC730" t="s">
        <v>74</v>
      </c>
      <c r="AE730" s="7">
        <v>46230</v>
      </c>
      <c r="AF730">
        <v>2</v>
      </c>
      <c r="AH730" t="s">
        <v>75</v>
      </c>
      <c r="AI730">
        <v>1</v>
      </c>
      <c r="AJ730" s="15"/>
      <c r="AK730" t="s">
        <v>74</v>
      </c>
      <c r="AN730" t="s">
        <v>74</v>
      </c>
      <c r="AO730" t="s">
        <v>86</v>
      </c>
      <c r="AP730">
        <v>6</v>
      </c>
      <c r="AQ730" t="s">
        <v>86</v>
      </c>
      <c r="AR730" s="18" t="str">
        <f>IFERROR(VLOOKUP(K730,[1]POP!$F:$J,1,0),M730)</f>
        <v>KOLOFATA</v>
      </c>
      <c r="AS730" s="18" t="str">
        <f t="shared" si="56"/>
        <v>TOLKOMARI</v>
      </c>
      <c r="AT730" s="19">
        <f t="shared" si="59"/>
        <v>2</v>
      </c>
      <c r="AU730" s="19">
        <f t="shared" ca="1" si="58"/>
        <v>2</v>
      </c>
    </row>
    <row r="731" spans="1:47" x14ac:dyDescent="0.3">
      <c r="A731" t="s">
        <v>1052</v>
      </c>
      <c r="B731" t="str">
        <f t="shared" si="55"/>
        <v>S30_2026</v>
      </c>
      <c r="C731" t="str">
        <f t="shared" si="57"/>
        <v>S30_2026</v>
      </c>
      <c r="F731">
        <v>3</v>
      </c>
      <c r="G731" t="s">
        <v>55</v>
      </c>
      <c r="H731" t="s">
        <v>85</v>
      </c>
      <c r="I731" t="s">
        <v>851</v>
      </c>
      <c r="J731" t="s">
        <v>851</v>
      </c>
      <c r="K731" t="s">
        <v>146</v>
      </c>
      <c r="L731" t="s">
        <v>851</v>
      </c>
      <c r="M731" t="s">
        <v>146</v>
      </c>
      <c r="N731" t="s">
        <v>45</v>
      </c>
      <c r="O731" t="s">
        <v>45</v>
      </c>
      <c r="P731">
        <v>3</v>
      </c>
      <c r="Q731" s="7">
        <v>46226</v>
      </c>
      <c r="R731" s="7">
        <v>46226</v>
      </c>
      <c r="S731" s="7">
        <v>46226</v>
      </c>
      <c r="T731" t="s">
        <v>45</v>
      </c>
      <c r="V731" t="s">
        <v>1048</v>
      </c>
      <c r="W731" t="s">
        <v>45</v>
      </c>
      <c r="X731" t="s">
        <v>45</v>
      </c>
      <c r="Y731" t="s">
        <v>45</v>
      </c>
      <c r="Z731" t="s">
        <v>45</v>
      </c>
      <c r="AB731" t="s">
        <v>48</v>
      </c>
      <c r="AC731" t="s">
        <v>74</v>
      </c>
      <c r="AE731" s="7">
        <v>46230</v>
      </c>
      <c r="AF731">
        <v>2</v>
      </c>
      <c r="AH731" t="s">
        <v>75</v>
      </c>
      <c r="AI731">
        <v>1</v>
      </c>
      <c r="AJ731" s="15"/>
      <c r="AK731" t="s">
        <v>74</v>
      </c>
      <c r="AN731" t="s">
        <v>74</v>
      </c>
      <c r="AO731" t="s">
        <v>86</v>
      </c>
      <c r="AP731">
        <v>7</v>
      </c>
      <c r="AQ731" t="s">
        <v>86</v>
      </c>
      <c r="AR731" s="18" t="str">
        <f>IFERROR(VLOOKUP(K731,[1]POP!$F:$J,1,0),M731)</f>
        <v>KOLOFATA</v>
      </c>
      <c r="AS731" s="18" t="str">
        <f t="shared" si="56"/>
        <v>TOLKOMARI</v>
      </c>
      <c r="AT731" s="19">
        <f t="shared" si="59"/>
        <v>2</v>
      </c>
      <c r="AU731" s="19">
        <f t="shared" ca="1" si="58"/>
        <v>2</v>
      </c>
    </row>
    <row r="732" spans="1:47" x14ac:dyDescent="0.3">
      <c r="A732" t="s">
        <v>1053</v>
      </c>
      <c r="B732" t="str">
        <f t="shared" si="55"/>
        <v>S30_2026</v>
      </c>
      <c r="C732" t="str">
        <f t="shared" si="57"/>
        <v>S30_2026</v>
      </c>
      <c r="F732">
        <v>7</v>
      </c>
      <c r="G732" t="s">
        <v>55</v>
      </c>
      <c r="H732" t="s">
        <v>85</v>
      </c>
      <c r="I732" t="s">
        <v>851</v>
      </c>
      <c r="J732" t="s">
        <v>851</v>
      </c>
      <c r="K732" t="s">
        <v>146</v>
      </c>
      <c r="L732" t="s">
        <v>851</v>
      </c>
      <c r="M732" t="s">
        <v>146</v>
      </c>
      <c r="N732" t="s">
        <v>45</v>
      </c>
      <c r="O732" t="s">
        <v>45</v>
      </c>
      <c r="P732">
        <v>3</v>
      </c>
      <c r="Q732" s="7">
        <v>46226</v>
      </c>
      <c r="R732" s="7">
        <v>46226</v>
      </c>
      <c r="S732" s="7">
        <v>46226</v>
      </c>
      <c r="T732" t="s">
        <v>45</v>
      </c>
      <c r="V732" t="s">
        <v>1048</v>
      </c>
      <c r="W732" t="s">
        <v>45</v>
      </c>
      <c r="X732" t="s">
        <v>45</v>
      </c>
      <c r="Y732" t="s">
        <v>45</v>
      </c>
      <c r="Z732" t="s">
        <v>45</v>
      </c>
      <c r="AB732" t="s">
        <v>48</v>
      </c>
      <c r="AC732" t="s">
        <v>74</v>
      </c>
      <c r="AE732" s="7">
        <v>46230</v>
      </c>
      <c r="AF732">
        <v>2</v>
      </c>
      <c r="AH732" t="s">
        <v>75</v>
      </c>
      <c r="AI732">
        <v>1</v>
      </c>
      <c r="AJ732" s="15"/>
      <c r="AK732" t="s">
        <v>74</v>
      </c>
      <c r="AN732" t="s">
        <v>74</v>
      </c>
      <c r="AO732" t="s">
        <v>86</v>
      </c>
      <c r="AP732">
        <v>5</v>
      </c>
      <c r="AQ732" t="s">
        <v>86</v>
      </c>
      <c r="AR732" s="18" t="str">
        <f>IFERROR(VLOOKUP(K732,[1]POP!$F:$J,1,0),M732)</f>
        <v>KOLOFATA</v>
      </c>
      <c r="AS732" s="18" t="str">
        <f t="shared" si="56"/>
        <v>TOLKOMARI</v>
      </c>
      <c r="AT732" s="19">
        <f t="shared" si="59"/>
        <v>2</v>
      </c>
      <c r="AU732" s="19">
        <f t="shared" ca="1" si="58"/>
        <v>2</v>
      </c>
    </row>
    <row r="733" spans="1:47" x14ac:dyDescent="0.3">
      <c r="A733" t="s">
        <v>1054</v>
      </c>
      <c r="B733" t="str">
        <f t="shared" si="55"/>
        <v>S30_2026</v>
      </c>
      <c r="C733" t="str">
        <f t="shared" si="57"/>
        <v>S30_2026</v>
      </c>
      <c r="F733">
        <v>4</v>
      </c>
      <c r="G733" t="s">
        <v>55</v>
      </c>
      <c r="H733" t="s">
        <v>85</v>
      </c>
      <c r="I733" t="s">
        <v>862</v>
      </c>
      <c r="J733" t="s">
        <v>752</v>
      </c>
      <c r="K733" t="s">
        <v>146</v>
      </c>
      <c r="L733" t="s">
        <v>752</v>
      </c>
      <c r="M733" t="s">
        <v>146</v>
      </c>
      <c r="N733" t="s">
        <v>45</v>
      </c>
      <c r="O733" t="s">
        <v>45</v>
      </c>
      <c r="P733">
        <v>3</v>
      </c>
      <c r="Q733" s="7">
        <v>46226</v>
      </c>
      <c r="R733" s="7">
        <v>46226</v>
      </c>
      <c r="S733" s="7">
        <v>46226</v>
      </c>
      <c r="T733" t="s">
        <v>45</v>
      </c>
      <c r="V733" t="s">
        <v>753</v>
      </c>
      <c r="W733" t="s">
        <v>45</v>
      </c>
      <c r="X733" t="s">
        <v>45</v>
      </c>
      <c r="Y733" t="s">
        <v>45</v>
      </c>
      <c r="Z733" t="s">
        <v>45</v>
      </c>
      <c r="AB733" t="s">
        <v>48</v>
      </c>
      <c r="AC733" t="s">
        <v>74</v>
      </c>
      <c r="AE733" s="7">
        <v>46230</v>
      </c>
      <c r="AF733">
        <v>2</v>
      </c>
      <c r="AH733" t="s">
        <v>75</v>
      </c>
      <c r="AI733">
        <v>1</v>
      </c>
      <c r="AJ733" s="15"/>
      <c r="AK733" t="s">
        <v>74</v>
      </c>
      <c r="AL733" t="s">
        <v>62</v>
      </c>
      <c r="AN733" t="s">
        <v>45</v>
      </c>
      <c r="AO733" t="s">
        <v>45</v>
      </c>
      <c r="AP733">
        <v>2</v>
      </c>
      <c r="AQ733" t="s">
        <v>74</v>
      </c>
      <c r="AR733" s="18" t="str">
        <f>IFERROR(VLOOKUP(K733,[1]POP!$F:$J,1,0),M733)</f>
        <v>KOLOFATA</v>
      </c>
      <c r="AS733" s="18" t="str">
        <f t="shared" si="56"/>
        <v>LIMANI</v>
      </c>
      <c r="AT733" s="19">
        <f t="shared" si="59"/>
        <v>2</v>
      </c>
      <c r="AU733" s="19">
        <f t="shared" ca="1" si="58"/>
        <v>2</v>
      </c>
    </row>
    <row r="734" spans="1:47" x14ac:dyDescent="0.3">
      <c r="A734" t="s">
        <v>1055</v>
      </c>
      <c r="B734" t="str">
        <f t="shared" si="55"/>
        <v>S30_2026</v>
      </c>
      <c r="C734" t="str">
        <f t="shared" si="57"/>
        <v>S30_2026</v>
      </c>
      <c r="F734">
        <v>7</v>
      </c>
      <c r="G734" t="s">
        <v>40</v>
      </c>
      <c r="H734" t="s">
        <v>85</v>
      </c>
      <c r="I734" t="s">
        <v>751</v>
      </c>
      <c r="J734" t="s">
        <v>752</v>
      </c>
      <c r="K734" t="s">
        <v>146</v>
      </c>
      <c r="L734" t="s">
        <v>752</v>
      </c>
      <c r="M734" t="s">
        <v>146</v>
      </c>
      <c r="N734" t="s">
        <v>45</v>
      </c>
      <c r="O734" t="s">
        <v>45</v>
      </c>
      <c r="P734">
        <v>2</v>
      </c>
      <c r="Q734" s="7">
        <v>46226</v>
      </c>
      <c r="R734" s="7">
        <v>46226</v>
      </c>
      <c r="S734" s="7">
        <v>46226</v>
      </c>
      <c r="T734" t="s">
        <v>45</v>
      </c>
      <c r="V734" t="s">
        <v>753</v>
      </c>
      <c r="W734" t="s">
        <v>45</v>
      </c>
      <c r="X734" t="s">
        <v>45</v>
      </c>
      <c r="Y734" t="s">
        <v>45</v>
      </c>
      <c r="Z734" t="s">
        <v>45</v>
      </c>
      <c r="AB734" t="s">
        <v>48</v>
      </c>
      <c r="AC734" t="s">
        <v>74</v>
      </c>
      <c r="AE734" s="7">
        <v>46230</v>
      </c>
      <c r="AF734">
        <v>2</v>
      </c>
      <c r="AH734" t="s">
        <v>75</v>
      </c>
      <c r="AI734">
        <v>1</v>
      </c>
      <c r="AJ734" s="15"/>
      <c r="AK734" t="s">
        <v>74</v>
      </c>
      <c r="AN734" t="s">
        <v>45</v>
      </c>
      <c r="AO734" t="s">
        <v>45</v>
      </c>
      <c r="AP734">
        <v>3</v>
      </c>
      <c r="AQ734" t="s">
        <v>74</v>
      </c>
      <c r="AR734" s="18" t="str">
        <f>IFERROR(VLOOKUP(K734,[1]POP!$F:$J,1,0),M734)</f>
        <v>KOLOFATA</v>
      </c>
      <c r="AS734" s="18" t="str">
        <f t="shared" si="56"/>
        <v>LIMANI</v>
      </c>
      <c r="AT734" s="19">
        <f t="shared" si="59"/>
        <v>2</v>
      </c>
      <c r="AU734" s="19">
        <f t="shared" ca="1" si="58"/>
        <v>2</v>
      </c>
    </row>
    <row r="735" spans="1:47" x14ac:dyDescent="0.3">
      <c r="A735" t="s">
        <v>1056</v>
      </c>
      <c r="B735" t="str">
        <f t="shared" si="55"/>
        <v>S30_2026</v>
      </c>
      <c r="C735" t="str">
        <f t="shared" si="57"/>
        <v>S30_2026</v>
      </c>
      <c r="F735">
        <v>4</v>
      </c>
      <c r="G735" t="s">
        <v>55</v>
      </c>
      <c r="H735" t="s">
        <v>85</v>
      </c>
      <c r="I735" t="s">
        <v>739</v>
      </c>
      <c r="J735" t="s">
        <v>740</v>
      </c>
      <c r="K735" t="s">
        <v>146</v>
      </c>
      <c r="L735" t="s">
        <v>741</v>
      </c>
      <c r="M735" t="s">
        <v>146</v>
      </c>
      <c r="N735" t="s">
        <v>45</v>
      </c>
      <c r="O735" t="s">
        <v>45</v>
      </c>
      <c r="P735">
        <v>2</v>
      </c>
      <c r="Q735" s="7">
        <v>46226</v>
      </c>
      <c r="R735" s="7">
        <v>46226</v>
      </c>
      <c r="S735" s="7">
        <v>46226</v>
      </c>
      <c r="T735" t="s">
        <v>45</v>
      </c>
      <c r="V735" t="s">
        <v>742</v>
      </c>
      <c r="W735" t="s">
        <v>45</v>
      </c>
      <c r="X735" t="s">
        <v>45</v>
      </c>
      <c r="Y735" t="s">
        <v>45</v>
      </c>
      <c r="Z735" t="s">
        <v>45</v>
      </c>
      <c r="AB735" t="s">
        <v>48</v>
      </c>
      <c r="AC735" t="s">
        <v>74</v>
      </c>
      <c r="AE735" s="7">
        <v>46229</v>
      </c>
      <c r="AF735">
        <v>2</v>
      </c>
      <c r="AH735" t="s">
        <v>75</v>
      </c>
      <c r="AI735">
        <v>1</v>
      </c>
      <c r="AJ735" s="15"/>
      <c r="AK735" t="s">
        <v>74</v>
      </c>
      <c r="AL735" t="s">
        <v>549</v>
      </c>
      <c r="AN735" t="s">
        <v>45</v>
      </c>
      <c r="AO735" t="s">
        <v>45</v>
      </c>
      <c r="AP735">
        <v>11</v>
      </c>
      <c r="AQ735" t="s">
        <v>74</v>
      </c>
      <c r="AR735" s="18" t="str">
        <f>IFERROR(VLOOKUP(K735,[1]POP!$F:$J,1,0),M735)</f>
        <v>KOLOFATA</v>
      </c>
      <c r="AS735" s="18" t="str">
        <f t="shared" si="56"/>
        <v>KOLOFATA 2</v>
      </c>
      <c r="AT735" s="19">
        <f t="shared" si="59"/>
        <v>2</v>
      </c>
      <c r="AU735" s="19">
        <f t="shared" ca="1" si="58"/>
        <v>2</v>
      </c>
    </row>
    <row r="736" spans="1:47" x14ac:dyDescent="0.3">
      <c r="A736" t="s">
        <v>1057</v>
      </c>
      <c r="B736" t="str">
        <f t="shared" si="55"/>
        <v>S30_2026</v>
      </c>
      <c r="C736" t="str">
        <f t="shared" si="57"/>
        <v>S30_2026</v>
      </c>
      <c r="F736">
        <v>20</v>
      </c>
      <c r="G736" t="s">
        <v>40</v>
      </c>
      <c r="H736" t="s">
        <v>77</v>
      </c>
      <c r="I736" t="s">
        <v>739</v>
      </c>
      <c r="J736" t="s">
        <v>740</v>
      </c>
      <c r="K736" t="s">
        <v>146</v>
      </c>
      <c r="L736" t="s">
        <v>741</v>
      </c>
      <c r="M736" t="s">
        <v>146</v>
      </c>
      <c r="N736" t="s">
        <v>45</v>
      </c>
      <c r="O736" t="s">
        <v>45</v>
      </c>
      <c r="P736">
        <v>2</v>
      </c>
      <c r="Q736" s="7">
        <v>46226</v>
      </c>
      <c r="R736" s="7">
        <v>46226</v>
      </c>
      <c r="S736" s="7">
        <v>46226</v>
      </c>
      <c r="T736" t="s">
        <v>45</v>
      </c>
      <c r="V736" t="s">
        <v>742</v>
      </c>
      <c r="W736" t="s">
        <v>45</v>
      </c>
      <c r="X736" t="s">
        <v>45</v>
      </c>
      <c r="Y736" t="s">
        <v>45</v>
      </c>
      <c r="Z736" t="s">
        <v>45</v>
      </c>
      <c r="AB736" t="s">
        <v>48</v>
      </c>
      <c r="AC736" t="s">
        <v>74</v>
      </c>
      <c r="AE736" s="7">
        <v>46229</v>
      </c>
      <c r="AF736">
        <v>2</v>
      </c>
      <c r="AH736" t="s">
        <v>75</v>
      </c>
      <c r="AI736">
        <v>1</v>
      </c>
      <c r="AJ736" s="15"/>
      <c r="AK736" t="s">
        <v>74</v>
      </c>
      <c r="AN736" t="s">
        <v>45</v>
      </c>
      <c r="AO736" t="s">
        <v>45</v>
      </c>
      <c r="AP736">
        <v>12</v>
      </c>
      <c r="AQ736" t="s">
        <v>74</v>
      </c>
      <c r="AR736" s="18" t="str">
        <f>IFERROR(VLOOKUP(K736,[1]POP!$F:$J,1,0),M736)</f>
        <v>KOLOFATA</v>
      </c>
      <c r="AS736" s="18" t="str">
        <f t="shared" si="56"/>
        <v>KOLOFATA 2</v>
      </c>
      <c r="AT736" s="19">
        <f t="shared" si="59"/>
        <v>2</v>
      </c>
      <c r="AU736" s="19">
        <f t="shared" ca="1" si="58"/>
        <v>2</v>
      </c>
    </row>
    <row r="737" spans="1:47" x14ac:dyDescent="0.3">
      <c r="A737" t="s">
        <v>1058</v>
      </c>
      <c r="B737" t="str">
        <f t="shared" si="55"/>
        <v>S30_2026</v>
      </c>
      <c r="C737" t="str">
        <f t="shared" si="57"/>
        <v>S30_2026</v>
      </c>
      <c r="F737">
        <v>9</v>
      </c>
      <c r="G737" t="s">
        <v>40</v>
      </c>
      <c r="H737" t="s">
        <v>85</v>
      </c>
      <c r="I737" t="s">
        <v>749</v>
      </c>
      <c r="J737" t="s">
        <v>740</v>
      </c>
      <c r="K737" t="s">
        <v>146</v>
      </c>
      <c r="L737" t="s">
        <v>741</v>
      </c>
      <c r="M737" t="s">
        <v>146</v>
      </c>
      <c r="N737" t="s">
        <v>45</v>
      </c>
      <c r="O737" t="s">
        <v>45</v>
      </c>
      <c r="P737">
        <v>2</v>
      </c>
      <c r="Q737" s="7">
        <v>46226</v>
      </c>
      <c r="R737" s="7">
        <v>46226</v>
      </c>
      <c r="S737" s="7">
        <v>46226</v>
      </c>
      <c r="T737" t="s">
        <v>45</v>
      </c>
      <c r="V737" t="s">
        <v>742</v>
      </c>
      <c r="W737" t="s">
        <v>45</v>
      </c>
      <c r="X737" t="s">
        <v>45</v>
      </c>
      <c r="Y737" t="s">
        <v>45</v>
      </c>
      <c r="Z737" t="s">
        <v>45</v>
      </c>
      <c r="AB737" t="s">
        <v>48</v>
      </c>
      <c r="AC737" t="s">
        <v>74</v>
      </c>
      <c r="AE737" s="7">
        <v>46229</v>
      </c>
      <c r="AF737">
        <v>2</v>
      </c>
      <c r="AH737" t="s">
        <v>75</v>
      </c>
      <c r="AI737">
        <v>1</v>
      </c>
      <c r="AJ737" s="15"/>
      <c r="AK737" t="s">
        <v>74</v>
      </c>
      <c r="AN737" t="s">
        <v>2748</v>
      </c>
      <c r="AO737" t="s">
        <v>45</v>
      </c>
      <c r="AP737">
        <v>7</v>
      </c>
      <c r="AQ737" t="s">
        <v>74</v>
      </c>
      <c r="AR737" s="18" t="str">
        <f>IFERROR(VLOOKUP(K737,[1]POP!$F:$J,1,0),M737)</f>
        <v>KOLOFATA</v>
      </c>
      <c r="AS737" s="18" t="str">
        <f t="shared" si="56"/>
        <v>KOLOFATA 2</v>
      </c>
      <c r="AT737" s="19">
        <f t="shared" si="59"/>
        <v>2</v>
      </c>
      <c r="AU737" s="19">
        <f t="shared" ca="1" si="58"/>
        <v>2</v>
      </c>
    </row>
    <row r="738" spans="1:47" x14ac:dyDescent="0.3">
      <c r="A738" t="s">
        <v>1059</v>
      </c>
      <c r="B738" t="str">
        <f t="shared" si="55"/>
        <v>S30_2026</v>
      </c>
      <c r="C738" t="str">
        <f t="shared" si="57"/>
        <v>S30_2026</v>
      </c>
      <c r="F738">
        <v>10</v>
      </c>
      <c r="G738" t="s">
        <v>40</v>
      </c>
      <c r="H738" t="s">
        <v>85</v>
      </c>
      <c r="I738" t="s">
        <v>851</v>
      </c>
      <c r="J738" t="s">
        <v>851</v>
      </c>
      <c r="K738" t="s">
        <v>146</v>
      </c>
      <c r="L738" t="s">
        <v>851</v>
      </c>
      <c r="M738" t="s">
        <v>146</v>
      </c>
      <c r="N738" t="s">
        <v>45</v>
      </c>
      <c r="O738" t="s">
        <v>45</v>
      </c>
      <c r="P738">
        <v>3</v>
      </c>
      <c r="Q738" s="7">
        <v>46227</v>
      </c>
      <c r="R738" s="7">
        <v>46227</v>
      </c>
      <c r="S738" s="7">
        <v>46227</v>
      </c>
      <c r="T738" t="s">
        <v>45</v>
      </c>
      <c r="V738" t="s">
        <v>1048</v>
      </c>
      <c r="W738" t="s">
        <v>45</v>
      </c>
      <c r="X738" t="s">
        <v>45</v>
      </c>
      <c r="Y738" t="s">
        <v>45</v>
      </c>
      <c r="Z738" t="s">
        <v>45</v>
      </c>
      <c r="AB738" t="s">
        <v>48</v>
      </c>
      <c r="AC738" t="s">
        <v>74</v>
      </c>
      <c r="AE738" s="7">
        <v>46230</v>
      </c>
      <c r="AF738">
        <v>2</v>
      </c>
      <c r="AH738" t="s">
        <v>75</v>
      </c>
      <c r="AI738">
        <v>1</v>
      </c>
      <c r="AJ738" s="15"/>
      <c r="AK738" t="s">
        <v>74</v>
      </c>
      <c r="AN738"/>
      <c r="AO738"/>
      <c r="AP738">
        <v>13</v>
      </c>
      <c r="AQ738" t="s">
        <v>86</v>
      </c>
      <c r="AR738" s="18" t="str">
        <f>IFERROR(VLOOKUP(K738,[1]POP!$F:$J,1,0),M738)</f>
        <v>KOLOFATA</v>
      </c>
      <c r="AS738" s="18" t="str">
        <f t="shared" si="56"/>
        <v>TOLKOMARI</v>
      </c>
      <c r="AT738" s="19">
        <f t="shared" si="59"/>
        <v>2</v>
      </c>
      <c r="AU738" s="19">
        <f t="shared" ca="1" si="58"/>
        <v>2</v>
      </c>
    </row>
    <row r="739" spans="1:47" x14ac:dyDescent="0.3">
      <c r="A739" t="s">
        <v>1060</v>
      </c>
      <c r="B739" t="str">
        <f t="shared" si="55"/>
        <v>S30_2026</v>
      </c>
      <c r="C739" t="str">
        <f t="shared" si="57"/>
        <v>S30_2026</v>
      </c>
      <c r="F739">
        <v>14</v>
      </c>
      <c r="G739" t="s">
        <v>40</v>
      </c>
      <c r="H739" t="s">
        <v>829</v>
      </c>
      <c r="I739" t="s">
        <v>851</v>
      </c>
      <c r="J739" t="s">
        <v>851</v>
      </c>
      <c r="K739" t="s">
        <v>146</v>
      </c>
      <c r="L739" t="s">
        <v>851</v>
      </c>
      <c r="M739" t="s">
        <v>146</v>
      </c>
      <c r="N739" t="s">
        <v>45</v>
      </c>
      <c r="O739" t="s">
        <v>45</v>
      </c>
      <c r="P739">
        <v>2</v>
      </c>
      <c r="Q739" s="7">
        <v>46227</v>
      </c>
      <c r="R739" s="7">
        <v>46227</v>
      </c>
      <c r="S739" s="7">
        <v>46227</v>
      </c>
      <c r="T739" t="s">
        <v>45</v>
      </c>
      <c r="V739" t="s">
        <v>1048</v>
      </c>
      <c r="W739" t="s">
        <v>45</v>
      </c>
      <c r="X739" t="s">
        <v>45</v>
      </c>
      <c r="Y739" t="s">
        <v>45</v>
      </c>
      <c r="Z739" t="s">
        <v>45</v>
      </c>
      <c r="AB739" t="s">
        <v>48</v>
      </c>
      <c r="AC739" t="s">
        <v>74</v>
      </c>
      <c r="AE739" s="7">
        <v>46230</v>
      </c>
      <c r="AF739">
        <v>2</v>
      </c>
      <c r="AH739" t="s">
        <v>75</v>
      </c>
      <c r="AI739">
        <v>1</v>
      </c>
      <c r="AJ739" s="15"/>
      <c r="AK739" t="s">
        <v>74</v>
      </c>
      <c r="AN739" t="s">
        <v>86</v>
      </c>
      <c r="AO739" t="s">
        <v>45</v>
      </c>
      <c r="AP739">
        <v>8</v>
      </c>
      <c r="AQ739" t="s">
        <v>74</v>
      </c>
      <c r="AR739" s="18" t="str">
        <f>IFERROR(VLOOKUP(K739,[1]POP!$F:$J,1,0),M739)</f>
        <v>KOLOFATA</v>
      </c>
      <c r="AS739" s="18" t="str">
        <f t="shared" si="56"/>
        <v>TOLKOMARI</v>
      </c>
      <c r="AT739" s="19">
        <f t="shared" si="59"/>
        <v>2</v>
      </c>
      <c r="AU739" s="19">
        <f t="shared" ca="1" si="58"/>
        <v>2</v>
      </c>
    </row>
    <row r="740" spans="1:47" x14ac:dyDescent="0.3">
      <c r="A740" t="s">
        <v>1061</v>
      </c>
      <c r="B740" t="str">
        <f t="shared" si="55"/>
        <v>S30_2026</v>
      </c>
      <c r="C740" t="str">
        <f t="shared" si="57"/>
        <v>S30_2026</v>
      </c>
      <c r="F740">
        <v>1</v>
      </c>
      <c r="G740" t="s">
        <v>40</v>
      </c>
      <c r="H740" t="s">
        <v>1062</v>
      </c>
      <c r="I740" t="s">
        <v>851</v>
      </c>
      <c r="J740" t="s">
        <v>851</v>
      </c>
      <c r="K740" t="s">
        <v>146</v>
      </c>
      <c r="L740" t="s">
        <v>851</v>
      </c>
      <c r="M740" t="s">
        <v>146</v>
      </c>
      <c r="N740" t="s">
        <v>45</v>
      </c>
      <c r="O740" t="s">
        <v>45</v>
      </c>
      <c r="P740">
        <v>2</v>
      </c>
      <c r="Q740" s="7">
        <v>46227</v>
      </c>
      <c r="R740" s="7">
        <v>46227</v>
      </c>
      <c r="S740" s="7">
        <v>46227</v>
      </c>
      <c r="T740" t="s">
        <v>45</v>
      </c>
      <c r="V740" t="s">
        <v>1048</v>
      </c>
      <c r="W740" t="s">
        <v>45</v>
      </c>
      <c r="X740" t="s">
        <v>45</v>
      </c>
      <c r="Y740" t="s">
        <v>45</v>
      </c>
      <c r="Z740" t="s">
        <v>45</v>
      </c>
      <c r="AB740" t="s">
        <v>48</v>
      </c>
      <c r="AC740" t="s">
        <v>74</v>
      </c>
      <c r="AE740" s="7">
        <v>46230</v>
      </c>
      <c r="AF740">
        <v>2</v>
      </c>
      <c r="AH740" t="s">
        <v>75</v>
      </c>
      <c r="AI740">
        <v>1</v>
      </c>
      <c r="AJ740" s="15"/>
      <c r="AK740" t="s">
        <v>74</v>
      </c>
      <c r="AN740" t="s">
        <v>86</v>
      </c>
      <c r="AO740" t="s">
        <v>45</v>
      </c>
      <c r="AP740">
        <v>8</v>
      </c>
      <c r="AQ740" t="s">
        <v>74</v>
      </c>
      <c r="AR740" s="18" t="str">
        <f>IFERROR(VLOOKUP(K740,[1]POP!$F:$J,1,0),M740)</f>
        <v>KOLOFATA</v>
      </c>
      <c r="AS740" s="18" t="str">
        <f t="shared" si="56"/>
        <v>TOLKOMARI</v>
      </c>
      <c r="AT740" s="19">
        <f t="shared" si="59"/>
        <v>2</v>
      </c>
      <c r="AU740" s="19">
        <f t="shared" ca="1" si="58"/>
        <v>2</v>
      </c>
    </row>
    <row r="741" spans="1:47" x14ac:dyDescent="0.3">
      <c r="A741" t="s">
        <v>1063</v>
      </c>
      <c r="B741" t="str">
        <f t="shared" si="55"/>
        <v>S30_2026</v>
      </c>
      <c r="C741" t="str">
        <f t="shared" si="57"/>
        <v>S30_2026</v>
      </c>
      <c r="F741">
        <v>25</v>
      </c>
      <c r="G741" t="s">
        <v>55</v>
      </c>
      <c r="H741" t="s">
        <v>70</v>
      </c>
      <c r="I741" t="s">
        <v>147</v>
      </c>
      <c r="J741" t="s">
        <v>147</v>
      </c>
      <c r="K741" t="s">
        <v>147</v>
      </c>
      <c r="L741" t="s">
        <v>752</v>
      </c>
      <c r="M741" t="s">
        <v>146</v>
      </c>
      <c r="N741" t="s">
        <v>45</v>
      </c>
      <c r="O741" t="s">
        <v>45</v>
      </c>
      <c r="P741">
        <v>3</v>
      </c>
      <c r="Q741" s="7">
        <v>46227</v>
      </c>
      <c r="R741" s="7">
        <v>46227</v>
      </c>
      <c r="S741" s="7">
        <v>46227</v>
      </c>
      <c r="T741" t="s">
        <v>45</v>
      </c>
      <c r="V741" t="s">
        <v>753</v>
      </c>
      <c r="W741" t="s">
        <v>45</v>
      </c>
      <c r="X741" t="s">
        <v>45</v>
      </c>
      <c r="Y741" t="s">
        <v>45</v>
      </c>
      <c r="Z741" t="s">
        <v>45</v>
      </c>
      <c r="AB741" t="s">
        <v>48</v>
      </c>
      <c r="AC741" t="s">
        <v>74</v>
      </c>
      <c r="AE741" s="7">
        <v>46230</v>
      </c>
      <c r="AF741">
        <v>2</v>
      </c>
      <c r="AH741" t="s">
        <v>75</v>
      </c>
      <c r="AI741">
        <v>1</v>
      </c>
      <c r="AJ741" s="15"/>
      <c r="AK741" t="s">
        <v>74</v>
      </c>
      <c r="AN741" t="s">
        <v>86</v>
      </c>
      <c r="AO741" t="s">
        <v>45</v>
      </c>
      <c r="AP741">
        <v>8</v>
      </c>
      <c r="AQ741" t="s">
        <v>74</v>
      </c>
      <c r="AR741" s="18" t="str">
        <f>IFERROR(VLOOKUP(K741,[1]POP!$F:$J,1,0),M741)</f>
        <v>KOLOFATA</v>
      </c>
      <c r="AS741" s="18" t="str">
        <f t="shared" si="56"/>
        <v>LIMANI</v>
      </c>
      <c r="AT741" s="19">
        <f t="shared" si="59"/>
        <v>2</v>
      </c>
      <c r="AU741" s="19">
        <f t="shared" ca="1" si="58"/>
        <v>2</v>
      </c>
    </row>
    <row r="742" spans="1:47" x14ac:dyDescent="0.3">
      <c r="A742" t="s">
        <v>1064</v>
      </c>
      <c r="B742" t="str">
        <f t="shared" si="55"/>
        <v>S30_2026</v>
      </c>
      <c r="C742" t="str">
        <f t="shared" si="57"/>
        <v>S30_2026</v>
      </c>
      <c r="F742">
        <v>2</v>
      </c>
      <c r="G742" t="s">
        <v>55</v>
      </c>
      <c r="H742" t="s">
        <v>85</v>
      </c>
      <c r="I742" t="s">
        <v>751</v>
      </c>
      <c r="J742" t="s">
        <v>752</v>
      </c>
      <c r="K742" t="s">
        <v>146</v>
      </c>
      <c r="L742" t="s">
        <v>752</v>
      </c>
      <c r="M742" t="s">
        <v>146</v>
      </c>
      <c r="N742" t="s">
        <v>45</v>
      </c>
      <c r="O742" t="s">
        <v>45</v>
      </c>
      <c r="P742">
        <v>2</v>
      </c>
      <c r="Q742" s="7">
        <v>46227</v>
      </c>
      <c r="R742" s="7">
        <v>46227</v>
      </c>
      <c r="S742" s="7">
        <v>46227</v>
      </c>
      <c r="T742" t="s">
        <v>45</v>
      </c>
      <c r="V742" t="s">
        <v>753</v>
      </c>
      <c r="W742" t="s">
        <v>45</v>
      </c>
      <c r="X742" t="s">
        <v>45</v>
      </c>
      <c r="Y742" t="s">
        <v>45</v>
      </c>
      <c r="Z742" t="s">
        <v>45</v>
      </c>
      <c r="AB742" t="s">
        <v>48</v>
      </c>
      <c r="AC742" t="s">
        <v>74</v>
      </c>
      <c r="AE742" s="7">
        <v>46230</v>
      </c>
      <c r="AF742">
        <v>2</v>
      </c>
      <c r="AH742" t="s">
        <v>75</v>
      </c>
      <c r="AI742">
        <v>1</v>
      </c>
      <c r="AJ742" s="15"/>
      <c r="AK742" t="s">
        <v>74</v>
      </c>
      <c r="AN742" t="s">
        <v>86</v>
      </c>
      <c r="AO742" t="s">
        <v>45</v>
      </c>
      <c r="AP742">
        <v>8</v>
      </c>
      <c r="AQ742" t="s">
        <v>74</v>
      </c>
      <c r="AR742" s="18" t="str">
        <f>IFERROR(VLOOKUP(K742,[1]POP!$F:$J,1,0),M742)</f>
        <v>KOLOFATA</v>
      </c>
      <c r="AS742" s="18" t="str">
        <f t="shared" si="56"/>
        <v>LIMANI</v>
      </c>
      <c r="AT742" s="19">
        <f t="shared" si="59"/>
        <v>2</v>
      </c>
      <c r="AU742" s="19">
        <f t="shared" ca="1" si="58"/>
        <v>2</v>
      </c>
    </row>
    <row r="743" spans="1:47" x14ac:dyDescent="0.3">
      <c r="A743" t="s">
        <v>1065</v>
      </c>
      <c r="B743" t="str">
        <f t="shared" si="55"/>
        <v>S30_2026</v>
      </c>
      <c r="C743" t="str">
        <f t="shared" si="57"/>
        <v>S30_2026</v>
      </c>
      <c r="F743">
        <v>21</v>
      </c>
      <c r="G743" t="s">
        <v>40</v>
      </c>
      <c r="H743" t="s">
        <v>77</v>
      </c>
      <c r="I743" t="s">
        <v>1066</v>
      </c>
      <c r="J743" t="s">
        <v>1067</v>
      </c>
      <c r="K743" t="s">
        <v>1068</v>
      </c>
      <c r="L743" t="s">
        <v>1067</v>
      </c>
      <c r="M743" t="s">
        <v>1068</v>
      </c>
      <c r="N743" t="s">
        <v>45</v>
      </c>
      <c r="O743" t="s">
        <v>45</v>
      </c>
      <c r="P743">
        <v>2</v>
      </c>
      <c r="Q743" s="7">
        <v>46226</v>
      </c>
      <c r="R743" s="7">
        <v>46226</v>
      </c>
      <c r="S743" s="7">
        <v>46227</v>
      </c>
      <c r="T743" t="s">
        <v>45</v>
      </c>
      <c r="V743" t="s">
        <v>1069</v>
      </c>
      <c r="W743" t="s">
        <v>45</v>
      </c>
      <c r="X743" t="s">
        <v>45</v>
      </c>
      <c r="Y743" t="s">
        <v>45</v>
      </c>
      <c r="Z743" t="s">
        <v>45</v>
      </c>
      <c r="AA743" s="7">
        <v>46227</v>
      </c>
      <c r="AB743" t="s">
        <v>48</v>
      </c>
      <c r="AC743" t="s">
        <v>45</v>
      </c>
      <c r="AD743" t="s">
        <v>62</v>
      </c>
      <c r="AE743" s="7">
        <v>46229</v>
      </c>
      <c r="AF743">
        <v>2</v>
      </c>
      <c r="AH743" t="s">
        <v>75</v>
      </c>
      <c r="AI743">
        <v>1</v>
      </c>
      <c r="AJ743" s="15"/>
      <c r="AK743" t="s">
        <v>45</v>
      </c>
      <c r="AN743" t="s">
        <v>86</v>
      </c>
      <c r="AO743" t="s">
        <v>45</v>
      </c>
      <c r="AP743">
        <v>8</v>
      </c>
      <c r="AQ743" t="s">
        <v>74</v>
      </c>
      <c r="AR743" s="18" t="str">
        <f>IFERROR(VLOOKUP(K743,[1]POP!$F:$J,1,0),M743)</f>
        <v>MOKOLO</v>
      </c>
      <c r="AS743" s="18" t="str">
        <f t="shared" si="56"/>
        <v>MINAWAO</v>
      </c>
      <c r="AT743" s="19">
        <f t="shared" si="59"/>
        <v>2</v>
      </c>
      <c r="AU743" s="19">
        <f t="shared" ca="1" si="58"/>
        <v>2</v>
      </c>
    </row>
    <row r="744" spans="1:47" x14ac:dyDescent="0.3">
      <c r="A744" t="s">
        <v>1070</v>
      </c>
      <c r="B744" t="str">
        <f t="shared" si="55"/>
        <v>S30_2026</v>
      </c>
      <c r="C744" t="str">
        <f t="shared" si="57"/>
        <v>S30_2026</v>
      </c>
      <c r="F744">
        <v>3</v>
      </c>
      <c r="G744" t="s">
        <v>40</v>
      </c>
      <c r="H744" t="s">
        <v>85</v>
      </c>
      <c r="I744" t="s">
        <v>1071</v>
      </c>
      <c r="J744" t="s">
        <v>1067</v>
      </c>
      <c r="K744" t="s">
        <v>1068</v>
      </c>
      <c r="L744" t="s">
        <v>1067</v>
      </c>
      <c r="M744" t="s">
        <v>1068</v>
      </c>
      <c r="N744" t="s">
        <v>45</v>
      </c>
      <c r="O744" t="s">
        <v>45</v>
      </c>
      <c r="P744">
        <v>2</v>
      </c>
      <c r="Q744" s="7">
        <v>46226</v>
      </c>
      <c r="R744" s="7">
        <v>46226</v>
      </c>
      <c r="S744" s="7">
        <v>46227</v>
      </c>
      <c r="T744" t="s">
        <v>45</v>
      </c>
      <c r="V744" t="s">
        <v>1069</v>
      </c>
      <c r="W744" t="s">
        <v>45</v>
      </c>
      <c r="X744" t="s">
        <v>45</v>
      </c>
      <c r="Y744" t="s">
        <v>74</v>
      </c>
      <c r="Z744" t="s">
        <v>45</v>
      </c>
      <c r="AA744" s="7">
        <v>46227</v>
      </c>
      <c r="AB744" t="s">
        <v>48</v>
      </c>
      <c r="AC744" t="s">
        <v>74</v>
      </c>
      <c r="AE744" s="7">
        <v>46229</v>
      </c>
      <c r="AF744">
        <v>2</v>
      </c>
      <c r="AH744" t="s">
        <v>75</v>
      </c>
      <c r="AI744">
        <v>1</v>
      </c>
      <c r="AJ744" s="15"/>
      <c r="AK744" t="s">
        <v>74</v>
      </c>
      <c r="AN744" t="s">
        <v>86</v>
      </c>
      <c r="AO744" t="s">
        <v>45</v>
      </c>
      <c r="AP744">
        <v>7</v>
      </c>
      <c r="AQ744" t="s">
        <v>74</v>
      </c>
      <c r="AR744" s="18" t="str">
        <f>IFERROR(VLOOKUP(K744,[1]POP!$F:$J,1,0),M744)</f>
        <v>MOKOLO</v>
      </c>
      <c r="AS744" s="18" t="str">
        <f t="shared" si="56"/>
        <v>MINAWAO</v>
      </c>
      <c r="AT744" s="19">
        <f t="shared" si="59"/>
        <v>2</v>
      </c>
      <c r="AU744" s="19">
        <f t="shared" ca="1" si="58"/>
        <v>2</v>
      </c>
    </row>
    <row r="745" spans="1:47" x14ac:dyDescent="0.3">
      <c r="A745" t="s">
        <v>1072</v>
      </c>
      <c r="B745" t="str">
        <f t="shared" si="55"/>
        <v>S30_2026</v>
      </c>
      <c r="C745" t="str">
        <f t="shared" si="57"/>
        <v>S30_2026</v>
      </c>
      <c r="F745">
        <v>2</v>
      </c>
      <c r="G745" t="s">
        <v>55</v>
      </c>
      <c r="H745" t="s">
        <v>85</v>
      </c>
      <c r="I745" t="s">
        <v>1073</v>
      </c>
      <c r="J745" t="s">
        <v>1067</v>
      </c>
      <c r="K745" t="s">
        <v>1068</v>
      </c>
      <c r="L745" t="s">
        <v>1067</v>
      </c>
      <c r="M745" t="s">
        <v>1068</v>
      </c>
      <c r="N745" t="s">
        <v>45</v>
      </c>
      <c r="O745" t="s">
        <v>45</v>
      </c>
      <c r="P745">
        <v>2</v>
      </c>
      <c r="Q745" s="7">
        <v>46228</v>
      </c>
      <c r="R745" s="7">
        <v>46228</v>
      </c>
      <c r="S745" s="7">
        <v>46228</v>
      </c>
      <c r="T745" t="s">
        <v>45</v>
      </c>
      <c r="V745" t="s">
        <v>1069</v>
      </c>
      <c r="W745" t="s">
        <v>45</v>
      </c>
      <c r="X745" t="s">
        <v>74</v>
      </c>
      <c r="Y745" t="s">
        <v>45</v>
      </c>
      <c r="Z745" t="s">
        <v>45</v>
      </c>
      <c r="AA745" s="7">
        <v>46230</v>
      </c>
      <c r="AB745" t="s">
        <v>48</v>
      </c>
      <c r="AC745" t="s">
        <v>45</v>
      </c>
      <c r="AD745" t="s">
        <v>48</v>
      </c>
      <c r="AE745" s="7">
        <v>46238</v>
      </c>
      <c r="AF745">
        <v>2</v>
      </c>
      <c r="AH745" t="s">
        <v>75</v>
      </c>
      <c r="AI745">
        <v>1</v>
      </c>
      <c r="AJ745" s="15"/>
      <c r="AK745" t="s">
        <v>74</v>
      </c>
      <c r="AN745" t="s">
        <v>86</v>
      </c>
      <c r="AO745" t="s">
        <v>45</v>
      </c>
      <c r="AP745">
        <v>6</v>
      </c>
      <c r="AQ745" t="s">
        <v>74</v>
      </c>
      <c r="AR745" s="18" t="str">
        <f>IFERROR(VLOOKUP(K745,[1]POP!$F:$J,1,0),M745)</f>
        <v>MOKOLO</v>
      </c>
      <c r="AS745" s="18" t="str">
        <f t="shared" si="56"/>
        <v>MINAWAO</v>
      </c>
      <c r="AT745" s="19">
        <f t="shared" si="59"/>
        <v>2</v>
      </c>
      <c r="AU745" s="19">
        <f t="shared" ca="1" si="58"/>
        <v>2</v>
      </c>
    </row>
    <row r="746" spans="1:47" x14ac:dyDescent="0.3">
      <c r="A746" t="s">
        <v>1074</v>
      </c>
      <c r="B746" t="str">
        <f t="shared" si="55"/>
        <v>S30_2026</v>
      </c>
      <c r="C746" t="str">
        <f t="shared" si="57"/>
        <v>S30_2026</v>
      </c>
      <c r="F746">
        <v>0.58333333333333337</v>
      </c>
      <c r="G746" t="s">
        <v>55</v>
      </c>
      <c r="H746" t="s">
        <v>85</v>
      </c>
      <c r="I746" t="s">
        <v>1075</v>
      </c>
      <c r="J746" t="s">
        <v>1067</v>
      </c>
      <c r="K746" t="s">
        <v>1068</v>
      </c>
      <c r="L746" t="s">
        <v>1067</v>
      </c>
      <c r="M746" t="s">
        <v>1068</v>
      </c>
      <c r="N746" t="s">
        <v>45</v>
      </c>
      <c r="O746" t="s">
        <v>45</v>
      </c>
      <c r="P746">
        <v>2</v>
      </c>
      <c r="Q746" s="7">
        <v>46227</v>
      </c>
      <c r="R746" s="7">
        <v>46228</v>
      </c>
      <c r="S746" s="7">
        <v>46228</v>
      </c>
      <c r="T746" t="s">
        <v>45</v>
      </c>
      <c r="V746" t="s">
        <v>1069</v>
      </c>
      <c r="W746" t="s">
        <v>45</v>
      </c>
      <c r="X746" t="s">
        <v>74</v>
      </c>
      <c r="Y746" t="s">
        <v>45</v>
      </c>
      <c r="Z746" t="s">
        <v>45</v>
      </c>
      <c r="AA746" s="7">
        <v>46228</v>
      </c>
      <c r="AB746" t="s">
        <v>48</v>
      </c>
      <c r="AC746" t="s">
        <v>74</v>
      </c>
      <c r="AE746" s="7">
        <v>46238</v>
      </c>
      <c r="AF746">
        <v>2</v>
      </c>
      <c r="AH746" t="s">
        <v>75</v>
      </c>
      <c r="AI746">
        <v>1</v>
      </c>
      <c r="AJ746" s="15"/>
      <c r="AK746" t="s">
        <v>74</v>
      </c>
      <c r="AN746" t="s">
        <v>86</v>
      </c>
      <c r="AO746" t="s">
        <v>45</v>
      </c>
      <c r="AP746">
        <v>8</v>
      </c>
      <c r="AQ746" t="s">
        <v>74</v>
      </c>
      <c r="AR746" s="18" t="str">
        <f>IFERROR(VLOOKUP(K746,[1]POP!$F:$J,1,0),M746)</f>
        <v>MOKOLO</v>
      </c>
      <c r="AS746" s="18" t="str">
        <f t="shared" si="56"/>
        <v>MINAWAO</v>
      </c>
      <c r="AT746" s="19">
        <f t="shared" si="59"/>
        <v>2</v>
      </c>
      <c r="AU746" s="19">
        <f t="shared" ca="1" si="58"/>
        <v>2</v>
      </c>
    </row>
    <row r="747" spans="1:47" x14ac:dyDescent="0.3">
      <c r="A747" t="s">
        <v>1076</v>
      </c>
      <c r="B747" t="str">
        <f t="shared" si="55"/>
        <v>S30_2026</v>
      </c>
      <c r="C747" t="str">
        <f t="shared" si="57"/>
        <v>S30_2026</v>
      </c>
      <c r="E747">
        <v>674304125</v>
      </c>
      <c r="F747">
        <v>22</v>
      </c>
      <c r="G747" t="s">
        <v>40</v>
      </c>
      <c r="H747" t="s">
        <v>56</v>
      </c>
      <c r="I747" t="s">
        <v>1077</v>
      </c>
      <c r="J747" t="s">
        <v>459</v>
      </c>
      <c r="K747" t="s">
        <v>460</v>
      </c>
      <c r="L747" t="s">
        <v>459</v>
      </c>
      <c r="M747" t="s">
        <v>460</v>
      </c>
      <c r="N747" t="s">
        <v>45</v>
      </c>
      <c r="O747" t="s">
        <v>74</v>
      </c>
      <c r="P747">
        <v>1</v>
      </c>
      <c r="Q747" s="7">
        <v>46224</v>
      </c>
      <c r="R747" s="7">
        <v>46227</v>
      </c>
      <c r="S747" s="7">
        <v>46228</v>
      </c>
      <c r="T747" t="s">
        <v>45</v>
      </c>
      <c r="V747" t="s">
        <v>462</v>
      </c>
      <c r="W747" t="s">
        <v>45</v>
      </c>
      <c r="X747" t="s">
        <v>45</v>
      </c>
      <c r="Y747" t="s">
        <v>45</v>
      </c>
      <c r="Z747" t="s">
        <v>45</v>
      </c>
      <c r="AA747" s="7">
        <v>46227</v>
      </c>
      <c r="AB747" t="s">
        <v>48</v>
      </c>
      <c r="AF747">
        <v>2</v>
      </c>
      <c r="AH747" t="s">
        <v>75</v>
      </c>
      <c r="AI747">
        <v>1</v>
      </c>
      <c r="AJ747" s="15"/>
      <c r="AK747" t="s">
        <v>86</v>
      </c>
      <c r="AN747" t="s">
        <v>86</v>
      </c>
      <c r="AO747" t="s">
        <v>45</v>
      </c>
      <c r="AP747">
        <v>8</v>
      </c>
      <c r="AQ747" t="s">
        <v>74</v>
      </c>
      <c r="AR747" s="18" t="str">
        <f>IFERROR(VLOOKUP(K747,[1]POP!$F:$J,1,0),M747)</f>
        <v>KOUSSERI</v>
      </c>
      <c r="AS747" s="18" t="str">
        <f t="shared" si="56"/>
        <v>PAGUI</v>
      </c>
      <c r="AT747" s="19">
        <f t="shared" si="59"/>
        <v>2</v>
      </c>
      <c r="AU747" s="19">
        <f t="shared" ca="1" si="58"/>
        <v>2</v>
      </c>
    </row>
    <row r="748" spans="1:47" x14ac:dyDescent="0.3">
      <c r="A748" t="s">
        <v>1078</v>
      </c>
      <c r="B748" t="str">
        <f t="shared" si="55"/>
        <v>S30_2026</v>
      </c>
      <c r="C748" t="str">
        <f t="shared" si="57"/>
        <v>S30_2026</v>
      </c>
      <c r="F748">
        <v>14</v>
      </c>
      <c r="G748" t="s">
        <v>55</v>
      </c>
      <c r="H748" t="s">
        <v>56</v>
      </c>
      <c r="I748" t="s">
        <v>560</v>
      </c>
      <c r="J748" t="s">
        <v>560</v>
      </c>
      <c r="K748" t="s">
        <v>460</v>
      </c>
      <c r="L748" t="s">
        <v>560</v>
      </c>
      <c r="M748" t="s">
        <v>460</v>
      </c>
      <c r="N748" t="s">
        <v>45</v>
      </c>
      <c r="O748" t="s">
        <v>45</v>
      </c>
      <c r="P748">
        <v>2</v>
      </c>
      <c r="Q748" s="7">
        <v>46227</v>
      </c>
      <c r="R748" s="7">
        <v>46227</v>
      </c>
      <c r="S748" s="7">
        <v>46227</v>
      </c>
      <c r="T748" t="s">
        <v>45</v>
      </c>
      <c r="V748" t="s">
        <v>1079</v>
      </c>
      <c r="W748" t="s">
        <v>45</v>
      </c>
      <c r="X748" t="s">
        <v>45</v>
      </c>
      <c r="Y748" t="s">
        <v>45</v>
      </c>
      <c r="Z748" t="s">
        <v>45</v>
      </c>
      <c r="AA748" s="7">
        <v>46227</v>
      </c>
      <c r="AB748" t="s">
        <v>48</v>
      </c>
      <c r="AF748">
        <v>2</v>
      </c>
      <c r="AH748" t="s">
        <v>75</v>
      </c>
      <c r="AI748">
        <v>1</v>
      </c>
      <c r="AJ748" s="15"/>
      <c r="AK748" t="s">
        <v>86</v>
      </c>
      <c r="AN748" t="s">
        <v>86</v>
      </c>
      <c r="AO748" t="s">
        <v>45</v>
      </c>
      <c r="AP748">
        <v>7</v>
      </c>
      <c r="AQ748" t="s">
        <v>74</v>
      </c>
      <c r="AR748" s="18" t="str">
        <f>IFERROR(VLOOKUP(K748,[1]POP!$F:$J,1,0),M748)</f>
        <v>KOUSSERI</v>
      </c>
      <c r="AS748" s="18" t="str">
        <f t="shared" si="56"/>
        <v>MADANA</v>
      </c>
      <c r="AT748" s="19">
        <f t="shared" si="59"/>
        <v>2</v>
      </c>
      <c r="AU748" s="19">
        <f t="shared" ca="1" si="58"/>
        <v>2</v>
      </c>
    </row>
    <row r="749" spans="1:47" x14ac:dyDescent="0.3">
      <c r="A749" t="s">
        <v>1080</v>
      </c>
      <c r="B749" t="str">
        <f t="shared" si="55"/>
        <v>S30_2026</v>
      </c>
      <c r="C749" t="str">
        <f t="shared" si="57"/>
        <v>S30_2026</v>
      </c>
      <c r="F749">
        <v>16</v>
      </c>
      <c r="G749" t="s">
        <v>40</v>
      </c>
      <c r="H749" t="s">
        <v>85</v>
      </c>
      <c r="I749" t="s">
        <v>71</v>
      </c>
      <c r="J749" t="s">
        <v>71</v>
      </c>
      <c r="K749" t="s">
        <v>72</v>
      </c>
      <c r="L749" t="s">
        <v>71</v>
      </c>
      <c r="M749" t="s">
        <v>72</v>
      </c>
      <c r="N749" t="s">
        <v>45</v>
      </c>
      <c r="O749" t="s">
        <v>45</v>
      </c>
      <c r="P749">
        <v>2</v>
      </c>
      <c r="Q749" s="7">
        <v>46227</v>
      </c>
      <c r="R749" s="7">
        <v>46227</v>
      </c>
      <c r="S749" s="7">
        <v>46228</v>
      </c>
      <c r="T749" t="s">
        <v>45</v>
      </c>
      <c r="V749" t="s">
        <v>83</v>
      </c>
      <c r="W749" t="s">
        <v>45</v>
      </c>
      <c r="X749" t="s">
        <v>45</v>
      </c>
      <c r="Y749" t="s">
        <v>45</v>
      </c>
      <c r="Z749" t="s">
        <v>45</v>
      </c>
      <c r="AE749" s="7">
        <v>46231</v>
      </c>
      <c r="AF749">
        <v>2</v>
      </c>
      <c r="AH749" t="s">
        <v>75</v>
      </c>
      <c r="AI749">
        <v>1</v>
      </c>
      <c r="AJ749" s="15"/>
      <c r="AK749" t="s">
        <v>74</v>
      </c>
      <c r="AL749" t="s">
        <v>1081</v>
      </c>
      <c r="AN749" t="s">
        <v>45</v>
      </c>
      <c r="AO749" t="s">
        <v>45</v>
      </c>
      <c r="AP749">
        <v>4</v>
      </c>
      <c r="AQ749" t="s">
        <v>74</v>
      </c>
      <c r="AR749" s="18" t="str">
        <f>IFERROR(VLOOKUP(K749,[1]POP!$F:$J,1,0),M749)</f>
        <v>FOTOKOL</v>
      </c>
      <c r="AS749" s="18" t="str">
        <f t="shared" si="56"/>
        <v>SAGME</v>
      </c>
      <c r="AT749" s="19">
        <f t="shared" si="59"/>
        <v>2</v>
      </c>
      <c r="AU749" s="19">
        <f t="shared" ca="1" si="58"/>
        <v>2</v>
      </c>
    </row>
    <row r="750" spans="1:47" x14ac:dyDescent="0.3">
      <c r="A750" t="s">
        <v>1082</v>
      </c>
      <c r="B750" t="str">
        <f t="shared" si="55"/>
        <v>S30_2026</v>
      </c>
      <c r="C750" t="str">
        <f t="shared" si="57"/>
        <v>S30_2026</v>
      </c>
      <c r="F750">
        <v>13</v>
      </c>
      <c r="G750" t="s">
        <v>40</v>
      </c>
      <c r="H750" t="s">
        <v>85</v>
      </c>
      <c r="I750" t="s">
        <v>71</v>
      </c>
      <c r="J750" t="s">
        <v>71</v>
      </c>
      <c r="K750" t="s">
        <v>72</v>
      </c>
      <c r="L750" t="s">
        <v>71</v>
      </c>
      <c r="M750" t="s">
        <v>72</v>
      </c>
      <c r="N750" t="s">
        <v>45</v>
      </c>
      <c r="O750" t="s">
        <v>45</v>
      </c>
      <c r="P750">
        <v>2</v>
      </c>
      <c r="Q750" s="7">
        <v>46227</v>
      </c>
      <c r="R750" s="7">
        <v>46227</v>
      </c>
      <c r="S750" s="7">
        <v>46228</v>
      </c>
      <c r="T750" t="s">
        <v>45</v>
      </c>
      <c r="V750" t="s">
        <v>83</v>
      </c>
      <c r="W750" t="s">
        <v>45</v>
      </c>
      <c r="X750" t="s">
        <v>45</v>
      </c>
      <c r="Y750" t="s">
        <v>45</v>
      </c>
      <c r="Z750" t="s">
        <v>45</v>
      </c>
      <c r="AE750" s="7">
        <v>46231</v>
      </c>
      <c r="AF750">
        <v>2</v>
      </c>
      <c r="AH750" t="s">
        <v>75</v>
      </c>
      <c r="AI750">
        <v>1</v>
      </c>
      <c r="AJ750" s="15"/>
      <c r="AK750" t="s">
        <v>74</v>
      </c>
      <c r="AL750" t="s">
        <v>1081</v>
      </c>
      <c r="AN750" t="s">
        <v>45</v>
      </c>
      <c r="AO750" t="s">
        <v>45</v>
      </c>
      <c r="AP750">
        <v>4</v>
      </c>
      <c r="AQ750" t="s">
        <v>74</v>
      </c>
      <c r="AR750" s="18" t="str">
        <f>IFERROR(VLOOKUP(K750,[1]POP!$F:$J,1,0),M750)</f>
        <v>FOTOKOL</v>
      </c>
      <c r="AS750" s="18" t="str">
        <f t="shared" si="56"/>
        <v>SAGME</v>
      </c>
      <c r="AT750" s="19">
        <f t="shared" si="59"/>
        <v>2</v>
      </c>
      <c r="AU750" s="19">
        <f t="shared" ca="1" si="58"/>
        <v>2</v>
      </c>
    </row>
    <row r="751" spans="1:47" x14ac:dyDescent="0.3">
      <c r="A751" t="s">
        <v>1083</v>
      </c>
      <c r="B751" t="str">
        <f t="shared" si="55"/>
        <v>S30_2026</v>
      </c>
      <c r="C751" t="str">
        <f t="shared" si="57"/>
        <v>S30_2026</v>
      </c>
      <c r="F751">
        <v>11</v>
      </c>
      <c r="G751" t="s">
        <v>40</v>
      </c>
      <c r="H751" t="s">
        <v>85</v>
      </c>
      <c r="I751" t="s">
        <v>71</v>
      </c>
      <c r="J751" t="s">
        <v>71</v>
      </c>
      <c r="K751" t="s">
        <v>72</v>
      </c>
      <c r="L751" t="s">
        <v>71</v>
      </c>
      <c r="M751" t="s">
        <v>72</v>
      </c>
      <c r="N751" t="s">
        <v>45</v>
      </c>
      <c r="O751" t="s">
        <v>45</v>
      </c>
      <c r="P751">
        <v>2</v>
      </c>
      <c r="Q751" s="7">
        <v>46227</v>
      </c>
      <c r="R751" s="7">
        <v>46227</v>
      </c>
      <c r="S751" s="7">
        <v>46228</v>
      </c>
      <c r="T751" t="s">
        <v>45</v>
      </c>
      <c r="V751" t="s">
        <v>83</v>
      </c>
      <c r="W751" t="s">
        <v>45</v>
      </c>
      <c r="X751" t="s">
        <v>45</v>
      </c>
      <c r="Y751" t="s">
        <v>45</v>
      </c>
      <c r="Z751" t="s">
        <v>45</v>
      </c>
      <c r="AE751" s="7">
        <v>46231</v>
      </c>
      <c r="AF751">
        <v>2</v>
      </c>
      <c r="AH751" t="s">
        <v>75</v>
      </c>
      <c r="AI751">
        <v>1</v>
      </c>
      <c r="AJ751" s="15"/>
      <c r="AK751" t="s">
        <v>74</v>
      </c>
      <c r="AL751" t="s">
        <v>1081</v>
      </c>
      <c r="AN751" t="s">
        <v>45</v>
      </c>
      <c r="AO751" t="s">
        <v>45</v>
      </c>
      <c r="AP751">
        <v>8</v>
      </c>
      <c r="AQ751" t="s">
        <v>74</v>
      </c>
      <c r="AR751" s="18" t="str">
        <f>IFERROR(VLOOKUP(K751,[1]POP!$F:$J,1,0),M751)</f>
        <v>FOTOKOL</v>
      </c>
      <c r="AS751" s="18" t="str">
        <f t="shared" si="56"/>
        <v>SAGME</v>
      </c>
      <c r="AT751" s="19">
        <f t="shared" si="59"/>
        <v>2</v>
      </c>
      <c r="AU751" s="19">
        <f t="shared" ca="1" si="58"/>
        <v>2</v>
      </c>
    </row>
    <row r="752" spans="1:47" x14ac:dyDescent="0.3">
      <c r="A752" t="s">
        <v>1084</v>
      </c>
      <c r="B752" t="str">
        <f t="shared" si="55"/>
        <v>S30_2026</v>
      </c>
      <c r="C752" t="str">
        <f t="shared" si="57"/>
        <v>S30_2026</v>
      </c>
      <c r="F752">
        <v>9</v>
      </c>
      <c r="G752" t="s">
        <v>55</v>
      </c>
      <c r="H752" t="s">
        <v>85</v>
      </c>
      <c r="I752" t="s">
        <v>71</v>
      </c>
      <c r="J752" t="s">
        <v>71</v>
      </c>
      <c r="K752" t="s">
        <v>72</v>
      </c>
      <c r="L752" t="s">
        <v>71</v>
      </c>
      <c r="M752" t="s">
        <v>72</v>
      </c>
      <c r="N752" t="s">
        <v>45</v>
      </c>
      <c r="O752" t="s">
        <v>45</v>
      </c>
      <c r="P752">
        <v>2</v>
      </c>
      <c r="Q752" s="7">
        <v>46227</v>
      </c>
      <c r="R752" s="7">
        <v>46227</v>
      </c>
      <c r="S752" s="7">
        <v>46228</v>
      </c>
      <c r="T752" t="s">
        <v>45</v>
      </c>
      <c r="V752" t="s">
        <v>83</v>
      </c>
      <c r="W752" t="s">
        <v>45</v>
      </c>
      <c r="X752" t="s">
        <v>45</v>
      </c>
      <c r="Y752" t="s">
        <v>45</v>
      </c>
      <c r="Z752" t="s">
        <v>45</v>
      </c>
      <c r="AE752" s="7">
        <v>46231</v>
      </c>
      <c r="AF752">
        <v>2</v>
      </c>
      <c r="AH752" t="s">
        <v>75</v>
      </c>
      <c r="AI752">
        <v>1</v>
      </c>
      <c r="AJ752" s="15"/>
      <c r="AK752" t="s">
        <v>74</v>
      </c>
      <c r="AL752" t="s">
        <v>1081</v>
      </c>
      <c r="AN752" t="s">
        <v>45</v>
      </c>
      <c r="AO752" t="s">
        <v>45</v>
      </c>
      <c r="AP752">
        <v>3</v>
      </c>
      <c r="AQ752" t="s">
        <v>74</v>
      </c>
      <c r="AR752" s="18" t="str">
        <f>IFERROR(VLOOKUP(K752,[1]POP!$F:$J,1,0),M752)</f>
        <v>FOTOKOL</v>
      </c>
      <c r="AS752" s="18" t="str">
        <f t="shared" si="56"/>
        <v>SAGME</v>
      </c>
      <c r="AT752" s="19">
        <f t="shared" si="59"/>
        <v>2</v>
      </c>
      <c r="AU752" s="19">
        <f t="shared" ca="1" si="58"/>
        <v>2</v>
      </c>
    </row>
    <row r="753" spans="1:47" x14ac:dyDescent="0.3">
      <c r="A753" t="s">
        <v>1085</v>
      </c>
      <c r="B753" t="str">
        <f t="shared" si="55"/>
        <v>S30_2026</v>
      </c>
      <c r="C753" t="str">
        <f t="shared" si="57"/>
        <v>S30_2026</v>
      </c>
      <c r="F753">
        <v>12</v>
      </c>
      <c r="G753" t="s">
        <v>40</v>
      </c>
      <c r="H753" t="s">
        <v>85</v>
      </c>
      <c r="I753" t="s">
        <v>71</v>
      </c>
      <c r="J753" t="s">
        <v>71</v>
      </c>
      <c r="K753" t="s">
        <v>72</v>
      </c>
      <c r="L753" t="s">
        <v>71</v>
      </c>
      <c r="M753" t="s">
        <v>72</v>
      </c>
      <c r="N753" t="s">
        <v>45</v>
      </c>
      <c r="O753" t="s">
        <v>45</v>
      </c>
      <c r="P753">
        <v>2</v>
      </c>
      <c r="Q753" s="7">
        <v>46227</v>
      </c>
      <c r="R753" s="7">
        <v>46227</v>
      </c>
      <c r="S753" s="7">
        <v>46228</v>
      </c>
      <c r="T753" t="s">
        <v>45</v>
      </c>
      <c r="V753" t="s">
        <v>83</v>
      </c>
      <c r="W753" t="s">
        <v>45</v>
      </c>
      <c r="X753" t="s">
        <v>45</v>
      </c>
      <c r="Y753" t="s">
        <v>45</v>
      </c>
      <c r="Z753" t="s">
        <v>45</v>
      </c>
      <c r="AE753" s="7">
        <v>46231</v>
      </c>
      <c r="AF753">
        <v>2</v>
      </c>
      <c r="AH753" t="s">
        <v>75</v>
      </c>
      <c r="AI753">
        <v>1</v>
      </c>
      <c r="AJ753" s="15"/>
      <c r="AK753" t="s">
        <v>74</v>
      </c>
      <c r="AL753" t="s">
        <v>1081</v>
      </c>
      <c r="AN753" t="s">
        <v>45</v>
      </c>
      <c r="AO753" t="s">
        <v>45</v>
      </c>
      <c r="AP753">
        <v>2</v>
      </c>
      <c r="AQ753" t="s">
        <v>74</v>
      </c>
      <c r="AR753" s="18" t="str">
        <f>IFERROR(VLOOKUP(K753,[1]POP!$F:$J,1,0),M753)</f>
        <v>FOTOKOL</v>
      </c>
      <c r="AS753" s="18" t="str">
        <f t="shared" si="56"/>
        <v>SAGME</v>
      </c>
      <c r="AT753" s="19">
        <f t="shared" si="59"/>
        <v>2</v>
      </c>
      <c r="AU753" s="19">
        <f t="shared" ca="1" si="58"/>
        <v>2</v>
      </c>
    </row>
    <row r="754" spans="1:47" x14ac:dyDescent="0.3">
      <c r="A754" t="s">
        <v>1086</v>
      </c>
      <c r="B754" t="str">
        <f t="shared" si="55"/>
        <v>S30_2026</v>
      </c>
      <c r="C754" t="str">
        <f t="shared" si="57"/>
        <v>S30_2026</v>
      </c>
      <c r="F754">
        <v>30</v>
      </c>
      <c r="G754" t="s">
        <v>40</v>
      </c>
      <c r="H754" t="s">
        <v>74</v>
      </c>
      <c r="I754" t="s">
        <v>71</v>
      </c>
      <c r="J754" t="s">
        <v>71</v>
      </c>
      <c r="K754" t="s">
        <v>72</v>
      </c>
      <c r="L754" t="s">
        <v>71</v>
      </c>
      <c r="M754" t="s">
        <v>72</v>
      </c>
      <c r="N754" t="s">
        <v>45</v>
      </c>
      <c r="O754" t="s">
        <v>45</v>
      </c>
      <c r="P754">
        <v>2</v>
      </c>
      <c r="Q754" s="7">
        <v>46228</v>
      </c>
      <c r="R754" s="7">
        <v>46228</v>
      </c>
      <c r="S754" s="7">
        <v>46228</v>
      </c>
      <c r="T754" t="s">
        <v>45</v>
      </c>
      <c r="V754" t="s">
        <v>83</v>
      </c>
      <c r="W754" t="s">
        <v>45</v>
      </c>
      <c r="X754" t="s">
        <v>45</v>
      </c>
      <c r="Y754" t="s">
        <v>45</v>
      </c>
      <c r="Z754" t="s">
        <v>45</v>
      </c>
      <c r="AE754" s="7">
        <v>46231</v>
      </c>
      <c r="AF754">
        <v>2</v>
      </c>
      <c r="AH754" t="s">
        <v>75</v>
      </c>
      <c r="AI754">
        <v>1</v>
      </c>
      <c r="AJ754" s="15"/>
      <c r="AK754" t="s">
        <v>74</v>
      </c>
      <c r="AL754" t="s">
        <v>1081</v>
      </c>
      <c r="AN754" t="s">
        <v>45</v>
      </c>
      <c r="AO754" t="s">
        <v>45</v>
      </c>
      <c r="AP754">
        <v>6</v>
      </c>
      <c r="AQ754" t="s">
        <v>74</v>
      </c>
      <c r="AR754" s="18" t="str">
        <f>IFERROR(VLOOKUP(K754,[1]POP!$F:$J,1,0),M754)</f>
        <v>FOTOKOL</v>
      </c>
      <c r="AS754" s="18" t="str">
        <f t="shared" si="56"/>
        <v>SAGME</v>
      </c>
      <c r="AT754" s="19">
        <f t="shared" si="59"/>
        <v>2</v>
      </c>
      <c r="AU754" s="19">
        <f t="shared" ca="1" si="58"/>
        <v>2</v>
      </c>
    </row>
    <row r="755" spans="1:47" x14ac:dyDescent="0.3">
      <c r="A755" t="s">
        <v>1087</v>
      </c>
      <c r="B755" t="str">
        <f t="shared" si="55"/>
        <v>S30_2026</v>
      </c>
      <c r="C755" t="str">
        <f t="shared" si="57"/>
        <v>S30_2026</v>
      </c>
      <c r="F755">
        <v>15</v>
      </c>
      <c r="G755" t="s">
        <v>55</v>
      </c>
      <c r="H755" t="s">
        <v>85</v>
      </c>
      <c r="I755" t="s">
        <v>71</v>
      </c>
      <c r="J755" t="s">
        <v>71</v>
      </c>
      <c r="K755" t="s">
        <v>72</v>
      </c>
      <c r="L755" t="s">
        <v>71</v>
      </c>
      <c r="M755" t="s">
        <v>72</v>
      </c>
      <c r="N755" t="s">
        <v>45</v>
      </c>
      <c r="O755" t="s">
        <v>45</v>
      </c>
      <c r="P755">
        <v>2</v>
      </c>
      <c r="Q755" s="7">
        <v>46228</v>
      </c>
      <c r="R755" s="7">
        <v>46228</v>
      </c>
      <c r="S755" s="7">
        <v>46228</v>
      </c>
      <c r="T755" t="s">
        <v>45</v>
      </c>
      <c r="V755" t="s">
        <v>83</v>
      </c>
      <c r="W755" t="s">
        <v>45</v>
      </c>
      <c r="X755" t="s">
        <v>45</v>
      </c>
      <c r="Y755" t="s">
        <v>45</v>
      </c>
      <c r="Z755" t="s">
        <v>45</v>
      </c>
      <c r="AF755">
        <v>2</v>
      </c>
      <c r="AH755" t="s">
        <v>75</v>
      </c>
      <c r="AI755">
        <v>1</v>
      </c>
      <c r="AJ755" s="15"/>
      <c r="AK755" t="s">
        <v>74</v>
      </c>
      <c r="AL755" t="s">
        <v>1081</v>
      </c>
      <c r="AN755" t="s">
        <v>45</v>
      </c>
      <c r="AO755" t="s">
        <v>45</v>
      </c>
      <c r="AP755">
        <v>5</v>
      </c>
      <c r="AQ755" t="s">
        <v>74</v>
      </c>
      <c r="AR755" s="18" t="str">
        <f>IFERROR(VLOOKUP(K755,[1]POP!$F:$J,1,0),M755)</f>
        <v>FOTOKOL</v>
      </c>
      <c r="AS755" s="18" t="str">
        <f t="shared" si="56"/>
        <v>SAGME</v>
      </c>
      <c r="AT755" s="19">
        <f t="shared" si="59"/>
        <v>2</v>
      </c>
      <c r="AU755" s="19">
        <f t="shared" ca="1" si="58"/>
        <v>2</v>
      </c>
    </row>
    <row r="756" spans="1:47" x14ac:dyDescent="0.3">
      <c r="A756" t="s">
        <v>1088</v>
      </c>
      <c r="B756" t="str">
        <f t="shared" si="55"/>
        <v>S30_2026</v>
      </c>
      <c r="C756" t="str">
        <f t="shared" si="57"/>
        <v>S30_2026</v>
      </c>
      <c r="F756">
        <v>6</v>
      </c>
      <c r="G756" t="s">
        <v>55</v>
      </c>
      <c r="H756" t="s">
        <v>85</v>
      </c>
      <c r="I756" t="s">
        <v>71</v>
      </c>
      <c r="J756" t="s">
        <v>71</v>
      </c>
      <c r="K756" t="s">
        <v>72</v>
      </c>
      <c r="L756" t="s">
        <v>71</v>
      </c>
      <c r="M756" t="s">
        <v>72</v>
      </c>
      <c r="N756" t="s">
        <v>45</v>
      </c>
      <c r="O756" t="s">
        <v>45</v>
      </c>
      <c r="P756">
        <v>2</v>
      </c>
      <c r="Q756" s="7">
        <v>46228</v>
      </c>
      <c r="R756" s="7">
        <v>46228</v>
      </c>
      <c r="S756" s="7">
        <v>46228</v>
      </c>
      <c r="T756" t="s">
        <v>45</v>
      </c>
      <c r="V756" t="s">
        <v>83</v>
      </c>
      <c r="W756" t="s">
        <v>45</v>
      </c>
      <c r="X756" t="s">
        <v>45</v>
      </c>
      <c r="Y756" t="s">
        <v>45</v>
      </c>
      <c r="Z756" t="s">
        <v>45</v>
      </c>
      <c r="AE756" s="7">
        <v>46232</v>
      </c>
      <c r="AF756">
        <v>2</v>
      </c>
      <c r="AH756" t="s">
        <v>75</v>
      </c>
      <c r="AI756">
        <v>1</v>
      </c>
      <c r="AJ756" s="15"/>
      <c r="AK756" t="s">
        <v>74</v>
      </c>
      <c r="AL756" t="s">
        <v>549</v>
      </c>
      <c r="AN756" t="s">
        <v>45</v>
      </c>
      <c r="AO756" t="s">
        <v>45</v>
      </c>
      <c r="AP756">
        <v>12</v>
      </c>
      <c r="AQ756" t="s">
        <v>74</v>
      </c>
      <c r="AR756" s="18" t="str">
        <f>IFERROR(VLOOKUP(K756,[1]POP!$F:$J,1,0),M756)</f>
        <v>FOTOKOL</v>
      </c>
      <c r="AS756" s="18" t="str">
        <f t="shared" si="56"/>
        <v>SAGME</v>
      </c>
      <c r="AT756" s="19">
        <f t="shared" si="59"/>
        <v>2</v>
      </c>
      <c r="AU756" s="19">
        <f t="shared" ca="1" si="58"/>
        <v>2</v>
      </c>
    </row>
    <row r="757" spans="1:47" x14ac:dyDescent="0.3">
      <c r="A757" t="s">
        <v>1089</v>
      </c>
      <c r="B757" t="str">
        <f t="shared" si="55"/>
        <v>S30_2026</v>
      </c>
      <c r="C757" t="str">
        <f t="shared" si="57"/>
        <v>S30_2026</v>
      </c>
      <c r="F757">
        <v>25</v>
      </c>
      <c r="G757" t="s">
        <v>40</v>
      </c>
      <c r="H757" t="s">
        <v>77</v>
      </c>
      <c r="I757" t="s">
        <v>71</v>
      </c>
      <c r="J757" t="s">
        <v>71</v>
      </c>
      <c r="K757" t="s">
        <v>72</v>
      </c>
      <c r="L757" t="s">
        <v>72</v>
      </c>
      <c r="M757" t="s">
        <v>72</v>
      </c>
      <c r="N757" t="s">
        <v>45</v>
      </c>
      <c r="O757" t="s">
        <v>45</v>
      </c>
      <c r="P757">
        <v>3</v>
      </c>
      <c r="Q757" s="7">
        <v>46228</v>
      </c>
      <c r="R757" s="7">
        <v>46228</v>
      </c>
      <c r="S757" s="7">
        <v>46229</v>
      </c>
      <c r="T757" t="s">
        <v>45</v>
      </c>
      <c r="V757" t="s">
        <v>343</v>
      </c>
      <c r="W757" t="s">
        <v>45</v>
      </c>
      <c r="X757" t="s">
        <v>45</v>
      </c>
      <c r="Y757" t="s">
        <v>45</v>
      </c>
      <c r="Z757" t="s">
        <v>45</v>
      </c>
      <c r="AE757" s="7">
        <v>46232</v>
      </c>
      <c r="AF757">
        <v>3</v>
      </c>
      <c r="AH757" t="s">
        <v>75</v>
      </c>
      <c r="AI757">
        <v>2</v>
      </c>
      <c r="AJ757" s="15"/>
      <c r="AK757" t="s">
        <v>74</v>
      </c>
      <c r="AL757" t="s">
        <v>549</v>
      </c>
      <c r="AN757" t="s">
        <v>45</v>
      </c>
      <c r="AO757" t="s">
        <v>45</v>
      </c>
      <c r="AP757"/>
      <c r="AQ757" t="s">
        <v>74</v>
      </c>
      <c r="AR757" s="18" t="str">
        <f>IFERROR(VLOOKUP(K757,[1]POP!$F:$J,1,0),M757)</f>
        <v>FOTOKOL</v>
      </c>
      <c r="AS757" s="18" t="str">
        <f t="shared" si="56"/>
        <v>SAGME</v>
      </c>
      <c r="AT757" s="19">
        <f t="shared" si="59"/>
        <v>3</v>
      </c>
      <c r="AU757" s="19">
        <f t="shared" ca="1" si="58"/>
        <v>2</v>
      </c>
    </row>
    <row r="758" spans="1:47" x14ac:dyDescent="0.3">
      <c r="A758" t="s">
        <v>1090</v>
      </c>
      <c r="B758" t="str">
        <f t="shared" si="55"/>
        <v>S31_2026</v>
      </c>
      <c r="C758" t="str">
        <f t="shared" si="57"/>
        <v>S30_2026</v>
      </c>
      <c r="F758">
        <v>1.5</v>
      </c>
      <c r="G758" t="s">
        <v>40</v>
      </c>
      <c r="H758" t="s">
        <v>85</v>
      </c>
      <c r="I758" t="s">
        <v>71</v>
      </c>
      <c r="J758" t="s">
        <v>71</v>
      </c>
      <c r="K758" t="s">
        <v>72</v>
      </c>
      <c r="L758" t="s">
        <v>72</v>
      </c>
      <c r="M758" t="s">
        <v>72</v>
      </c>
      <c r="N758" t="s">
        <v>45</v>
      </c>
      <c r="O758" t="s">
        <v>45</v>
      </c>
      <c r="P758">
        <v>3</v>
      </c>
      <c r="Q758" s="7">
        <v>46229</v>
      </c>
      <c r="R758" s="7">
        <v>46229</v>
      </c>
      <c r="S758" s="7">
        <v>46230</v>
      </c>
      <c r="T758" t="s">
        <v>45</v>
      </c>
      <c r="V758" t="s">
        <v>343</v>
      </c>
      <c r="W758" t="s">
        <v>45</v>
      </c>
      <c r="X758" t="s">
        <v>45</v>
      </c>
      <c r="Y758" t="s">
        <v>45</v>
      </c>
      <c r="Z758" t="s">
        <v>45</v>
      </c>
      <c r="AA758" s="7">
        <v>46229</v>
      </c>
      <c r="AB758" t="s">
        <v>48</v>
      </c>
      <c r="AC758" t="s">
        <v>74</v>
      </c>
      <c r="AE758" s="7">
        <v>46231</v>
      </c>
      <c r="AF758">
        <v>2</v>
      </c>
      <c r="AH758" t="s">
        <v>75</v>
      </c>
      <c r="AI758">
        <v>1</v>
      </c>
      <c r="AJ758" s="15"/>
      <c r="AK758" t="s">
        <v>74</v>
      </c>
      <c r="AL758" t="s">
        <v>1081</v>
      </c>
      <c r="AN758" t="s">
        <v>45</v>
      </c>
      <c r="AO758" t="s">
        <v>45</v>
      </c>
      <c r="AP758">
        <v>5</v>
      </c>
      <c r="AQ758" t="s">
        <v>74</v>
      </c>
      <c r="AR758" s="18" t="str">
        <f>IFERROR(VLOOKUP(K758,[1]POP!$F:$J,1,0),M758)</f>
        <v>FOTOKOL</v>
      </c>
      <c r="AS758" s="18" t="str">
        <f t="shared" si="56"/>
        <v>SAGME</v>
      </c>
      <c r="AT758" s="19">
        <f t="shared" si="59"/>
        <v>2</v>
      </c>
      <c r="AU758" s="19">
        <f t="shared" ca="1" si="58"/>
        <v>2</v>
      </c>
    </row>
    <row r="759" spans="1:47" x14ac:dyDescent="0.3">
      <c r="A759" t="s">
        <v>1091</v>
      </c>
      <c r="B759" t="str">
        <f t="shared" si="55"/>
        <v>S30_2026</v>
      </c>
      <c r="C759" t="str">
        <f t="shared" si="57"/>
        <v>S30_2026</v>
      </c>
      <c r="F759">
        <v>1</v>
      </c>
      <c r="G759" t="s">
        <v>40</v>
      </c>
      <c r="H759" t="s">
        <v>85</v>
      </c>
      <c r="I759" t="s">
        <v>1092</v>
      </c>
      <c r="J759" t="s">
        <v>1067</v>
      </c>
      <c r="K759" t="s">
        <v>1068</v>
      </c>
      <c r="L759" t="s">
        <v>1067</v>
      </c>
      <c r="M759" t="s">
        <v>1068</v>
      </c>
      <c r="N759" t="s">
        <v>45</v>
      </c>
      <c r="O759" t="s">
        <v>74</v>
      </c>
      <c r="P759">
        <v>2</v>
      </c>
      <c r="Q759" s="7">
        <v>46227</v>
      </c>
      <c r="R759" s="7">
        <v>46228</v>
      </c>
      <c r="S759" s="7">
        <v>46228</v>
      </c>
      <c r="T759" t="s">
        <v>45</v>
      </c>
      <c r="V759" t="s">
        <v>1093</v>
      </c>
      <c r="W759" t="s">
        <v>45</v>
      </c>
      <c r="X759" t="s">
        <v>74</v>
      </c>
      <c r="Y759" t="s">
        <v>74</v>
      </c>
      <c r="Z759" t="s">
        <v>45</v>
      </c>
      <c r="AA759" s="7">
        <v>46228</v>
      </c>
      <c r="AB759" t="s">
        <v>62</v>
      </c>
      <c r="AC759" t="s">
        <v>74</v>
      </c>
      <c r="AE759" s="7">
        <v>46233</v>
      </c>
      <c r="AF759">
        <v>2</v>
      </c>
      <c r="AH759" t="s">
        <v>75</v>
      </c>
      <c r="AI759">
        <v>1</v>
      </c>
      <c r="AJ759" s="15"/>
      <c r="AK759" t="s">
        <v>74</v>
      </c>
      <c r="AL759" t="s">
        <v>1081</v>
      </c>
      <c r="AN759" t="s">
        <v>45</v>
      </c>
      <c r="AO759" t="s">
        <v>45</v>
      </c>
      <c r="AP759">
        <v>5</v>
      </c>
      <c r="AQ759" t="s">
        <v>74</v>
      </c>
      <c r="AR759" s="18" t="str">
        <f>IFERROR(VLOOKUP(K759,[1]POP!$F:$J,1,0),M759)</f>
        <v>MOKOLO</v>
      </c>
      <c r="AS759" s="18" t="str">
        <f t="shared" si="56"/>
        <v>MINAWAO</v>
      </c>
      <c r="AT759" s="19">
        <f t="shared" si="59"/>
        <v>2</v>
      </c>
      <c r="AU759" s="19">
        <f t="shared" ca="1" si="58"/>
        <v>2</v>
      </c>
    </row>
    <row r="760" spans="1:47" x14ac:dyDescent="0.3">
      <c r="A760" t="s">
        <v>1094</v>
      </c>
      <c r="B760" t="str">
        <f t="shared" si="55"/>
        <v>S30_2026</v>
      </c>
      <c r="C760" t="str">
        <f t="shared" si="57"/>
        <v>S30_2026</v>
      </c>
      <c r="F760">
        <v>45</v>
      </c>
      <c r="G760" t="s">
        <v>40</v>
      </c>
      <c r="H760" t="s">
        <v>77</v>
      </c>
      <c r="I760" t="s">
        <v>1095</v>
      </c>
      <c r="J760" t="s">
        <v>1067</v>
      </c>
      <c r="K760" t="s">
        <v>1068</v>
      </c>
      <c r="L760" t="s">
        <v>1067</v>
      </c>
      <c r="M760" t="s">
        <v>1068</v>
      </c>
      <c r="N760" t="s">
        <v>45</v>
      </c>
      <c r="O760" t="s">
        <v>74</v>
      </c>
      <c r="P760">
        <v>2</v>
      </c>
      <c r="Q760" s="7">
        <v>46226</v>
      </c>
      <c r="R760" s="7">
        <v>46228</v>
      </c>
      <c r="S760" s="7">
        <v>46228</v>
      </c>
      <c r="T760" t="s">
        <v>45</v>
      </c>
      <c r="V760" t="s">
        <v>1093</v>
      </c>
      <c r="W760" t="s">
        <v>45</v>
      </c>
      <c r="X760" t="s">
        <v>45</v>
      </c>
      <c r="Y760" t="s">
        <v>74</v>
      </c>
      <c r="Z760" t="s">
        <v>45</v>
      </c>
      <c r="AA760" s="7">
        <v>46228</v>
      </c>
      <c r="AB760" t="s">
        <v>62</v>
      </c>
      <c r="AC760" t="s">
        <v>74</v>
      </c>
      <c r="AE760" s="7">
        <v>46238</v>
      </c>
      <c r="AF760">
        <v>2</v>
      </c>
      <c r="AH760" t="s">
        <v>75</v>
      </c>
      <c r="AI760">
        <v>1</v>
      </c>
      <c r="AJ760" s="15"/>
      <c r="AK760" t="s">
        <v>45</v>
      </c>
      <c r="AL760" t="s">
        <v>1081</v>
      </c>
      <c r="AN760" t="s">
        <v>45</v>
      </c>
      <c r="AO760" t="s">
        <v>45</v>
      </c>
      <c r="AP760">
        <v>12</v>
      </c>
      <c r="AQ760" t="s">
        <v>74</v>
      </c>
      <c r="AR760" s="18" t="str">
        <f>IFERROR(VLOOKUP(K760,[1]POP!$F:$J,1,0),M760)</f>
        <v>MOKOLO</v>
      </c>
      <c r="AS760" s="18" t="str">
        <f t="shared" si="56"/>
        <v>MINAWAO</v>
      </c>
      <c r="AT760" s="19">
        <f t="shared" si="59"/>
        <v>2</v>
      </c>
      <c r="AU760" s="19">
        <f t="shared" ca="1" si="58"/>
        <v>2</v>
      </c>
    </row>
    <row r="761" spans="1:47" x14ac:dyDescent="0.3">
      <c r="A761" t="s">
        <v>1096</v>
      </c>
      <c r="B761" t="str">
        <f t="shared" si="55"/>
        <v>S30_2026</v>
      </c>
      <c r="C761" t="str">
        <f t="shared" si="57"/>
        <v>S30_2026</v>
      </c>
      <c r="F761">
        <v>1</v>
      </c>
      <c r="G761" t="s">
        <v>55</v>
      </c>
      <c r="H761" t="s">
        <v>85</v>
      </c>
      <c r="I761" t="s">
        <v>1097</v>
      </c>
      <c r="J761" t="s">
        <v>1067</v>
      </c>
      <c r="K761" t="s">
        <v>1068</v>
      </c>
      <c r="L761" t="s">
        <v>1067</v>
      </c>
      <c r="M761" t="s">
        <v>1068</v>
      </c>
      <c r="N761" t="s">
        <v>45</v>
      </c>
      <c r="O761" t="s">
        <v>74</v>
      </c>
      <c r="P761">
        <v>2</v>
      </c>
      <c r="Q761" s="7">
        <v>46228</v>
      </c>
      <c r="R761" s="7">
        <v>46228</v>
      </c>
      <c r="S761" s="7">
        <v>46228</v>
      </c>
      <c r="T761" t="s">
        <v>45</v>
      </c>
      <c r="V761" t="s">
        <v>1093</v>
      </c>
      <c r="W761" t="s">
        <v>45</v>
      </c>
      <c r="X761" t="s">
        <v>74</v>
      </c>
      <c r="Y761" t="s">
        <v>74</v>
      </c>
      <c r="Z761" t="s">
        <v>45</v>
      </c>
      <c r="AA761" s="7">
        <v>45863</v>
      </c>
      <c r="AB761" t="s">
        <v>62</v>
      </c>
      <c r="AC761" t="s">
        <v>74</v>
      </c>
      <c r="AE761" s="7">
        <v>46238</v>
      </c>
      <c r="AF761">
        <v>2</v>
      </c>
      <c r="AH761" t="s">
        <v>75</v>
      </c>
      <c r="AI761">
        <v>1</v>
      </c>
      <c r="AJ761" s="15"/>
      <c r="AK761" t="s">
        <v>74</v>
      </c>
      <c r="AL761" t="s">
        <v>1081</v>
      </c>
      <c r="AN761" t="s">
        <v>45</v>
      </c>
      <c r="AO761" t="s">
        <v>45</v>
      </c>
      <c r="AP761">
        <v>8</v>
      </c>
      <c r="AQ761" t="s">
        <v>74</v>
      </c>
      <c r="AR761" s="18" t="str">
        <f>IFERROR(VLOOKUP(K761,[1]POP!$F:$J,1,0),M761)</f>
        <v>MOKOLO</v>
      </c>
      <c r="AS761" s="18" t="str">
        <f t="shared" si="56"/>
        <v>MINAWAO</v>
      </c>
      <c r="AT761" s="19">
        <f t="shared" si="59"/>
        <v>2</v>
      </c>
      <c r="AU761" s="19">
        <f t="shared" ca="1" si="58"/>
        <v>2</v>
      </c>
    </row>
    <row r="762" spans="1:47" x14ac:dyDescent="0.3">
      <c r="A762" t="s">
        <v>1098</v>
      </c>
      <c r="B762" t="str">
        <f t="shared" si="55"/>
        <v>S30_2026</v>
      </c>
      <c r="C762" t="str">
        <f t="shared" si="57"/>
        <v>S30_2026</v>
      </c>
      <c r="F762">
        <v>0.66666666666666663</v>
      </c>
      <c r="G762" t="s">
        <v>55</v>
      </c>
      <c r="H762" t="s">
        <v>85</v>
      </c>
      <c r="I762" t="s">
        <v>1099</v>
      </c>
      <c r="J762" t="s">
        <v>1067</v>
      </c>
      <c r="K762" t="s">
        <v>1068</v>
      </c>
      <c r="L762" t="s">
        <v>1067</v>
      </c>
      <c r="M762" t="s">
        <v>1068</v>
      </c>
      <c r="N762" t="s">
        <v>45</v>
      </c>
      <c r="O762" t="s">
        <v>45</v>
      </c>
      <c r="P762">
        <v>3</v>
      </c>
      <c r="Q762" s="7">
        <v>46228</v>
      </c>
      <c r="R762" s="7">
        <v>46228</v>
      </c>
      <c r="S762" s="7">
        <v>46228</v>
      </c>
      <c r="T762" t="s">
        <v>45</v>
      </c>
      <c r="V762" t="s">
        <v>1093</v>
      </c>
      <c r="W762" t="s">
        <v>45</v>
      </c>
      <c r="X762" t="s">
        <v>74</v>
      </c>
      <c r="Y762" t="s">
        <v>45</v>
      </c>
      <c r="Z762" t="s">
        <v>45</v>
      </c>
      <c r="AA762" s="7">
        <v>46228</v>
      </c>
      <c r="AB762" t="s">
        <v>48</v>
      </c>
      <c r="AC762" t="s">
        <v>74</v>
      </c>
      <c r="AE762" s="7">
        <v>46246</v>
      </c>
      <c r="AF762">
        <v>2</v>
      </c>
      <c r="AH762" t="s">
        <v>75</v>
      </c>
      <c r="AI762">
        <v>1</v>
      </c>
      <c r="AJ762" s="15"/>
      <c r="AK762" t="s">
        <v>74</v>
      </c>
      <c r="AN762" t="s">
        <v>45</v>
      </c>
      <c r="AO762" t="s">
        <v>45</v>
      </c>
      <c r="AP762">
        <v>9</v>
      </c>
      <c r="AQ762" t="s">
        <v>74</v>
      </c>
      <c r="AR762" s="18" t="str">
        <f>IFERROR(VLOOKUP(K762,[1]POP!$F:$J,1,0),M762)</f>
        <v>MOKOLO</v>
      </c>
      <c r="AS762" s="18" t="str">
        <f t="shared" si="56"/>
        <v>MINAWAO</v>
      </c>
      <c r="AT762" s="19">
        <f t="shared" si="59"/>
        <v>2</v>
      </c>
      <c r="AU762" s="19">
        <f t="shared" ca="1" si="58"/>
        <v>2</v>
      </c>
    </row>
    <row r="763" spans="1:47" x14ac:dyDescent="0.3">
      <c r="A763" t="s">
        <v>1100</v>
      </c>
      <c r="B763" t="str">
        <f t="shared" si="55"/>
        <v>S30_2026</v>
      </c>
      <c r="C763" t="str">
        <f t="shared" si="57"/>
        <v>S30_2026</v>
      </c>
      <c r="F763">
        <v>1</v>
      </c>
      <c r="G763" t="s">
        <v>55</v>
      </c>
      <c r="H763" t="s">
        <v>85</v>
      </c>
      <c r="I763" t="s">
        <v>1101</v>
      </c>
      <c r="J763" t="s">
        <v>1067</v>
      </c>
      <c r="K763" t="s">
        <v>1068</v>
      </c>
      <c r="L763" t="s">
        <v>1067</v>
      </c>
      <c r="M763" t="s">
        <v>1068</v>
      </c>
      <c r="N763" t="s">
        <v>45</v>
      </c>
      <c r="O763" t="s">
        <v>45</v>
      </c>
      <c r="P763">
        <v>2</v>
      </c>
      <c r="Q763" s="7">
        <v>46228</v>
      </c>
      <c r="R763" s="7">
        <v>46228</v>
      </c>
      <c r="S763" s="7">
        <v>46228</v>
      </c>
      <c r="T763" t="s">
        <v>45</v>
      </c>
      <c r="V763" t="s">
        <v>1093</v>
      </c>
      <c r="W763" t="s">
        <v>45</v>
      </c>
      <c r="X763" t="s">
        <v>74</v>
      </c>
      <c r="Y763" t="s">
        <v>74</v>
      </c>
      <c r="Z763" t="s">
        <v>45</v>
      </c>
      <c r="AA763" s="7">
        <v>46228</v>
      </c>
      <c r="AB763" t="s">
        <v>62</v>
      </c>
      <c r="AC763" t="s">
        <v>74</v>
      </c>
      <c r="AE763" s="7">
        <v>46239</v>
      </c>
      <c r="AF763">
        <v>2</v>
      </c>
      <c r="AH763" t="s">
        <v>75</v>
      </c>
      <c r="AI763">
        <v>1</v>
      </c>
      <c r="AJ763" s="15"/>
      <c r="AK763" t="s">
        <v>74</v>
      </c>
      <c r="AL763" t="s">
        <v>1081</v>
      </c>
      <c r="AN763" t="s">
        <v>45</v>
      </c>
      <c r="AO763" t="s">
        <v>45</v>
      </c>
      <c r="AP763">
        <v>6</v>
      </c>
      <c r="AQ763" t="s">
        <v>74</v>
      </c>
      <c r="AR763" s="18" t="str">
        <f>IFERROR(VLOOKUP(K763,[1]POP!$F:$J,1,0),M763)</f>
        <v>MOKOLO</v>
      </c>
      <c r="AS763" s="18" t="str">
        <f t="shared" si="56"/>
        <v>MINAWAO</v>
      </c>
      <c r="AT763" s="19">
        <f t="shared" si="59"/>
        <v>2</v>
      </c>
      <c r="AU763" s="19">
        <f t="shared" ca="1" si="58"/>
        <v>2</v>
      </c>
    </row>
    <row r="764" spans="1:47" x14ac:dyDescent="0.3">
      <c r="A764" t="s">
        <v>1102</v>
      </c>
      <c r="B764" t="str">
        <f t="shared" si="55"/>
        <v>S30_2026</v>
      </c>
      <c r="C764" t="str">
        <f t="shared" si="57"/>
        <v>S30_2026</v>
      </c>
      <c r="F764">
        <v>1</v>
      </c>
      <c r="G764" t="s">
        <v>55</v>
      </c>
      <c r="H764" t="s">
        <v>85</v>
      </c>
      <c r="I764" t="s">
        <v>1103</v>
      </c>
      <c r="J764" t="s">
        <v>1067</v>
      </c>
      <c r="K764" t="s">
        <v>1068</v>
      </c>
      <c r="L764" t="s">
        <v>1067</v>
      </c>
      <c r="M764" t="s">
        <v>1068</v>
      </c>
      <c r="N764" t="s">
        <v>45</v>
      </c>
      <c r="O764" t="s">
        <v>74</v>
      </c>
      <c r="P764">
        <v>2</v>
      </c>
      <c r="Q764" s="7">
        <v>46228</v>
      </c>
      <c r="R764" s="7">
        <v>46228</v>
      </c>
      <c r="S764" s="7">
        <v>46228</v>
      </c>
      <c r="T764" t="s">
        <v>45</v>
      </c>
      <c r="V764" t="s">
        <v>1093</v>
      </c>
      <c r="W764" t="s">
        <v>45</v>
      </c>
      <c r="X764" t="s">
        <v>74</v>
      </c>
      <c r="Y764" t="s">
        <v>74</v>
      </c>
      <c r="Z764" t="s">
        <v>45</v>
      </c>
      <c r="AA764" s="7">
        <v>46228</v>
      </c>
      <c r="AB764" t="s">
        <v>62</v>
      </c>
      <c r="AC764" t="s">
        <v>74</v>
      </c>
      <c r="AE764" s="7">
        <v>46229</v>
      </c>
      <c r="AF764">
        <v>2</v>
      </c>
      <c r="AH764" t="s">
        <v>75</v>
      </c>
      <c r="AI764">
        <v>1</v>
      </c>
      <c r="AJ764" s="15"/>
      <c r="AK764" t="s">
        <v>74</v>
      </c>
      <c r="AL764" t="s">
        <v>1081</v>
      </c>
      <c r="AN764" t="s">
        <v>45</v>
      </c>
      <c r="AO764" t="s">
        <v>45</v>
      </c>
      <c r="AP764">
        <v>20</v>
      </c>
      <c r="AQ764" t="s">
        <v>74</v>
      </c>
      <c r="AR764" s="18" t="str">
        <f>IFERROR(VLOOKUP(K764,[1]POP!$F:$J,1,0),M764)</f>
        <v>MOKOLO</v>
      </c>
      <c r="AS764" s="18" t="str">
        <f t="shared" si="56"/>
        <v>MINAWAO</v>
      </c>
      <c r="AT764" s="19">
        <f t="shared" si="59"/>
        <v>2</v>
      </c>
      <c r="AU764" s="19">
        <f t="shared" ca="1" si="58"/>
        <v>2</v>
      </c>
    </row>
    <row r="765" spans="1:47" x14ac:dyDescent="0.3">
      <c r="A765" t="s">
        <v>1104</v>
      </c>
      <c r="B765" t="str">
        <f t="shared" si="55"/>
        <v>S30_2026</v>
      </c>
      <c r="C765" t="str">
        <f t="shared" si="57"/>
        <v>S30_2026</v>
      </c>
      <c r="F765">
        <v>7</v>
      </c>
      <c r="G765" t="s">
        <v>40</v>
      </c>
      <c r="H765" t="s">
        <v>85</v>
      </c>
      <c r="I765" t="s">
        <v>1105</v>
      </c>
      <c r="J765" t="s">
        <v>1067</v>
      </c>
      <c r="K765" t="s">
        <v>1068</v>
      </c>
      <c r="L765" t="s">
        <v>1067</v>
      </c>
      <c r="M765" t="s">
        <v>1068</v>
      </c>
      <c r="N765" t="s">
        <v>45</v>
      </c>
      <c r="O765" t="s">
        <v>45</v>
      </c>
      <c r="P765">
        <v>3</v>
      </c>
      <c r="Q765" s="7">
        <v>46228</v>
      </c>
      <c r="R765" s="7">
        <v>46228</v>
      </c>
      <c r="S765" s="7">
        <v>46228</v>
      </c>
      <c r="T765" t="s">
        <v>45</v>
      </c>
      <c r="V765" t="s">
        <v>1093</v>
      </c>
      <c r="W765" t="s">
        <v>45</v>
      </c>
      <c r="X765" t="s">
        <v>45</v>
      </c>
      <c r="Y765" t="s">
        <v>45</v>
      </c>
      <c r="Z765" t="s">
        <v>45</v>
      </c>
      <c r="AA765" s="7">
        <v>46228</v>
      </c>
      <c r="AB765" t="s">
        <v>48</v>
      </c>
      <c r="AC765" t="s">
        <v>74</v>
      </c>
      <c r="AE765" s="7">
        <v>46253</v>
      </c>
      <c r="AF765">
        <v>2</v>
      </c>
      <c r="AH765" t="s">
        <v>75</v>
      </c>
      <c r="AI765">
        <v>1</v>
      </c>
      <c r="AJ765" s="15"/>
      <c r="AK765" t="s">
        <v>74</v>
      </c>
      <c r="AL765" t="s">
        <v>1081</v>
      </c>
      <c r="AN765" t="s">
        <v>45</v>
      </c>
      <c r="AO765" t="s">
        <v>45</v>
      </c>
      <c r="AP765">
        <v>4</v>
      </c>
      <c r="AQ765" t="s">
        <v>74</v>
      </c>
      <c r="AR765" s="18" t="str">
        <f>IFERROR(VLOOKUP(K765,[1]POP!$F:$J,1,0),M765)</f>
        <v>MOKOLO</v>
      </c>
      <c r="AS765" s="18" t="str">
        <f t="shared" si="56"/>
        <v>MINAWAO</v>
      </c>
      <c r="AT765" s="19">
        <f t="shared" si="59"/>
        <v>2</v>
      </c>
      <c r="AU765" s="19">
        <f t="shared" ca="1" si="58"/>
        <v>2</v>
      </c>
    </row>
    <row r="766" spans="1:47" x14ac:dyDescent="0.3">
      <c r="A766" t="s">
        <v>1106</v>
      </c>
      <c r="B766" t="str">
        <f t="shared" si="55"/>
        <v>S30_2026</v>
      </c>
      <c r="C766" t="str">
        <f t="shared" si="57"/>
        <v>S30_2026</v>
      </c>
      <c r="F766">
        <v>2</v>
      </c>
      <c r="G766" t="s">
        <v>55</v>
      </c>
      <c r="H766" t="s">
        <v>85</v>
      </c>
      <c r="I766" t="s">
        <v>1107</v>
      </c>
      <c r="J766" t="s">
        <v>1067</v>
      </c>
      <c r="K766" t="s">
        <v>1068</v>
      </c>
      <c r="L766" t="s">
        <v>1067</v>
      </c>
      <c r="M766" t="s">
        <v>1068</v>
      </c>
      <c r="N766" t="s">
        <v>45</v>
      </c>
      <c r="O766" t="s">
        <v>45</v>
      </c>
      <c r="P766">
        <v>3</v>
      </c>
      <c r="Q766" s="7">
        <v>46228</v>
      </c>
      <c r="R766" s="7">
        <v>46228</v>
      </c>
      <c r="S766" s="7">
        <v>46228</v>
      </c>
      <c r="T766" t="s">
        <v>45</v>
      </c>
      <c r="V766" t="s">
        <v>1093</v>
      </c>
      <c r="W766" t="s">
        <v>45</v>
      </c>
      <c r="X766" t="s">
        <v>74</v>
      </c>
      <c r="Y766" t="s">
        <v>74</v>
      </c>
      <c r="Z766" t="s">
        <v>45</v>
      </c>
      <c r="AA766" s="7">
        <v>46230</v>
      </c>
      <c r="AB766" t="s">
        <v>48</v>
      </c>
      <c r="AC766" t="s">
        <v>45</v>
      </c>
      <c r="AD766" t="s">
        <v>48</v>
      </c>
      <c r="AE766" s="7">
        <v>46238</v>
      </c>
      <c r="AF766">
        <v>2</v>
      </c>
      <c r="AH766" t="s">
        <v>75</v>
      </c>
      <c r="AI766">
        <v>1</v>
      </c>
      <c r="AJ766" s="15"/>
      <c r="AK766" t="s">
        <v>74</v>
      </c>
      <c r="AL766" t="s">
        <v>1081</v>
      </c>
      <c r="AN766" t="s">
        <v>45</v>
      </c>
      <c r="AO766" t="s">
        <v>45</v>
      </c>
      <c r="AP766">
        <v>4</v>
      </c>
      <c r="AQ766" t="s">
        <v>74</v>
      </c>
      <c r="AR766" s="18" t="str">
        <f>IFERROR(VLOOKUP(K766,[1]POP!$F:$J,1,0),M766)</f>
        <v>MOKOLO</v>
      </c>
      <c r="AS766" s="18" t="str">
        <f t="shared" si="56"/>
        <v>MINAWAO</v>
      </c>
      <c r="AT766" s="19">
        <f t="shared" si="59"/>
        <v>2</v>
      </c>
      <c r="AU766" s="19">
        <f t="shared" ca="1" si="58"/>
        <v>2</v>
      </c>
    </row>
    <row r="767" spans="1:47" x14ac:dyDescent="0.3">
      <c r="A767" t="s">
        <v>1108</v>
      </c>
      <c r="B767" t="str">
        <f t="shared" si="55"/>
        <v>S31_2026</v>
      </c>
      <c r="C767" t="str">
        <f t="shared" si="57"/>
        <v>S31_2026</v>
      </c>
      <c r="F767">
        <v>4</v>
      </c>
      <c r="G767" t="s">
        <v>40</v>
      </c>
      <c r="H767" t="s">
        <v>85</v>
      </c>
      <c r="I767" t="s">
        <v>1109</v>
      </c>
      <c r="J767" t="s">
        <v>1067</v>
      </c>
      <c r="K767" t="s">
        <v>1068</v>
      </c>
      <c r="L767" t="s">
        <v>1067</v>
      </c>
      <c r="M767" t="s">
        <v>1068</v>
      </c>
      <c r="N767" t="s">
        <v>45</v>
      </c>
      <c r="O767" t="s">
        <v>45</v>
      </c>
      <c r="P767">
        <v>3</v>
      </c>
      <c r="Q767" s="7">
        <v>46230</v>
      </c>
      <c r="R767" s="7">
        <v>46230</v>
      </c>
      <c r="S767" s="7">
        <v>46230</v>
      </c>
      <c r="T767" t="s">
        <v>45</v>
      </c>
      <c r="V767" t="s">
        <v>1093</v>
      </c>
      <c r="W767" t="s">
        <v>45</v>
      </c>
      <c r="X767" t="s">
        <v>74</v>
      </c>
      <c r="Y767" t="s">
        <v>45</v>
      </c>
      <c r="Z767" t="s">
        <v>45</v>
      </c>
      <c r="AA767" s="7">
        <v>46230</v>
      </c>
      <c r="AB767" t="s">
        <v>48</v>
      </c>
      <c r="AC767" t="s">
        <v>45</v>
      </c>
      <c r="AD767" t="s">
        <v>48</v>
      </c>
      <c r="AE767" s="7">
        <v>46239</v>
      </c>
      <c r="AF767">
        <v>2</v>
      </c>
      <c r="AH767" t="s">
        <v>75</v>
      </c>
      <c r="AI767">
        <v>1</v>
      </c>
      <c r="AJ767" s="15"/>
      <c r="AK767" t="s">
        <v>86</v>
      </c>
      <c r="AL767" t="s">
        <v>1081</v>
      </c>
      <c r="AN767" t="s">
        <v>45</v>
      </c>
      <c r="AO767" t="s">
        <v>45</v>
      </c>
      <c r="AP767">
        <v>4</v>
      </c>
      <c r="AQ767" t="s">
        <v>74</v>
      </c>
      <c r="AR767" s="18" t="str">
        <f>IFERROR(VLOOKUP(K767,[1]POP!$F:$J,1,0),M767)</f>
        <v>MOKOLO</v>
      </c>
      <c r="AS767" s="18" t="str">
        <f t="shared" si="56"/>
        <v>MINAWAO</v>
      </c>
      <c r="AT767" s="19">
        <f t="shared" si="59"/>
        <v>2</v>
      </c>
      <c r="AU767" s="19">
        <f t="shared" ca="1" si="58"/>
        <v>2</v>
      </c>
    </row>
    <row r="768" spans="1:47" x14ac:dyDescent="0.3">
      <c r="A768" t="s">
        <v>1110</v>
      </c>
      <c r="B768" t="str">
        <f t="shared" si="55"/>
        <v>S30_2026</v>
      </c>
      <c r="C768" t="str">
        <f t="shared" si="57"/>
        <v>S30_2026</v>
      </c>
      <c r="F768">
        <v>5</v>
      </c>
      <c r="G768" t="s">
        <v>55</v>
      </c>
      <c r="H768" t="s">
        <v>85</v>
      </c>
      <c r="I768" t="s">
        <v>1111</v>
      </c>
      <c r="J768" t="s">
        <v>1067</v>
      </c>
      <c r="K768" t="s">
        <v>1068</v>
      </c>
      <c r="L768" t="s">
        <v>1067</v>
      </c>
      <c r="M768" t="s">
        <v>1068</v>
      </c>
      <c r="N768" t="s">
        <v>45</v>
      </c>
      <c r="O768" t="s">
        <v>45</v>
      </c>
      <c r="P768">
        <v>2</v>
      </c>
      <c r="Q768" s="7">
        <v>46229</v>
      </c>
      <c r="R768" s="7">
        <v>46229</v>
      </c>
      <c r="S768" s="7">
        <v>46229</v>
      </c>
      <c r="T768" t="s">
        <v>45</v>
      </c>
      <c r="V768" t="s">
        <v>1093</v>
      </c>
      <c r="W768" t="s">
        <v>45</v>
      </c>
      <c r="X768" t="s">
        <v>74</v>
      </c>
      <c r="Y768" t="s">
        <v>45</v>
      </c>
      <c r="Z768" t="s">
        <v>45</v>
      </c>
      <c r="AA768" s="7">
        <v>46229</v>
      </c>
      <c r="AB768" t="s">
        <v>48</v>
      </c>
      <c r="AC768" t="s">
        <v>74</v>
      </c>
      <c r="AE768" s="7">
        <v>46238</v>
      </c>
      <c r="AF768">
        <v>2</v>
      </c>
      <c r="AH768" t="s">
        <v>75</v>
      </c>
      <c r="AI768">
        <v>1</v>
      </c>
      <c r="AJ768" s="15"/>
      <c r="AK768" t="s">
        <v>74</v>
      </c>
      <c r="AL768" t="s">
        <v>1081</v>
      </c>
      <c r="AN768" t="s">
        <v>45</v>
      </c>
      <c r="AO768" t="s">
        <v>45</v>
      </c>
      <c r="AP768">
        <v>3</v>
      </c>
      <c r="AQ768" t="s">
        <v>74</v>
      </c>
      <c r="AR768" s="18" t="str">
        <f>IFERROR(VLOOKUP(K768,[1]POP!$F:$J,1,0),M768)</f>
        <v>MOKOLO</v>
      </c>
      <c r="AS768" s="18" t="str">
        <f t="shared" si="56"/>
        <v>MINAWAO</v>
      </c>
      <c r="AT768" s="19">
        <f t="shared" si="59"/>
        <v>2</v>
      </c>
      <c r="AU768" s="19">
        <f t="shared" ca="1" si="58"/>
        <v>2</v>
      </c>
    </row>
    <row r="769" spans="1:47" x14ac:dyDescent="0.3">
      <c r="A769" t="s">
        <v>1112</v>
      </c>
      <c r="B769" t="str">
        <f t="shared" si="55"/>
        <v>S30_2026</v>
      </c>
      <c r="C769" t="str">
        <f t="shared" si="57"/>
        <v>S30_2026</v>
      </c>
      <c r="F769">
        <v>1</v>
      </c>
      <c r="G769" t="s">
        <v>40</v>
      </c>
      <c r="H769" t="s">
        <v>85</v>
      </c>
      <c r="I769" t="s">
        <v>1113</v>
      </c>
      <c r="J769" t="s">
        <v>1067</v>
      </c>
      <c r="K769" t="s">
        <v>1068</v>
      </c>
      <c r="L769" t="s">
        <v>1067</v>
      </c>
      <c r="M769" t="s">
        <v>1068</v>
      </c>
      <c r="N769" t="s">
        <v>45</v>
      </c>
      <c r="O769" t="s">
        <v>45</v>
      </c>
      <c r="P769">
        <v>2</v>
      </c>
      <c r="Q769" s="7">
        <v>46229</v>
      </c>
      <c r="R769" s="7">
        <v>46229</v>
      </c>
      <c r="S769" s="7">
        <v>46229</v>
      </c>
      <c r="T769" t="s">
        <v>45</v>
      </c>
      <c r="V769" t="s">
        <v>1093</v>
      </c>
      <c r="W769" t="s">
        <v>45</v>
      </c>
      <c r="X769" t="s">
        <v>74</v>
      </c>
      <c r="Y769" t="s">
        <v>74</v>
      </c>
      <c r="Z769" t="s">
        <v>45</v>
      </c>
      <c r="AA769" s="7">
        <v>46229</v>
      </c>
      <c r="AB769" t="s">
        <v>48</v>
      </c>
      <c r="AC769" t="s">
        <v>74</v>
      </c>
      <c r="AE769" s="7">
        <v>46260</v>
      </c>
      <c r="AF769">
        <v>2</v>
      </c>
      <c r="AH769" t="s">
        <v>75</v>
      </c>
      <c r="AI769">
        <v>1</v>
      </c>
      <c r="AJ769" s="15"/>
      <c r="AK769" t="s">
        <v>74</v>
      </c>
      <c r="AL769" t="s">
        <v>1081</v>
      </c>
      <c r="AN769" t="s">
        <v>45</v>
      </c>
      <c r="AO769" t="s">
        <v>45</v>
      </c>
      <c r="AP769">
        <v>2</v>
      </c>
      <c r="AQ769" t="s">
        <v>74</v>
      </c>
      <c r="AR769" s="18" t="str">
        <f>IFERROR(VLOOKUP(K769,[1]POP!$F:$J,1,0),M769)</f>
        <v>MOKOLO</v>
      </c>
      <c r="AS769" s="18" t="str">
        <f t="shared" si="56"/>
        <v>MINAWAO</v>
      </c>
      <c r="AT769" s="19">
        <f t="shared" si="59"/>
        <v>2</v>
      </c>
      <c r="AU769" s="19">
        <f t="shared" ca="1" si="58"/>
        <v>2</v>
      </c>
    </row>
    <row r="770" spans="1:47" x14ac:dyDescent="0.3">
      <c r="A770" t="s">
        <v>1114</v>
      </c>
      <c r="B770" t="str">
        <f t="shared" ref="B770:B833" si="60">"S"&amp;(IF(_xlfn.ISOWEEKNUM(S770)&gt;9,_xlfn.ISOWEEKNUM(S770),_xlfn.CONCAT("0",_xlfn.ISOWEEKNUM(S770))))&amp;"_"&amp;(YEAR(S770+26-(_xlfn.ISOWEEKNUM(S770))))</f>
        <v>S30_2026</v>
      </c>
      <c r="C770" t="str">
        <f t="shared" si="57"/>
        <v>S30_2026</v>
      </c>
      <c r="F770">
        <v>10</v>
      </c>
      <c r="G770" t="s">
        <v>40</v>
      </c>
      <c r="H770" t="s">
        <v>85</v>
      </c>
      <c r="I770" t="s">
        <v>1115</v>
      </c>
      <c r="J770" t="s">
        <v>1067</v>
      </c>
      <c r="K770" t="s">
        <v>1068</v>
      </c>
      <c r="L770" t="s">
        <v>1067</v>
      </c>
      <c r="M770" t="s">
        <v>1068</v>
      </c>
      <c r="N770" t="s">
        <v>45</v>
      </c>
      <c r="O770" t="s">
        <v>45</v>
      </c>
      <c r="P770">
        <v>2</v>
      </c>
      <c r="Q770" s="7">
        <v>46228</v>
      </c>
      <c r="R770" s="7">
        <v>46229</v>
      </c>
      <c r="S770" s="7">
        <v>46229</v>
      </c>
      <c r="T770" t="s">
        <v>45</v>
      </c>
      <c r="V770" t="s">
        <v>1093</v>
      </c>
      <c r="W770" t="s">
        <v>45</v>
      </c>
      <c r="X770" t="s">
        <v>74</v>
      </c>
      <c r="Y770" t="s">
        <v>74</v>
      </c>
      <c r="Z770" t="s">
        <v>45</v>
      </c>
      <c r="AA770" s="7">
        <v>46229</v>
      </c>
      <c r="AB770" t="s">
        <v>48</v>
      </c>
      <c r="AC770" t="s">
        <v>74</v>
      </c>
      <c r="AE770" s="7">
        <v>46238</v>
      </c>
      <c r="AF770">
        <v>2</v>
      </c>
      <c r="AH770" t="s">
        <v>75</v>
      </c>
      <c r="AI770">
        <v>1</v>
      </c>
      <c r="AJ770" s="15"/>
      <c r="AK770" t="s">
        <v>74</v>
      </c>
      <c r="AL770" t="s">
        <v>1081</v>
      </c>
      <c r="AN770" t="s">
        <v>45</v>
      </c>
      <c r="AO770" t="s">
        <v>45</v>
      </c>
      <c r="AP770">
        <v>5</v>
      </c>
      <c r="AQ770" t="s">
        <v>74</v>
      </c>
      <c r="AR770" s="18" t="str">
        <f>IFERROR(VLOOKUP(K770,[1]POP!$F:$J,1,0),M770)</f>
        <v>MOKOLO</v>
      </c>
      <c r="AS770" s="18" t="str">
        <f t="shared" ref="AS770:AS833" si="61">IF(AR770=K770,J770,L770)</f>
        <v>MINAWAO</v>
      </c>
      <c r="AT770" s="19">
        <f t="shared" si="59"/>
        <v>2</v>
      </c>
      <c r="AU770" s="19">
        <f t="shared" ca="1" si="58"/>
        <v>2</v>
      </c>
    </row>
    <row r="771" spans="1:47" x14ac:dyDescent="0.3">
      <c r="A771" t="s">
        <v>1116</v>
      </c>
      <c r="B771" t="str">
        <f t="shared" si="60"/>
        <v>S31_2026</v>
      </c>
      <c r="C771" t="str">
        <f t="shared" ref="C771:C834" si="62">"S"&amp;(IF(_xlfn.ISOWEEKNUM(Q771)&gt;9,_xlfn.ISOWEEKNUM(Q771),_xlfn.CONCAT("0",_xlfn.ISOWEEKNUM(Q771))))&amp;"_"&amp;(YEAR(Q771+26-(_xlfn.ISOWEEKNUM(Q771))))</f>
        <v>S31_2026</v>
      </c>
      <c r="F771">
        <v>47</v>
      </c>
      <c r="G771" t="s">
        <v>55</v>
      </c>
      <c r="H771" t="s">
        <v>1117</v>
      </c>
      <c r="I771" t="s">
        <v>1118</v>
      </c>
      <c r="J771" t="s">
        <v>1067</v>
      </c>
      <c r="K771" t="s">
        <v>1068</v>
      </c>
      <c r="L771" t="s">
        <v>1067</v>
      </c>
      <c r="M771" t="s">
        <v>1068</v>
      </c>
      <c r="N771" t="s">
        <v>45</v>
      </c>
      <c r="O771" t="s">
        <v>74</v>
      </c>
      <c r="P771">
        <v>2</v>
      </c>
      <c r="Q771" s="7">
        <v>46230</v>
      </c>
      <c r="R771" s="7">
        <v>46230</v>
      </c>
      <c r="S771" s="7">
        <v>46230</v>
      </c>
      <c r="T771" t="s">
        <v>45</v>
      </c>
      <c r="V771" t="s">
        <v>1119</v>
      </c>
      <c r="W771" t="s">
        <v>45</v>
      </c>
      <c r="X771" t="s">
        <v>74</v>
      </c>
      <c r="Y771" t="s">
        <v>74</v>
      </c>
      <c r="Z771" t="s">
        <v>45</v>
      </c>
      <c r="AA771" s="7">
        <v>46230</v>
      </c>
      <c r="AB771" t="s">
        <v>62</v>
      </c>
      <c r="AC771" t="s">
        <v>74</v>
      </c>
      <c r="AE771" s="7">
        <v>46238</v>
      </c>
      <c r="AF771">
        <v>2</v>
      </c>
      <c r="AH771" t="s">
        <v>75</v>
      </c>
      <c r="AI771">
        <v>1</v>
      </c>
      <c r="AJ771" s="15"/>
      <c r="AK771" t="s">
        <v>45</v>
      </c>
      <c r="AN771"/>
      <c r="AO771"/>
      <c r="AP771"/>
      <c r="AQ771"/>
      <c r="AR771" s="18" t="str">
        <f>IFERROR(VLOOKUP(K771,[1]POP!$F:$J,1,0),M771)</f>
        <v>MOKOLO</v>
      </c>
      <c r="AS771" s="18" t="str">
        <f t="shared" si="61"/>
        <v>MINAWAO</v>
      </c>
      <c r="AT771" s="19">
        <f t="shared" si="59"/>
        <v>2</v>
      </c>
      <c r="AU771" s="19">
        <f t="shared" ref="AU771:AU834" ca="1" si="63">IF((TODAY() - R771)&lt;=21,1,2)</f>
        <v>2</v>
      </c>
    </row>
    <row r="772" spans="1:47" x14ac:dyDescent="0.3">
      <c r="A772" t="s">
        <v>1120</v>
      </c>
      <c r="B772" t="str">
        <f t="shared" si="60"/>
        <v>S31_2026</v>
      </c>
      <c r="C772" t="str">
        <f t="shared" si="62"/>
        <v>S31_2026</v>
      </c>
      <c r="F772">
        <v>2</v>
      </c>
      <c r="G772" t="s">
        <v>40</v>
      </c>
      <c r="H772" t="s">
        <v>85</v>
      </c>
      <c r="I772" t="s">
        <v>1121</v>
      </c>
      <c r="J772" t="s">
        <v>1067</v>
      </c>
      <c r="K772" t="s">
        <v>1068</v>
      </c>
      <c r="L772" t="s">
        <v>1067</v>
      </c>
      <c r="M772" t="s">
        <v>1068</v>
      </c>
      <c r="N772" t="s">
        <v>45</v>
      </c>
      <c r="O772" t="s">
        <v>74</v>
      </c>
      <c r="P772">
        <v>2</v>
      </c>
      <c r="Q772" s="7">
        <v>46230</v>
      </c>
      <c r="R772" s="7">
        <v>46230</v>
      </c>
      <c r="S772" s="7">
        <v>46230</v>
      </c>
      <c r="T772" t="s">
        <v>45</v>
      </c>
      <c r="V772" t="s">
        <v>1119</v>
      </c>
      <c r="W772" t="s">
        <v>45</v>
      </c>
      <c r="X772" t="s">
        <v>74</v>
      </c>
      <c r="Y772" t="s">
        <v>74</v>
      </c>
      <c r="Z772" t="s">
        <v>45</v>
      </c>
      <c r="AA772" s="7">
        <v>46230</v>
      </c>
      <c r="AB772" t="s">
        <v>48</v>
      </c>
      <c r="AC772" t="s">
        <v>45</v>
      </c>
      <c r="AD772" t="s">
        <v>1122</v>
      </c>
      <c r="AE772" s="7">
        <v>46230</v>
      </c>
      <c r="AF772">
        <v>2</v>
      </c>
      <c r="AH772" t="s">
        <v>75</v>
      </c>
      <c r="AI772">
        <v>1</v>
      </c>
      <c r="AJ772" s="15"/>
      <c r="AK772" t="s">
        <v>74</v>
      </c>
      <c r="AN772"/>
      <c r="AO772"/>
      <c r="AP772"/>
      <c r="AQ772"/>
      <c r="AR772" s="18" t="str">
        <f>IFERROR(VLOOKUP(K772,[1]POP!$F:$J,1,0),M772)</f>
        <v>MOKOLO</v>
      </c>
      <c r="AS772" s="18" t="str">
        <f t="shared" si="61"/>
        <v>MINAWAO</v>
      </c>
      <c r="AT772" s="19">
        <f t="shared" ref="AT772:AT835" si="64">IF($AI:$AI=2,3,IF($AI:$AI=3,3,IF($AI:$AI=4,3,IF($AI:$AI=1,2,0))))</f>
        <v>2</v>
      </c>
      <c r="AU772" s="19">
        <f t="shared" ca="1" si="63"/>
        <v>2</v>
      </c>
    </row>
    <row r="773" spans="1:47" x14ac:dyDescent="0.3">
      <c r="A773" t="s">
        <v>1123</v>
      </c>
      <c r="B773" t="str">
        <f t="shared" si="60"/>
        <v>S31_2026</v>
      </c>
      <c r="C773" t="str">
        <f t="shared" si="62"/>
        <v>S31_2026</v>
      </c>
      <c r="F773">
        <v>1</v>
      </c>
      <c r="G773" t="s">
        <v>40</v>
      </c>
      <c r="H773" t="s">
        <v>85</v>
      </c>
      <c r="I773" t="s">
        <v>1124</v>
      </c>
      <c r="J773" t="s">
        <v>1067</v>
      </c>
      <c r="K773" t="s">
        <v>1068</v>
      </c>
      <c r="L773" t="s">
        <v>1067</v>
      </c>
      <c r="M773" t="s">
        <v>1068</v>
      </c>
      <c r="N773" t="s">
        <v>45</v>
      </c>
      <c r="O773" t="s">
        <v>74</v>
      </c>
      <c r="P773">
        <v>2</v>
      </c>
      <c r="Q773" s="7">
        <v>46230</v>
      </c>
      <c r="R773" s="7">
        <v>46230</v>
      </c>
      <c r="S773" s="7">
        <v>46230</v>
      </c>
      <c r="T773" t="s">
        <v>45</v>
      </c>
      <c r="V773" t="s">
        <v>1119</v>
      </c>
      <c r="W773" t="s">
        <v>45</v>
      </c>
      <c r="X773" t="s">
        <v>74</v>
      </c>
      <c r="Y773" t="s">
        <v>45</v>
      </c>
      <c r="Z773" t="s">
        <v>45</v>
      </c>
      <c r="AA773" s="7">
        <v>46230</v>
      </c>
      <c r="AB773" t="s">
        <v>48</v>
      </c>
      <c r="AC773" t="s">
        <v>74</v>
      </c>
      <c r="AE773" s="7">
        <v>46238</v>
      </c>
      <c r="AF773">
        <v>2</v>
      </c>
      <c r="AH773" t="s">
        <v>75</v>
      </c>
      <c r="AI773">
        <v>1</v>
      </c>
      <c r="AJ773" s="15"/>
      <c r="AK773" t="s">
        <v>74</v>
      </c>
      <c r="AN773"/>
      <c r="AO773"/>
      <c r="AP773"/>
      <c r="AQ773"/>
      <c r="AR773" s="18" t="str">
        <f>IFERROR(VLOOKUP(K773,[1]POP!$F:$J,1,0),M773)</f>
        <v>MOKOLO</v>
      </c>
      <c r="AS773" s="18" t="str">
        <f t="shared" si="61"/>
        <v>MINAWAO</v>
      </c>
      <c r="AT773" s="19">
        <f t="shared" si="64"/>
        <v>2</v>
      </c>
      <c r="AU773" s="19">
        <f t="shared" ca="1" si="63"/>
        <v>2</v>
      </c>
    </row>
    <row r="774" spans="1:47" x14ac:dyDescent="0.3">
      <c r="A774" t="s">
        <v>1125</v>
      </c>
      <c r="B774" t="str">
        <f t="shared" si="60"/>
        <v>S31_2026</v>
      </c>
      <c r="C774" t="str">
        <f t="shared" si="62"/>
        <v>S31_2026</v>
      </c>
      <c r="F774">
        <v>5</v>
      </c>
      <c r="G774" t="s">
        <v>40</v>
      </c>
      <c r="H774" t="s">
        <v>85</v>
      </c>
      <c r="I774" t="s">
        <v>1126</v>
      </c>
      <c r="J774" t="s">
        <v>1067</v>
      </c>
      <c r="K774" t="s">
        <v>1068</v>
      </c>
      <c r="L774" t="s">
        <v>1067</v>
      </c>
      <c r="M774" t="s">
        <v>1068</v>
      </c>
      <c r="N774" t="s">
        <v>45</v>
      </c>
      <c r="O774" t="s">
        <v>74</v>
      </c>
      <c r="P774">
        <v>2</v>
      </c>
      <c r="Q774" s="7">
        <v>46230</v>
      </c>
      <c r="R774" s="7">
        <v>46230</v>
      </c>
      <c r="S774" s="7">
        <v>46230</v>
      </c>
      <c r="T774" t="s">
        <v>45</v>
      </c>
      <c r="V774" t="s">
        <v>1119</v>
      </c>
      <c r="W774" t="s">
        <v>45</v>
      </c>
      <c r="X774" t="s">
        <v>45</v>
      </c>
      <c r="Y774" t="s">
        <v>45</v>
      </c>
      <c r="Z774" t="s">
        <v>45</v>
      </c>
      <c r="AC774" t="s">
        <v>74</v>
      </c>
      <c r="AE774" s="7">
        <v>46238</v>
      </c>
      <c r="AF774">
        <v>2</v>
      </c>
      <c r="AH774" t="s">
        <v>75</v>
      </c>
      <c r="AI774">
        <v>1</v>
      </c>
      <c r="AJ774" s="15"/>
      <c r="AK774" t="s">
        <v>74</v>
      </c>
      <c r="AN774"/>
      <c r="AO774"/>
      <c r="AP774"/>
      <c r="AQ774"/>
      <c r="AR774" s="18" t="str">
        <f>IFERROR(VLOOKUP(K774,[1]POP!$F:$J,1,0),M774)</f>
        <v>MOKOLO</v>
      </c>
      <c r="AS774" s="18" t="str">
        <f t="shared" si="61"/>
        <v>MINAWAO</v>
      </c>
      <c r="AT774" s="19">
        <f t="shared" si="64"/>
        <v>2</v>
      </c>
      <c r="AU774" s="19">
        <f t="shared" ca="1" si="63"/>
        <v>2</v>
      </c>
    </row>
    <row r="775" spans="1:47" x14ac:dyDescent="0.3">
      <c r="A775" t="s">
        <v>1127</v>
      </c>
      <c r="B775" t="str">
        <f t="shared" si="60"/>
        <v>S31_2026</v>
      </c>
      <c r="C775" t="str">
        <f t="shared" si="62"/>
        <v>S31_2026</v>
      </c>
      <c r="F775">
        <v>5</v>
      </c>
      <c r="G775" t="s">
        <v>40</v>
      </c>
      <c r="H775" t="s">
        <v>85</v>
      </c>
      <c r="I775" t="s">
        <v>1128</v>
      </c>
      <c r="J775" t="s">
        <v>1067</v>
      </c>
      <c r="K775" t="s">
        <v>1068</v>
      </c>
      <c r="L775" t="s">
        <v>1067</v>
      </c>
      <c r="M775" t="s">
        <v>1068</v>
      </c>
      <c r="N775" t="s">
        <v>45</v>
      </c>
      <c r="O775" t="s">
        <v>74</v>
      </c>
      <c r="P775">
        <v>2</v>
      </c>
      <c r="Q775" s="7">
        <v>46230</v>
      </c>
      <c r="R775" s="7">
        <v>46230</v>
      </c>
      <c r="S775" s="7">
        <v>46230</v>
      </c>
      <c r="T775" t="s">
        <v>45</v>
      </c>
      <c r="V775" t="s">
        <v>1119</v>
      </c>
      <c r="W775" t="s">
        <v>45</v>
      </c>
      <c r="X775" t="s">
        <v>45</v>
      </c>
      <c r="Y775" t="s">
        <v>45</v>
      </c>
      <c r="Z775" t="s">
        <v>45</v>
      </c>
      <c r="AC775" t="s">
        <v>74</v>
      </c>
      <c r="AE775" s="7">
        <v>46238</v>
      </c>
      <c r="AF775">
        <v>2</v>
      </c>
      <c r="AH775" t="s">
        <v>75</v>
      </c>
      <c r="AI775">
        <v>1</v>
      </c>
      <c r="AJ775" s="15"/>
      <c r="AK775" t="s">
        <v>74</v>
      </c>
      <c r="AN775"/>
      <c r="AO775"/>
      <c r="AP775"/>
      <c r="AQ775"/>
      <c r="AR775" s="18" t="str">
        <f>IFERROR(VLOOKUP(K775,[1]POP!$F:$J,1,0),M775)</f>
        <v>MOKOLO</v>
      </c>
      <c r="AS775" s="18" t="str">
        <f t="shared" si="61"/>
        <v>MINAWAO</v>
      </c>
      <c r="AT775" s="19">
        <f t="shared" si="64"/>
        <v>2</v>
      </c>
      <c r="AU775" s="19">
        <f t="shared" ca="1" si="63"/>
        <v>2</v>
      </c>
    </row>
    <row r="776" spans="1:47" x14ac:dyDescent="0.3">
      <c r="A776" t="s">
        <v>1129</v>
      </c>
      <c r="B776" t="str">
        <f t="shared" si="60"/>
        <v>S31_2026</v>
      </c>
      <c r="C776" t="str">
        <f t="shared" si="62"/>
        <v>S31_2026</v>
      </c>
      <c r="F776">
        <v>1</v>
      </c>
      <c r="G776" t="s">
        <v>55</v>
      </c>
      <c r="H776" t="s">
        <v>85</v>
      </c>
      <c r="I776" t="s">
        <v>1130</v>
      </c>
      <c r="J776" t="s">
        <v>1067</v>
      </c>
      <c r="K776" t="s">
        <v>1068</v>
      </c>
      <c r="L776" t="s">
        <v>1067</v>
      </c>
      <c r="M776" t="s">
        <v>1068</v>
      </c>
      <c r="N776" t="s">
        <v>45</v>
      </c>
      <c r="O776" t="s">
        <v>74</v>
      </c>
      <c r="P776">
        <v>2</v>
      </c>
      <c r="Q776" s="7">
        <v>46231</v>
      </c>
      <c r="R776" s="7">
        <v>46231</v>
      </c>
      <c r="S776" s="7">
        <v>46231</v>
      </c>
      <c r="T776" t="s">
        <v>45</v>
      </c>
      <c r="V776" t="s">
        <v>1119</v>
      </c>
      <c r="W776" t="s">
        <v>45</v>
      </c>
      <c r="X776" t="s">
        <v>45</v>
      </c>
      <c r="Y776" t="s">
        <v>45</v>
      </c>
      <c r="Z776" t="s">
        <v>45</v>
      </c>
      <c r="AC776" t="s">
        <v>74</v>
      </c>
      <c r="AE776" s="7">
        <v>46239</v>
      </c>
      <c r="AF776">
        <v>2</v>
      </c>
      <c r="AH776" t="s">
        <v>75</v>
      </c>
      <c r="AI776">
        <v>1</v>
      </c>
      <c r="AJ776" s="15"/>
      <c r="AK776" t="s">
        <v>74</v>
      </c>
      <c r="AN776"/>
      <c r="AO776"/>
      <c r="AP776"/>
      <c r="AQ776"/>
      <c r="AR776" s="18" t="str">
        <f>IFERROR(VLOOKUP(K776,[1]POP!$F:$J,1,0),M776)</f>
        <v>MOKOLO</v>
      </c>
      <c r="AS776" s="18" t="str">
        <f t="shared" si="61"/>
        <v>MINAWAO</v>
      </c>
      <c r="AT776" s="19">
        <f t="shared" si="64"/>
        <v>2</v>
      </c>
      <c r="AU776" s="19">
        <f t="shared" ca="1" si="63"/>
        <v>2</v>
      </c>
    </row>
    <row r="777" spans="1:47" x14ac:dyDescent="0.3">
      <c r="A777" t="s">
        <v>1131</v>
      </c>
      <c r="B777" t="str">
        <f t="shared" si="60"/>
        <v>S31_2026</v>
      </c>
      <c r="C777" t="str">
        <f t="shared" si="62"/>
        <v>S31_2026</v>
      </c>
      <c r="F777">
        <v>1</v>
      </c>
      <c r="G777" t="s">
        <v>40</v>
      </c>
      <c r="H777" t="s">
        <v>85</v>
      </c>
      <c r="I777" t="s">
        <v>1132</v>
      </c>
      <c r="J777" t="s">
        <v>1067</v>
      </c>
      <c r="K777" t="s">
        <v>1068</v>
      </c>
      <c r="L777" t="s">
        <v>1067</v>
      </c>
      <c r="M777" t="s">
        <v>1068</v>
      </c>
      <c r="N777" t="s">
        <v>45</v>
      </c>
      <c r="O777" t="s">
        <v>74</v>
      </c>
      <c r="P777">
        <v>2</v>
      </c>
      <c r="Q777" s="7">
        <v>46231</v>
      </c>
      <c r="R777" s="7">
        <v>46231</v>
      </c>
      <c r="S777" s="7">
        <v>46231</v>
      </c>
      <c r="T777" t="s">
        <v>45</v>
      </c>
      <c r="V777" t="s">
        <v>1119</v>
      </c>
      <c r="W777" t="s">
        <v>45</v>
      </c>
      <c r="X777" t="s">
        <v>45</v>
      </c>
      <c r="Y777" t="s">
        <v>45</v>
      </c>
      <c r="Z777" t="s">
        <v>45</v>
      </c>
      <c r="AA777" s="7">
        <v>46231</v>
      </c>
      <c r="AB777" t="s">
        <v>48</v>
      </c>
      <c r="AC777" t="s">
        <v>74</v>
      </c>
      <c r="AE777" s="7">
        <v>46239</v>
      </c>
      <c r="AF777">
        <v>2</v>
      </c>
      <c r="AH777" t="s">
        <v>75</v>
      </c>
      <c r="AI777">
        <v>1</v>
      </c>
      <c r="AJ777" s="15"/>
      <c r="AK777" t="s">
        <v>74</v>
      </c>
      <c r="AN777"/>
      <c r="AO777"/>
      <c r="AP777"/>
      <c r="AQ777"/>
      <c r="AR777" s="18" t="str">
        <f>IFERROR(VLOOKUP(K777,[1]POP!$F:$J,1,0),M777)</f>
        <v>MOKOLO</v>
      </c>
      <c r="AS777" s="18" t="str">
        <f t="shared" si="61"/>
        <v>MINAWAO</v>
      </c>
      <c r="AT777" s="19">
        <f t="shared" si="64"/>
        <v>2</v>
      </c>
      <c r="AU777" s="19">
        <f t="shared" ca="1" si="63"/>
        <v>2</v>
      </c>
    </row>
    <row r="778" spans="1:47" x14ac:dyDescent="0.3">
      <c r="A778" t="s">
        <v>1133</v>
      </c>
      <c r="B778" t="str">
        <f t="shared" si="60"/>
        <v>S31_2026</v>
      </c>
      <c r="C778" t="str">
        <f t="shared" si="62"/>
        <v>S31_2026</v>
      </c>
      <c r="F778">
        <v>31</v>
      </c>
      <c r="G778" t="s">
        <v>40</v>
      </c>
      <c r="H778" t="s">
        <v>77</v>
      </c>
      <c r="I778" t="s">
        <v>1134</v>
      </c>
      <c r="J778" t="s">
        <v>1067</v>
      </c>
      <c r="K778" t="s">
        <v>1068</v>
      </c>
      <c r="L778" t="s">
        <v>1067</v>
      </c>
      <c r="M778" t="s">
        <v>1068</v>
      </c>
      <c r="N778" t="s">
        <v>45</v>
      </c>
      <c r="O778" t="s">
        <v>74</v>
      </c>
      <c r="P778">
        <v>2</v>
      </c>
      <c r="Q778" s="7">
        <v>46231</v>
      </c>
      <c r="R778" s="7">
        <v>46231</v>
      </c>
      <c r="S778" s="7">
        <v>46231</v>
      </c>
      <c r="T778" t="s">
        <v>45</v>
      </c>
      <c r="V778" t="s">
        <v>1119</v>
      </c>
      <c r="W778" t="s">
        <v>45</v>
      </c>
      <c r="X778" t="s">
        <v>45</v>
      </c>
      <c r="Y778" t="s">
        <v>45</v>
      </c>
      <c r="Z778" t="s">
        <v>45</v>
      </c>
      <c r="AA778" s="7">
        <v>46231</v>
      </c>
      <c r="AB778" t="s">
        <v>62</v>
      </c>
      <c r="AC778" t="s">
        <v>74</v>
      </c>
      <c r="AE778" s="7">
        <v>46238</v>
      </c>
      <c r="AF778">
        <v>2</v>
      </c>
      <c r="AH778" t="s">
        <v>75</v>
      </c>
      <c r="AI778">
        <v>1</v>
      </c>
      <c r="AJ778" s="15"/>
      <c r="AK778" t="s">
        <v>74</v>
      </c>
      <c r="AN778"/>
      <c r="AO778"/>
      <c r="AP778"/>
      <c r="AQ778"/>
      <c r="AR778" s="18" t="str">
        <f>IFERROR(VLOOKUP(K778,[1]POP!$F:$J,1,0),M778)</f>
        <v>MOKOLO</v>
      </c>
      <c r="AS778" s="18" t="str">
        <f t="shared" si="61"/>
        <v>MINAWAO</v>
      </c>
      <c r="AT778" s="19">
        <f t="shared" si="64"/>
        <v>2</v>
      </c>
      <c r="AU778" s="19">
        <f t="shared" ca="1" si="63"/>
        <v>2</v>
      </c>
    </row>
    <row r="779" spans="1:47" x14ac:dyDescent="0.3">
      <c r="A779" t="s">
        <v>1135</v>
      </c>
      <c r="B779" t="str">
        <f t="shared" si="60"/>
        <v>S31_2026</v>
      </c>
      <c r="C779" t="str">
        <f t="shared" si="62"/>
        <v>S31_2026</v>
      </c>
      <c r="F779">
        <v>1</v>
      </c>
      <c r="G779" t="s">
        <v>40</v>
      </c>
      <c r="H779" t="s">
        <v>85</v>
      </c>
      <c r="I779" t="s">
        <v>1136</v>
      </c>
      <c r="J779" t="s">
        <v>1067</v>
      </c>
      <c r="K779" t="s">
        <v>1068</v>
      </c>
      <c r="L779" t="s">
        <v>1067</v>
      </c>
      <c r="M779" t="s">
        <v>1068</v>
      </c>
      <c r="N779" t="s">
        <v>45</v>
      </c>
      <c r="O779" t="s">
        <v>74</v>
      </c>
      <c r="P779">
        <v>2</v>
      </c>
      <c r="Q779" s="7">
        <v>46231</v>
      </c>
      <c r="R779" s="7">
        <v>46231</v>
      </c>
      <c r="S779" s="7">
        <v>46231</v>
      </c>
      <c r="T779" t="s">
        <v>45</v>
      </c>
      <c r="V779" t="s">
        <v>1119</v>
      </c>
      <c r="W779" t="s">
        <v>45</v>
      </c>
      <c r="X779" t="s">
        <v>45</v>
      </c>
      <c r="Y779" t="s">
        <v>45</v>
      </c>
      <c r="Z779" t="s">
        <v>45</v>
      </c>
      <c r="AA779" s="7">
        <v>46231</v>
      </c>
      <c r="AB779" t="s">
        <v>62</v>
      </c>
      <c r="AC779" t="s">
        <v>74</v>
      </c>
      <c r="AE779" s="7">
        <v>46238</v>
      </c>
      <c r="AF779">
        <v>2</v>
      </c>
      <c r="AH779" t="s">
        <v>75</v>
      </c>
      <c r="AI779">
        <v>1</v>
      </c>
      <c r="AJ779" s="15"/>
      <c r="AK779" t="s">
        <v>74</v>
      </c>
      <c r="AN779"/>
      <c r="AO779"/>
      <c r="AP779"/>
      <c r="AQ779"/>
      <c r="AR779" s="18" t="str">
        <f>IFERROR(VLOOKUP(K779,[1]POP!$F:$J,1,0),M779)</f>
        <v>MOKOLO</v>
      </c>
      <c r="AS779" s="18" t="str">
        <f t="shared" si="61"/>
        <v>MINAWAO</v>
      </c>
      <c r="AT779" s="19">
        <f t="shared" si="64"/>
        <v>2</v>
      </c>
      <c r="AU779" s="19">
        <f t="shared" ca="1" si="63"/>
        <v>2</v>
      </c>
    </row>
    <row r="780" spans="1:47" x14ac:dyDescent="0.3">
      <c r="A780" t="s">
        <v>1137</v>
      </c>
      <c r="B780" t="str">
        <f t="shared" si="60"/>
        <v>S31_2026</v>
      </c>
      <c r="C780" t="str">
        <f t="shared" si="62"/>
        <v>S31_2026</v>
      </c>
      <c r="F780">
        <v>1</v>
      </c>
      <c r="G780" t="s">
        <v>55</v>
      </c>
      <c r="H780" t="s">
        <v>85</v>
      </c>
      <c r="I780" t="s">
        <v>1138</v>
      </c>
      <c r="J780" t="s">
        <v>1067</v>
      </c>
      <c r="K780" t="s">
        <v>1068</v>
      </c>
      <c r="L780" t="s">
        <v>1067</v>
      </c>
      <c r="M780" t="s">
        <v>1068</v>
      </c>
      <c r="N780" t="s">
        <v>45</v>
      </c>
      <c r="O780" t="s">
        <v>74</v>
      </c>
      <c r="P780">
        <v>2</v>
      </c>
      <c r="Q780" s="7">
        <v>46231</v>
      </c>
      <c r="R780" s="7">
        <v>46231</v>
      </c>
      <c r="S780" s="7">
        <v>46231</v>
      </c>
      <c r="T780" t="s">
        <v>45</v>
      </c>
      <c r="V780" t="s">
        <v>1119</v>
      </c>
      <c r="W780" t="s">
        <v>45</v>
      </c>
      <c r="X780" t="s">
        <v>45</v>
      </c>
      <c r="Y780" t="s">
        <v>45</v>
      </c>
      <c r="Z780" t="s">
        <v>45</v>
      </c>
      <c r="AA780" s="7">
        <v>46231</v>
      </c>
      <c r="AB780" t="s">
        <v>62</v>
      </c>
      <c r="AC780" t="s">
        <v>74</v>
      </c>
      <c r="AE780" s="7">
        <v>46238</v>
      </c>
      <c r="AF780">
        <v>2</v>
      </c>
      <c r="AH780" t="s">
        <v>75</v>
      </c>
      <c r="AI780">
        <v>1</v>
      </c>
      <c r="AJ780" s="15"/>
      <c r="AK780" t="s">
        <v>74</v>
      </c>
      <c r="AN780"/>
      <c r="AO780"/>
      <c r="AP780"/>
      <c r="AQ780"/>
      <c r="AR780" s="18" t="str">
        <f>IFERROR(VLOOKUP(K780,[1]POP!$F:$J,1,0),M780)</f>
        <v>MOKOLO</v>
      </c>
      <c r="AS780" s="18" t="str">
        <f t="shared" si="61"/>
        <v>MINAWAO</v>
      </c>
      <c r="AT780" s="19">
        <f t="shared" si="64"/>
        <v>2</v>
      </c>
      <c r="AU780" s="19">
        <f t="shared" ca="1" si="63"/>
        <v>2</v>
      </c>
    </row>
    <row r="781" spans="1:47" x14ac:dyDescent="0.3">
      <c r="A781" t="s">
        <v>1139</v>
      </c>
      <c r="B781" t="str">
        <f t="shared" si="60"/>
        <v>S30_2026</v>
      </c>
      <c r="C781" t="str">
        <f t="shared" si="62"/>
        <v>S30_2026</v>
      </c>
      <c r="F781">
        <v>2</v>
      </c>
      <c r="G781" t="s">
        <v>40</v>
      </c>
      <c r="I781" t="s">
        <v>507</v>
      </c>
      <c r="J781" t="s">
        <v>166</v>
      </c>
      <c r="K781" t="s">
        <v>124</v>
      </c>
      <c r="L781" t="s">
        <v>166</v>
      </c>
      <c r="M781" t="s">
        <v>124</v>
      </c>
      <c r="N781" t="s">
        <v>45</v>
      </c>
      <c r="O781" t="s">
        <v>45</v>
      </c>
      <c r="P781">
        <v>3</v>
      </c>
      <c r="Q781" s="7">
        <v>46228</v>
      </c>
      <c r="R781" s="7">
        <v>46229</v>
      </c>
      <c r="S781" s="7">
        <v>46229</v>
      </c>
      <c r="T781" t="s">
        <v>45</v>
      </c>
      <c r="V781" t="s">
        <v>167</v>
      </c>
      <c r="W781" t="s">
        <v>45</v>
      </c>
      <c r="X781" t="s">
        <v>45</v>
      </c>
      <c r="Y781" t="s">
        <v>45</v>
      </c>
      <c r="Z781" t="s">
        <v>45</v>
      </c>
      <c r="AF781">
        <v>2</v>
      </c>
      <c r="AH781" t="s">
        <v>75</v>
      </c>
      <c r="AI781">
        <v>1</v>
      </c>
      <c r="AJ781" s="15"/>
      <c r="AN781"/>
      <c r="AO781"/>
      <c r="AP781"/>
      <c r="AQ781"/>
      <c r="AR781" s="18" t="str">
        <f>IFERROR(VLOOKUP(K781,[1]POP!$F:$J,1,0),M781)</f>
        <v>MADA</v>
      </c>
      <c r="AS781" s="18" t="str">
        <f t="shared" si="61"/>
        <v>BARGARAM</v>
      </c>
      <c r="AT781" s="19">
        <f t="shared" si="64"/>
        <v>2</v>
      </c>
      <c r="AU781" s="19">
        <f t="shared" ca="1" si="63"/>
        <v>2</v>
      </c>
    </row>
    <row r="782" spans="1:47" x14ac:dyDescent="0.3">
      <c r="A782" t="s">
        <v>1140</v>
      </c>
      <c r="B782" t="str">
        <f t="shared" si="60"/>
        <v>S30_2026</v>
      </c>
      <c r="C782" t="str">
        <f t="shared" si="62"/>
        <v>S30_2026</v>
      </c>
      <c r="F782">
        <v>5</v>
      </c>
      <c r="G782" t="s">
        <v>40</v>
      </c>
      <c r="I782" t="s">
        <v>507</v>
      </c>
      <c r="J782" t="s">
        <v>166</v>
      </c>
      <c r="K782" t="s">
        <v>124</v>
      </c>
      <c r="L782" t="s">
        <v>166</v>
      </c>
      <c r="M782" t="s">
        <v>124</v>
      </c>
      <c r="N782" t="s">
        <v>45</v>
      </c>
      <c r="O782" t="s">
        <v>45</v>
      </c>
      <c r="P782">
        <v>3</v>
      </c>
      <c r="Q782" s="7">
        <v>46228</v>
      </c>
      <c r="R782" s="7">
        <v>46229</v>
      </c>
      <c r="S782" s="7">
        <v>46229</v>
      </c>
      <c r="T782" t="s">
        <v>45</v>
      </c>
      <c r="V782" t="s">
        <v>167</v>
      </c>
      <c r="W782" t="s">
        <v>45</v>
      </c>
      <c r="X782" t="s">
        <v>45</v>
      </c>
      <c r="Y782" t="s">
        <v>45</v>
      </c>
      <c r="Z782" t="s">
        <v>45</v>
      </c>
      <c r="AF782">
        <v>2</v>
      </c>
      <c r="AH782" t="s">
        <v>75</v>
      </c>
      <c r="AI782">
        <v>1</v>
      </c>
      <c r="AJ782" s="15"/>
      <c r="AN782"/>
      <c r="AO782"/>
      <c r="AP782"/>
      <c r="AQ782"/>
      <c r="AR782" s="18" t="str">
        <f>IFERROR(VLOOKUP(K782,[1]POP!$F:$J,1,0),M782)</f>
        <v>MADA</v>
      </c>
      <c r="AS782" s="18" t="str">
        <f t="shared" si="61"/>
        <v>BARGARAM</v>
      </c>
      <c r="AT782" s="19">
        <f t="shared" si="64"/>
        <v>2</v>
      </c>
      <c r="AU782" s="19">
        <f t="shared" ca="1" si="63"/>
        <v>2</v>
      </c>
    </row>
    <row r="783" spans="1:47" x14ac:dyDescent="0.3">
      <c r="A783" t="s">
        <v>1141</v>
      </c>
      <c r="B783" t="str">
        <f t="shared" si="60"/>
        <v>S30_2026</v>
      </c>
      <c r="C783" t="str">
        <f t="shared" si="62"/>
        <v>S30_2026</v>
      </c>
      <c r="F783">
        <v>3</v>
      </c>
      <c r="G783" t="s">
        <v>40</v>
      </c>
      <c r="I783" t="s">
        <v>505</v>
      </c>
      <c r="J783" t="s">
        <v>166</v>
      </c>
      <c r="K783" t="s">
        <v>124</v>
      </c>
      <c r="L783" t="s">
        <v>166</v>
      </c>
      <c r="M783" t="s">
        <v>124</v>
      </c>
      <c r="N783" t="s">
        <v>45</v>
      </c>
      <c r="O783" t="s">
        <v>45</v>
      </c>
      <c r="P783">
        <v>3</v>
      </c>
      <c r="Q783" s="7">
        <v>46228</v>
      </c>
      <c r="R783" s="7">
        <v>46229</v>
      </c>
      <c r="S783" s="7">
        <v>46229</v>
      </c>
      <c r="T783" t="s">
        <v>45</v>
      </c>
      <c r="V783" t="s">
        <v>167</v>
      </c>
      <c r="W783" t="s">
        <v>45</v>
      </c>
      <c r="X783" t="s">
        <v>45</v>
      </c>
      <c r="Y783" t="s">
        <v>45</v>
      </c>
      <c r="Z783" t="s">
        <v>45</v>
      </c>
      <c r="AF783">
        <v>2</v>
      </c>
      <c r="AH783" t="s">
        <v>75</v>
      </c>
      <c r="AI783">
        <v>1</v>
      </c>
      <c r="AJ783" s="15"/>
      <c r="AN783"/>
      <c r="AO783"/>
      <c r="AP783"/>
      <c r="AQ783"/>
      <c r="AR783" s="18" t="str">
        <f>IFERROR(VLOOKUP(K783,[1]POP!$F:$J,1,0),M783)</f>
        <v>MADA</v>
      </c>
      <c r="AS783" s="18" t="str">
        <f t="shared" si="61"/>
        <v>BARGARAM</v>
      </c>
      <c r="AT783" s="19">
        <f t="shared" si="64"/>
        <v>2</v>
      </c>
      <c r="AU783" s="19">
        <f t="shared" ca="1" si="63"/>
        <v>2</v>
      </c>
    </row>
    <row r="784" spans="1:47" x14ac:dyDescent="0.3">
      <c r="A784" t="s">
        <v>1142</v>
      </c>
      <c r="B784" t="str">
        <f t="shared" si="60"/>
        <v>S30_2026</v>
      </c>
      <c r="C784" t="str">
        <f t="shared" si="62"/>
        <v>S30_2026</v>
      </c>
      <c r="F784">
        <v>17</v>
      </c>
      <c r="G784" t="s">
        <v>55</v>
      </c>
      <c r="I784" t="s">
        <v>505</v>
      </c>
      <c r="J784" t="s">
        <v>166</v>
      </c>
      <c r="K784" t="s">
        <v>124</v>
      </c>
      <c r="L784" t="s">
        <v>166</v>
      </c>
      <c r="M784" t="s">
        <v>124</v>
      </c>
      <c r="N784" t="s">
        <v>45</v>
      </c>
      <c r="O784" t="s">
        <v>45</v>
      </c>
      <c r="P784">
        <v>3</v>
      </c>
      <c r="Q784" s="7">
        <v>46228</v>
      </c>
      <c r="R784" s="7">
        <v>46229</v>
      </c>
      <c r="S784" s="7">
        <v>46229</v>
      </c>
      <c r="T784" t="s">
        <v>45</v>
      </c>
      <c r="V784" t="s">
        <v>167</v>
      </c>
      <c r="W784" t="s">
        <v>45</v>
      </c>
      <c r="X784" t="s">
        <v>45</v>
      </c>
      <c r="Y784" t="s">
        <v>45</v>
      </c>
      <c r="Z784" t="s">
        <v>45</v>
      </c>
      <c r="AF784">
        <v>2</v>
      </c>
      <c r="AH784" t="s">
        <v>75</v>
      </c>
      <c r="AI784">
        <v>1</v>
      </c>
      <c r="AJ784" s="15"/>
      <c r="AN784"/>
      <c r="AO784"/>
      <c r="AP784"/>
      <c r="AQ784"/>
      <c r="AR784" s="18" t="str">
        <f>IFERROR(VLOOKUP(K784,[1]POP!$F:$J,1,0),M784)</f>
        <v>MADA</v>
      </c>
      <c r="AS784" s="18" t="str">
        <f t="shared" si="61"/>
        <v>BARGARAM</v>
      </c>
      <c r="AT784" s="19">
        <f t="shared" si="64"/>
        <v>2</v>
      </c>
      <c r="AU784" s="19">
        <f t="shared" ca="1" si="63"/>
        <v>2</v>
      </c>
    </row>
    <row r="785" spans="1:47" x14ac:dyDescent="0.3">
      <c r="A785" t="s">
        <v>1143</v>
      </c>
      <c r="B785" t="str">
        <f t="shared" si="60"/>
        <v>S30_2026</v>
      </c>
      <c r="C785" t="str">
        <f t="shared" si="62"/>
        <v>S30_2026</v>
      </c>
      <c r="F785">
        <v>31</v>
      </c>
      <c r="G785" t="s">
        <v>55</v>
      </c>
      <c r="I785" t="s">
        <v>505</v>
      </c>
      <c r="J785" t="s">
        <v>166</v>
      </c>
      <c r="K785" t="s">
        <v>124</v>
      </c>
      <c r="L785" t="s">
        <v>166</v>
      </c>
      <c r="M785" t="s">
        <v>124</v>
      </c>
      <c r="N785" t="s">
        <v>45</v>
      </c>
      <c r="O785" t="s">
        <v>45</v>
      </c>
      <c r="P785">
        <v>3</v>
      </c>
      <c r="Q785" s="7">
        <v>46228</v>
      </c>
      <c r="R785" s="7">
        <v>46229</v>
      </c>
      <c r="S785" s="7">
        <v>46229</v>
      </c>
      <c r="T785" t="s">
        <v>45</v>
      </c>
      <c r="V785" t="s">
        <v>167</v>
      </c>
      <c r="W785" t="s">
        <v>45</v>
      </c>
      <c r="X785" t="s">
        <v>45</v>
      </c>
      <c r="Y785" t="s">
        <v>45</v>
      </c>
      <c r="Z785" t="s">
        <v>45</v>
      </c>
      <c r="AF785">
        <v>2</v>
      </c>
      <c r="AH785" t="s">
        <v>75</v>
      </c>
      <c r="AI785">
        <v>1</v>
      </c>
      <c r="AJ785" s="15"/>
      <c r="AN785"/>
      <c r="AO785"/>
      <c r="AP785"/>
      <c r="AQ785"/>
      <c r="AR785" s="18" t="str">
        <f>IFERROR(VLOOKUP(K785,[1]POP!$F:$J,1,0),M785)</f>
        <v>MADA</v>
      </c>
      <c r="AS785" s="18" t="str">
        <f t="shared" si="61"/>
        <v>BARGARAM</v>
      </c>
      <c r="AT785" s="19">
        <f t="shared" si="64"/>
        <v>2</v>
      </c>
      <c r="AU785" s="19">
        <f t="shared" ca="1" si="63"/>
        <v>2</v>
      </c>
    </row>
    <row r="786" spans="1:47" x14ac:dyDescent="0.3">
      <c r="A786" t="s">
        <v>1144</v>
      </c>
      <c r="B786" t="str">
        <f t="shared" si="60"/>
        <v>S30_2026</v>
      </c>
      <c r="C786" t="str">
        <f t="shared" si="62"/>
        <v>S30_2026</v>
      </c>
      <c r="F786">
        <v>13</v>
      </c>
      <c r="G786" t="s">
        <v>40</v>
      </c>
      <c r="I786" t="s">
        <v>505</v>
      </c>
      <c r="J786" t="s">
        <v>166</v>
      </c>
      <c r="K786" t="s">
        <v>124</v>
      </c>
      <c r="L786" t="s">
        <v>166</v>
      </c>
      <c r="M786" t="s">
        <v>124</v>
      </c>
      <c r="N786" t="s">
        <v>45</v>
      </c>
      <c r="O786" t="s">
        <v>45</v>
      </c>
      <c r="P786">
        <v>3</v>
      </c>
      <c r="Q786" s="7">
        <v>46228</v>
      </c>
      <c r="R786" s="7">
        <v>46229</v>
      </c>
      <c r="S786" s="7">
        <v>46229</v>
      </c>
      <c r="T786" t="s">
        <v>45</v>
      </c>
      <c r="V786" t="s">
        <v>167</v>
      </c>
      <c r="W786" t="s">
        <v>45</v>
      </c>
      <c r="X786" t="s">
        <v>45</v>
      </c>
      <c r="Y786" t="s">
        <v>45</v>
      </c>
      <c r="Z786" t="s">
        <v>45</v>
      </c>
      <c r="AF786">
        <v>2</v>
      </c>
      <c r="AH786" t="s">
        <v>75</v>
      </c>
      <c r="AI786">
        <v>1</v>
      </c>
      <c r="AJ786" s="15"/>
      <c r="AN786"/>
      <c r="AO786"/>
      <c r="AP786"/>
      <c r="AQ786"/>
      <c r="AR786" s="18" t="str">
        <f>IFERROR(VLOOKUP(K786,[1]POP!$F:$J,1,0),M786)</f>
        <v>MADA</v>
      </c>
      <c r="AS786" s="18" t="str">
        <f t="shared" si="61"/>
        <v>BARGARAM</v>
      </c>
      <c r="AT786" s="19">
        <f t="shared" si="64"/>
        <v>2</v>
      </c>
      <c r="AU786" s="19">
        <f t="shared" ca="1" si="63"/>
        <v>2</v>
      </c>
    </row>
    <row r="787" spans="1:47" x14ac:dyDescent="0.3">
      <c r="A787" t="s">
        <v>1145</v>
      </c>
      <c r="B787" t="str">
        <f t="shared" si="60"/>
        <v>S30_2026</v>
      </c>
      <c r="C787" t="str">
        <f t="shared" si="62"/>
        <v>S30_2026</v>
      </c>
      <c r="F787">
        <v>15</v>
      </c>
      <c r="G787" t="s">
        <v>55</v>
      </c>
      <c r="I787" t="s">
        <v>507</v>
      </c>
      <c r="J787" t="s">
        <v>166</v>
      </c>
      <c r="K787" t="s">
        <v>124</v>
      </c>
      <c r="L787" t="s">
        <v>166</v>
      </c>
      <c r="M787" t="s">
        <v>124</v>
      </c>
      <c r="N787" t="s">
        <v>45</v>
      </c>
      <c r="O787" t="s">
        <v>45</v>
      </c>
      <c r="P787">
        <v>3</v>
      </c>
      <c r="Q787" s="7">
        <v>46228</v>
      </c>
      <c r="R787" s="7">
        <v>46229</v>
      </c>
      <c r="S787" s="7">
        <v>46229</v>
      </c>
      <c r="T787" t="s">
        <v>45</v>
      </c>
      <c r="V787" t="s">
        <v>167</v>
      </c>
      <c r="W787" t="s">
        <v>45</v>
      </c>
      <c r="X787" t="s">
        <v>45</v>
      </c>
      <c r="Y787" t="s">
        <v>45</v>
      </c>
      <c r="Z787" t="s">
        <v>45</v>
      </c>
      <c r="AF787">
        <v>2</v>
      </c>
      <c r="AH787" t="s">
        <v>75</v>
      </c>
      <c r="AI787">
        <v>1</v>
      </c>
      <c r="AJ787" s="15"/>
      <c r="AN787"/>
      <c r="AO787"/>
      <c r="AP787"/>
      <c r="AQ787"/>
      <c r="AR787" s="18" t="str">
        <f>IFERROR(VLOOKUP(K787,[1]POP!$F:$J,1,0),M787)</f>
        <v>MADA</v>
      </c>
      <c r="AS787" s="18" t="str">
        <f t="shared" si="61"/>
        <v>BARGARAM</v>
      </c>
      <c r="AT787" s="19">
        <f t="shared" si="64"/>
        <v>2</v>
      </c>
      <c r="AU787" s="19">
        <f t="shared" ca="1" si="63"/>
        <v>2</v>
      </c>
    </row>
    <row r="788" spans="1:47" x14ac:dyDescent="0.3">
      <c r="A788" t="s">
        <v>1146</v>
      </c>
      <c r="B788" t="str">
        <f t="shared" si="60"/>
        <v>S30_2026</v>
      </c>
      <c r="C788" t="str">
        <f t="shared" si="62"/>
        <v>S30_2026</v>
      </c>
      <c r="F788">
        <v>43</v>
      </c>
      <c r="G788" t="s">
        <v>55</v>
      </c>
      <c r="I788" t="s">
        <v>1147</v>
      </c>
      <c r="J788" t="s">
        <v>1008</v>
      </c>
      <c r="K788" t="s">
        <v>124</v>
      </c>
      <c r="L788" t="s">
        <v>1008</v>
      </c>
      <c r="M788" t="s">
        <v>124</v>
      </c>
      <c r="N788" t="s">
        <v>45</v>
      </c>
      <c r="O788" t="s">
        <v>45</v>
      </c>
      <c r="P788">
        <v>3</v>
      </c>
      <c r="Q788" s="7">
        <v>46228</v>
      </c>
      <c r="R788" s="7">
        <v>46228</v>
      </c>
      <c r="S788" s="7">
        <v>46228</v>
      </c>
      <c r="T788" t="s">
        <v>117</v>
      </c>
      <c r="V788" t="s">
        <v>1009</v>
      </c>
      <c r="W788" t="s">
        <v>45</v>
      </c>
      <c r="X788" t="s">
        <v>45</v>
      </c>
      <c r="Y788" t="s">
        <v>45</v>
      </c>
      <c r="Z788" t="s">
        <v>45</v>
      </c>
      <c r="AF788">
        <v>2</v>
      </c>
      <c r="AH788" t="s">
        <v>75</v>
      </c>
      <c r="AI788">
        <v>1</v>
      </c>
      <c r="AJ788" s="15"/>
      <c r="AN788"/>
      <c r="AO788"/>
      <c r="AP788"/>
      <c r="AQ788"/>
      <c r="AR788" s="18" t="str">
        <f>IFERROR(VLOOKUP(K788,[1]POP!$F:$J,1,0),M788)</f>
        <v>MADA</v>
      </c>
      <c r="AS788" s="18" t="str">
        <f t="shared" si="61"/>
        <v>BLANGOUA</v>
      </c>
      <c r="AT788" s="19">
        <f t="shared" si="64"/>
        <v>2</v>
      </c>
      <c r="AU788" s="19">
        <f t="shared" ca="1" si="63"/>
        <v>2</v>
      </c>
    </row>
    <row r="789" spans="1:47" x14ac:dyDescent="0.3">
      <c r="A789" t="s">
        <v>1148</v>
      </c>
      <c r="B789" t="str">
        <f t="shared" si="60"/>
        <v>S30_2026</v>
      </c>
      <c r="C789" t="str">
        <f t="shared" si="62"/>
        <v>S30_2026</v>
      </c>
      <c r="F789">
        <v>38</v>
      </c>
      <c r="G789" t="s">
        <v>40</v>
      </c>
      <c r="I789" t="s">
        <v>1149</v>
      </c>
      <c r="J789" t="s">
        <v>1008</v>
      </c>
      <c r="K789" t="s">
        <v>124</v>
      </c>
      <c r="L789" t="s">
        <v>1008</v>
      </c>
      <c r="M789" t="s">
        <v>124</v>
      </c>
      <c r="N789" t="s">
        <v>45</v>
      </c>
      <c r="O789" t="s">
        <v>74</v>
      </c>
      <c r="P789">
        <v>2</v>
      </c>
      <c r="Q789" s="7">
        <v>46228</v>
      </c>
      <c r="R789" s="7">
        <v>46228</v>
      </c>
      <c r="S789" s="7">
        <v>46228</v>
      </c>
      <c r="T789" t="s">
        <v>45</v>
      </c>
      <c r="V789" t="s">
        <v>1009</v>
      </c>
      <c r="W789" t="s">
        <v>45</v>
      </c>
      <c r="X789" t="s">
        <v>45</v>
      </c>
      <c r="Y789" t="s">
        <v>45</v>
      </c>
      <c r="Z789" t="s">
        <v>45</v>
      </c>
      <c r="AF789">
        <v>2</v>
      </c>
      <c r="AH789" t="s">
        <v>75</v>
      </c>
      <c r="AI789">
        <v>1</v>
      </c>
      <c r="AJ789" s="15"/>
      <c r="AN789"/>
      <c r="AO789"/>
      <c r="AP789"/>
      <c r="AQ789"/>
      <c r="AR789" s="18" t="str">
        <f>IFERROR(VLOOKUP(K789,[1]POP!$F:$J,1,0),M789)</f>
        <v>MADA</v>
      </c>
      <c r="AS789" s="18" t="str">
        <f t="shared" si="61"/>
        <v>BLANGOUA</v>
      </c>
      <c r="AT789" s="19">
        <f t="shared" si="64"/>
        <v>2</v>
      </c>
      <c r="AU789" s="19">
        <f t="shared" ca="1" si="63"/>
        <v>2</v>
      </c>
    </row>
    <row r="790" spans="1:47" x14ac:dyDescent="0.3">
      <c r="A790" t="s">
        <v>1150</v>
      </c>
      <c r="B790" t="str">
        <f t="shared" si="60"/>
        <v>S30_2026</v>
      </c>
      <c r="C790" t="str">
        <f t="shared" si="62"/>
        <v>S30_2026</v>
      </c>
      <c r="F790">
        <v>23</v>
      </c>
      <c r="G790" t="s">
        <v>55</v>
      </c>
      <c r="I790" t="s">
        <v>1151</v>
      </c>
      <c r="J790" t="s">
        <v>1008</v>
      </c>
      <c r="K790" t="s">
        <v>124</v>
      </c>
      <c r="L790" t="s">
        <v>1008</v>
      </c>
      <c r="M790" t="s">
        <v>124</v>
      </c>
      <c r="N790" t="s">
        <v>45</v>
      </c>
      <c r="O790" t="s">
        <v>45</v>
      </c>
      <c r="P790">
        <v>3</v>
      </c>
      <c r="Q790" s="7">
        <v>46229</v>
      </c>
      <c r="R790" s="7">
        <v>46229</v>
      </c>
      <c r="S790" s="7">
        <v>46229</v>
      </c>
      <c r="T790" t="s">
        <v>45</v>
      </c>
      <c r="V790" t="s">
        <v>1009</v>
      </c>
      <c r="W790" t="s">
        <v>45</v>
      </c>
      <c r="X790" t="s">
        <v>45</v>
      </c>
      <c r="Y790" t="s">
        <v>45</v>
      </c>
      <c r="Z790" t="s">
        <v>45</v>
      </c>
      <c r="AF790">
        <v>2</v>
      </c>
      <c r="AH790" t="s">
        <v>75</v>
      </c>
      <c r="AI790">
        <v>1</v>
      </c>
      <c r="AJ790" s="15"/>
      <c r="AN790"/>
      <c r="AO790"/>
      <c r="AP790"/>
      <c r="AQ790"/>
      <c r="AR790" s="18" t="str">
        <f>IFERROR(VLOOKUP(K790,[1]POP!$F:$J,1,0),M790)</f>
        <v>MADA</v>
      </c>
      <c r="AS790" s="18" t="str">
        <f t="shared" si="61"/>
        <v>BLANGOUA</v>
      </c>
      <c r="AT790" s="19">
        <f t="shared" si="64"/>
        <v>2</v>
      </c>
      <c r="AU790" s="19">
        <f t="shared" ca="1" si="63"/>
        <v>2</v>
      </c>
    </row>
    <row r="791" spans="1:47" x14ac:dyDescent="0.3">
      <c r="A791" t="s">
        <v>1152</v>
      </c>
      <c r="B791" t="str">
        <f t="shared" si="60"/>
        <v>S30_2026</v>
      </c>
      <c r="C791" t="str">
        <f t="shared" si="62"/>
        <v>S30_2026</v>
      </c>
      <c r="F791">
        <v>5</v>
      </c>
      <c r="G791" t="s">
        <v>55</v>
      </c>
      <c r="I791" t="s">
        <v>573</v>
      </c>
      <c r="J791" t="s">
        <v>401</v>
      </c>
      <c r="K791" t="s">
        <v>124</v>
      </c>
      <c r="L791" t="s">
        <v>401</v>
      </c>
      <c r="M791" t="s">
        <v>124</v>
      </c>
      <c r="N791" t="s">
        <v>45</v>
      </c>
      <c r="O791" t="s">
        <v>45</v>
      </c>
      <c r="P791">
        <v>3</v>
      </c>
      <c r="Q791" s="7">
        <v>46224</v>
      </c>
      <c r="R791" s="7">
        <v>46225</v>
      </c>
      <c r="S791" s="7">
        <v>46225</v>
      </c>
      <c r="T791" t="s">
        <v>45</v>
      </c>
      <c r="V791" t="s">
        <v>574</v>
      </c>
      <c r="W791" t="s">
        <v>45</v>
      </c>
      <c r="X791" t="s">
        <v>45</v>
      </c>
      <c r="Y791" t="s">
        <v>45</v>
      </c>
      <c r="Z791" t="s">
        <v>45</v>
      </c>
      <c r="AF791">
        <v>2</v>
      </c>
      <c r="AH791" t="s">
        <v>75</v>
      </c>
      <c r="AI791">
        <v>1</v>
      </c>
      <c r="AJ791" s="15"/>
      <c r="AN791"/>
      <c r="AO791"/>
      <c r="AP791"/>
      <c r="AQ791"/>
      <c r="AR791" s="18" t="str">
        <f>IFERROR(VLOOKUP(K791,[1]POP!$F:$J,1,0),M791)</f>
        <v>MADA</v>
      </c>
      <c r="AS791" s="18" t="str">
        <f t="shared" si="61"/>
        <v>DARAK</v>
      </c>
      <c r="AT791" s="19">
        <f t="shared" si="64"/>
        <v>2</v>
      </c>
      <c r="AU791" s="19">
        <f t="shared" ca="1" si="63"/>
        <v>2</v>
      </c>
    </row>
    <row r="792" spans="1:47" x14ac:dyDescent="0.3">
      <c r="A792" t="s">
        <v>1153</v>
      </c>
      <c r="B792" t="str">
        <f t="shared" si="60"/>
        <v>S30_2026</v>
      </c>
      <c r="C792" t="str">
        <f t="shared" si="62"/>
        <v>S30_2026</v>
      </c>
      <c r="F792">
        <v>3</v>
      </c>
      <c r="G792" t="s">
        <v>40</v>
      </c>
      <c r="I792" t="s">
        <v>573</v>
      </c>
      <c r="J792" t="s">
        <v>401</v>
      </c>
      <c r="K792" t="s">
        <v>124</v>
      </c>
      <c r="L792" t="s">
        <v>401</v>
      </c>
      <c r="M792" t="s">
        <v>124</v>
      </c>
      <c r="N792" t="s">
        <v>45</v>
      </c>
      <c r="O792" t="s">
        <v>45</v>
      </c>
      <c r="P792">
        <v>2</v>
      </c>
      <c r="Q792" s="7">
        <v>46225</v>
      </c>
      <c r="R792" s="7">
        <v>46226</v>
      </c>
      <c r="S792" s="7">
        <v>46226</v>
      </c>
      <c r="T792" t="s">
        <v>45</v>
      </c>
      <c r="V792" t="s">
        <v>574</v>
      </c>
      <c r="W792" t="s">
        <v>45</v>
      </c>
      <c r="X792" t="s">
        <v>45</v>
      </c>
      <c r="Y792" t="s">
        <v>45</v>
      </c>
      <c r="Z792" t="s">
        <v>45</v>
      </c>
      <c r="AF792">
        <v>2</v>
      </c>
      <c r="AH792" t="s">
        <v>75</v>
      </c>
      <c r="AI792">
        <v>1</v>
      </c>
      <c r="AJ792" s="15"/>
      <c r="AN792"/>
      <c r="AO792"/>
      <c r="AP792"/>
      <c r="AQ792"/>
      <c r="AR792" s="18" t="str">
        <f>IFERROR(VLOOKUP(K792,[1]POP!$F:$J,1,0),M792)</f>
        <v>MADA</v>
      </c>
      <c r="AS792" s="18" t="str">
        <f t="shared" si="61"/>
        <v>DARAK</v>
      </c>
      <c r="AT792" s="19">
        <f t="shared" si="64"/>
        <v>2</v>
      </c>
      <c r="AU792" s="19">
        <f t="shared" ca="1" si="63"/>
        <v>2</v>
      </c>
    </row>
    <row r="793" spans="1:47" x14ac:dyDescent="0.3">
      <c r="A793" t="s">
        <v>1154</v>
      </c>
      <c r="B793" t="str">
        <f t="shared" si="60"/>
        <v>S30_2026</v>
      </c>
      <c r="C793" t="str">
        <f t="shared" si="62"/>
        <v>S30_2026</v>
      </c>
      <c r="F793">
        <v>6</v>
      </c>
      <c r="G793" t="s">
        <v>40</v>
      </c>
      <c r="I793" t="s">
        <v>573</v>
      </c>
      <c r="J793" t="s">
        <v>401</v>
      </c>
      <c r="K793" t="s">
        <v>124</v>
      </c>
      <c r="L793" t="s">
        <v>401</v>
      </c>
      <c r="M793" t="s">
        <v>124</v>
      </c>
      <c r="N793" t="s">
        <v>45</v>
      </c>
      <c r="O793" t="s">
        <v>45</v>
      </c>
      <c r="P793">
        <v>3</v>
      </c>
      <c r="Q793" s="7">
        <v>46225</v>
      </c>
      <c r="R793" s="7">
        <v>46226</v>
      </c>
      <c r="S793" s="7">
        <v>46226</v>
      </c>
      <c r="T793" t="s">
        <v>45</v>
      </c>
      <c r="V793" t="s">
        <v>574</v>
      </c>
      <c r="W793" t="s">
        <v>45</v>
      </c>
      <c r="X793" t="s">
        <v>45</v>
      </c>
      <c r="Y793" t="s">
        <v>45</v>
      </c>
      <c r="Z793" t="s">
        <v>45</v>
      </c>
      <c r="AF793">
        <v>2</v>
      </c>
      <c r="AH793" t="s">
        <v>75</v>
      </c>
      <c r="AI793">
        <v>1</v>
      </c>
      <c r="AJ793" s="15"/>
      <c r="AN793"/>
      <c r="AO793"/>
      <c r="AP793"/>
      <c r="AQ793"/>
      <c r="AR793" s="18" t="str">
        <f>IFERROR(VLOOKUP(K793,[1]POP!$F:$J,1,0),M793)</f>
        <v>MADA</v>
      </c>
      <c r="AS793" s="18" t="str">
        <f t="shared" si="61"/>
        <v>DARAK</v>
      </c>
      <c r="AT793" s="19">
        <f t="shared" si="64"/>
        <v>2</v>
      </c>
      <c r="AU793" s="19">
        <f t="shared" ca="1" si="63"/>
        <v>2</v>
      </c>
    </row>
    <row r="794" spans="1:47" x14ac:dyDescent="0.3">
      <c r="A794" t="s">
        <v>1155</v>
      </c>
      <c r="B794" t="str">
        <f t="shared" si="60"/>
        <v>S30_2026</v>
      </c>
      <c r="C794" t="str">
        <f t="shared" si="62"/>
        <v>S30_2026</v>
      </c>
      <c r="F794">
        <v>10</v>
      </c>
      <c r="G794" t="s">
        <v>40</v>
      </c>
      <c r="I794" t="s">
        <v>573</v>
      </c>
      <c r="J794" t="s">
        <v>401</v>
      </c>
      <c r="K794" t="s">
        <v>124</v>
      </c>
      <c r="L794" t="s">
        <v>401</v>
      </c>
      <c r="M794" t="s">
        <v>124</v>
      </c>
      <c r="N794" t="s">
        <v>45</v>
      </c>
      <c r="O794" t="s">
        <v>45</v>
      </c>
      <c r="P794">
        <v>2</v>
      </c>
      <c r="Q794" s="7">
        <v>46225</v>
      </c>
      <c r="R794" s="7">
        <v>46226</v>
      </c>
      <c r="S794" s="7">
        <v>46226</v>
      </c>
      <c r="T794" t="s">
        <v>45</v>
      </c>
      <c r="V794" t="s">
        <v>574</v>
      </c>
      <c r="W794" t="s">
        <v>45</v>
      </c>
      <c r="X794" t="s">
        <v>45</v>
      </c>
      <c r="Y794" t="s">
        <v>45</v>
      </c>
      <c r="Z794" t="s">
        <v>45</v>
      </c>
      <c r="AF794">
        <v>2</v>
      </c>
      <c r="AH794" t="s">
        <v>75</v>
      </c>
      <c r="AI794">
        <v>1</v>
      </c>
      <c r="AJ794" s="15"/>
      <c r="AN794"/>
      <c r="AO794"/>
      <c r="AP794"/>
      <c r="AQ794"/>
      <c r="AR794" s="18" t="str">
        <f>IFERROR(VLOOKUP(K794,[1]POP!$F:$J,1,0),M794)</f>
        <v>MADA</v>
      </c>
      <c r="AS794" s="18" t="str">
        <f t="shared" si="61"/>
        <v>DARAK</v>
      </c>
      <c r="AT794" s="19">
        <f t="shared" si="64"/>
        <v>2</v>
      </c>
      <c r="AU794" s="19">
        <f t="shared" ca="1" si="63"/>
        <v>2</v>
      </c>
    </row>
    <row r="795" spans="1:47" x14ac:dyDescent="0.3">
      <c r="A795" t="s">
        <v>1156</v>
      </c>
      <c r="B795" t="str">
        <f t="shared" si="60"/>
        <v>S30_2026</v>
      </c>
      <c r="C795" t="str">
        <f t="shared" si="62"/>
        <v>S30_2026</v>
      </c>
      <c r="F795">
        <v>3</v>
      </c>
      <c r="G795" t="s">
        <v>55</v>
      </c>
      <c r="I795" t="s">
        <v>1157</v>
      </c>
      <c r="J795" t="s">
        <v>401</v>
      </c>
      <c r="K795" t="s">
        <v>124</v>
      </c>
      <c r="L795" t="s">
        <v>401</v>
      </c>
      <c r="M795" t="s">
        <v>124</v>
      </c>
      <c r="N795" t="s">
        <v>45</v>
      </c>
      <c r="O795" t="s">
        <v>45</v>
      </c>
      <c r="P795">
        <v>3</v>
      </c>
      <c r="Q795" s="7">
        <v>46227</v>
      </c>
      <c r="R795" s="7">
        <v>46228</v>
      </c>
      <c r="S795" s="7">
        <v>46228</v>
      </c>
      <c r="T795" t="s">
        <v>45</v>
      </c>
      <c r="V795" t="s">
        <v>574</v>
      </c>
      <c r="W795" t="s">
        <v>45</v>
      </c>
      <c r="X795" t="s">
        <v>45</v>
      </c>
      <c r="Y795" t="s">
        <v>45</v>
      </c>
      <c r="Z795" t="s">
        <v>45</v>
      </c>
      <c r="AF795">
        <v>2</v>
      </c>
      <c r="AH795" t="s">
        <v>75</v>
      </c>
      <c r="AI795">
        <v>1</v>
      </c>
      <c r="AJ795" s="15"/>
      <c r="AN795"/>
      <c r="AO795"/>
      <c r="AP795"/>
      <c r="AQ795"/>
      <c r="AR795" s="18" t="str">
        <f>IFERROR(VLOOKUP(K795,[1]POP!$F:$J,1,0),M795)</f>
        <v>MADA</v>
      </c>
      <c r="AS795" s="18" t="str">
        <f t="shared" si="61"/>
        <v>DARAK</v>
      </c>
      <c r="AT795" s="19">
        <f t="shared" si="64"/>
        <v>2</v>
      </c>
      <c r="AU795" s="19">
        <f t="shared" ca="1" si="63"/>
        <v>2</v>
      </c>
    </row>
    <row r="796" spans="1:47" x14ac:dyDescent="0.3">
      <c r="A796" t="s">
        <v>1158</v>
      </c>
      <c r="B796" t="str">
        <f t="shared" si="60"/>
        <v>S30_2026</v>
      </c>
      <c r="C796" t="str">
        <f t="shared" si="62"/>
        <v>S30_2026</v>
      </c>
      <c r="F796">
        <v>10</v>
      </c>
      <c r="G796" t="s">
        <v>55</v>
      </c>
      <c r="I796" t="s">
        <v>573</v>
      </c>
      <c r="J796" t="s">
        <v>401</v>
      </c>
      <c r="K796" t="s">
        <v>124</v>
      </c>
      <c r="L796" t="s">
        <v>401</v>
      </c>
      <c r="M796" t="s">
        <v>124</v>
      </c>
      <c r="N796" t="s">
        <v>45</v>
      </c>
      <c r="O796" t="s">
        <v>45</v>
      </c>
      <c r="P796">
        <v>3</v>
      </c>
      <c r="Q796" s="7">
        <v>46227</v>
      </c>
      <c r="R796" s="7">
        <v>46228</v>
      </c>
      <c r="S796" s="7">
        <v>46228</v>
      </c>
      <c r="T796" t="s">
        <v>45</v>
      </c>
      <c r="V796" t="s">
        <v>574</v>
      </c>
      <c r="W796" t="s">
        <v>45</v>
      </c>
      <c r="X796" t="s">
        <v>45</v>
      </c>
      <c r="Y796" t="s">
        <v>45</v>
      </c>
      <c r="Z796" t="s">
        <v>45</v>
      </c>
      <c r="AF796">
        <v>2</v>
      </c>
      <c r="AH796" t="s">
        <v>75</v>
      </c>
      <c r="AI796">
        <v>1</v>
      </c>
      <c r="AJ796" s="15"/>
      <c r="AN796"/>
      <c r="AO796"/>
      <c r="AP796"/>
      <c r="AQ796"/>
      <c r="AR796" s="18" t="str">
        <f>IFERROR(VLOOKUP(K796,[1]POP!$F:$J,1,0),M796)</f>
        <v>MADA</v>
      </c>
      <c r="AS796" s="18" t="str">
        <f t="shared" si="61"/>
        <v>DARAK</v>
      </c>
      <c r="AT796" s="19">
        <f t="shared" si="64"/>
        <v>2</v>
      </c>
      <c r="AU796" s="19">
        <f t="shared" ca="1" si="63"/>
        <v>2</v>
      </c>
    </row>
    <row r="797" spans="1:47" x14ac:dyDescent="0.3">
      <c r="A797" t="s">
        <v>1159</v>
      </c>
      <c r="B797" t="str">
        <f t="shared" si="60"/>
        <v>S30_2026</v>
      </c>
      <c r="C797" t="str">
        <f t="shared" si="62"/>
        <v>S30_2026</v>
      </c>
      <c r="F797">
        <v>15</v>
      </c>
      <c r="G797" t="s">
        <v>55</v>
      </c>
      <c r="I797" t="s">
        <v>573</v>
      </c>
      <c r="J797" t="s">
        <v>401</v>
      </c>
      <c r="K797" t="s">
        <v>124</v>
      </c>
      <c r="L797" t="s">
        <v>401</v>
      </c>
      <c r="M797" t="s">
        <v>124</v>
      </c>
      <c r="N797" t="s">
        <v>45</v>
      </c>
      <c r="O797" t="s">
        <v>45</v>
      </c>
      <c r="P797">
        <v>2</v>
      </c>
      <c r="Q797" s="7">
        <v>46227</v>
      </c>
      <c r="R797" s="7">
        <v>46228</v>
      </c>
      <c r="S797" s="7">
        <v>46228</v>
      </c>
      <c r="T797" t="s">
        <v>45</v>
      </c>
      <c r="V797" t="s">
        <v>574</v>
      </c>
      <c r="W797" t="s">
        <v>45</v>
      </c>
      <c r="X797" t="s">
        <v>45</v>
      </c>
      <c r="Y797" t="s">
        <v>45</v>
      </c>
      <c r="Z797" t="s">
        <v>45</v>
      </c>
      <c r="AF797">
        <v>2</v>
      </c>
      <c r="AH797" t="s">
        <v>75</v>
      </c>
      <c r="AI797">
        <v>1</v>
      </c>
      <c r="AJ797" s="15"/>
      <c r="AN797"/>
      <c r="AO797"/>
      <c r="AP797"/>
      <c r="AQ797"/>
      <c r="AR797" s="18" t="str">
        <f>IFERROR(VLOOKUP(K797,[1]POP!$F:$J,1,0),M797)</f>
        <v>MADA</v>
      </c>
      <c r="AS797" s="18" t="str">
        <f t="shared" si="61"/>
        <v>DARAK</v>
      </c>
      <c r="AT797" s="19">
        <f t="shared" si="64"/>
        <v>2</v>
      </c>
      <c r="AU797" s="19">
        <f t="shared" ca="1" si="63"/>
        <v>2</v>
      </c>
    </row>
    <row r="798" spans="1:47" x14ac:dyDescent="0.3">
      <c r="A798" t="s">
        <v>1160</v>
      </c>
      <c r="B798" t="str">
        <f t="shared" si="60"/>
        <v>S30_2026</v>
      </c>
      <c r="C798" t="str">
        <f t="shared" si="62"/>
        <v>S30_2026</v>
      </c>
      <c r="F798">
        <v>2</v>
      </c>
      <c r="G798" t="s">
        <v>55</v>
      </c>
      <c r="I798" t="s">
        <v>573</v>
      </c>
      <c r="J798" t="s">
        <v>401</v>
      </c>
      <c r="K798" t="s">
        <v>124</v>
      </c>
      <c r="L798" t="s">
        <v>401</v>
      </c>
      <c r="M798" t="s">
        <v>124</v>
      </c>
      <c r="N798" t="s">
        <v>45</v>
      </c>
      <c r="O798" t="s">
        <v>45</v>
      </c>
      <c r="P798">
        <v>3</v>
      </c>
      <c r="Q798" s="7">
        <v>46228</v>
      </c>
      <c r="R798" s="7">
        <v>46229</v>
      </c>
      <c r="S798" s="7">
        <v>46229</v>
      </c>
      <c r="T798" t="s">
        <v>45</v>
      </c>
      <c r="V798" t="s">
        <v>574</v>
      </c>
      <c r="W798" t="s">
        <v>45</v>
      </c>
      <c r="X798" t="s">
        <v>45</v>
      </c>
      <c r="Y798" t="s">
        <v>45</v>
      </c>
      <c r="Z798" t="s">
        <v>45</v>
      </c>
      <c r="AF798">
        <v>2</v>
      </c>
      <c r="AH798" t="s">
        <v>75</v>
      </c>
      <c r="AI798">
        <v>1</v>
      </c>
      <c r="AJ798" s="15"/>
      <c r="AN798"/>
      <c r="AO798"/>
      <c r="AP798"/>
      <c r="AQ798"/>
      <c r="AR798" s="18" t="str">
        <f>IFERROR(VLOOKUP(K798,[1]POP!$F:$J,1,0),M798)</f>
        <v>MADA</v>
      </c>
      <c r="AS798" s="18" t="str">
        <f t="shared" si="61"/>
        <v>DARAK</v>
      </c>
      <c r="AT798" s="19">
        <f t="shared" si="64"/>
        <v>2</v>
      </c>
      <c r="AU798" s="19">
        <f t="shared" ca="1" si="63"/>
        <v>2</v>
      </c>
    </row>
    <row r="799" spans="1:47" x14ac:dyDescent="0.3">
      <c r="A799" t="s">
        <v>1161</v>
      </c>
      <c r="B799" t="str">
        <f t="shared" si="60"/>
        <v>S30_2026</v>
      </c>
      <c r="C799" t="str">
        <f t="shared" si="62"/>
        <v>S30_2026</v>
      </c>
      <c r="F799">
        <v>10</v>
      </c>
      <c r="G799" t="s">
        <v>55</v>
      </c>
      <c r="I799" t="s">
        <v>477</v>
      </c>
      <c r="J799" t="s">
        <v>128</v>
      </c>
      <c r="K799" t="s">
        <v>124</v>
      </c>
      <c r="L799" t="s">
        <v>174</v>
      </c>
      <c r="M799" t="s">
        <v>124</v>
      </c>
      <c r="N799" t="s">
        <v>45</v>
      </c>
      <c r="O799" t="s">
        <v>45</v>
      </c>
      <c r="P799">
        <v>3</v>
      </c>
      <c r="Q799" s="7">
        <v>46227</v>
      </c>
      <c r="R799" s="7">
        <v>46227</v>
      </c>
      <c r="S799" s="7">
        <v>46227</v>
      </c>
      <c r="T799" t="s">
        <v>45</v>
      </c>
      <c r="V799" t="s">
        <v>175</v>
      </c>
      <c r="W799" t="s">
        <v>45</v>
      </c>
      <c r="X799" t="s">
        <v>45</v>
      </c>
      <c r="Y799" t="s">
        <v>45</v>
      </c>
      <c r="Z799" t="s">
        <v>45</v>
      </c>
      <c r="AF799">
        <v>2</v>
      </c>
      <c r="AH799" t="s">
        <v>75</v>
      </c>
      <c r="AI799">
        <v>1</v>
      </c>
      <c r="AJ799" s="15"/>
      <c r="AN799"/>
      <c r="AO799"/>
      <c r="AP799"/>
      <c r="AQ799"/>
      <c r="AR799" s="18" t="str">
        <f>IFERROR(VLOOKUP(K799,[1]POP!$F:$J,1,0),M799)</f>
        <v>MADA</v>
      </c>
      <c r="AS799" s="18" t="str">
        <f t="shared" si="61"/>
        <v>NAGA</v>
      </c>
      <c r="AT799" s="19">
        <f t="shared" si="64"/>
        <v>2</v>
      </c>
      <c r="AU799" s="19">
        <f t="shared" ca="1" si="63"/>
        <v>2</v>
      </c>
    </row>
    <row r="800" spans="1:47" x14ac:dyDescent="0.3">
      <c r="A800" t="s">
        <v>1162</v>
      </c>
      <c r="B800" t="str">
        <f t="shared" si="60"/>
        <v>S30_2026</v>
      </c>
      <c r="C800" t="str">
        <f t="shared" si="62"/>
        <v>S30_2026</v>
      </c>
      <c r="F800">
        <v>13</v>
      </c>
      <c r="G800" t="s">
        <v>55</v>
      </c>
      <c r="I800" t="s">
        <v>477</v>
      </c>
      <c r="J800" t="s">
        <v>128</v>
      </c>
      <c r="K800" t="s">
        <v>124</v>
      </c>
      <c r="L800" t="s">
        <v>174</v>
      </c>
      <c r="M800" t="s">
        <v>124</v>
      </c>
      <c r="N800" t="s">
        <v>45</v>
      </c>
      <c r="O800" t="s">
        <v>74</v>
      </c>
      <c r="P800">
        <v>1</v>
      </c>
      <c r="Q800" s="7">
        <v>46227</v>
      </c>
      <c r="R800" s="7">
        <v>46227</v>
      </c>
      <c r="S800" s="7">
        <v>46227</v>
      </c>
      <c r="T800" t="s">
        <v>45</v>
      </c>
      <c r="V800" t="s">
        <v>175</v>
      </c>
      <c r="W800" t="s">
        <v>45</v>
      </c>
      <c r="X800" t="s">
        <v>74</v>
      </c>
      <c r="Y800" t="s">
        <v>45</v>
      </c>
      <c r="Z800" t="s">
        <v>45</v>
      </c>
      <c r="AF800">
        <v>2</v>
      </c>
      <c r="AH800" t="s">
        <v>75</v>
      </c>
      <c r="AI800">
        <v>1</v>
      </c>
      <c r="AJ800" s="15"/>
      <c r="AN800"/>
      <c r="AO800"/>
      <c r="AP800"/>
      <c r="AQ800"/>
      <c r="AR800" s="18" t="str">
        <f>IFERROR(VLOOKUP(K800,[1]POP!$F:$J,1,0),M800)</f>
        <v>MADA</v>
      </c>
      <c r="AS800" s="18" t="str">
        <f t="shared" si="61"/>
        <v>NAGA</v>
      </c>
      <c r="AT800" s="19">
        <f t="shared" si="64"/>
        <v>2</v>
      </c>
      <c r="AU800" s="19">
        <f t="shared" ca="1" si="63"/>
        <v>2</v>
      </c>
    </row>
    <row r="801" spans="1:47" x14ac:dyDescent="0.3">
      <c r="A801" t="s">
        <v>1163</v>
      </c>
      <c r="B801" t="str">
        <f t="shared" si="60"/>
        <v>S30_2026</v>
      </c>
      <c r="C801" t="str">
        <f t="shared" si="62"/>
        <v>S30_2026</v>
      </c>
      <c r="F801">
        <v>15</v>
      </c>
      <c r="G801" t="s">
        <v>55</v>
      </c>
      <c r="I801" t="s">
        <v>477</v>
      </c>
      <c r="J801" t="s">
        <v>128</v>
      </c>
      <c r="K801" t="s">
        <v>124</v>
      </c>
      <c r="L801" t="s">
        <v>174</v>
      </c>
      <c r="M801" t="s">
        <v>124</v>
      </c>
      <c r="N801" t="s">
        <v>45</v>
      </c>
      <c r="O801" t="s">
        <v>74</v>
      </c>
      <c r="P801">
        <v>1</v>
      </c>
      <c r="Q801" s="7">
        <v>46227</v>
      </c>
      <c r="R801" s="7">
        <v>46227</v>
      </c>
      <c r="S801" s="7">
        <v>46227</v>
      </c>
      <c r="T801" t="s">
        <v>45</v>
      </c>
      <c r="V801" t="s">
        <v>175</v>
      </c>
      <c r="W801" t="s">
        <v>45</v>
      </c>
      <c r="X801" t="s">
        <v>74</v>
      </c>
      <c r="Y801" t="s">
        <v>74</v>
      </c>
      <c r="Z801" t="s">
        <v>45</v>
      </c>
      <c r="AF801">
        <v>2</v>
      </c>
      <c r="AH801" t="s">
        <v>75</v>
      </c>
      <c r="AI801">
        <v>1</v>
      </c>
      <c r="AJ801" s="15"/>
      <c r="AN801"/>
      <c r="AO801"/>
      <c r="AP801"/>
      <c r="AQ801"/>
      <c r="AR801" s="18" t="str">
        <f>IFERROR(VLOOKUP(K801,[1]POP!$F:$J,1,0),M801)</f>
        <v>MADA</v>
      </c>
      <c r="AS801" s="18" t="str">
        <f t="shared" si="61"/>
        <v>NAGA</v>
      </c>
      <c r="AT801" s="19">
        <f t="shared" si="64"/>
        <v>2</v>
      </c>
      <c r="AU801" s="19">
        <f t="shared" ca="1" si="63"/>
        <v>2</v>
      </c>
    </row>
    <row r="802" spans="1:47" x14ac:dyDescent="0.3">
      <c r="A802" t="s">
        <v>1164</v>
      </c>
      <c r="B802" t="str">
        <f t="shared" si="60"/>
        <v>S30_2026</v>
      </c>
      <c r="C802" t="str">
        <f t="shared" si="62"/>
        <v>S30_2026</v>
      </c>
      <c r="F802">
        <v>10</v>
      </c>
      <c r="G802" t="s">
        <v>55</v>
      </c>
      <c r="I802" t="s">
        <v>477</v>
      </c>
      <c r="J802" t="s">
        <v>128</v>
      </c>
      <c r="K802" t="s">
        <v>124</v>
      </c>
      <c r="L802" t="s">
        <v>174</v>
      </c>
      <c r="M802" t="s">
        <v>124</v>
      </c>
      <c r="N802" t="s">
        <v>45</v>
      </c>
      <c r="O802" t="s">
        <v>45</v>
      </c>
      <c r="P802">
        <v>2</v>
      </c>
      <c r="Q802" s="7">
        <v>46227</v>
      </c>
      <c r="R802" s="7">
        <v>46227</v>
      </c>
      <c r="S802" s="7">
        <v>46227</v>
      </c>
      <c r="T802" t="s">
        <v>45</v>
      </c>
      <c r="V802" t="s">
        <v>175</v>
      </c>
      <c r="W802" t="s">
        <v>45</v>
      </c>
      <c r="X802" t="s">
        <v>45</v>
      </c>
      <c r="Y802" t="s">
        <v>45</v>
      </c>
      <c r="Z802" t="s">
        <v>45</v>
      </c>
      <c r="AF802">
        <v>2</v>
      </c>
      <c r="AH802" t="s">
        <v>75</v>
      </c>
      <c r="AI802">
        <v>1</v>
      </c>
      <c r="AJ802" s="15"/>
      <c r="AN802"/>
      <c r="AO802"/>
      <c r="AP802"/>
      <c r="AQ802"/>
      <c r="AR802" s="18" t="str">
        <f>IFERROR(VLOOKUP(K802,[1]POP!$F:$J,1,0),M802)</f>
        <v>MADA</v>
      </c>
      <c r="AS802" s="18" t="str">
        <f t="shared" si="61"/>
        <v>NAGA</v>
      </c>
      <c r="AT802" s="19">
        <f t="shared" si="64"/>
        <v>2</v>
      </c>
      <c r="AU802" s="19">
        <f t="shared" ca="1" si="63"/>
        <v>2</v>
      </c>
    </row>
    <row r="803" spans="1:47" x14ac:dyDescent="0.3">
      <c r="A803" t="s">
        <v>1165</v>
      </c>
      <c r="B803" t="str">
        <f t="shared" si="60"/>
        <v>S30_2026</v>
      </c>
      <c r="C803" t="str">
        <f t="shared" si="62"/>
        <v>S30_2026</v>
      </c>
      <c r="F803">
        <v>51</v>
      </c>
      <c r="G803" t="s">
        <v>40</v>
      </c>
      <c r="I803" t="s">
        <v>477</v>
      </c>
      <c r="J803" t="s">
        <v>128</v>
      </c>
      <c r="K803" t="s">
        <v>124</v>
      </c>
      <c r="L803" t="s">
        <v>174</v>
      </c>
      <c r="M803" t="s">
        <v>124</v>
      </c>
      <c r="N803" t="s">
        <v>45</v>
      </c>
      <c r="O803" t="s">
        <v>45</v>
      </c>
      <c r="P803">
        <v>3</v>
      </c>
      <c r="Q803" s="7">
        <v>46227</v>
      </c>
      <c r="R803" s="7">
        <v>46227</v>
      </c>
      <c r="S803" s="7">
        <v>46227</v>
      </c>
      <c r="T803" t="s">
        <v>45</v>
      </c>
      <c r="V803" t="s">
        <v>175</v>
      </c>
      <c r="W803" t="s">
        <v>45</v>
      </c>
      <c r="X803" t="s">
        <v>45</v>
      </c>
      <c r="Y803" t="s">
        <v>45</v>
      </c>
      <c r="Z803" t="s">
        <v>45</v>
      </c>
      <c r="AF803">
        <v>2</v>
      </c>
      <c r="AH803" t="s">
        <v>75</v>
      </c>
      <c r="AI803">
        <v>1</v>
      </c>
      <c r="AJ803" s="15"/>
      <c r="AN803"/>
      <c r="AO803"/>
      <c r="AP803"/>
      <c r="AQ803"/>
      <c r="AR803" s="18" t="str">
        <f>IFERROR(VLOOKUP(K803,[1]POP!$F:$J,1,0),M803)</f>
        <v>MADA</v>
      </c>
      <c r="AS803" s="18" t="str">
        <f t="shared" si="61"/>
        <v>NAGA</v>
      </c>
      <c r="AT803" s="19">
        <f t="shared" si="64"/>
        <v>2</v>
      </c>
      <c r="AU803" s="19">
        <f t="shared" ca="1" si="63"/>
        <v>2</v>
      </c>
    </row>
    <row r="804" spans="1:47" x14ac:dyDescent="0.3">
      <c r="A804" t="s">
        <v>1166</v>
      </c>
      <c r="B804" t="str">
        <f t="shared" si="60"/>
        <v>S30_2026</v>
      </c>
      <c r="C804" t="str">
        <f t="shared" si="62"/>
        <v>S30_2026</v>
      </c>
      <c r="F804">
        <v>3</v>
      </c>
      <c r="G804" t="s">
        <v>55</v>
      </c>
      <c r="I804" t="s">
        <v>477</v>
      </c>
      <c r="J804" t="s">
        <v>128</v>
      </c>
      <c r="K804" t="s">
        <v>124</v>
      </c>
      <c r="L804" t="s">
        <v>174</v>
      </c>
      <c r="M804" t="s">
        <v>124</v>
      </c>
      <c r="N804" t="s">
        <v>45</v>
      </c>
      <c r="O804" t="s">
        <v>45</v>
      </c>
      <c r="P804">
        <v>2</v>
      </c>
      <c r="Q804" s="7">
        <v>46227</v>
      </c>
      <c r="R804" s="7">
        <v>46227</v>
      </c>
      <c r="S804" s="7">
        <v>46227</v>
      </c>
      <c r="T804" t="s">
        <v>45</v>
      </c>
      <c r="V804" t="s">
        <v>175</v>
      </c>
      <c r="W804" t="s">
        <v>45</v>
      </c>
      <c r="X804" t="s">
        <v>45</v>
      </c>
      <c r="Y804" t="s">
        <v>45</v>
      </c>
      <c r="Z804" t="s">
        <v>45</v>
      </c>
      <c r="AF804">
        <v>2</v>
      </c>
      <c r="AH804" t="s">
        <v>75</v>
      </c>
      <c r="AI804">
        <v>1</v>
      </c>
      <c r="AJ804" s="15"/>
      <c r="AN804"/>
      <c r="AO804"/>
      <c r="AP804"/>
      <c r="AQ804"/>
      <c r="AR804" s="18" t="str">
        <f>IFERROR(VLOOKUP(K804,[1]POP!$F:$J,1,0),M804)</f>
        <v>MADA</v>
      </c>
      <c r="AS804" s="18" t="str">
        <f t="shared" si="61"/>
        <v>NAGA</v>
      </c>
      <c r="AT804" s="19">
        <f t="shared" si="64"/>
        <v>2</v>
      </c>
      <c r="AU804" s="19">
        <f t="shared" ca="1" si="63"/>
        <v>2</v>
      </c>
    </row>
    <row r="805" spans="1:47" x14ac:dyDescent="0.3">
      <c r="A805" t="s">
        <v>1167</v>
      </c>
      <c r="B805" t="str">
        <f t="shared" si="60"/>
        <v>S30_2026</v>
      </c>
      <c r="C805" t="str">
        <f t="shared" si="62"/>
        <v>S30_2026</v>
      </c>
      <c r="F805">
        <v>2</v>
      </c>
      <c r="G805" t="s">
        <v>40</v>
      </c>
      <c r="I805" t="s">
        <v>477</v>
      </c>
      <c r="J805" t="s">
        <v>128</v>
      </c>
      <c r="K805" t="s">
        <v>124</v>
      </c>
      <c r="L805" t="s">
        <v>174</v>
      </c>
      <c r="M805" t="s">
        <v>124</v>
      </c>
      <c r="N805" t="s">
        <v>45</v>
      </c>
      <c r="O805" t="s">
        <v>45</v>
      </c>
      <c r="P805">
        <v>2</v>
      </c>
      <c r="Q805" s="7">
        <v>46227</v>
      </c>
      <c r="R805" s="7">
        <v>46227</v>
      </c>
      <c r="S805" s="7">
        <v>46227</v>
      </c>
      <c r="T805" t="s">
        <v>45</v>
      </c>
      <c r="V805" t="s">
        <v>175</v>
      </c>
      <c r="W805" t="s">
        <v>45</v>
      </c>
      <c r="X805" t="s">
        <v>45</v>
      </c>
      <c r="Y805" t="s">
        <v>45</v>
      </c>
      <c r="Z805" t="s">
        <v>45</v>
      </c>
      <c r="AF805">
        <v>2</v>
      </c>
      <c r="AH805" t="s">
        <v>75</v>
      </c>
      <c r="AI805">
        <v>1</v>
      </c>
      <c r="AJ805" s="15"/>
      <c r="AN805"/>
      <c r="AO805"/>
      <c r="AP805"/>
      <c r="AQ805"/>
      <c r="AR805" s="18" t="str">
        <f>IFERROR(VLOOKUP(K805,[1]POP!$F:$J,1,0),M805)</f>
        <v>MADA</v>
      </c>
      <c r="AS805" s="18" t="str">
        <f t="shared" si="61"/>
        <v>NAGA</v>
      </c>
      <c r="AT805" s="19">
        <f t="shared" si="64"/>
        <v>2</v>
      </c>
      <c r="AU805" s="19">
        <f t="shared" ca="1" si="63"/>
        <v>2</v>
      </c>
    </row>
    <row r="806" spans="1:47" x14ac:dyDescent="0.3">
      <c r="A806" t="s">
        <v>1168</v>
      </c>
      <c r="B806" t="str">
        <f t="shared" si="60"/>
        <v>S30_2026</v>
      </c>
      <c r="C806" t="str">
        <f t="shared" si="62"/>
        <v>S30_2026</v>
      </c>
      <c r="F806">
        <v>10</v>
      </c>
      <c r="G806" t="s">
        <v>55</v>
      </c>
      <c r="I806" t="s">
        <v>477</v>
      </c>
      <c r="J806" t="s">
        <v>128</v>
      </c>
      <c r="K806" t="s">
        <v>124</v>
      </c>
      <c r="L806" t="s">
        <v>174</v>
      </c>
      <c r="M806" t="s">
        <v>124</v>
      </c>
      <c r="N806" t="s">
        <v>45</v>
      </c>
      <c r="O806" t="s">
        <v>45</v>
      </c>
      <c r="P806">
        <v>3</v>
      </c>
      <c r="Q806" s="7">
        <v>46227</v>
      </c>
      <c r="R806" s="7">
        <v>46227</v>
      </c>
      <c r="S806" s="7">
        <v>46227</v>
      </c>
      <c r="T806" t="s">
        <v>45</v>
      </c>
      <c r="V806" t="s">
        <v>175</v>
      </c>
      <c r="W806" t="s">
        <v>45</v>
      </c>
      <c r="X806" t="s">
        <v>45</v>
      </c>
      <c r="Y806" t="s">
        <v>45</v>
      </c>
      <c r="Z806" t="s">
        <v>45</v>
      </c>
      <c r="AF806">
        <v>2</v>
      </c>
      <c r="AH806" t="s">
        <v>75</v>
      </c>
      <c r="AI806">
        <v>1</v>
      </c>
      <c r="AJ806" s="15"/>
      <c r="AN806"/>
      <c r="AO806"/>
      <c r="AP806"/>
      <c r="AQ806"/>
      <c r="AR806" s="18" t="str">
        <f>IFERROR(VLOOKUP(K806,[1]POP!$F:$J,1,0),M806)</f>
        <v>MADA</v>
      </c>
      <c r="AS806" s="18" t="str">
        <f t="shared" si="61"/>
        <v>NAGA</v>
      </c>
      <c r="AT806" s="19">
        <f t="shared" si="64"/>
        <v>2</v>
      </c>
      <c r="AU806" s="19">
        <f t="shared" ca="1" si="63"/>
        <v>2</v>
      </c>
    </row>
    <row r="807" spans="1:47" x14ac:dyDescent="0.3">
      <c r="A807" t="s">
        <v>1169</v>
      </c>
      <c r="B807" t="str">
        <f t="shared" si="60"/>
        <v>S30_2026</v>
      </c>
      <c r="C807" t="str">
        <f t="shared" si="62"/>
        <v>S30_2026</v>
      </c>
      <c r="F807">
        <v>8</v>
      </c>
      <c r="G807" t="s">
        <v>40</v>
      </c>
      <c r="I807" t="s">
        <v>477</v>
      </c>
      <c r="J807" t="s">
        <v>128</v>
      </c>
      <c r="K807" t="s">
        <v>124</v>
      </c>
      <c r="L807" t="s">
        <v>174</v>
      </c>
      <c r="M807" t="s">
        <v>124</v>
      </c>
      <c r="N807" t="s">
        <v>45</v>
      </c>
      <c r="O807" t="s">
        <v>45</v>
      </c>
      <c r="P807">
        <v>2</v>
      </c>
      <c r="Q807" s="7">
        <v>46227</v>
      </c>
      <c r="R807" s="7">
        <v>46227</v>
      </c>
      <c r="S807" s="7">
        <v>46227</v>
      </c>
      <c r="T807" t="s">
        <v>45</v>
      </c>
      <c r="V807" t="s">
        <v>175</v>
      </c>
      <c r="W807" t="s">
        <v>45</v>
      </c>
      <c r="X807" t="s">
        <v>45</v>
      </c>
      <c r="Y807" t="s">
        <v>45</v>
      </c>
      <c r="Z807" t="s">
        <v>45</v>
      </c>
      <c r="AF807">
        <v>2</v>
      </c>
      <c r="AH807" t="s">
        <v>75</v>
      </c>
      <c r="AI807">
        <v>1</v>
      </c>
      <c r="AJ807" s="15"/>
      <c r="AN807"/>
      <c r="AO807"/>
      <c r="AP807"/>
      <c r="AQ807"/>
      <c r="AR807" s="18" t="str">
        <f>IFERROR(VLOOKUP(K807,[1]POP!$F:$J,1,0),M807)</f>
        <v>MADA</v>
      </c>
      <c r="AS807" s="18" t="str">
        <f t="shared" si="61"/>
        <v>NAGA</v>
      </c>
      <c r="AT807" s="19">
        <f t="shared" si="64"/>
        <v>2</v>
      </c>
      <c r="AU807" s="19">
        <f t="shared" ca="1" si="63"/>
        <v>2</v>
      </c>
    </row>
    <row r="808" spans="1:47" x14ac:dyDescent="0.3">
      <c r="A808" t="s">
        <v>1170</v>
      </c>
      <c r="B808" t="str">
        <f t="shared" si="60"/>
        <v>S30_2026</v>
      </c>
      <c r="C808" t="str">
        <f t="shared" si="62"/>
        <v>S30_2026</v>
      </c>
      <c r="F808">
        <v>4</v>
      </c>
      <c r="G808" t="s">
        <v>40</v>
      </c>
      <c r="I808" t="s">
        <v>477</v>
      </c>
      <c r="J808" t="s">
        <v>128</v>
      </c>
      <c r="K808" t="s">
        <v>124</v>
      </c>
      <c r="L808" t="s">
        <v>174</v>
      </c>
      <c r="M808" t="s">
        <v>124</v>
      </c>
      <c r="N808" t="s">
        <v>45</v>
      </c>
      <c r="O808" t="s">
        <v>45</v>
      </c>
      <c r="P808">
        <v>3</v>
      </c>
      <c r="Q808" s="7">
        <v>46227</v>
      </c>
      <c r="R808" s="7">
        <v>46227</v>
      </c>
      <c r="S808" s="7">
        <v>46227</v>
      </c>
      <c r="T808" t="s">
        <v>45</v>
      </c>
      <c r="V808" t="s">
        <v>175</v>
      </c>
      <c r="W808" t="s">
        <v>45</v>
      </c>
      <c r="X808" t="s">
        <v>45</v>
      </c>
      <c r="Y808" t="s">
        <v>45</v>
      </c>
      <c r="Z808" t="s">
        <v>45</v>
      </c>
      <c r="AF808">
        <v>2</v>
      </c>
      <c r="AH808" t="s">
        <v>75</v>
      </c>
      <c r="AI808">
        <v>1</v>
      </c>
      <c r="AJ808" s="15"/>
      <c r="AN808"/>
      <c r="AO808"/>
      <c r="AP808"/>
      <c r="AQ808"/>
      <c r="AR808" s="18" t="str">
        <f>IFERROR(VLOOKUP(K808,[1]POP!$F:$J,1,0),M808)</f>
        <v>MADA</v>
      </c>
      <c r="AS808" s="18" t="str">
        <f t="shared" si="61"/>
        <v>NAGA</v>
      </c>
      <c r="AT808" s="19">
        <f t="shared" si="64"/>
        <v>2</v>
      </c>
      <c r="AU808" s="19">
        <f t="shared" ca="1" si="63"/>
        <v>2</v>
      </c>
    </row>
    <row r="809" spans="1:47" x14ac:dyDescent="0.3">
      <c r="A809" t="s">
        <v>1171</v>
      </c>
      <c r="B809" t="str">
        <f t="shared" si="60"/>
        <v>S30_2026</v>
      </c>
      <c r="C809" t="str">
        <f t="shared" si="62"/>
        <v>S30_2026</v>
      </c>
      <c r="F809">
        <v>8</v>
      </c>
      <c r="G809" t="s">
        <v>40</v>
      </c>
      <c r="I809" t="s">
        <v>477</v>
      </c>
      <c r="J809" t="s">
        <v>128</v>
      </c>
      <c r="K809" t="s">
        <v>124</v>
      </c>
      <c r="L809" t="s">
        <v>174</v>
      </c>
      <c r="M809" t="s">
        <v>124</v>
      </c>
      <c r="N809" t="s">
        <v>45</v>
      </c>
      <c r="O809" t="s">
        <v>45</v>
      </c>
      <c r="P809">
        <v>3</v>
      </c>
      <c r="Q809" s="7">
        <v>46227</v>
      </c>
      <c r="R809" s="7">
        <v>46227</v>
      </c>
      <c r="S809" s="7">
        <v>46227</v>
      </c>
      <c r="T809" t="s">
        <v>45</v>
      </c>
      <c r="V809" t="s">
        <v>175</v>
      </c>
      <c r="W809" t="s">
        <v>45</v>
      </c>
      <c r="X809" t="s">
        <v>45</v>
      </c>
      <c r="Y809" t="s">
        <v>45</v>
      </c>
      <c r="Z809" t="s">
        <v>45</v>
      </c>
      <c r="AF809">
        <v>2</v>
      </c>
      <c r="AH809" t="s">
        <v>75</v>
      </c>
      <c r="AI809">
        <v>1</v>
      </c>
      <c r="AJ809" s="15"/>
      <c r="AN809"/>
      <c r="AO809"/>
      <c r="AP809"/>
      <c r="AQ809"/>
      <c r="AR809" s="18" t="str">
        <f>IFERROR(VLOOKUP(K809,[1]POP!$F:$J,1,0),M809)</f>
        <v>MADA</v>
      </c>
      <c r="AS809" s="18" t="str">
        <f t="shared" si="61"/>
        <v>NAGA</v>
      </c>
      <c r="AT809" s="19">
        <f t="shared" si="64"/>
        <v>2</v>
      </c>
      <c r="AU809" s="19">
        <f t="shared" ca="1" si="63"/>
        <v>2</v>
      </c>
    </row>
    <row r="810" spans="1:47" x14ac:dyDescent="0.3">
      <c r="A810" t="s">
        <v>1172</v>
      </c>
      <c r="B810" t="str">
        <f t="shared" si="60"/>
        <v>S30_2026</v>
      </c>
      <c r="C810" t="str">
        <f t="shared" si="62"/>
        <v>S30_2026</v>
      </c>
      <c r="F810">
        <v>7</v>
      </c>
      <c r="G810" t="s">
        <v>55</v>
      </c>
      <c r="I810" t="s">
        <v>477</v>
      </c>
      <c r="J810" t="s">
        <v>128</v>
      </c>
      <c r="K810" t="s">
        <v>124</v>
      </c>
      <c r="L810" t="s">
        <v>174</v>
      </c>
      <c r="M810" t="s">
        <v>124</v>
      </c>
      <c r="N810" t="s">
        <v>45</v>
      </c>
      <c r="O810" t="s">
        <v>45</v>
      </c>
      <c r="P810">
        <v>3</v>
      </c>
      <c r="Q810" s="7">
        <v>46227</v>
      </c>
      <c r="R810" s="7">
        <v>46227</v>
      </c>
      <c r="S810" s="7">
        <v>46227</v>
      </c>
      <c r="T810" t="s">
        <v>45</v>
      </c>
      <c r="V810" t="s">
        <v>175</v>
      </c>
      <c r="W810" t="s">
        <v>45</v>
      </c>
      <c r="X810" t="s">
        <v>45</v>
      </c>
      <c r="Y810" t="s">
        <v>45</v>
      </c>
      <c r="Z810" t="s">
        <v>45</v>
      </c>
      <c r="AF810">
        <v>2</v>
      </c>
      <c r="AH810" t="s">
        <v>75</v>
      </c>
      <c r="AI810">
        <v>1</v>
      </c>
      <c r="AJ810" s="15"/>
      <c r="AN810"/>
      <c r="AO810"/>
      <c r="AP810"/>
      <c r="AQ810"/>
      <c r="AR810" s="18" t="str">
        <f>IFERROR(VLOOKUP(K810,[1]POP!$F:$J,1,0),M810)</f>
        <v>MADA</v>
      </c>
      <c r="AS810" s="18" t="str">
        <f t="shared" si="61"/>
        <v>NAGA</v>
      </c>
      <c r="AT810" s="19">
        <f t="shared" si="64"/>
        <v>2</v>
      </c>
      <c r="AU810" s="19">
        <f t="shared" ca="1" si="63"/>
        <v>2</v>
      </c>
    </row>
    <row r="811" spans="1:47" x14ac:dyDescent="0.3">
      <c r="A811" t="s">
        <v>1173</v>
      </c>
      <c r="B811" t="str">
        <f t="shared" si="60"/>
        <v>S30_2026</v>
      </c>
      <c r="C811" t="str">
        <f t="shared" si="62"/>
        <v>S30_2026</v>
      </c>
      <c r="F811">
        <v>10</v>
      </c>
      <c r="G811" t="s">
        <v>55</v>
      </c>
      <c r="I811" t="s">
        <v>477</v>
      </c>
      <c r="J811" t="s">
        <v>128</v>
      </c>
      <c r="K811" t="s">
        <v>124</v>
      </c>
      <c r="L811" t="s">
        <v>174</v>
      </c>
      <c r="M811" t="s">
        <v>124</v>
      </c>
      <c r="N811" t="s">
        <v>45</v>
      </c>
      <c r="O811" t="s">
        <v>45</v>
      </c>
      <c r="P811">
        <v>2</v>
      </c>
      <c r="Q811" s="7">
        <v>46227</v>
      </c>
      <c r="R811" s="7">
        <v>46227</v>
      </c>
      <c r="S811" s="7">
        <v>46227</v>
      </c>
      <c r="T811" t="s">
        <v>45</v>
      </c>
      <c r="V811" t="s">
        <v>175</v>
      </c>
      <c r="W811" t="s">
        <v>45</v>
      </c>
      <c r="X811" t="s">
        <v>45</v>
      </c>
      <c r="Y811" t="s">
        <v>45</v>
      </c>
      <c r="Z811" t="s">
        <v>45</v>
      </c>
      <c r="AF811">
        <v>2</v>
      </c>
      <c r="AH811" t="s">
        <v>75</v>
      </c>
      <c r="AI811">
        <v>1</v>
      </c>
      <c r="AJ811" s="15"/>
      <c r="AN811"/>
      <c r="AO811"/>
      <c r="AP811"/>
      <c r="AQ811"/>
      <c r="AR811" s="18" t="str">
        <f>IFERROR(VLOOKUP(K811,[1]POP!$F:$J,1,0),M811)</f>
        <v>MADA</v>
      </c>
      <c r="AS811" s="18" t="str">
        <f t="shared" si="61"/>
        <v>NAGA</v>
      </c>
      <c r="AT811" s="19">
        <f t="shared" si="64"/>
        <v>2</v>
      </c>
      <c r="AU811" s="19">
        <f t="shared" ca="1" si="63"/>
        <v>2</v>
      </c>
    </row>
    <row r="812" spans="1:47" x14ac:dyDescent="0.3">
      <c r="A812" t="s">
        <v>1174</v>
      </c>
      <c r="B812" t="str">
        <f t="shared" si="60"/>
        <v>S30_2026</v>
      </c>
      <c r="C812" t="str">
        <f t="shared" si="62"/>
        <v>S30_2026</v>
      </c>
      <c r="F812">
        <v>7</v>
      </c>
      <c r="G812" t="s">
        <v>55</v>
      </c>
      <c r="I812" t="s">
        <v>477</v>
      </c>
      <c r="J812" t="s">
        <v>128</v>
      </c>
      <c r="K812" t="s">
        <v>124</v>
      </c>
      <c r="L812" t="s">
        <v>174</v>
      </c>
      <c r="M812" t="s">
        <v>124</v>
      </c>
      <c r="N812" t="s">
        <v>45</v>
      </c>
      <c r="O812" t="s">
        <v>45</v>
      </c>
      <c r="P812">
        <v>3</v>
      </c>
      <c r="Q812" s="7">
        <v>46227</v>
      </c>
      <c r="R812" s="7">
        <v>46227</v>
      </c>
      <c r="S812" s="7">
        <v>46227</v>
      </c>
      <c r="T812" t="s">
        <v>45</v>
      </c>
      <c r="V812" t="s">
        <v>175</v>
      </c>
      <c r="W812" t="s">
        <v>45</v>
      </c>
      <c r="X812" t="s">
        <v>45</v>
      </c>
      <c r="Y812" t="s">
        <v>45</v>
      </c>
      <c r="Z812" t="s">
        <v>45</v>
      </c>
      <c r="AF812">
        <v>2</v>
      </c>
      <c r="AH812" t="s">
        <v>75</v>
      </c>
      <c r="AI812">
        <v>1</v>
      </c>
      <c r="AJ812" s="15"/>
      <c r="AN812"/>
      <c r="AO812"/>
      <c r="AP812"/>
      <c r="AQ812"/>
      <c r="AR812" s="18" t="str">
        <f>IFERROR(VLOOKUP(K812,[1]POP!$F:$J,1,0),M812)</f>
        <v>MADA</v>
      </c>
      <c r="AS812" s="18" t="str">
        <f t="shared" si="61"/>
        <v>NAGA</v>
      </c>
      <c r="AT812" s="19">
        <f t="shared" si="64"/>
        <v>2</v>
      </c>
      <c r="AU812" s="19">
        <f t="shared" ca="1" si="63"/>
        <v>2</v>
      </c>
    </row>
    <row r="813" spans="1:47" x14ac:dyDescent="0.3">
      <c r="A813" t="s">
        <v>1175</v>
      </c>
      <c r="B813" t="str">
        <f t="shared" si="60"/>
        <v>S30_2026</v>
      </c>
      <c r="C813" t="str">
        <f t="shared" si="62"/>
        <v>S30_2026</v>
      </c>
      <c r="F813">
        <v>19</v>
      </c>
      <c r="G813" t="s">
        <v>55</v>
      </c>
      <c r="I813" t="s">
        <v>477</v>
      </c>
      <c r="J813" t="s">
        <v>128</v>
      </c>
      <c r="K813" t="s">
        <v>124</v>
      </c>
      <c r="L813" t="s">
        <v>174</v>
      </c>
      <c r="M813" t="s">
        <v>124</v>
      </c>
      <c r="N813" t="s">
        <v>45</v>
      </c>
      <c r="O813" t="s">
        <v>74</v>
      </c>
      <c r="P813">
        <v>1</v>
      </c>
      <c r="Q813" s="7">
        <v>46227</v>
      </c>
      <c r="R813" s="7">
        <v>46227</v>
      </c>
      <c r="S813" s="7">
        <v>46227</v>
      </c>
      <c r="T813" t="s">
        <v>45</v>
      </c>
      <c r="V813" t="s">
        <v>175</v>
      </c>
      <c r="W813" t="s">
        <v>45</v>
      </c>
      <c r="X813" t="s">
        <v>74</v>
      </c>
      <c r="Y813" t="s">
        <v>74</v>
      </c>
      <c r="Z813" t="s">
        <v>45</v>
      </c>
      <c r="AF813">
        <v>2</v>
      </c>
      <c r="AH813" t="s">
        <v>75</v>
      </c>
      <c r="AI813">
        <v>1</v>
      </c>
      <c r="AJ813" s="15"/>
      <c r="AN813"/>
      <c r="AO813"/>
      <c r="AP813"/>
      <c r="AQ813"/>
      <c r="AR813" s="18" t="str">
        <f>IFERROR(VLOOKUP(K813,[1]POP!$F:$J,1,0),M813)</f>
        <v>MADA</v>
      </c>
      <c r="AS813" s="18" t="str">
        <f t="shared" si="61"/>
        <v>NAGA</v>
      </c>
      <c r="AT813" s="19">
        <f t="shared" si="64"/>
        <v>2</v>
      </c>
      <c r="AU813" s="19">
        <f t="shared" ca="1" si="63"/>
        <v>2</v>
      </c>
    </row>
    <row r="814" spans="1:47" x14ac:dyDescent="0.3">
      <c r="A814" t="s">
        <v>1176</v>
      </c>
      <c r="B814" t="str">
        <f t="shared" si="60"/>
        <v>S30_2026</v>
      </c>
      <c r="C814" t="str">
        <f t="shared" si="62"/>
        <v>S30_2026</v>
      </c>
      <c r="F814">
        <v>10</v>
      </c>
      <c r="G814" t="s">
        <v>40</v>
      </c>
      <c r="I814" t="s">
        <v>477</v>
      </c>
      <c r="J814" t="s">
        <v>128</v>
      </c>
      <c r="K814" t="s">
        <v>124</v>
      </c>
      <c r="L814" t="s">
        <v>174</v>
      </c>
      <c r="M814" t="s">
        <v>124</v>
      </c>
      <c r="N814" t="s">
        <v>45</v>
      </c>
      <c r="O814" t="s">
        <v>45</v>
      </c>
      <c r="P814">
        <v>3</v>
      </c>
      <c r="Q814" s="7">
        <v>46228</v>
      </c>
      <c r="R814" s="7">
        <v>46228</v>
      </c>
      <c r="S814" s="7">
        <v>46228</v>
      </c>
      <c r="T814" t="s">
        <v>45</v>
      </c>
      <c r="V814" t="s">
        <v>175</v>
      </c>
      <c r="W814" t="s">
        <v>45</v>
      </c>
      <c r="X814" t="s">
        <v>45</v>
      </c>
      <c r="Y814" t="s">
        <v>45</v>
      </c>
      <c r="Z814" t="s">
        <v>45</v>
      </c>
      <c r="AF814">
        <v>2</v>
      </c>
      <c r="AH814" t="s">
        <v>75</v>
      </c>
      <c r="AI814">
        <v>1</v>
      </c>
      <c r="AJ814" s="15"/>
      <c r="AN814" t="s">
        <v>74</v>
      </c>
      <c r="AO814" t="s">
        <v>1610</v>
      </c>
      <c r="AP814">
        <v>8</v>
      </c>
      <c r="AQ814" t="s">
        <v>74</v>
      </c>
      <c r="AR814" s="18" t="str">
        <f>IFERROR(VLOOKUP(K814,[1]POP!$F:$J,1,0),M814)</f>
        <v>MADA</v>
      </c>
      <c r="AS814" s="18" t="str">
        <f t="shared" si="61"/>
        <v>NAGA</v>
      </c>
      <c r="AT814" s="19">
        <f t="shared" si="64"/>
        <v>2</v>
      </c>
      <c r="AU814" s="19">
        <f t="shared" ca="1" si="63"/>
        <v>2</v>
      </c>
    </row>
    <row r="815" spans="1:47" x14ac:dyDescent="0.3">
      <c r="A815" t="s">
        <v>1177</v>
      </c>
      <c r="B815" t="str">
        <f t="shared" si="60"/>
        <v>S30_2026</v>
      </c>
      <c r="C815" t="str">
        <f t="shared" si="62"/>
        <v>S30_2026</v>
      </c>
      <c r="F815">
        <v>7</v>
      </c>
      <c r="G815" t="s">
        <v>55</v>
      </c>
      <c r="I815" t="s">
        <v>477</v>
      </c>
      <c r="J815" t="s">
        <v>128</v>
      </c>
      <c r="K815" t="s">
        <v>124</v>
      </c>
      <c r="L815" t="s">
        <v>174</v>
      </c>
      <c r="M815" t="s">
        <v>124</v>
      </c>
      <c r="N815" t="s">
        <v>45</v>
      </c>
      <c r="O815" t="s">
        <v>45</v>
      </c>
      <c r="P815">
        <v>2</v>
      </c>
      <c r="Q815" s="7">
        <v>46228</v>
      </c>
      <c r="R815" s="7">
        <v>46228</v>
      </c>
      <c r="S815" s="7">
        <v>46228</v>
      </c>
      <c r="T815" t="s">
        <v>45</v>
      </c>
      <c r="V815" t="s">
        <v>175</v>
      </c>
      <c r="W815" t="s">
        <v>45</v>
      </c>
      <c r="X815" t="s">
        <v>45</v>
      </c>
      <c r="Y815" t="s">
        <v>45</v>
      </c>
      <c r="Z815" t="s">
        <v>45</v>
      </c>
      <c r="AF815">
        <v>2</v>
      </c>
      <c r="AH815" t="s">
        <v>75</v>
      </c>
      <c r="AI815">
        <v>1</v>
      </c>
      <c r="AJ815" s="15"/>
      <c r="AN815" t="s">
        <v>74</v>
      </c>
      <c r="AO815" t="s">
        <v>86</v>
      </c>
      <c r="AP815">
        <v>7</v>
      </c>
      <c r="AQ815" t="s">
        <v>86</v>
      </c>
      <c r="AR815" s="18" t="str">
        <f>IFERROR(VLOOKUP(K815,[1]POP!$F:$J,1,0),M815)</f>
        <v>MADA</v>
      </c>
      <c r="AS815" s="18" t="str">
        <f t="shared" si="61"/>
        <v>NAGA</v>
      </c>
      <c r="AT815" s="19">
        <f t="shared" si="64"/>
        <v>2</v>
      </c>
      <c r="AU815" s="19">
        <f t="shared" ca="1" si="63"/>
        <v>2</v>
      </c>
    </row>
    <row r="816" spans="1:47" x14ac:dyDescent="0.3">
      <c r="A816" t="s">
        <v>1178</v>
      </c>
      <c r="B816" t="str">
        <f t="shared" si="60"/>
        <v>S30_2026</v>
      </c>
      <c r="C816" t="str">
        <f t="shared" si="62"/>
        <v>S30_2026</v>
      </c>
      <c r="F816">
        <v>11</v>
      </c>
      <c r="G816" t="s">
        <v>55</v>
      </c>
      <c r="I816" t="s">
        <v>128</v>
      </c>
      <c r="J816" t="s">
        <v>128</v>
      </c>
      <c r="K816" t="s">
        <v>124</v>
      </c>
      <c r="L816" t="s">
        <v>174</v>
      </c>
      <c r="M816" t="s">
        <v>124</v>
      </c>
      <c r="N816" t="s">
        <v>45</v>
      </c>
      <c r="O816" t="s">
        <v>45</v>
      </c>
      <c r="P816">
        <v>3</v>
      </c>
      <c r="Q816" s="7">
        <v>46228</v>
      </c>
      <c r="R816" s="7">
        <v>46228</v>
      </c>
      <c r="S816" s="7">
        <v>46228</v>
      </c>
      <c r="T816" t="s">
        <v>45</v>
      </c>
      <c r="V816" t="s">
        <v>175</v>
      </c>
      <c r="W816" t="s">
        <v>45</v>
      </c>
      <c r="X816" t="s">
        <v>45</v>
      </c>
      <c r="Y816" t="s">
        <v>45</v>
      </c>
      <c r="Z816" t="s">
        <v>45</v>
      </c>
      <c r="AF816">
        <v>2</v>
      </c>
      <c r="AH816" t="s">
        <v>75</v>
      </c>
      <c r="AI816">
        <v>1</v>
      </c>
      <c r="AJ816" s="15"/>
      <c r="AN816" t="s">
        <v>74</v>
      </c>
      <c r="AO816" t="s">
        <v>86</v>
      </c>
      <c r="AP816">
        <v>5</v>
      </c>
      <c r="AQ816" t="s">
        <v>86</v>
      </c>
      <c r="AR816" s="18" t="str">
        <f>IFERROR(VLOOKUP(K816,[1]POP!$F:$J,1,0),M816)</f>
        <v>MADA</v>
      </c>
      <c r="AS816" s="18" t="str">
        <f t="shared" si="61"/>
        <v>NAGA</v>
      </c>
      <c r="AT816" s="19">
        <f t="shared" si="64"/>
        <v>2</v>
      </c>
      <c r="AU816" s="19">
        <f t="shared" ca="1" si="63"/>
        <v>2</v>
      </c>
    </row>
    <row r="817" spans="1:47" x14ac:dyDescent="0.3">
      <c r="A817" t="s">
        <v>1179</v>
      </c>
      <c r="B817" t="str">
        <f t="shared" si="60"/>
        <v>S30_2026</v>
      </c>
      <c r="C817" t="str">
        <f t="shared" si="62"/>
        <v>S30_2026</v>
      </c>
      <c r="F817">
        <v>13</v>
      </c>
      <c r="G817" t="s">
        <v>55</v>
      </c>
      <c r="I817" t="s">
        <v>173</v>
      </c>
      <c r="J817" t="s">
        <v>173</v>
      </c>
      <c r="K817" t="s">
        <v>124</v>
      </c>
      <c r="L817" t="s">
        <v>174</v>
      </c>
      <c r="M817" t="s">
        <v>124</v>
      </c>
      <c r="N817" t="s">
        <v>45</v>
      </c>
      <c r="O817" t="s">
        <v>45</v>
      </c>
      <c r="P817">
        <v>1</v>
      </c>
      <c r="Q817" s="7">
        <v>46228</v>
      </c>
      <c r="R817" s="7">
        <v>46228</v>
      </c>
      <c r="S817" s="7">
        <v>46228</v>
      </c>
      <c r="T817" t="s">
        <v>45</v>
      </c>
      <c r="V817" t="s">
        <v>175</v>
      </c>
      <c r="W817" t="s">
        <v>45</v>
      </c>
      <c r="X817" t="s">
        <v>74</v>
      </c>
      <c r="Y817" t="s">
        <v>74</v>
      </c>
      <c r="Z817" t="s">
        <v>45</v>
      </c>
      <c r="AF817">
        <v>2</v>
      </c>
      <c r="AH817" t="s">
        <v>75</v>
      </c>
      <c r="AI817">
        <v>1</v>
      </c>
      <c r="AJ817" s="15"/>
      <c r="AN817" t="s">
        <v>74</v>
      </c>
      <c r="AO817" t="s">
        <v>86</v>
      </c>
      <c r="AP817">
        <v>5</v>
      </c>
      <c r="AQ817" t="s">
        <v>86</v>
      </c>
      <c r="AR817" s="18" t="str">
        <f>IFERROR(VLOOKUP(K817,[1]POP!$F:$J,1,0),M817)</f>
        <v>MADA</v>
      </c>
      <c r="AS817" s="18" t="str">
        <f t="shared" si="61"/>
        <v>TCHIKA</v>
      </c>
      <c r="AT817" s="19">
        <f t="shared" si="64"/>
        <v>2</v>
      </c>
      <c r="AU817" s="19">
        <f t="shared" ca="1" si="63"/>
        <v>2</v>
      </c>
    </row>
    <row r="818" spans="1:47" x14ac:dyDescent="0.3">
      <c r="A818" t="s">
        <v>1180</v>
      </c>
      <c r="B818" t="str">
        <f t="shared" si="60"/>
        <v>S30_2026</v>
      </c>
      <c r="C818" t="str">
        <f t="shared" si="62"/>
        <v>S30_2026</v>
      </c>
      <c r="F818">
        <v>2</v>
      </c>
      <c r="G818" t="s">
        <v>55</v>
      </c>
      <c r="I818" t="s">
        <v>477</v>
      </c>
      <c r="J818" t="s">
        <v>128</v>
      </c>
      <c r="K818" t="s">
        <v>124</v>
      </c>
      <c r="L818" t="s">
        <v>174</v>
      </c>
      <c r="M818" t="s">
        <v>124</v>
      </c>
      <c r="N818" t="s">
        <v>45</v>
      </c>
      <c r="O818" t="s">
        <v>45</v>
      </c>
      <c r="P818">
        <v>2</v>
      </c>
      <c r="Q818" s="7">
        <v>46228</v>
      </c>
      <c r="R818" s="7">
        <v>46228</v>
      </c>
      <c r="S818" s="7">
        <v>46228</v>
      </c>
      <c r="T818" t="s">
        <v>45</v>
      </c>
      <c r="V818" t="s">
        <v>175</v>
      </c>
      <c r="W818" t="s">
        <v>45</v>
      </c>
      <c r="X818" t="s">
        <v>45</v>
      </c>
      <c r="Y818" t="s">
        <v>45</v>
      </c>
      <c r="Z818" t="s">
        <v>45</v>
      </c>
      <c r="AF818">
        <v>2</v>
      </c>
      <c r="AH818" t="s">
        <v>75</v>
      </c>
      <c r="AI818">
        <v>1</v>
      </c>
      <c r="AJ818" s="15"/>
      <c r="AN818" t="s">
        <v>74</v>
      </c>
      <c r="AO818" t="s">
        <v>86</v>
      </c>
      <c r="AP818">
        <v>9</v>
      </c>
      <c r="AQ818" t="s">
        <v>86</v>
      </c>
      <c r="AR818" s="18" t="str">
        <f>IFERROR(VLOOKUP(K818,[1]POP!$F:$J,1,0),M818)</f>
        <v>MADA</v>
      </c>
      <c r="AS818" s="18" t="str">
        <f t="shared" si="61"/>
        <v>NAGA</v>
      </c>
      <c r="AT818" s="19">
        <f t="shared" si="64"/>
        <v>2</v>
      </c>
      <c r="AU818" s="19">
        <f t="shared" ca="1" si="63"/>
        <v>2</v>
      </c>
    </row>
    <row r="819" spans="1:47" x14ac:dyDescent="0.3">
      <c r="A819" t="s">
        <v>1181</v>
      </c>
      <c r="B819" t="str">
        <f t="shared" si="60"/>
        <v>S30_2026</v>
      </c>
      <c r="C819" t="str">
        <f t="shared" si="62"/>
        <v>S30_2026</v>
      </c>
      <c r="F819">
        <v>13</v>
      </c>
      <c r="G819" t="s">
        <v>40</v>
      </c>
      <c r="I819" t="s">
        <v>477</v>
      </c>
      <c r="J819" t="s">
        <v>128</v>
      </c>
      <c r="K819" t="s">
        <v>124</v>
      </c>
      <c r="L819" t="s">
        <v>174</v>
      </c>
      <c r="M819" t="s">
        <v>124</v>
      </c>
      <c r="N819" t="s">
        <v>45</v>
      </c>
      <c r="O819" t="s">
        <v>45</v>
      </c>
      <c r="P819">
        <v>1</v>
      </c>
      <c r="Q819" s="7">
        <v>46228</v>
      </c>
      <c r="R819" s="7">
        <v>46228</v>
      </c>
      <c r="S819" s="7">
        <v>46228</v>
      </c>
      <c r="T819" t="s">
        <v>45</v>
      </c>
      <c r="V819" t="s">
        <v>175</v>
      </c>
      <c r="W819" t="s">
        <v>45</v>
      </c>
      <c r="X819" t="s">
        <v>74</v>
      </c>
      <c r="Y819" t="s">
        <v>74</v>
      </c>
      <c r="Z819" t="s">
        <v>45</v>
      </c>
      <c r="AF819">
        <v>2</v>
      </c>
      <c r="AH819" t="s">
        <v>75</v>
      </c>
      <c r="AI819">
        <v>1</v>
      </c>
      <c r="AJ819" s="15"/>
      <c r="AN819" t="s">
        <v>74</v>
      </c>
      <c r="AO819" t="s">
        <v>86</v>
      </c>
      <c r="AP819">
        <v>8</v>
      </c>
      <c r="AQ819" t="s">
        <v>86</v>
      </c>
      <c r="AR819" s="18" t="str">
        <f>IFERROR(VLOOKUP(K819,[1]POP!$F:$J,1,0),M819)</f>
        <v>MADA</v>
      </c>
      <c r="AS819" s="18" t="str">
        <f t="shared" si="61"/>
        <v>NAGA</v>
      </c>
      <c r="AT819" s="19">
        <f t="shared" si="64"/>
        <v>2</v>
      </c>
      <c r="AU819" s="19">
        <f t="shared" ca="1" si="63"/>
        <v>2</v>
      </c>
    </row>
    <row r="820" spans="1:47" x14ac:dyDescent="0.3">
      <c r="A820" t="s">
        <v>1182</v>
      </c>
      <c r="B820" t="str">
        <f t="shared" si="60"/>
        <v>S30_2026</v>
      </c>
      <c r="C820" t="str">
        <f t="shared" si="62"/>
        <v>S30_2026</v>
      </c>
      <c r="F820">
        <v>7</v>
      </c>
      <c r="G820" t="s">
        <v>40</v>
      </c>
      <c r="I820" t="s">
        <v>477</v>
      </c>
      <c r="J820" t="s">
        <v>128</v>
      </c>
      <c r="K820" t="s">
        <v>124</v>
      </c>
      <c r="L820" t="s">
        <v>174</v>
      </c>
      <c r="M820" t="s">
        <v>124</v>
      </c>
      <c r="N820" t="s">
        <v>45</v>
      </c>
      <c r="O820" t="s">
        <v>45</v>
      </c>
      <c r="P820">
        <v>1</v>
      </c>
      <c r="Q820" s="7">
        <v>46228</v>
      </c>
      <c r="R820" s="7">
        <v>46228</v>
      </c>
      <c r="S820" s="7">
        <v>46228</v>
      </c>
      <c r="T820" t="s">
        <v>45</v>
      </c>
      <c r="V820" t="s">
        <v>175</v>
      </c>
      <c r="W820" t="s">
        <v>45</v>
      </c>
      <c r="X820" t="s">
        <v>74</v>
      </c>
      <c r="Y820" t="s">
        <v>74</v>
      </c>
      <c r="Z820" t="s">
        <v>45</v>
      </c>
      <c r="AF820">
        <v>2</v>
      </c>
      <c r="AH820" t="s">
        <v>75</v>
      </c>
      <c r="AI820">
        <v>1</v>
      </c>
      <c r="AJ820" s="15"/>
      <c r="AN820" t="s">
        <v>74</v>
      </c>
      <c r="AO820" t="s">
        <v>86</v>
      </c>
      <c r="AP820">
        <v>7</v>
      </c>
      <c r="AQ820" t="s">
        <v>86</v>
      </c>
      <c r="AR820" s="18" t="str">
        <f>IFERROR(VLOOKUP(K820,[1]POP!$F:$J,1,0),M820)</f>
        <v>MADA</v>
      </c>
      <c r="AS820" s="18" t="str">
        <f t="shared" si="61"/>
        <v>NAGA</v>
      </c>
      <c r="AT820" s="19">
        <f t="shared" si="64"/>
        <v>2</v>
      </c>
      <c r="AU820" s="19">
        <f t="shared" ca="1" si="63"/>
        <v>2</v>
      </c>
    </row>
    <row r="821" spans="1:47" x14ac:dyDescent="0.3">
      <c r="A821" t="s">
        <v>1183</v>
      </c>
      <c r="B821" t="str">
        <f t="shared" si="60"/>
        <v>S30_2026</v>
      </c>
      <c r="C821" t="str">
        <f t="shared" si="62"/>
        <v>S30_2026</v>
      </c>
      <c r="F821">
        <v>4</v>
      </c>
      <c r="G821" t="s">
        <v>55</v>
      </c>
      <c r="I821" t="s">
        <v>127</v>
      </c>
      <c r="J821" t="s">
        <v>173</v>
      </c>
      <c r="K821" t="s">
        <v>124</v>
      </c>
      <c r="L821" t="s">
        <v>174</v>
      </c>
      <c r="M821" t="s">
        <v>124</v>
      </c>
      <c r="N821" t="s">
        <v>45</v>
      </c>
      <c r="O821" t="s">
        <v>45</v>
      </c>
      <c r="P821">
        <v>2</v>
      </c>
      <c r="Q821" s="7">
        <v>46229</v>
      </c>
      <c r="R821" s="7">
        <v>46229</v>
      </c>
      <c r="S821" s="7">
        <v>46229</v>
      </c>
      <c r="T821" t="s">
        <v>45</v>
      </c>
      <c r="V821" t="s">
        <v>175</v>
      </c>
      <c r="W821" t="s">
        <v>45</v>
      </c>
      <c r="X821" t="s">
        <v>74</v>
      </c>
      <c r="Y821" t="s">
        <v>74</v>
      </c>
      <c r="Z821" t="s">
        <v>45</v>
      </c>
      <c r="AF821">
        <v>2</v>
      </c>
      <c r="AH821" t="s">
        <v>75</v>
      </c>
      <c r="AI821">
        <v>1</v>
      </c>
      <c r="AJ821" s="15"/>
      <c r="AN821" t="s">
        <v>74</v>
      </c>
      <c r="AO821" t="s">
        <v>86</v>
      </c>
      <c r="AP821">
        <v>6</v>
      </c>
      <c r="AQ821" t="s">
        <v>86</v>
      </c>
      <c r="AR821" s="18" t="str">
        <f>IFERROR(VLOOKUP(K821,[1]POP!$F:$J,1,0),M821)</f>
        <v>MADA</v>
      </c>
      <c r="AS821" s="18" t="str">
        <f t="shared" si="61"/>
        <v>TCHIKA</v>
      </c>
      <c r="AT821" s="19">
        <f t="shared" si="64"/>
        <v>2</v>
      </c>
      <c r="AU821" s="19">
        <f t="shared" ca="1" si="63"/>
        <v>2</v>
      </c>
    </row>
    <row r="822" spans="1:47" x14ac:dyDescent="0.3">
      <c r="A822" t="s">
        <v>1184</v>
      </c>
      <c r="B822" t="str">
        <f t="shared" si="60"/>
        <v>S30_2026</v>
      </c>
      <c r="C822" t="str">
        <f t="shared" si="62"/>
        <v>S30_2026</v>
      </c>
      <c r="F822">
        <v>3</v>
      </c>
      <c r="G822" t="s">
        <v>40</v>
      </c>
      <c r="I822" t="s">
        <v>173</v>
      </c>
      <c r="J822" t="s">
        <v>173</v>
      </c>
      <c r="K822" t="s">
        <v>124</v>
      </c>
      <c r="L822" t="s">
        <v>174</v>
      </c>
      <c r="M822" t="s">
        <v>124</v>
      </c>
      <c r="N822" t="s">
        <v>45</v>
      </c>
      <c r="O822" t="s">
        <v>45</v>
      </c>
      <c r="P822">
        <v>2</v>
      </c>
      <c r="Q822" s="7">
        <v>46229</v>
      </c>
      <c r="R822" s="7">
        <v>46229</v>
      </c>
      <c r="S822" s="7">
        <v>46229</v>
      </c>
      <c r="T822" t="s">
        <v>45</v>
      </c>
      <c r="V822" t="s">
        <v>175</v>
      </c>
      <c r="W822" t="s">
        <v>45</v>
      </c>
      <c r="X822" t="s">
        <v>74</v>
      </c>
      <c r="Y822" t="s">
        <v>74</v>
      </c>
      <c r="Z822" t="s">
        <v>45</v>
      </c>
      <c r="AF822">
        <v>2</v>
      </c>
      <c r="AH822" t="s">
        <v>75</v>
      </c>
      <c r="AI822">
        <v>1</v>
      </c>
      <c r="AJ822" s="15"/>
      <c r="AN822" t="s">
        <v>74</v>
      </c>
      <c r="AO822" t="s">
        <v>86</v>
      </c>
      <c r="AP822">
        <v>7</v>
      </c>
      <c r="AQ822" t="s">
        <v>86</v>
      </c>
      <c r="AR822" s="18" t="str">
        <f>IFERROR(VLOOKUP(K822,[1]POP!$F:$J,1,0),M822)</f>
        <v>MADA</v>
      </c>
      <c r="AS822" s="18" t="str">
        <f t="shared" si="61"/>
        <v>TCHIKA</v>
      </c>
      <c r="AT822" s="19">
        <f t="shared" si="64"/>
        <v>2</v>
      </c>
      <c r="AU822" s="19">
        <f t="shared" ca="1" si="63"/>
        <v>2</v>
      </c>
    </row>
    <row r="823" spans="1:47" x14ac:dyDescent="0.3">
      <c r="A823" t="s">
        <v>1185</v>
      </c>
      <c r="B823" t="str">
        <f t="shared" si="60"/>
        <v>S30_2026</v>
      </c>
      <c r="C823" t="str">
        <f t="shared" si="62"/>
        <v>S30_2026</v>
      </c>
      <c r="F823">
        <v>3</v>
      </c>
      <c r="G823" t="s">
        <v>55</v>
      </c>
      <c r="I823" t="s">
        <v>1186</v>
      </c>
      <c r="J823" t="s">
        <v>174</v>
      </c>
      <c r="K823" t="s">
        <v>124</v>
      </c>
      <c r="L823" t="s">
        <v>174</v>
      </c>
      <c r="M823" t="s">
        <v>124</v>
      </c>
      <c r="N823" t="s">
        <v>45</v>
      </c>
      <c r="O823" t="s">
        <v>45</v>
      </c>
      <c r="P823">
        <v>2</v>
      </c>
      <c r="Q823" s="7">
        <v>46229</v>
      </c>
      <c r="R823" s="7">
        <v>46229</v>
      </c>
      <c r="S823" s="7">
        <v>46229</v>
      </c>
      <c r="T823" t="s">
        <v>45</v>
      </c>
      <c r="V823" t="s">
        <v>175</v>
      </c>
      <c r="W823" t="s">
        <v>45</v>
      </c>
      <c r="X823" t="s">
        <v>74</v>
      </c>
      <c r="Y823" t="s">
        <v>74</v>
      </c>
      <c r="Z823" t="s">
        <v>45</v>
      </c>
      <c r="AF823">
        <v>2</v>
      </c>
      <c r="AH823" t="s">
        <v>75</v>
      </c>
      <c r="AI823">
        <v>1</v>
      </c>
      <c r="AJ823" s="15"/>
      <c r="AN823" t="s">
        <v>74</v>
      </c>
      <c r="AO823" t="s">
        <v>86</v>
      </c>
      <c r="AP823">
        <v>6</v>
      </c>
      <c r="AQ823" t="s">
        <v>86</v>
      </c>
      <c r="AR823" s="18" t="str">
        <f>IFERROR(VLOOKUP(K823,[1]POP!$F:$J,1,0),M823)</f>
        <v>MADA</v>
      </c>
      <c r="AS823" s="18" t="str">
        <f t="shared" si="61"/>
        <v>HILE ALIFA</v>
      </c>
      <c r="AT823" s="19">
        <f t="shared" si="64"/>
        <v>2</v>
      </c>
      <c r="AU823" s="19">
        <f t="shared" ca="1" si="63"/>
        <v>2</v>
      </c>
    </row>
    <row r="824" spans="1:47" x14ac:dyDescent="0.3">
      <c r="A824" t="s">
        <v>1187</v>
      </c>
      <c r="B824" t="str">
        <f t="shared" si="60"/>
        <v>S29_2026</v>
      </c>
      <c r="C824" t="str">
        <f t="shared" si="62"/>
        <v>S29_2026</v>
      </c>
      <c r="E824" t="s">
        <v>143</v>
      </c>
      <c r="F824">
        <v>70</v>
      </c>
      <c r="G824" t="s">
        <v>55</v>
      </c>
      <c r="H824" t="s">
        <v>70</v>
      </c>
      <c r="I824" t="s">
        <v>739</v>
      </c>
      <c r="J824" t="s">
        <v>740</v>
      </c>
      <c r="K824" t="s">
        <v>146</v>
      </c>
      <c r="L824" t="s">
        <v>741</v>
      </c>
      <c r="M824" t="s">
        <v>146</v>
      </c>
      <c r="N824" t="s">
        <v>45</v>
      </c>
      <c r="O824" t="s">
        <v>45</v>
      </c>
      <c r="P824">
        <v>2</v>
      </c>
      <c r="Q824" s="7">
        <v>46222</v>
      </c>
      <c r="R824" s="7">
        <v>46222</v>
      </c>
      <c r="S824" s="7">
        <v>46222</v>
      </c>
      <c r="T824" t="s">
        <v>45</v>
      </c>
      <c r="V824" t="s">
        <v>742</v>
      </c>
      <c r="W824" t="s">
        <v>45</v>
      </c>
      <c r="X824" t="s">
        <v>45</v>
      </c>
      <c r="Y824" t="s">
        <v>45</v>
      </c>
      <c r="Z824" t="s">
        <v>45</v>
      </c>
      <c r="AE824" s="7">
        <v>46224</v>
      </c>
      <c r="AF824">
        <v>2</v>
      </c>
      <c r="AH824" t="s">
        <v>75</v>
      </c>
      <c r="AI824">
        <v>1</v>
      </c>
      <c r="AJ824" s="15"/>
      <c r="AK824" t="s">
        <v>74</v>
      </c>
      <c r="AN824" t="s">
        <v>74</v>
      </c>
      <c r="AO824" t="s">
        <v>86</v>
      </c>
      <c r="AP824">
        <v>6</v>
      </c>
      <c r="AQ824" t="s">
        <v>86</v>
      </c>
      <c r="AR824" s="18" t="str">
        <f>IFERROR(VLOOKUP(K824,[1]POP!$F:$J,1,0),M824)</f>
        <v>KOLOFATA</v>
      </c>
      <c r="AS824" s="18" t="str">
        <f t="shared" si="61"/>
        <v>KOLOFATA 2</v>
      </c>
      <c r="AT824" s="19">
        <f t="shared" si="64"/>
        <v>2</v>
      </c>
      <c r="AU824" s="19">
        <f t="shared" ca="1" si="63"/>
        <v>2</v>
      </c>
    </row>
    <row r="825" spans="1:47" x14ac:dyDescent="0.3">
      <c r="A825" t="s">
        <v>1188</v>
      </c>
      <c r="B825" t="str">
        <f t="shared" si="60"/>
        <v>S30_2026</v>
      </c>
      <c r="C825" t="str">
        <f t="shared" si="62"/>
        <v>S30_2026</v>
      </c>
      <c r="E825" t="s">
        <v>143</v>
      </c>
      <c r="F825">
        <v>5</v>
      </c>
      <c r="G825" t="s">
        <v>40</v>
      </c>
      <c r="H825" t="s">
        <v>85</v>
      </c>
      <c r="I825" t="s">
        <v>739</v>
      </c>
      <c r="J825" t="s">
        <v>740</v>
      </c>
      <c r="K825" t="s">
        <v>146</v>
      </c>
      <c r="L825" t="s">
        <v>741</v>
      </c>
      <c r="M825" t="s">
        <v>146</v>
      </c>
      <c r="N825" t="s">
        <v>45</v>
      </c>
      <c r="O825" t="s">
        <v>45</v>
      </c>
      <c r="P825">
        <v>2</v>
      </c>
      <c r="Q825" s="7">
        <v>46227</v>
      </c>
      <c r="R825" s="7">
        <v>46227</v>
      </c>
      <c r="S825" s="7">
        <v>46227</v>
      </c>
      <c r="T825" t="s">
        <v>45</v>
      </c>
      <c r="V825" t="s">
        <v>742</v>
      </c>
      <c r="W825" t="s">
        <v>45</v>
      </c>
      <c r="X825" t="s">
        <v>45</v>
      </c>
      <c r="Y825" t="s">
        <v>45</v>
      </c>
      <c r="Z825" t="s">
        <v>45</v>
      </c>
      <c r="AB825" t="s">
        <v>48</v>
      </c>
      <c r="AC825" t="s">
        <v>74</v>
      </c>
      <c r="AE825" s="7">
        <v>46229</v>
      </c>
      <c r="AF825">
        <v>2</v>
      </c>
      <c r="AH825" t="s">
        <v>75</v>
      </c>
      <c r="AI825">
        <v>1</v>
      </c>
      <c r="AJ825" s="15"/>
      <c r="AK825" t="s">
        <v>74</v>
      </c>
      <c r="AN825" t="s">
        <v>74</v>
      </c>
      <c r="AO825" t="s">
        <v>86</v>
      </c>
      <c r="AP825">
        <v>6</v>
      </c>
      <c r="AQ825" t="s">
        <v>86</v>
      </c>
      <c r="AR825" s="18" t="str">
        <f>IFERROR(VLOOKUP(K825,[1]POP!$F:$J,1,0),M825)</f>
        <v>KOLOFATA</v>
      </c>
      <c r="AS825" s="18" t="str">
        <f t="shared" si="61"/>
        <v>KOLOFATA 2</v>
      </c>
      <c r="AT825" s="19">
        <f t="shared" si="64"/>
        <v>2</v>
      </c>
      <c r="AU825" s="19">
        <f t="shared" ca="1" si="63"/>
        <v>2</v>
      </c>
    </row>
    <row r="826" spans="1:47" x14ac:dyDescent="0.3">
      <c r="A826" t="s">
        <v>1189</v>
      </c>
      <c r="B826" t="str">
        <f t="shared" si="60"/>
        <v>S30_2026</v>
      </c>
      <c r="C826" t="str">
        <f t="shared" si="62"/>
        <v>S30_2026</v>
      </c>
      <c r="E826" t="s">
        <v>143</v>
      </c>
      <c r="F826">
        <v>6</v>
      </c>
      <c r="G826" t="s">
        <v>40</v>
      </c>
      <c r="H826" t="s">
        <v>85</v>
      </c>
      <c r="I826" t="s">
        <v>751</v>
      </c>
      <c r="J826" t="s">
        <v>752</v>
      </c>
      <c r="K826" t="s">
        <v>146</v>
      </c>
      <c r="L826" t="s">
        <v>752</v>
      </c>
      <c r="M826" t="s">
        <v>146</v>
      </c>
      <c r="N826" t="s">
        <v>45</v>
      </c>
      <c r="O826" t="s">
        <v>45</v>
      </c>
      <c r="P826">
        <v>3</v>
      </c>
      <c r="Q826" s="7">
        <v>46227</v>
      </c>
      <c r="R826" s="7">
        <v>46228</v>
      </c>
      <c r="S826" s="7">
        <v>46228</v>
      </c>
      <c r="T826" t="s">
        <v>45</v>
      </c>
      <c r="V826" t="s">
        <v>753</v>
      </c>
      <c r="W826" t="s">
        <v>45</v>
      </c>
      <c r="X826" t="s">
        <v>45</v>
      </c>
      <c r="Y826" t="s">
        <v>45</v>
      </c>
      <c r="Z826" t="s">
        <v>45</v>
      </c>
      <c r="AB826" t="s">
        <v>48</v>
      </c>
      <c r="AC826" t="s">
        <v>74</v>
      </c>
      <c r="AE826" s="7">
        <v>46230</v>
      </c>
      <c r="AF826">
        <v>2</v>
      </c>
      <c r="AH826" t="s">
        <v>75</v>
      </c>
      <c r="AI826">
        <v>1</v>
      </c>
      <c r="AJ826" s="15"/>
      <c r="AK826" t="s">
        <v>74</v>
      </c>
      <c r="AN826" t="s">
        <v>74</v>
      </c>
      <c r="AO826" t="s">
        <v>86</v>
      </c>
      <c r="AP826">
        <v>5</v>
      </c>
      <c r="AQ826" t="s">
        <v>86</v>
      </c>
      <c r="AR826" s="18" t="str">
        <f>IFERROR(VLOOKUP(K826,[1]POP!$F:$J,1,0),M826)</f>
        <v>KOLOFATA</v>
      </c>
      <c r="AS826" s="18" t="str">
        <f t="shared" si="61"/>
        <v>LIMANI</v>
      </c>
      <c r="AT826" s="19">
        <f t="shared" si="64"/>
        <v>2</v>
      </c>
      <c r="AU826" s="19">
        <f t="shared" ca="1" si="63"/>
        <v>2</v>
      </c>
    </row>
    <row r="827" spans="1:47" x14ac:dyDescent="0.3">
      <c r="A827" t="s">
        <v>1190</v>
      </c>
      <c r="B827" t="str">
        <f t="shared" si="60"/>
        <v>S30_2026</v>
      </c>
      <c r="C827" t="str">
        <f t="shared" si="62"/>
        <v>S30_2026</v>
      </c>
      <c r="E827" t="s">
        <v>143</v>
      </c>
      <c r="F827">
        <v>13</v>
      </c>
      <c r="G827" t="s">
        <v>55</v>
      </c>
      <c r="H827" t="s">
        <v>85</v>
      </c>
      <c r="I827" t="s">
        <v>751</v>
      </c>
      <c r="J827" t="s">
        <v>752</v>
      </c>
      <c r="K827" t="s">
        <v>146</v>
      </c>
      <c r="L827" t="s">
        <v>752</v>
      </c>
      <c r="M827" t="s">
        <v>146</v>
      </c>
      <c r="N827" t="s">
        <v>45</v>
      </c>
      <c r="O827" t="s">
        <v>45</v>
      </c>
      <c r="P827">
        <v>3</v>
      </c>
      <c r="Q827" s="7">
        <v>46228</v>
      </c>
      <c r="R827" s="7">
        <v>46228</v>
      </c>
      <c r="S827" s="7">
        <v>46228</v>
      </c>
      <c r="T827" t="s">
        <v>45</v>
      </c>
      <c r="V827" t="s">
        <v>753</v>
      </c>
      <c r="W827" t="s">
        <v>45</v>
      </c>
      <c r="X827" t="s">
        <v>45</v>
      </c>
      <c r="Y827" t="s">
        <v>45</v>
      </c>
      <c r="Z827" t="s">
        <v>45</v>
      </c>
      <c r="AB827" t="s">
        <v>48</v>
      </c>
      <c r="AC827" t="s">
        <v>74</v>
      </c>
      <c r="AE827" s="7">
        <v>46230</v>
      </c>
      <c r="AF827">
        <v>2</v>
      </c>
      <c r="AH827" t="s">
        <v>75</v>
      </c>
      <c r="AI827">
        <v>1</v>
      </c>
      <c r="AJ827" s="15"/>
      <c r="AK827" t="s">
        <v>74</v>
      </c>
      <c r="AN827" t="s">
        <v>74</v>
      </c>
      <c r="AO827" t="s">
        <v>86</v>
      </c>
      <c r="AP827">
        <v>7</v>
      </c>
      <c r="AQ827" t="s">
        <v>86</v>
      </c>
      <c r="AR827" s="18" t="str">
        <f>IFERROR(VLOOKUP(K827,[1]POP!$F:$J,1,0),M827)</f>
        <v>KOLOFATA</v>
      </c>
      <c r="AS827" s="18" t="str">
        <f t="shared" si="61"/>
        <v>LIMANI</v>
      </c>
      <c r="AT827" s="19">
        <f t="shared" si="64"/>
        <v>2</v>
      </c>
      <c r="AU827" s="19">
        <f t="shared" ca="1" si="63"/>
        <v>2</v>
      </c>
    </row>
    <row r="828" spans="1:47" x14ac:dyDescent="0.3">
      <c r="A828" t="s">
        <v>1191</v>
      </c>
      <c r="B828" t="str">
        <f t="shared" si="60"/>
        <v>S30_2026</v>
      </c>
      <c r="C828" t="str">
        <f t="shared" si="62"/>
        <v>S30_2026</v>
      </c>
      <c r="E828" t="s">
        <v>143</v>
      </c>
      <c r="F828">
        <v>25</v>
      </c>
      <c r="G828" t="s">
        <v>55</v>
      </c>
      <c r="H828" t="s">
        <v>70</v>
      </c>
      <c r="I828" t="s">
        <v>851</v>
      </c>
      <c r="J828" t="s">
        <v>851</v>
      </c>
      <c r="K828" t="s">
        <v>146</v>
      </c>
      <c r="L828" t="s">
        <v>851</v>
      </c>
      <c r="M828" t="s">
        <v>146</v>
      </c>
      <c r="N828" t="s">
        <v>45</v>
      </c>
      <c r="O828" t="s">
        <v>45</v>
      </c>
      <c r="P828">
        <v>1</v>
      </c>
      <c r="Q828" s="7">
        <v>46228</v>
      </c>
      <c r="R828" s="7">
        <v>46228</v>
      </c>
      <c r="S828" s="7">
        <v>46228</v>
      </c>
      <c r="T828" t="s">
        <v>45</v>
      </c>
      <c r="V828" t="s">
        <v>1048</v>
      </c>
      <c r="W828" t="s">
        <v>45</v>
      </c>
      <c r="X828" t="s">
        <v>45</v>
      </c>
      <c r="Y828" t="s">
        <v>45</v>
      </c>
      <c r="Z828" t="s">
        <v>45</v>
      </c>
      <c r="AB828" t="s">
        <v>48</v>
      </c>
      <c r="AC828" t="s">
        <v>74</v>
      </c>
      <c r="AE828" s="7">
        <v>46230</v>
      </c>
      <c r="AF828">
        <v>2</v>
      </c>
      <c r="AH828" t="s">
        <v>75</v>
      </c>
      <c r="AI828">
        <v>1</v>
      </c>
      <c r="AJ828" s="15"/>
      <c r="AK828" t="s">
        <v>74</v>
      </c>
      <c r="AN828" t="s">
        <v>74</v>
      </c>
      <c r="AO828" t="s">
        <v>86</v>
      </c>
      <c r="AP828">
        <v>4</v>
      </c>
      <c r="AQ828" t="s">
        <v>86</v>
      </c>
      <c r="AR828" s="18" t="str">
        <f>IFERROR(VLOOKUP(K828,[1]POP!$F:$J,1,0),M828)</f>
        <v>KOLOFATA</v>
      </c>
      <c r="AS828" s="18" t="str">
        <f t="shared" si="61"/>
        <v>TOLKOMARI</v>
      </c>
      <c r="AT828" s="19">
        <f t="shared" si="64"/>
        <v>2</v>
      </c>
      <c r="AU828" s="19">
        <f t="shared" ca="1" si="63"/>
        <v>2</v>
      </c>
    </row>
    <row r="829" spans="1:47" x14ac:dyDescent="0.3">
      <c r="A829" t="s">
        <v>1192</v>
      </c>
      <c r="B829" t="str">
        <f t="shared" si="60"/>
        <v>S30_2026</v>
      </c>
      <c r="C829" t="str">
        <f t="shared" si="62"/>
        <v>S30_2026</v>
      </c>
      <c r="E829" t="s">
        <v>143</v>
      </c>
      <c r="F829">
        <v>12</v>
      </c>
      <c r="G829" t="s">
        <v>40</v>
      </c>
      <c r="H829" t="s">
        <v>829</v>
      </c>
      <c r="I829" t="s">
        <v>851</v>
      </c>
      <c r="J829" t="s">
        <v>851</v>
      </c>
      <c r="K829" t="s">
        <v>146</v>
      </c>
      <c r="L829" t="s">
        <v>851</v>
      </c>
      <c r="M829" t="s">
        <v>146</v>
      </c>
      <c r="N829" t="s">
        <v>45</v>
      </c>
      <c r="O829" t="s">
        <v>45</v>
      </c>
      <c r="P829">
        <v>2</v>
      </c>
      <c r="Q829" s="7">
        <v>46228</v>
      </c>
      <c r="R829" s="7">
        <v>46228</v>
      </c>
      <c r="S829" s="7">
        <v>46228</v>
      </c>
      <c r="T829" t="s">
        <v>45</v>
      </c>
      <c r="V829" t="s">
        <v>1048</v>
      </c>
      <c r="W829" t="s">
        <v>45</v>
      </c>
      <c r="X829" t="s">
        <v>45</v>
      </c>
      <c r="Y829" t="s">
        <v>45</v>
      </c>
      <c r="Z829" t="s">
        <v>45</v>
      </c>
      <c r="AB829" t="s">
        <v>48</v>
      </c>
      <c r="AC829" t="s">
        <v>74</v>
      </c>
      <c r="AE829" s="7">
        <v>46230</v>
      </c>
      <c r="AF829">
        <v>2</v>
      </c>
      <c r="AH829" t="s">
        <v>75</v>
      </c>
      <c r="AI829">
        <v>1</v>
      </c>
      <c r="AJ829" s="15"/>
      <c r="AK829" t="s">
        <v>74</v>
      </c>
      <c r="AN829" t="s">
        <v>74</v>
      </c>
      <c r="AO829" t="s">
        <v>86</v>
      </c>
      <c r="AP829">
        <v>5</v>
      </c>
      <c r="AQ829" t="s">
        <v>86</v>
      </c>
      <c r="AR829" s="18" t="str">
        <f>IFERROR(VLOOKUP(K829,[1]POP!$F:$J,1,0),M829)</f>
        <v>KOLOFATA</v>
      </c>
      <c r="AS829" s="18" t="str">
        <f t="shared" si="61"/>
        <v>TOLKOMARI</v>
      </c>
      <c r="AT829" s="19">
        <f t="shared" si="64"/>
        <v>2</v>
      </c>
      <c r="AU829" s="19">
        <f t="shared" ca="1" si="63"/>
        <v>2</v>
      </c>
    </row>
    <row r="830" spans="1:47" x14ac:dyDescent="0.3">
      <c r="A830" t="s">
        <v>1193</v>
      </c>
      <c r="B830" t="str">
        <f t="shared" si="60"/>
        <v>S30_2026</v>
      </c>
      <c r="C830" t="str">
        <f t="shared" si="62"/>
        <v>S30_2026</v>
      </c>
      <c r="E830" t="s">
        <v>143</v>
      </c>
      <c r="F830">
        <v>2</v>
      </c>
      <c r="G830" t="s">
        <v>55</v>
      </c>
      <c r="H830" t="s">
        <v>1194</v>
      </c>
      <c r="I830" t="s">
        <v>851</v>
      </c>
      <c r="J830" t="s">
        <v>851</v>
      </c>
      <c r="K830" t="s">
        <v>146</v>
      </c>
      <c r="L830" t="s">
        <v>851</v>
      </c>
      <c r="M830" t="s">
        <v>146</v>
      </c>
      <c r="N830" t="s">
        <v>45</v>
      </c>
      <c r="O830" t="s">
        <v>45</v>
      </c>
      <c r="P830">
        <v>2</v>
      </c>
      <c r="Q830" s="7">
        <v>46228</v>
      </c>
      <c r="R830" s="7">
        <v>46228</v>
      </c>
      <c r="S830" s="7">
        <v>46228</v>
      </c>
      <c r="T830" t="s">
        <v>45</v>
      </c>
      <c r="V830" t="s">
        <v>1048</v>
      </c>
      <c r="W830" t="s">
        <v>45</v>
      </c>
      <c r="X830" t="s">
        <v>45</v>
      </c>
      <c r="Y830" t="s">
        <v>45</v>
      </c>
      <c r="Z830" t="s">
        <v>45</v>
      </c>
      <c r="AB830" t="s">
        <v>48</v>
      </c>
      <c r="AC830" t="s">
        <v>74</v>
      </c>
      <c r="AF830">
        <v>2</v>
      </c>
      <c r="AH830" t="s">
        <v>75</v>
      </c>
      <c r="AI830">
        <v>1</v>
      </c>
      <c r="AJ830" s="15"/>
      <c r="AK830" t="s">
        <v>74</v>
      </c>
      <c r="AN830"/>
      <c r="AO830"/>
      <c r="AP830"/>
      <c r="AQ830"/>
      <c r="AR830" s="18" t="str">
        <f>IFERROR(VLOOKUP(K830,[1]POP!$F:$J,1,0),M830)</f>
        <v>KOLOFATA</v>
      </c>
      <c r="AS830" s="18" t="str">
        <f t="shared" si="61"/>
        <v>TOLKOMARI</v>
      </c>
      <c r="AT830" s="19">
        <f t="shared" si="64"/>
        <v>2</v>
      </c>
      <c r="AU830" s="19">
        <f t="shared" ca="1" si="63"/>
        <v>2</v>
      </c>
    </row>
    <row r="831" spans="1:47" x14ac:dyDescent="0.3">
      <c r="A831" t="s">
        <v>1195</v>
      </c>
      <c r="B831" t="str">
        <f t="shared" si="60"/>
        <v>S30_2026</v>
      </c>
      <c r="C831" t="str">
        <f t="shared" si="62"/>
        <v>S30_2026</v>
      </c>
      <c r="E831" t="s">
        <v>143</v>
      </c>
      <c r="F831">
        <v>5</v>
      </c>
      <c r="G831" t="s">
        <v>55</v>
      </c>
      <c r="H831" t="s">
        <v>85</v>
      </c>
      <c r="I831" t="s">
        <v>851</v>
      </c>
      <c r="J831" t="s">
        <v>851</v>
      </c>
      <c r="K831" t="s">
        <v>146</v>
      </c>
      <c r="L831" t="s">
        <v>851</v>
      </c>
      <c r="M831" t="s">
        <v>146</v>
      </c>
      <c r="N831" t="s">
        <v>45</v>
      </c>
      <c r="O831" t="s">
        <v>45</v>
      </c>
      <c r="P831">
        <v>3</v>
      </c>
      <c r="Q831" s="7">
        <v>46228</v>
      </c>
      <c r="R831" s="7">
        <v>46228</v>
      </c>
      <c r="S831" s="7">
        <v>46228</v>
      </c>
      <c r="T831" t="s">
        <v>45</v>
      </c>
      <c r="V831" t="s">
        <v>1048</v>
      </c>
      <c r="W831" t="s">
        <v>45</v>
      </c>
      <c r="X831" t="s">
        <v>45</v>
      </c>
      <c r="Y831" t="s">
        <v>45</v>
      </c>
      <c r="Z831" t="s">
        <v>45</v>
      </c>
      <c r="AB831" t="s">
        <v>48</v>
      </c>
      <c r="AC831" t="s">
        <v>74</v>
      </c>
      <c r="AF831">
        <v>2</v>
      </c>
      <c r="AH831" t="s">
        <v>75</v>
      </c>
      <c r="AI831">
        <v>1</v>
      </c>
      <c r="AJ831" s="15"/>
      <c r="AK831" t="s">
        <v>74</v>
      </c>
      <c r="AN831"/>
      <c r="AO831"/>
      <c r="AP831"/>
      <c r="AQ831"/>
      <c r="AR831" s="18" t="str">
        <f>IFERROR(VLOOKUP(K831,[1]POP!$F:$J,1,0),M831)</f>
        <v>KOLOFATA</v>
      </c>
      <c r="AS831" s="18" t="str">
        <f t="shared" si="61"/>
        <v>TOLKOMARI</v>
      </c>
      <c r="AT831" s="19">
        <f t="shared" si="64"/>
        <v>2</v>
      </c>
      <c r="AU831" s="19">
        <f t="shared" ca="1" si="63"/>
        <v>2</v>
      </c>
    </row>
    <row r="832" spans="1:47" x14ac:dyDescent="0.3">
      <c r="A832" t="s">
        <v>1196</v>
      </c>
      <c r="B832" t="str">
        <f t="shared" si="60"/>
        <v>S30_2026</v>
      </c>
      <c r="C832" t="str">
        <f t="shared" si="62"/>
        <v>S30_2026</v>
      </c>
      <c r="E832" t="s">
        <v>143</v>
      </c>
      <c r="F832">
        <v>25</v>
      </c>
      <c r="G832" t="s">
        <v>40</v>
      </c>
      <c r="H832" t="s">
        <v>77</v>
      </c>
      <c r="I832" t="s">
        <v>147</v>
      </c>
      <c r="J832" t="s">
        <v>147</v>
      </c>
      <c r="K832" t="s">
        <v>147</v>
      </c>
      <c r="L832" t="s">
        <v>752</v>
      </c>
      <c r="M832" t="s">
        <v>146</v>
      </c>
      <c r="N832" t="s">
        <v>45</v>
      </c>
      <c r="O832" t="s">
        <v>45</v>
      </c>
      <c r="P832">
        <v>3</v>
      </c>
      <c r="Q832" s="7">
        <v>46229</v>
      </c>
      <c r="R832" s="7">
        <v>46229</v>
      </c>
      <c r="S832" s="7">
        <v>46229</v>
      </c>
      <c r="T832" t="s">
        <v>45</v>
      </c>
      <c r="V832" t="s">
        <v>753</v>
      </c>
      <c r="W832" t="s">
        <v>45</v>
      </c>
      <c r="X832" t="s">
        <v>45</v>
      </c>
      <c r="Y832" t="s">
        <v>45</v>
      </c>
      <c r="Z832" t="s">
        <v>45</v>
      </c>
      <c r="AB832" t="s">
        <v>48</v>
      </c>
      <c r="AC832" t="s">
        <v>74</v>
      </c>
      <c r="AF832">
        <v>2</v>
      </c>
      <c r="AH832" t="s">
        <v>75</v>
      </c>
      <c r="AI832">
        <v>1</v>
      </c>
      <c r="AJ832" s="15"/>
      <c r="AK832" t="s">
        <v>74</v>
      </c>
      <c r="AN832"/>
      <c r="AO832"/>
      <c r="AP832"/>
      <c r="AQ832"/>
      <c r="AR832" s="18" t="str">
        <f>IFERROR(VLOOKUP(K832,[1]POP!$F:$J,1,0),M832)</f>
        <v>KOLOFATA</v>
      </c>
      <c r="AS832" s="18" t="str">
        <f t="shared" si="61"/>
        <v>LIMANI</v>
      </c>
      <c r="AT832" s="19">
        <f t="shared" si="64"/>
        <v>2</v>
      </c>
      <c r="AU832" s="19">
        <f t="shared" ca="1" si="63"/>
        <v>2</v>
      </c>
    </row>
    <row r="833" spans="1:47" x14ac:dyDescent="0.3">
      <c r="A833" t="s">
        <v>1197</v>
      </c>
      <c r="B833" t="str">
        <f t="shared" si="60"/>
        <v>S30_2026</v>
      </c>
      <c r="C833" t="str">
        <f t="shared" si="62"/>
        <v>S30_2026</v>
      </c>
      <c r="E833" t="s">
        <v>143</v>
      </c>
      <c r="F833">
        <v>2</v>
      </c>
      <c r="G833" t="s">
        <v>40</v>
      </c>
      <c r="H833" t="s">
        <v>1194</v>
      </c>
      <c r="I833" t="s">
        <v>751</v>
      </c>
      <c r="J833" t="s">
        <v>752</v>
      </c>
      <c r="K833" t="s">
        <v>146</v>
      </c>
      <c r="L833" t="s">
        <v>752</v>
      </c>
      <c r="M833" t="s">
        <v>146</v>
      </c>
      <c r="N833" t="s">
        <v>45</v>
      </c>
      <c r="O833" t="s">
        <v>45</v>
      </c>
      <c r="P833">
        <v>3</v>
      </c>
      <c r="Q833" s="7">
        <v>46229</v>
      </c>
      <c r="R833" s="7">
        <v>46229</v>
      </c>
      <c r="S833" s="7">
        <v>46229</v>
      </c>
      <c r="T833" t="s">
        <v>45</v>
      </c>
      <c r="V833" t="s">
        <v>753</v>
      </c>
      <c r="W833" t="s">
        <v>45</v>
      </c>
      <c r="X833" t="s">
        <v>45</v>
      </c>
      <c r="Y833" t="s">
        <v>45</v>
      </c>
      <c r="Z833" t="s">
        <v>45</v>
      </c>
      <c r="AB833" t="s">
        <v>48</v>
      </c>
      <c r="AC833" t="s">
        <v>74</v>
      </c>
      <c r="AF833">
        <v>2</v>
      </c>
      <c r="AH833" t="s">
        <v>75</v>
      </c>
      <c r="AI833">
        <v>1</v>
      </c>
      <c r="AJ833" s="15"/>
      <c r="AK833" t="s">
        <v>74</v>
      </c>
      <c r="AN833"/>
      <c r="AO833"/>
      <c r="AP833"/>
      <c r="AQ833"/>
      <c r="AR833" s="18" t="str">
        <f>IFERROR(VLOOKUP(K833,[1]POP!$F:$J,1,0),M833)</f>
        <v>KOLOFATA</v>
      </c>
      <c r="AS833" s="18" t="str">
        <f t="shared" si="61"/>
        <v>LIMANI</v>
      </c>
      <c r="AT833" s="19">
        <f t="shared" si="64"/>
        <v>2</v>
      </c>
      <c r="AU833" s="19">
        <f t="shared" ca="1" si="63"/>
        <v>2</v>
      </c>
    </row>
    <row r="834" spans="1:47" x14ac:dyDescent="0.3">
      <c r="A834" t="s">
        <v>1198</v>
      </c>
      <c r="B834" t="str">
        <f t="shared" ref="B834:B897" si="65">"S"&amp;(IF(_xlfn.ISOWEEKNUM(S834)&gt;9,_xlfn.ISOWEEKNUM(S834),_xlfn.CONCAT("0",_xlfn.ISOWEEKNUM(S834))))&amp;"_"&amp;(YEAR(S834+26-(_xlfn.ISOWEEKNUM(S834))))</f>
        <v>S30_2026</v>
      </c>
      <c r="C834" t="str">
        <f t="shared" si="62"/>
        <v>S30_2026</v>
      </c>
      <c r="E834" t="s">
        <v>143</v>
      </c>
      <c r="F834">
        <v>2</v>
      </c>
      <c r="G834" t="s">
        <v>40</v>
      </c>
      <c r="H834" t="s">
        <v>1194</v>
      </c>
      <c r="I834" t="s">
        <v>751</v>
      </c>
      <c r="J834" t="s">
        <v>752</v>
      </c>
      <c r="K834" t="s">
        <v>146</v>
      </c>
      <c r="L834" t="s">
        <v>752</v>
      </c>
      <c r="M834" t="s">
        <v>146</v>
      </c>
      <c r="N834" t="s">
        <v>45</v>
      </c>
      <c r="O834" t="s">
        <v>45</v>
      </c>
      <c r="P834">
        <v>2</v>
      </c>
      <c r="Q834" s="7">
        <v>46229</v>
      </c>
      <c r="R834" s="7">
        <v>46229</v>
      </c>
      <c r="S834" s="7">
        <v>46229</v>
      </c>
      <c r="T834" t="s">
        <v>45</v>
      </c>
      <c r="V834" t="s">
        <v>753</v>
      </c>
      <c r="W834" t="s">
        <v>45</v>
      </c>
      <c r="X834" t="s">
        <v>45</v>
      </c>
      <c r="Y834" t="s">
        <v>45</v>
      </c>
      <c r="Z834" t="s">
        <v>45</v>
      </c>
      <c r="AB834" t="s">
        <v>48</v>
      </c>
      <c r="AC834" t="s">
        <v>74</v>
      </c>
      <c r="AF834">
        <v>2</v>
      </c>
      <c r="AH834" t="s">
        <v>75</v>
      </c>
      <c r="AI834">
        <v>1</v>
      </c>
      <c r="AJ834" s="15"/>
      <c r="AK834" t="s">
        <v>74</v>
      </c>
      <c r="AN834"/>
      <c r="AO834"/>
      <c r="AP834"/>
      <c r="AQ834"/>
      <c r="AR834" s="18" t="str">
        <f>IFERROR(VLOOKUP(K834,[1]POP!$F:$J,1,0),M834)</f>
        <v>KOLOFATA</v>
      </c>
      <c r="AS834" s="18" t="str">
        <f t="shared" ref="AS834:AS897" si="66">IF(AR834=K834,J834,L834)</f>
        <v>LIMANI</v>
      </c>
      <c r="AT834" s="19">
        <f t="shared" si="64"/>
        <v>2</v>
      </c>
      <c r="AU834" s="19">
        <f t="shared" ca="1" si="63"/>
        <v>2</v>
      </c>
    </row>
    <row r="835" spans="1:47" x14ac:dyDescent="0.3">
      <c r="A835" t="s">
        <v>1199</v>
      </c>
      <c r="B835" t="str">
        <f t="shared" si="65"/>
        <v>S30_2026</v>
      </c>
      <c r="C835" t="str">
        <f t="shared" ref="C835:C898" si="67">"S"&amp;(IF(_xlfn.ISOWEEKNUM(Q835)&gt;9,_xlfn.ISOWEEKNUM(Q835),_xlfn.CONCAT("0",_xlfn.ISOWEEKNUM(Q835))))&amp;"_"&amp;(YEAR(Q835+26-(_xlfn.ISOWEEKNUM(Q835))))</f>
        <v>S30_2026</v>
      </c>
      <c r="E835" t="s">
        <v>143</v>
      </c>
      <c r="F835">
        <v>65</v>
      </c>
      <c r="G835" t="s">
        <v>55</v>
      </c>
      <c r="H835" t="s">
        <v>70</v>
      </c>
      <c r="I835" t="s">
        <v>1200</v>
      </c>
      <c r="J835" t="s">
        <v>851</v>
      </c>
      <c r="K835" t="s">
        <v>146</v>
      </c>
      <c r="L835" t="s">
        <v>851</v>
      </c>
      <c r="M835" t="s">
        <v>146</v>
      </c>
      <c r="N835" t="s">
        <v>45</v>
      </c>
      <c r="O835" t="s">
        <v>45</v>
      </c>
      <c r="P835">
        <v>2</v>
      </c>
      <c r="Q835" s="7">
        <v>46229</v>
      </c>
      <c r="R835" s="7">
        <v>46229</v>
      </c>
      <c r="S835" s="7">
        <v>46229</v>
      </c>
      <c r="T835" t="s">
        <v>45</v>
      </c>
      <c r="V835" t="s">
        <v>1048</v>
      </c>
      <c r="W835" t="s">
        <v>45</v>
      </c>
      <c r="X835" t="s">
        <v>45</v>
      </c>
      <c r="Y835" t="s">
        <v>45</v>
      </c>
      <c r="Z835" t="s">
        <v>45</v>
      </c>
      <c r="AB835" t="s">
        <v>48</v>
      </c>
      <c r="AC835" t="s">
        <v>74</v>
      </c>
      <c r="AF835">
        <v>2</v>
      </c>
      <c r="AH835" t="s">
        <v>75</v>
      </c>
      <c r="AI835">
        <v>1</v>
      </c>
      <c r="AJ835" s="15"/>
      <c r="AK835" t="s">
        <v>74</v>
      </c>
      <c r="AN835"/>
      <c r="AO835"/>
      <c r="AP835"/>
      <c r="AQ835"/>
      <c r="AR835" s="18" t="str">
        <f>IFERROR(VLOOKUP(K835,[1]POP!$F:$J,1,0),M835)</f>
        <v>KOLOFATA</v>
      </c>
      <c r="AS835" s="18" t="str">
        <f t="shared" si="66"/>
        <v>TOLKOMARI</v>
      </c>
      <c r="AT835" s="19">
        <f t="shared" si="64"/>
        <v>2</v>
      </c>
      <c r="AU835" s="19">
        <f t="shared" ref="AU835:AU898" ca="1" si="68">IF((TODAY() - R835)&lt;=21,1,2)</f>
        <v>2</v>
      </c>
    </row>
    <row r="836" spans="1:47" x14ac:dyDescent="0.3">
      <c r="A836" t="s">
        <v>1201</v>
      </c>
      <c r="B836" t="str">
        <f t="shared" si="65"/>
        <v>S30_2026</v>
      </c>
      <c r="C836" t="str">
        <f t="shared" si="67"/>
        <v>S30_2026</v>
      </c>
      <c r="E836" t="s">
        <v>143</v>
      </c>
      <c r="F836">
        <v>5</v>
      </c>
      <c r="G836" t="s">
        <v>40</v>
      </c>
      <c r="H836" t="s">
        <v>1194</v>
      </c>
      <c r="I836" t="s">
        <v>739</v>
      </c>
      <c r="J836" t="s">
        <v>740</v>
      </c>
      <c r="K836" t="s">
        <v>146</v>
      </c>
      <c r="L836" t="s">
        <v>741</v>
      </c>
      <c r="M836" t="s">
        <v>146</v>
      </c>
      <c r="N836" t="s">
        <v>45</v>
      </c>
      <c r="O836" t="s">
        <v>45</v>
      </c>
      <c r="P836">
        <v>2</v>
      </c>
      <c r="Q836" s="7">
        <v>46229</v>
      </c>
      <c r="R836" s="7">
        <v>46229</v>
      </c>
      <c r="S836" s="7">
        <v>46229</v>
      </c>
      <c r="T836" t="s">
        <v>45</v>
      </c>
      <c r="V836" t="s">
        <v>742</v>
      </c>
      <c r="W836" t="s">
        <v>45</v>
      </c>
      <c r="X836" t="s">
        <v>45</v>
      </c>
      <c r="Y836" t="s">
        <v>45</v>
      </c>
      <c r="Z836" t="s">
        <v>45</v>
      </c>
      <c r="AB836" t="s">
        <v>48</v>
      </c>
      <c r="AC836" t="s">
        <v>74</v>
      </c>
      <c r="AE836" s="7">
        <v>46229</v>
      </c>
      <c r="AF836">
        <v>2</v>
      </c>
      <c r="AH836" t="s">
        <v>75</v>
      </c>
      <c r="AI836">
        <v>1</v>
      </c>
      <c r="AJ836" s="15"/>
      <c r="AK836" t="s">
        <v>74</v>
      </c>
      <c r="AN836"/>
      <c r="AO836"/>
      <c r="AP836"/>
      <c r="AQ836"/>
      <c r="AR836" s="18" t="str">
        <f>IFERROR(VLOOKUP(K836,[1]POP!$F:$J,1,0),M836)</f>
        <v>KOLOFATA</v>
      </c>
      <c r="AS836" s="18" t="str">
        <f t="shared" si="66"/>
        <v>KOLOFATA 2</v>
      </c>
      <c r="AT836" s="19">
        <f t="shared" ref="AT836:AT899" si="69">IF($AI:$AI=2,3,IF($AI:$AI=3,3,IF($AI:$AI=4,3,IF($AI:$AI=1,2,0))))</f>
        <v>2</v>
      </c>
      <c r="AU836" s="19">
        <f t="shared" ca="1" si="68"/>
        <v>2</v>
      </c>
    </row>
    <row r="837" spans="1:47" x14ac:dyDescent="0.3">
      <c r="A837" t="s">
        <v>1202</v>
      </c>
      <c r="B837" t="str">
        <f t="shared" si="65"/>
        <v>S30_2026</v>
      </c>
      <c r="C837" t="str">
        <f t="shared" si="67"/>
        <v>S30_2026</v>
      </c>
      <c r="E837" t="s">
        <v>143</v>
      </c>
      <c r="F837">
        <v>0.75</v>
      </c>
      <c r="G837" t="s">
        <v>40</v>
      </c>
      <c r="H837" t="s">
        <v>85</v>
      </c>
      <c r="I837" t="s">
        <v>749</v>
      </c>
      <c r="J837" t="s">
        <v>740</v>
      </c>
      <c r="K837" t="s">
        <v>146</v>
      </c>
      <c r="L837" t="s">
        <v>741</v>
      </c>
      <c r="M837" t="s">
        <v>146</v>
      </c>
      <c r="N837" t="s">
        <v>45</v>
      </c>
      <c r="O837" t="s">
        <v>45</v>
      </c>
      <c r="P837">
        <v>3</v>
      </c>
      <c r="Q837" s="7">
        <v>46229</v>
      </c>
      <c r="R837" s="7">
        <v>46229</v>
      </c>
      <c r="S837" s="7">
        <v>46229</v>
      </c>
      <c r="T837" t="s">
        <v>45</v>
      </c>
      <c r="V837" t="s">
        <v>742</v>
      </c>
      <c r="W837" t="s">
        <v>45</v>
      </c>
      <c r="X837" t="s">
        <v>45</v>
      </c>
      <c r="Y837" t="s">
        <v>45</v>
      </c>
      <c r="Z837" t="s">
        <v>45</v>
      </c>
      <c r="AB837" t="s">
        <v>48</v>
      </c>
      <c r="AC837" t="s">
        <v>74</v>
      </c>
      <c r="AF837">
        <v>2</v>
      </c>
      <c r="AH837" t="s">
        <v>75</v>
      </c>
      <c r="AI837">
        <v>1</v>
      </c>
      <c r="AJ837" s="15"/>
      <c r="AK837" t="s">
        <v>74</v>
      </c>
      <c r="AN837"/>
      <c r="AO837"/>
      <c r="AP837"/>
      <c r="AQ837"/>
      <c r="AR837" s="18" t="str">
        <f>IFERROR(VLOOKUP(K837,[1]POP!$F:$J,1,0),M837)</f>
        <v>KOLOFATA</v>
      </c>
      <c r="AS837" s="18" t="str">
        <f t="shared" si="66"/>
        <v>KOLOFATA 2</v>
      </c>
      <c r="AT837" s="19">
        <f t="shared" si="69"/>
        <v>2</v>
      </c>
      <c r="AU837" s="19">
        <f t="shared" ca="1" si="68"/>
        <v>2</v>
      </c>
    </row>
    <row r="838" spans="1:47" x14ac:dyDescent="0.3">
      <c r="A838" t="s">
        <v>1203</v>
      </c>
      <c r="B838" t="str">
        <f t="shared" si="65"/>
        <v>S31_2026</v>
      </c>
      <c r="C838" t="str">
        <f t="shared" si="67"/>
        <v>S31_2026</v>
      </c>
      <c r="E838" t="s">
        <v>143</v>
      </c>
      <c r="F838">
        <v>60</v>
      </c>
      <c r="G838" t="s">
        <v>40</v>
      </c>
      <c r="H838" t="s">
        <v>77</v>
      </c>
      <c r="I838" t="s">
        <v>1204</v>
      </c>
      <c r="J838" t="s">
        <v>145</v>
      </c>
      <c r="K838" t="s">
        <v>146</v>
      </c>
      <c r="L838" t="s">
        <v>145</v>
      </c>
      <c r="M838" t="s">
        <v>146</v>
      </c>
      <c r="N838" t="s">
        <v>45</v>
      </c>
      <c r="O838" t="s">
        <v>45</v>
      </c>
      <c r="P838">
        <v>3</v>
      </c>
      <c r="Q838" s="7">
        <v>46230</v>
      </c>
      <c r="R838" s="7">
        <v>46230</v>
      </c>
      <c r="S838" s="7">
        <v>46230</v>
      </c>
      <c r="T838" t="s">
        <v>45</v>
      </c>
      <c r="V838" t="s">
        <v>1205</v>
      </c>
      <c r="W838" t="s">
        <v>45</v>
      </c>
      <c r="X838" t="s">
        <v>45</v>
      </c>
      <c r="Y838" t="s">
        <v>45</v>
      </c>
      <c r="Z838" t="s">
        <v>45</v>
      </c>
      <c r="AB838" t="s">
        <v>48</v>
      </c>
      <c r="AC838" t="s">
        <v>74</v>
      </c>
      <c r="AF838">
        <v>2</v>
      </c>
      <c r="AH838" t="s">
        <v>75</v>
      </c>
      <c r="AI838">
        <v>1</v>
      </c>
      <c r="AJ838" s="15"/>
      <c r="AK838" t="s">
        <v>74</v>
      </c>
      <c r="AN838"/>
      <c r="AO838"/>
      <c r="AP838"/>
      <c r="AQ838"/>
      <c r="AR838" s="18" t="str">
        <f>IFERROR(VLOOKUP(K838,[1]POP!$F:$J,1,0),M838)</f>
        <v>KOLOFATA</v>
      </c>
      <c r="AS838" s="18" t="str">
        <f t="shared" si="66"/>
        <v>AMCHIDE</v>
      </c>
      <c r="AT838" s="19">
        <f t="shared" si="69"/>
        <v>2</v>
      </c>
      <c r="AU838" s="19">
        <f t="shared" ca="1" si="68"/>
        <v>2</v>
      </c>
    </row>
    <row r="839" spans="1:47" x14ac:dyDescent="0.3">
      <c r="A839" t="s">
        <v>1206</v>
      </c>
      <c r="B839" t="str">
        <f t="shared" si="65"/>
        <v>S31_2026</v>
      </c>
      <c r="C839" t="str">
        <f t="shared" si="67"/>
        <v>S31_2026</v>
      </c>
      <c r="E839" t="s">
        <v>143</v>
      </c>
      <c r="F839">
        <v>4</v>
      </c>
      <c r="G839" t="s">
        <v>55</v>
      </c>
      <c r="H839" t="s">
        <v>85</v>
      </c>
      <c r="I839" t="s">
        <v>1207</v>
      </c>
      <c r="J839" t="s">
        <v>740</v>
      </c>
      <c r="K839" t="s">
        <v>146</v>
      </c>
      <c r="L839" t="s">
        <v>741</v>
      </c>
      <c r="M839" t="s">
        <v>146</v>
      </c>
      <c r="N839" t="s">
        <v>45</v>
      </c>
      <c r="O839" t="s">
        <v>45</v>
      </c>
      <c r="P839">
        <v>2</v>
      </c>
      <c r="Q839" s="7">
        <v>46230</v>
      </c>
      <c r="R839" s="7">
        <v>46230</v>
      </c>
      <c r="S839" s="7">
        <v>46230</v>
      </c>
      <c r="T839" t="s">
        <v>45</v>
      </c>
      <c r="V839" t="s">
        <v>742</v>
      </c>
      <c r="W839" t="s">
        <v>45</v>
      </c>
      <c r="X839" t="s">
        <v>45</v>
      </c>
      <c r="Y839" t="s">
        <v>45</v>
      </c>
      <c r="Z839" t="s">
        <v>45</v>
      </c>
      <c r="AB839" t="s">
        <v>48</v>
      </c>
      <c r="AC839" t="s">
        <v>74</v>
      </c>
      <c r="AF839">
        <v>2</v>
      </c>
      <c r="AH839" t="s">
        <v>75</v>
      </c>
      <c r="AI839">
        <v>1</v>
      </c>
      <c r="AJ839" s="15"/>
      <c r="AK839" t="s">
        <v>74</v>
      </c>
      <c r="AN839"/>
      <c r="AO839"/>
      <c r="AP839"/>
      <c r="AQ839"/>
      <c r="AR839" s="18" t="str">
        <f>IFERROR(VLOOKUP(K839,[1]POP!$F:$J,1,0),M839)</f>
        <v>KOLOFATA</v>
      </c>
      <c r="AS839" s="18" t="str">
        <f t="shared" si="66"/>
        <v>KOLOFATA 2</v>
      </c>
      <c r="AT839" s="19">
        <f t="shared" si="69"/>
        <v>2</v>
      </c>
      <c r="AU839" s="19">
        <f t="shared" ca="1" si="68"/>
        <v>2</v>
      </c>
    </row>
    <row r="840" spans="1:47" x14ac:dyDescent="0.3">
      <c r="A840" t="s">
        <v>1208</v>
      </c>
      <c r="B840" t="str">
        <f t="shared" si="65"/>
        <v>S31_2026</v>
      </c>
      <c r="C840" t="str">
        <f t="shared" si="67"/>
        <v>S31_2026</v>
      </c>
      <c r="F840">
        <v>8</v>
      </c>
      <c r="G840" t="s">
        <v>55</v>
      </c>
      <c r="I840" t="s">
        <v>507</v>
      </c>
      <c r="J840" t="s">
        <v>166</v>
      </c>
      <c r="K840" t="s">
        <v>124</v>
      </c>
      <c r="L840" t="s">
        <v>166</v>
      </c>
      <c r="M840" t="s">
        <v>124</v>
      </c>
      <c r="N840" t="s">
        <v>117</v>
      </c>
      <c r="O840" t="s">
        <v>45</v>
      </c>
      <c r="P840">
        <v>3</v>
      </c>
      <c r="Q840" s="7">
        <v>46231</v>
      </c>
      <c r="R840" s="7">
        <v>46232</v>
      </c>
      <c r="S840" s="7">
        <v>46232</v>
      </c>
      <c r="T840" t="s">
        <v>45</v>
      </c>
      <c r="V840" t="s">
        <v>167</v>
      </c>
      <c r="W840" t="s">
        <v>45</v>
      </c>
      <c r="X840" t="s">
        <v>45</v>
      </c>
      <c r="Y840" t="s">
        <v>45</v>
      </c>
      <c r="Z840" t="s">
        <v>74</v>
      </c>
      <c r="AF840">
        <v>2</v>
      </c>
      <c r="AH840" t="s">
        <v>75</v>
      </c>
      <c r="AI840">
        <v>1</v>
      </c>
      <c r="AJ840" s="15"/>
      <c r="AN840"/>
      <c r="AO840"/>
      <c r="AP840"/>
      <c r="AQ840"/>
      <c r="AR840" s="18" t="str">
        <f>IFERROR(VLOOKUP(K840,[1]POP!$F:$J,1,0),M840)</f>
        <v>MADA</v>
      </c>
      <c r="AS840" s="18" t="str">
        <f t="shared" si="66"/>
        <v>BARGARAM</v>
      </c>
      <c r="AT840" s="19">
        <f t="shared" si="69"/>
        <v>2</v>
      </c>
      <c r="AU840" s="19">
        <f t="shared" ca="1" si="68"/>
        <v>2</v>
      </c>
    </row>
    <row r="841" spans="1:47" x14ac:dyDescent="0.3">
      <c r="A841" t="s">
        <v>1209</v>
      </c>
      <c r="B841" t="str">
        <f t="shared" si="65"/>
        <v>S31_2026</v>
      </c>
      <c r="C841" t="str">
        <f t="shared" si="67"/>
        <v>S31_2026</v>
      </c>
      <c r="F841">
        <v>8</v>
      </c>
      <c r="G841" t="s">
        <v>55</v>
      </c>
      <c r="I841" t="s">
        <v>507</v>
      </c>
      <c r="J841" t="s">
        <v>166</v>
      </c>
      <c r="K841" t="s">
        <v>124</v>
      </c>
      <c r="L841" t="s">
        <v>166</v>
      </c>
      <c r="M841" t="s">
        <v>124</v>
      </c>
      <c r="N841" t="s">
        <v>117</v>
      </c>
      <c r="O841" t="s">
        <v>45</v>
      </c>
      <c r="P841">
        <v>3</v>
      </c>
      <c r="Q841" s="7">
        <v>46231</v>
      </c>
      <c r="R841" s="7">
        <v>46232</v>
      </c>
      <c r="S841" s="7">
        <v>46232</v>
      </c>
      <c r="T841" t="s">
        <v>45</v>
      </c>
      <c r="V841" t="s">
        <v>167</v>
      </c>
      <c r="W841" t="s">
        <v>45</v>
      </c>
      <c r="X841" t="s">
        <v>45</v>
      </c>
      <c r="Y841" t="s">
        <v>45</v>
      </c>
      <c r="Z841" t="s">
        <v>74</v>
      </c>
      <c r="AF841">
        <v>2</v>
      </c>
      <c r="AH841" t="s">
        <v>75</v>
      </c>
      <c r="AI841">
        <v>1</v>
      </c>
      <c r="AJ841" s="15"/>
      <c r="AN841"/>
      <c r="AO841"/>
      <c r="AP841"/>
      <c r="AQ841"/>
      <c r="AR841" s="18" t="str">
        <f>IFERROR(VLOOKUP(K841,[1]POP!$F:$J,1,0),M841)</f>
        <v>MADA</v>
      </c>
      <c r="AS841" s="18" t="str">
        <f t="shared" si="66"/>
        <v>BARGARAM</v>
      </c>
      <c r="AT841" s="19">
        <f t="shared" si="69"/>
        <v>2</v>
      </c>
      <c r="AU841" s="19">
        <f t="shared" ca="1" si="68"/>
        <v>2</v>
      </c>
    </row>
    <row r="842" spans="1:47" x14ac:dyDescent="0.3">
      <c r="A842" t="s">
        <v>1210</v>
      </c>
      <c r="B842" t="str">
        <f t="shared" si="65"/>
        <v>S31_2026</v>
      </c>
      <c r="C842" t="str">
        <f t="shared" si="67"/>
        <v>S31_2026</v>
      </c>
      <c r="F842">
        <v>4</v>
      </c>
      <c r="G842" t="s">
        <v>55</v>
      </c>
      <c r="I842" t="s">
        <v>507</v>
      </c>
      <c r="J842" t="s">
        <v>166</v>
      </c>
      <c r="K842" t="s">
        <v>124</v>
      </c>
      <c r="L842" t="s">
        <v>166</v>
      </c>
      <c r="M842" t="s">
        <v>124</v>
      </c>
      <c r="N842" t="s">
        <v>117</v>
      </c>
      <c r="O842" t="s">
        <v>45</v>
      </c>
      <c r="P842">
        <v>3</v>
      </c>
      <c r="Q842" s="7">
        <v>46231</v>
      </c>
      <c r="R842" s="7">
        <v>46232</v>
      </c>
      <c r="S842" s="7">
        <v>46232</v>
      </c>
      <c r="T842" t="s">
        <v>45</v>
      </c>
      <c r="V842" t="s">
        <v>167</v>
      </c>
      <c r="W842" t="s">
        <v>45</v>
      </c>
      <c r="X842" t="s">
        <v>45</v>
      </c>
      <c r="Y842" t="s">
        <v>45</v>
      </c>
      <c r="Z842" t="s">
        <v>74</v>
      </c>
      <c r="AF842">
        <v>2</v>
      </c>
      <c r="AH842" t="s">
        <v>75</v>
      </c>
      <c r="AI842">
        <v>1</v>
      </c>
      <c r="AJ842" s="15"/>
      <c r="AN842"/>
      <c r="AO842"/>
      <c r="AP842"/>
      <c r="AQ842"/>
      <c r="AR842" s="18" t="str">
        <f>IFERROR(VLOOKUP(K842,[1]POP!$F:$J,1,0),M842)</f>
        <v>MADA</v>
      </c>
      <c r="AS842" s="18" t="str">
        <f t="shared" si="66"/>
        <v>BARGARAM</v>
      </c>
      <c r="AT842" s="19">
        <f t="shared" si="69"/>
        <v>2</v>
      </c>
      <c r="AU842" s="19">
        <f t="shared" ca="1" si="68"/>
        <v>2</v>
      </c>
    </row>
    <row r="843" spans="1:47" x14ac:dyDescent="0.3">
      <c r="A843" t="s">
        <v>1211</v>
      </c>
      <c r="B843" t="str">
        <f t="shared" si="65"/>
        <v>S30_2026</v>
      </c>
      <c r="C843" t="str">
        <f t="shared" si="67"/>
        <v>S30_2026</v>
      </c>
      <c r="F843">
        <v>11</v>
      </c>
      <c r="G843" t="s">
        <v>55</v>
      </c>
      <c r="I843" t="s">
        <v>1212</v>
      </c>
      <c r="J843" t="s">
        <v>985</v>
      </c>
      <c r="K843" t="s">
        <v>124</v>
      </c>
      <c r="L843" t="s">
        <v>985</v>
      </c>
      <c r="M843" t="s">
        <v>124</v>
      </c>
      <c r="N843" t="s">
        <v>117</v>
      </c>
      <c r="O843" t="s">
        <v>117</v>
      </c>
      <c r="P843">
        <v>1</v>
      </c>
      <c r="Q843" s="7">
        <v>46227</v>
      </c>
      <c r="R843" s="7">
        <v>46227</v>
      </c>
      <c r="S843" s="7">
        <v>46227</v>
      </c>
      <c r="T843" t="s">
        <v>45</v>
      </c>
      <c r="V843" t="s">
        <v>986</v>
      </c>
      <c r="W843" t="s">
        <v>45</v>
      </c>
      <c r="X843" t="s">
        <v>45</v>
      </c>
      <c r="Y843" t="s">
        <v>74</v>
      </c>
      <c r="Z843" t="s">
        <v>74</v>
      </c>
      <c r="AF843">
        <v>2</v>
      </c>
      <c r="AH843" t="s">
        <v>75</v>
      </c>
      <c r="AI843">
        <v>1</v>
      </c>
      <c r="AJ843" s="15"/>
      <c r="AN843"/>
      <c r="AO843"/>
      <c r="AP843"/>
      <c r="AQ843"/>
      <c r="AR843" s="18" t="str">
        <f>IFERROR(VLOOKUP(K843,[1]POP!$F:$J,1,0),M843)</f>
        <v>MADA</v>
      </c>
      <c r="AS843" s="18" t="str">
        <f t="shared" si="66"/>
        <v>KOFIA</v>
      </c>
      <c r="AT843" s="19">
        <f t="shared" si="69"/>
        <v>2</v>
      </c>
      <c r="AU843" s="19">
        <f t="shared" ca="1" si="68"/>
        <v>2</v>
      </c>
    </row>
    <row r="844" spans="1:47" x14ac:dyDescent="0.3">
      <c r="A844" t="s">
        <v>1213</v>
      </c>
      <c r="B844" t="str">
        <f t="shared" si="65"/>
        <v>S30_2026</v>
      </c>
      <c r="C844" t="str">
        <f t="shared" si="67"/>
        <v>S30_2026</v>
      </c>
      <c r="F844">
        <v>11</v>
      </c>
      <c r="G844" t="s">
        <v>40</v>
      </c>
      <c r="I844" t="s">
        <v>1212</v>
      </c>
      <c r="J844" t="s">
        <v>985</v>
      </c>
      <c r="K844" t="s">
        <v>124</v>
      </c>
      <c r="L844" t="s">
        <v>985</v>
      </c>
      <c r="M844" t="s">
        <v>124</v>
      </c>
      <c r="N844" t="s">
        <v>117</v>
      </c>
      <c r="O844" t="s">
        <v>117</v>
      </c>
      <c r="P844">
        <v>2</v>
      </c>
      <c r="Q844" s="7">
        <v>46227</v>
      </c>
      <c r="R844" s="7">
        <v>46227</v>
      </c>
      <c r="S844" s="7">
        <v>46227</v>
      </c>
      <c r="T844" t="s">
        <v>45</v>
      </c>
      <c r="V844" t="s">
        <v>986</v>
      </c>
      <c r="W844" t="s">
        <v>45</v>
      </c>
      <c r="X844" t="s">
        <v>45</v>
      </c>
      <c r="Y844" t="s">
        <v>45</v>
      </c>
      <c r="Z844" t="s">
        <v>74</v>
      </c>
      <c r="AF844">
        <v>2</v>
      </c>
      <c r="AH844" t="s">
        <v>75</v>
      </c>
      <c r="AI844">
        <v>1</v>
      </c>
      <c r="AJ844" s="15"/>
      <c r="AN844"/>
      <c r="AO844"/>
      <c r="AP844"/>
      <c r="AQ844"/>
      <c r="AR844" s="18" t="str">
        <f>IFERROR(VLOOKUP(K844,[1]POP!$F:$J,1,0),M844)</f>
        <v>MADA</v>
      </c>
      <c r="AS844" s="18" t="str">
        <f t="shared" si="66"/>
        <v>KOFIA</v>
      </c>
      <c r="AT844" s="19">
        <f t="shared" si="69"/>
        <v>2</v>
      </c>
      <c r="AU844" s="19">
        <f t="shared" ca="1" si="68"/>
        <v>2</v>
      </c>
    </row>
    <row r="845" spans="1:47" x14ac:dyDescent="0.3">
      <c r="A845" t="s">
        <v>1214</v>
      </c>
      <c r="B845" t="str">
        <f t="shared" si="65"/>
        <v>S30_2026</v>
      </c>
      <c r="C845" t="str">
        <f t="shared" si="67"/>
        <v>S30_2026</v>
      </c>
      <c r="F845">
        <v>2</v>
      </c>
      <c r="G845" t="s">
        <v>55</v>
      </c>
      <c r="I845" t="s">
        <v>1212</v>
      </c>
      <c r="J845" t="s">
        <v>985</v>
      </c>
      <c r="K845" t="s">
        <v>124</v>
      </c>
      <c r="L845" t="s">
        <v>985</v>
      </c>
      <c r="M845" t="s">
        <v>124</v>
      </c>
      <c r="N845" t="s">
        <v>117</v>
      </c>
      <c r="O845" t="s">
        <v>117</v>
      </c>
      <c r="P845">
        <v>1</v>
      </c>
      <c r="Q845" s="7">
        <v>46229</v>
      </c>
      <c r="R845" s="7">
        <v>46229</v>
      </c>
      <c r="S845" s="7">
        <v>46229</v>
      </c>
      <c r="T845" t="s">
        <v>45</v>
      </c>
      <c r="V845" t="s">
        <v>986</v>
      </c>
      <c r="W845" t="s">
        <v>45</v>
      </c>
      <c r="X845" t="s">
        <v>45</v>
      </c>
      <c r="Y845" t="s">
        <v>74</v>
      </c>
      <c r="Z845" t="s">
        <v>74</v>
      </c>
      <c r="AF845">
        <v>2</v>
      </c>
      <c r="AH845" t="s">
        <v>75</v>
      </c>
      <c r="AI845">
        <v>1</v>
      </c>
      <c r="AJ845" s="15"/>
      <c r="AN845"/>
      <c r="AO845"/>
      <c r="AP845"/>
      <c r="AQ845"/>
      <c r="AR845" s="18" t="str">
        <f>IFERROR(VLOOKUP(K845,[1]POP!$F:$J,1,0),M845)</f>
        <v>MADA</v>
      </c>
      <c r="AS845" s="18" t="str">
        <f t="shared" si="66"/>
        <v>KOFIA</v>
      </c>
      <c r="AT845" s="19">
        <f t="shared" si="69"/>
        <v>2</v>
      </c>
      <c r="AU845" s="19">
        <f t="shared" ca="1" si="68"/>
        <v>2</v>
      </c>
    </row>
    <row r="846" spans="1:47" x14ac:dyDescent="0.3">
      <c r="A846" t="s">
        <v>1215</v>
      </c>
      <c r="B846" t="str">
        <f t="shared" si="65"/>
        <v>S30_2026</v>
      </c>
      <c r="C846" t="str">
        <f t="shared" si="67"/>
        <v>S30_2026</v>
      </c>
      <c r="F846">
        <v>25</v>
      </c>
      <c r="G846" t="s">
        <v>40</v>
      </c>
      <c r="I846" t="s">
        <v>1212</v>
      </c>
      <c r="J846" t="s">
        <v>985</v>
      </c>
      <c r="K846" t="s">
        <v>124</v>
      </c>
      <c r="L846" t="s">
        <v>985</v>
      </c>
      <c r="M846" t="s">
        <v>124</v>
      </c>
      <c r="N846" t="s">
        <v>117</v>
      </c>
      <c r="O846" t="s">
        <v>117</v>
      </c>
      <c r="P846">
        <v>1</v>
      </c>
      <c r="Q846" s="7">
        <v>46229</v>
      </c>
      <c r="R846" s="7">
        <v>46229</v>
      </c>
      <c r="S846" s="7">
        <v>46229</v>
      </c>
      <c r="T846" t="s">
        <v>45</v>
      </c>
      <c r="V846" t="s">
        <v>986</v>
      </c>
      <c r="W846" t="s">
        <v>45</v>
      </c>
      <c r="X846" t="s">
        <v>45</v>
      </c>
      <c r="Y846" t="s">
        <v>45</v>
      </c>
      <c r="Z846" t="s">
        <v>74</v>
      </c>
      <c r="AF846">
        <v>2</v>
      </c>
      <c r="AH846" t="s">
        <v>75</v>
      </c>
      <c r="AI846">
        <v>1</v>
      </c>
      <c r="AJ846" s="15"/>
      <c r="AN846"/>
      <c r="AO846"/>
      <c r="AP846"/>
      <c r="AQ846"/>
      <c r="AR846" s="18" t="str">
        <f>IFERROR(VLOOKUP(K846,[1]POP!$F:$J,1,0),M846)</f>
        <v>MADA</v>
      </c>
      <c r="AS846" s="18" t="str">
        <f t="shared" si="66"/>
        <v>KOFIA</v>
      </c>
      <c r="AT846" s="19">
        <f t="shared" si="69"/>
        <v>2</v>
      </c>
      <c r="AU846" s="19">
        <f t="shared" ca="1" si="68"/>
        <v>2</v>
      </c>
    </row>
    <row r="847" spans="1:47" x14ac:dyDescent="0.3">
      <c r="A847" t="s">
        <v>1216</v>
      </c>
      <c r="B847" t="str">
        <f t="shared" si="65"/>
        <v>S30_2026</v>
      </c>
      <c r="C847" t="str">
        <f t="shared" si="67"/>
        <v>S30_2026</v>
      </c>
      <c r="F847">
        <v>10</v>
      </c>
      <c r="G847" t="s">
        <v>55</v>
      </c>
      <c r="I847" t="s">
        <v>1212</v>
      </c>
      <c r="J847" t="s">
        <v>985</v>
      </c>
      <c r="K847" t="s">
        <v>124</v>
      </c>
      <c r="L847" t="s">
        <v>985</v>
      </c>
      <c r="M847" t="s">
        <v>124</v>
      </c>
      <c r="N847" t="s">
        <v>117</v>
      </c>
      <c r="O847" t="s">
        <v>117</v>
      </c>
      <c r="P847">
        <v>1</v>
      </c>
      <c r="Q847" s="7">
        <v>46229</v>
      </c>
      <c r="R847" s="7">
        <v>46229</v>
      </c>
      <c r="S847" s="7">
        <v>46229</v>
      </c>
      <c r="T847" t="s">
        <v>45</v>
      </c>
      <c r="V847" t="s">
        <v>986</v>
      </c>
      <c r="W847" t="s">
        <v>45</v>
      </c>
      <c r="X847" t="s">
        <v>45</v>
      </c>
      <c r="Y847" t="s">
        <v>74</v>
      </c>
      <c r="Z847" t="s">
        <v>74</v>
      </c>
      <c r="AF847">
        <v>2</v>
      </c>
      <c r="AH847" t="s">
        <v>75</v>
      </c>
      <c r="AI847">
        <v>1</v>
      </c>
      <c r="AJ847" s="15"/>
      <c r="AN847"/>
      <c r="AO847"/>
      <c r="AP847"/>
      <c r="AQ847"/>
      <c r="AR847" s="18" t="str">
        <f>IFERROR(VLOOKUP(K847,[1]POP!$F:$J,1,0),M847)</f>
        <v>MADA</v>
      </c>
      <c r="AS847" s="18" t="str">
        <f t="shared" si="66"/>
        <v>KOFIA</v>
      </c>
      <c r="AT847" s="19">
        <f t="shared" si="69"/>
        <v>2</v>
      </c>
      <c r="AU847" s="19">
        <f t="shared" ca="1" si="68"/>
        <v>2</v>
      </c>
    </row>
    <row r="848" spans="1:47" x14ac:dyDescent="0.3">
      <c r="A848" t="s">
        <v>1217</v>
      </c>
      <c r="B848" t="str">
        <f t="shared" si="65"/>
        <v>S31_2026</v>
      </c>
      <c r="C848" t="str">
        <f t="shared" si="67"/>
        <v>S31_2026</v>
      </c>
      <c r="F848">
        <v>35</v>
      </c>
      <c r="G848" t="s">
        <v>55</v>
      </c>
      <c r="I848" t="s">
        <v>1212</v>
      </c>
      <c r="J848" t="s">
        <v>985</v>
      </c>
      <c r="K848" t="s">
        <v>124</v>
      </c>
      <c r="L848" t="s">
        <v>985</v>
      </c>
      <c r="M848" t="s">
        <v>124</v>
      </c>
      <c r="N848" t="s">
        <v>117</v>
      </c>
      <c r="O848" t="s">
        <v>117</v>
      </c>
      <c r="P848">
        <v>3</v>
      </c>
      <c r="Q848" s="7">
        <v>46230</v>
      </c>
      <c r="R848" s="7">
        <v>46230</v>
      </c>
      <c r="S848" s="7">
        <v>46230</v>
      </c>
      <c r="T848" t="s">
        <v>45</v>
      </c>
      <c r="V848" t="s">
        <v>986</v>
      </c>
      <c r="W848" t="s">
        <v>45</v>
      </c>
      <c r="X848" t="s">
        <v>45</v>
      </c>
      <c r="Y848" t="s">
        <v>45</v>
      </c>
      <c r="Z848" t="s">
        <v>74</v>
      </c>
      <c r="AF848">
        <v>2</v>
      </c>
      <c r="AH848" t="s">
        <v>75</v>
      </c>
      <c r="AI848">
        <v>1</v>
      </c>
      <c r="AJ848" s="15"/>
      <c r="AN848"/>
      <c r="AO848"/>
      <c r="AP848"/>
      <c r="AQ848"/>
      <c r="AR848" s="18" t="str">
        <f>IFERROR(VLOOKUP(K848,[1]POP!$F:$J,1,0),M848)</f>
        <v>MADA</v>
      </c>
      <c r="AS848" s="18" t="str">
        <f t="shared" si="66"/>
        <v>KOFIA</v>
      </c>
      <c r="AT848" s="19">
        <f t="shared" si="69"/>
        <v>2</v>
      </c>
      <c r="AU848" s="19">
        <f t="shared" ca="1" si="68"/>
        <v>2</v>
      </c>
    </row>
    <row r="849" spans="1:47" x14ac:dyDescent="0.3">
      <c r="A849" t="s">
        <v>1218</v>
      </c>
      <c r="B849" t="str">
        <f t="shared" si="65"/>
        <v>S31_2026</v>
      </c>
      <c r="C849" t="str">
        <f t="shared" si="67"/>
        <v>S31_2026</v>
      </c>
      <c r="F849">
        <v>10</v>
      </c>
      <c r="G849" t="s">
        <v>40</v>
      </c>
      <c r="I849" t="s">
        <v>1212</v>
      </c>
      <c r="J849" t="s">
        <v>985</v>
      </c>
      <c r="K849" t="s">
        <v>124</v>
      </c>
      <c r="L849" t="s">
        <v>985</v>
      </c>
      <c r="M849" t="s">
        <v>124</v>
      </c>
      <c r="N849" t="s">
        <v>117</v>
      </c>
      <c r="O849" t="s">
        <v>117</v>
      </c>
      <c r="P849">
        <v>1</v>
      </c>
      <c r="Q849" s="7">
        <v>46230</v>
      </c>
      <c r="R849" s="7">
        <v>46230</v>
      </c>
      <c r="S849" s="7">
        <v>46230</v>
      </c>
      <c r="T849" t="s">
        <v>45</v>
      </c>
      <c r="V849" t="s">
        <v>986</v>
      </c>
      <c r="W849" t="s">
        <v>45</v>
      </c>
      <c r="X849" t="s">
        <v>45</v>
      </c>
      <c r="Y849" t="s">
        <v>74</v>
      </c>
      <c r="Z849" t="s">
        <v>74</v>
      </c>
      <c r="AF849">
        <v>2</v>
      </c>
      <c r="AH849" t="s">
        <v>75</v>
      </c>
      <c r="AI849">
        <v>1</v>
      </c>
      <c r="AJ849" s="15"/>
      <c r="AN849"/>
      <c r="AO849"/>
      <c r="AP849"/>
      <c r="AQ849"/>
      <c r="AR849" s="18" t="str">
        <f>IFERROR(VLOOKUP(K849,[1]POP!$F:$J,1,0),M849)</f>
        <v>MADA</v>
      </c>
      <c r="AS849" s="18" t="str">
        <f t="shared" si="66"/>
        <v>KOFIA</v>
      </c>
      <c r="AT849" s="19">
        <f t="shared" si="69"/>
        <v>2</v>
      </c>
      <c r="AU849" s="19">
        <f t="shared" ca="1" si="68"/>
        <v>2</v>
      </c>
    </row>
    <row r="850" spans="1:47" x14ac:dyDescent="0.3">
      <c r="A850" t="s">
        <v>1219</v>
      </c>
      <c r="B850" t="str">
        <f t="shared" si="65"/>
        <v>S31_2026</v>
      </c>
      <c r="C850" t="str">
        <f t="shared" si="67"/>
        <v>S31_2026</v>
      </c>
      <c r="F850">
        <v>22</v>
      </c>
      <c r="G850" t="s">
        <v>55</v>
      </c>
      <c r="I850" t="s">
        <v>1212</v>
      </c>
      <c r="J850" t="s">
        <v>985</v>
      </c>
      <c r="K850" t="s">
        <v>124</v>
      </c>
      <c r="L850" t="s">
        <v>985</v>
      </c>
      <c r="M850" t="s">
        <v>124</v>
      </c>
      <c r="N850" t="s">
        <v>45</v>
      </c>
      <c r="O850" t="s">
        <v>45</v>
      </c>
      <c r="P850">
        <v>3</v>
      </c>
      <c r="Q850" s="7">
        <v>46230</v>
      </c>
      <c r="R850" s="7">
        <v>46230</v>
      </c>
      <c r="S850" s="7">
        <v>46230</v>
      </c>
      <c r="T850" t="s">
        <v>45</v>
      </c>
      <c r="V850" t="s">
        <v>986</v>
      </c>
      <c r="W850" t="s">
        <v>45</v>
      </c>
      <c r="X850" t="s">
        <v>45</v>
      </c>
      <c r="Y850" t="s">
        <v>45</v>
      </c>
      <c r="Z850" t="s">
        <v>74</v>
      </c>
      <c r="AF850">
        <v>2</v>
      </c>
      <c r="AH850" t="s">
        <v>75</v>
      </c>
      <c r="AI850">
        <v>1</v>
      </c>
      <c r="AJ850" s="15"/>
      <c r="AN850"/>
      <c r="AO850"/>
      <c r="AP850"/>
      <c r="AQ850"/>
      <c r="AR850" s="18" t="str">
        <f>IFERROR(VLOOKUP(K850,[1]POP!$F:$J,1,0),M850)</f>
        <v>MADA</v>
      </c>
      <c r="AS850" s="18" t="str">
        <f t="shared" si="66"/>
        <v>KOFIA</v>
      </c>
      <c r="AT850" s="19">
        <f t="shared" si="69"/>
        <v>2</v>
      </c>
      <c r="AU850" s="19">
        <f t="shared" ca="1" si="68"/>
        <v>2</v>
      </c>
    </row>
    <row r="851" spans="1:47" x14ac:dyDescent="0.3">
      <c r="A851" t="s">
        <v>1220</v>
      </c>
      <c r="B851" t="str">
        <f t="shared" si="65"/>
        <v>S31_2026</v>
      </c>
      <c r="C851" t="str">
        <f t="shared" si="67"/>
        <v>S31_2026</v>
      </c>
      <c r="F851">
        <v>29</v>
      </c>
      <c r="G851" t="s">
        <v>40</v>
      </c>
      <c r="I851" t="s">
        <v>1212</v>
      </c>
      <c r="J851" t="s">
        <v>985</v>
      </c>
      <c r="K851" t="s">
        <v>124</v>
      </c>
      <c r="L851" t="s">
        <v>985</v>
      </c>
      <c r="M851" t="s">
        <v>124</v>
      </c>
      <c r="N851" t="s">
        <v>117</v>
      </c>
      <c r="O851" t="s">
        <v>117</v>
      </c>
      <c r="P851">
        <v>1</v>
      </c>
      <c r="Q851" s="7">
        <v>46230</v>
      </c>
      <c r="R851" s="7">
        <v>46230</v>
      </c>
      <c r="S851" s="7">
        <v>46230</v>
      </c>
      <c r="T851" t="s">
        <v>45</v>
      </c>
      <c r="V851" t="s">
        <v>986</v>
      </c>
      <c r="W851" t="s">
        <v>45</v>
      </c>
      <c r="X851" t="s">
        <v>45</v>
      </c>
      <c r="Y851" t="s">
        <v>74</v>
      </c>
      <c r="Z851" t="s">
        <v>74</v>
      </c>
      <c r="AF851">
        <v>2</v>
      </c>
      <c r="AH851" t="s">
        <v>75</v>
      </c>
      <c r="AI851">
        <v>1</v>
      </c>
      <c r="AJ851" s="15"/>
      <c r="AN851"/>
      <c r="AO851"/>
      <c r="AP851"/>
      <c r="AQ851"/>
      <c r="AR851" s="18" t="str">
        <f>IFERROR(VLOOKUP(K851,[1]POP!$F:$J,1,0),M851)</f>
        <v>MADA</v>
      </c>
      <c r="AS851" s="18" t="str">
        <f t="shared" si="66"/>
        <v>KOFIA</v>
      </c>
      <c r="AT851" s="19">
        <f t="shared" si="69"/>
        <v>2</v>
      </c>
      <c r="AU851" s="19">
        <f t="shared" ca="1" si="68"/>
        <v>2</v>
      </c>
    </row>
    <row r="852" spans="1:47" x14ac:dyDescent="0.3">
      <c r="A852" t="s">
        <v>1221</v>
      </c>
      <c r="B852" t="str">
        <f t="shared" si="65"/>
        <v>S31_2026</v>
      </c>
      <c r="C852" t="str">
        <f t="shared" si="67"/>
        <v>S31_2026</v>
      </c>
      <c r="F852">
        <v>69</v>
      </c>
      <c r="G852" t="s">
        <v>40</v>
      </c>
      <c r="I852" t="s">
        <v>1212</v>
      </c>
      <c r="J852" t="s">
        <v>985</v>
      </c>
      <c r="K852" t="s">
        <v>124</v>
      </c>
      <c r="L852" t="s">
        <v>985</v>
      </c>
      <c r="M852" t="s">
        <v>124</v>
      </c>
      <c r="N852" t="s">
        <v>117</v>
      </c>
      <c r="O852" t="s">
        <v>117</v>
      </c>
      <c r="P852">
        <v>3</v>
      </c>
      <c r="Q852" s="7">
        <v>46230</v>
      </c>
      <c r="R852" s="7">
        <v>46230</v>
      </c>
      <c r="S852" s="7">
        <v>46230</v>
      </c>
      <c r="T852" t="s">
        <v>45</v>
      </c>
      <c r="V852" t="s">
        <v>986</v>
      </c>
      <c r="W852" t="s">
        <v>45</v>
      </c>
      <c r="X852" t="s">
        <v>45</v>
      </c>
      <c r="Y852" t="s">
        <v>45</v>
      </c>
      <c r="Z852" t="s">
        <v>74</v>
      </c>
      <c r="AF852">
        <v>2</v>
      </c>
      <c r="AH852" t="s">
        <v>75</v>
      </c>
      <c r="AI852">
        <v>1</v>
      </c>
      <c r="AJ852" s="15"/>
      <c r="AN852"/>
      <c r="AO852"/>
      <c r="AP852"/>
      <c r="AQ852"/>
      <c r="AR852" s="18" t="str">
        <f>IFERROR(VLOOKUP(K852,[1]POP!$F:$J,1,0),M852)</f>
        <v>MADA</v>
      </c>
      <c r="AS852" s="18" t="str">
        <f t="shared" si="66"/>
        <v>KOFIA</v>
      </c>
      <c r="AT852" s="19">
        <f t="shared" si="69"/>
        <v>2</v>
      </c>
      <c r="AU852" s="19">
        <f t="shared" ca="1" si="68"/>
        <v>2</v>
      </c>
    </row>
    <row r="853" spans="1:47" x14ac:dyDescent="0.3">
      <c r="A853" t="s">
        <v>1222</v>
      </c>
      <c r="B853" t="str">
        <f t="shared" si="65"/>
        <v>S31_2026</v>
      </c>
      <c r="C853" t="str">
        <f t="shared" si="67"/>
        <v>S31_2026</v>
      </c>
      <c r="F853">
        <v>11</v>
      </c>
      <c r="G853" t="s">
        <v>55</v>
      </c>
      <c r="I853" t="s">
        <v>1212</v>
      </c>
      <c r="J853" t="s">
        <v>985</v>
      </c>
      <c r="K853" t="s">
        <v>124</v>
      </c>
      <c r="L853" t="s">
        <v>985</v>
      </c>
      <c r="M853" t="s">
        <v>124</v>
      </c>
      <c r="N853" t="s">
        <v>117</v>
      </c>
      <c r="O853" t="s">
        <v>117</v>
      </c>
      <c r="P853">
        <v>1</v>
      </c>
      <c r="Q853" s="7">
        <v>46231</v>
      </c>
      <c r="R853" s="7">
        <v>46231</v>
      </c>
      <c r="S853" s="7">
        <v>46231</v>
      </c>
      <c r="T853" t="s">
        <v>45</v>
      </c>
      <c r="V853" t="s">
        <v>986</v>
      </c>
      <c r="W853" t="s">
        <v>45</v>
      </c>
      <c r="X853" t="s">
        <v>45</v>
      </c>
      <c r="Y853" t="s">
        <v>74</v>
      </c>
      <c r="Z853" t="s">
        <v>74</v>
      </c>
      <c r="AF853">
        <v>2</v>
      </c>
      <c r="AH853" t="s">
        <v>75</v>
      </c>
      <c r="AI853">
        <v>1</v>
      </c>
      <c r="AJ853" s="15"/>
      <c r="AN853"/>
      <c r="AO853"/>
      <c r="AP853"/>
      <c r="AQ853"/>
      <c r="AR853" s="18" t="str">
        <f>IFERROR(VLOOKUP(K853,[1]POP!$F:$J,1,0),M853)</f>
        <v>MADA</v>
      </c>
      <c r="AS853" s="18" t="str">
        <f t="shared" si="66"/>
        <v>KOFIA</v>
      </c>
      <c r="AT853" s="19">
        <f t="shared" si="69"/>
        <v>2</v>
      </c>
      <c r="AU853" s="19">
        <f t="shared" ca="1" si="68"/>
        <v>2</v>
      </c>
    </row>
    <row r="854" spans="1:47" x14ac:dyDescent="0.3">
      <c r="A854" t="s">
        <v>1223</v>
      </c>
      <c r="B854" t="str">
        <f t="shared" si="65"/>
        <v>S31_2026</v>
      </c>
      <c r="C854" t="str">
        <f t="shared" si="67"/>
        <v>S31_2026</v>
      </c>
      <c r="F854">
        <v>3</v>
      </c>
      <c r="G854" t="s">
        <v>55</v>
      </c>
      <c r="I854" t="s">
        <v>1212</v>
      </c>
      <c r="J854" t="s">
        <v>985</v>
      </c>
      <c r="K854" t="s">
        <v>124</v>
      </c>
      <c r="L854" t="s">
        <v>985</v>
      </c>
      <c r="M854" t="s">
        <v>124</v>
      </c>
      <c r="N854" t="s">
        <v>117</v>
      </c>
      <c r="O854" t="s">
        <v>117</v>
      </c>
      <c r="P854">
        <v>3</v>
      </c>
      <c r="Q854" s="7">
        <v>46231</v>
      </c>
      <c r="R854" s="7">
        <v>46231</v>
      </c>
      <c r="S854" s="7">
        <v>46231</v>
      </c>
      <c r="T854" t="s">
        <v>45</v>
      </c>
      <c r="V854" t="s">
        <v>986</v>
      </c>
      <c r="W854" t="s">
        <v>45</v>
      </c>
      <c r="X854" t="s">
        <v>45</v>
      </c>
      <c r="Y854" t="s">
        <v>45</v>
      </c>
      <c r="Z854" t="s">
        <v>74</v>
      </c>
      <c r="AF854">
        <v>2</v>
      </c>
      <c r="AH854" t="s">
        <v>75</v>
      </c>
      <c r="AI854">
        <v>1</v>
      </c>
      <c r="AJ854" s="15"/>
      <c r="AN854"/>
      <c r="AO854"/>
      <c r="AP854"/>
      <c r="AQ854"/>
      <c r="AR854" s="18" t="str">
        <f>IFERROR(VLOOKUP(K854,[1]POP!$F:$J,1,0),M854)</f>
        <v>MADA</v>
      </c>
      <c r="AS854" s="18" t="str">
        <f t="shared" si="66"/>
        <v>KOFIA</v>
      </c>
      <c r="AT854" s="19">
        <f t="shared" si="69"/>
        <v>2</v>
      </c>
      <c r="AU854" s="19">
        <f t="shared" ca="1" si="68"/>
        <v>2</v>
      </c>
    </row>
    <row r="855" spans="1:47" x14ac:dyDescent="0.3">
      <c r="A855" t="s">
        <v>1224</v>
      </c>
      <c r="B855" t="str">
        <f t="shared" si="65"/>
        <v>S31_2026</v>
      </c>
      <c r="C855" t="str">
        <f t="shared" si="67"/>
        <v>S31_2026</v>
      </c>
      <c r="F855">
        <v>7</v>
      </c>
      <c r="G855" t="s">
        <v>55</v>
      </c>
      <c r="I855" t="s">
        <v>1212</v>
      </c>
      <c r="J855" t="s">
        <v>985</v>
      </c>
      <c r="K855" t="s">
        <v>124</v>
      </c>
      <c r="L855" t="s">
        <v>985</v>
      </c>
      <c r="M855" t="s">
        <v>124</v>
      </c>
      <c r="N855" t="s">
        <v>117</v>
      </c>
      <c r="O855" t="s">
        <v>117</v>
      </c>
      <c r="P855">
        <v>3</v>
      </c>
      <c r="Q855" s="7">
        <v>46232</v>
      </c>
      <c r="R855" s="7">
        <v>46232</v>
      </c>
      <c r="S855" s="7">
        <v>46232</v>
      </c>
      <c r="T855" t="s">
        <v>45</v>
      </c>
      <c r="V855" t="s">
        <v>986</v>
      </c>
      <c r="W855" t="s">
        <v>45</v>
      </c>
      <c r="X855" t="s">
        <v>45</v>
      </c>
      <c r="Y855" t="s">
        <v>45</v>
      </c>
      <c r="Z855" t="s">
        <v>74</v>
      </c>
      <c r="AF855">
        <v>2</v>
      </c>
      <c r="AH855" t="s">
        <v>75</v>
      </c>
      <c r="AI855">
        <v>1</v>
      </c>
      <c r="AJ855" s="15"/>
      <c r="AN855"/>
      <c r="AO855"/>
      <c r="AP855"/>
      <c r="AQ855"/>
      <c r="AR855" s="18" t="str">
        <f>IFERROR(VLOOKUP(K855,[1]POP!$F:$J,1,0),M855)</f>
        <v>MADA</v>
      </c>
      <c r="AS855" s="18" t="str">
        <f t="shared" si="66"/>
        <v>KOFIA</v>
      </c>
      <c r="AT855" s="19">
        <f t="shared" si="69"/>
        <v>2</v>
      </c>
      <c r="AU855" s="19">
        <f t="shared" ca="1" si="68"/>
        <v>2</v>
      </c>
    </row>
    <row r="856" spans="1:47" x14ac:dyDescent="0.3">
      <c r="A856" t="s">
        <v>1225</v>
      </c>
      <c r="B856" t="str">
        <f t="shared" si="65"/>
        <v>S31_2026</v>
      </c>
      <c r="C856" t="str">
        <f t="shared" si="67"/>
        <v>S31_2026</v>
      </c>
      <c r="F856">
        <v>3</v>
      </c>
      <c r="G856" t="s">
        <v>40</v>
      </c>
      <c r="I856" t="s">
        <v>1212</v>
      </c>
      <c r="J856" t="s">
        <v>985</v>
      </c>
      <c r="K856" t="s">
        <v>124</v>
      </c>
      <c r="L856" t="s">
        <v>985</v>
      </c>
      <c r="M856" t="s">
        <v>124</v>
      </c>
      <c r="N856" t="s">
        <v>117</v>
      </c>
      <c r="O856" t="s">
        <v>117</v>
      </c>
      <c r="P856">
        <v>3</v>
      </c>
      <c r="Q856" s="7">
        <v>46232</v>
      </c>
      <c r="R856" s="7">
        <v>46232</v>
      </c>
      <c r="S856" s="7">
        <v>46232</v>
      </c>
      <c r="T856" t="s">
        <v>45</v>
      </c>
      <c r="V856" t="s">
        <v>986</v>
      </c>
      <c r="W856" t="s">
        <v>45</v>
      </c>
      <c r="X856" t="s">
        <v>45</v>
      </c>
      <c r="Y856" t="s">
        <v>45</v>
      </c>
      <c r="Z856" t="s">
        <v>74</v>
      </c>
      <c r="AF856">
        <v>2</v>
      </c>
      <c r="AH856" t="s">
        <v>75</v>
      </c>
      <c r="AI856">
        <v>1</v>
      </c>
      <c r="AJ856" s="15"/>
      <c r="AN856"/>
      <c r="AO856"/>
      <c r="AP856"/>
      <c r="AQ856"/>
      <c r="AR856" s="18" t="str">
        <f>IFERROR(VLOOKUP(K856,[1]POP!$F:$J,1,0),M856)</f>
        <v>MADA</v>
      </c>
      <c r="AS856" s="18" t="str">
        <f t="shared" si="66"/>
        <v>KOFIA</v>
      </c>
      <c r="AT856" s="19">
        <f t="shared" si="69"/>
        <v>2</v>
      </c>
      <c r="AU856" s="19">
        <f t="shared" ca="1" si="68"/>
        <v>2</v>
      </c>
    </row>
    <row r="857" spans="1:47" x14ac:dyDescent="0.3">
      <c r="A857" t="s">
        <v>1226</v>
      </c>
      <c r="B857" t="str">
        <f t="shared" si="65"/>
        <v>S31_2026</v>
      </c>
      <c r="C857" t="str">
        <f t="shared" si="67"/>
        <v>S31_2026</v>
      </c>
      <c r="F857">
        <v>2</v>
      </c>
      <c r="G857" t="s">
        <v>40</v>
      </c>
      <c r="I857" t="s">
        <v>1212</v>
      </c>
      <c r="J857" t="s">
        <v>985</v>
      </c>
      <c r="K857" t="s">
        <v>124</v>
      </c>
      <c r="L857" t="s">
        <v>985</v>
      </c>
      <c r="M857" t="s">
        <v>124</v>
      </c>
      <c r="N857" t="s">
        <v>117</v>
      </c>
      <c r="O857" t="s">
        <v>117</v>
      </c>
      <c r="P857">
        <v>2</v>
      </c>
      <c r="Q857" s="7">
        <v>46232</v>
      </c>
      <c r="R857" s="7">
        <v>46232</v>
      </c>
      <c r="S857" s="7">
        <v>46232</v>
      </c>
      <c r="T857" t="s">
        <v>45</v>
      </c>
      <c r="V857" t="s">
        <v>986</v>
      </c>
      <c r="W857" t="s">
        <v>45</v>
      </c>
      <c r="X857" t="s">
        <v>45</v>
      </c>
      <c r="Y857" t="s">
        <v>45</v>
      </c>
      <c r="Z857" t="s">
        <v>74</v>
      </c>
      <c r="AB857" t="s">
        <v>48</v>
      </c>
      <c r="AF857">
        <v>2</v>
      </c>
      <c r="AH857" t="s">
        <v>75</v>
      </c>
      <c r="AI857">
        <v>1</v>
      </c>
      <c r="AJ857" s="15"/>
      <c r="AN857"/>
      <c r="AO857"/>
      <c r="AP857"/>
      <c r="AQ857"/>
      <c r="AR857" s="18" t="str">
        <f>IFERROR(VLOOKUP(K857,[1]POP!$F:$J,1,0),M857)</f>
        <v>MADA</v>
      </c>
      <c r="AS857" s="18" t="str">
        <f t="shared" si="66"/>
        <v>KOFIA</v>
      </c>
      <c r="AT857" s="19">
        <f t="shared" si="69"/>
        <v>2</v>
      </c>
      <c r="AU857" s="19">
        <f t="shared" ca="1" si="68"/>
        <v>2</v>
      </c>
    </row>
    <row r="858" spans="1:47" x14ac:dyDescent="0.3">
      <c r="A858" t="s">
        <v>1227</v>
      </c>
      <c r="B858" t="str">
        <f t="shared" si="65"/>
        <v>S31_2026</v>
      </c>
      <c r="C858" t="str">
        <f t="shared" si="67"/>
        <v>S31_2026</v>
      </c>
      <c r="F858">
        <v>2</v>
      </c>
      <c r="G858" t="s">
        <v>55</v>
      </c>
      <c r="I858" t="s">
        <v>1212</v>
      </c>
      <c r="J858" t="s">
        <v>985</v>
      </c>
      <c r="K858" t="s">
        <v>124</v>
      </c>
      <c r="L858" t="s">
        <v>985</v>
      </c>
      <c r="M858" t="s">
        <v>124</v>
      </c>
      <c r="N858" t="s">
        <v>117</v>
      </c>
      <c r="O858" t="s">
        <v>117</v>
      </c>
      <c r="P858">
        <v>3</v>
      </c>
      <c r="Q858" s="7">
        <v>46232</v>
      </c>
      <c r="R858" s="7">
        <v>46232</v>
      </c>
      <c r="S858" s="7">
        <v>46232</v>
      </c>
      <c r="T858" t="s">
        <v>45</v>
      </c>
      <c r="V858" t="s">
        <v>986</v>
      </c>
      <c r="W858" t="s">
        <v>45</v>
      </c>
      <c r="X858" t="s">
        <v>45</v>
      </c>
      <c r="Y858" t="s">
        <v>45</v>
      </c>
      <c r="Z858" t="s">
        <v>74</v>
      </c>
      <c r="AF858">
        <v>2</v>
      </c>
      <c r="AH858" t="s">
        <v>75</v>
      </c>
      <c r="AI858">
        <v>1</v>
      </c>
      <c r="AJ858" s="15"/>
      <c r="AN858"/>
      <c r="AO858"/>
      <c r="AP858"/>
      <c r="AQ858"/>
      <c r="AR858" s="18" t="str">
        <f>IFERROR(VLOOKUP(K858,[1]POP!$F:$J,1,0),M858)</f>
        <v>MADA</v>
      </c>
      <c r="AS858" s="18" t="str">
        <f t="shared" si="66"/>
        <v>KOFIA</v>
      </c>
      <c r="AT858" s="19">
        <f t="shared" si="69"/>
        <v>2</v>
      </c>
      <c r="AU858" s="19">
        <f t="shared" ca="1" si="68"/>
        <v>2</v>
      </c>
    </row>
    <row r="859" spans="1:47" x14ac:dyDescent="0.3">
      <c r="A859" t="s">
        <v>1228</v>
      </c>
      <c r="B859" t="str">
        <f t="shared" si="65"/>
        <v>S31_2026</v>
      </c>
      <c r="C859" t="str">
        <f t="shared" si="67"/>
        <v>S31_2026</v>
      </c>
      <c r="F859">
        <v>13</v>
      </c>
      <c r="G859" t="s">
        <v>40</v>
      </c>
      <c r="I859" t="s">
        <v>1212</v>
      </c>
      <c r="J859" t="s">
        <v>985</v>
      </c>
      <c r="K859" t="s">
        <v>124</v>
      </c>
      <c r="L859" t="s">
        <v>985</v>
      </c>
      <c r="M859" t="s">
        <v>124</v>
      </c>
      <c r="N859" t="s">
        <v>117</v>
      </c>
      <c r="O859" t="s">
        <v>117</v>
      </c>
      <c r="P859">
        <v>1</v>
      </c>
      <c r="Q859" s="7">
        <v>46232</v>
      </c>
      <c r="R859" s="7">
        <v>46232</v>
      </c>
      <c r="S859" s="7">
        <v>46232</v>
      </c>
      <c r="T859" t="s">
        <v>45</v>
      </c>
      <c r="V859" t="s">
        <v>986</v>
      </c>
      <c r="W859" t="s">
        <v>45</v>
      </c>
      <c r="X859" t="s">
        <v>45</v>
      </c>
      <c r="Y859" t="s">
        <v>45</v>
      </c>
      <c r="Z859" t="s">
        <v>74</v>
      </c>
      <c r="AF859">
        <v>2</v>
      </c>
      <c r="AH859" t="s">
        <v>75</v>
      </c>
      <c r="AI859">
        <v>1</v>
      </c>
      <c r="AJ859" s="15"/>
      <c r="AN859"/>
      <c r="AO859"/>
      <c r="AP859"/>
      <c r="AQ859"/>
      <c r="AR859" s="18" t="str">
        <f>IFERROR(VLOOKUP(K859,[1]POP!$F:$J,1,0),M859)</f>
        <v>MADA</v>
      </c>
      <c r="AS859" s="18" t="str">
        <f t="shared" si="66"/>
        <v>KOFIA</v>
      </c>
      <c r="AT859" s="19">
        <f t="shared" si="69"/>
        <v>2</v>
      </c>
      <c r="AU859" s="19">
        <f t="shared" ca="1" si="68"/>
        <v>2</v>
      </c>
    </row>
    <row r="860" spans="1:47" x14ac:dyDescent="0.3">
      <c r="A860" t="s">
        <v>1229</v>
      </c>
      <c r="B860" t="str">
        <f t="shared" si="65"/>
        <v>S31_2026</v>
      </c>
      <c r="C860" t="str">
        <f t="shared" si="67"/>
        <v>S31_2026</v>
      </c>
      <c r="F860">
        <v>15</v>
      </c>
      <c r="G860" t="s">
        <v>40</v>
      </c>
      <c r="I860" t="s">
        <v>1212</v>
      </c>
      <c r="J860" t="s">
        <v>985</v>
      </c>
      <c r="K860" t="s">
        <v>124</v>
      </c>
      <c r="L860" t="s">
        <v>985</v>
      </c>
      <c r="M860" t="s">
        <v>124</v>
      </c>
      <c r="N860" t="s">
        <v>117</v>
      </c>
      <c r="O860" t="s">
        <v>117</v>
      </c>
      <c r="P860">
        <v>3</v>
      </c>
      <c r="Q860" s="7">
        <v>46232</v>
      </c>
      <c r="R860" s="7">
        <v>46232</v>
      </c>
      <c r="S860" s="7">
        <v>46232</v>
      </c>
      <c r="T860" t="s">
        <v>45</v>
      </c>
      <c r="V860" t="s">
        <v>986</v>
      </c>
      <c r="W860" t="s">
        <v>45</v>
      </c>
      <c r="X860" t="s">
        <v>45</v>
      </c>
      <c r="Y860" t="s">
        <v>45</v>
      </c>
      <c r="Z860" t="s">
        <v>74</v>
      </c>
      <c r="AF860">
        <v>2</v>
      </c>
      <c r="AH860" t="s">
        <v>75</v>
      </c>
      <c r="AI860">
        <v>1</v>
      </c>
      <c r="AJ860" s="15"/>
      <c r="AN860"/>
      <c r="AO860"/>
      <c r="AP860"/>
      <c r="AQ860"/>
      <c r="AR860" s="18" t="str">
        <f>IFERROR(VLOOKUP(K860,[1]POP!$F:$J,1,0),M860)</f>
        <v>MADA</v>
      </c>
      <c r="AS860" s="18" t="str">
        <f t="shared" si="66"/>
        <v>KOFIA</v>
      </c>
      <c r="AT860" s="19">
        <f t="shared" si="69"/>
        <v>2</v>
      </c>
      <c r="AU860" s="19">
        <f t="shared" ca="1" si="68"/>
        <v>2</v>
      </c>
    </row>
    <row r="861" spans="1:47" x14ac:dyDescent="0.3">
      <c r="A861" t="s">
        <v>1230</v>
      </c>
      <c r="B861" t="str">
        <f t="shared" si="65"/>
        <v>S31_2026</v>
      </c>
      <c r="C861" t="str">
        <f t="shared" si="67"/>
        <v>S31_2026</v>
      </c>
      <c r="F861">
        <v>3</v>
      </c>
      <c r="G861" t="s">
        <v>55</v>
      </c>
      <c r="I861" t="s">
        <v>1212</v>
      </c>
      <c r="J861" t="s">
        <v>985</v>
      </c>
      <c r="K861" t="s">
        <v>124</v>
      </c>
      <c r="L861" t="s">
        <v>985</v>
      </c>
      <c r="M861" t="s">
        <v>124</v>
      </c>
      <c r="N861" t="s">
        <v>117</v>
      </c>
      <c r="O861" t="s">
        <v>117</v>
      </c>
      <c r="P861">
        <v>3</v>
      </c>
      <c r="Q861" s="7">
        <v>46232</v>
      </c>
      <c r="R861" s="7">
        <v>46232</v>
      </c>
      <c r="S861" s="7">
        <v>46232</v>
      </c>
      <c r="T861" t="s">
        <v>45</v>
      </c>
      <c r="V861" t="s">
        <v>986</v>
      </c>
      <c r="W861" t="s">
        <v>45</v>
      </c>
      <c r="X861" t="s">
        <v>45</v>
      </c>
      <c r="Y861" t="s">
        <v>45</v>
      </c>
      <c r="Z861" t="s">
        <v>74</v>
      </c>
      <c r="AB861" t="s">
        <v>48</v>
      </c>
      <c r="AF861">
        <v>2</v>
      </c>
      <c r="AH861" t="s">
        <v>75</v>
      </c>
      <c r="AI861">
        <v>1</v>
      </c>
      <c r="AJ861" s="15"/>
      <c r="AN861"/>
      <c r="AO861"/>
      <c r="AP861"/>
      <c r="AQ861"/>
      <c r="AR861" s="18" t="str">
        <f>IFERROR(VLOOKUP(K861,[1]POP!$F:$J,1,0),M861)</f>
        <v>MADA</v>
      </c>
      <c r="AS861" s="18" t="str">
        <f t="shared" si="66"/>
        <v>KOFIA</v>
      </c>
      <c r="AT861" s="19">
        <f t="shared" si="69"/>
        <v>2</v>
      </c>
      <c r="AU861" s="19">
        <f t="shared" ca="1" si="68"/>
        <v>2</v>
      </c>
    </row>
    <row r="862" spans="1:47" x14ac:dyDescent="0.3">
      <c r="A862" t="s">
        <v>1231</v>
      </c>
      <c r="B862" t="str">
        <f t="shared" si="65"/>
        <v>S31_2026</v>
      </c>
      <c r="C862" t="str">
        <f t="shared" si="67"/>
        <v>S31_2026</v>
      </c>
      <c r="F862">
        <v>4</v>
      </c>
      <c r="G862" t="s">
        <v>55</v>
      </c>
      <c r="I862" t="s">
        <v>985</v>
      </c>
      <c r="J862" t="s">
        <v>985</v>
      </c>
      <c r="K862" t="s">
        <v>124</v>
      </c>
      <c r="L862" t="s">
        <v>985</v>
      </c>
      <c r="M862" t="s">
        <v>124</v>
      </c>
      <c r="N862" t="s">
        <v>117</v>
      </c>
      <c r="O862" t="s">
        <v>117</v>
      </c>
      <c r="P862">
        <v>3</v>
      </c>
      <c r="Q862" s="7">
        <v>46233</v>
      </c>
      <c r="R862" s="7">
        <v>46233</v>
      </c>
      <c r="S862" s="7">
        <v>46233</v>
      </c>
      <c r="T862" t="s">
        <v>45</v>
      </c>
      <c r="V862" t="s">
        <v>986</v>
      </c>
      <c r="W862" t="s">
        <v>45</v>
      </c>
      <c r="X862" t="s">
        <v>45</v>
      </c>
      <c r="Y862" t="s">
        <v>45</v>
      </c>
      <c r="Z862" t="s">
        <v>74</v>
      </c>
      <c r="AF862">
        <v>2</v>
      </c>
      <c r="AH862" t="s">
        <v>75</v>
      </c>
      <c r="AI862">
        <v>1</v>
      </c>
      <c r="AJ862" s="15"/>
      <c r="AN862"/>
      <c r="AO862"/>
      <c r="AP862"/>
      <c r="AQ862"/>
      <c r="AR862" s="18" t="str">
        <f>IFERROR(VLOOKUP(K862,[1]POP!$F:$J,1,0),M862)</f>
        <v>MADA</v>
      </c>
      <c r="AS862" s="18" t="str">
        <f t="shared" si="66"/>
        <v>KOFIA</v>
      </c>
      <c r="AT862" s="19">
        <f t="shared" si="69"/>
        <v>2</v>
      </c>
      <c r="AU862" s="19">
        <f t="shared" ca="1" si="68"/>
        <v>2</v>
      </c>
    </row>
    <row r="863" spans="1:47" x14ac:dyDescent="0.3">
      <c r="A863" t="s">
        <v>1232</v>
      </c>
      <c r="B863" t="str">
        <f t="shared" si="65"/>
        <v>S31_2026</v>
      </c>
      <c r="C863" t="str">
        <f t="shared" si="67"/>
        <v>S31_2026</v>
      </c>
      <c r="F863">
        <v>12</v>
      </c>
      <c r="G863" t="s">
        <v>55</v>
      </c>
      <c r="I863" t="s">
        <v>1233</v>
      </c>
      <c r="J863" t="s">
        <v>985</v>
      </c>
      <c r="K863" t="s">
        <v>124</v>
      </c>
      <c r="L863" t="s">
        <v>985</v>
      </c>
      <c r="M863" t="s">
        <v>124</v>
      </c>
      <c r="N863" t="s">
        <v>117</v>
      </c>
      <c r="O863" t="s">
        <v>117</v>
      </c>
      <c r="P863">
        <v>2</v>
      </c>
      <c r="Q863" s="7">
        <v>46233</v>
      </c>
      <c r="R863" s="7">
        <v>46233</v>
      </c>
      <c r="S863" s="7">
        <v>46233</v>
      </c>
      <c r="T863" t="s">
        <v>45</v>
      </c>
      <c r="V863" t="s">
        <v>986</v>
      </c>
      <c r="W863" t="s">
        <v>45</v>
      </c>
      <c r="X863" t="s">
        <v>45</v>
      </c>
      <c r="Y863" t="s">
        <v>45</v>
      </c>
      <c r="Z863" t="s">
        <v>74</v>
      </c>
      <c r="AF863">
        <v>2</v>
      </c>
      <c r="AH863" t="s">
        <v>75</v>
      </c>
      <c r="AI863">
        <v>1</v>
      </c>
      <c r="AJ863" s="15"/>
      <c r="AN863"/>
      <c r="AO863"/>
      <c r="AP863"/>
      <c r="AQ863"/>
      <c r="AR863" s="18" t="str">
        <f>IFERROR(VLOOKUP(K863,[1]POP!$F:$J,1,0),M863)</f>
        <v>MADA</v>
      </c>
      <c r="AS863" s="18" t="str">
        <f t="shared" si="66"/>
        <v>KOFIA</v>
      </c>
      <c r="AT863" s="19">
        <f t="shared" si="69"/>
        <v>2</v>
      </c>
      <c r="AU863" s="19">
        <f t="shared" ca="1" si="68"/>
        <v>2</v>
      </c>
    </row>
    <row r="864" spans="1:47" x14ac:dyDescent="0.3">
      <c r="A864" t="s">
        <v>1234</v>
      </c>
      <c r="B864" t="str">
        <f t="shared" si="65"/>
        <v>S31_2026</v>
      </c>
      <c r="C864" t="str">
        <f t="shared" si="67"/>
        <v>S31_2026</v>
      </c>
      <c r="F864">
        <v>25</v>
      </c>
      <c r="G864" t="s">
        <v>55</v>
      </c>
      <c r="I864" t="s">
        <v>985</v>
      </c>
      <c r="J864" t="s">
        <v>985</v>
      </c>
      <c r="K864" t="s">
        <v>124</v>
      </c>
      <c r="L864" t="s">
        <v>985</v>
      </c>
      <c r="M864" t="s">
        <v>124</v>
      </c>
      <c r="N864" t="s">
        <v>117</v>
      </c>
      <c r="O864" t="s">
        <v>117</v>
      </c>
      <c r="P864">
        <v>3</v>
      </c>
      <c r="Q864" s="7">
        <v>46233</v>
      </c>
      <c r="R864" s="7">
        <v>46233</v>
      </c>
      <c r="S864" s="7">
        <v>46233</v>
      </c>
      <c r="T864" t="s">
        <v>45</v>
      </c>
      <c r="V864" t="s">
        <v>986</v>
      </c>
      <c r="W864" t="s">
        <v>45</v>
      </c>
      <c r="X864" t="s">
        <v>45</v>
      </c>
      <c r="Y864" t="s">
        <v>45</v>
      </c>
      <c r="Z864" t="s">
        <v>74</v>
      </c>
      <c r="AB864" t="s">
        <v>48</v>
      </c>
      <c r="AF864">
        <v>2</v>
      </c>
      <c r="AH864" t="s">
        <v>75</v>
      </c>
      <c r="AI864">
        <v>1</v>
      </c>
      <c r="AJ864" s="15"/>
      <c r="AN864"/>
      <c r="AO864"/>
      <c r="AP864"/>
      <c r="AQ864"/>
      <c r="AR864" s="18" t="str">
        <f>IFERROR(VLOOKUP(K864,[1]POP!$F:$J,1,0),M864)</f>
        <v>MADA</v>
      </c>
      <c r="AS864" s="18" t="str">
        <f t="shared" si="66"/>
        <v>KOFIA</v>
      </c>
      <c r="AT864" s="19">
        <f t="shared" si="69"/>
        <v>2</v>
      </c>
      <c r="AU864" s="19">
        <f t="shared" ca="1" si="68"/>
        <v>2</v>
      </c>
    </row>
    <row r="865" spans="1:47" x14ac:dyDescent="0.3">
      <c r="A865" t="s">
        <v>1235</v>
      </c>
      <c r="B865" t="str">
        <f t="shared" si="65"/>
        <v>S31_2026</v>
      </c>
      <c r="C865" t="str">
        <f t="shared" si="67"/>
        <v>S30_2026</v>
      </c>
      <c r="F865">
        <v>3</v>
      </c>
      <c r="G865" t="s">
        <v>55</v>
      </c>
      <c r="I865" t="s">
        <v>477</v>
      </c>
      <c r="J865" t="s">
        <v>128</v>
      </c>
      <c r="K865" t="s">
        <v>124</v>
      </c>
      <c r="L865" t="s">
        <v>174</v>
      </c>
      <c r="M865" t="s">
        <v>124</v>
      </c>
      <c r="N865" t="s">
        <v>45</v>
      </c>
      <c r="O865" t="s">
        <v>74</v>
      </c>
      <c r="P865">
        <v>1</v>
      </c>
      <c r="Q865" s="7">
        <v>46229</v>
      </c>
      <c r="R865" s="7">
        <v>46230</v>
      </c>
      <c r="S865" s="7">
        <v>46230</v>
      </c>
      <c r="T865" t="s">
        <v>45</v>
      </c>
      <c r="V865" t="s">
        <v>175</v>
      </c>
      <c r="W865" t="s">
        <v>45</v>
      </c>
      <c r="X865" t="s">
        <v>74</v>
      </c>
      <c r="Y865" t="s">
        <v>74</v>
      </c>
      <c r="Z865" t="s">
        <v>45</v>
      </c>
      <c r="AF865">
        <v>2</v>
      </c>
      <c r="AH865" t="s">
        <v>75</v>
      </c>
      <c r="AI865">
        <v>1</v>
      </c>
      <c r="AJ865" s="15"/>
      <c r="AN865"/>
      <c r="AO865"/>
      <c r="AP865"/>
      <c r="AQ865"/>
      <c r="AR865" s="18" t="str">
        <f>IFERROR(VLOOKUP(K865,[1]POP!$F:$J,1,0),M865)</f>
        <v>MADA</v>
      </c>
      <c r="AS865" s="18" t="str">
        <f t="shared" si="66"/>
        <v>NAGA</v>
      </c>
      <c r="AT865" s="19">
        <f t="shared" si="69"/>
        <v>2</v>
      </c>
      <c r="AU865" s="19">
        <f t="shared" ca="1" si="68"/>
        <v>2</v>
      </c>
    </row>
    <row r="866" spans="1:47" x14ac:dyDescent="0.3">
      <c r="A866" t="s">
        <v>1236</v>
      </c>
      <c r="B866" t="str">
        <f t="shared" si="65"/>
        <v>S31_2026</v>
      </c>
      <c r="C866" t="str">
        <f t="shared" si="67"/>
        <v>S30_2026</v>
      </c>
      <c r="F866">
        <v>4</v>
      </c>
      <c r="G866" t="s">
        <v>55</v>
      </c>
      <c r="I866" t="s">
        <v>477</v>
      </c>
      <c r="J866" t="s">
        <v>128</v>
      </c>
      <c r="K866" t="s">
        <v>124</v>
      </c>
      <c r="L866" t="s">
        <v>174</v>
      </c>
      <c r="M866" t="s">
        <v>124</v>
      </c>
      <c r="N866" t="s">
        <v>45</v>
      </c>
      <c r="O866" t="s">
        <v>74</v>
      </c>
      <c r="P866">
        <v>1</v>
      </c>
      <c r="Q866" s="7">
        <v>46229</v>
      </c>
      <c r="R866" s="7">
        <v>46230</v>
      </c>
      <c r="S866" s="7">
        <v>46230</v>
      </c>
      <c r="T866" t="s">
        <v>45</v>
      </c>
      <c r="V866" t="s">
        <v>175</v>
      </c>
      <c r="W866" t="s">
        <v>45</v>
      </c>
      <c r="X866" t="s">
        <v>74</v>
      </c>
      <c r="Y866" t="s">
        <v>74</v>
      </c>
      <c r="Z866" t="s">
        <v>45</v>
      </c>
      <c r="AF866">
        <v>2</v>
      </c>
      <c r="AH866" t="s">
        <v>75</v>
      </c>
      <c r="AI866">
        <v>1</v>
      </c>
      <c r="AJ866" s="15"/>
      <c r="AN866"/>
      <c r="AO866"/>
      <c r="AP866"/>
      <c r="AQ866"/>
      <c r="AR866" s="18" t="str">
        <f>IFERROR(VLOOKUP(K866,[1]POP!$F:$J,1,0),M866)</f>
        <v>MADA</v>
      </c>
      <c r="AS866" s="18" t="str">
        <f t="shared" si="66"/>
        <v>NAGA</v>
      </c>
      <c r="AT866" s="19">
        <f t="shared" si="69"/>
        <v>2</v>
      </c>
      <c r="AU866" s="19">
        <f t="shared" ca="1" si="68"/>
        <v>2</v>
      </c>
    </row>
    <row r="867" spans="1:47" x14ac:dyDescent="0.3">
      <c r="A867" t="s">
        <v>1237</v>
      </c>
      <c r="B867" t="str">
        <f t="shared" si="65"/>
        <v>S31_2026</v>
      </c>
      <c r="C867" t="str">
        <f t="shared" si="67"/>
        <v>S30_2026</v>
      </c>
      <c r="F867">
        <v>25</v>
      </c>
      <c r="G867" t="s">
        <v>40</v>
      </c>
      <c r="I867" t="s">
        <v>477</v>
      </c>
      <c r="J867" t="s">
        <v>128</v>
      </c>
      <c r="K867" t="s">
        <v>124</v>
      </c>
      <c r="L867" t="s">
        <v>174</v>
      </c>
      <c r="M867" t="s">
        <v>124</v>
      </c>
      <c r="N867" t="s">
        <v>45</v>
      </c>
      <c r="O867" t="s">
        <v>74</v>
      </c>
      <c r="P867">
        <v>1</v>
      </c>
      <c r="Q867" s="7">
        <v>46229</v>
      </c>
      <c r="R867" s="7">
        <v>46230</v>
      </c>
      <c r="S867" s="7">
        <v>46230</v>
      </c>
      <c r="T867" t="s">
        <v>45</v>
      </c>
      <c r="V867" t="s">
        <v>175</v>
      </c>
      <c r="W867" t="s">
        <v>45</v>
      </c>
      <c r="X867" t="s">
        <v>74</v>
      </c>
      <c r="Y867" t="s">
        <v>74</v>
      </c>
      <c r="Z867" t="s">
        <v>45</v>
      </c>
      <c r="AF867">
        <v>2</v>
      </c>
      <c r="AH867" t="s">
        <v>75</v>
      </c>
      <c r="AI867">
        <v>1</v>
      </c>
      <c r="AJ867" s="15"/>
      <c r="AN867"/>
      <c r="AO867"/>
      <c r="AP867"/>
      <c r="AQ867"/>
      <c r="AR867" s="18" t="str">
        <f>IFERROR(VLOOKUP(K867,[1]POP!$F:$J,1,0),M867)</f>
        <v>MADA</v>
      </c>
      <c r="AS867" s="18" t="str">
        <f t="shared" si="66"/>
        <v>NAGA</v>
      </c>
      <c r="AT867" s="19">
        <f t="shared" si="69"/>
        <v>2</v>
      </c>
      <c r="AU867" s="19">
        <f t="shared" ca="1" si="68"/>
        <v>2</v>
      </c>
    </row>
    <row r="868" spans="1:47" x14ac:dyDescent="0.3">
      <c r="A868" t="s">
        <v>1238</v>
      </c>
      <c r="B868" t="str">
        <f t="shared" si="65"/>
        <v>S31_2026</v>
      </c>
      <c r="C868" t="str">
        <f t="shared" si="67"/>
        <v>S30_2026</v>
      </c>
      <c r="F868">
        <v>7</v>
      </c>
      <c r="G868" t="s">
        <v>55</v>
      </c>
      <c r="I868" t="s">
        <v>127</v>
      </c>
      <c r="J868" t="s">
        <v>173</v>
      </c>
      <c r="K868" t="s">
        <v>124</v>
      </c>
      <c r="L868" t="s">
        <v>174</v>
      </c>
      <c r="M868" t="s">
        <v>124</v>
      </c>
      <c r="N868" t="s">
        <v>45</v>
      </c>
      <c r="O868" t="s">
        <v>45</v>
      </c>
      <c r="P868">
        <v>2</v>
      </c>
      <c r="Q868" s="7">
        <v>46229</v>
      </c>
      <c r="R868" s="7">
        <v>46230</v>
      </c>
      <c r="S868" s="7">
        <v>46230</v>
      </c>
      <c r="T868" t="s">
        <v>45</v>
      </c>
      <c r="V868" t="s">
        <v>175</v>
      </c>
      <c r="W868" t="s">
        <v>45</v>
      </c>
      <c r="X868" t="s">
        <v>45</v>
      </c>
      <c r="Y868" t="s">
        <v>45</v>
      </c>
      <c r="Z868" t="s">
        <v>45</v>
      </c>
      <c r="AF868">
        <v>2</v>
      </c>
      <c r="AH868" t="s">
        <v>75</v>
      </c>
      <c r="AI868">
        <v>1</v>
      </c>
      <c r="AJ868" s="15"/>
      <c r="AN868"/>
      <c r="AO868"/>
      <c r="AP868"/>
      <c r="AQ868"/>
      <c r="AR868" s="18" t="str">
        <f>IFERROR(VLOOKUP(K868,[1]POP!$F:$J,1,0),M868)</f>
        <v>MADA</v>
      </c>
      <c r="AS868" s="18" t="str">
        <f t="shared" si="66"/>
        <v>TCHIKA</v>
      </c>
      <c r="AT868" s="19">
        <f t="shared" si="69"/>
        <v>2</v>
      </c>
      <c r="AU868" s="19">
        <f t="shared" ca="1" si="68"/>
        <v>2</v>
      </c>
    </row>
    <row r="869" spans="1:47" x14ac:dyDescent="0.3">
      <c r="A869" t="s">
        <v>1239</v>
      </c>
      <c r="B869" t="str">
        <f t="shared" si="65"/>
        <v>S31_2026</v>
      </c>
      <c r="C869" t="str">
        <f t="shared" si="67"/>
        <v>S30_2026</v>
      </c>
      <c r="F869">
        <v>10</v>
      </c>
      <c r="G869" t="s">
        <v>40</v>
      </c>
      <c r="I869" t="s">
        <v>127</v>
      </c>
      <c r="J869" t="s">
        <v>173</v>
      </c>
      <c r="K869" t="s">
        <v>124</v>
      </c>
      <c r="L869" t="s">
        <v>174</v>
      </c>
      <c r="M869" t="s">
        <v>124</v>
      </c>
      <c r="N869" t="s">
        <v>45</v>
      </c>
      <c r="O869" t="s">
        <v>74</v>
      </c>
      <c r="P869">
        <v>1</v>
      </c>
      <c r="Q869" s="7">
        <v>46229</v>
      </c>
      <c r="R869" s="7">
        <v>46230</v>
      </c>
      <c r="S869" s="7">
        <v>46230</v>
      </c>
      <c r="T869" t="s">
        <v>45</v>
      </c>
      <c r="V869" t="s">
        <v>175</v>
      </c>
      <c r="W869" t="s">
        <v>45</v>
      </c>
      <c r="X869" t="s">
        <v>74</v>
      </c>
      <c r="Y869" t="s">
        <v>74</v>
      </c>
      <c r="Z869" t="s">
        <v>45</v>
      </c>
      <c r="AF869">
        <v>2</v>
      </c>
      <c r="AH869" t="s">
        <v>75</v>
      </c>
      <c r="AI869">
        <v>1</v>
      </c>
      <c r="AJ869" s="15"/>
      <c r="AN869"/>
      <c r="AO869"/>
      <c r="AP869"/>
      <c r="AQ869"/>
      <c r="AR869" s="18" t="str">
        <f>IFERROR(VLOOKUP(K869,[1]POP!$F:$J,1,0),M869)</f>
        <v>MADA</v>
      </c>
      <c r="AS869" s="18" t="str">
        <f t="shared" si="66"/>
        <v>TCHIKA</v>
      </c>
      <c r="AT869" s="19">
        <f t="shared" si="69"/>
        <v>2</v>
      </c>
      <c r="AU869" s="19">
        <f t="shared" ca="1" si="68"/>
        <v>2</v>
      </c>
    </row>
    <row r="870" spans="1:47" x14ac:dyDescent="0.3">
      <c r="A870" t="s">
        <v>1240</v>
      </c>
      <c r="B870" t="str">
        <f t="shared" si="65"/>
        <v>S31_2026</v>
      </c>
      <c r="C870" t="str">
        <f t="shared" si="67"/>
        <v>S30_2026</v>
      </c>
      <c r="F870">
        <v>8</v>
      </c>
      <c r="G870" t="s">
        <v>40</v>
      </c>
      <c r="I870" t="s">
        <v>477</v>
      </c>
      <c r="J870" t="s">
        <v>128</v>
      </c>
      <c r="K870" t="s">
        <v>124</v>
      </c>
      <c r="L870" t="s">
        <v>174</v>
      </c>
      <c r="M870" t="s">
        <v>124</v>
      </c>
      <c r="N870" t="s">
        <v>45</v>
      </c>
      <c r="O870" t="s">
        <v>45</v>
      </c>
      <c r="P870">
        <v>2</v>
      </c>
      <c r="Q870" s="7">
        <v>46229</v>
      </c>
      <c r="R870" s="7">
        <v>46230</v>
      </c>
      <c r="S870" s="7">
        <v>46230</v>
      </c>
      <c r="T870" t="s">
        <v>45</v>
      </c>
      <c r="V870" t="s">
        <v>175</v>
      </c>
      <c r="W870" t="s">
        <v>45</v>
      </c>
      <c r="X870" t="s">
        <v>45</v>
      </c>
      <c r="Y870" t="s">
        <v>45</v>
      </c>
      <c r="Z870" t="s">
        <v>45</v>
      </c>
      <c r="AF870">
        <v>2</v>
      </c>
      <c r="AH870" t="s">
        <v>75</v>
      </c>
      <c r="AI870">
        <v>1</v>
      </c>
      <c r="AJ870" s="15"/>
      <c r="AN870"/>
      <c r="AO870"/>
      <c r="AP870"/>
      <c r="AQ870"/>
      <c r="AR870" s="18" t="str">
        <f>IFERROR(VLOOKUP(K870,[1]POP!$F:$J,1,0),M870)</f>
        <v>MADA</v>
      </c>
      <c r="AS870" s="18" t="str">
        <f t="shared" si="66"/>
        <v>NAGA</v>
      </c>
      <c r="AT870" s="19">
        <f t="shared" si="69"/>
        <v>2</v>
      </c>
      <c r="AU870" s="19">
        <f t="shared" ca="1" si="68"/>
        <v>2</v>
      </c>
    </row>
    <row r="871" spans="1:47" x14ac:dyDescent="0.3">
      <c r="A871" t="s">
        <v>1241</v>
      </c>
      <c r="B871" t="str">
        <f t="shared" si="65"/>
        <v>S31_2026</v>
      </c>
      <c r="C871" t="str">
        <f t="shared" si="67"/>
        <v>S30_2026</v>
      </c>
      <c r="F871">
        <v>25</v>
      </c>
      <c r="G871" t="s">
        <v>55</v>
      </c>
      <c r="I871" t="s">
        <v>477</v>
      </c>
      <c r="J871" t="s">
        <v>128</v>
      </c>
      <c r="K871" t="s">
        <v>124</v>
      </c>
      <c r="L871" t="s">
        <v>174</v>
      </c>
      <c r="M871" t="s">
        <v>124</v>
      </c>
      <c r="N871" t="s">
        <v>45</v>
      </c>
      <c r="O871" t="s">
        <v>45</v>
      </c>
      <c r="P871">
        <v>3</v>
      </c>
      <c r="Q871" s="7">
        <v>46229</v>
      </c>
      <c r="R871" s="7">
        <v>46230</v>
      </c>
      <c r="S871" s="7">
        <v>46230</v>
      </c>
      <c r="T871" t="s">
        <v>45</v>
      </c>
      <c r="V871" t="s">
        <v>175</v>
      </c>
      <c r="W871" t="s">
        <v>45</v>
      </c>
      <c r="X871" t="s">
        <v>45</v>
      </c>
      <c r="Y871" t="s">
        <v>45</v>
      </c>
      <c r="Z871" t="s">
        <v>45</v>
      </c>
      <c r="AF871">
        <v>2</v>
      </c>
      <c r="AH871" t="s">
        <v>75</v>
      </c>
      <c r="AI871">
        <v>1</v>
      </c>
      <c r="AJ871" s="15"/>
      <c r="AN871"/>
      <c r="AO871"/>
      <c r="AP871"/>
      <c r="AQ871"/>
      <c r="AR871" s="18" t="str">
        <f>IFERROR(VLOOKUP(K871,[1]POP!$F:$J,1,0),M871)</f>
        <v>MADA</v>
      </c>
      <c r="AS871" s="18" t="str">
        <f t="shared" si="66"/>
        <v>NAGA</v>
      </c>
      <c r="AT871" s="19">
        <f t="shared" si="69"/>
        <v>2</v>
      </c>
      <c r="AU871" s="19">
        <f t="shared" ca="1" si="68"/>
        <v>2</v>
      </c>
    </row>
    <row r="872" spans="1:47" x14ac:dyDescent="0.3">
      <c r="A872" t="s">
        <v>1242</v>
      </c>
      <c r="B872" t="str">
        <f t="shared" si="65"/>
        <v>S31_2026</v>
      </c>
      <c r="C872" t="str">
        <f t="shared" si="67"/>
        <v>S30_2026</v>
      </c>
      <c r="F872">
        <v>20</v>
      </c>
      <c r="G872" t="s">
        <v>55</v>
      </c>
      <c r="I872" t="s">
        <v>477</v>
      </c>
      <c r="J872" t="s">
        <v>128</v>
      </c>
      <c r="K872" t="s">
        <v>124</v>
      </c>
      <c r="L872" t="s">
        <v>174</v>
      </c>
      <c r="M872" t="s">
        <v>124</v>
      </c>
      <c r="N872" t="s">
        <v>45</v>
      </c>
      <c r="O872" t="s">
        <v>74</v>
      </c>
      <c r="P872">
        <v>1</v>
      </c>
      <c r="Q872" s="7">
        <v>46229</v>
      </c>
      <c r="R872" s="7">
        <v>46230</v>
      </c>
      <c r="S872" s="7">
        <v>46230</v>
      </c>
      <c r="T872" t="s">
        <v>45</v>
      </c>
      <c r="V872" t="s">
        <v>175</v>
      </c>
      <c r="W872" t="s">
        <v>45</v>
      </c>
      <c r="X872" t="s">
        <v>74</v>
      </c>
      <c r="Y872" t="s">
        <v>74</v>
      </c>
      <c r="Z872" t="s">
        <v>45</v>
      </c>
      <c r="AF872">
        <v>2</v>
      </c>
      <c r="AH872" t="s">
        <v>75</v>
      </c>
      <c r="AI872">
        <v>1</v>
      </c>
      <c r="AJ872" s="15"/>
      <c r="AN872"/>
      <c r="AO872"/>
      <c r="AP872"/>
      <c r="AQ872"/>
      <c r="AR872" s="18" t="str">
        <f>IFERROR(VLOOKUP(K872,[1]POP!$F:$J,1,0),M872)</f>
        <v>MADA</v>
      </c>
      <c r="AS872" s="18" t="str">
        <f t="shared" si="66"/>
        <v>NAGA</v>
      </c>
      <c r="AT872" s="19">
        <f t="shared" si="69"/>
        <v>2</v>
      </c>
      <c r="AU872" s="19">
        <f t="shared" ca="1" si="68"/>
        <v>2</v>
      </c>
    </row>
    <row r="873" spans="1:47" x14ac:dyDescent="0.3">
      <c r="A873" t="s">
        <v>1243</v>
      </c>
      <c r="B873" t="str">
        <f t="shared" si="65"/>
        <v>S31_2026</v>
      </c>
      <c r="C873" t="str">
        <f t="shared" si="67"/>
        <v>S30_2026</v>
      </c>
      <c r="F873">
        <v>14</v>
      </c>
      <c r="G873" t="s">
        <v>55</v>
      </c>
      <c r="I873" t="s">
        <v>477</v>
      </c>
      <c r="J873" t="s">
        <v>128</v>
      </c>
      <c r="K873" t="s">
        <v>124</v>
      </c>
      <c r="L873" t="s">
        <v>174</v>
      </c>
      <c r="M873" t="s">
        <v>124</v>
      </c>
      <c r="N873" t="s">
        <v>45</v>
      </c>
      <c r="O873" t="s">
        <v>74</v>
      </c>
      <c r="P873">
        <v>1</v>
      </c>
      <c r="Q873" s="7">
        <v>46229</v>
      </c>
      <c r="R873" s="7">
        <v>46230</v>
      </c>
      <c r="S873" s="7">
        <v>46230</v>
      </c>
      <c r="T873" t="s">
        <v>45</v>
      </c>
      <c r="V873" t="s">
        <v>175</v>
      </c>
      <c r="W873" t="s">
        <v>45</v>
      </c>
      <c r="X873" t="s">
        <v>74</v>
      </c>
      <c r="Y873" t="s">
        <v>74</v>
      </c>
      <c r="Z873" t="s">
        <v>45</v>
      </c>
      <c r="AF873">
        <v>2</v>
      </c>
      <c r="AH873" t="s">
        <v>75</v>
      </c>
      <c r="AI873">
        <v>1</v>
      </c>
      <c r="AJ873" s="15"/>
      <c r="AN873"/>
      <c r="AO873"/>
      <c r="AP873"/>
      <c r="AQ873"/>
      <c r="AR873" s="18" t="str">
        <f>IFERROR(VLOOKUP(K873,[1]POP!$F:$J,1,0),M873)</f>
        <v>MADA</v>
      </c>
      <c r="AS873" s="18" t="str">
        <f t="shared" si="66"/>
        <v>NAGA</v>
      </c>
      <c r="AT873" s="19">
        <f t="shared" si="69"/>
        <v>2</v>
      </c>
      <c r="AU873" s="19">
        <f t="shared" ca="1" si="68"/>
        <v>2</v>
      </c>
    </row>
    <row r="874" spans="1:47" x14ac:dyDescent="0.3">
      <c r="A874" t="s">
        <v>1244</v>
      </c>
      <c r="B874" t="str">
        <f t="shared" si="65"/>
        <v>S31_2026</v>
      </c>
      <c r="C874" t="str">
        <f t="shared" si="67"/>
        <v>S30_2026</v>
      </c>
      <c r="F874">
        <v>20</v>
      </c>
      <c r="G874" t="s">
        <v>40</v>
      </c>
      <c r="I874" t="s">
        <v>477</v>
      </c>
      <c r="J874" t="s">
        <v>128</v>
      </c>
      <c r="K874" t="s">
        <v>124</v>
      </c>
      <c r="L874" t="s">
        <v>174</v>
      </c>
      <c r="M874" t="s">
        <v>124</v>
      </c>
      <c r="N874" t="s">
        <v>45</v>
      </c>
      <c r="O874" t="s">
        <v>74</v>
      </c>
      <c r="P874">
        <v>1</v>
      </c>
      <c r="Q874" s="7">
        <v>46229</v>
      </c>
      <c r="R874" s="7">
        <v>46230</v>
      </c>
      <c r="S874" s="7">
        <v>46230</v>
      </c>
      <c r="T874" t="s">
        <v>45</v>
      </c>
      <c r="V874" t="s">
        <v>175</v>
      </c>
      <c r="W874" t="s">
        <v>45</v>
      </c>
      <c r="X874" t="s">
        <v>74</v>
      </c>
      <c r="Y874" t="s">
        <v>74</v>
      </c>
      <c r="Z874" t="s">
        <v>45</v>
      </c>
      <c r="AF874">
        <v>2</v>
      </c>
      <c r="AH874" t="s">
        <v>75</v>
      </c>
      <c r="AI874">
        <v>1</v>
      </c>
      <c r="AJ874" s="15"/>
      <c r="AN874"/>
      <c r="AO874"/>
      <c r="AP874"/>
      <c r="AQ874"/>
      <c r="AR874" s="18" t="str">
        <f>IFERROR(VLOOKUP(K874,[1]POP!$F:$J,1,0),M874)</f>
        <v>MADA</v>
      </c>
      <c r="AS874" s="18" t="str">
        <f t="shared" si="66"/>
        <v>NAGA</v>
      </c>
      <c r="AT874" s="19">
        <f t="shared" si="69"/>
        <v>2</v>
      </c>
      <c r="AU874" s="19">
        <f t="shared" ca="1" si="68"/>
        <v>2</v>
      </c>
    </row>
    <row r="875" spans="1:47" x14ac:dyDescent="0.3">
      <c r="A875" t="s">
        <v>1245</v>
      </c>
      <c r="B875" t="str">
        <f t="shared" si="65"/>
        <v>S31_2026</v>
      </c>
      <c r="C875" t="str">
        <f t="shared" si="67"/>
        <v>S30_2026</v>
      </c>
      <c r="F875">
        <v>11</v>
      </c>
      <c r="G875" t="s">
        <v>55</v>
      </c>
      <c r="I875" t="s">
        <v>128</v>
      </c>
      <c r="J875" t="s">
        <v>128</v>
      </c>
      <c r="K875" t="s">
        <v>124</v>
      </c>
      <c r="L875" t="s">
        <v>174</v>
      </c>
      <c r="M875" t="s">
        <v>124</v>
      </c>
      <c r="N875" t="s">
        <v>45</v>
      </c>
      <c r="O875" t="s">
        <v>45</v>
      </c>
      <c r="P875">
        <v>3</v>
      </c>
      <c r="Q875" s="7">
        <v>46229</v>
      </c>
      <c r="R875" s="7">
        <v>46230</v>
      </c>
      <c r="S875" s="7">
        <v>46230</v>
      </c>
      <c r="T875" t="s">
        <v>45</v>
      </c>
      <c r="V875" t="s">
        <v>175</v>
      </c>
      <c r="W875" t="s">
        <v>45</v>
      </c>
      <c r="X875" t="s">
        <v>45</v>
      </c>
      <c r="Y875" t="s">
        <v>45</v>
      </c>
      <c r="Z875" t="s">
        <v>45</v>
      </c>
      <c r="AF875">
        <v>2</v>
      </c>
      <c r="AH875" t="s">
        <v>75</v>
      </c>
      <c r="AI875">
        <v>1</v>
      </c>
      <c r="AJ875" s="15"/>
      <c r="AN875"/>
      <c r="AO875"/>
      <c r="AP875"/>
      <c r="AQ875"/>
      <c r="AR875" s="18" t="str">
        <f>IFERROR(VLOOKUP(K875,[1]POP!$F:$J,1,0),M875)</f>
        <v>MADA</v>
      </c>
      <c r="AS875" s="18" t="str">
        <f t="shared" si="66"/>
        <v>NAGA</v>
      </c>
      <c r="AT875" s="19">
        <f t="shared" si="69"/>
        <v>2</v>
      </c>
      <c r="AU875" s="19">
        <f t="shared" ca="1" si="68"/>
        <v>2</v>
      </c>
    </row>
    <row r="876" spans="1:47" x14ac:dyDescent="0.3">
      <c r="A876" t="s">
        <v>1246</v>
      </c>
      <c r="B876" t="str">
        <f t="shared" si="65"/>
        <v>S31_2026</v>
      </c>
      <c r="C876" t="str">
        <f t="shared" si="67"/>
        <v>S30_2026</v>
      </c>
      <c r="F876">
        <v>60</v>
      </c>
      <c r="G876" t="s">
        <v>55</v>
      </c>
      <c r="I876" t="s">
        <v>1247</v>
      </c>
      <c r="J876" t="s">
        <v>174</v>
      </c>
      <c r="K876" t="s">
        <v>124</v>
      </c>
      <c r="L876" t="s">
        <v>174</v>
      </c>
      <c r="M876" t="s">
        <v>124</v>
      </c>
      <c r="N876" t="s">
        <v>45</v>
      </c>
      <c r="O876" t="s">
        <v>45</v>
      </c>
      <c r="P876">
        <v>3</v>
      </c>
      <c r="Q876" s="7">
        <v>46229</v>
      </c>
      <c r="R876" s="7">
        <v>46230</v>
      </c>
      <c r="S876" s="7">
        <v>46230</v>
      </c>
      <c r="T876" t="s">
        <v>45</v>
      </c>
      <c r="V876" t="s">
        <v>175</v>
      </c>
      <c r="W876" t="s">
        <v>45</v>
      </c>
      <c r="X876" t="s">
        <v>45</v>
      </c>
      <c r="Y876" t="s">
        <v>45</v>
      </c>
      <c r="Z876" t="s">
        <v>45</v>
      </c>
      <c r="AF876">
        <v>2</v>
      </c>
      <c r="AH876" t="s">
        <v>75</v>
      </c>
      <c r="AI876">
        <v>1</v>
      </c>
      <c r="AJ876" s="15"/>
      <c r="AN876"/>
      <c r="AO876"/>
      <c r="AP876"/>
      <c r="AQ876"/>
      <c r="AR876" s="18" t="str">
        <f>IFERROR(VLOOKUP(K876,[1]POP!$F:$J,1,0),M876)</f>
        <v>MADA</v>
      </c>
      <c r="AS876" s="18" t="str">
        <f t="shared" si="66"/>
        <v>HILE ALIFA</v>
      </c>
      <c r="AT876" s="19">
        <f t="shared" si="69"/>
        <v>2</v>
      </c>
      <c r="AU876" s="19">
        <f t="shared" ca="1" si="68"/>
        <v>2</v>
      </c>
    </row>
    <row r="877" spans="1:47" x14ac:dyDescent="0.3">
      <c r="A877" t="s">
        <v>1248</v>
      </c>
      <c r="B877" t="str">
        <f t="shared" si="65"/>
        <v>S31_2026</v>
      </c>
      <c r="C877" t="str">
        <f t="shared" si="67"/>
        <v>S30_2026</v>
      </c>
      <c r="F877">
        <v>7</v>
      </c>
      <c r="G877" t="s">
        <v>55</v>
      </c>
      <c r="I877" t="s">
        <v>1247</v>
      </c>
      <c r="J877" t="s">
        <v>174</v>
      </c>
      <c r="K877" t="s">
        <v>124</v>
      </c>
      <c r="L877" t="s">
        <v>174</v>
      </c>
      <c r="M877" t="s">
        <v>124</v>
      </c>
      <c r="N877" t="s">
        <v>45</v>
      </c>
      <c r="O877" t="s">
        <v>45</v>
      </c>
      <c r="P877">
        <v>3</v>
      </c>
      <c r="Q877" s="7">
        <v>46229</v>
      </c>
      <c r="R877" s="7">
        <v>46230</v>
      </c>
      <c r="S877" s="7">
        <v>46230</v>
      </c>
      <c r="T877" t="s">
        <v>45</v>
      </c>
      <c r="V877" t="s">
        <v>175</v>
      </c>
      <c r="W877" t="s">
        <v>45</v>
      </c>
      <c r="X877" t="s">
        <v>45</v>
      </c>
      <c r="Y877" t="s">
        <v>45</v>
      </c>
      <c r="Z877" t="s">
        <v>45</v>
      </c>
      <c r="AF877">
        <v>2</v>
      </c>
      <c r="AH877" t="s">
        <v>75</v>
      </c>
      <c r="AI877">
        <v>1</v>
      </c>
      <c r="AJ877" s="15"/>
      <c r="AN877"/>
      <c r="AO877"/>
      <c r="AP877"/>
      <c r="AQ877"/>
      <c r="AR877" s="18" t="str">
        <f>IFERROR(VLOOKUP(K877,[1]POP!$F:$J,1,0),M877)</f>
        <v>MADA</v>
      </c>
      <c r="AS877" s="18" t="str">
        <f t="shared" si="66"/>
        <v>HILE ALIFA</v>
      </c>
      <c r="AT877" s="19">
        <f t="shared" si="69"/>
        <v>2</v>
      </c>
      <c r="AU877" s="19">
        <f t="shared" ca="1" si="68"/>
        <v>2</v>
      </c>
    </row>
    <row r="878" spans="1:47" x14ac:dyDescent="0.3">
      <c r="A878" t="s">
        <v>1249</v>
      </c>
      <c r="B878" t="str">
        <f t="shared" si="65"/>
        <v>S31_2026</v>
      </c>
      <c r="C878" t="str">
        <f t="shared" si="67"/>
        <v>S30_2026</v>
      </c>
      <c r="F878">
        <v>2</v>
      </c>
      <c r="G878" t="s">
        <v>40</v>
      </c>
      <c r="I878" t="s">
        <v>1247</v>
      </c>
      <c r="J878" t="s">
        <v>174</v>
      </c>
      <c r="K878" t="s">
        <v>124</v>
      </c>
      <c r="L878" t="s">
        <v>174</v>
      </c>
      <c r="M878" t="s">
        <v>124</v>
      </c>
      <c r="N878" t="s">
        <v>45</v>
      </c>
      <c r="O878" t="s">
        <v>45</v>
      </c>
      <c r="P878">
        <v>3</v>
      </c>
      <c r="Q878" s="7">
        <v>46229</v>
      </c>
      <c r="R878" s="7">
        <v>46230</v>
      </c>
      <c r="S878" s="7">
        <v>46230</v>
      </c>
      <c r="T878" t="s">
        <v>45</v>
      </c>
      <c r="V878" t="s">
        <v>175</v>
      </c>
      <c r="W878" t="s">
        <v>45</v>
      </c>
      <c r="X878" t="s">
        <v>45</v>
      </c>
      <c r="Y878" t="s">
        <v>45</v>
      </c>
      <c r="Z878" t="s">
        <v>45</v>
      </c>
      <c r="AF878">
        <v>2</v>
      </c>
      <c r="AH878" t="s">
        <v>75</v>
      </c>
      <c r="AI878">
        <v>1</v>
      </c>
      <c r="AJ878" s="15"/>
      <c r="AN878"/>
      <c r="AO878"/>
      <c r="AP878"/>
      <c r="AQ878"/>
      <c r="AR878" s="18" t="str">
        <f>IFERROR(VLOOKUP(K878,[1]POP!$F:$J,1,0),M878)</f>
        <v>MADA</v>
      </c>
      <c r="AS878" s="18" t="str">
        <f t="shared" si="66"/>
        <v>HILE ALIFA</v>
      </c>
      <c r="AT878" s="19">
        <f t="shared" si="69"/>
        <v>2</v>
      </c>
      <c r="AU878" s="19">
        <f t="shared" ca="1" si="68"/>
        <v>2</v>
      </c>
    </row>
    <row r="879" spans="1:47" x14ac:dyDescent="0.3">
      <c r="A879" t="s">
        <v>1250</v>
      </c>
      <c r="B879" t="str">
        <f t="shared" si="65"/>
        <v>S31_2026</v>
      </c>
      <c r="C879" t="str">
        <f t="shared" si="67"/>
        <v>S30_2026</v>
      </c>
      <c r="F879">
        <v>2</v>
      </c>
      <c r="G879" t="s">
        <v>55</v>
      </c>
      <c r="I879" t="s">
        <v>1247</v>
      </c>
      <c r="J879" t="s">
        <v>174</v>
      </c>
      <c r="K879" t="s">
        <v>124</v>
      </c>
      <c r="L879" t="s">
        <v>174</v>
      </c>
      <c r="M879" t="s">
        <v>124</v>
      </c>
      <c r="N879" t="s">
        <v>45</v>
      </c>
      <c r="O879" t="s">
        <v>45</v>
      </c>
      <c r="P879">
        <v>2</v>
      </c>
      <c r="Q879" s="7">
        <v>46229</v>
      </c>
      <c r="R879" s="7">
        <v>46230</v>
      </c>
      <c r="S879" s="7">
        <v>46230</v>
      </c>
      <c r="T879" t="s">
        <v>45</v>
      </c>
      <c r="V879" t="s">
        <v>175</v>
      </c>
      <c r="W879" t="s">
        <v>45</v>
      </c>
      <c r="X879" t="s">
        <v>45</v>
      </c>
      <c r="Y879" t="s">
        <v>45</v>
      </c>
      <c r="Z879" t="s">
        <v>45</v>
      </c>
      <c r="AF879">
        <v>2</v>
      </c>
      <c r="AH879" t="s">
        <v>75</v>
      </c>
      <c r="AI879">
        <v>1</v>
      </c>
      <c r="AJ879" s="15"/>
      <c r="AN879"/>
      <c r="AO879"/>
      <c r="AP879"/>
      <c r="AQ879"/>
      <c r="AR879" s="18" t="str">
        <f>IFERROR(VLOOKUP(K879,[1]POP!$F:$J,1,0),M879)</f>
        <v>MADA</v>
      </c>
      <c r="AS879" s="18" t="str">
        <f t="shared" si="66"/>
        <v>HILE ALIFA</v>
      </c>
      <c r="AT879" s="19">
        <f t="shared" si="69"/>
        <v>2</v>
      </c>
      <c r="AU879" s="19">
        <f t="shared" ca="1" si="68"/>
        <v>2</v>
      </c>
    </row>
    <row r="880" spans="1:47" x14ac:dyDescent="0.3">
      <c r="A880" t="s">
        <v>1251</v>
      </c>
      <c r="B880" t="str">
        <f t="shared" si="65"/>
        <v>S31_2026</v>
      </c>
      <c r="C880" t="str">
        <f t="shared" si="67"/>
        <v>S30_2026</v>
      </c>
      <c r="F880">
        <v>13</v>
      </c>
      <c r="G880" t="s">
        <v>40</v>
      </c>
      <c r="I880" t="s">
        <v>1247</v>
      </c>
      <c r="J880" t="s">
        <v>174</v>
      </c>
      <c r="K880" t="s">
        <v>124</v>
      </c>
      <c r="L880" t="s">
        <v>174</v>
      </c>
      <c r="M880" t="s">
        <v>124</v>
      </c>
      <c r="N880" t="s">
        <v>45</v>
      </c>
      <c r="O880" t="s">
        <v>45</v>
      </c>
      <c r="P880">
        <v>2</v>
      </c>
      <c r="Q880" s="7">
        <v>46229</v>
      </c>
      <c r="R880" s="7">
        <v>46230</v>
      </c>
      <c r="S880" s="7">
        <v>46230</v>
      </c>
      <c r="T880" t="s">
        <v>45</v>
      </c>
      <c r="V880" t="s">
        <v>175</v>
      </c>
      <c r="W880" t="s">
        <v>45</v>
      </c>
      <c r="X880" t="s">
        <v>45</v>
      </c>
      <c r="Y880" t="s">
        <v>45</v>
      </c>
      <c r="Z880" t="s">
        <v>45</v>
      </c>
      <c r="AF880">
        <v>2</v>
      </c>
      <c r="AH880" t="s">
        <v>75</v>
      </c>
      <c r="AI880">
        <v>1</v>
      </c>
      <c r="AJ880" s="15"/>
      <c r="AN880"/>
      <c r="AO880"/>
      <c r="AP880"/>
      <c r="AQ880"/>
      <c r="AR880" s="18" t="str">
        <f>IFERROR(VLOOKUP(K880,[1]POP!$F:$J,1,0),M880)</f>
        <v>MADA</v>
      </c>
      <c r="AS880" s="18" t="str">
        <f t="shared" si="66"/>
        <v>HILE ALIFA</v>
      </c>
      <c r="AT880" s="19">
        <f t="shared" si="69"/>
        <v>2</v>
      </c>
      <c r="AU880" s="19">
        <f t="shared" ca="1" si="68"/>
        <v>2</v>
      </c>
    </row>
    <row r="881" spans="1:47" x14ac:dyDescent="0.3">
      <c r="A881" t="s">
        <v>1252</v>
      </c>
      <c r="B881" t="str">
        <f t="shared" si="65"/>
        <v>S31_2026</v>
      </c>
      <c r="C881" t="str">
        <f t="shared" si="67"/>
        <v>S30_2026</v>
      </c>
      <c r="F881">
        <v>3</v>
      </c>
      <c r="G881" t="s">
        <v>55</v>
      </c>
      <c r="I881" t="s">
        <v>477</v>
      </c>
      <c r="J881" t="s">
        <v>128</v>
      </c>
      <c r="K881" t="s">
        <v>124</v>
      </c>
      <c r="L881" t="s">
        <v>174</v>
      </c>
      <c r="M881" t="s">
        <v>124</v>
      </c>
      <c r="N881" t="s">
        <v>45</v>
      </c>
      <c r="O881" t="s">
        <v>74</v>
      </c>
      <c r="P881">
        <v>1</v>
      </c>
      <c r="Q881" s="7">
        <v>46229</v>
      </c>
      <c r="R881" s="7">
        <v>46230</v>
      </c>
      <c r="S881" s="7">
        <v>46230</v>
      </c>
      <c r="T881" t="s">
        <v>45</v>
      </c>
      <c r="V881" t="s">
        <v>175</v>
      </c>
      <c r="W881" t="s">
        <v>45</v>
      </c>
      <c r="X881" t="s">
        <v>74</v>
      </c>
      <c r="Y881" t="s">
        <v>74</v>
      </c>
      <c r="Z881" t="s">
        <v>45</v>
      </c>
      <c r="AF881">
        <v>2</v>
      </c>
      <c r="AH881" t="s">
        <v>75</v>
      </c>
      <c r="AI881">
        <v>1</v>
      </c>
      <c r="AJ881" s="15"/>
      <c r="AN881"/>
      <c r="AO881"/>
      <c r="AP881"/>
      <c r="AQ881"/>
      <c r="AR881" s="18" t="str">
        <f>IFERROR(VLOOKUP(K881,[1]POP!$F:$J,1,0),M881)</f>
        <v>MADA</v>
      </c>
      <c r="AS881" s="18" t="str">
        <f t="shared" si="66"/>
        <v>NAGA</v>
      </c>
      <c r="AT881" s="19">
        <f t="shared" si="69"/>
        <v>2</v>
      </c>
      <c r="AU881" s="19">
        <f t="shared" ca="1" si="68"/>
        <v>2</v>
      </c>
    </row>
    <row r="882" spans="1:47" x14ac:dyDescent="0.3">
      <c r="A882" t="s">
        <v>1253</v>
      </c>
      <c r="B882" t="str">
        <f t="shared" si="65"/>
        <v>S31_2026</v>
      </c>
      <c r="C882" t="str">
        <f t="shared" si="67"/>
        <v>S30_2026</v>
      </c>
      <c r="F882">
        <v>7</v>
      </c>
      <c r="G882" t="s">
        <v>55</v>
      </c>
      <c r="I882" t="s">
        <v>477</v>
      </c>
      <c r="J882" t="s">
        <v>128</v>
      </c>
      <c r="K882" t="s">
        <v>124</v>
      </c>
      <c r="L882" t="s">
        <v>174</v>
      </c>
      <c r="M882" t="s">
        <v>124</v>
      </c>
      <c r="N882" t="s">
        <v>45</v>
      </c>
      <c r="O882" t="s">
        <v>74</v>
      </c>
      <c r="P882">
        <v>1</v>
      </c>
      <c r="Q882" s="7">
        <v>46229</v>
      </c>
      <c r="R882" s="7">
        <v>46230</v>
      </c>
      <c r="S882" s="7">
        <v>46230</v>
      </c>
      <c r="T882" t="s">
        <v>45</v>
      </c>
      <c r="V882" t="s">
        <v>175</v>
      </c>
      <c r="W882" t="s">
        <v>45</v>
      </c>
      <c r="X882" t="s">
        <v>74</v>
      </c>
      <c r="Y882" t="s">
        <v>74</v>
      </c>
      <c r="Z882" t="s">
        <v>45</v>
      </c>
      <c r="AF882">
        <v>2</v>
      </c>
      <c r="AH882" t="s">
        <v>75</v>
      </c>
      <c r="AI882">
        <v>1</v>
      </c>
      <c r="AJ882" s="15"/>
      <c r="AN882"/>
      <c r="AO882"/>
      <c r="AP882"/>
      <c r="AQ882"/>
      <c r="AR882" s="18" t="str">
        <f>IFERROR(VLOOKUP(K882,[1]POP!$F:$J,1,0),M882)</f>
        <v>MADA</v>
      </c>
      <c r="AS882" s="18" t="str">
        <f t="shared" si="66"/>
        <v>NAGA</v>
      </c>
      <c r="AT882" s="19">
        <f t="shared" si="69"/>
        <v>2</v>
      </c>
      <c r="AU882" s="19">
        <f t="shared" ca="1" si="68"/>
        <v>2</v>
      </c>
    </row>
    <row r="883" spans="1:47" x14ac:dyDescent="0.3">
      <c r="A883" t="s">
        <v>1254</v>
      </c>
      <c r="B883" t="str">
        <f t="shared" si="65"/>
        <v>S31_2026</v>
      </c>
      <c r="C883" t="str">
        <f t="shared" si="67"/>
        <v>S31_2026</v>
      </c>
      <c r="F883">
        <v>6</v>
      </c>
      <c r="G883" t="s">
        <v>55</v>
      </c>
      <c r="I883" t="s">
        <v>477</v>
      </c>
      <c r="J883" t="s">
        <v>128</v>
      </c>
      <c r="K883" t="s">
        <v>124</v>
      </c>
      <c r="L883" t="s">
        <v>174</v>
      </c>
      <c r="M883" t="s">
        <v>124</v>
      </c>
      <c r="N883" t="s">
        <v>45</v>
      </c>
      <c r="O883" t="s">
        <v>74</v>
      </c>
      <c r="P883">
        <v>1</v>
      </c>
      <c r="Q883" s="7">
        <v>46230</v>
      </c>
      <c r="R883" s="7">
        <v>46231</v>
      </c>
      <c r="S883" s="7">
        <v>46231</v>
      </c>
      <c r="T883" t="s">
        <v>45</v>
      </c>
      <c r="V883" t="s">
        <v>175</v>
      </c>
      <c r="W883" t="s">
        <v>45</v>
      </c>
      <c r="X883" t="s">
        <v>74</v>
      </c>
      <c r="Y883" t="s">
        <v>74</v>
      </c>
      <c r="Z883" t="s">
        <v>45</v>
      </c>
      <c r="AF883">
        <v>2</v>
      </c>
      <c r="AH883" t="s">
        <v>75</v>
      </c>
      <c r="AI883">
        <v>1</v>
      </c>
      <c r="AJ883" s="15"/>
      <c r="AN883"/>
      <c r="AO883"/>
      <c r="AP883"/>
      <c r="AQ883"/>
      <c r="AR883" s="18" t="str">
        <f>IFERROR(VLOOKUP(K883,[1]POP!$F:$J,1,0),M883)</f>
        <v>MADA</v>
      </c>
      <c r="AS883" s="18" t="str">
        <f t="shared" si="66"/>
        <v>NAGA</v>
      </c>
      <c r="AT883" s="19">
        <f t="shared" si="69"/>
        <v>2</v>
      </c>
      <c r="AU883" s="19">
        <f t="shared" ca="1" si="68"/>
        <v>2</v>
      </c>
    </row>
    <row r="884" spans="1:47" x14ac:dyDescent="0.3">
      <c r="A884" t="s">
        <v>1255</v>
      </c>
      <c r="B884" t="str">
        <f t="shared" si="65"/>
        <v>S31_2026</v>
      </c>
      <c r="C884" t="str">
        <f t="shared" si="67"/>
        <v>S31_2026</v>
      </c>
      <c r="F884">
        <v>7</v>
      </c>
      <c r="G884" t="s">
        <v>55</v>
      </c>
      <c r="I884" t="s">
        <v>477</v>
      </c>
      <c r="J884" t="s">
        <v>128</v>
      </c>
      <c r="K884" t="s">
        <v>124</v>
      </c>
      <c r="L884" t="s">
        <v>174</v>
      </c>
      <c r="M884" t="s">
        <v>124</v>
      </c>
      <c r="N884" t="s">
        <v>45</v>
      </c>
      <c r="O884" t="s">
        <v>45</v>
      </c>
      <c r="P884">
        <v>2</v>
      </c>
      <c r="Q884" s="7">
        <v>46230</v>
      </c>
      <c r="R884" s="7">
        <v>46231</v>
      </c>
      <c r="S884" s="7">
        <v>46231</v>
      </c>
      <c r="T884" t="s">
        <v>45</v>
      </c>
      <c r="V884" t="s">
        <v>175</v>
      </c>
      <c r="W884" t="s">
        <v>45</v>
      </c>
      <c r="X884" t="s">
        <v>45</v>
      </c>
      <c r="Y884" t="s">
        <v>45</v>
      </c>
      <c r="Z884" t="s">
        <v>45</v>
      </c>
      <c r="AF884">
        <v>2</v>
      </c>
      <c r="AH884" t="s">
        <v>75</v>
      </c>
      <c r="AI884">
        <v>1</v>
      </c>
      <c r="AJ884" s="15"/>
      <c r="AN884"/>
      <c r="AO884"/>
      <c r="AP884"/>
      <c r="AQ884"/>
      <c r="AR884" s="18" t="str">
        <f>IFERROR(VLOOKUP(K884,[1]POP!$F:$J,1,0),M884)</f>
        <v>MADA</v>
      </c>
      <c r="AS884" s="18" t="str">
        <f t="shared" si="66"/>
        <v>NAGA</v>
      </c>
      <c r="AT884" s="19">
        <f t="shared" si="69"/>
        <v>2</v>
      </c>
      <c r="AU884" s="19">
        <f t="shared" ca="1" si="68"/>
        <v>2</v>
      </c>
    </row>
    <row r="885" spans="1:47" x14ac:dyDescent="0.3">
      <c r="A885" t="s">
        <v>1256</v>
      </c>
      <c r="B885" t="str">
        <f t="shared" si="65"/>
        <v>S31_2026</v>
      </c>
      <c r="C885" t="str">
        <f t="shared" si="67"/>
        <v>S31_2026</v>
      </c>
      <c r="F885">
        <v>7</v>
      </c>
      <c r="G885" t="s">
        <v>40</v>
      </c>
      <c r="I885" t="s">
        <v>485</v>
      </c>
      <c r="J885" t="s">
        <v>174</v>
      </c>
      <c r="K885" t="s">
        <v>124</v>
      </c>
      <c r="L885" t="s">
        <v>174</v>
      </c>
      <c r="M885" t="s">
        <v>124</v>
      </c>
      <c r="N885" t="s">
        <v>45</v>
      </c>
      <c r="O885" t="s">
        <v>45</v>
      </c>
      <c r="P885">
        <v>2</v>
      </c>
      <c r="Q885" s="7">
        <v>46230</v>
      </c>
      <c r="R885" s="7">
        <v>46231</v>
      </c>
      <c r="S885" s="7">
        <v>46231</v>
      </c>
      <c r="T885" t="s">
        <v>45</v>
      </c>
      <c r="V885" t="s">
        <v>175</v>
      </c>
      <c r="W885" t="s">
        <v>45</v>
      </c>
      <c r="X885" t="s">
        <v>45</v>
      </c>
      <c r="Y885" t="s">
        <v>45</v>
      </c>
      <c r="Z885" t="s">
        <v>45</v>
      </c>
      <c r="AF885">
        <v>2</v>
      </c>
      <c r="AH885" t="s">
        <v>75</v>
      </c>
      <c r="AI885">
        <v>1</v>
      </c>
      <c r="AJ885" s="15"/>
      <c r="AN885"/>
      <c r="AO885"/>
      <c r="AP885"/>
      <c r="AQ885"/>
      <c r="AR885" s="18" t="str">
        <f>IFERROR(VLOOKUP(K885,[1]POP!$F:$J,1,0),M885)</f>
        <v>MADA</v>
      </c>
      <c r="AS885" s="18" t="str">
        <f t="shared" si="66"/>
        <v>HILE ALIFA</v>
      </c>
      <c r="AT885" s="19">
        <f t="shared" si="69"/>
        <v>2</v>
      </c>
      <c r="AU885" s="19">
        <f t="shared" ca="1" si="68"/>
        <v>2</v>
      </c>
    </row>
    <row r="886" spans="1:47" x14ac:dyDescent="0.3">
      <c r="A886" t="s">
        <v>1257</v>
      </c>
      <c r="B886" t="str">
        <f t="shared" si="65"/>
        <v>S31_2026</v>
      </c>
      <c r="C886" t="str">
        <f t="shared" si="67"/>
        <v>S31_2026</v>
      </c>
      <c r="F886">
        <v>18</v>
      </c>
      <c r="G886" t="s">
        <v>55</v>
      </c>
      <c r="I886" t="s">
        <v>477</v>
      </c>
      <c r="J886" t="s">
        <v>128</v>
      </c>
      <c r="K886" t="s">
        <v>124</v>
      </c>
      <c r="L886" t="s">
        <v>174</v>
      </c>
      <c r="M886" t="s">
        <v>124</v>
      </c>
      <c r="N886" t="s">
        <v>45</v>
      </c>
      <c r="O886" t="s">
        <v>45</v>
      </c>
      <c r="P886">
        <v>2</v>
      </c>
      <c r="Q886" s="7">
        <v>46230</v>
      </c>
      <c r="R886" s="7">
        <v>46231</v>
      </c>
      <c r="S886" s="7">
        <v>46231</v>
      </c>
      <c r="T886" t="s">
        <v>45</v>
      </c>
      <c r="V886" t="s">
        <v>175</v>
      </c>
      <c r="W886" t="s">
        <v>45</v>
      </c>
      <c r="X886" t="s">
        <v>45</v>
      </c>
      <c r="Y886" t="s">
        <v>45</v>
      </c>
      <c r="Z886" t="s">
        <v>45</v>
      </c>
      <c r="AF886">
        <v>2</v>
      </c>
      <c r="AH886" t="s">
        <v>75</v>
      </c>
      <c r="AI886">
        <v>1</v>
      </c>
      <c r="AJ886" s="15"/>
      <c r="AN886"/>
      <c r="AO886"/>
      <c r="AP886"/>
      <c r="AQ886"/>
      <c r="AR886" s="18" t="str">
        <f>IFERROR(VLOOKUP(K886,[1]POP!$F:$J,1,0),M886)</f>
        <v>MADA</v>
      </c>
      <c r="AS886" s="18" t="str">
        <f t="shared" si="66"/>
        <v>NAGA</v>
      </c>
      <c r="AT886" s="19">
        <f t="shared" si="69"/>
        <v>2</v>
      </c>
      <c r="AU886" s="19">
        <f t="shared" ca="1" si="68"/>
        <v>2</v>
      </c>
    </row>
    <row r="887" spans="1:47" x14ac:dyDescent="0.3">
      <c r="A887" t="s">
        <v>1258</v>
      </c>
      <c r="B887" t="str">
        <f t="shared" si="65"/>
        <v>S31_2026</v>
      </c>
      <c r="C887" t="str">
        <f t="shared" si="67"/>
        <v>S31_2026</v>
      </c>
      <c r="F887">
        <v>27</v>
      </c>
      <c r="G887" t="s">
        <v>40</v>
      </c>
      <c r="I887" t="s">
        <v>178</v>
      </c>
      <c r="J887" t="s">
        <v>173</v>
      </c>
      <c r="K887" t="s">
        <v>124</v>
      </c>
      <c r="L887" t="s">
        <v>174</v>
      </c>
      <c r="M887" t="s">
        <v>124</v>
      </c>
      <c r="N887" t="s">
        <v>45</v>
      </c>
      <c r="O887" t="s">
        <v>45</v>
      </c>
      <c r="P887">
        <v>3</v>
      </c>
      <c r="Q887" s="7">
        <v>46230</v>
      </c>
      <c r="R887" s="7">
        <v>46231</v>
      </c>
      <c r="S887" s="7">
        <v>46231</v>
      </c>
      <c r="T887" t="s">
        <v>45</v>
      </c>
      <c r="V887" t="s">
        <v>175</v>
      </c>
      <c r="W887" t="s">
        <v>45</v>
      </c>
      <c r="X887" t="s">
        <v>45</v>
      </c>
      <c r="Y887" t="s">
        <v>45</v>
      </c>
      <c r="Z887" t="s">
        <v>45</v>
      </c>
      <c r="AF887">
        <v>2</v>
      </c>
      <c r="AH887" t="s">
        <v>75</v>
      </c>
      <c r="AI887">
        <v>1</v>
      </c>
      <c r="AJ887" s="15"/>
      <c r="AN887"/>
      <c r="AO887"/>
      <c r="AP887"/>
      <c r="AQ887"/>
      <c r="AR887" s="18" t="str">
        <f>IFERROR(VLOOKUP(K887,[1]POP!$F:$J,1,0),M887)</f>
        <v>MADA</v>
      </c>
      <c r="AS887" s="18" t="str">
        <f t="shared" si="66"/>
        <v>TCHIKA</v>
      </c>
      <c r="AT887" s="19">
        <f t="shared" si="69"/>
        <v>2</v>
      </c>
      <c r="AU887" s="19">
        <f t="shared" ca="1" si="68"/>
        <v>2</v>
      </c>
    </row>
    <row r="888" spans="1:47" x14ac:dyDescent="0.3">
      <c r="A888" t="s">
        <v>1259</v>
      </c>
      <c r="B888" t="str">
        <f t="shared" si="65"/>
        <v>S31_2026</v>
      </c>
      <c r="C888" t="str">
        <f t="shared" si="67"/>
        <v>S31_2026</v>
      </c>
      <c r="F888">
        <v>5</v>
      </c>
      <c r="G888" t="s">
        <v>40</v>
      </c>
      <c r="I888" t="s">
        <v>1247</v>
      </c>
      <c r="J888" t="s">
        <v>174</v>
      </c>
      <c r="K888" t="s">
        <v>124</v>
      </c>
      <c r="L888" t="s">
        <v>174</v>
      </c>
      <c r="M888" t="s">
        <v>124</v>
      </c>
      <c r="N888" t="s">
        <v>45</v>
      </c>
      <c r="O888" t="s">
        <v>45</v>
      </c>
      <c r="P888">
        <v>3</v>
      </c>
      <c r="Q888" s="7">
        <v>46230</v>
      </c>
      <c r="R888" s="7">
        <v>46231</v>
      </c>
      <c r="S888" s="7">
        <v>46231</v>
      </c>
      <c r="T888" t="s">
        <v>45</v>
      </c>
      <c r="V888" t="s">
        <v>175</v>
      </c>
      <c r="W888" t="s">
        <v>45</v>
      </c>
      <c r="X888" t="s">
        <v>45</v>
      </c>
      <c r="Y888" t="s">
        <v>45</v>
      </c>
      <c r="Z888" t="s">
        <v>45</v>
      </c>
      <c r="AF888">
        <v>2</v>
      </c>
      <c r="AH888" t="s">
        <v>75</v>
      </c>
      <c r="AI888">
        <v>1</v>
      </c>
      <c r="AJ888" s="15"/>
      <c r="AN888"/>
      <c r="AO888"/>
      <c r="AP888"/>
      <c r="AQ888"/>
      <c r="AR888" s="18" t="str">
        <f>IFERROR(VLOOKUP(K888,[1]POP!$F:$J,1,0),M888)</f>
        <v>MADA</v>
      </c>
      <c r="AS888" s="18" t="str">
        <f t="shared" si="66"/>
        <v>HILE ALIFA</v>
      </c>
      <c r="AT888" s="19">
        <f t="shared" si="69"/>
        <v>2</v>
      </c>
      <c r="AU888" s="19">
        <f t="shared" ca="1" si="68"/>
        <v>2</v>
      </c>
    </row>
    <row r="889" spans="1:47" x14ac:dyDescent="0.3">
      <c r="A889" t="s">
        <v>1260</v>
      </c>
      <c r="B889" t="str">
        <f t="shared" si="65"/>
        <v>S31_2026</v>
      </c>
      <c r="C889" t="str">
        <f t="shared" si="67"/>
        <v>S31_2026</v>
      </c>
      <c r="F889">
        <v>0.25</v>
      </c>
      <c r="G889" t="s">
        <v>40</v>
      </c>
      <c r="I889" t="s">
        <v>485</v>
      </c>
      <c r="J889" t="s">
        <v>174</v>
      </c>
      <c r="K889" t="s">
        <v>124</v>
      </c>
      <c r="L889" t="s">
        <v>174</v>
      </c>
      <c r="M889" t="s">
        <v>124</v>
      </c>
      <c r="N889" t="s">
        <v>45</v>
      </c>
      <c r="O889" t="s">
        <v>45</v>
      </c>
      <c r="P889">
        <v>2</v>
      </c>
      <c r="Q889" s="7">
        <v>46230</v>
      </c>
      <c r="R889" s="7">
        <v>46231</v>
      </c>
      <c r="S889" s="7">
        <v>46231</v>
      </c>
      <c r="T889" t="s">
        <v>45</v>
      </c>
      <c r="V889" t="s">
        <v>175</v>
      </c>
      <c r="W889" t="s">
        <v>45</v>
      </c>
      <c r="X889" t="s">
        <v>45</v>
      </c>
      <c r="Y889" t="s">
        <v>45</v>
      </c>
      <c r="Z889" t="s">
        <v>45</v>
      </c>
      <c r="AF889">
        <v>2</v>
      </c>
      <c r="AH889" t="s">
        <v>75</v>
      </c>
      <c r="AI889">
        <v>1</v>
      </c>
      <c r="AJ889" s="15"/>
      <c r="AN889"/>
      <c r="AO889"/>
      <c r="AP889"/>
      <c r="AQ889"/>
      <c r="AR889" s="18" t="str">
        <f>IFERROR(VLOOKUP(K889,[1]POP!$F:$J,1,0),M889)</f>
        <v>MADA</v>
      </c>
      <c r="AS889" s="18" t="str">
        <f t="shared" si="66"/>
        <v>HILE ALIFA</v>
      </c>
      <c r="AT889" s="19">
        <f t="shared" si="69"/>
        <v>2</v>
      </c>
      <c r="AU889" s="19">
        <f t="shared" ca="1" si="68"/>
        <v>2</v>
      </c>
    </row>
    <row r="890" spans="1:47" x14ac:dyDescent="0.3">
      <c r="A890" t="s">
        <v>1261</v>
      </c>
      <c r="B890" t="str">
        <f t="shared" si="65"/>
        <v>S31_2026</v>
      </c>
      <c r="C890" t="str">
        <f t="shared" si="67"/>
        <v>S31_2026</v>
      </c>
      <c r="F890">
        <v>15</v>
      </c>
      <c r="G890" t="s">
        <v>40</v>
      </c>
      <c r="I890" t="s">
        <v>1262</v>
      </c>
      <c r="J890" t="s">
        <v>128</v>
      </c>
      <c r="K890" t="s">
        <v>124</v>
      </c>
      <c r="L890" t="s">
        <v>174</v>
      </c>
      <c r="M890" t="s">
        <v>124</v>
      </c>
      <c r="N890" t="s">
        <v>45</v>
      </c>
      <c r="O890" t="s">
        <v>45</v>
      </c>
      <c r="P890">
        <v>3</v>
      </c>
      <c r="Q890" s="7">
        <v>46230</v>
      </c>
      <c r="R890" s="7">
        <v>46231</v>
      </c>
      <c r="S890" s="7">
        <v>46231</v>
      </c>
      <c r="T890" t="s">
        <v>45</v>
      </c>
      <c r="V890" t="s">
        <v>175</v>
      </c>
      <c r="W890" t="s">
        <v>45</v>
      </c>
      <c r="X890" t="s">
        <v>45</v>
      </c>
      <c r="Y890" t="s">
        <v>45</v>
      </c>
      <c r="Z890" t="s">
        <v>45</v>
      </c>
      <c r="AF890">
        <v>2</v>
      </c>
      <c r="AH890" t="s">
        <v>75</v>
      </c>
      <c r="AI890">
        <v>1</v>
      </c>
      <c r="AJ890" s="15"/>
      <c r="AN890"/>
      <c r="AO890"/>
      <c r="AP890"/>
      <c r="AQ890"/>
      <c r="AR890" s="18" t="str">
        <f>IFERROR(VLOOKUP(K890,[1]POP!$F:$J,1,0),M890)</f>
        <v>MADA</v>
      </c>
      <c r="AS890" s="18" t="str">
        <f t="shared" si="66"/>
        <v>NAGA</v>
      </c>
      <c r="AT890" s="19">
        <f t="shared" si="69"/>
        <v>2</v>
      </c>
      <c r="AU890" s="19">
        <f t="shared" ca="1" si="68"/>
        <v>2</v>
      </c>
    </row>
    <row r="891" spans="1:47" x14ac:dyDescent="0.3">
      <c r="A891" t="s">
        <v>1263</v>
      </c>
      <c r="B891" t="str">
        <f t="shared" si="65"/>
        <v>S31_2026</v>
      </c>
      <c r="C891" t="str">
        <f t="shared" si="67"/>
        <v>S31_2026</v>
      </c>
      <c r="F891">
        <v>15</v>
      </c>
      <c r="G891" t="s">
        <v>55</v>
      </c>
      <c r="I891" t="s">
        <v>477</v>
      </c>
      <c r="J891" t="s">
        <v>128</v>
      </c>
      <c r="K891" t="s">
        <v>124</v>
      </c>
      <c r="L891" t="s">
        <v>174</v>
      </c>
      <c r="M891" t="s">
        <v>124</v>
      </c>
      <c r="N891" t="s">
        <v>45</v>
      </c>
      <c r="O891" t="s">
        <v>45</v>
      </c>
      <c r="P891">
        <v>2</v>
      </c>
      <c r="Q891" s="7">
        <v>46230</v>
      </c>
      <c r="R891" s="7">
        <v>46231</v>
      </c>
      <c r="S891" s="7">
        <v>46231</v>
      </c>
      <c r="T891" t="s">
        <v>45</v>
      </c>
      <c r="V891" t="s">
        <v>175</v>
      </c>
      <c r="W891" t="s">
        <v>45</v>
      </c>
      <c r="X891" t="s">
        <v>45</v>
      </c>
      <c r="Y891" t="s">
        <v>45</v>
      </c>
      <c r="Z891" t="s">
        <v>45</v>
      </c>
      <c r="AF891">
        <v>2</v>
      </c>
      <c r="AH891" t="s">
        <v>75</v>
      </c>
      <c r="AI891">
        <v>1</v>
      </c>
      <c r="AJ891" s="15"/>
      <c r="AN891"/>
      <c r="AO891"/>
      <c r="AP891"/>
      <c r="AQ891"/>
      <c r="AR891" s="18" t="str">
        <f>IFERROR(VLOOKUP(K891,[1]POP!$F:$J,1,0),M891)</f>
        <v>MADA</v>
      </c>
      <c r="AS891" s="18" t="str">
        <f t="shared" si="66"/>
        <v>NAGA</v>
      </c>
      <c r="AT891" s="19">
        <f t="shared" si="69"/>
        <v>2</v>
      </c>
      <c r="AU891" s="19">
        <f t="shared" ca="1" si="68"/>
        <v>2</v>
      </c>
    </row>
    <row r="892" spans="1:47" x14ac:dyDescent="0.3">
      <c r="A892" t="s">
        <v>1264</v>
      </c>
      <c r="B892" t="str">
        <f t="shared" si="65"/>
        <v>S31_2026</v>
      </c>
      <c r="C892" t="str">
        <f t="shared" si="67"/>
        <v>S31_2026</v>
      </c>
      <c r="F892">
        <v>16</v>
      </c>
      <c r="G892" t="s">
        <v>55</v>
      </c>
      <c r="I892" t="s">
        <v>477</v>
      </c>
      <c r="J892" t="s">
        <v>128</v>
      </c>
      <c r="K892" t="s">
        <v>124</v>
      </c>
      <c r="L892" t="s">
        <v>174</v>
      </c>
      <c r="M892" t="s">
        <v>124</v>
      </c>
      <c r="N892" t="s">
        <v>45</v>
      </c>
      <c r="O892" t="s">
        <v>45</v>
      </c>
      <c r="P892">
        <v>3</v>
      </c>
      <c r="Q892" s="7">
        <v>46230</v>
      </c>
      <c r="R892" s="7">
        <v>46231</v>
      </c>
      <c r="S892" s="7">
        <v>46231</v>
      </c>
      <c r="T892" t="s">
        <v>45</v>
      </c>
      <c r="V892" t="s">
        <v>175</v>
      </c>
      <c r="W892" t="s">
        <v>45</v>
      </c>
      <c r="X892" t="s">
        <v>45</v>
      </c>
      <c r="Y892" t="s">
        <v>45</v>
      </c>
      <c r="Z892" t="s">
        <v>45</v>
      </c>
      <c r="AF892">
        <v>2</v>
      </c>
      <c r="AH892" t="s">
        <v>75</v>
      </c>
      <c r="AI892">
        <v>1</v>
      </c>
      <c r="AJ892" s="15"/>
      <c r="AN892"/>
      <c r="AO892"/>
      <c r="AP892"/>
      <c r="AQ892"/>
      <c r="AR892" s="18" t="str">
        <f>IFERROR(VLOOKUP(K892,[1]POP!$F:$J,1,0),M892)</f>
        <v>MADA</v>
      </c>
      <c r="AS892" s="18" t="str">
        <f t="shared" si="66"/>
        <v>NAGA</v>
      </c>
      <c r="AT892" s="19">
        <f t="shared" si="69"/>
        <v>2</v>
      </c>
      <c r="AU892" s="19">
        <f t="shared" ca="1" si="68"/>
        <v>2</v>
      </c>
    </row>
    <row r="893" spans="1:47" x14ac:dyDescent="0.3">
      <c r="A893" t="s">
        <v>1265</v>
      </c>
      <c r="B893" t="str">
        <f t="shared" si="65"/>
        <v>S31_2026</v>
      </c>
      <c r="C893" t="str">
        <f t="shared" si="67"/>
        <v>S31_2026</v>
      </c>
      <c r="F893">
        <v>62</v>
      </c>
      <c r="G893" t="s">
        <v>40</v>
      </c>
      <c r="I893" t="s">
        <v>1247</v>
      </c>
      <c r="J893" t="s">
        <v>174</v>
      </c>
      <c r="K893" t="s">
        <v>124</v>
      </c>
      <c r="L893" t="s">
        <v>174</v>
      </c>
      <c r="M893" t="s">
        <v>124</v>
      </c>
      <c r="N893" t="s">
        <v>45</v>
      </c>
      <c r="O893" t="s">
        <v>45</v>
      </c>
      <c r="P893">
        <v>3</v>
      </c>
      <c r="Q893" s="7">
        <v>46231</v>
      </c>
      <c r="R893" s="7">
        <v>46232</v>
      </c>
      <c r="S893" s="7">
        <v>46232</v>
      </c>
      <c r="T893" t="s">
        <v>45</v>
      </c>
      <c r="V893" t="s">
        <v>175</v>
      </c>
      <c r="W893" t="s">
        <v>45</v>
      </c>
      <c r="X893" t="s">
        <v>45</v>
      </c>
      <c r="Y893" t="s">
        <v>45</v>
      </c>
      <c r="Z893" t="s">
        <v>45</v>
      </c>
      <c r="AF893">
        <v>2</v>
      </c>
      <c r="AH893" t="s">
        <v>75</v>
      </c>
      <c r="AI893">
        <v>1</v>
      </c>
      <c r="AJ893" s="15"/>
      <c r="AN893"/>
      <c r="AO893"/>
      <c r="AP893"/>
      <c r="AQ893"/>
      <c r="AR893" s="18" t="str">
        <f>IFERROR(VLOOKUP(K893,[1]POP!$F:$J,1,0),M893)</f>
        <v>MADA</v>
      </c>
      <c r="AS893" s="18" t="str">
        <f t="shared" si="66"/>
        <v>HILE ALIFA</v>
      </c>
      <c r="AT893" s="19">
        <f t="shared" si="69"/>
        <v>2</v>
      </c>
      <c r="AU893" s="19">
        <f t="shared" ca="1" si="68"/>
        <v>2</v>
      </c>
    </row>
    <row r="894" spans="1:47" x14ac:dyDescent="0.3">
      <c r="A894" t="s">
        <v>1266</v>
      </c>
      <c r="B894" t="str">
        <f t="shared" si="65"/>
        <v>S31_2026</v>
      </c>
      <c r="C894" t="str">
        <f t="shared" si="67"/>
        <v>S31_2026</v>
      </c>
      <c r="F894">
        <v>14</v>
      </c>
      <c r="G894" t="s">
        <v>40</v>
      </c>
      <c r="I894" t="s">
        <v>1247</v>
      </c>
      <c r="J894" t="s">
        <v>174</v>
      </c>
      <c r="K894" t="s">
        <v>124</v>
      </c>
      <c r="L894" t="s">
        <v>174</v>
      </c>
      <c r="M894" t="s">
        <v>124</v>
      </c>
      <c r="N894" t="s">
        <v>45</v>
      </c>
      <c r="O894" t="s">
        <v>74</v>
      </c>
      <c r="P894">
        <v>1</v>
      </c>
      <c r="Q894" s="7">
        <v>46231</v>
      </c>
      <c r="R894" s="7">
        <v>46232</v>
      </c>
      <c r="S894" s="7">
        <v>46232</v>
      </c>
      <c r="T894" t="s">
        <v>45</v>
      </c>
      <c r="V894" t="s">
        <v>175</v>
      </c>
      <c r="W894" t="s">
        <v>45</v>
      </c>
      <c r="X894" t="s">
        <v>74</v>
      </c>
      <c r="Y894" t="s">
        <v>74</v>
      </c>
      <c r="Z894" t="s">
        <v>45</v>
      </c>
      <c r="AF894">
        <v>2</v>
      </c>
      <c r="AH894" t="s">
        <v>75</v>
      </c>
      <c r="AI894">
        <v>1</v>
      </c>
      <c r="AJ894" s="15"/>
      <c r="AN894"/>
      <c r="AO894"/>
      <c r="AP894"/>
      <c r="AQ894"/>
      <c r="AR894" s="18" t="str">
        <f>IFERROR(VLOOKUP(K894,[1]POP!$F:$J,1,0),M894)</f>
        <v>MADA</v>
      </c>
      <c r="AS894" s="18" t="str">
        <f t="shared" si="66"/>
        <v>HILE ALIFA</v>
      </c>
      <c r="AT894" s="19">
        <f t="shared" si="69"/>
        <v>2</v>
      </c>
      <c r="AU894" s="19">
        <f t="shared" ca="1" si="68"/>
        <v>2</v>
      </c>
    </row>
    <row r="895" spans="1:47" x14ac:dyDescent="0.3">
      <c r="A895" t="s">
        <v>1267</v>
      </c>
      <c r="B895" t="str">
        <f t="shared" si="65"/>
        <v>S31_2026</v>
      </c>
      <c r="C895" t="str">
        <f t="shared" si="67"/>
        <v>S31_2026</v>
      </c>
      <c r="F895">
        <v>33</v>
      </c>
      <c r="G895" t="s">
        <v>55</v>
      </c>
      <c r="I895" t="s">
        <v>485</v>
      </c>
      <c r="J895" t="s">
        <v>174</v>
      </c>
      <c r="K895" t="s">
        <v>124</v>
      </c>
      <c r="L895" t="s">
        <v>174</v>
      </c>
      <c r="M895" t="s">
        <v>124</v>
      </c>
      <c r="N895" t="s">
        <v>45</v>
      </c>
      <c r="O895" t="s">
        <v>74</v>
      </c>
      <c r="P895">
        <v>1</v>
      </c>
      <c r="Q895" s="7">
        <v>46231</v>
      </c>
      <c r="R895" s="7">
        <v>46232</v>
      </c>
      <c r="S895" s="7">
        <v>46232</v>
      </c>
      <c r="T895" t="s">
        <v>45</v>
      </c>
      <c r="V895" t="s">
        <v>175</v>
      </c>
      <c r="W895" t="s">
        <v>45</v>
      </c>
      <c r="X895" t="s">
        <v>74</v>
      </c>
      <c r="Y895" t="s">
        <v>74</v>
      </c>
      <c r="Z895" t="s">
        <v>45</v>
      </c>
      <c r="AF895">
        <v>2</v>
      </c>
      <c r="AH895" t="s">
        <v>75</v>
      </c>
      <c r="AI895">
        <v>1</v>
      </c>
      <c r="AJ895" s="15"/>
      <c r="AN895"/>
      <c r="AO895"/>
      <c r="AP895"/>
      <c r="AQ895"/>
      <c r="AR895" s="18" t="str">
        <f>IFERROR(VLOOKUP(K895,[1]POP!$F:$J,1,0),M895)</f>
        <v>MADA</v>
      </c>
      <c r="AS895" s="18" t="str">
        <f t="shared" si="66"/>
        <v>HILE ALIFA</v>
      </c>
      <c r="AT895" s="19">
        <f t="shared" si="69"/>
        <v>2</v>
      </c>
      <c r="AU895" s="19">
        <f t="shared" ca="1" si="68"/>
        <v>2</v>
      </c>
    </row>
    <row r="896" spans="1:47" x14ac:dyDescent="0.3">
      <c r="A896" t="s">
        <v>1268</v>
      </c>
      <c r="B896" t="str">
        <f t="shared" si="65"/>
        <v>S31_2026</v>
      </c>
      <c r="C896" t="str">
        <f t="shared" si="67"/>
        <v>S31_2026</v>
      </c>
      <c r="F896">
        <v>2</v>
      </c>
      <c r="G896" t="s">
        <v>55</v>
      </c>
      <c r="I896" t="s">
        <v>924</v>
      </c>
      <c r="J896" t="s">
        <v>174</v>
      </c>
      <c r="K896" t="s">
        <v>124</v>
      </c>
      <c r="L896" t="s">
        <v>174</v>
      </c>
      <c r="M896" t="s">
        <v>124</v>
      </c>
      <c r="N896" t="s">
        <v>45</v>
      </c>
      <c r="O896" t="s">
        <v>45</v>
      </c>
      <c r="P896">
        <v>2</v>
      </c>
      <c r="Q896" s="7">
        <v>46232</v>
      </c>
      <c r="R896" s="7">
        <v>46233</v>
      </c>
      <c r="S896" s="7">
        <v>46233</v>
      </c>
      <c r="T896" t="s">
        <v>45</v>
      </c>
      <c r="V896" t="s">
        <v>175</v>
      </c>
      <c r="W896" t="s">
        <v>45</v>
      </c>
      <c r="X896" t="s">
        <v>45</v>
      </c>
      <c r="Y896" t="s">
        <v>45</v>
      </c>
      <c r="Z896" t="s">
        <v>45</v>
      </c>
      <c r="AF896">
        <v>2</v>
      </c>
      <c r="AH896" t="s">
        <v>75</v>
      </c>
      <c r="AI896">
        <v>1</v>
      </c>
      <c r="AJ896" s="15"/>
      <c r="AN896"/>
      <c r="AO896"/>
      <c r="AP896"/>
      <c r="AQ896"/>
      <c r="AR896" s="18" t="str">
        <f>IFERROR(VLOOKUP(K896,[1]POP!$F:$J,1,0),M896)</f>
        <v>MADA</v>
      </c>
      <c r="AS896" s="18" t="str">
        <f t="shared" si="66"/>
        <v>HILE ALIFA</v>
      </c>
      <c r="AT896" s="19">
        <f t="shared" si="69"/>
        <v>2</v>
      </c>
      <c r="AU896" s="19">
        <f t="shared" ca="1" si="68"/>
        <v>2</v>
      </c>
    </row>
    <row r="897" spans="1:47" x14ac:dyDescent="0.3">
      <c r="A897" t="s">
        <v>1269</v>
      </c>
      <c r="B897" t="str">
        <f t="shared" si="65"/>
        <v>S31_2026</v>
      </c>
      <c r="C897" t="str">
        <f t="shared" si="67"/>
        <v>S31_2026</v>
      </c>
      <c r="F897">
        <v>2</v>
      </c>
      <c r="G897" t="s">
        <v>40</v>
      </c>
      <c r="I897" t="s">
        <v>173</v>
      </c>
      <c r="J897" t="s">
        <v>173</v>
      </c>
      <c r="K897" t="s">
        <v>124</v>
      </c>
      <c r="L897" t="s">
        <v>174</v>
      </c>
      <c r="M897" t="s">
        <v>124</v>
      </c>
      <c r="N897" t="s">
        <v>45</v>
      </c>
      <c r="O897" t="s">
        <v>45</v>
      </c>
      <c r="P897">
        <v>3</v>
      </c>
      <c r="Q897" s="7">
        <v>46232</v>
      </c>
      <c r="R897" s="7">
        <v>46233</v>
      </c>
      <c r="S897" s="7">
        <v>46233</v>
      </c>
      <c r="T897" t="s">
        <v>45</v>
      </c>
      <c r="V897" t="s">
        <v>175</v>
      </c>
      <c r="W897" t="s">
        <v>45</v>
      </c>
      <c r="X897" t="s">
        <v>45</v>
      </c>
      <c r="Y897" t="s">
        <v>45</v>
      </c>
      <c r="Z897" t="s">
        <v>45</v>
      </c>
      <c r="AF897">
        <v>2</v>
      </c>
      <c r="AH897" t="s">
        <v>75</v>
      </c>
      <c r="AI897">
        <v>1</v>
      </c>
      <c r="AJ897" s="15"/>
      <c r="AN897"/>
      <c r="AO897"/>
      <c r="AP897"/>
      <c r="AQ897"/>
      <c r="AR897" s="18" t="str">
        <f>IFERROR(VLOOKUP(K897,[1]POP!$F:$J,1,0),M897)</f>
        <v>MADA</v>
      </c>
      <c r="AS897" s="18" t="str">
        <f t="shared" si="66"/>
        <v>TCHIKA</v>
      </c>
      <c r="AT897" s="19">
        <f t="shared" si="69"/>
        <v>2</v>
      </c>
      <c r="AU897" s="19">
        <f t="shared" ca="1" si="68"/>
        <v>2</v>
      </c>
    </row>
    <row r="898" spans="1:47" x14ac:dyDescent="0.3">
      <c r="A898" t="s">
        <v>1270</v>
      </c>
      <c r="B898" t="str">
        <f t="shared" ref="B898:B961" si="70">"S"&amp;(IF(_xlfn.ISOWEEKNUM(S898)&gt;9,_xlfn.ISOWEEKNUM(S898),_xlfn.CONCAT("0",_xlfn.ISOWEEKNUM(S898))))&amp;"_"&amp;(YEAR(S898+26-(_xlfn.ISOWEEKNUM(S898))))</f>
        <v>S31_2026</v>
      </c>
      <c r="C898" t="str">
        <f t="shared" si="67"/>
        <v>S31_2026</v>
      </c>
      <c r="F898">
        <v>17</v>
      </c>
      <c r="G898" t="s">
        <v>55</v>
      </c>
      <c r="I898" t="s">
        <v>1247</v>
      </c>
      <c r="J898" t="s">
        <v>174</v>
      </c>
      <c r="K898" t="s">
        <v>124</v>
      </c>
      <c r="L898" t="s">
        <v>174</v>
      </c>
      <c r="M898" t="s">
        <v>124</v>
      </c>
      <c r="N898" t="s">
        <v>45</v>
      </c>
      <c r="O898" t="s">
        <v>45</v>
      </c>
      <c r="P898">
        <v>2</v>
      </c>
      <c r="Q898" s="7">
        <v>46232</v>
      </c>
      <c r="R898" s="7">
        <v>46233</v>
      </c>
      <c r="S898" s="7">
        <v>46233</v>
      </c>
      <c r="T898" t="s">
        <v>45</v>
      </c>
      <c r="V898" t="s">
        <v>175</v>
      </c>
      <c r="W898" t="s">
        <v>45</v>
      </c>
      <c r="X898" t="s">
        <v>45</v>
      </c>
      <c r="Y898" t="s">
        <v>45</v>
      </c>
      <c r="Z898" t="s">
        <v>45</v>
      </c>
      <c r="AF898">
        <v>2</v>
      </c>
      <c r="AH898" t="s">
        <v>75</v>
      </c>
      <c r="AI898">
        <v>1</v>
      </c>
      <c r="AJ898" s="15"/>
      <c r="AN898"/>
      <c r="AO898"/>
      <c r="AP898"/>
      <c r="AQ898"/>
      <c r="AR898" s="18" t="str">
        <f>IFERROR(VLOOKUP(K898,[1]POP!$F:$J,1,0),M898)</f>
        <v>MADA</v>
      </c>
      <c r="AS898" s="18" t="str">
        <f t="shared" ref="AS898:AS961" si="71">IF(AR898=K898,J898,L898)</f>
        <v>HILE ALIFA</v>
      </c>
      <c r="AT898" s="19">
        <f t="shared" si="69"/>
        <v>2</v>
      </c>
      <c r="AU898" s="19">
        <f t="shared" ca="1" si="68"/>
        <v>2</v>
      </c>
    </row>
    <row r="899" spans="1:47" x14ac:dyDescent="0.3">
      <c r="A899" t="s">
        <v>1271</v>
      </c>
      <c r="B899" t="str">
        <f t="shared" si="70"/>
        <v>S31_2026</v>
      </c>
      <c r="C899" t="str">
        <f t="shared" ref="C899:C962" si="72">"S"&amp;(IF(_xlfn.ISOWEEKNUM(Q899)&gt;9,_xlfn.ISOWEEKNUM(Q899),_xlfn.CONCAT("0",_xlfn.ISOWEEKNUM(Q899))))&amp;"_"&amp;(YEAR(Q899+26-(_xlfn.ISOWEEKNUM(Q899))))</f>
        <v>S31_2026</v>
      </c>
      <c r="F899">
        <v>12</v>
      </c>
      <c r="G899" t="s">
        <v>40</v>
      </c>
      <c r="I899" t="s">
        <v>477</v>
      </c>
      <c r="J899" t="s">
        <v>128</v>
      </c>
      <c r="K899" t="s">
        <v>124</v>
      </c>
      <c r="L899" t="s">
        <v>174</v>
      </c>
      <c r="M899" t="s">
        <v>124</v>
      </c>
      <c r="N899" t="s">
        <v>45</v>
      </c>
      <c r="O899" t="s">
        <v>45</v>
      </c>
      <c r="P899">
        <v>3</v>
      </c>
      <c r="Q899" s="7">
        <v>46232</v>
      </c>
      <c r="R899" s="7">
        <v>46233</v>
      </c>
      <c r="S899" s="7">
        <v>46233</v>
      </c>
      <c r="T899" t="s">
        <v>45</v>
      </c>
      <c r="V899" t="s">
        <v>175</v>
      </c>
      <c r="W899" t="s">
        <v>45</v>
      </c>
      <c r="X899" t="s">
        <v>45</v>
      </c>
      <c r="Y899" t="s">
        <v>45</v>
      </c>
      <c r="Z899" t="s">
        <v>45</v>
      </c>
      <c r="AF899">
        <v>2</v>
      </c>
      <c r="AH899" t="s">
        <v>75</v>
      </c>
      <c r="AI899">
        <v>1</v>
      </c>
      <c r="AJ899" s="15"/>
      <c r="AN899"/>
      <c r="AO899"/>
      <c r="AP899"/>
      <c r="AQ899"/>
      <c r="AR899" s="18" t="str">
        <f>IFERROR(VLOOKUP(K899,[1]POP!$F:$J,1,0),M899)</f>
        <v>MADA</v>
      </c>
      <c r="AS899" s="18" t="str">
        <f t="shared" si="71"/>
        <v>NAGA</v>
      </c>
      <c r="AT899" s="19">
        <f t="shared" si="69"/>
        <v>2</v>
      </c>
      <c r="AU899" s="19">
        <f t="shared" ref="AU899:AU962" ca="1" si="73">IF((TODAY() - R899)&lt;=21,1,2)</f>
        <v>2</v>
      </c>
    </row>
    <row r="900" spans="1:47" x14ac:dyDescent="0.3">
      <c r="A900" t="s">
        <v>1272</v>
      </c>
      <c r="B900" t="str">
        <f t="shared" si="70"/>
        <v>S31_2026</v>
      </c>
      <c r="C900" t="str">
        <f t="shared" si="72"/>
        <v>S31_2026</v>
      </c>
      <c r="F900">
        <v>6</v>
      </c>
      <c r="G900" t="s">
        <v>40</v>
      </c>
      <c r="I900" t="s">
        <v>401</v>
      </c>
      <c r="J900" t="s">
        <v>1008</v>
      </c>
      <c r="K900" t="s">
        <v>124</v>
      </c>
      <c r="L900" t="s">
        <v>1008</v>
      </c>
      <c r="M900" t="s">
        <v>124</v>
      </c>
      <c r="N900" t="s">
        <v>45</v>
      </c>
      <c r="O900" t="s">
        <v>45</v>
      </c>
      <c r="P900">
        <v>3</v>
      </c>
      <c r="Q900" s="7">
        <v>46230</v>
      </c>
      <c r="R900" s="7">
        <v>46231</v>
      </c>
      <c r="S900" s="7">
        <v>46231</v>
      </c>
      <c r="T900" t="s">
        <v>45</v>
      </c>
      <c r="V900" t="s">
        <v>1009</v>
      </c>
      <c r="W900" t="s">
        <v>45</v>
      </c>
      <c r="X900" t="s">
        <v>45</v>
      </c>
      <c r="Y900" t="s">
        <v>45</v>
      </c>
      <c r="Z900" t="s">
        <v>45</v>
      </c>
      <c r="AF900">
        <v>2</v>
      </c>
      <c r="AH900" t="s">
        <v>75</v>
      </c>
      <c r="AI900">
        <v>1</v>
      </c>
      <c r="AJ900" s="15"/>
      <c r="AN900"/>
      <c r="AO900"/>
      <c r="AP900"/>
      <c r="AQ900"/>
      <c r="AR900" s="18" t="str">
        <f>IFERROR(VLOOKUP(K900,[1]POP!$F:$J,1,0),M900)</f>
        <v>MADA</v>
      </c>
      <c r="AS900" s="18" t="str">
        <f t="shared" si="71"/>
        <v>BLANGOUA</v>
      </c>
      <c r="AT900" s="19">
        <f t="shared" ref="AT900:AT963" si="74">IF($AI:$AI=2,3,IF($AI:$AI=3,3,IF($AI:$AI=4,3,IF($AI:$AI=1,2,0))))</f>
        <v>2</v>
      </c>
      <c r="AU900" s="19">
        <f t="shared" ca="1" si="73"/>
        <v>2</v>
      </c>
    </row>
    <row r="901" spans="1:47" x14ac:dyDescent="0.3">
      <c r="A901" t="s">
        <v>1273</v>
      </c>
      <c r="B901" t="str">
        <f t="shared" si="70"/>
        <v>S31_2026</v>
      </c>
      <c r="C901" t="str">
        <f t="shared" si="72"/>
        <v>S31_2026</v>
      </c>
      <c r="F901">
        <v>26</v>
      </c>
      <c r="G901" t="s">
        <v>55</v>
      </c>
      <c r="H901" t="s">
        <v>1274</v>
      </c>
      <c r="I901" t="s">
        <v>401</v>
      </c>
      <c r="J901" t="s">
        <v>401</v>
      </c>
      <c r="K901" t="s">
        <v>124</v>
      </c>
      <c r="L901" t="s">
        <v>1008</v>
      </c>
      <c r="M901" t="s">
        <v>124</v>
      </c>
      <c r="N901" t="s">
        <v>45</v>
      </c>
      <c r="O901" t="s">
        <v>45</v>
      </c>
      <c r="P901">
        <v>3</v>
      </c>
      <c r="Q901" s="7">
        <v>46234</v>
      </c>
      <c r="R901" s="7">
        <v>46235</v>
      </c>
      <c r="S901" s="7">
        <v>46235</v>
      </c>
      <c r="T901" t="s">
        <v>45</v>
      </c>
      <c r="V901" t="s">
        <v>1009</v>
      </c>
      <c r="W901" t="s">
        <v>45</v>
      </c>
      <c r="X901" t="s">
        <v>45</v>
      </c>
      <c r="Y901" t="s">
        <v>45</v>
      </c>
      <c r="Z901" t="s">
        <v>45</v>
      </c>
      <c r="AF901">
        <v>2</v>
      </c>
      <c r="AH901" t="s">
        <v>75</v>
      </c>
      <c r="AI901">
        <v>1</v>
      </c>
      <c r="AJ901" s="15"/>
      <c r="AN901"/>
      <c r="AO901"/>
      <c r="AP901"/>
      <c r="AQ901"/>
      <c r="AR901" s="18" t="str">
        <f>IFERROR(VLOOKUP(K901,[1]POP!$F:$J,1,0),M901)</f>
        <v>MADA</v>
      </c>
      <c r="AS901" s="18" t="str">
        <f t="shared" si="71"/>
        <v>DARAK</v>
      </c>
      <c r="AT901" s="19">
        <f t="shared" si="74"/>
        <v>2</v>
      </c>
      <c r="AU901" s="19">
        <f t="shared" ca="1" si="73"/>
        <v>2</v>
      </c>
    </row>
    <row r="902" spans="1:47" x14ac:dyDescent="0.3">
      <c r="A902" t="s">
        <v>1275</v>
      </c>
      <c r="B902" t="str">
        <f t="shared" si="70"/>
        <v>S31_2026</v>
      </c>
      <c r="C902" t="str">
        <f t="shared" si="72"/>
        <v>S31_2026</v>
      </c>
      <c r="F902">
        <v>24</v>
      </c>
      <c r="G902" t="s">
        <v>55</v>
      </c>
      <c r="H902" t="s">
        <v>1274</v>
      </c>
      <c r="I902" t="s">
        <v>401</v>
      </c>
      <c r="J902" t="s">
        <v>401</v>
      </c>
      <c r="K902" t="s">
        <v>124</v>
      </c>
      <c r="L902" t="s">
        <v>1008</v>
      </c>
      <c r="M902" t="s">
        <v>124</v>
      </c>
      <c r="N902" t="s">
        <v>45</v>
      </c>
      <c r="O902" t="s">
        <v>45</v>
      </c>
      <c r="P902">
        <v>3</v>
      </c>
      <c r="Q902" s="7">
        <v>46234</v>
      </c>
      <c r="R902" s="7">
        <v>46235</v>
      </c>
      <c r="S902" s="7">
        <v>46235</v>
      </c>
      <c r="T902" t="s">
        <v>45</v>
      </c>
      <c r="V902" t="s">
        <v>1009</v>
      </c>
      <c r="W902" t="s">
        <v>45</v>
      </c>
      <c r="X902" t="s">
        <v>45</v>
      </c>
      <c r="Y902" t="s">
        <v>45</v>
      </c>
      <c r="Z902" t="s">
        <v>45</v>
      </c>
      <c r="AF902">
        <v>3</v>
      </c>
      <c r="AH902" t="s">
        <v>75</v>
      </c>
      <c r="AI902">
        <v>2</v>
      </c>
      <c r="AJ902" s="15"/>
      <c r="AN902"/>
      <c r="AO902"/>
      <c r="AP902"/>
      <c r="AQ902"/>
      <c r="AR902" s="18" t="str">
        <f>IFERROR(VLOOKUP(K902,[1]POP!$F:$J,1,0),M902)</f>
        <v>MADA</v>
      </c>
      <c r="AS902" s="18" t="str">
        <f t="shared" si="71"/>
        <v>DARAK</v>
      </c>
      <c r="AT902" s="19">
        <f t="shared" si="74"/>
        <v>3</v>
      </c>
      <c r="AU902" s="19">
        <f t="shared" ca="1" si="73"/>
        <v>2</v>
      </c>
    </row>
    <row r="903" spans="1:47" x14ac:dyDescent="0.3">
      <c r="A903" t="s">
        <v>1276</v>
      </c>
      <c r="B903" t="str">
        <f t="shared" si="70"/>
        <v>S31_2026</v>
      </c>
      <c r="C903" t="str">
        <f t="shared" si="72"/>
        <v>S31_2026</v>
      </c>
      <c r="F903">
        <v>26</v>
      </c>
      <c r="G903" t="s">
        <v>55</v>
      </c>
      <c r="H903" t="s">
        <v>1274</v>
      </c>
      <c r="I903" t="s">
        <v>401</v>
      </c>
      <c r="J903" t="s">
        <v>401</v>
      </c>
      <c r="K903" t="s">
        <v>124</v>
      </c>
      <c r="L903" t="s">
        <v>1008</v>
      </c>
      <c r="M903" t="s">
        <v>124</v>
      </c>
      <c r="N903" t="s">
        <v>45</v>
      </c>
      <c r="O903" t="s">
        <v>45</v>
      </c>
      <c r="P903">
        <v>3</v>
      </c>
      <c r="Q903" s="7">
        <v>46234</v>
      </c>
      <c r="R903" s="7">
        <v>46235</v>
      </c>
      <c r="S903" s="7">
        <v>46235</v>
      </c>
      <c r="T903" t="s">
        <v>45</v>
      </c>
      <c r="V903" t="s">
        <v>1009</v>
      </c>
      <c r="W903" t="s">
        <v>45</v>
      </c>
      <c r="X903" t="s">
        <v>45</v>
      </c>
      <c r="Y903" t="s">
        <v>45</v>
      </c>
      <c r="Z903" t="s">
        <v>45</v>
      </c>
      <c r="AF903">
        <v>2</v>
      </c>
      <c r="AH903" t="s">
        <v>75</v>
      </c>
      <c r="AI903">
        <v>1</v>
      </c>
      <c r="AJ903" s="15"/>
      <c r="AN903"/>
      <c r="AO903"/>
      <c r="AP903"/>
      <c r="AQ903"/>
      <c r="AR903" s="18" t="str">
        <f>IFERROR(VLOOKUP(K903,[1]POP!$F:$J,1,0),M903)</f>
        <v>MADA</v>
      </c>
      <c r="AS903" s="18" t="str">
        <f t="shared" si="71"/>
        <v>DARAK</v>
      </c>
      <c r="AT903" s="19">
        <f t="shared" si="74"/>
        <v>2</v>
      </c>
      <c r="AU903" s="19">
        <f t="shared" ca="1" si="73"/>
        <v>2</v>
      </c>
    </row>
    <row r="904" spans="1:47" x14ac:dyDescent="0.3">
      <c r="A904" t="s">
        <v>1277</v>
      </c>
      <c r="B904" t="str">
        <f t="shared" si="70"/>
        <v>S31_2026</v>
      </c>
      <c r="C904" t="str">
        <f t="shared" si="72"/>
        <v>S31_2026</v>
      </c>
      <c r="F904">
        <v>24</v>
      </c>
      <c r="G904" t="s">
        <v>55</v>
      </c>
      <c r="H904" t="s">
        <v>1274</v>
      </c>
      <c r="I904" t="s">
        <v>401</v>
      </c>
      <c r="J904" t="s">
        <v>401</v>
      </c>
      <c r="K904" t="s">
        <v>124</v>
      </c>
      <c r="L904" t="s">
        <v>1008</v>
      </c>
      <c r="M904" t="s">
        <v>124</v>
      </c>
      <c r="N904" t="s">
        <v>45</v>
      </c>
      <c r="O904" t="s">
        <v>45</v>
      </c>
      <c r="P904">
        <v>3</v>
      </c>
      <c r="Q904" s="7">
        <v>46234</v>
      </c>
      <c r="R904" s="7">
        <v>46235</v>
      </c>
      <c r="S904" s="7">
        <v>46235</v>
      </c>
      <c r="T904" t="s">
        <v>45</v>
      </c>
      <c r="V904" t="s">
        <v>1009</v>
      </c>
      <c r="W904" t="s">
        <v>45</v>
      </c>
      <c r="X904" t="s">
        <v>45</v>
      </c>
      <c r="Y904" t="s">
        <v>45</v>
      </c>
      <c r="Z904" t="s">
        <v>45</v>
      </c>
      <c r="AF904">
        <v>2</v>
      </c>
      <c r="AH904" t="s">
        <v>75</v>
      </c>
      <c r="AI904">
        <v>1</v>
      </c>
      <c r="AJ904" s="15"/>
      <c r="AN904"/>
      <c r="AO904"/>
      <c r="AP904"/>
      <c r="AQ904"/>
      <c r="AR904" s="18" t="str">
        <f>IFERROR(VLOOKUP(K904,[1]POP!$F:$J,1,0),M904)</f>
        <v>MADA</v>
      </c>
      <c r="AS904" s="18" t="str">
        <f t="shared" si="71"/>
        <v>DARAK</v>
      </c>
      <c r="AT904" s="19">
        <f t="shared" si="74"/>
        <v>2</v>
      </c>
      <c r="AU904" s="19">
        <f t="shared" ca="1" si="73"/>
        <v>2</v>
      </c>
    </row>
    <row r="905" spans="1:47" x14ac:dyDescent="0.3">
      <c r="A905" t="s">
        <v>1278</v>
      </c>
      <c r="B905" t="str">
        <f t="shared" si="70"/>
        <v>S31_2026</v>
      </c>
      <c r="C905" t="str">
        <f t="shared" si="72"/>
        <v>S31_2026</v>
      </c>
      <c r="F905">
        <v>30</v>
      </c>
      <c r="G905" t="s">
        <v>55</v>
      </c>
      <c r="H905" t="s">
        <v>1274</v>
      </c>
      <c r="I905" t="s">
        <v>401</v>
      </c>
      <c r="J905" t="s">
        <v>401</v>
      </c>
      <c r="K905" t="s">
        <v>124</v>
      </c>
      <c r="L905" t="s">
        <v>1008</v>
      </c>
      <c r="M905" t="s">
        <v>124</v>
      </c>
      <c r="N905" t="s">
        <v>45</v>
      </c>
      <c r="O905" t="s">
        <v>45</v>
      </c>
      <c r="P905">
        <v>3</v>
      </c>
      <c r="Q905" s="7">
        <v>46234</v>
      </c>
      <c r="R905" s="7">
        <v>46235</v>
      </c>
      <c r="S905" s="7">
        <v>46235</v>
      </c>
      <c r="T905" t="s">
        <v>45</v>
      </c>
      <c r="V905" t="s">
        <v>1009</v>
      </c>
      <c r="W905" t="s">
        <v>45</v>
      </c>
      <c r="X905" t="s">
        <v>45</v>
      </c>
      <c r="Y905" t="s">
        <v>45</v>
      </c>
      <c r="Z905" t="s">
        <v>45</v>
      </c>
      <c r="AF905">
        <v>2</v>
      </c>
      <c r="AH905" t="s">
        <v>75</v>
      </c>
      <c r="AI905">
        <v>1</v>
      </c>
      <c r="AJ905" s="15"/>
      <c r="AN905"/>
      <c r="AO905"/>
      <c r="AP905"/>
      <c r="AQ905"/>
      <c r="AR905" s="18" t="str">
        <f>IFERROR(VLOOKUP(K905,[1]POP!$F:$J,1,0),M905)</f>
        <v>MADA</v>
      </c>
      <c r="AS905" s="18" t="str">
        <f t="shared" si="71"/>
        <v>DARAK</v>
      </c>
      <c r="AT905" s="19">
        <f t="shared" si="74"/>
        <v>2</v>
      </c>
      <c r="AU905" s="19">
        <f t="shared" ca="1" si="73"/>
        <v>2</v>
      </c>
    </row>
    <row r="906" spans="1:47" x14ac:dyDescent="0.3">
      <c r="A906" t="s">
        <v>1279</v>
      </c>
      <c r="B906" t="str">
        <f t="shared" si="70"/>
        <v>S31_2026</v>
      </c>
      <c r="C906" t="str">
        <f t="shared" si="72"/>
        <v>S31_2026</v>
      </c>
      <c r="F906">
        <v>4</v>
      </c>
      <c r="G906" t="s">
        <v>55</v>
      </c>
      <c r="I906" t="s">
        <v>1280</v>
      </c>
      <c r="J906" t="s">
        <v>174</v>
      </c>
      <c r="K906" t="s">
        <v>124</v>
      </c>
      <c r="L906" t="s">
        <v>174</v>
      </c>
      <c r="M906" t="s">
        <v>124</v>
      </c>
      <c r="N906" t="s">
        <v>45</v>
      </c>
      <c r="O906" t="s">
        <v>45</v>
      </c>
      <c r="P906">
        <v>3</v>
      </c>
      <c r="Q906" s="7">
        <v>46232</v>
      </c>
      <c r="R906" s="7">
        <v>46233</v>
      </c>
      <c r="S906" s="7">
        <v>46233</v>
      </c>
      <c r="T906" t="s">
        <v>45</v>
      </c>
      <c r="V906" t="s">
        <v>175</v>
      </c>
      <c r="W906" t="s">
        <v>45</v>
      </c>
      <c r="X906" t="s">
        <v>45</v>
      </c>
      <c r="Y906" t="s">
        <v>45</v>
      </c>
      <c r="Z906" t="s">
        <v>45</v>
      </c>
      <c r="AF906">
        <v>2</v>
      </c>
      <c r="AH906" t="s">
        <v>75</v>
      </c>
      <c r="AI906">
        <v>1</v>
      </c>
      <c r="AJ906" s="15"/>
      <c r="AN906"/>
      <c r="AO906"/>
      <c r="AP906"/>
      <c r="AQ906"/>
      <c r="AR906" s="18" t="str">
        <f>IFERROR(VLOOKUP(K906,[1]POP!$F:$J,1,0),M906)</f>
        <v>MADA</v>
      </c>
      <c r="AS906" s="18" t="str">
        <f t="shared" si="71"/>
        <v>HILE ALIFA</v>
      </c>
      <c r="AT906" s="19">
        <f t="shared" si="74"/>
        <v>2</v>
      </c>
      <c r="AU906" s="19">
        <f t="shared" ca="1" si="73"/>
        <v>2</v>
      </c>
    </row>
    <row r="907" spans="1:47" x14ac:dyDescent="0.3">
      <c r="A907" t="s">
        <v>1281</v>
      </c>
      <c r="B907" t="str">
        <f t="shared" si="70"/>
        <v>S31_2026</v>
      </c>
      <c r="C907" t="str">
        <f t="shared" si="72"/>
        <v>S31_2026</v>
      </c>
      <c r="F907">
        <v>20</v>
      </c>
      <c r="G907" t="s">
        <v>40</v>
      </c>
      <c r="I907" t="s">
        <v>1247</v>
      </c>
      <c r="J907" t="s">
        <v>174</v>
      </c>
      <c r="K907" t="s">
        <v>124</v>
      </c>
      <c r="L907" t="s">
        <v>174</v>
      </c>
      <c r="M907" t="s">
        <v>124</v>
      </c>
      <c r="N907" t="s">
        <v>45</v>
      </c>
      <c r="O907" t="s">
        <v>45</v>
      </c>
      <c r="P907">
        <v>2</v>
      </c>
      <c r="Q907" s="7">
        <v>46233</v>
      </c>
      <c r="R907" s="7">
        <v>46234</v>
      </c>
      <c r="S907" s="7">
        <v>46234</v>
      </c>
      <c r="T907" t="s">
        <v>45</v>
      </c>
      <c r="V907" t="s">
        <v>175</v>
      </c>
      <c r="W907" t="s">
        <v>45</v>
      </c>
      <c r="X907" t="s">
        <v>45</v>
      </c>
      <c r="Y907" t="s">
        <v>45</v>
      </c>
      <c r="Z907" t="s">
        <v>45</v>
      </c>
      <c r="AF907">
        <v>2</v>
      </c>
      <c r="AH907" t="s">
        <v>75</v>
      </c>
      <c r="AI907">
        <v>1</v>
      </c>
      <c r="AJ907" s="15"/>
      <c r="AN907"/>
      <c r="AO907"/>
      <c r="AP907"/>
      <c r="AQ907"/>
      <c r="AR907" s="18" t="str">
        <f>IFERROR(VLOOKUP(K907,[1]POP!$F:$J,1,0),M907)</f>
        <v>MADA</v>
      </c>
      <c r="AS907" s="18" t="str">
        <f t="shared" si="71"/>
        <v>HILE ALIFA</v>
      </c>
      <c r="AT907" s="19">
        <f t="shared" si="74"/>
        <v>2</v>
      </c>
      <c r="AU907" s="19">
        <f t="shared" ca="1" si="73"/>
        <v>2</v>
      </c>
    </row>
    <row r="908" spans="1:47" x14ac:dyDescent="0.3">
      <c r="A908" t="s">
        <v>1282</v>
      </c>
      <c r="B908" t="str">
        <f t="shared" si="70"/>
        <v>S31_2026</v>
      </c>
      <c r="C908" t="str">
        <f t="shared" si="72"/>
        <v>S31_2026</v>
      </c>
      <c r="F908">
        <v>23</v>
      </c>
      <c r="G908" t="s">
        <v>40</v>
      </c>
      <c r="I908" t="s">
        <v>1247</v>
      </c>
      <c r="J908" t="s">
        <v>174</v>
      </c>
      <c r="K908" t="s">
        <v>124</v>
      </c>
      <c r="L908" t="s">
        <v>174</v>
      </c>
      <c r="M908" t="s">
        <v>124</v>
      </c>
      <c r="N908" t="s">
        <v>45</v>
      </c>
      <c r="O908" t="s">
        <v>74</v>
      </c>
      <c r="P908">
        <v>1</v>
      </c>
      <c r="Q908" s="7">
        <v>46233</v>
      </c>
      <c r="R908" s="7">
        <v>46234</v>
      </c>
      <c r="S908" s="7">
        <v>46234</v>
      </c>
      <c r="T908" t="s">
        <v>45</v>
      </c>
      <c r="V908" t="s">
        <v>175</v>
      </c>
      <c r="W908" t="s">
        <v>45</v>
      </c>
      <c r="X908" t="s">
        <v>74</v>
      </c>
      <c r="Y908" t="s">
        <v>74</v>
      </c>
      <c r="Z908" t="s">
        <v>45</v>
      </c>
      <c r="AF908">
        <v>2</v>
      </c>
      <c r="AH908" t="s">
        <v>75</v>
      </c>
      <c r="AI908">
        <v>1</v>
      </c>
      <c r="AJ908" s="15"/>
      <c r="AN908"/>
      <c r="AO908"/>
      <c r="AP908"/>
      <c r="AQ908"/>
      <c r="AR908" s="18" t="str">
        <f>IFERROR(VLOOKUP(K908,[1]POP!$F:$J,1,0),M908)</f>
        <v>MADA</v>
      </c>
      <c r="AS908" s="18" t="str">
        <f t="shared" si="71"/>
        <v>HILE ALIFA</v>
      </c>
      <c r="AT908" s="19">
        <f t="shared" si="74"/>
        <v>2</v>
      </c>
      <c r="AU908" s="19">
        <f t="shared" ca="1" si="73"/>
        <v>2</v>
      </c>
    </row>
    <row r="909" spans="1:47" x14ac:dyDescent="0.3">
      <c r="A909" t="s">
        <v>1283</v>
      </c>
      <c r="B909" t="str">
        <f t="shared" si="70"/>
        <v>S31_2026</v>
      </c>
      <c r="C909" t="str">
        <f t="shared" si="72"/>
        <v>S31_2026</v>
      </c>
      <c r="F909">
        <v>27</v>
      </c>
      <c r="G909" t="s">
        <v>55</v>
      </c>
      <c r="I909" t="s">
        <v>477</v>
      </c>
      <c r="J909" t="s">
        <v>128</v>
      </c>
      <c r="K909" t="s">
        <v>124</v>
      </c>
      <c r="L909" t="s">
        <v>174</v>
      </c>
      <c r="M909" t="s">
        <v>124</v>
      </c>
      <c r="N909" t="s">
        <v>45</v>
      </c>
      <c r="O909" t="s">
        <v>45</v>
      </c>
      <c r="P909">
        <v>2</v>
      </c>
      <c r="Q909" s="7">
        <v>46233</v>
      </c>
      <c r="R909" s="7">
        <v>46234</v>
      </c>
      <c r="S909" s="7">
        <v>46234</v>
      </c>
      <c r="T909" t="s">
        <v>45</v>
      </c>
      <c r="V909" t="s">
        <v>175</v>
      </c>
      <c r="W909" t="s">
        <v>45</v>
      </c>
      <c r="X909" t="s">
        <v>45</v>
      </c>
      <c r="Y909" t="s">
        <v>45</v>
      </c>
      <c r="Z909" t="s">
        <v>45</v>
      </c>
      <c r="AF909">
        <v>2</v>
      </c>
      <c r="AH909" t="s">
        <v>75</v>
      </c>
      <c r="AI909">
        <v>1</v>
      </c>
      <c r="AJ909" s="15"/>
      <c r="AN909"/>
      <c r="AO909"/>
      <c r="AP909"/>
      <c r="AQ909"/>
      <c r="AR909" s="18" t="str">
        <f>IFERROR(VLOOKUP(K909,[1]POP!$F:$J,1,0),M909)</f>
        <v>MADA</v>
      </c>
      <c r="AS909" s="18" t="str">
        <f t="shared" si="71"/>
        <v>NAGA</v>
      </c>
      <c r="AT909" s="19">
        <f t="shared" si="74"/>
        <v>2</v>
      </c>
      <c r="AU909" s="19">
        <f t="shared" ca="1" si="73"/>
        <v>2</v>
      </c>
    </row>
    <row r="910" spans="1:47" x14ac:dyDescent="0.3">
      <c r="A910" t="s">
        <v>1284</v>
      </c>
      <c r="B910" t="str">
        <f t="shared" si="70"/>
        <v>S31_2026</v>
      </c>
      <c r="C910" t="str">
        <f t="shared" si="72"/>
        <v>S31_2026</v>
      </c>
      <c r="F910">
        <v>35</v>
      </c>
      <c r="G910" t="s">
        <v>55</v>
      </c>
      <c r="I910" t="s">
        <v>477</v>
      </c>
      <c r="J910" t="s">
        <v>128</v>
      </c>
      <c r="K910" t="s">
        <v>124</v>
      </c>
      <c r="L910" t="s">
        <v>174</v>
      </c>
      <c r="M910" t="s">
        <v>124</v>
      </c>
      <c r="N910" t="s">
        <v>45</v>
      </c>
      <c r="O910" t="s">
        <v>74</v>
      </c>
      <c r="P910">
        <v>1</v>
      </c>
      <c r="Q910" s="7">
        <v>46233</v>
      </c>
      <c r="R910" s="7">
        <v>46234</v>
      </c>
      <c r="S910" s="7">
        <v>46234</v>
      </c>
      <c r="T910" t="s">
        <v>45</v>
      </c>
      <c r="V910" t="s">
        <v>175</v>
      </c>
      <c r="W910" t="s">
        <v>45</v>
      </c>
      <c r="X910" t="s">
        <v>74</v>
      </c>
      <c r="Y910" t="s">
        <v>74</v>
      </c>
      <c r="Z910" t="s">
        <v>45</v>
      </c>
      <c r="AF910">
        <v>2</v>
      </c>
      <c r="AH910" t="s">
        <v>75</v>
      </c>
      <c r="AI910">
        <v>1</v>
      </c>
      <c r="AJ910" s="15"/>
      <c r="AN910"/>
      <c r="AO910"/>
      <c r="AP910"/>
      <c r="AQ910"/>
      <c r="AR910" s="18" t="str">
        <f>IFERROR(VLOOKUP(K910,[1]POP!$F:$J,1,0),M910)</f>
        <v>MADA</v>
      </c>
      <c r="AS910" s="18" t="str">
        <f t="shared" si="71"/>
        <v>NAGA</v>
      </c>
      <c r="AT910" s="19">
        <f t="shared" si="74"/>
        <v>2</v>
      </c>
      <c r="AU910" s="19">
        <f t="shared" ca="1" si="73"/>
        <v>2</v>
      </c>
    </row>
    <row r="911" spans="1:47" x14ac:dyDescent="0.3">
      <c r="A911" t="s">
        <v>1285</v>
      </c>
      <c r="B911" t="str">
        <f t="shared" si="70"/>
        <v>S31_2026</v>
      </c>
      <c r="C911" t="str">
        <f t="shared" si="72"/>
        <v>S31_2026</v>
      </c>
      <c r="F911">
        <v>2</v>
      </c>
      <c r="G911" t="s">
        <v>55</v>
      </c>
      <c r="I911" t="s">
        <v>1247</v>
      </c>
      <c r="J911" t="s">
        <v>174</v>
      </c>
      <c r="K911" t="s">
        <v>124</v>
      </c>
      <c r="L911" t="s">
        <v>174</v>
      </c>
      <c r="M911" t="s">
        <v>124</v>
      </c>
      <c r="N911" t="s">
        <v>45</v>
      </c>
      <c r="O911" t="s">
        <v>45</v>
      </c>
      <c r="P911">
        <v>2</v>
      </c>
      <c r="Q911" s="7">
        <v>46234</v>
      </c>
      <c r="R911" s="7">
        <v>46235</v>
      </c>
      <c r="S911" s="7">
        <v>46235</v>
      </c>
      <c r="T911" t="s">
        <v>45</v>
      </c>
      <c r="V911" t="s">
        <v>175</v>
      </c>
      <c r="W911" t="s">
        <v>45</v>
      </c>
      <c r="X911" t="s">
        <v>45</v>
      </c>
      <c r="Y911" t="s">
        <v>45</v>
      </c>
      <c r="Z911" t="s">
        <v>45</v>
      </c>
      <c r="AF911">
        <v>2</v>
      </c>
      <c r="AH911" t="s">
        <v>75</v>
      </c>
      <c r="AI911">
        <v>1</v>
      </c>
      <c r="AJ911" s="15"/>
      <c r="AN911"/>
      <c r="AO911"/>
      <c r="AP911"/>
      <c r="AQ911"/>
      <c r="AR911" s="18" t="str">
        <f>IFERROR(VLOOKUP(K911,[1]POP!$F:$J,1,0),M911)</f>
        <v>MADA</v>
      </c>
      <c r="AS911" s="18" t="str">
        <f t="shared" si="71"/>
        <v>HILE ALIFA</v>
      </c>
      <c r="AT911" s="19">
        <f t="shared" si="74"/>
        <v>2</v>
      </c>
      <c r="AU911" s="19">
        <f t="shared" ca="1" si="73"/>
        <v>2</v>
      </c>
    </row>
    <row r="912" spans="1:47" x14ac:dyDescent="0.3">
      <c r="A912" t="s">
        <v>1286</v>
      </c>
      <c r="B912" t="str">
        <f t="shared" si="70"/>
        <v>S31_2026</v>
      </c>
      <c r="C912" t="str">
        <f t="shared" si="72"/>
        <v>S31_2026</v>
      </c>
      <c r="F912">
        <v>60</v>
      </c>
      <c r="G912" t="s">
        <v>40</v>
      </c>
      <c r="I912" t="s">
        <v>173</v>
      </c>
      <c r="J912" t="s">
        <v>173</v>
      </c>
      <c r="K912" t="s">
        <v>124</v>
      </c>
      <c r="L912" t="s">
        <v>174</v>
      </c>
      <c r="M912" t="s">
        <v>124</v>
      </c>
      <c r="N912" t="s">
        <v>45</v>
      </c>
      <c r="O912" t="s">
        <v>45</v>
      </c>
      <c r="P912">
        <v>2</v>
      </c>
      <c r="Q912" s="7">
        <v>46234</v>
      </c>
      <c r="R912" s="7">
        <v>46235</v>
      </c>
      <c r="S912" s="7">
        <v>46235</v>
      </c>
      <c r="T912" t="s">
        <v>45</v>
      </c>
      <c r="V912" t="s">
        <v>175</v>
      </c>
      <c r="W912" t="s">
        <v>45</v>
      </c>
      <c r="X912" t="s">
        <v>45</v>
      </c>
      <c r="Y912" t="s">
        <v>45</v>
      </c>
      <c r="Z912" t="s">
        <v>45</v>
      </c>
      <c r="AF912">
        <v>2</v>
      </c>
      <c r="AH912" t="s">
        <v>75</v>
      </c>
      <c r="AI912">
        <v>1</v>
      </c>
      <c r="AJ912" s="15"/>
      <c r="AN912"/>
      <c r="AO912"/>
      <c r="AP912"/>
      <c r="AQ912"/>
      <c r="AR912" s="18" t="str">
        <f>IFERROR(VLOOKUP(K912,[1]POP!$F:$J,1,0),M912)</f>
        <v>MADA</v>
      </c>
      <c r="AS912" s="18" t="str">
        <f t="shared" si="71"/>
        <v>TCHIKA</v>
      </c>
      <c r="AT912" s="19">
        <f t="shared" si="74"/>
        <v>2</v>
      </c>
      <c r="AU912" s="19">
        <f t="shared" ca="1" si="73"/>
        <v>2</v>
      </c>
    </row>
    <row r="913" spans="1:47" x14ac:dyDescent="0.3">
      <c r="A913" t="s">
        <v>1287</v>
      </c>
      <c r="B913" t="str">
        <f t="shared" si="70"/>
        <v>S31_2026</v>
      </c>
      <c r="C913" t="str">
        <f t="shared" si="72"/>
        <v>S31_2026</v>
      </c>
      <c r="F913">
        <v>5</v>
      </c>
      <c r="G913" t="s">
        <v>55</v>
      </c>
      <c r="I913" t="s">
        <v>311</v>
      </c>
      <c r="J913" t="s">
        <v>174</v>
      </c>
      <c r="K913" t="s">
        <v>124</v>
      </c>
      <c r="L913" t="s">
        <v>174</v>
      </c>
      <c r="M913" t="s">
        <v>124</v>
      </c>
      <c r="N913" t="s">
        <v>45</v>
      </c>
      <c r="O913" t="s">
        <v>45</v>
      </c>
      <c r="P913">
        <v>3</v>
      </c>
      <c r="Q913" s="7">
        <v>46234</v>
      </c>
      <c r="R913" s="7">
        <v>46235</v>
      </c>
      <c r="S913" s="7">
        <v>46235</v>
      </c>
      <c r="T913" t="s">
        <v>45</v>
      </c>
      <c r="V913" t="s">
        <v>175</v>
      </c>
      <c r="W913" t="s">
        <v>45</v>
      </c>
      <c r="X913" t="s">
        <v>45</v>
      </c>
      <c r="Y913" t="s">
        <v>45</v>
      </c>
      <c r="Z913" t="s">
        <v>45</v>
      </c>
      <c r="AF913">
        <v>2</v>
      </c>
      <c r="AH913" t="s">
        <v>75</v>
      </c>
      <c r="AI913">
        <v>1</v>
      </c>
      <c r="AJ913" s="15"/>
      <c r="AN913"/>
      <c r="AO913"/>
      <c r="AP913"/>
      <c r="AQ913"/>
      <c r="AR913" s="18" t="str">
        <f>IFERROR(VLOOKUP(K913,[1]POP!$F:$J,1,0),M913)</f>
        <v>MADA</v>
      </c>
      <c r="AS913" s="18" t="str">
        <f t="shared" si="71"/>
        <v>HILE ALIFA</v>
      </c>
      <c r="AT913" s="19">
        <f t="shared" si="74"/>
        <v>2</v>
      </c>
      <c r="AU913" s="19">
        <f t="shared" ca="1" si="73"/>
        <v>2</v>
      </c>
    </row>
    <row r="914" spans="1:47" x14ac:dyDescent="0.3">
      <c r="A914" t="s">
        <v>1288</v>
      </c>
      <c r="B914" t="str">
        <f t="shared" si="70"/>
        <v>S31_2026</v>
      </c>
      <c r="C914" t="str">
        <f t="shared" si="72"/>
        <v>S31_2026</v>
      </c>
      <c r="F914">
        <v>40</v>
      </c>
      <c r="G914" t="s">
        <v>40</v>
      </c>
      <c r="I914" t="s">
        <v>477</v>
      </c>
      <c r="J914" t="s">
        <v>128</v>
      </c>
      <c r="K914" t="s">
        <v>124</v>
      </c>
      <c r="L914" t="s">
        <v>174</v>
      </c>
      <c r="M914" t="s">
        <v>124</v>
      </c>
      <c r="N914" t="s">
        <v>45</v>
      </c>
      <c r="O914" t="s">
        <v>45</v>
      </c>
      <c r="P914">
        <v>2</v>
      </c>
      <c r="Q914" s="7">
        <v>46234</v>
      </c>
      <c r="R914" s="7">
        <v>46235</v>
      </c>
      <c r="S914" s="7">
        <v>46235</v>
      </c>
      <c r="T914" t="s">
        <v>45</v>
      </c>
      <c r="V914" t="s">
        <v>175</v>
      </c>
      <c r="W914" t="s">
        <v>45</v>
      </c>
      <c r="X914" t="s">
        <v>45</v>
      </c>
      <c r="Y914" t="s">
        <v>45</v>
      </c>
      <c r="Z914" t="s">
        <v>45</v>
      </c>
      <c r="AF914">
        <v>2</v>
      </c>
      <c r="AH914" t="s">
        <v>75</v>
      </c>
      <c r="AI914">
        <v>1</v>
      </c>
      <c r="AJ914" s="15"/>
      <c r="AN914"/>
      <c r="AO914"/>
      <c r="AP914"/>
      <c r="AQ914"/>
      <c r="AR914" s="18" t="str">
        <f>IFERROR(VLOOKUP(K914,[1]POP!$F:$J,1,0),M914)</f>
        <v>MADA</v>
      </c>
      <c r="AS914" s="18" t="str">
        <f t="shared" si="71"/>
        <v>NAGA</v>
      </c>
      <c r="AT914" s="19">
        <f t="shared" si="74"/>
        <v>2</v>
      </c>
      <c r="AU914" s="19">
        <f t="shared" ca="1" si="73"/>
        <v>2</v>
      </c>
    </row>
    <row r="915" spans="1:47" x14ac:dyDescent="0.3">
      <c r="A915" t="s">
        <v>1289</v>
      </c>
      <c r="B915" t="str">
        <f t="shared" si="70"/>
        <v>S31_2026</v>
      </c>
      <c r="C915" t="str">
        <f t="shared" si="72"/>
        <v>S31_2026</v>
      </c>
      <c r="F915">
        <v>2</v>
      </c>
      <c r="G915" t="s">
        <v>55</v>
      </c>
      <c r="I915" t="s">
        <v>267</v>
      </c>
      <c r="J915" t="s">
        <v>174</v>
      </c>
      <c r="K915" t="s">
        <v>124</v>
      </c>
      <c r="L915" t="s">
        <v>174</v>
      </c>
      <c r="M915" t="s">
        <v>124</v>
      </c>
      <c r="N915" t="s">
        <v>45</v>
      </c>
      <c r="O915" t="s">
        <v>45</v>
      </c>
      <c r="P915">
        <v>2</v>
      </c>
      <c r="Q915" s="7">
        <v>46234</v>
      </c>
      <c r="R915" s="7">
        <v>46235</v>
      </c>
      <c r="S915" s="7">
        <v>46235</v>
      </c>
      <c r="T915" t="s">
        <v>45</v>
      </c>
      <c r="V915" t="s">
        <v>175</v>
      </c>
      <c r="W915" t="s">
        <v>45</v>
      </c>
      <c r="X915" t="s">
        <v>45</v>
      </c>
      <c r="Y915" t="s">
        <v>45</v>
      </c>
      <c r="Z915" t="s">
        <v>45</v>
      </c>
      <c r="AF915">
        <v>2</v>
      </c>
      <c r="AH915" t="s">
        <v>75</v>
      </c>
      <c r="AI915">
        <v>1</v>
      </c>
      <c r="AJ915" s="15"/>
      <c r="AN915"/>
      <c r="AO915"/>
      <c r="AP915"/>
      <c r="AQ915"/>
      <c r="AR915" s="18" t="str">
        <f>IFERROR(VLOOKUP(K915,[1]POP!$F:$J,1,0),M915)</f>
        <v>MADA</v>
      </c>
      <c r="AS915" s="18" t="str">
        <f t="shared" si="71"/>
        <v>HILE ALIFA</v>
      </c>
      <c r="AT915" s="19">
        <f t="shared" si="74"/>
        <v>2</v>
      </c>
      <c r="AU915" s="19">
        <f t="shared" ca="1" si="73"/>
        <v>2</v>
      </c>
    </row>
    <row r="916" spans="1:47" x14ac:dyDescent="0.3">
      <c r="A916" t="s">
        <v>1290</v>
      </c>
      <c r="B916" t="str">
        <f t="shared" si="70"/>
        <v>S31_2026</v>
      </c>
      <c r="C916" t="str">
        <f t="shared" si="72"/>
        <v>S31_2026</v>
      </c>
      <c r="F916">
        <v>14</v>
      </c>
      <c r="G916" t="s">
        <v>55</v>
      </c>
      <c r="I916" t="s">
        <v>985</v>
      </c>
      <c r="J916" t="s">
        <v>985</v>
      </c>
      <c r="K916" t="s">
        <v>124</v>
      </c>
      <c r="L916" t="s">
        <v>985</v>
      </c>
      <c r="M916" t="s">
        <v>124</v>
      </c>
      <c r="N916" t="s">
        <v>117</v>
      </c>
      <c r="O916" t="s">
        <v>117</v>
      </c>
      <c r="P916">
        <v>1</v>
      </c>
      <c r="Q916" s="7">
        <v>46233</v>
      </c>
      <c r="R916" s="7">
        <v>46234</v>
      </c>
      <c r="S916" s="7">
        <v>46234</v>
      </c>
      <c r="T916" t="s">
        <v>117</v>
      </c>
      <c r="V916" t="s">
        <v>986</v>
      </c>
      <c r="W916" t="s">
        <v>45</v>
      </c>
      <c r="X916" t="s">
        <v>45</v>
      </c>
      <c r="Y916" t="s">
        <v>45</v>
      </c>
      <c r="Z916" t="s">
        <v>45</v>
      </c>
      <c r="AF916">
        <v>2</v>
      </c>
      <c r="AH916" t="s">
        <v>75</v>
      </c>
      <c r="AI916">
        <v>1</v>
      </c>
      <c r="AJ916" s="15"/>
      <c r="AN916"/>
      <c r="AO916"/>
      <c r="AP916"/>
      <c r="AQ916"/>
      <c r="AR916" s="18" t="str">
        <f>IFERROR(VLOOKUP(K916,[1]POP!$F:$J,1,0),M916)</f>
        <v>MADA</v>
      </c>
      <c r="AS916" s="18" t="str">
        <f t="shared" si="71"/>
        <v>KOFIA</v>
      </c>
      <c r="AT916" s="19">
        <f t="shared" si="74"/>
        <v>2</v>
      </c>
      <c r="AU916" s="19">
        <f t="shared" ca="1" si="73"/>
        <v>2</v>
      </c>
    </row>
    <row r="917" spans="1:47" x14ac:dyDescent="0.3">
      <c r="A917" t="s">
        <v>1291</v>
      </c>
      <c r="B917" t="str">
        <f t="shared" si="70"/>
        <v>S31_2026</v>
      </c>
      <c r="C917" t="str">
        <f t="shared" si="72"/>
        <v>S31_2026</v>
      </c>
      <c r="F917">
        <v>16</v>
      </c>
      <c r="G917" t="s">
        <v>40</v>
      </c>
      <c r="I917" t="s">
        <v>985</v>
      </c>
      <c r="J917" t="s">
        <v>985</v>
      </c>
      <c r="K917" t="s">
        <v>124</v>
      </c>
      <c r="L917" t="s">
        <v>985</v>
      </c>
      <c r="M917" t="s">
        <v>124</v>
      </c>
      <c r="N917" t="s">
        <v>117</v>
      </c>
      <c r="O917" t="s">
        <v>117</v>
      </c>
      <c r="P917">
        <v>1</v>
      </c>
      <c r="Q917" s="7">
        <v>46233</v>
      </c>
      <c r="R917" s="7">
        <v>46234</v>
      </c>
      <c r="S917" s="7">
        <v>46234</v>
      </c>
      <c r="T917" t="s">
        <v>117</v>
      </c>
      <c r="V917" t="s">
        <v>986</v>
      </c>
      <c r="W917" t="s">
        <v>45</v>
      </c>
      <c r="X917" t="s">
        <v>45</v>
      </c>
      <c r="Y917" t="s">
        <v>45</v>
      </c>
      <c r="Z917" t="s">
        <v>45</v>
      </c>
      <c r="AF917">
        <v>2</v>
      </c>
      <c r="AH917" t="s">
        <v>75</v>
      </c>
      <c r="AI917">
        <v>1</v>
      </c>
      <c r="AJ917" s="15"/>
      <c r="AN917"/>
      <c r="AO917"/>
      <c r="AP917"/>
      <c r="AQ917"/>
      <c r="AR917" s="18" t="str">
        <f>IFERROR(VLOOKUP(K917,[1]POP!$F:$J,1,0),M917)</f>
        <v>MADA</v>
      </c>
      <c r="AS917" s="18" t="str">
        <f t="shared" si="71"/>
        <v>KOFIA</v>
      </c>
      <c r="AT917" s="19">
        <f t="shared" si="74"/>
        <v>2</v>
      </c>
      <c r="AU917" s="19">
        <f t="shared" ca="1" si="73"/>
        <v>2</v>
      </c>
    </row>
    <row r="918" spans="1:47" x14ac:dyDescent="0.3">
      <c r="A918" t="s">
        <v>1292</v>
      </c>
      <c r="B918" t="str">
        <f t="shared" si="70"/>
        <v>S31_2026</v>
      </c>
      <c r="C918" t="str">
        <f t="shared" si="72"/>
        <v>S31_2026</v>
      </c>
      <c r="F918">
        <v>5</v>
      </c>
      <c r="G918" t="s">
        <v>40</v>
      </c>
      <c r="I918" t="s">
        <v>985</v>
      </c>
      <c r="J918" t="s">
        <v>985</v>
      </c>
      <c r="K918" t="s">
        <v>124</v>
      </c>
      <c r="L918" t="s">
        <v>985</v>
      </c>
      <c r="M918" t="s">
        <v>124</v>
      </c>
      <c r="N918" t="s">
        <v>117</v>
      </c>
      <c r="O918" t="s">
        <v>117</v>
      </c>
      <c r="P918">
        <v>3</v>
      </c>
      <c r="Q918" s="7">
        <v>46233</v>
      </c>
      <c r="R918" s="7">
        <v>46234</v>
      </c>
      <c r="S918" s="7">
        <v>46234</v>
      </c>
      <c r="T918" t="s">
        <v>117</v>
      </c>
      <c r="V918" t="s">
        <v>986</v>
      </c>
      <c r="W918" t="s">
        <v>45</v>
      </c>
      <c r="X918" t="s">
        <v>45</v>
      </c>
      <c r="Y918" t="s">
        <v>45</v>
      </c>
      <c r="Z918" t="s">
        <v>45</v>
      </c>
      <c r="AF918">
        <v>2</v>
      </c>
      <c r="AH918" t="s">
        <v>75</v>
      </c>
      <c r="AI918">
        <v>1</v>
      </c>
      <c r="AJ918" s="15"/>
      <c r="AN918"/>
      <c r="AO918"/>
      <c r="AP918"/>
      <c r="AQ918"/>
      <c r="AR918" s="18" t="str">
        <f>IFERROR(VLOOKUP(K918,[1]POP!$F:$J,1,0),M918)</f>
        <v>MADA</v>
      </c>
      <c r="AS918" s="18" t="str">
        <f t="shared" si="71"/>
        <v>KOFIA</v>
      </c>
      <c r="AT918" s="19">
        <f t="shared" si="74"/>
        <v>2</v>
      </c>
      <c r="AU918" s="19">
        <f t="shared" ca="1" si="73"/>
        <v>2</v>
      </c>
    </row>
    <row r="919" spans="1:47" x14ac:dyDescent="0.3">
      <c r="A919" t="s">
        <v>1293</v>
      </c>
      <c r="B919" t="str">
        <f t="shared" si="70"/>
        <v>S31_2026</v>
      </c>
      <c r="C919" t="str">
        <f t="shared" si="72"/>
        <v>S31_2026</v>
      </c>
      <c r="F919">
        <v>20</v>
      </c>
      <c r="G919" t="s">
        <v>40</v>
      </c>
      <c r="I919" t="s">
        <v>985</v>
      </c>
      <c r="J919" t="s">
        <v>985</v>
      </c>
      <c r="K919" t="s">
        <v>124</v>
      </c>
      <c r="L919" t="s">
        <v>985</v>
      </c>
      <c r="M919" t="s">
        <v>124</v>
      </c>
      <c r="N919" t="s">
        <v>117</v>
      </c>
      <c r="O919" t="s">
        <v>117</v>
      </c>
      <c r="P919">
        <v>3</v>
      </c>
      <c r="Q919" s="7">
        <v>46233</v>
      </c>
      <c r="R919" s="7">
        <v>46234</v>
      </c>
      <c r="S919" s="7">
        <v>46234</v>
      </c>
      <c r="T919" t="s">
        <v>117</v>
      </c>
      <c r="V919" t="s">
        <v>986</v>
      </c>
      <c r="W919" t="s">
        <v>45</v>
      </c>
      <c r="X919" t="s">
        <v>45</v>
      </c>
      <c r="Y919" t="s">
        <v>45</v>
      </c>
      <c r="Z919" t="s">
        <v>45</v>
      </c>
      <c r="AF919">
        <v>2</v>
      </c>
      <c r="AH919" t="s">
        <v>75</v>
      </c>
      <c r="AI919">
        <v>1</v>
      </c>
      <c r="AJ919" s="15"/>
      <c r="AN919"/>
      <c r="AO919"/>
      <c r="AP919"/>
      <c r="AQ919"/>
      <c r="AR919" s="18" t="str">
        <f>IFERROR(VLOOKUP(K919,[1]POP!$F:$J,1,0),M919)</f>
        <v>MADA</v>
      </c>
      <c r="AS919" s="18" t="str">
        <f t="shared" si="71"/>
        <v>KOFIA</v>
      </c>
      <c r="AT919" s="19">
        <f t="shared" si="74"/>
        <v>2</v>
      </c>
      <c r="AU919" s="19">
        <f t="shared" ca="1" si="73"/>
        <v>2</v>
      </c>
    </row>
    <row r="920" spans="1:47" x14ac:dyDescent="0.3">
      <c r="A920" t="s">
        <v>1294</v>
      </c>
      <c r="B920" t="str">
        <f t="shared" si="70"/>
        <v>S31_2026</v>
      </c>
      <c r="C920" t="str">
        <f t="shared" si="72"/>
        <v>S31_2026</v>
      </c>
      <c r="F920">
        <v>3</v>
      </c>
      <c r="G920" t="s">
        <v>55</v>
      </c>
      <c r="I920" t="s">
        <v>985</v>
      </c>
      <c r="J920" t="s">
        <v>985</v>
      </c>
      <c r="K920" t="s">
        <v>124</v>
      </c>
      <c r="L920" t="s">
        <v>985</v>
      </c>
      <c r="M920" t="s">
        <v>124</v>
      </c>
      <c r="N920" t="s">
        <v>117</v>
      </c>
      <c r="O920" t="s">
        <v>117</v>
      </c>
      <c r="P920">
        <v>3</v>
      </c>
      <c r="Q920" s="7">
        <v>46233</v>
      </c>
      <c r="R920" s="7">
        <v>46234</v>
      </c>
      <c r="S920" s="7">
        <v>46234</v>
      </c>
      <c r="T920" t="s">
        <v>117</v>
      </c>
      <c r="V920" t="s">
        <v>986</v>
      </c>
      <c r="W920" t="s">
        <v>45</v>
      </c>
      <c r="X920" t="s">
        <v>45</v>
      </c>
      <c r="Y920" t="s">
        <v>45</v>
      </c>
      <c r="Z920" t="s">
        <v>45</v>
      </c>
      <c r="AF920">
        <v>2</v>
      </c>
      <c r="AH920" t="s">
        <v>75</v>
      </c>
      <c r="AI920">
        <v>1</v>
      </c>
      <c r="AJ920" s="15"/>
      <c r="AL920" t="s">
        <v>1081</v>
      </c>
      <c r="AN920" t="s">
        <v>45</v>
      </c>
      <c r="AO920" t="s">
        <v>45</v>
      </c>
      <c r="AP920">
        <v>8</v>
      </c>
      <c r="AQ920" t="s">
        <v>74</v>
      </c>
      <c r="AR920" s="18" t="str">
        <f>IFERROR(VLOOKUP(K920,[1]POP!$F:$J,1,0),M920)</f>
        <v>MADA</v>
      </c>
      <c r="AS920" s="18" t="str">
        <f t="shared" si="71"/>
        <v>KOFIA</v>
      </c>
      <c r="AT920" s="19">
        <f t="shared" si="74"/>
        <v>2</v>
      </c>
      <c r="AU920" s="19">
        <f t="shared" ca="1" si="73"/>
        <v>2</v>
      </c>
    </row>
    <row r="921" spans="1:47" x14ac:dyDescent="0.3">
      <c r="A921" t="s">
        <v>1295</v>
      </c>
      <c r="B921" t="str">
        <f t="shared" si="70"/>
        <v>S31_2026</v>
      </c>
      <c r="C921" t="str">
        <f t="shared" si="72"/>
        <v>S31_2026</v>
      </c>
      <c r="F921">
        <v>2</v>
      </c>
      <c r="G921" t="s">
        <v>55</v>
      </c>
      <c r="I921" t="s">
        <v>985</v>
      </c>
      <c r="J921" t="s">
        <v>985</v>
      </c>
      <c r="K921" t="s">
        <v>124</v>
      </c>
      <c r="L921" t="s">
        <v>985</v>
      </c>
      <c r="M921" t="s">
        <v>124</v>
      </c>
      <c r="N921" t="s">
        <v>117</v>
      </c>
      <c r="O921" t="s">
        <v>117</v>
      </c>
      <c r="P921">
        <v>1</v>
      </c>
      <c r="Q921" s="7">
        <v>46233</v>
      </c>
      <c r="R921" s="7">
        <v>46234</v>
      </c>
      <c r="S921" s="7">
        <v>46234</v>
      </c>
      <c r="T921" t="s">
        <v>117</v>
      </c>
      <c r="V921" t="s">
        <v>986</v>
      </c>
      <c r="W921" t="s">
        <v>45</v>
      </c>
      <c r="X921" t="s">
        <v>45</v>
      </c>
      <c r="Y921" t="s">
        <v>45</v>
      </c>
      <c r="Z921" t="s">
        <v>45</v>
      </c>
      <c r="AF921">
        <v>2</v>
      </c>
      <c r="AH921" t="s">
        <v>75</v>
      </c>
      <c r="AI921">
        <v>1</v>
      </c>
      <c r="AJ921" s="15"/>
      <c r="AL921" t="s">
        <v>1081</v>
      </c>
      <c r="AN921" t="s">
        <v>45</v>
      </c>
      <c r="AO921" t="s">
        <v>45</v>
      </c>
      <c r="AP921">
        <v>5</v>
      </c>
      <c r="AQ921" t="s">
        <v>74</v>
      </c>
      <c r="AR921" s="18" t="str">
        <f>IFERROR(VLOOKUP(K921,[1]POP!$F:$J,1,0),M921)</f>
        <v>MADA</v>
      </c>
      <c r="AS921" s="18" t="str">
        <f t="shared" si="71"/>
        <v>KOFIA</v>
      </c>
      <c r="AT921" s="19">
        <f t="shared" si="74"/>
        <v>2</v>
      </c>
      <c r="AU921" s="19">
        <f t="shared" ca="1" si="73"/>
        <v>2</v>
      </c>
    </row>
    <row r="922" spans="1:47" x14ac:dyDescent="0.3">
      <c r="A922" t="s">
        <v>1296</v>
      </c>
      <c r="B922" t="str">
        <f t="shared" si="70"/>
        <v>S31_2026</v>
      </c>
      <c r="C922" t="str">
        <f t="shared" si="72"/>
        <v>S31_2026</v>
      </c>
      <c r="F922">
        <v>5</v>
      </c>
      <c r="G922" t="s">
        <v>40</v>
      </c>
      <c r="I922" t="s">
        <v>985</v>
      </c>
      <c r="J922" t="s">
        <v>985</v>
      </c>
      <c r="K922" t="s">
        <v>124</v>
      </c>
      <c r="L922" t="s">
        <v>985</v>
      </c>
      <c r="M922" t="s">
        <v>124</v>
      </c>
      <c r="N922" t="s">
        <v>45</v>
      </c>
      <c r="O922" t="s">
        <v>117</v>
      </c>
      <c r="P922">
        <v>3</v>
      </c>
      <c r="Q922" s="7">
        <v>46234</v>
      </c>
      <c r="R922" s="7">
        <v>46235</v>
      </c>
      <c r="S922" s="7">
        <v>46235</v>
      </c>
      <c r="T922" t="s">
        <v>117</v>
      </c>
      <c r="V922" t="s">
        <v>986</v>
      </c>
      <c r="W922" t="s">
        <v>45</v>
      </c>
      <c r="X922" t="s">
        <v>45</v>
      </c>
      <c r="Y922" t="s">
        <v>45</v>
      </c>
      <c r="Z922" t="s">
        <v>45</v>
      </c>
      <c r="AF922">
        <v>3</v>
      </c>
      <c r="AH922" t="s">
        <v>75</v>
      </c>
      <c r="AI922">
        <v>2</v>
      </c>
      <c r="AJ922" s="15"/>
      <c r="AL922" t="s">
        <v>1081</v>
      </c>
      <c r="AN922" t="s">
        <v>45</v>
      </c>
      <c r="AO922" t="s">
        <v>45</v>
      </c>
      <c r="AP922">
        <v>6</v>
      </c>
      <c r="AQ922" t="s">
        <v>74</v>
      </c>
      <c r="AR922" s="18" t="str">
        <f>IFERROR(VLOOKUP(K922,[1]POP!$F:$J,1,0),M922)</f>
        <v>MADA</v>
      </c>
      <c r="AS922" s="18" t="str">
        <f t="shared" si="71"/>
        <v>KOFIA</v>
      </c>
      <c r="AT922" s="19">
        <f t="shared" si="74"/>
        <v>3</v>
      </c>
      <c r="AU922" s="19">
        <f t="shared" ca="1" si="73"/>
        <v>2</v>
      </c>
    </row>
    <row r="923" spans="1:47" x14ac:dyDescent="0.3">
      <c r="A923" t="s">
        <v>1297</v>
      </c>
      <c r="B923" t="str">
        <f t="shared" si="70"/>
        <v>S31_2026</v>
      </c>
      <c r="C923" t="str">
        <f t="shared" si="72"/>
        <v>S31_2026</v>
      </c>
      <c r="F923">
        <v>20</v>
      </c>
      <c r="G923" t="s">
        <v>40</v>
      </c>
      <c r="I923" t="s">
        <v>985</v>
      </c>
      <c r="J923" t="s">
        <v>985</v>
      </c>
      <c r="K923" t="s">
        <v>124</v>
      </c>
      <c r="L923" t="s">
        <v>985</v>
      </c>
      <c r="M923" t="s">
        <v>124</v>
      </c>
      <c r="N923" t="s">
        <v>117</v>
      </c>
      <c r="O923" t="s">
        <v>117</v>
      </c>
      <c r="P923">
        <v>1</v>
      </c>
      <c r="Q923" s="7">
        <v>46234</v>
      </c>
      <c r="R923" s="7">
        <v>46235</v>
      </c>
      <c r="S923" s="7">
        <v>46235</v>
      </c>
      <c r="T923" t="s">
        <v>117</v>
      </c>
      <c r="V923" t="s">
        <v>986</v>
      </c>
      <c r="W923" t="s">
        <v>45</v>
      </c>
      <c r="X923" t="s">
        <v>45</v>
      </c>
      <c r="Y923" t="s">
        <v>45</v>
      </c>
      <c r="Z923" t="s">
        <v>45</v>
      </c>
      <c r="AF923">
        <v>2</v>
      </c>
      <c r="AH923" t="s">
        <v>75</v>
      </c>
      <c r="AI923">
        <v>1</v>
      </c>
      <c r="AJ923" s="15"/>
      <c r="AL923" t="s">
        <v>1081</v>
      </c>
      <c r="AN923" t="s">
        <v>45</v>
      </c>
      <c r="AO923" t="s">
        <v>45</v>
      </c>
      <c r="AP923">
        <v>2</v>
      </c>
      <c r="AQ923" t="s">
        <v>74</v>
      </c>
      <c r="AR923" s="18" t="str">
        <f>IFERROR(VLOOKUP(K923,[1]POP!$F:$J,1,0),M923)</f>
        <v>MADA</v>
      </c>
      <c r="AS923" s="18" t="str">
        <f t="shared" si="71"/>
        <v>KOFIA</v>
      </c>
      <c r="AT923" s="19">
        <f t="shared" si="74"/>
        <v>2</v>
      </c>
      <c r="AU923" s="19">
        <f t="shared" ca="1" si="73"/>
        <v>2</v>
      </c>
    </row>
    <row r="924" spans="1:47" x14ac:dyDescent="0.3">
      <c r="A924" t="s">
        <v>1298</v>
      </c>
      <c r="B924" t="str">
        <f t="shared" si="70"/>
        <v>S31_2026</v>
      </c>
      <c r="C924" t="str">
        <f t="shared" si="72"/>
        <v>S31_2026</v>
      </c>
      <c r="F924">
        <v>2</v>
      </c>
      <c r="G924" t="s">
        <v>55</v>
      </c>
      <c r="I924" t="s">
        <v>985</v>
      </c>
      <c r="J924" t="s">
        <v>985</v>
      </c>
      <c r="K924" t="s">
        <v>124</v>
      </c>
      <c r="L924" t="s">
        <v>985</v>
      </c>
      <c r="M924" t="s">
        <v>124</v>
      </c>
      <c r="N924" t="s">
        <v>117</v>
      </c>
      <c r="O924" t="s">
        <v>117</v>
      </c>
      <c r="P924">
        <v>3</v>
      </c>
      <c r="Q924" s="7">
        <v>46234</v>
      </c>
      <c r="R924" s="7">
        <v>46235</v>
      </c>
      <c r="S924" s="7">
        <v>46235</v>
      </c>
      <c r="T924" t="s">
        <v>117</v>
      </c>
      <c r="V924" t="s">
        <v>986</v>
      </c>
      <c r="W924" t="s">
        <v>45</v>
      </c>
      <c r="X924" t="s">
        <v>45</v>
      </c>
      <c r="Y924" t="s">
        <v>45</v>
      </c>
      <c r="Z924" t="s">
        <v>45</v>
      </c>
      <c r="AF924">
        <v>2</v>
      </c>
      <c r="AH924" t="s">
        <v>75</v>
      </c>
      <c r="AI924">
        <v>1</v>
      </c>
      <c r="AJ924" s="15"/>
      <c r="AL924" t="s">
        <v>1081</v>
      </c>
      <c r="AN924" t="s">
        <v>45</v>
      </c>
      <c r="AO924" t="s">
        <v>45</v>
      </c>
      <c r="AP924">
        <v>8</v>
      </c>
      <c r="AQ924" t="s">
        <v>74</v>
      </c>
      <c r="AR924" s="18" t="str">
        <f>IFERROR(VLOOKUP(K924,[1]POP!$F:$J,1,0),M924)</f>
        <v>MADA</v>
      </c>
      <c r="AS924" s="18" t="str">
        <f t="shared" si="71"/>
        <v>KOFIA</v>
      </c>
      <c r="AT924" s="19">
        <f t="shared" si="74"/>
        <v>2</v>
      </c>
      <c r="AU924" s="19">
        <f t="shared" ca="1" si="73"/>
        <v>2</v>
      </c>
    </row>
    <row r="925" spans="1:47" x14ac:dyDescent="0.3">
      <c r="A925" t="s">
        <v>1299</v>
      </c>
      <c r="B925" t="str">
        <f t="shared" si="70"/>
        <v>S31_2026</v>
      </c>
      <c r="C925" t="str">
        <f t="shared" si="72"/>
        <v>S31_2026</v>
      </c>
      <c r="F925">
        <v>18</v>
      </c>
      <c r="G925" t="s">
        <v>40</v>
      </c>
      <c r="I925" t="s">
        <v>985</v>
      </c>
      <c r="J925" t="s">
        <v>985</v>
      </c>
      <c r="K925" t="s">
        <v>124</v>
      </c>
      <c r="L925" t="s">
        <v>985</v>
      </c>
      <c r="M925" t="s">
        <v>124</v>
      </c>
      <c r="N925" t="s">
        <v>117</v>
      </c>
      <c r="O925" t="s">
        <v>117</v>
      </c>
      <c r="P925">
        <v>1</v>
      </c>
      <c r="Q925" s="7">
        <v>46234</v>
      </c>
      <c r="R925" s="7">
        <v>46235</v>
      </c>
      <c r="S925" s="7">
        <v>46235</v>
      </c>
      <c r="T925" t="s">
        <v>117</v>
      </c>
      <c r="V925" t="s">
        <v>986</v>
      </c>
      <c r="W925" t="s">
        <v>45</v>
      </c>
      <c r="X925" t="s">
        <v>45</v>
      </c>
      <c r="Y925" t="s">
        <v>45</v>
      </c>
      <c r="Z925" t="s">
        <v>45</v>
      </c>
      <c r="AF925">
        <v>2</v>
      </c>
      <c r="AH925" t="s">
        <v>75</v>
      </c>
      <c r="AI925">
        <v>1</v>
      </c>
      <c r="AJ925" s="15"/>
      <c r="AL925" t="s">
        <v>1081</v>
      </c>
      <c r="AN925" t="s">
        <v>45</v>
      </c>
      <c r="AO925" t="s">
        <v>45</v>
      </c>
      <c r="AP925">
        <v>6</v>
      </c>
      <c r="AQ925" t="s">
        <v>74</v>
      </c>
      <c r="AR925" s="18" t="str">
        <f>IFERROR(VLOOKUP(K925,[1]POP!$F:$J,1,0),M925)</f>
        <v>MADA</v>
      </c>
      <c r="AS925" s="18" t="str">
        <f t="shared" si="71"/>
        <v>KOFIA</v>
      </c>
      <c r="AT925" s="19">
        <f t="shared" si="74"/>
        <v>2</v>
      </c>
      <c r="AU925" s="19">
        <f t="shared" ca="1" si="73"/>
        <v>2</v>
      </c>
    </row>
    <row r="926" spans="1:47" x14ac:dyDescent="0.3">
      <c r="A926" t="s">
        <v>1300</v>
      </c>
      <c r="B926" t="str">
        <f t="shared" si="70"/>
        <v>S31_2026</v>
      </c>
      <c r="C926" t="str">
        <f t="shared" si="72"/>
        <v>S31_2026</v>
      </c>
      <c r="F926">
        <v>2</v>
      </c>
      <c r="G926" t="s">
        <v>40</v>
      </c>
      <c r="I926" t="s">
        <v>985</v>
      </c>
      <c r="J926" t="s">
        <v>985</v>
      </c>
      <c r="K926" t="s">
        <v>124</v>
      </c>
      <c r="L926" t="s">
        <v>985</v>
      </c>
      <c r="M926" t="s">
        <v>124</v>
      </c>
      <c r="N926" t="s">
        <v>117</v>
      </c>
      <c r="O926" t="s">
        <v>117</v>
      </c>
      <c r="P926">
        <v>2</v>
      </c>
      <c r="Q926" s="7">
        <v>46234</v>
      </c>
      <c r="R926" s="7">
        <v>46235</v>
      </c>
      <c r="S926" s="7">
        <v>46235</v>
      </c>
      <c r="T926" t="s">
        <v>117</v>
      </c>
      <c r="V926" t="s">
        <v>986</v>
      </c>
      <c r="W926" t="s">
        <v>45</v>
      </c>
      <c r="X926" t="s">
        <v>45</v>
      </c>
      <c r="Y926" t="s">
        <v>45</v>
      </c>
      <c r="Z926" t="s">
        <v>45</v>
      </c>
      <c r="AF926">
        <v>2</v>
      </c>
      <c r="AH926" t="s">
        <v>75</v>
      </c>
      <c r="AI926">
        <v>1</v>
      </c>
      <c r="AJ926" s="15"/>
      <c r="AL926" t="s">
        <v>1081</v>
      </c>
      <c r="AN926" t="s">
        <v>45</v>
      </c>
      <c r="AO926" t="s">
        <v>45</v>
      </c>
      <c r="AP926">
        <v>3</v>
      </c>
      <c r="AQ926" t="s">
        <v>74</v>
      </c>
      <c r="AR926" s="18" t="str">
        <f>IFERROR(VLOOKUP(K926,[1]POP!$F:$J,1,0),M926)</f>
        <v>MADA</v>
      </c>
      <c r="AS926" s="18" t="str">
        <f t="shared" si="71"/>
        <v>KOFIA</v>
      </c>
      <c r="AT926" s="19">
        <f t="shared" si="74"/>
        <v>2</v>
      </c>
      <c r="AU926" s="19">
        <f t="shared" ca="1" si="73"/>
        <v>2</v>
      </c>
    </row>
    <row r="927" spans="1:47" x14ac:dyDescent="0.3">
      <c r="A927" t="s">
        <v>1301</v>
      </c>
      <c r="B927" t="str">
        <f t="shared" si="70"/>
        <v>S31_2026</v>
      </c>
      <c r="C927" t="str">
        <f t="shared" si="72"/>
        <v>S31_2026</v>
      </c>
      <c r="F927">
        <v>25</v>
      </c>
      <c r="G927" t="s">
        <v>40</v>
      </c>
      <c r="I927" t="s">
        <v>985</v>
      </c>
      <c r="J927" t="s">
        <v>985</v>
      </c>
      <c r="K927" t="s">
        <v>124</v>
      </c>
      <c r="L927" t="s">
        <v>985</v>
      </c>
      <c r="M927" t="s">
        <v>124</v>
      </c>
      <c r="N927" t="s">
        <v>117</v>
      </c>
      <c r="O927" t="s">
        <v>117</v>
      </c>
      <c r="P927">
        <v>2</v>
      </c>
      <c r="Q927" s="7">
        <v>46234</v>
      </c>
      <c r="R927" s="7">
        <v>46235</v>
      </c>
      <c r="S927" s="7">
        <v>46235</v>
      </c>
      <c r="T927" t="s">
        <v>117</v>
      </c>
      <c r="V927" t="s">
        <v>986</v>
      </c>
      <c r="W927" t="s">
        <v>45</v>
      </c>
      <c r="X927" t="s">
        <v>45</v>
      </c>
      <c r="Y927" t="s">
        <v>45</v>
      </c>
      <c r="Z927" t="s">
        <v>45</v>
      </c>
      <c r="AF927">
        <v>2</v>
      </c>
      <c r="AH927" t="s">
        <v>75</v>
      </c>
      <c r="AI927">
        <v>1</v>
      </c>
      <c r="AJ927" s="15"/>
      <c r="AL927" t="s">
        <v>1081</v>
      </c>
      <c r="AN927" t="s">
        <v>45</v>
      </c>
      <c r="AO927" t="s">
        <v>45</v>
      </c>
      <c r="AP927">
        <v>2</v>
      </c>
      <c r="AQ927" t="s">
        <v>74</v>
      </c>
      <c r="AR927" s="18" t="str">
        <f>IFERROR(VLOOKUP(K927,[1]POP!$F:$J,1,0),M927)</f>
        <v>MADA</v>
      </c>
      <c r="AS927" s="18" t="str">
        <f t="shared" si="71"/>
        <v>KOFIA</v>
      </c>
      <c r="AT927" s="19">
        <f t="shared" si="74"/>
        <v>2</v>
      </c>
      <c r="AU927" s="19">
        <f t="shared" ca="1" si="73"/>
        <v>2</v>
      </c>
    </row>
    <row r="928" spans="1:47" x14ac:dyDescent="0.3">
      <c r="A928" t="s">
        <v>1302</v>
      </c>
      <c r="B928" t="str">
        <f t="shared" si="70"/>
        <v>S31_2026</v>
      </c>
      <c r="C928" t="str">
        <f t="shared" si="72"/>
        <v>S31_2026</v>
      </c>
      <c r="F928">
        <v>25</v>
      </c>
      <c r="G928" t="s">
        <v>40</v>
      </c>
      <c r="I928" t="s">
        <v>985</v>
      </c>
      <c r="J928" t="s">
        <v>985</v>
      </c>
      <c r="K928" t="s">
        <v>124</v>
      </c>
      <c r="L928" t="s">
        <v>985</v>
      </c>
      <c r="M928" t="s">
        <v>124</v>
      </c>
      <c r="N928" t="s">
        <v>117</v>
      </c>
      <c r="O928" t="s">
        <v>117</v>
      </c>
      <c r="P928">
        <v>2</v>
      </c>
      <c r="Q928" s="7">
        <v>46234</v>
      </c>
      <c r="R928" s="7">
        <v>46235</v>
      </c>
      <c r="S928" s="7">
        <v>46235</v>
      </c>
      <c r="T928" t="s">
        <v>117</v>
      </c>
      <c r="V928" t="s">
        <v>986</v>
      </c>
      <c r="W928" t="s">
        <v>45</v>
      </c>
      <c r="X928" t="s">
        <v>45</v>
      </c>
      <c r="Y928" t="s">
        <v>45</v>
      </c>
      <c r="Z928" t="s">
        <v>45</v>
      </c>
      <c r="AF928">
        <v>2</v>
      </c>
      <c r="AH928" t="s">
        <v>75</v>
      </c>
      <c r="AI928">
        <v>1</v>
      </c>
      <c r="AJ928" s="15"/>
      <c r="AL928" t="s">
        <v>1081</v>
      </c>
      <c r="AN928" t="s">
        <v>45</v>
      </c>
      <c r="AO928" t="s">
        <v>45</v>
      </c>
      <c r="AP928">
        <v>5</v>
      </c>
      <c r="AQ928" t="s">
        <v>74</v>
      </c>
      <c r="AR928" s="18" t="str">
        <f>IFERROR(VLOOKUP(K928,[1]POP!$F:$J,1,0),M928)</f>
        <v>MADA</v>
      </c>
      <c r="AS928" s="18" t="str">
        <f t="shared" si="71"/>
        <v>KOFIA</v>
      </c>
      <c r="AT928" s="19">
        <f t="shared" si="74"/>
        <v>2</v>
      </c>
      <c r="AU928" s="19">
        <f t="shared" ca="1" si="73"/>
        <v>2</v>
      </c>
    </row>
    <row r="929" spans="1:47" x14ac:dyDescent="0.3">
      <c r="A929" t="s">
        <v>1303</v>
      </c>
      <c r="B929" t="str">
        <f t="shared" si="70"/>
        <v>S31_2026</v>
      </c>
      <c r="C929" t="str">
        <f t="shared" si="72"/>
        <v>S31_2026</v>
      </c>
      <c r="F929">
        <v>19</v>
      </c>
      <c r="G929" t="s">
        <v>55</v>
      </c>
      <c r="I929" t="s">
        <v>985</v>
      </c>
      <c r="J929" t="s">
        <v>985</v>
      </c>
      <c r="K929" t="s">
        <v>124</v>
      </c>
      <c r="L929" t="s">
        <v>985</v>
      </c>
      <c r="M929" t="s">
        <v>124</v>
      </c>
      <c r="N929" t="s">
        <v>117</v>
      </c>
      <c r="O929" t="s">
        <v>117</v>
      </c>
      <c r="P929">
        <v>1</v>
      </c>
      <c r="Q929" s="7">
        <v>46236</v>
      </c>
      <c r="R929" s="7">
        <v>46236</v>
      </c>
      <c r="S929" s="7">
        <v>46236</v>
      </c>
      <c r="T929" t="s">
        <v>117</v>
      </c>
      <c r="V929" t="s">
        <v>986</v>
      </c>
      <c r="W929" t="s">
        <v>45</v>
      </c>
      <c r="X929" t="s">
        <v>45</v>
      </c>
      <c r="Y929" t="s">
        <v>45</v>
      </c>
      <c r="Z929" t="s">
        <v>45</v>
      </c>
      <c r="AF929">
        <v>2</v>
      </c>
      <c r="AH929" t="s">
        <v>75</v>
      </c>
      <c r="AI929">
        <v>1</v>
      </c>
      <c r="AJ929" s="15"/>
      <c r="AL929" t="s">
        <v>1081</v>
      </c>
      <c r="AN929" t="s">
        <v>45</v>
      </c>
      <c r="AO929" t="s">
        <v>45</v>
      </c>
      <c r="AP929">
        <v>11</v>
      </c>
      <c r="AQ929" t="s">
        <v>74</v>
      </c>
      <c r="AR929" s="18" t="str">
        <f>IFERROR(VLOOKUP(K929,[1]POP!$F:$J,1,0),M929)</f>
        <v>MADA</v>
      </c>
      <c r="AS929" s="18" t="str">
        <f t="shared" si="71"/>
        <v>KOFIA</v>
      </c>
      <c r="AT929" s="19">
        <f t="shared" si="74"/>
        <v>2</v>
      </c>
      <c r="AU929" s="19">
        <f t="shared" ca="1" si="73"/>
        <v>2</v>
      </c>
    </row>
    <row r="930" spans="1:47" x14ac:dyDescent="0.3">
      <c r="A930" t="s">
        <v>1304</v>
      </c>
      <c r="B930" t="str">
        <f t="shared" si="70"/>
        <v>S31_2026</v>
      </c>
      <c r="C930" t="str">
        <f t="shared" si="72"/>
        <v>S31_2026</v>
      </c>
      <c r="F930">
        <v>0.5</v>
      </c>
      <c r="G930" t="s">
        <v>55</v>
      </c>
      <c r="H930" t="s">
        <v>85</v>
      </c>
      <c r="I930" t="s">
        <v>1305</v>
      </c>
      <c r="J930" t="s">
        <v>1067</v>
      </c>
      <c r="K930" t="s">
        <v>1068</v>
      </c>
      <c r="L930" t="s">
        <v>1067</v>
      </c>
      <c r="M930" t="s">
        <v>1068</v>
      </c>
      <c r="N930" t="s">
        <v>45</v>
      </c>
      <c r="O930" t="s">
        <v>74</v>
      </c>
      <c r="P930">
        <v>2</v>
      </c>
      <c r="Q930" s="7">
        <v>46231</v>
      </c>
      <c r="R930" s="7">
        <v>46231</v>
      </c>
      <c r="S930" s="7">
        <v>46231</v>
      </c>
      <c r="T930" t="s">
        <v>45</v>
      </c>
      <c r="V930" t="s">
        <v>1093</v>
      </c>
      <c r="W930" t="s">
        <v>45</v>
      </c>
      <c r="X930" t="s">
        <v>45</v>
      </c>
      <c r="Y930" t="s">
        <v>45</v>
      </c>
      <c r="Z930" t="s">
        <v>45</v>
      </c>
      <c r="AB930" t="s">
        <v>62</v>
      </c>
      <c r="AC930" t="s">
        <v>74</v>
      </c>
      <c r="AE930" s="7">
        <v>46234</v>
      </c>
      <c r="AF930">
        <v>2</v>
      </c>
      <c r="AH930" t="s">
        <v>75</v>
      </c>
      <c r="AI930">
        <v>1</v>
      </c>
      <c r="AJ930" s="15"/>
      <c r="AK930" t="s">
        <v>74</v>
      </c>
      <c r="AL930" t="s">
        <v>1081</v>
      </c>
      <c r="AN930" t="s">
        <v>45</v>
      </c>
      <c r="AO930" t="s">
        <v>45</v>
      </c>
      <c r="AP930">
        <v>5</v>
      </c>
      <c r="AQ930" t="s">
        <v>74</v>
      </c>
      <c r="AR930" s="18" t="str">
        <f>IFERROR(VLOOKUP(K930,[1]POP!$F:$J,1,0),M930)</f>
        <v>MOKOLO</v>
      </c>
      <c r="AS930" s="18" t="str">
        <f t="shared" si="71"/>
        <v>MINAWAO</v>
      </c>
      <c r="AT930" s="19">
        <f t="shared" si="74"/>
        <v>2</v>
      </c>
      <c r="AU930" s="19">
        <f t="shared" ca="1" si="73"/>
        <v>2</v>
      </c>
    </row>
    <row r="931" spans="1:47" x14ac:dyDescent="0.3">
      <c r="A931" t="s">
        <v>1306</v>
      </c>
      <c r="B931" t="str">
        <f t="shared" si="70"/>
        <v>S31_2026</v>
      </c>
      <c r="C931" t="str">
        <f t="shared" si="72"/>
        <v>S31_2026</v>
      </c>
      <c r="F931">
        <v>16</v>
      </c>
      <c r="G931" t="s">
        <v>40</v>
      </c>
      <c r="H931" t="s">
        <v>85</v>
      </c>
      <c r="I931" t="s">
        <v>1307</v>
      </c>
      <c r="J931" t="s">
        <v>1067</v>
      </c>
      <c r="K931" t="s">
        <v>1068</v>
      </c>
      <c r="L931" t="s">
        <v>1067</v>
      </c>
      <c r="M931" t="s">
        <v>1068</v>
      </c>
      <c r="N931" t="s">
        <v>45</v>
      </c>
      <c r="O931" t="s">
        <v>45</v>
      </c>
      <c r="P931">
        <v>2</v>
      </c>
      <c r="Q931" s="7">
        <v>46231</v>
      </c>
      <c r="R931" s="7">
        <v>46231</v>
      </c>
      <c r="S931" s="7">
        <v>46231</v>
      </c>
      <c r="T931" t="s">
        <v>45</v>
      </c>
      <c r="V931" t="s">
        <v>1093</v>
      </c>
      <c r="W931" t="s">
        <v>45</v>
      </c>
      <c r="X931" t="s">
        <v>45</v>
      </c>
      <c r="Y931" t="s">
        <v>45</v>
      </c>
      <c r="Z931" t="s">
        <v>45</v>
      </c>
      <c r="AB931" t="s">
        <v>62</v>
      </c>
      <c r="AC931" t="s">
        <v>74</v>
      </c>
      <c r="AE931" s="7">
        <v>46238</v>
      </c>
      <c r="AF931">
        <v>2</v>
      </c>
      <c r="AH931" t="s">
        <v>75</v>
      </c>
      <c r="AI931">
        <v>1</v>
      </c>
      <c r="AJ931" s="15"/>
      <c r="AK931" t="s">
        <v>74</v>
      </c>
      <c r="AL931" t="s">
        <v>1081</v>
      </c>
      <c r="AN931" t="s">
        <v>45</v>
      </c>
      <c r="AO931" t="s">
        <v>45</v>
      </c>
      <c r="AP931">
        <v>10</v>
      </c>
      <c r="AQ931" t="s">
        <v>74</v>
      </c>
      <c r="AR931" s="18" t="str">
        <f>IFERROR(VLOOKUP(K931,[1]POP!$F:$J,1,0),M931)</f>
        <v>MOKOLO</v>
      </c>
      <c r="AS931" s="18" t="str">
        <f t="shared" si="71"/>
        <v>MINAWAO</v>
      </c>
      <c r="AT931" s="19">
        <f t="shared" si="74"/>
        <v>2</v>
      </c>
      <c r="AU931" s="19">
        <f t="shared" ca="1" si="73"/>
        <v>2</v>
      </c>
    </row>
    <row r="932" spans="1:47" x14ac:dyDescent="0.3">
      <c r="A932" t="s">
        <v>1308</v>
      </c>
      <c r="B932" t="str">
        <f t="shared" si="70"/>
        <v>S31_2026</v>
      </c>
      <c r="C932" t="str">
        <f t="shared" si="72"/>
        <v>S31_2026</v>
      </c>
      <c r="F932">
        <v>10</v>
      </c>
      <c r="G932" t="s">
        <v>40</v>
      </c>
      <c r="H932" t="s">
        <v>85</v>
      </c>
      <c r="I932" t="s">
        <v>1115</v>
      </c>
      <c r="J932" t="s">
        <v>1067</v>
      </c>
      <c r="K932" t="s">
        <v>1068</v>
      </c>
      <c r="L932" t="s">
        <v>1067</v>
      </c>
      <c r="M932" t="s">
        <v>1068</v>
      </c>
      <c r="N932" t="s">
        <v>45</v>
      </c>
      <c r="O932" t="s">
        <v>74</v>
      </c>
      <c r="P932">
        <v>2</v>
      </c>
      <c r="Q932" s="7">
        <v>46232</v>
      </c>
      <c r="R932" s="7">
        <v>46232</v>
      </c>
      <c r="S932" s="7">
        <v>46232</v>
      </c>
      <c r="T932" t="s">
        <v>45</v>
      </c>
      <c r="V932" t="s">
        <v>1093</v>
      </c>
      <c r="W932" t="s">
        <v>45</v>
      </c>
      <c r="X932" t="s">
        <v>45</v>
      </c>
      <c r="Y932" t="s">
        <v>45</v>
      </c>
      <c r="Z932" t="s">
        <v>45</v>
      </c>
      <c r="AB932" t="s">
        <v>48</v>
      </c>
      <c r="AC932" t="s">
        <v>74</v>
      </c>
      <c r="AE932" s="7">
        <v>46238</v>
      </c>
      <c r="AF932">
        <v>2</v>
      </c>
      <c r="AH932" t="s">
        <v>75</v>
      </c>
      <c r="AI932">
        <v>1</v>
      </c>
      <c r="AJ932" s="15"/>
      <c r="AK932" t="s">
        <v>74</v>
      </c>
      <c r="AL932" t="s">
        <v>1081</v>
      </c>
      <c r="AN932" t="s">
        <v>45</v>
      </c>
      <c r="AO932" t="s">
        <v>45</v>
      </c>
      <c r="AP932">
        <v>7</v>
      </c>
      <c r="AQ932" t="s">
        <v>74</v>
      </c>
      <c r="AR932" s="18" t="str">
        <f>IFERROR(VLOOKUP(K932,[1]POP!$F:$J,1,0),M932)</f>
        <v>MOKOLO</v>
      </c>
      <c r="AS932" s="18" t="str">
        <f t="shared" si="71"/>
        <v>MINAWAO</v>
      </c>
      <c r="AT932" s="19">
        <f t="shared" si="74"/>
        <v>2</v>
      </c>
      <c r="AU932" s="19">
        <f t="shared" ca="1" si="73"/>
        <v>2</v>
      </c>
    </row>
    <row r="933" spans="1:47" x14ac:dyDescent="0.3">
      <c r="A933" t="s">
        <v>1309</v>
      </c>
      <c r="B933" t="str">
        <f t="shared" si="70"/>
        <v>S31_2026</v>
      </c>
      <c r="C933" t="str">
        <f t="shared" si="72"/>
        <v>S31_2026</v>
      </c>
      <c r="F933">
        <v>17</v>
      </c>
      <c r="G933" t="s">
        <v>40</v>
      </c>
      <c r="H933" t="s">
        <v>77</v>
      </c>
      <c r="I933" t="s">
        <v>1310</v>
      </c>
      <c r="J933" t="s">
        <v>1067</v>
      </c>
      <c r="K933" t="s">
        <v>1068</v>
      </c>
      <c r="L933" t="s">
        <v>1067</v>
      </c>
      <c r="M933" t="s">
        <v>1068</v>
      </c>
      <c r="N933" t="s">
        <v>45</v>
      </c>
      <c r="O933" t="s">
        <v>45</v>
      </c>
      <c r="P933">
        <v>3</v>
      </c>
      <c r="Q933" s="7">
        <v>46232</v>
      </c>
      <c r="R933" s="7">
        <v>46232</v>
      </c>
      <c r="S933" s="7">
        <v>46232</v>
      </c>
      <c r="T933" t="s">
        <v>45</v>
      </c>
      <c r="V933" t="s">
        <v>1093</v>
      </c>
      <c r="W933" t="s">
        <v>45</v>
      </c>
      <c r="X933" t="s">
        <v>45</v>
      </c>
      <c r="Y933" t="s">
        <v>45</v>
      </c>
      <c r="Z933" t="s">
        <v>45</v>
      </c>
      <c r="AB933" t="s">
        <v>48</v>
      </c>
      <c r="AC933" t="s">
        <v>74</v>
      </c>
      <c r="AE933" s="7">
        <v>46238</v>
      </c>
      <c r="AF933">
        <v>2</v>
      </c>
      <c r="AH933" t="s">
        <v>75</v>
      </c>
      <c r="AI933">
        <v>1</v>
      </c>
      <c r="AJ933" s="15"/>
      <c r="AK933" t="s">
        <v>74</v>
      </c>
      <c r="AL933" t="s">
        <v>1081</v>
      </c>
      <c r="AN933" t="s">
        <v>45</v>
      </c>
      <c r="AO933" t="s">
        <v>45</v>
      </c>
      <c r="AP933">
        <v>7</v>
      </c>
      <c r="AQ933" t="s">
        <v>74</v>
      </c>
      <c r="AR933" s="18" t="str">
        <f>IFERROR(VLOOKUP(K933,[1]POP!$F:$J,1,0),M933)</f>
        <v>MOKOLO</v>
      </c>
      <c r="AS933" s="18" t="str">
        <f t="shared" si="71"/>
        <v>MINAWAO</v>
      </c>
      <c r="AT933" s="19">
        <f t="shared" si="74"/>
        <v>2</v>
      </c>
      <c r="AU933" s="19">
        <f t="shared" ca="1" si="73"/>
        <v>2</v>
      </c>
    </row>
    <row r="934" spans="1:47" x14ac:dyDescent="0.3">
      <c r="A934" t="s">
        <v>1311</v>
      </c>
      <c r="B934" t="str">
        <f t="shared" si="70"/>
        <v>S31_2026</v>
      </c>
      <c r="C934" t="str">
        <f t="shared" si="72"/>
        <v>S31_2026</v>
      </c>
      <c r="F934">
        <v>56</v>
      </c>
      <c r="G934" t="s">
        <v>55</v>
      </c>
      <c r="H934" t="s">
        <v>70</v>
      </c>
      <c r="I934" t="s">
        <v>1312</v>
      </c>
      <c r="J934" t="s">
        <v>1067</v>
      </c>
      <c r="K934" t="s">
        <v>1068</v>
      </c>
      <c r="L934" t="s">
        <v>1067</v>
      </c>
      <c r="M934" t="s">
        <v>1068</v>
      </c>
      <c r="N934" t="s">
        <v>45</v>
      </c>
      <c r="O934" t="s">
        <v>45</v>
      </c>
      <c r="P934">
        <v>3</v>
      </c>
      <c r="Q934" s="7">
        <v>46232</v>
      </c>
      <c r="R934" s="7">
        <v>46232</v>
      </c>
      <c r="S934" s="7">
        <v>46232</v>
      </c>
      <c r="T934" t="s">
        <v>45</v>
      </c>
      <c r="V934" t="s">
        <v>1093</v>
      </c>
      <c r="W934" t="s">
        <v>45</v>
      </c>
      <c r="X934" t="s">
        <v>45</v>
      </c>
      <c r="Y934" t="s">
        <v>45</v>
      </c>
      <c r="Z934" t="s">
        <v>45</v>
      </c>
      <c r="AB934" t="s">
        <v>62</v>
      </c>
      <c r="AC934" t="s">
        <v>74</v>
      </c>
      <c r="AE934" s="7">
        <v>46234</v>
      </c>
      <c r="AF934">
        <v>2</v>
      </c>
      <c r="AH934" t="s">
        <v>75</v>
      </c>
      <c r="AI934">
        <v>1</v>
      </c>
      <c r="AJ934" s="15"/>
      <c r="AK934" t="s">
        <v>74</v>
      </c>
      <c r="AL934" t="s">
        <v>1081</v>
      </c>
      <c r="AN934" t="s">
        <v>45</v>
      </c>
      <c r="AO934" t="s">
        <v>45</v>
      </c>
      <c r="AP934">
        <v>5</v>
      </c>
      <c r="AQ934" t="s">
        <v>74</v>
      </c>
      <c r="AR934" s="18" t="str">
        <f>IFERROR(VLOOKUP(K934,[1]POP!$F:$J,1,0),M934)</f>
        <v>MOKOLO</v>
      </c>
      <c r="AS934" s="18" t="str">
        <f t="shared" si="71"/>
        <v>MINAWAO</v>
      </c>
      <c r="AT934" s="19">
        <f t="shared" si="74"/>
        <v>2</v>
      </c>
      <c r="AU934" s="19">
        <f t="shared" ca="1" si="73"/>
        <v>2</v>
      </c>
    </row>
    <row r="935" spans="1:47" x14ac:dyDescent="0.3">
      <c r="A935" t="s">
        <v>1313</v>
      </c>
      <c r="B935" t="str">
        <f t="shared" si="70"/>
        <v>S31_2026</v>
      </c>
      <c r="C935" t="str">
        <f t="shared" si="72"/>
        <v>S31_2026</v>
      </c>
      <c r="F935">
        <v>1</v>
      </c>
      <c r="G935" t="s">
        <v>40</v>
      </c>
      <c r="H935" t="s">
        <v>85</v>
      </c>
      <c r="I935" t="s">
        <v>1314</v>
      </c>
      <c r="J935" t="s">
        <v>1067</v>
      </c>
      <c r="K935" t="s">
        <v>1068</v>
      </c>
      <c r="L935" t="s">
        <v>1067</v>
      </c>
      <c r="M935" t="s">
        <v>1068</v>
      </c>
      <c r="N935" t="s">
        <v>45</v>
      </c>
      <c r="O935" t="s">
        <v>45</v>
      </c>
      <c r="P935">
        <v>3</v>
      </c>
      <c r="Q935" s="7">
        <v>46232</v>
      </c>
      <c r="R935" s="7">
        <v>46232</v>
      </c>
      <c r="S935" s="7">
        <v>46232</v>
      </c>
      <c r="T935" t="s">
        <v>45</v>
      </c>
      <c r="V935" t="s">
        <v>1093</v>
      </c>
      <c r="W935" t="s">
        <v>45</v>
      </c>
      <c r="X935" t="s">
        <v>45</v>
      </c>
      <c r="Y935" t="s">
        <v>45</v>
      </c>
      <c r="Z935" t="s">
        <v>45</v>
      </c>
      <c r="AB935" t="s">
        <v>62</v>
      </c>
      <c r="AC935" t="s">
        <v>74</v>
      </c>
      <c r="AE935" s="7">
        <v>46234</v>
      </c>
      <c r="AF935">
        <v>2</v>
      </c>
      <c r="AH935" t="s">
        <v>75</v>
      </c>
      <c r="AI935">
        <v>1</v>
      </c>
      <c r="AJ935" s="15"/>
      <c r="AK935" t="s">
        <v>74</v>
      </c>
      <c r="AL935" t="s">
        <v>1081</v>
      </c>
      <c r="AN935" t="s">
        <v>45</v>
      </c>
      <c r="AO935" t="s">
        <v>45</v>
      </c>
      <c r="AP935">
        <v>6</v>
      </c>
      <c r="AQ935" t="s">
        <v>74</v>
      </c>
      <c r="AR935" s="18" t="str">
        <f>IFERROR(VLOOKUP(K935,[1]POP!$F:$J,1,0),M935)</f>
        <v>MOKOLO</v>
      </c>
      <c r="AS935" s="18" t="str">
        <f t="shared" si="71"/>
        <v>MINAWAO</v>
      </c>
      <c r="AT935" s="19">
        <f t="shared" si="74"/>
        <v>2</v>
      </c>
      <c r="AU935" s="19">
        <f t="shared" ca="1" si="73"/>
        <v>2</v>
      </c>
    </row>
    <row r="936" spans="1:47" x14ac:dyDescent="0.3">
      <c r="A936" t="s">
        <v>1315</v>
      </c>
      <c r="B936" t="str">
        <f t="shared" si="70"/>
        <v>S31_2026</v>
      </c>
      <c r="C936" t="str">
        <f t="shared" si="72"/>
        <v>S31_2026</v>
      </c>
      <c r="F936">
        <v>22</v>
      </c>
      <c r="G936" t="s">
        <v>40</v>
      </c>
      <c r="H936" t="s">
        <v>77</v>
      </c>
      <c r="I936" t="s">
        <v>1316</v>
      </c>
      <c r="J936" t="s">
        <v>1067</v>
      </c>
      <c r="K936" t="s">
        <v>1068</v>
      </c>
      <c r="L936" t="s">
        <v>1067</v>
      </c>
      <c r="M936" t="s">
        <v>1068</v>
      </c>
      <c r="N936" t="s">
        <v>45</v>
      </c>
      <c r="O936" t="s">
        <v>45</v>
      </c>
      <c r="P936">
        <v>3</v>
      </c>
      <c r="Q936" s="7">
        <v>46232</v>
      </c>
      <c r="R936" s="7">
        <v>46232</v>
      </c>
      <c r="S936" s="7">
        <v>46232</v>
      </c>
      <c r="T936" t="s">
        <v>45</v>
      </c>
      <c r="V936" t="s">
        <v>1093</v>
      </c>
      <c r="W936" t="s">
        <v>45</v>
      </c>
      <c r="X936" t="s">
        <v>45</v>
      </c>
      <c r="Y936" t="s">
        <v>45</v>
      </c>
      <c r="Z936" t="s">
        <v>45</v>
      </c>
      <c r="AB936" t="s">
        <v>48</v>
      </c>
      <c r="AC936" t="s">
        <v>74</v>
      </c>
      <c r="AE936" s="7">
        <v>46238</v>
      </c>
      <c r="AF936">
        <v>2</v>
      </c>
      <c r="AH936" t="s">
        <v>75</v>
      </c>
      <c r="AI936">
        <v>1</v>
      </c>
      <c r="AJ936" s="15"/>
      <c r="AK936" t="s">
        <v>74</v>
      </c>
      <c r="AL936" t="s">
        <v>1081</v>
      </c>
      <c r="AN936" t="s">
        <v>45</v>
      </c>
      <c r="AO936" t="s">
        <v>45</v>
      </c>
      <c r="AP936">
        <v>4</v>
      </c>
      <c r="AQ936" t="s">
        <v>74</v>
      </c>
      <c r="AR936" s="18" t="str">
        <f>IFERROR(VLOOKUP(K936,[1]POP!$F:$J,1,0),M936)</f>
        <v>MOKOLO</v>
      </c>
      <c r="AS936" s="18" t="str">
        <f t="shared" si="71"/>
        <v>MINAWAO</v>
      </c>
      <c r="AT936" s="19">
        <f t="shared" si="74"/>
        <v>2</v>
      </c>
      <c r="AU936" s="19">
        <f t="shared" ca="1" si="73"/>
        <v>2</v>
      </c>
    </row>
    <row r="937" spans="1:47" x14ac:dyDescent="0.3">
      <c r="A937" t="s">
        <v>1317</v>
      </c>
      <c r="B937" t="str">
        <f t="shared" si="70"/>
        <v>S31_2026</v>
      </c>
      <c r="C937" t="str">
        <f t="shared" si="72"/>
        <v>S31_2026</v>
      </c>
      <c r="F937">
        <v>3</v>
      </c>
      <c r="G937" t="s">
        <v>40</v>
      </c>
      <c r="H937" t="s">
        <v>85</v>
      </c>
      <c r="I937" t="s">
        <v>1310</v>
      </c>
      <c r="J937" t="s">
        <v>1067</v>
      </c>
      <c r="K937" t="s">
        <v>1068</v>
      </c>
      <c r="L937" t="s">
        <v>1067</v>
      </c>
      <c r="M937" t="s">
        <v>1068</v>
      </c>
      <c r="N937" t="s">
        <v>45</v>
      </c>
      <c r="O937" t="s">
        <v>45</v>
      </c>
      <c r="P937">
        <v>3</v>
      </c>
      <c r="Q937" s="7">
        <v>46232</v>
      </c>
      <c r="R937" s="7">
        <v>46232</v>
      </c>
      <c r="S937" s="7">
        <v>46232</v>
      </c>
      <c r="T937" t="s">
        <v>45</v>
      </c>
      <c r="V937" t="s">
        <v>1093</v>
      </c>
      <c r="W937" t="s">
        <v>45</v>
      </c>
      <c r="X937" t="s">
        <v>45</v>
      </c>
      <c r="Y937" t="s">
        <v>45</v>
      </c>
      <c r="Z937" t="s">
        <v>45</v>
      </c>
      <c r="AB937" t="s">
        <v>48</v>
      </c>
      <c r="AC937" t="s">
        <v>74</v>
      </c>
      <c r="AE937" s="7">
        <v>46238</v>
      </c>
      <c r="AF937">
        <v>2</v>
      </c>
      <c r="AH937" t="s">
        <v>75</v>
      </c>
      <c r="AI937">
        <v>1</v>
      </c>
      <c r="AJ937" s="15"/>
      <c r="AK937" t="s">
        <v>74</v>
      </c>
      <c r="AL937" t="s">
        <v>1081</v>
      </c>
      <c r="AN937" t="s">
        <v>45</v>
      </c>
      <c r="AO937" t="s">
        <v>45</v>
      </c>
      <c r="AP937">
        <v>10</v>
      </c>
      <c r="AQ937" t="s">
        <v>74</v>
      </c>
      <c r="AR937" s="18" t="str">
        <f>IFERROR(VLOOKUP(K937,[1]POP!$F:$J,1,0),M937)</f>
        <v>MOKOLO</v>
      </c>
      <c r="AS937" s="18" t="str">
        <f t="shared" si="71"/>
        <v>MINAWAO</v>
      </c>
      <c r="AT937" s="19">
        <f t="shared" si="74"/>
        <v>2</v>
      </c>
      <c r="AU937" s="19">
        <f t="shared" ca="1" si="73"/>
        <v>2</v>
      </c>
    </row>
    <row r="938" spans="1:47" x14ac:dyDescent="0.3">
      <c r="A938" t="s">
        <v>1318</v>
      </c>
      <c r="B938" t="str">
        <f t="shared" si="70"/>
        <v>S31_2026</v>
      </c>
      <c r="C938" t="str">
        <f t="shared" si="72"/>
        <v>S31_2026</v>
      </c>
      <c r="F938">
        <v>25</v>
      </c>
      <c r="G938" t="s">
        <v>55</v>
      </c>
      <c r="H938" t="s">
        <v>1117</v>
      </c>
      <c r="I938" t="s">
        <v>1319</v>
      </c>
      <c r="J938" t="s">
        <v>1067</v>
      </c>
      <c r="K938" t="s">
        <v>1068</v>
      </c>
      <c r="L938" t="s">
        <v>1067</v>
      </c>
      <c r="M938" t="s">
        <v>1068</v>
      </c>
      <c r="N938" t="s">
        <v>45</v>
      </c>
      <c r="O938" t="s">
        <v>74</v>
      </c>
      <c r="P938">
        <v>2</v>
      </c>
      <c r="Q938" s="7">
        <v>46232</v>
      </c>
      <c r="R938" s="7">
        <v>46232</v>
      </c>
      <c r="S938" s="7">
        <v>46232</v>
      </c>
      <c r="T938" t="s">
        <v>45</v>
      </c>
      <c r="V938" t="s">
        <v>1093</v>
      </c>
      <c r="W938" t="s">
        <v>45</v>
      </c>
      <c r="X938" t="s">
        <v>74</v>
      </c>
      <c r="Y938" t="s">
        <v>74</v>
      </c>
      <c r="Z938" t="s">
        <v>45</v>
      </c>
      <c r="AC938" t="s">
        <v>74</v>
      </c>
      <c r="AE938" s="7">
        <v>46238</v>
      </c>
      <c r="AF938">
        <v>2</v>
      </c>
      <c r="AH938" t="s">
        <v>75</v>
      </c>
      <c r="AI938">
        <v>1</v>
      </c>
      <c r="AJ938" s="15"/>
      <c r="AK938" t="s">
        <v>74</v>
      </c>
      <c r="AL938" t="s">
        <v>1081</v>
      </c>
      <c r="AN938" t="s">
        <v>45</v>
      </c>
      <c r="AO938" t="s">
        <v>45</v>
      </c>
      <c r="AP938">
        <v>14</v>
      </c>
      <c r="AQ938" t="s">
        <v>74</v>
      </c>
      <c r="AR938" s="18" t="str">
        <f>IFERROR(VLOOKUP(K938,[1]POP!$F:$J,1,0),M938)</f>
        <v>MOKOLO</v>
      </c>
      <c r="AS938" s="18" t="str">
        <f t="shared" si="71"/>
        <v>MINAWAO</v>
      </c>
      <c r="AT938" s="19">
        <f t="shared" si="74"/>
        <v>2</v>
      </c>
      <c r="AU938" s="19">
        <f t="shared" ca="1" si="73"/>
        <v>2</v>
      </c>
    </row>
    <row r="939" spans="1:47" x14ac:dyDescent="0.3">
      <c r="A939" t="s">
        <v>1320</v>
      </c>
      <c r="B939" t="str">
        <f t="shared" si="70"/>
        <v>S31_2026</v>
      </c>
      <c r="C939" t="str">
        <f t="shared" si="72"/>
        <v>S31_2026</v>
      </c>
      <c r="F939">
        <v>25</v>
      </c>
      <c r="G939" t="s">
        <v>40</v>
      </c>
      <c r="H939" t="s">
        <v>77</v>
      </c>
      <c r="I939" t="s">
        <v>1321</v>
      </c>
      <c r="J939" t="s">
        <v>1067</v>
      </c>
      <c r="K939" t="s">
        <v>1068</v>
      </c>
      <c r="L939" t="s">
        <v>1067</v>
      </c>
      <c r="M939" t="s">
        <v>1068</v>
      </c>
      <c r="N939" t="s">
        <v>45</v>
      </c>
      <c r="O939" t="s">
        <v>74</v>
      </c>
      <c r="P939">
        <v>2</v>
      </c>
      <c r="Q939" s="7">
        <v>46232</v>
      </c>
      <c r="R939" s="7">
        <v>46232</v>
      </c>
      <c r="S939" s="7">
        <v>46232</v>
      </c>
      <c r="T939" t="s">
        <v>45</v>
      </c>
      <c r="V939" t="s">
        <v>1093</v>
      </c>
      <c r="W939" t="s">
        <v>45</v>
      </c>
      <c r="X939" t="s">
        <v>74</v>
      </c>
      <c r="Y939" t="s">
        <v>74</v>
      </c>
      <c r="Z939" t="s">
        <v>45</v>
      </c>
      <c r="AC939" t="s">
        <v>74</v>
      </c>
      <c r="AE939" s="7">
        <v>46238</v>
      </c>
      <c r="AF939">
        <v>2</v>
      </c>
      <c r="AH939" t="s">
        <v>75</v>
      </c>
      <c r="AI939">
        <v>1</v>
      </c>
      <c r="AJ939" s="15"/>
      <c r="AK939" t="s">
        <v>74</v>
      </c>
      <c r="AL939" t="s">
        <v>1081</v>
      </c>
      <c r="AN939" t="s">
        <v>45</v>
      </c>
      <c r="AO939" t="s">
        <v>45</v>
      </c>
      <c r="AP939">
        <v>7</v>
      </c>
      <c r="AQ939" t="s">
        <v>74</v>
      </c>
      <c r="AR939" s="18" t="str">
        <f>IFERROR(VLOOKUP(K939,[1]POP!$F:$J,1,0),M939)</f>
        <v>MOKOLO</v>
      </c>
      <c r="AS939" s="18" t="str">
        <f t="shared" si="71"/>
        <v>MINAWAO</v>
      </c>
      <c r="AT939" s="19">
        <f t="shared" si="74"/>
        <v>2</v>
      </c>
      <c r="AU939" s="19">
        <f t="shared" ca="1" si="73"/>
        <v>2</v>
      </c>
    </row>
    <row r="940" spans="1:47" x14ac:dyDescent="0.3">
      <c r="A940" t="s">
        <v>1322</v>
      </c>
      <c r="B940" t="str">
        <f t="shared" si="70"/>
        <v>S31_2026</v>
      </c>
      <c r="C940" t="str">
        <f t="shared" si="72"/>
        <v>S31_2026</v>
      </c>
      <c r="F940">
        <v>3</v>
      </c>
      <c r="G940" t="s">
        <v>40</v>
      </c>
      <c r="H940" t="s">
        <v>85</v>
      </c>
      <c r="I940" t="s">
        <v>1323</v>
      </c>
      <c r="J940" t="s">
        <v>1067</v>
      </c>
      <c r="K940" t="s">
        <v>1068</v>
      </c>
      <c r="L940" t="s">
        <v>1067</v>
      </c>
      <c r="M940" t="s">
        <v>1068</v>
      </c>
      <c r="N940" t="s">
        <v>45</v>
      </c>
      <c r="O940" t="s">
        <v>74</v>
      </c>
      <c r="P940">
        <v>2</v>
      </c>
      <c r="Q940" s="7">
        <v>46234</v>
      </c>
      <c r="R940" s="7">
        <v>46234</v>
      </c>
      <c r="S940" s="7">
        <v>46234</v>
      </c>
      <c r="T940" t="s">
        <v>45</v>
      </c>
      <c r="V940" t="s">
        <v>1093</v>
      </c>
      <c r="W940" t="s">
        <v>45</v>
      </c>
      <c r="X940" t="s">
        <v>74</v>
      </c>
      <c r="Y940" t="s">
        <v>74</v>
      </c>
      <c r="Z940" t="s">
        <v>45</v>
      </c>
      <c r="AC940" t="s">
        <v>74</v>
      </c>
      <c r="AE940" s="7">
        <v>46238</v>
      </c>
      <c r="AF940">
        <v>2</v>
      </c>
      <c r="AH940" t="s">
        <v>75</v>
      </c>
      <c r="AI940">
        <v>1</v>
      </c>
      <c r="AJ940" s="15"/>
      <c r="AK940" t="s">
        <v>74</v>
      </c>
      <c r="AL940" t="s">
        <v>1081</v>
      </c>
      <c r="AN940" t="s">
        <v>45</v>
      </c>
      <c r="AO940" t="s">
        <v>45</v>
      </c>
      <c r="AP940">
        <v>5</v>
      </c>
      <c r="AQ940" t="s">
        <v>74</v>
      </c>
      <c r="AR940" s="18" t="str">
        <f>IFERROR(VLOOKUP(K940,[1]POP!$F:$J,1,0),M940)</f>
        <v>MOKOLO</v>
      </c>
      <c r="AS940" s="18" t="str">
        <f t="shared" si="71"/>
        <v>MINAWAO</v>
      </c>
      <c r="AT940" s="19">
        <f t="shared" si="74"/>
        <v>2</v>
      </c>
      <c r="AU940" s="19">
        <f t="shared" ca="1" si="73"/>
        <v>2</v>
      </c>
    </row>
    <row r="941" spans="1:47" x14ac:dyDescent="0.3">
      <c r="A941" t="s">
        <v>1324</v>
      </c>
      <c r="B941" t="str">
        <f t="shared" si="70"/>
        <v>S31_2026</v>
      </c>
      <c r="C941" t="str">
        <f t="shared" si="72"/>
        <v>S31_2026</v>
      </c>
      <c r="F941">
        <v>3</v>
      </c>
      <c r="G941" t="s">
        <v>55</v>
      </c>
      <c r="H941" t="s">
        <v>85</v>
      </c>
      <c r="I941" t="s">
        <v>1325</v>
      </c>
      <c r="J941" t="s">
        <v>1067</v>
      </c>
      <c r="K941" t="s">
        <v>1068</v>
      </c>
      <c r="L941" t="s">
        <v>1067</v>
      </c>
      <c r="M941" t="s">
        <v>1068</v>
      </c>
      <c r="N941" t="s">
        <v>45</v>
      </c>
      <c r="O941" t="s">
        <v>45</v>
      </c>
      <c r="P941">
        <v>2</v>
      </c>
      <c r="Q941" s="7">
        <v>46234</v>
      </c>
      <c r="R941" s="7">
        <v>46234</v>
      </c>
      <c r="S941" s="7">
        <v>46234</v>
      </c>
      <c r="T941" t="s">
        <v>45</v>
      </c>
      <c r="V941" t="s">
        <v>1093</v>
      </c>
      <c r="W941" t="s">
        <v>45</v>
      </c>
      <c r="X941" t="s">
        <v>74</v>
      </c>
      <c r="Y941" t="s">
        <v>74</v>
      </c>
      <c r="Z941" t="s">
        <v>45</v>
      </c>
      <c r="AC941" t="s">
        <v>74</v>
      </c>
      <c r="AE941" s="7">
        <v>46239</v>
      </c>
      <c r="AF941">
        <v>2</v>
      </c>
      <c r="AH941" t="s">
        <v>75</v>
      </c>
      <c r="AI941">
        <v>1</v>
      </c>
      <c r="AJ941" s="15"/>
      <c r="AK941" t="s">
        <v>74</v>
      </c>
      <c r="AL941" t="s">
        <v>1081</v>
      </c>
      <c r="AN941" t="s">
        <v>45</v>
      </c>
      <c r="AO941" t="s">
        <v>45</v>
      </c>
      <c r="AP941"/>
      <c r="AQ941" t="s">
        <v>74</v>
      </c>
      <c r="AR941" s="18" t="str">
        <f>IFERROR(VLOOKUP(K941,[1]POP!$F:$J,1,0),M941)</f>
        <v>MOKOLO</v>
      </c>
      <c r="AS941" s="18" t="str">
        <f t="shared" si="71"/>
        <v>MINAWAO</v>
      </c>
      <c r="AT941" s="19">
        <f t="shared" si="74"/>
        <v>2</v>
      </c>
      <c r="AU941" s="19">
        <f t="shared" ca="1" si="73"/>
        <v>2</v>
      </c>
    </row>
    <row r="942" spans="1:47" x14ac:dyDescent="0.3">
      <c r="A942" t="s">
        <v>1326</v>
      </c>
      <c r="B942" t="str">
        <f t="shared" si="70"/>
        <v>S31_2026</v>
      </c>
      <c r="C942" t="str">
        <f t="shared" si="72"/>
        <v>S31_2026</v>
      </c>
      <c r="F942">
        <v>36</v>
      </c>
      <c r="G942" t="s">
        <v>40</v>
      </c>
      <c r="H942" t="s">
        <v>77</v>
      </c>
      <c r="I942" t="s">
        <v>1327</v>
      </c>
      <c r="J942" t="s">
        <v>1067</v>
      </c>
      <c r="K942" t="s">
        <v>1068</v>
      </c>
      <c r="L942" t="s">
        <v>1067</v>
      </c>
      <c r="M942" t="s">
        <v>1068</v>
      </c>
      <c r="N942" t="s">
        <v>45</v>
      </c>
      <c r="O942" t="s">
        <v>74</v>
      </c>
      <c r="P942">
        <v>2</v>
      </c>
      <c r="Q942" s="7">
        <v>46234</v>
      </c>
      <c r="R942" s="7">
        <v>46234</v>
      </c>
      <c r="S942" s="7">
        <v>46234</v>
      </c>
      <c r="T942" t="s">
        <v>45</v>
      </c>
      <c r="V942" t="s">
        <v>1093</v>
      </c>
      <c r="W942" t="s">
        <v>45</v>
      </c>
      <c r="X942" t="s">
        <v>74</v>
      </c>
      <c r="Y942" t="s">
        <v>74</v>
      </c>
      <c r="Z942" t="s">
        <v>45</v>
      </c>
      <c r="AC942" t="s">
        <v>74</v>
      </c>
      <c r="AE942" s="7">
        <v>46238</v>
      </c>
      <c r="AF942">
        <v>2</v>
      </c>
      <c r="AH942" t="s">
        <v>75</v>
      </c>
      <c r="AI942">
        <v>1</v>
      </c>
      <c r="AJ942" s="15"/>
      <c r="AK942" t="s">
        <v>74</v>
      </c>
      <c r="AL942" t="s">
        <v>1081</v>
      </c>
      <c r="AN942" t="s">
        <v>45</v>
      </c>
      <c r="AO942" t="s">
        <v>45</v>
      </c>
      <c r="AP942">
        <v>8</v>
      </c>
      <c r="AQ942" t="s">
        <v>74</v>
      </c>
      <c r="AR942" s="18" t="str">
        <f>IFERROR(VLOOKUP(K942,[1]POP!$F:$J,1,0),M942)</f>
        <v>MOKOLO</v>
      </c>
      <c r="AS942" s="18" t="str">
        <f t="shared" si="71"/>
        <v>MINAWAO</v>
      </c>
      <c r="AT942" s="19">
        <f t="shared" si="74"/>
        <v>2</v>
      </c>
      <c r="AU942" s="19">
        <f t="shared" ca="1" si="73"/>
        <v>2</v>
      </c>
    </row>
    <row r="943" spans="1:47" x14ac:dyDescent="0.3">
      <c r="A943" t="s">
        <v>1328</v>
      </c>
      <c r="B943" t="str">
        <f t="shared" si="70"/>
        <v>S31_2026</v>
      </c>
      <c r="C943" t="str">
        <f t="shared" si="72"/>
        <v>S31_2026</v>
      </c>
      <c r="F943">
        <v>5</v>
      </c>
      <c r="G943" t="s">
        <v>55</v>
      </c>
      <c r="H943" t="s">
        <v>85</v>
      </c>
      <c r="I943" t="s">
        <v>1329</v>
      </c>
      <c r="J943" t="s">
        <v>1067</v>
      </c>
      <c r="K943" t="s">
        <v>1068</v>
      </c>
      <c r="L943" t="s">
        <v>1067</v>
      </c>
      <c r="M943" t="s">
        <v>1068</v>
      </c>
      <c r="N943" t="s">
        <v>45</v>
      </c>
      <c r="O943" t="s">
        <v>74</v>
      </c>
      <c r="P943">
        <v>2</v>
      </c>
      <c r="Q943" s="7">
        <v>46234</v>
      </c>
      <c r="R943" s="7">
        <v>46234</v>
      </c>
      <c r="S943" s="7">
        <v>46234</v>
      </c>
      <c r="T943" t="s">
        <v>45</v>
      </c>
      <c r="V943" t="s">
        <v>1093</v>
      </c>
      <c r="W943" t="s">
        <v>45</v>
      </c>
      <c r="X943" t="s">
        <v>74</v>
      </c>
      <c r="Y943" t="s">
        <v>45</v>
      </c>
      <c r="Z943" t="s">
        <v>45</v>
      </c>
      <c r="AC943" t="s">
        <v>74</v>
      </c>
      <c r="AE943" s="7">
        <v>46239</v>
      </c>
      <c r="AF943">
        <v>2</v>
      </c>
      <c r="AH943" t="s">
        <v>75</v>
      </c>
      <c r="AI943">
        <v>1</v>
      </c>
      <c r="AJ943" s="15"/>
      <c r="AK943" t="s">
        <v>74</v>
      </c>
      <c r="AL943" t="s">
        <v>1081</v>
      </c>
      <c r="AN943" t="s">
        <v>45</v>
      </c>
      <c r="AO943" t="s">
        <v>45</v>
      </c>
      <c r="AP943">
        <v>3</v>
      </c>
      <c r="AQ943" t="s">
        <v>74</v>
      </c>
      <c r="AR943" s="18" t="str">
        <f>IFERROR(VLOOKUP(K943,[1]POP!$F:$J,1,0),M943)</f>
        <v>MOKOLO</v>
      </c>
      <c r="AS943" s="18" t="str">
        <f t="shared" si="71"/>
        <v>MINAWAO</v>
      </c>
      <c r="AT943" s="19">
        <f t="shared" si="74"/>
        <v>2</v>
      </c>
      <c r="AU943" s="19">
        <f t="shared" ca="1" si="73"/>
        <v>2</v>
      </c>
    </row>
    <row r="944" spans="1:47" x14ac:dyDescent="0.3">
      <c r="A944" t="s">
        <v>1330</v>
      </c>
      <c r="B944" t="str">
        <f t="shared" si="70"/>
        <v>S31_2026</v>
      </c>
      <c r="C944" t="str">
        <f t="shared" si="72"/>
        <v>S31_2026</v>
      </c>
      <c r="F944">
        <v>3</v>
      </c>
      <c r="G944" t="s">
        <v>40</v>
      </c>
      <c r="H944" t="s">
        <v>85</v>
      </c>
      <c r="I944" t="s">
        <v>1327</v>
      </c>
      <c r="J944" t="s">
        <v>1067</v>
      </c>
      <c r="K944" t="s">
        <v>1068</v>
      </c>
      <c r="L944" t="s">
        <v>1067</v>
      </c>
      <c r="M944" t="s">
        <v>1068</v>
      </c>
      <c r="N944" t="s">
        <v>45</v>
      </c>
      <c r="O944" t="s">
        <v>74</v>
      </c>
      <c r="P944">
        <v>2</v>
      </c>
      <c r="Q944" s="7">
        <v>46235</v>
      </c>
      <c r="R944" s="7">
        <v>46235</v>
      </c>
      <c r="S944" s="7">
        <v>46235</v>
      </c>
      <c r="T944" t="s">
        <v>45</v>
      </c>
      <c r="V944" t="s">
        <v>1331</v>
      </c>
      <c r="W944" t="s">
        <v>45</v>
      </c>
      <c r="X944" t="s">
        <v>74</v>
      </c>
      <c r="Y944" t="s">
        <v>45</v>
      </c>
      <c r="Z944" t="s">
        <v>45</v>
      </c>
      <c r="AC944" t="s">
        <v>74</v>
      </c>
      <c r="AE944" s="7">
        <v>46238</v>
      </c>
      <c r="AF944">
        <v>2</v>
      </c>
      <c r="AH944" t="s">
        <v>75</v>
      </c>
      <c r="AI944">
        <v>1</v>
      </c>
      <c r="AJ944" s="15"/>
      <c r="AK944" t="s">
        <v>74</v>
      </c>
      <c r="AL944" t="s">
        <v>1081</v>
      </c>
      <c r="AN944" t="s">
        <v>45</v>
      </c>
      <c r="AO944" t="s">
        <v>45</v>
      </c>
      <c r="AP944">
        <v>8</v>
      </c>
      <c r="AQ944" t="s">
        <v>74</v>
      </c>
      <c r="AR944" s="18" t="str">
        <f>IFERROR(VLOOKUP(K944,[1]POP!$F:$J,1,0),M944)</f>
        <v>MOKOLO</v>
      </c>
      <c r="AS944" s="18" t="str">
        <f t="shared" si="71"/>
        <v>MINAWAO</v>
      </c>
      <c r="AT944" s="19">
        <f t="shared" si="74"/>
        <v>2</v>
      </c>
      <c r="AU944" s="19">
        <f t="shared" ca="1" si="73"/>
        <v>2</v>
      </c>
    </row>
    <row r="945" spans="1:47" x14ac:dyDescent="0.3">
      <c r="A945" t="s">
        <v>1332</v>
      </c>
      <c r="B945" t="str">
        <f t="shared" si="70"/>
        <v>S31_2026</v>
      </c>
      <c r="C945" t="str">
        <f t="shared" si="72"/>
        <v>S31_2026</v>
      </c>
      <c r="F945">
        <v>7</v>
      </c>
      <c r="G945" t="s">
        <v>55</v>
      </c>
      <c r="H945" t="s">
        <v>85</v>
      </c>
      <c r="I945" t="s">
        <v>1333</v>
      </c>
      <c r="J945" t="s">
        <v>1067</v>
      </c>
      <c r="K945" t="s">
        <v>1068</v>
      </c>
      <c r="L945" t="s">
        <v>1067</v>
      </c>
      <c r="M945" t="s">
        <v>1068</v>
      </c>
      <c r="N945" t="s">
        <v>45</v>
      </c>
      <c r="O945" t="s">
        <v>74</v>
      </c>
      <c r="P945">
        <v>2</v>
      </c>
      <c r="Q945" s="7">
        <v>46235</v>
      </c>
      <c r="R945" s="7">
        <v>46235</v>
      </c>
      <c r="S945" s="7">
        <v>46235</v>
      </c>
      <c r="T945" t="s">
        <v>45</v>
      </c>
      <c r="V945" t="s">
        <v>1331</v>
      </c>
      <c r="W945" t="s">
        <v>45</v>
      </c>
      <c r="X945" t="s">
        <v>74</v>
      </c>
      <c r="Y945" t="s">
        <v>45</v>
      </c>
      <c r="Z945" t="s">
        <v>45</v>
      </c>
      <c r="AC945" t="s">
        <v>74</v>
      </c>
      <c r="AF945">
        <v>2</v>
      </c>
      <c r="AH945" t="s">
        <v>75</v>
      </c>
      <c r="AI945">
        <v>1</v>
      </c>
      <c r="AJ945" s="15"/>
      <c r="AK945" t="s">
        <v>74</v>
      </c>
      <c r="AL945" t="s">
        <v>1081</v>
      </c>
      <c r="AN945" t="s">
        <v>45</v>
      </c>
      <c r="AO945" t="s">
        <v>45</v>
      </c>
      <c r="AP945">
        <v>13</v>
      </c>
      <c r="AQ945" t="s">
        <v>74</v>
      </c>
      <c r="AR945" s="18" t="str">
        <f>IFERROR(VLOOKUP(K945,[1]POP!$F:$J,1,0),M945)</f>
        <v>MOKOLO</v>
      </c>
      <c r="AS945" s="18" t="str">
        <f t="shared" si="71"/>
        <v>MINAWAO</v>
      </c>
      <c r="AT945" s="19">
        <f t="shared" si="74"/>
        <v>2</v>
      </c>
      <c r="AU945" s="19">
        <f t="shared" ca="1" si="73"/>
        <v>2</v>
      </c>
    </row>
    <row r="946" spans="1:47" x14ac:dyDescent="0.3">
      <c r="A946" t="s">
        <v>1334</v>
      </c>
      <c r="B946" t="str">
        <f t="shared" si="70"/>
        <v>S31_2026</v>
      </c>
      <c r="C946" t="str">
        <f t="shared" si="72"/>
        <v>S31_2026</v>
      </c>
      <c r="F946">
        <v>3</v>
      </c>
      <c r="G946" t="s">
        <v>55</v>
      </c>
      <c r="H946" t="s">
        <v>85</v>
      </c>
      <c r="I946" t="s">
        <v>1335</v>
      </c>
      <c r="J946" t="s">
        <v>1067</v>
      </c>
      <c r="K946" t="s">
        <v>1068</v>
      </c>
      <c r="L946" t="s">
        <v>1067</v>
      </c>
      <c r="M946" t="s">
        <v>1068</v>
      </c>
      <c r="N946" t="s">
        <v>45</v>
      </c>
      <c r="O946" t="s">
        <v>74</v>
      </c>
      <c r="P946">
        <v>2</v>
      </c>
      <c r="Q946" s="7">
        <v>46235</v>
      </c>
      <c r="R946" s="7">
        <v>46235</v>
      </c>
      <c r="S946" s="7">
        <v>46235</v>
      </c>
      <c r="T946" t="s">
        <v>45</v>
      </c>
      <c r="V946" t="s">
        <v>1331</v>
      </c>
      <c r="W946" t="s">
        <v>45</v>
      </c>
      <c r="X946" t="s">
        <v>74</v>
      </c>
      <c r="Y946" t="s">
        <v>45</v>
      </c>
      <c r="Z946" t="s">
        <v>45</v>
      </c>
      <c r="AC946" t="s">
        <v>74</v>
      </c>
      <c r="AE946" s="7">
        <v>46239</v>
      </c>
      <c r="AF946">
        <v>2</v>
      </c>
      <c r="AH946" t="s">
        <v>75</v>
      </c>
      <c r="AI946">
        <v>1</v>
      </c>
      <c r="AJ946" s="15"/>
      <c r="AK946" t="s">
        <v>74</v>
      </c>
      <c r="AN946" t="s">
        <v>2748</v>
      </c>
      <c r="AO946" t="s">
        <v>45</v>
      </c>
      <c r="AP946">
        <v>5</v>
      </c>
      <c r="AQ946" t="s">
        <v>86</v>
      </c>
      <c r="AR946" s="18" t="str">
        <f>IFERROR(VLOOKUP(K946,[1]POP!$F:$J,1,0),M946)</f>
        <v>MOKOLO</v>
      </c>
      <c r="AS946" s="18" t="str">
        <f t="shared" si="71"/>
        <v>MINAWAO</v>
      </c>
      <c r="AT946" s="19">
        <f t="shared" si="74"/>
        <v>2</v>
      </c>
      <c r="AU946" s="19">
        <f t="shared" ca="1" si="73"/>
        <v>2</v>
      </c>
    </row>
    <row r="947" spans="1:47" x14ac:dyDescent="0.3">
      <c r="A947" t="s">
        <v>1336</v>
      </c>
      <c r="B947" t="str">
        <f t="shared" si="70"/>
        <v>S31_2026</v>
      </c>
      <c r="C947" t="str">
        <f t="shared" si="72"/>
        <v>S31_2026</v>
      </c>
      <c r="F947">
        <v>2</v>
      </c>
      <c r="G947" t="s">
        <v>55</v>
      </c>
      <c r="H947" t="s">
        <v>85</v>
      </c>
      <c r="I947" t="s">
        <v>1337</v>
      </c>
      <c r="J947" t="s">
        <v>1067</v>
      </c>
      <c r="K947" t="s">
        <v>1068</v>
      </c>
      <c r="L947" t="s">
        <v>1067</v>
      </c>
      <c r="M947" t="s">
        <v>1068</v>
      </c>
      <c r="N947" t="s">
        <v>45</v>
      </c>
      <c r="O947" t="s">
        <v>74</v>
      </c>
      <c r="P947">
        <v>2</v>
      </c>
      <c r="Q947" s="7">
        <v>46235</v>
      </c>
      <c r="R947" s="7">
        <v>46235</v>
      </c>
      <c r="S947" s="7">
        <v>46235</v>
      </c>
      <c r="T947" t="s">
        <v>45</v>
      </c>
      <c r="V947" t="s">
        <v>1331</v>
      </c>
      <c r="W947" t="s">
        <v>45</v>
      </c>
      <c r="X947" t="s">
        <v>74</v>
      </c>
      <c r="Y947" t="s">
        <v>45</v>
      </c>
      <c r="Z947" t="s">
        <v>45</v>
      </c>
      <c r="AC947" t="s">
        <v>74</v>
      </c>
      <c r="AE947" s="7">
        <v>46243</v>
      </c>
      <c r="AF947">
        <v>2</v>
      </c>
      <c r="AH947" t="s">
        <v>75</v>
      </c>
      <c r="AI947">
        <v>1</v>
      </c>
      <c r="AJ947" s="15"/>
      <c r="AK947" t="s">
        <v>74</v>
      </c>
      <c r="AN947" t="s">
        <v>2748</v>
      </c>
      <c r="AO947" t="s">
        <v>45</v>
      </c>
      <c r="AP947">
        <v>4</v>
      </c>
      <c r="AQ947" t="s">
        <v>86</v>
      </c>
      <c r="AR947" s="18" t="str">
        <f>IFERROR(VLOOKUP(K947,[1]POP!$F:$J,1,0),M947)</f>
        <v>MOKOLO</v>
      </c>
      <c r="AS947" s="18" t="str">
        <f t="shared" si="71"/>
        <v>MINAWAO</v>
      </c>
      <c r="AT947" s="19">
        <f t="shared" si="74"/>
        <v>2</v>
      </c>
      <c r="AU947" s="19">
        <f t="shared" ca="1" si="73"/>
        <v>2</v>
      </c>
    </row>
    <row r="948" spans="1:47" x14ac:dyDescent="0.3">
      <c r="A948" t="s">
        <v>1338</v>
      </c>
      <c r="B948" t="str">
        <f t="shared" si="70"/>
        <v>S31_2026</v>
      </c>
      <c r="C948" t="str">
        <f t="shared" si="72"/>
        <v>S31_2026</v>
      </c>
      <c r="F948">
        <v>3</v>
      </c>
      <c r="G948" t="s">
        <v>40</v>
      </c>
      <c r="H948" t="s">
        <v>85</v>
      </c>
      <c r="I948" t="s">
        <v>1339</v>
      </c>
      <c r="J948" t="s">
        <v>1067</v>
      </c>
      <c r="K948" t="s">
        <v>1068</v>
      </c>
      <c r="L948" t="s">
        <v>1067</v>
      </c>
      <c r="M948" t="s">
        <v>1068</v>
      </c>
      <c r="N948" t="s">
        <v>45</v>
      </c>
      <c r="O948" t="s">
        <v>74</v>
      </c>
      <c r="P948">
        <v>2</v>
      </c>
      <c r="Q948" s="7">
        <v>46235</v>
      </c>
      <c r="R948" s="7">
        <v>46235</v>
      </c>
      <c r="S948" s="7">
        <v>46235</v>
      </c>
      <c r="T948" t="s">
        <v>45</v>
      </c>
      <c r="V948" t="s">
        <v>1331</v>
      </c>
      <c r="W948" t="s">
        <v>45</v>
      </c>
      <c r="X948" t="s">
        <v>74</v>
      </c>
      <c r="Y948" t="s">
        <v>45</v>
      </c>
      <c r="Z948" t="s">
        <v>45</v>
      </c>
      <c r="AC948" t="s">
        <v>74</v>
      </c>
      <c r="AE948" s="7">
        <v>46243</v>
      </c>
      <c r="AF948">
        <v>2</v>
      </c>
      <c r="AH948" t="s">
        <v>75</v>
      </c>
      <c r="AI948">
        <v>1</v>
      </c>
      <c r="AJ948" s="15"/>
      <c r="AK948" t="s">
        <v>74</v>
      </c>
      <c r="AN948" t="s">
        <v>2748</v>
      </c>
      <c r="AO948" t="s">
        <v>45</v>
      </c>
      <c r="AP948">
        <v>13</v>
      </c>
      <c r="AQ948" t="s">
        <v>86</v>
      </c>
      <c r="AR948" s="18" t="str">
        <f>IFERROR(VLOOKUP(K948,[1]POP!$F:$J,1,0),M948)</f>
        <v>MOKOLO</v>
      </c>
      <c r="AS948" s="18" t="str">
        <f t="shared" si="71"/>
        <v>MINAWAO</v>
      </c>
      <c r="AT948" s="19">
        <f t="shared" si="74"/>
        <v>2</v>
      </c>
      <c r="AU948" s="19">
        <f t="shared" ca="1" si="73"/>
        <v>2</v>
      </c>
    </row>
    <row r="949" spans="1:47" x14ac:dyDescent="0.3">
      <c r="A949" t="s">
        <v>1340</v>
      </c>
      <c r="B949" t="str">
        <f t="shared" si="70"/>
        <v>S31_2026</v>
      </c>
      <c r="C949" t="str">
        <f t="shared" si="72"/>
        <v>S31_2026</v>
      </c>
      <c r="F949">
        <v>65</v>
      </c>
      <c r="G949" t="s">
        <v>40</v>
      </c>
      <c r="H949" t="s">
        <v>77</v>
      </c>
      <c r="I949" t="s">
        <v>1341</v>
      </c>
      <c r="J949" t="s">
        <v>1067</v>
      </c>
      <c r="K949" t="s">
        <v>1068</v>
      </c>
      <c r="L949" t="s">
        <v>1067</v>
      </c>
      <c r="M949" t="s">
        <v>1068</v>
      </c>
      <c r="N949" t="s">
        <v>45</v>
      </c>
      <c r="O949" t="s">
        <v>74</v>
      </c>
      <c r="P949">
        <v>2</v>
      </c>
      <c r="Q949" s="7">
        <v>46235</v>
      </c>
      <c r="R949" s="7">
        <v>46235</v>
      </c>
      <c r="S949" s="7">
        <v>46235</v>
      </c>
      <c r="T949" t="s">
        <v>45</v>
      </c>
      <c r="V949" t="s">
        <v>1331</v>
      </c>
      <c r="W949" t="s">
        <v>45</v>
      </c>
      <c r="X949" t="s">
        <v>74</v>
      </c>
      <c r="Y949" t="s">
        <v>45</v>
      </c>
      <c r="Z949" t="s">
        <v>45</v>
      </c>
      <c r="AC949" t="s">
        <v>74</v>
      </c>
      <c r="AE949" s="7">
        <v>46238</v>
      </c>
      <c r="AF949">
        <v>2</v>
      </c>
      <c r="AH949" t="s">
        <v>75</v>
      </c>
      <c r="AI949">
        <v>1</v>
      </c>
      <c r="AJ949" s="15"/>
      <c r="AK949" t="s">
        <v>74</v>
      </c>
      <c r="AN949" t="s">
        <v>2748</v>
      </c>
      <c r="AO949" t="s">
        <v>45</v>
      </c>
      <c r="AP949">
        <v>4</v>
      </c>
      <c r="AQ949" t="s">
        <v>86</v>
      </c>
      <c r="AR949" s="18" t="str">
        <f>IFERROR(VLOOKUP(K949,[1]POP!$F:$J,1,0),M949)</f>
        <v>MOKOLO</v>
      </c>
      <c r="AS949" s="18" t="str">
        <f t="shared" si="71"/>
        <v>MINAWAO</v>
      </c>
      <c r="AT949" s="19">
        <f t="shared" si="74"/>
        <v>2</v>
      </c>
      <c r="AU949" s="19">
        <f t="shared" ca="1" si="73"/>
        <v>2</v>
      </c>
    </row>
    <row r="950" spans="1:47" x14ac:dyDescent="0.3">
      <c r="A950" t="s">
        <v>1342</v>
      </c>
      <c r="B950" t="str">
        <f t="shared" si="70"/>
        <v>S31_2026</v>
      </c>
      <c r="C950" t="str">
        <f t="shared" si="72"/>
        <v>S31_2026</v>
      </c>
      <c r="F950">
        <v>20</v>
      </c>
      <c r="G950" t="s">
        <v>40</v>
      </c>
      <c r="H950" t="s">
        <v>77</v>
      </c>
      <c r="I950" t="s">
        <v>1343</v>
      </c>
      <c r="J950" t="s">
        <v>1067</v>
      </c>
      <c r="K950" t="s">
        <v>1068</v>
      </c>
      <c r="L950" t="s">
        <v>1067</v>
      </c>
      <c r="M950" t="s">
        <v>1068</v>
      </c>
      <c r="N950" t="s">
        <v>45</v>
      </c>
      <c r="O950" t="s">
        <v>74</v>
      </c>
      <c r="P950">
        <v>2</v>
      </c>
      <c r="Q950" s="7">
        <v>46235</v>
      </c>
      <c r="R950" s="7">
        <v>46235</v>
      </c>
      <c r="S950" s="7">
        <v>46235</v>
      </c>
      <c r="T950" t="s">
        <v>45</v>
      </c>
      <c r="V950" t="s">
        <v>1331</v>
      </c>
      <c r="W950" t="s">
        <v>45</v>
      </c>
      <c r="X950" t="s">
        <v>74</v>
      </c>
      <c r="Y950" t="s">
        <v>45</v>
      </c>
      <c r="Z950" t="s">
        <v>45</v>
      </c>
      <c r="AC950" t="s">
        <v>74</v>
      </c>
      <c r="AE950" s="7">
        <v>46236</v>
      </c>
      <c r="AF950">
        <v>2</v>
      </c>
      <c r="AH950" t="s">
        <v>75</v>
      </c>
      <c r="AI950">
        <v>1</v>
      </c>
      <c r="AJ950" s="15"/>
      <c r="AK950" t="s">
        <v>74</v>
      </c>
      <c r="AN950" t="s">
        <v>2748</v>
      </c>
      <c r="AO950" t="s">
        <v>45</v>
      </c>
      <c r="AP950">
        <v>6</v>
      </c>
      <c r="AQ950" t="s">
        <v>86</v>
      </c>
      <c r="AR950" s="18" t="str">
        <f>IFERROR(VLOOKUP(K950,[1]POP!$F:$J,1,0),M950)</f>
        <v>MOKOLO</v>
      </c>
      <c r="AS950" s="18" t="str">
        <f t="shared" si="71"/>
        <v>MINAWAO</v>
      </c>
      <c r="AT950" s="19">
        <f t="shared" si="74"/>
        <v>2</v>
      </c>
      <c r="AU950" s="19">
        <f t="shared" ca="1" si="73"/>
        <v>2</v>
      </c>
    </row>
    <row r="951" spans="1:47" x14ac:dyDescent="0.3">
      <c r="A951" t="s">
        <v>1344</v>
      </c>
      <c r="B951" t="str">
        <f t="shared" si="70"/>
        <v>S31_2026</v>
      </c>
      <c r="C951" t="str">
        <f t="shared" si="72"/>
        <v>S31_2026</v>
      </c>
      <c r="F951">
        <v>18</v>
      </c>
      <c r="G951" t="s">
        <v>40</v>
      </c>
      <c r="H951" t="s">
        <v>77</v>
      </c>
      <c r="I951" t="s">
        <v>1345</v>
      </c>
      <c r="J951" t="s">
        <v>1067</v>
      </c>
      <c r="K951" t="s">
        <v>1068</v>
      </c>
      <c r="L951" t="s">
        <v>1067</v>
      </c>
      <c r="M951" t="s">
        <v>1068</v>
      </c>
      <c r="N951" t="s">
        <v>45</v>
      </c>
      <c r="O951" t="s">
        <v>74</v>
      </c>
      <c r="P951">
        <v>2</v>
      </c>
      <c r="Q951" s="7">
        <v>46235</v>
      </c>
      <c r="R951" s="7">
        <v>46235</v>
      </c>
      <c r="S951" s="7">
        <v>46235</v>
      </c>
      <c r="T951" t="s">
        <v>45</v>
      </c>
      <c r="V951" t="s">
        <v>1331</v>
      </c>
      <c r="W951" t="s">
        <v>45</v>
      </c>
      <c r="X951" t="s">
        <v>74</v>
      </c>
      <c r="Y951" t="s">
        <v>45</v>
      </c>
      <c r="Z951" t="s">
        <v>45</v>
      </c>
      <c r="AC951" t="s">
        <v>74</v>
      </c>
      <c r="AE951" s="7">
        <v>46236</v>
      </c>
      <c r="AF951">
        <v>2</v>
      </c>
      <c r="AH951" t="s">
        <v>75</v>
      </c>
      <c r="AI951">
        <v>1</v>
      </c>
      <c r="AJ951" s="15"/>
      <c r="AK951" t="s">
        <v>74</v>
      </c>
      <c r="AN951" t="s">
        <v>2748</v>
      </c>
      <c r="AO951" t="s">
        <v>45</v>
      </c>
      <c r="AP951">
        <v>4</v>
      </c>
      <c r="AQ951" t="s">
        <v>86</v>
      </c>
      <c r="AR951" s="18" t="str">
        <f>IFERROR(VLOOKUP(K951,[1]POP!$F:$J,1,0),M951)</f>
        <v>MOKOLO</v>
      </c>
      <c r="AS951" s="18" t="str">
        <f t="shared" si="71"/>
        <v>MINAWAO</v>
      </c>
      <c r="AT951" s="19">
        <f t="shared" si="74"/>
        <v>2</v>
      </c>
      <c r="AU951" s="19">
        <f t="shared" ca="1" si="73"/>
        <v>2</v>
      </c>
    </row>
    <row r="952" spans="1:47" x14ac:dyDescent="0.3">
      <c r="A952" t="s">
        <v>1346</v>
      </c>
      <c r="B952" t="str">
        <f t="shared" si="70"/>
        <v>S31_2026</v>
      </c>
      <c r="C952" t="str">
        <f t="shared" si="72"/>
        <v>S31_2026</v>
      </c>
      <c r="F952">
        <v>36</v>
      </c>
      <c r="G952" t="s">
        <v>55</v>
      </c>
      <c r="H952" t="s">
        <v>1117</v>
      </c>
      <c r="I952" t="s">
        <v>1347</v>
      </c>
      <c r="J952" t="s">
        <v>1067</v>
      </c>
      <c r="K952" t="s">
        <v>1068</v>
      </c>
      <c r="L952" t="s">
        <v>1067</v>
      </c>
      <c r="M952" t="s">
        <v>1068</v>
      </c>
      <c r="N952" t="s">
        <v>45</v>
      </c>
      <c r="O952" t="s">
        <v>74</v>
      </c>
      <c r="P952">
        <v>2</v>
      </c>
      <c r="Q952" s="7">
        <v>46235</v>
      </c>
      <c r="R952" s="7">
        <v>46235</v>
      </c>
      <c r="S952" s="7">
        <v>46235</v>
      </c>
      <c r="T952" t="s">
        <v>45</v>
      </c>
      <c r="V952" t="s">
        <v>1331</v>
      </c>
      <c r="W952" t="s">
        <v>45</v>
      </c>
      <c r="X952" t="s">
        <v>74</v>
      </c>
      <c r="Y952" t="s">
        <v>45</v>
      </c>
      <c r="Z952" t="s">
        <v>45</v>
      </c>
      <c r="AA952" s="7">
        <v>46235</v>
      </c>
      <c r="AC952" t="s">
        <v>45</v>
      </c>
      <c r="AD952" t="s">
        <v>48</v>
      </c>
      <c r="AE952" s="7">
        <v>46241</v>
      </c>
      <c r="AF952">
        <v>2</v>
      </c>
      <c r="AH952" t="s">
        <v>75</v>
      </c>
      <c r="AI952">
        <v>1</v>
      </c>
      <c r="AJ952" s="15"/>
      <c r="AK952" t="s">
        <v>74</v>
      </c>
      <c r="AN952" t="s">
        <v>2748</v>
      </c>
      <c r="AO952" t="s">
        <v>45</v>
      </c>
      <c r="AP952">
        <v>6</v>
      </c>
      <c r="AQ952" t="s">
        <v>86</v>
      </c>
      <c r="AR952" s="18" t="str">
        <f>IFERROR(VLOOKUP(K952,[1]POP!$F:$J,1,0),M952)</f>
        <v>MOKOLO</v>
      </c>
      <c r="AS952" s="18" t="str">
        <f t="shared" si="71"/>
        <v>MINAWAO</v>
      </c>
      <c r="AT952" s="19">
        <f t="shared" si="74"/>
        <v>2</v>
      </c>
      <c r="AU952" s="19">
        <f t="shared" ca="1" si="73"/>
        <v>2</v>
      </c>
    </row>
    <row r="953" spans="1:47" x14ac:dyDescent="0.3">
      <c r="A953" t="s">
        <v>1348</v>
      </c>
      <c r="B953" t="str">
        <f t="shared" si="70"/>
        <v>S31_2026</v>
      </c>
      <c r="C953" t="str">
        <f t="shared" si="72"/>
        <v>S31_2026</v>
      </c>
      <c r="F953">
        <v>25</v>
      </c>
      <c r="G953" t="s">
        <v>40</v>
      </c>
      <c r="H953" t="s">
        <v>77</v>
      </c>
      <c r="I953" t="s">
        <v>1138</v>
      </c>
      <c r="J953" t="s">
        <v>1067</v>
      </c>
      <c r="K953" t="s">
        <v>1068</v>
      </c>
      <c r="L953" t="s">
        <v>1067</v>
      </c>
      <c r="M953" t="s">
        <v>1068</v>
      </c>
      <c r="N953" t="s">
        <v>45</v>
      </c>
      <c r="O953" t="s">
        <v>74</v>
      </c>
      <c r="P953">
        <v>2</v>
      </c>
      <c r="Q953" s="7">
        <v>46235</v>
      </c>
      <c r="R953" s="7">
        <v>46235</v>
      </c>
      <c r="S953" s="7">
        <v>46235</v>
      </c>
      <c r="T953" t="s">
        <v>45</v>
      </c>
      <c r="V953" t="s">
        <v>1331</v>
      </c>
      <c r="W953" t="s">
        <v>45</v>
      </c>
      <c r="X953" t="s">
        <v>74</v>
      </c>
      <c r="Y953" t="s">
        <v>45</v>
      </c>
      <c r="Z953" t="s">
        <v>45</v>
      </c>
      <c r="AC953" t="s">
        <v>74</v>
      </c>
      <c r="AE953" s="7">
        <v>46237</v>
      </c>
      <c r="AF953">
        <v>2</v>
      </c>
      <c r="AH953" t="s">
        <v>75</v>
      </c>
      <c r="AI953">
        <v>1</v>
      </c>
      <c r="AJ953" s="15"/>
      <c r="AK953" t="s">
        <v>74</v>
      </c>
      <c r="AN953" t="s">
        <v>2748</v>
      </c>
      <c r="AO953" t="s">
        <v>45</v>
      </c>
      <c r="AP953">
        <v>4</v>
      </c>
      <c r="AQ953" t="s">
        <v>86</v>
      </c>
      <c r="AR953" s="18" t="str">
        <f>IFERROR(VLOOKUP(K953,[1]POP!$F:$J,1,0),M953)</f>
        <v>MOKOLO</v>
      </c>
      <c r="AS953" s="18" t="str">
        <f t="shared" si="71"/>
        <v>MINAWAO</v>
      </c>
      <c r="AT953" s="19">
        <f t="shared" si="74"/>
        <v>2</v>
      </c>
      <c r="AU953" s="19">
        <f t="shared" ca="1" si="73"/>
        <v>2</v>
      </c>
    </row>
    <row r="954" spans="1:47" x14ac:dyDescent="0.3">
      <c r="A954" t="s">
        <v>1349</v>
      </c>
      <c r="B954" t="str">
        <f t="shared" si="70"/>
        <v>S31_2026</v>
      </c>
      <c r="C954" t="str">
        <f t="shared" si="72"/>
        <v>S31_2026</v>
      </c>
      <c r="F954">
        <v>5</v>
      </c>
      <c r="G954" t="s">
        <v>55</v>
      </c>
      <c r="H954" t="s">
        <v>85</v>
      </c>
      <c r="I954" t="s">
        <v>1350</v>
      </c>
      <c r="J954" t="s">
        <v>1067</v>
      </c>
      <c r="K954" t="s">
        <v>1068</v>
      </c>
      <c r="L954" t="s">
        <v>1067</v>
      </c>
      <c r="M954" t="s">
        <v>1068</v>
      </c>
      <c r="N954" t="s">
        <v>45</v>
      </c>
      <c r="O954" t="s">
        <v>74</v>
      </c>
      <c r="P954">
        <v>2</v>
      </c>
      <c r="Q954" s="7">
        <v>46235</v>
      </c>
      <c r="R954" s="7">
        <v>46235</v>
      </c>
      <c r="S954" s="7">
        <v>46235</v>
      </c>
      <c r="T954" t="s">
        <v>45</v>
      </c>
      <c r="V954" t="s">
        <v>1331</v>
      </c>
      <c r="W954" t="s">
        <v>45</v>
      </c>
      <c r="X954" t="s">
        <v>74</v>
      </c>
      <c r="Y954" t="s">
        <v>45</v>
      </c>
      <c r="Z954" t="s">
        <v>45</v>
      </c>
      <c r="AC954" t="s">
        <v>74</v>
      </c>
      <c r="AE954" s="7">
        <v>46237</v>
      </c>
      <c r="AF954">
        <v>2</v>
      </c>
      <c r="AH954" t="s">
        <v>75</v>
      </c>
      <c r="AI954">
        <v>1</v>
      </c>
      <c r="AJ954" s="15"/>
      <c r="AK954" t="s">
        <v>74</v>
      </c>
      <c r="AN954" t="s">
        <v>2748</v>
      </c>
      <c r="AO954" t="s">
        <v>45</v>
      </c>
      <c r="AP954">
        <v>3</v>
      </c>
      <c r="AQ954" t="s">
        <v>86</v>
      </c>
      <c r="AR954" s="18" t="str">
        <f>IFERROR(VLOOKUP(K954,[1]POP!$F:$J,1,0),M954)</f>
        <v>MOKOLO</v>
      </c>
      <c r="AS954" s="18" t="str">
        <f t="shared" si="71"/>
        <v>MINAWAO</v>
      </c>
      <c r="AT954" s="19">
        <f t="shared" si="74"/>
        <v>2</v>
      </c>
      <c r="AU954" s="19">
        <f t="shared" ca="1" si="73"/>
        <v>2</v>
      </c>
    </row>
    <row r="955" spans="1:47" x14ac:dyDescent="0.3">
      <c r="A955" t="s">
        <v>1351</v>
      </c>
      <c r="B955" t="str">
        <f t="shared" si="70"/>
        <v>S31_2026</v>
      </c>
      <c r="C955" t="str">
        <f t="shared" si="72"/>
        <v>S31_2026</v>
      </c>
      <c r="F955">
        <v>9</v>
      </c>
      <c r="G955" t="s">
        <v>40</v>
      </c>
      <c r="H955" t="s">
        <v>85</v>
      </c>
      <c r="I955" t="s">
        <v>1352</v>
      </c>
      <c r="J955" t="s">
        <v>1067</v>
      </c>
      <c r="K955" t="s">
        <v>1068</v>
      </c>
      <c r="L955" t="s">
        <v>1067</v>
      </c>
      <c r="M955" t="s">
        <v>1068</v>
      </c>
      <c r="N955" t="s">
        <v>45</v>
      </c>
      <c r="O955" t="s">
        <v>74</v>
      </c>
      <c r="P955">
        <v>2</v>
      </c>
      <c r="Q955" s="7">
        <v>46236</v>
      </c>
      <c r="R955" s="7">
        <v>46236</v>
      </c>
      <c r="S955" s="7">
        <v>46236</v>
      </c>
      <c r="T955" t="s">
        <v>45</v>
      </c>
      <c r="V955" t="s">
        <v>1331</v>
      </c>
      <c r="W955" t="s">
        <v>45</v>
      </c>
      <c r="X955" t="s">
        <v>74</v>
      </c>
      <c r="Y955" t="s">
        <v>74</v>
      </c>
      <c r="Z955" t="s">
        <v>45</v>
      </c>
      <c r="AC955" t="s">
        <v>74</v>
      </c>
      <c r="AE955" s="7">
        <v>46239</v>
      </c>
      <c r="AF955">
        <v>2</v>
      </c>
      <c r="AH955" t="s">
        <v>75</v>
      </c>
      <c r="AI955">
        <v>1</v>
      </c>
      <c r="AJ955" s="15"/>
      <c r="AK955" t="s">
        <v>74</v>
      </c>
      <c r="AN955" t="s">
        <v>2748</v>
      </c>
      <c r="AO955" t="s">
        <v>45</v>
      </c>
      <c r="AP955">
        <v>7</v>
      </c>
      <c r="AQ955" t="s">
        <v>86</v>
      </c>
      <c r="AR955" s="18" t="str">
        <f>IFERROR(VLOOKUP(K955,[1]POP!$F:$J,1,0),M955)</f>
        <v>MOKOLO</v>
      </c>
      <c r="AS955" s="18" t="str">
        <f t="shared" si="71"/>
        <v>MINAWAO</v>
      </c>
      <c r="AT955" s="19">
        <f t="shared" si="74"/>
        <v>2</v>
      </c>
      <c r="AU955" s="19">
        <f t="shared" ca="1" si="73"/>
        <v>2</v>
      </c>
    </row>
    <row r="956" spans="1:47" x14ac:dyDescent="0.3">
      <c r="A956" t="s">
        <v>1353</v>
      </c>
      <c r="B956" t="str">
        <f t="shared" si="70"/>
        <v>S30_2026</v>
      </c>
      <c r="C956" t="str">
        <f t="shared" si="72"/>
        <v>S30_2026</v>
      </c>
      <c r="F956">
        <v>7</v>
      </c>
      <c r="G956" t="s">
        <v>55</v>
      </c>
      <c r="H956" t="s">
        <v>56</v>
      </c>
      <c r="I956" t="s">
        <v>1354</v>
      </c>
      <c r="J956" t="s">
        <v>1355</v>
      </c>
      <c r="K956" t="s">
        <v>746</v>
      </c>
      <c r="L956" t="s">
        <v>1355</v>
      </c>
      <c r="M956" t="s">
        <v>746</v>
      </c>
      <c r="N956" t="s">
        <v>45</v>
      </c>
      <c r="O956" t="s">
        <v>45</v>
      </c>
      <c r="P956">
        <v>2</v>
      </c>
      <c r="Q956" s="7">
        <v>46227</v>
      </c>
      <c r="R956" s="7">
        <v>46228</v>
      </c>
      <c r="S956" s="7">
        <v>46228</v>
      </c>
      <c r="T956" t="s">
        <v>74</v>
      </c>
      <c r="V956" t="s">
        <v>1356</v>
      </c>
      <c r="W956" t="s">
        <v>45</v>
      </c>
      <c r="X956" t="s">
        <v>45</v>
      </c>
      <c r="Y956" t="s">
        <v>74</v>
      </c>
      <c r="AF956">
        <v>3</v>
      </c>
      <c r="AH956" t="s">
        <v>75</v>
      </c>
      <c r="AI956">
        <v>2</v>
      </c>
      <c r="AJ956" s="15"/>
      <c r="AN956" t="s">
        <v>2748</v>
      </c>
      <c r="AO956" t="s">
        <v>45</v>
      </c>
      <c r="AP956">
        <v>5</v>
      </c>
      <c r="AQ956" t="s">
        <v>86</v>
      </c>
      <c r="AR956" s="18" t="str">
        <f>IFERROR(VLOOKUP(K956,[1]POP!$F:$J,1,0),M956)</f>
        <v>MORA</v>
      </c>
      <c r="AS956" s="18" t="str">
        <f t="shared" si="71"/>
        <v>AISSA HARDE</v>
      </c>
      <c r="AT956" s="19">
        <f t="shared" si="74"/>
        <v>3</v>
      </c>
      <c r="AU956" s="19">
        <f t="shared" ca="1" si="73"/>
        <v>2</v>
      </c>
    </row>
    <row r="957" spans="1:47" x14ac:dyDescent="0.3">
      <c r="A957" t="s">
        <v>1357</v>
      </c>
      <c r="B957" t="str">
        <f t="shared" si="70"/>
        <v>S30_2026</v>
      </c>
      <c r="C957" t="str">
        <f t="shared" si="72"/>
        <v>S30_2026</v>
      </c>
      <c r="F957">
        <v>5</v>
      </c>
      <c r="G957" t="s">
        <v>40</v>
      </c>
      <c r="H957" t="s">
        <v>85</v>
      </c>
      <c r="I957" t="s">
        <v>1354</v>
      </c>
      <c r="J957" t="s">
        <v>1355</v>
      </c>
      <c r="K957" t="s">
        <v>746</v>
      </c>
      <c r="L957" t="s">
        <v>1355</v>
      </c>
      <c r="M957" t="s">
        <v>746</v>
      </c>
      <c r="N957" t="s">
        <v>45</v>
      </c>
      <c r="O957" t="s">
        <v>45</v>
      </c>
      <c r="P957">
        <v>2</v>
      </c>
      <c r="Q957" s="7">
        <v>46227</v>
      </c>
      <c r="R957" s="7">
        <v>46228</v>
      </c>
      <c r="S957" s="7">
        <v>46228</v>
      </c>
      <c r="T957" t="s">
        <v>74</v>
      </c>
      <c r="V957" t="s">
        <v>1356</v>
      </c>
      <c r="W957" t="s">
        <v>45</v>
      </c>
      <c r="X957" t="s">
        <v>45</v>
      </c>
      <c r="Y957" t="s">
        <v>74</v>
      </c>
      <c r="AE957" s="7">
        <v>46230</v>
      </c>
      <c r="AF957">
        <v>2</v>
      </c>
      <c r="AH957" t="s">
        <v>75</v>
      </c>
      <c r="AI957">
        <v>1</v>
      </c>
      <c r="AJ957" s="15"/>
      <c r="AK957" t="s">
        <v>74</v>
      </c>
      <c r="AN957" t="s">
        <v>2748</v>
      </c>
      <c r="AO957" t="s">
        <v>45</v>
      </c>
      <c r="AP957">
        <v>4</v>
      </c>
      <c r="AQ957" t="s">
        <v>86</v>
      </c>
      <c r="AR957" s="18" t="str">
        <f>IFERROR(VLOOKUP(K957,[1]POP!$F:$J,1,0),M957)</f>
        <v>MORA</v>
      </c>
      <c r="AS957" s="18" t="str">
        <f t="shared" si="71"/>
        <v>AISSA HARDE</v>
      </c>
      <c r="AT957" s="19">
        <f t="shared" si="74"/>
        <v>2</v>
      </c>
      <c r="AU957" s="19">
        <f t="shared" ca="1" si="73"/>
        <v>2</v>
      </c>
    </row>
    <row r="958" spans="1:47" x14ac:dyDescent="0.3">
      <c r="A958" t="s">
        <v>1358</v>
      </c>
      <c r="B958" t="str">
        <f t="shared" si="70"/>
        <v>S30_2026</v>
      </c>
      <c r="C958" t="str">
        <f t="shared" si="72"/>
        <v>S30_2026</v>
      </c>
      <c r="F958">
        <v>23</v>
      </c>
      <c r="G958" t="s">
        <v>55</v>
      </c>
      <c r="H958" t="s">
        <v>56</v>
      </c>
      <c r="I958" t="s">
        <v>1354</v>
      </c>
      <c r="J958" t="s">
        <v>1355</v>
      </c>
      <c r="K958" t="s">
        <v>746</v>
      </c>
      <c r="L958" t="s">
        <v>1355</v>
      </c>
      <c r="M958" t="s">
        <v>746</v>
      </c>
      <c r="N958" t="s">
        <v>45</v>
      </c>
      <c r="O958" t="s">
        <v>45</v>
      </c>
      <c r="P958">
        <v>1</v>
      </c>
      <c r="Q958" s="7">
        <v>46227</v>
      </c>
      <c r="R958" s="7">
        <v>46228</v>
      </c>
      <c r="S958" s="7">
        <v>46228</v>
      </c>
      <c r="T958" t="s">
        <v>74</v>
      </c>
      <c r="V958" t="s">
        <v>1356</v>
      </c>
      <c r="W958" t="s">
        <v>45</v>
      </c>
      <c r="X958" t="s">
        <v>45</v>
      </c>
      <c r="Y958" t="s">
        <v>45</v>
      </c>
      <c r="AA958" s="7">
        <v>46228</v>
      </c>
      <c r="AB958" t="s">
        <v>48</v>
      </c>
      <c r="AC958" t="s">
        <v>74</v>
      </c>
      <c r="AE958" s="7">
        <v>46230</v>
      </c>
      <c r="AF958">
        <v>2</v>
      </c>
      <c r="AH958" t="s">
        <v>75</v>
      </c>
      <c r="AI958">
        <v>1</v>
      </c>
      <c r="AJ958" s="15"/>
      <c r="AK958" t="s">
        <v>74</v>
      </c>
      <c r="AN958" t="s">
        <v>2748</v>
      </c>
      <c r="AO958" t="s">
        <v>45</v>
      </c>
      <c r="AP958">
        <v>2</v>
      </c>
      <c r="AQ958" t="s">
        <v>86</v>
      </c>
      <c r="AR958" s="18" t="str">
        <f>IFERROR(VLOOKUP(K958,[1]POP!$F:$J,1,0),M958)</f>
        <v>MORA</v>
      </c>
      <c r="AS958" s="18" t="str">
        <f t="shared" si="71"/>
        <v>AISSA HARDE</v>
      </c>
      <c r="AT958" s="19">
        <f t="shared" si="74"/>
        <v>2</v>
      </c>
      <c r="AU958" s="19">
        <f t="shared" ca="1" si="73"/>
        <v>2</v>
      </c>
    </row>
    <row r="959" spans="1:47" x14ac:dyDescent="0.3">
      <c r="A959" t="s">
        <v>1359</v>
      </c>
      <c r="B959" t="str">
        <f t="shared" si="70"/>
        <v>S30_2026</v>
      </c>
      <c r="C959" t="str">
        <f t="shared" si="72"/>
        <v>S30_2026</v>
      </c>
      <c r="F959">
        <v>50</v>
      </c>
      <c r="G959" t="s">
        <v>40</v>
      </c>
      <c r="H959" t="s">
        <v>1360</v>
      </c>
      <c r="I959" t="s">
        <v>1354</v>
      </c>
      <c r="J959" t="s">
        <v>1355</v>
      </c>
      <c r="K959" t="s">
        <v>746</v>
      </c>
      <c r="L959" t="s">
        <v>1355</v>
      </c>
      <c r="M959" t="s">
        <v>746</v>
      </c>
      <c r="N959" t="s">
        <v>45</v>
      </c>
      <c r="O959" t="s">
        <v>45</v>
      </c>
      <c r="P959">
        <v>1</v>
      </c>
      <c r="Q959" s="7">
        <v>46227</v>
      </c>
      <c r="R959" s="7">
        <v>46228</v>
      </c>
      <c r="S959" s="7">
        <v>46228</v>
      </c>
      <c r="T959" t="s">
        <v>45</v>
      </c>
      <c r="V959" t="s">
        <v>852</v>
      </c>
      <c r="W959" t="s">
        <v>45</v>
      </c>
      <c r="X959" t="s">
        <v>45</v>
      </c>
      <c r="Y959" t="s">
        <v>45</v>
      </c>
      <c r="AA959" s="7">
        <v>46228</v>
      </c>
      <c r="AB959" t="s">
        <v>48</v>
      </c>
      <c r="AC959" t="s">
        <v>74</v>
      </c>
      <c r="AE959" s="7">
        <v>46233</v>
      </c>
      <c r="AF959">
        <v>2</v>
      </c>
      <c r="AH959" t="s">
        <v>75</v>
      </c>
      <c r="AI959">
        <v>1</v>
      </c>
      <c r="AJ959" s="15"/>
      <c r="AK959" t="s">
        <v>74</v>
      </c>
      <c r="AN959" t="s">
        <v>2748</v>
      </c>
      <c r="AO959" t="s">
        <v>45</v>
      </c>
      <c r="AP959">
        <v>5</v>
      </c>
      <c r="AQ959" t="s">
        <v>86</v>
      </c>
      <c r="AR959" s="18" t="str">
        <f>IFERROR(VLOOKUP(K959,[1]POP!$F:$J,1,0),M959)</f>
        <v>MORA</v>
      </c>
      <c r="AS959" s="18" t="str">
        <f t="shared" si="71"/>
        <v>AISSA HARDE</v>
      </c>
      <c r="AT959" s="19">
        <f t="shared" si="74"/>
        <v>2</v>
      </c>
      <c r="AU959" s="19">
        <f t="shared" ca="1" si="73"/>
        <v>2</v>
      </c>
    </row>
    <row r="960" spans="1:47" x14ac:dyDescent="0.3">
      <c r="A960" t="s">
        <v>1361</v>
      </c>
      <c r="B960" t="str">
        <f t="shared" si="70"/>
        <v>S30_2026</v>
      </c>
      <c r="C960" t="str">
        <f t="shared" si="72"/>
        <v>S30_2026</v>
      </c>
      <c r="F960">
        <v>8</v>
      </c>
      <c r="G960" t="s">
        <v>55</v>
      </c>
      <c r="H960" t="s">
        <v>56</v>
      </c>
      <c r="I960" t="s">
        <v>1354</v>
      </c>
      <c r="J960" t="s">
        <v>1355</v>
      </c>
      <c r="K960" t="s">
        <v>746</v>
      </c>
      <c r="L960" t="s">
        <v>1355</v>
      </c>
      <c r="M960" t="s">
        <v>746</v>
      </c>
      <c r="N960" t="s">
        <v>45</v>
      </c>
      <c r="O960" t="s">
        <v>45</v>
      </c>
      <c r="P960">
        <v>2</v>
      </c>
      <c r="Q960" s="7">
        <v>46227</v>
      </c>
      <c r="R960" s="7">
        <v>46228</v>
      </c>
      <c r="S960" s="7">
        <v>46228</v>
      </c>
      <c r="T960" t="s">
        <v>74</v>
      </c>
      <c r="V960" t="s">
        <v>1356</v>
      </c>
      <c r="W960" t="s">
        <v>45</v>
      </c>
      <c r="X960" t="s">
        <v>45</v>
      </c>
      <c r="Y960" t="s">
        <v>74</v>
      </c>
      <c r="AA960" s="7">
        <v>46228</v>
      </c>
      <c r="AB960" t="s">
        <v>62</v>
      </c>
      <c r="AC960" t="s">
        <v>74</v>
      </c>
      <c r="AE960" s="7">
        <v>46231</v>
      </c>
      <c r="AF960">
        <v>2</v>
      </c>
      <c r="AH960" t="s">
        <v>75</v>
      </c>
      <c r="AI960">
        <v>1</v>
      </c>
      <c r="AJ960" s="15"/>
      <c r="AK960" t="s">
        <v>74</v>
      </c>
      <c r="AN960" t="s">
        <v>2748</v>
      </c>
      <c r="AO960" t="s">
        <v>45</v>
      </c>
      <c r="AP960">
        <v>7</v>
      </c>
      <c r="AQ960" t="s">
        <v>86</v>
      </c>
      <c r="AR960" s="18" t="str">
        <f>IFERROR(VLOOKUP(K960,[1]POP!$F:$J,1,0),M960)</f>
        <v>MORA</v>
      </c>
      <c r="AS960" s="18" t="str">
        <f t="shared" si="71"/>
        <v>AISSA HARDE</v>
      </c>
      <c r="AT960" s="19">
        <f t="shared" si="74"/>
        <v>2</v>
      </c>
      <c r="AU960" s="19">
        <f t="shared" ca="1" si="73"/>
        <v>2</v>
      </c>
    </row>
    <row r="961" spans="1:47" x14ac:dyDescent="0.3">
      <c r="A961" t="s">
        <v>1362</v>
      </c>
      <c r="B961" t="str">
        <f t="shared" si="70"/>
        <v>S30_2026</v>
      </c>
      <c r="C961" t="str">
        <f t="shared" si="72"/>
        <v>S30_2026</v>
      </c>
      <c r="F961">
        <v>4</v>
      </c>
      <c r="G961" t="s">
        <v>55</v>
      </c>
      <c r="H961" t="s">
        <v>85</v>
      </c>
      <c r="I961" t="s">
        <v>1354</v>
      </c>
      <c r="J961" t="s">
        <v>1355</v>
      </c>
      <c r="K961" t="s">
        <v>746</v>
      </c>
      <c r="L961" t="s">
        <v>1355</v>
      </c>
      <c r="M961" t="s">
        <v>746</v>
      </c>
      <c r="N961" t="s">
        <v>45</v>
      </c>
      <c r="O961" t="s">
        <v>45</v>
      </c>
      <c r="P961">
        <v>2</v>
      </c>
      <c r="Q961" s="7">
        <v>46227</v>
      </c>
      <c r="R961" s="7">
        <v>46228</v>
      </c>
      <c r="S961" s="7">
        <v>46228</v>
      </c>
      <c r="T961" t="s">
        <v>74</v>
      </c>
      <c r="V961" t="s">
        <v>1356</v>
      </c>
      <c r="W961" t="s">
        <v>45</v>
      </c>
      <c r="X961" t="s">
        <v>45</v>
      </c>
      <c r="Y961" t="s">
        <v>74</v>
      </c>
      <c r="AA961" s="7">
        <v>46228</v>
      </c>
      <c r="AB961" t="s">
        <v>62</v>
      </c>
      <c r="AC961" t="s">
        <v>74</v>
      </c>
      <c r="AE961" s="7">
        <v>46231</v>
      </c>
      <c r="AF961">
        <v>2</v>
      </c>
      <c r="AH961" t="s">
        <v>75</v>
      </c>
      <c r="AI961">
        <v>1</v>
      </c>
      <c r="AJ961" s="15"/>
      <c r="AK961" t="s">
        <v>74</v>
      </c>
      <c r="AN961" t="s">
        <v>2748</v>
      </c>
      <c r="AO961" t="s">
        <v>45</v>
      </c>
      <c r="AP961">
        <v>4</v>
      </c>
      <c r="AQ961" t="s">
        <v>86</v>
      </c>
      <c r="AR961" s="18" t="str">
        <f>IFERROR(VLOOKUP(K961,[1]POP!$F:$J,1,0),M961)</f>
        <v>MORA</v>
      </c>
      <c r="AS961" s="18" t="str">
        <f t="shared" si="71"/>
        <v>AISSA HARDE</v>
      </c>
      <c r="AT961" s="19">
        <f t="shared" si="74"/>
        <v>2</v>
      </c>
      <c r="AU961" s="19">
        <f t="shared" ca="1" si="73"/>
        <v>2</v>
      </c>
    </row>
    <row r="962" spans="1:47" x14ac:dyDescent="0.3">
      <c r="A962" t="s">
        <v>1363</v>
      </c>
      <c r="B962" t="str">
        <f t="shared" ref="B962:B1025" si="75">"S"&amp;(IF(_xlfn.ISOWEEKNUM(S962)&gt;9,_xlfn.ISOWEEKNUM(S962),_xlfn.CONCAT("0",_xlfn.ISOWEEKNUM(S962))))&amp;"_"&amp;(YEAR(S962+26-(_xlfn.ISOWEEKNUM(S962))))</f>
        <v>S30_2026</v>
      </c>
      <c r="C962" t="str">
        <f t="shared" si="72"/>
        <v>S30_2026</v>
      </c>
      <c r="F962">
        <v>23</v>
      </c>
      <c r="G962" t="s">
        <v>55</v>
      </c>
      <c r="H962" t="s">
        <v>56</v>
      </c>
      <c r="I962" t="s">
        <v>1354</v>
      </c>
      <c r="J962" t="s">
        <v>1355</v>
      </c>
      <c r="K962" t="s">
        <v>746</v>
      </c>
      <c r="L962" t="s">
        <v>1355</v>
      </c>
      <c r="M962" t="s">
        <v>746</v>
      </c>
      <c r="N962" t="s">
        <v>45</v>
      </c>
      <c r="O962" t="s">
        <v>45</v>
      </c>
      <c r="P962">
        <v>2</v>
      </c>
      <c r="Q962" s="7">
        <v>46227</v>
      </c>
      <c r="R962" s="7">
        <v>46228</v>
      </c>
      <c r="S962" s="7">
        <v>46228</v>
      </c>
      <c r="T962" t="s">
        <v>74</v>
      </c>
      <c r="V962" t="s">
        <v>1356</v>
      </c>
      <c r="W962" t="s">
        <v>45</v>
      </c>
      <c r="X962" t="s">
        <v>45</v>
      </c>
      <c r="Y962" t="s">
        <v>74</v>
      </c>
      <c r="AE962" s="7">
        <v>46230</v>
      </c>
      <c r="AF962">
        <v>2</v>
      </c>
      <c r="AH962" t="s">
        <v>75</v>
      </c>
      <c r="AI962">
        <v>1</v>
      </c>
      <c r="AJ962" s="15"/>
      <c r="AK962" t="s">
        <v>74</v>
      </c>
      <c r="AN962" t="s">
        <v>2748</v>
      </c>
      <c r="AO962" t="s">
        <v>45</v>
      </c>
      <c r="AP962">
        <v>6</v>
      </c>
      <c r="AQ962" t="s">
        <v>86</v>
      </c>
      <c r="AR962" s="18" t="str">
        <f>IFERROR(VLOOKUP(K962,[1]POP!$F:$J,1,0),M962)</f>
        <v>MORA</v>
      </c>
      <c r="AS962" s="18" t="str">
        <f t="shared" ref="AS962:AS1025" si="76">IF(AR962=K962,J962,L962)</f>
        <v>AISSA HARDE</v>
      </c>
      <c r="AT962" s="19">
        <f t="shared" si="74"/>
        <v>2</v>
      </c>
      <c r="AU962" s="19">
        <f t="shared" ca="1" si="73"/>
        <v>2</v>
      </c>
    </row>
    <row r="963" spans="1:47" x14ac:dyDescent="0.3">
      <c r="A963" t="s">
        <v>1364</v>
      </c>
      <c r="B963" t="str">
        <f t="shared" si="75"/>
        <v>S30_2026</v>
      </c>
      <c r="C963" t="str">
        <f t="shared" ref="C963:C1026" si="77">"S"&amp;(IF(_xlfn.ISOWEEKNUM(Q963)&gt;9,_xlfn.ISOWEEKNUM(Q963),_xlfn.CONCAT("0",_xlfn.ISOWEEKNUM(Q963))))&amp;"_"&amp;(YEAR(Q963+26-(_xlfn.ISOWEEKNUM(Q963))))</f>
        <v>S30_2026</v>
      </c>
      <c r="F963">
        <v>26</v>
      </c>
      <c r="G963" t="s">
        <v>55</v>
      </c>
      <c r="H963" t="s">
        <v>70</v>
      </c>
      <c r="I963" t="s">
        <v>1354</v>
      </c>
      <c r="J963" t="s">
        <v>1355</v>
      </c>
      <c r="K963" t="s">
        <v>746</v>
      </c>
      <c r="L963" t="s">
        <v>1355</v>
      </c>
      <c r="M963" t="s">
        <v>746</v>
      </c>
      <c r="N963" t="s">
        <v>45</v>
      </c>
      <c r="O963" t="s">
        <v>45</v>
      </c>
      <c r="P963">
        <v>2</v>
      </c>
      <c r="Q963" s="7">
        <v>46227</v>
      </c>
      <c r="R963" s="7">
        <v>46228</v>
      </c>
      <c r="S963" s="7">
        <v>46228</v>
      </c>
      <c r="T963" t="s">
        <v>74</v>
      </c>
      <c r="V963" t="s">
        <v>1356</v>
      </c>
      <c r="W963" t="s">
        <v>45</v>
      </c>
      <c r="X963" t="s">
        <v>45</v>
      </c>
      <c r="Y963" t="s">
        <v>74</v>
      </c>
      <c r="AE963" s="7">
        <v>46230</v>
      </c>
      <c r="AF963">
        <v>2</v>
      </c>
      <c r="AH963" t="s">
        <v>75</v>
      </c>
      <c r="AI963">
        <v>1</v>
      </c>
      <c r="AJ963" s="15"/>
      <c r="AK963" t="s">
        <v>74</v>
      </c>
      <c r="AN963"/>
      <c r="AO963" t="s">
        <v>86</v>
      </c>
      <c r="AP963"/>
      <c r="AQ963" t="s">
        <v>74</v>
      </c>
      <c r="AR963" s="18" t="str">
        <f>IFERROR(VLOOKUP(K963,[1]POP!$F:$J,1,0),M963)</f>
        <v>MORA</v>
      </c>
      <c r="AS963" s="18" t="str">
        <f t="shared" si="76"/>
        <v>AISSA HARDE</v>
      </c>
      <c r="AT963" s="19">
        <f t="shared" si="74"/>
        <v>2</v>
      </c>
      <c r="AU963" s="19">
        <f t="shared" ref="AU963:AU1026" ca="1" si="78">IF((TODAY() - R963)&lt;=21,1,2)</f>
        <v>2</v>
      </c>
    </row>
    <row r="964" spans="1:47" x14ac:dyDescent="0.3">
      <c r="A964" t="s">
        <v>1365</v>
      </c>
      <c r="B964" t="str">
        <f t="shared" si="75"/>
        <v>S30_2026</v>
      </c>
      <c r="C964" t="str">
        <f t="shared" si="77"/>
        <v>S30_2026</v>
      </c>
      <c r="F964">
        <v>28</v>
      </c>
      <c r="G964" t="s">
        <v>40</v>
      </c>
      <c r="H964" t="s">
        <v>70</v>
      </c>
      <c r="I964" t="s">
        <v>1354</v>
      </c>
      <c r="J964" t="s">
        <v>1355</v>
      </c>
      <c r="K964" t="s">
        <v>746</v>
      </c>
      <c r="L964" t="s">
        <v>1355</v>
      </c>
      <c r="M964" t="s">
        <v>746</v>
      </c>
      <c r="N964" t="s">
        <v>45</v>
      </c>
      <c r="O964" t="s">
        <v>45</v>
      </c>
      <c r="P964">
        <v>2</v>
      </c>
      <c r="Q964" s="7">
        <v>46227</v>
      </c>
      <c r="R964" s="7">
        <v>46228</v>
      </c>
      <c r="S964" s="7">
        <v>46228</v>
      </c>
      <c r="T964" t="s">
        <v>74</v>
      </c>
      <c r="V964" t="s">
        <v>1356</v>
      </c>
      <c r="W964" t="s">
        <v>45</v>
      </c>
      <c r="X964" t="s">
        <v>45</v>
      </c>
      <c r="Y964" t="s">
        <v>74</v>
      </c>
      <c r="AE964" s="7">
        <v>46230</v>
      </c>
      <c r="AF964">
        <v>2</v>
      </c>
      <c r="AH964" t="s">
        <v>75</v>
      </c>
      <c r="AI964">
        <v>1</v>
      </c>
      <c r="AJ964" s="15"/>
      <c r="AK964" t="s">
        <v>74</v>
      </c>
      <c r="AN964"/>
      <c r="AO964" t="s">
        <v>86</v>
      </c>
      <c r="AP964"/>
      <c r="AQ964" t="s">
        <v>74</v>
      </c>
      <c r="AR964" s="18" t="str">
        <f>IFERROR(VLOOKUP(K964,[1]POP!$F:$J,1,0),M964)</f>
        <v>MORA</v>
      </c>
      <c r="AS964" s="18" t="str">
        <f t="shared" si="76"/>
        <v>AISSA HARDE</v>
      </c>
      <c r="AT964" s="19">
        <f t="shared" ref="AT964:AT1027" si="79">IF($AI:$AI=2,3,IF($AI:$AI=3,3,IF($AI:$AI=4,3,IF($AI:$AI=1,2,0))))</f>
        <v>2</v>
      </c>
      <c r="AU964" s="19">
        <f t="shared" ca="1" si="78"/>
        <v>2</v>
      </c>
    </row>
    <row r="965" spans="1:47" x14ac:dyDescent="0.3">
      <c r="A965" t="s">
        <v>1366</v>
      </c>
      <c r="B965" t="str">
        <f t="shared" si="75"/>
        <v>S30_2026</v>
      </c>
      <c r="C965" t="str">
        <f t="shared" si="77"/>
        <v>S30_2026</v>
      </c>
      <c r="F965">
        <v>3</v>
      </c>
      <c r="G965" t="s">
        <v>40</v>
      </c>
      <c r="H965" t="s">
        <v>85</v>
      </c>
      <c r="I965" t="s">
        <v>1354</v>
      </c>
      <c r="J965" t="s">
        <v>1355</v>
      </c>
      <c r="K965" t="s">
        <v>746</v>
      </c>
      <c r="L965" t="s">
        <v>1355</v>
      </c>
      <c r="M965" t="s">
        <v>746</v>
      </c>
      <c r="N965" t="s">
        <v>45</v>
      </c>
      <c r="O965" t="s">
        <v>45</v>
      </c>
      <c r="P965">
        <v>2</v>
      </c>
      <c r="Q965" s="7">
        <v>46227</v>
      </c>
      <c r="R965" s="7">
        <v>46228</v>
      </c>
      <c r="S965" s="7">
        <v>46228</v>
      </c>
      <c r="T965" t="s">
        <v>74</v>
      </c>
      <c r="V965" t="s">
        <v>1356</v>
      </c>
      <c r="W965" t="s">
        <v>45</v>
      </c>
      <c r="X965" t="s">
        <v>45</v>
      </c>
      <c r="Y965" t="s">
        <v>74</v>
      </c>
      <c r="AE965" s="7">
        <v>46230</v>
      </c>
      <c r="AF965">
        <v>2</v>
      </c>
      <c r="AH965" t="s">
        <v>75</v>
      </c>
      <c r="AI965">
        <v>1</v>
      </c>
      <c r="AJ965" s="15"/>
      <c r="AK965" t="s">
        <v>74</v>
      </c>
      <c r="AN965"/>
      <c r="AO965" t="s">
        <v>86</v>
      </c>
      <c r="AP965"/>
      <c r="AQ965" t="s">
        <v>74</v>
      </c>
      <c r="AR965" s="18" t="str">
        <f>IFERROR(VLOOKUP(K965,[1]POP!$F:$J,1,0),M965)</f>
        <v>MORA</v>
      </c>
      <c r="AS965" s="18" t="str">
        <f t="shared" si="76"/>
        <v>AISSA HARDE</v>
      </c>
      <c r="AT965" s="19">
        <f t="shared" si="79"/>
        <v>2</v>
      </c>
      <c r="AU965" s="19">
        <f t="shared" ca="1" si="78"/>
        <v>2</v>
      </c>
    </row>
    <row r="966" spans="1:47" x14ac:dyDescent="0.3">
      <c r="A966" t="s">
        <v>1367</v>
      </c>
      <c r="B966" t="str">
        <f t="shared" si="75"/>
        <v>S30_2026</v>
      </c>
      <c r="C966" t="str">
        <f t="shared" si="77"/>
        <v>S30_2026</v>
      </c>
      <c r="F966">
        <v>6</v>
      </c>
      <c r="G966" t="s">
        <v>55</v>
      </c>
      <c r="H966" t="s">
        <v>85</v>
      </c>
      <c r="I966" t="s">
        <v>1354</v>
      </c>
      <c r="J966" t="s">
        <v>1355</v>
      </c>
      <c r="K966" t="s">
        <v>746</v>
      </c>
      <c r="L966" t="s">
        <v>1355</v>
      </c>
      <c r="M966" t="s">
        <v>746</v>
      </c>
      <c r="N966" t="s">
        <v>45</v>
      </c>
      <c r="O966" t="s">
        <v>45</v>
      </c>
      <c r="P966">
        <v>2</v>
      </c>
      <c r="Q966" s="7">
        <v>46227</v>
      </c>
      <c r="R966" s="7">
        <v>46228</v>
      </c>
      <c r="S966" s="7">
        <v>46228</v>
      </c>
      <c r="T966" t="s">
        <v>74</v>
      </c>
      <c r="V966" t="s">
        <v>1356</v>
      </c>
      <c r="W966" t="s">
        <v>45</v>
      </c>
      <c r="X966" t="s">
        <v>45</v>
      </c>
      <c r="Y966" t="s">
        <v>74</v>
      </c>
      <c r="AE966" s="7">
        <v>46230</v>
      </c>
      <c r="AF966">
        <v>2</v>
      </c>
      <c r="AH966" t="s">
        <v>75</v>
      </c>
      <c r="AI966">
        <v>1</v>
      </c>
      <c r="AJ966" s="15"/>
      <c r="AK966" t="s">
        <v>74</v>
      </c>
      <c r="AN966"/>
      <c r="AO966" t="s">
        <v>86</v>
      </c>
      <c r="AP966"/>
      <c r="AQ966" t="s">
        <v>74</v>
      </c>
      <c r="AR966" s="18" t="str">
        <f>IFERROR(VLOOKUP(K966,[1]POP!$F:$J,1,0),M966)</f>
        <v>MORA</v>
      </c>
      <c r="AS966" s="18" t="str">
        <f t="shared" si="76"/>
        <v>AISSA HARDE</v>
      </c>
      <c r="AT966" s="19">
        <f t="shared" si="79"/>
        <v>2</v>
      </c>
      <c r="AU966" s="19">
        <f t="shared" ca="1" si="78"/>
        <v>2</v>
      </c>
    </row>
    <row r="967" spans="1:47" x14ac:dyDescent="0.3">
      <c r="A967" t="s">
        <v>1368</v>
      </c>
      <c r="B967" t="str">
        <f t="shared" si="75"/>
        <v>S30_2026</v>
      </c>
      <c r="C967" t="str">
        <f t="shared" si="77"/>
        <v>S30_2026</v>
      </c>
      <c r="F967">
        <v>11</v>
      </c>
      <c r="G967" t="s">
        <v>55</v>
      </c>
      <c r="H967" t="s">
        <v>56</v>
      </c>
      <c r="I967" t="s">
        <v>1354</v>
      </c>
      <c r="J967" t="s">
        <v>1355</v>
      </c>
      <c r="K967" t="s">
        <v>746</v>
      </c>
      <c r="L967" t="s">
        <v>1355</v>
      </c>
      <c r="M967" t="s">
        <v>746</v>
      </c>
      <c r="N967" t="s">
        <v>45</v>
      </c>
      <c r="O967" t="s">
        <v>45</v>
      </c>
      <c r="P967">
        <v>2</v>
      </c>
      <c r="Q967" s="7">
        <v>46227</v>
      </c>
      <c r="R967" s="7">
        <v>46228</v>
      </c>
      <c r="S967" s="7">
        <v>46228</v>
      </c>
      <c r="T967" t="s">
        <v>74</v>
      </c>
      <c r="V967" t="s">
        <v>1356</v>
      </c>
      <c r="W967" t="s">
        <v>45</v>
      </c>
      <c r="X967" t="s">
        <v>45</v>
      </c>
      <c r="Y967" t="s">
        <v>74</v>
      </c>
      <c r="AE967" s="7">
        <v>46230</v>
      </c>
      <c r="AF967">
        <v>2</v>
      </c>
      <c r="AH967" t="s">
        <v>75</v>
      </c>
      <c r="AI967">
        <v>1</v>
      </c>
      <c r="AJ967" s="15"/>
      <c r="AK967" t="s">
        <v>74</v>
      </c>
      <c r="AN967"/>
      <c r="AO967" t="s">
        <v>86</v>
      </c>
      <c r="AP967"/>
      <c r="AQ967" t="s">
        <v>74</v>
      </c>
      <c r="AR967" s="18" t="str">
        <f>IFERROR(VLOOKUP(K967,[1]POP!$F:$J,1,0),M967)</f>
        <v>MORA</v>
      </c>
      <c r="AS967" s="18" t="str">
        <f t="shared" si="76"/>
        <v>AISSA HARDE</v>
      </c>
      <c r="AT967" s="19">
        <f t="shared" si="79"/>
        <v>2</v>
      </c>
      <c r="AU967" s="19">
        <f t="shared" ca="1" si="78"/>
        <v>2</v>
      </c>
    </row>
    <row r="968" spans="1:47" x14ac:dyDescent="0.3">
      <c r="A968" t="s">
        <v>1369</v>
      </c>
      <c r="B968" t="str">
        <f t="shared" si="75"/>
        <v>S30_2026</v>
      </c>
      <c r="C968" t="str">
        <f t="shared" si="77"/>
        <v>S30_2026</v>
      </c>
      <c r="F968">
        <v>34</v>
      </c>
      <c r="G968" t="s">
        <v>55</v>
      </c>
      <c r="H968" t="s">
        <v>70</v>
      </c>
      <c r="I968" t="s">
        <v>1354</v>
      </c>
      <c r="J968" t="s">
        <v>1355</v>
      </c>
      <c r="K968" t="s">
        <v>746</v>
      </c>
      <c r="L968" t="s">
        <v>1355</v>
      </c>
      <c r="M968" t="s">
        <v>746</v>
      </c>
      <c r="N968" t="s">
        <v>45</v>
      </c>
      <c r="O968" t="s">
        <v>45</v>
      </c>
      <c r="P968">
        <v>1</v>
      </c>
      <c r="Q968" s="7">
        <v>46227</v>
      </c>
      <c r="R968" s="7">
        <v>46228</v>
      </c>
      <c r="S968" s="7">
        <v>46228</v>
      </c>
      <c r="T968" t="s">
        <v>74</v>
      </c>
      <c r="V968" t="s">
        <v>1356</v>
      </c>
      <c r="W968" t="s">
        <v>45</v>
      </c>
      <c r="X968" t="s">
        <v>45</v>
      </c>
      <c r="Y968" t="s">
        <v>74</v>
      </c>
      <c r="AE968" s="7">
        <v>46230</v>
      </c>
      <c r="AF968">
        <v>2</v>
      </c>
      <c r="AH968" t="s">
        <v>75</v>
      </c>
      <c r="AI968">
        <v>1</v>
      </c>
      <c r="AJ968" s="15"/>
      <c r="AK968" t="s">
        <v>74</v>
      </c>
      <c r="AN968"/>
      <c r="AO968" t="s">
        <v>86</v>
      </c>
      <c r="AP968"/>
      <c r="AQ968" t="s">
        <v>74</v>
      </c>
      <c r="AR968" s="18" t="str">
        <f>IFERROR(VLOOKUP(K968,[1]POP!$F:$J,1,0),M968)</f>
        <v>MORA</v>
      </c>
      <c r="AS968" s="18" t="str">
        <f t="shared" si="76"/>
        <v>AISSA HARDE</v>
      </c>
      <c r="AT968" s="19">
        <f t="shared" si="79"/>
        <v>2</v>
      </c>
      <c r="AU968" s="19">
        <f t="shared" ca="1" si="78"/>
        <v>2</v>
      </c>
    </row>
    <row r="969" spans="1:47" x14ac:dyDescent="0.3">
      <c r="A969" t="s">
        <v>1370</v>
      </c>
      <c r="B969" t="str">
        <f t="shared" si="75"/>
        <v>S30_2026</v>
      </c>
      <c r="C969" t="str">
        <f t="shared" si="77"/>
        <v>S30_2026</v>
      </c>
      <c r="F969">
        <v>1</v>
      </c>
      <c r="G969" t="s">
        <v>40</v>
      </c>
      <c r="H969" t="s">
        <v>85</v>
      </c>
      <c r="I969" t="s">
        <v>1354</v>
      </c>
      <c r="J969" t="s">
        <v>1355</v>
      </c>
      <c r="K969" t="s">
        <v>746</v>
      </c>
      <c r="L969" t="s">
        <v>1355</v>
      </c>
      <c r="M969" t="s">
        <v>746</v>
      </c>
      <c r="N969" t="s">
        <v>45</v>
      </c>
      <c r="O969" t="s">
        <v>45</v>
      </c>
      <c r="P969">
        <v>2</v>
      </c>
      <c r="Q969" s="7">
        <v>46227</v>
      </c>
      <c r="R969" s="7">
        <v>46228</v>
      </c>
      <c r="S969" s="7">
        <v>46228</v>
      </c>
      <c r="T969" t="s">
        <v>74</v>
      </c>
      <c r="V969" t="s">
        <v>1356</v>
      </c>
      <c r="W969" t="s">
        <v>45</v>
      </c>
      <c r="X969" t="s">
        <v>45</v>
      </c>
      <c r="Y969" t="s">
        <v>74</v>
      </c>
      <c r="AE969" s="7">
        <v>46230</v>
      </c>
      <c r="AF969">
        <v>2</v>
      </c>
      <c r="AH969" t="s">
        <v>75</v>
      </c>
      <c r="AI969">
        <v>1</v>
      </c>
      <c r="AJ969" s="15"/>
      <c r="AK969" t="s">
        <v>74</v>
      </c>
      <c r="AN969"/>
      <c r="AO969" t="s">
        <v>86</v>
      </c>
      <c r="AP969"/>
      <c r="AQ969" t="s">
        <v>74</v>
      </c>
      <c r="AR969" s="18" t="str">
        <f>IFERROR(VLOOKUP(K969,[1]POP!$F:$J,1,0),M969)</f>
        <v>MORA</v>
      </c>
      <c r="AS969" s="18" t="str">
        <f t="shared" si="76"/>
        <v>AISSA HARDE</v>
      </c>
      <c r="AT969" s="19">
        <f t="shared" si="79"/>
        <v>2</v>
      </c>
      <c r="AU969" s="19">
        <f t="shared" ca="1" si="78"/>
        <v>2</v>
      </c>
    </row>
    <row r="970" spans="1:47" x14ac:dyDescent="0.3">
      <c r="A970" t="s">
        <v>1371</v>
      </c>
      <c r="B970" t="str">
        <f t="shared" si="75"/>
        <v>S30_2026</v>
      </c>
      <c r="C970" t="str">
        <f t="shared" si="77"/>
        <v>S30_2026</v>
      </c>
      <c r="F970">
        <v>29</v>
      </c>
      <c r="G970" t="s">
        <v>40</v>
      </c>
      <c r="H970" t="s">
        <v>1360</v>
      </c>
      <c r="I970" t="s">
        <v>1354</v>
      </c>
      <c r="J970" t="s">
        <v>1355</v>
      </c>
      <c r="K970" t="s">
        <v>746</v>
      </c>
      <c r="L970" t="s">
        <v>1355</v>
      </c>
      <c r="M970" t="s">
        <v>746</v>
      </c>
      <c r="N970" t="s">
        <v>45</v>
      </c>
      <c r="O970" t="s">
        <v>45</v>
      </c>
      <c r="P970">
        <v>2</v>
      </c>
      <c r="Q970" s="7">
        <v>46227</v>
      </c>
      <c r="R970" s="7">
        <v>46228</v>
      </c>
      <c r="S970" s="7">
        <v>46228</v>
      </c>
      <c r="T970" t="s">
        <v>74</v>
      </c>
      <c r="V970" t="s">
        <v>1356</v>
      </c>
      <c r="W970" t="s">
        <v>45</v>
      </c>
      <c r="X970" t="s">
        <v>45</v>
      </c>
      <c r="Y970" t="s">
        <v>74</v>
      </c>
      <c r="AE970" s="7">
        <v>46230</v>
      </c>
      <c r="AF970">
        <v>2</v>
      </c>
      <c r="AH970" t="s">
        <v>75</v>
      </c>
      <c r="AI970">
        <v>1</v>
      </c>
      <c r="AJ970" s="15"/>
      <c r="AK970" t="s">
        <v>74</v>
      </c>
      <c r="AN970" t="s">
        <v>45</v>
      </c>
      <c r="AO970" t="s">
        <v>45</v>
      </c>
      <c r="AP970">
        <v>3</v>
      </c>
      <c r="AQ970" t="s">
        <v>668</v>
      </c>
      <c r="AR970" s="18" t="str">
        <f>IFERROR(VLOOKUP(K970,[1]POP!$F:$J,1,0),M970)</f>
        <v>MORA</v>
      </c>
      <c r="AS970" s="18" t="str">
        <f t="shared" si="76"/>
        <v>AISSA HARDE</v>
      </c>
      <c r="AT970" s="19">
        <f t="shared" si="79"/>
        <v>2</v>
      </c>
      <c r="AU970" s="19">
        <f t="shared" ca="1" si="78"/>
        <v>2</v>
      </c>
    </row>
    <row r="971" spans="1:47" x14ac:dyDescent="0.3">
      <c r="A971" t="s">
        <v>1372</v>
      </c>
      <c r="B971" t="str">
        <f t="shared" si="75"/>
        <v>S30_2026</v>
      </c>
      <c r="C971" t="str">
        <f t="shared" si="77"/>
        <v>S30_2026</v>
      </c>
      <c r="F971">
        <v>18</v>
      </c>
      <c r="G971" t="s">
        <v>40</v>
      </c>
      <c r="H971" t="s">
        <v>56</v>
      </c>
      <c r="I971" t="s">
        <v>1354</v>
      </c>
      <c r="J971" t="s">
        <v>1355</v>
      </c>
      <c r="K971" t="s">
        <v>746</v>
      </c>
      <c r="L971" t="s">
        <v>1355</v>
      </c>
      <c r="M971" t="s">
        <v>746</v>
      </c>
      <c r="N971" t="s">
        <v>45</v>
      </c>
      <c r="O971" t="s">
        <v>45</v>
      </c>
      <c r="P971">
        <v>2</v>
      </c>
      <c r="Q971" s="7">
        <v>46227</v>
      </c>
      <c r="R971" s="7">
        <v>46228</v>
      </c>
      <c r="S971" s="7">
        <v>46228</v>
      </c>
      <c r="T971" t="s">
        <v>74</v>
      </c>
      <c r="V971" t="s">
        <v>1356</v>
      </c>
      <c r="W971" t="s">
        <v>45</v>
      </c>
      <c r="X971" t="s">
        <v>45</v>
      </c>
      <c r="Y971" t="s">
        <v>74</v>
      </c>
      <c r="AE971" s="7">
        <v>46230</v>
      </c>
      <c r="AF971">
        <v>2</v>
      </c>
      <c r="AH971" t="s">
        <v>75</v>
      </c>
      <c r="AI971">
        <v>1</v>
      </c>
      <c r="AJ971" s="15"/>
      <c r="AK971" t="s">
        <v>74</v>
      </c>
      <c r="AN971" t="s">
        <v>45</v>
      </c>
      <c r="AO971" t="s">
        <v>45</v>
      </c>
      <c r="AP971">
        <v>4</v>
      </c>
      <c r="AQ971" t="s">
        <v>668</v>
      </c>
      <c r="AR971" s="18" t="str">
        <f>IFERROR(VLOOKUP(K971,[1]POP!$F:$J,1,0),M971)</f>
        <v>MORA</v>
      </c>
      <c r="AS971" s="18" t="str">
        <f t="shared" si="76"/>
        <v>AISSA HARDE</v>
      </c>
      <c r="AT971" s="19">
        <f t="shared" si="79"/>
        <v>2</v>
      </c>
      <c r="AU971" s="19">
        <f t="shared" ca="1" si="78"/>
        <v>2</v>
      </c>
    </row>
    <row r="972" spans="1:47" x14ac:dyDescent="0.3">
      <c r="A972" t="s">
        <v>1373</v>
      </c>
      <c r="B972" t="str">
        <f t="shared" si="75"/>
        <v>S30_2026</v>
      </c>
      <c r="C972" t="str">
        <f t="shared" si="77"/>
        <v>S30_2026</v>
      </c>
      <c r="F972">
        <v>13</v>
      </c>
      <c r="G972" t="s">
        <v>40</v>
      </c>
      <c r="H972" t="s">
        <v>56</v>
      </c>
      <c r="I972" t="s">
        <v>1354</v>
      </c>
      <c r="J972" t="s">
        <v>1355</v>
      </c>
      <c r="K972" t="s">
        <v>746</v>
      </c>
      <c r="L972" t="s">
        <v>1355</v>
      </c>
      <c r="M972" t="s">
        <v>746</v>
      </c>
      <c r="N972" t="s">
        <v>45</v>
      </c>
      <c r="O972" t="s">
        <v>45</v>
      </c>
      <c r="P972">
        <v>2</v>
      </c>
      <c r="Q972" s="7">
        <v>46227</v>
      </c>
      <c r="R972" s="7">
        <v>46228</v>
      </c>
      <c r="S972" s="7">
        <v>46228</v>
      </c>
      <c r="T972" t="s">
        <v>74</v>
      </c>
      <c r="V972" t="s">
        <v>1356</v>
      </c>
      <c r="W972" t="s">
        <v>45</v>
      </c>
      <c r="X972" t="s">
        <v>45</v>
      </c>
      <c r="Y972" t="s">
        <v>74</v>
      </c>
      <c r="AE972" s="7">
        <v>46230</v>
      </c>
      <c r="AF972">
        <v>2</v>
      </c>
      <c r="AH972" t="s">
        <v>75</v>
      </c>
      <c r="AI972">
        <v>1</v>
      </c>
      <c r="AJ972" s="15"/>
      <c r="AK972" t="s">
        <v>74</v>
      </c>
      <c r="AN972" t="s">
        <v>45</v>
      </c>
      <c r="AO972" t="s">
        <v>45</v>
      </c>
      <c r="AP972">
        <v>2</v>
      </c>
      <c r="AQ972" t="s">
        <v>668</v>
      </c>
      <c r="AR972" s="18" t="str">
        <f>IFERROR(VLOOKUP(K972,[1]POP!$F:$J,1,0),M972)</f>
        <v>MORA</v>
      </c>
      <c r="AS972" s="18" t="str">
        <f t="shared" si="76"/>
        <v>AISSA HARDE</v>
      </c>
      <c r="AT972" s="19">
        <f t="shared" si="79"/>
        <v>2</v>
      </c>
      <c r="AU972" s="19">
        <f t="shared" ca="1" si="78"/>
        <v>2</v>
      </c>
    </row>
    <row r="973" spans="1:47" x14ac:dyDescent="0.3">
      <c r="A973" t="s">
        <v>1374</v>
      </c>
      <c r="B973" t="str">
        <f t="shared" si="75"/>
        <v>S30_2026</v>
      </c>
      <c r="C973" t="str">
        <f t="shared" si="77"/>
        <v>S30_2026</v>
      </c>
      <c r="F973">
        <v>20</v>
      </c>
      <c r="G973" t="s">
        <v>55</v>
      </c>
      <c r="H973" t="s">
        <v>56</v>
      </c>
      <c r="I973" t="s">
        <v>1354</v>
      </c>
      <c r="J973" t="s">
        <v>1355</v>
      </c>
      <c r="K973" t="s">
        <v>746</v>
      </c>
      <c r="L973" t="s">
        <v>1355</v>
      </c>
      <c r="M973" t="s">
        <v>746</v>
      </c>
      <c r="N973" t="s">
        <v>45</v>
      </c>
      <c r="O973" t="s">
        <v>45</v>
      </c>
      <c r="P973">
        <v>2</v>
      </c>
      <c r="Q973" s="7">
        <v>46227</v>
      </c>
      <c r="R973" s="7">
        <v>46228</v>
      </c>
      <c r="S973" s="7">
        <v>46228</v>
      </c>
      <c r="T973" t="s">
        <v>74</v>
      </c>
      <c r="V973" t="s">
        <v>1356</v>
      </c>
      <c r="W973" t="s">
        <v>45</v>
      </c>
      <c r="X973" t="s">
        <v>45</v>
      </c>
      <c r="Y973" t="s">
        <v>74</v>
      </c>
      <c r="AE973" s="7">
        <v>46230</v>
      </c>
      <c r="AF973">
        <v>2</v>
      </c>
      <c r="AH973" t="s">
        <v>75</v>
      </c>
      <c r="AI973">
        <v>1</v>
      </c>
      <c r="AJ973" s="15"/>
      <c r="AK973" t="s">
        <v>74</v>
      </c>
      <c r="AN973" t="s">
        <v>45</v>
      </c>
      <c r="AO973" t="s">
        <v>45</v>
      </c>
      <c r="AP973">
        <v>3</v>
      </c>
      <c r="AQ973" t="s">
        <v>668</v>
      </c>
      <c r="AR973" s="18" t="str">
        <f>IFERROR(VLOOKUP(K973,[1]POP!$F:$J,1,0),M973)</f>
        <v>MORA</v>
      </c>
      <c r="AS973" s="18" t="str">
        <f t="shared" si="76"/>
        <v>AISSA HARDE</v>
      </c>
      <c r="AT973" s="19">
        <f t="shared" si="79"/>
        <v>2</v>
      </c>
      <c r="AU973" s="19">
        <f t="shared" ca="1" si="78"/>
        <v>2</v>
      </c>
    </row>
    <row r="974" spans="1:47" x14ac:dyDescent="0.3">
      <c r="A974" t="s">
        <v>1375</v>
      </c>
      <c r="B974" t="str">
        <f t="shared" si="75"/>
        <v>S31_2026</v>
      </c>
      <c r="C974" t="str">
        <f t="shared" si="77"/>
        <v>S31_2026</v>
      </c>
      <c r="E974">
        <v>690392938</v>
      </c>
      <c r="F974">
        <v>33</v>
      </c>
      <c r="G974" t="s">
        <v>55</v>
      </c>
      <c r="H974" t="s">
        <v>1376</v>
      </c>
      <c r="I974" t="s">
        <v>1355</v>
      </c>
      <c r="J974" t="s">
        <v>1355</v>
      </c>
      <c r="K974" t="s">
        <v>746</v>
      </c>
      <c r="L974" t="s">
        <v>1355</v>
      </c>
      <c r="M974" t="s">
        <v>746</v>
      </c>
      <c r="N974" t="s">
        <v>45</v>
      </c>
      <c r="O974" t="s">
        <v>45</v>
      </c>
      <c r="P974">
        <v>3</v>
      </c>
      <c r="Q974" s="7">
        <v>46230</v>
      </c>
      <c r="R974" s="7">
        <v>46230</v>
      </c>
      <c r="S974" s="7">
        <v>46230</v>
      </c>
      <c r="T974" t="s">
        <v>45</v>
      </c>
      <c r="V974" t="s">
        <v>852</v>
      </c>
      <c r="W974" t="s">
        <v>45</v>
      </c>
      <c r="X974" t="s">
        <v>45</v>
      </c>
      <c r="Y974" t="s">
        <v>45</v>
      </c>
      <c r="Z974" t="s">
        <v>45</v>
      </c>
      <c r="AA974" s="7">
        <v>46230</v>
      </c>
      <c r="AB974" t="s">
        <v>48</v>
      </c>
      <c r="AE974" s="7">
        <v>46231</v>
      </c>
      <c r="AF974">
        <v>2</v>
      </c>
      <c r="AH974" t="s">
        <v>75</v>
      </c>
      <c r="AI974">
        <v>1</v>
      </c>
      <c r="AJ974" s="15"/>
      <c r="AK974" t="s">
        <v>74</v>
      </c>
      <c r="AN974" t="s">
        <v>45</v>
      </c>
      <c r="AO974" t="s">
        <v>45</v>
      </c>
      <c r="AP974">
        <v>5</v>
      </c>
      <c r="AQ974" t="s">
        <v>668</v>
      </c>
      <c r="AR974" s="18" t="str">
        <f>IFERROR(VLOOKUP(K974,[1]POP!$F:$J,1,0),M974)</f>
        <v>MORA</v>
      </c>
      <c r="AS974" s="18" t="str">
        <f t="shared" si="76"/>
        <v>AISSA HARDE</v>
      </c>
      <c r="AT974" s="19">
        <f t="shared" si="79"/>
        <v>2</v>
      </c>
      <c r="AU974" s="19">
        <f t="shared" ca="1" si="78"/>
        <v>2</v>
      </c>
    </row>
    <row r="975" spans="1:47" x14ac:dyDescent="0.3">
      <c r="A975" t="s">
        <v>1377</v>
      </c>
      <c r="B975" t="str">
        <f t="shared" si="75"/>
        <v>S31_2026</v>
      </c>
      <c r="C975" t="str">
        <f t="shared" si="77"/>
        <v>S31_2026</v>
      </c>
      <c r="E975">
        <v>652606958</v>
      </c>
      <c r="F975">
        <v>50</v>
      </c>
      <c r="G975" t="s">
        <v>55</v>
      </c>
      <c r="H975" t="s">
        <v>1376</v>
      </c>
      <c r="I975" t="s">
        <v>1378</v>
      </c>
      <c r="J975" t="s">
        <v>908</v>
      </c>
      <c r="K975" t="s">
        <v>746</v>
      </c>
      <c r="L975" t="s">
        <v>746</v>
      </c>
      <c r="M975" t="s">
        <v>746</v>
      </c>
      <c r="N975" t="s">
        <v>45</v>
      </c>
      <c r="O975" t="s">
        <v>45</v>
      </c>
      <c r="P975">
        <v>3</v>
      </c>
      <c r="Q975" s="7">
        <v>46230</v>
      </c>
      <c r="R975" s="7">
        <v>46230</v>
      </c>
      <c r="S975" s="7">
        <v>46230</v>
      </c>
      <c r="T975" t="s">
        <v>45</v>
      </c>
      <c r="V975" t="s">
        <v>852</v>
      </c>
      <c r="W975" t="s">
        <v>45</v>
      </c>
      <c r="X975" t="s">
        <v>45</v>
      </c>
      <c r="Y975" t="s">
        <v>45</v>
      </c>
      <c r="Z975" t="s">
        <v>45</v>
      </c>
      <c r="AA975" s="7">
        <v>46230</v>
      </c>
      <c r="AB975" t="s">
        <v>48</v>
      </c>
      <c r="AE975" s="7">
        <v>46231</v>
      </c>
      <c r="AF975">
        <v>2</v>
      </c>
      <c r="AH975" t="s">
        <v>75</v>
      </c>
      <c r="AI975">
        <v>1</v>
      </c>
      <c r="AJ975" s="15"/>
      <c r="AK975" t="s">
        <v>74</v>
      </c>
      <c r="AN975" t="s">
        <v>45</v>
      </c>
      <c r="AO975" t="s">
        <v>45</v>
      </c>
      <c r="AP975">
        <v>4</v>
      </c>
      <c r="AQ975" t="s">
        <v>668</v>
      </c>
      <c r="AR975" s="18" t="str">
        <f>IFERROR(VLOOKUP(K975,[1]POP!$F:$J,1,0),M975)</f>
        <v>MORA</v>
      </c>
      <c r="AS975" s="18" t="str">
        <f t="shared" si="76"/>
        <v>MAGDEME</v>
      </c>
      <c r="AT975" s="19">
        <f t="shared" si="79"/>
        <v>2</v>
      </c>
      <c r="AU975" s="19">
        <f t="shared" ca="1" si="78"/>
        <v>2</v>
      </c>
    </row>
    <row r="976" spans="1:47" x14ac:dyDescent="0.3">
      <c r="A976" t="s">
        <v>1379</v>
      </c>
      <c r="B976" t="str">
        <f t="shared" si="75"/>
        <v>S31_2026</v>
      </c>
      <c r="C976" t="str">
        <f t="shared" si="77"/>
        <v>S31_2026</v>
      </c>
      <c r="F976">
        <v>3</v>
      </c>
      <c r="G976" t="s">
        <v>55</v>
      </c>
      <c r="H976" t="s">
        <v>85</v>
      </c>
      <c r="I976" t="s">
        <v>1354</v>
      </c>
      <c r="J976" t="s">
        <v>1355</v>
      </c>
      <c r="K976" t="s">
        <v>746</v>
      </c>
      <c r="L976" t="s">
        <v>1355</v>
      </c>
      <c r="M976" t="s">
        <v>746</v>
      </c>
      <c r="N976" t="s">
        <v>45</v>
      </c>
      <c r="O976" t="s">
        <v>45</v>
      </c>
      <c r="P976">
        <v>2</v>
      </c>
      <c r="Q976" s="7">
        <v>46232</v>
      </c>
      <c r="R976" s="7">
        <v>46233</v>
      </c>
      <c r="S976" s="7">
        <v>46233</v>
      </c>
      <c r="T976" t="s">
        <v>45</v>
      </c>
      <c r="V976" t="s">
        <v>1356</v>
      </c>
      <c r="W976" t="s">
        <v>45</v>
      </c>
      <c r="X976" t="s">
        <v>45</v>
      </c>
      <c r="Y976" t="s">
        <v>74</v>
      </c>
      <c r="AE976" s="7">
        <v>46061</v>
      </c>
      <c r="AF976">
        <v>2</v>
      </c>
      <c r="AH976" t="s">
        <v>75</v>
      </c>
      <c r="AI976">
        <v>1</v>
      </c>
      <c r="AJ976" s="15"/>
      <c r="AK976" t="s">
        <v>74</v>
      </c>
      <c r="AN976" t="s">
        <v>45</v>
      </c>
      <c r="AO976" t="s">
        <v>45</v>
      </c>
      <c r="AP976">
        <v>4</v>
      </c>
      <c r="AQ976" t="s">
        <v>668</v>
      </c>
      <c r="AR976" s="18" t="str">
        <f>IFERROR(VLOOKUP(K976,[1]POP!$F:$J,1,0),M976)</f>
        <v>MORA</v>
      </c>
      <c r="AS976" s="18" t="str">
        <f t="shared" si="76"/>
        <v>AISSA HARDE</v>
      </c>
      <c r="AT976" s="19">
        <f t="shared" si="79"/>
        <v>2</v>
      </c>
      <c r="AU976" s="19">
        <f t="shared" ca="1" si="78"/>
        <v>2</v>
      </c>
    </row>
    <row r="977" spans="1:47" x14ac:dyDescent="0.3">
      <c r="A977" t="s">
        <v>1380</v>
      </c>
      <c r="B977" t="str">
        <f t="shared" si="75"/>
        <v>S31_2026</v>
      </c>
      <c r="C977" t="str">
        <f t="shared" si="77"/>
        <v>S31_2026</v>
      </c>
      <c r="F977">
        <v>27</v>
      </c>
      <c r="G977" t="s">
        <v>55</v>
      </c>
      <c r="H977" t="s">
        <v>70</v>
      </c>
      <c r="I977" t="s">
        <v>1354</v>
      </c>
      <c r="J977" t="s">
        <v>1355</v>
      </c>
      <c r="K977" t="s">
        <v>746</v>
      </c>
      <c r="L977" t="s">
        <v>1355</v>
      </c>
      <c r="M977" t="s">
        <v>746</v>
      </c>
      <c r="N977" t="s">
        <v>45</v>
      </c>
      <c r="O977" t="s">
        <v>45</v>
      </c>
      <c r="P977">
        <v>2</v>
      </c>
      <c r="Q977" s="7">
        <v>46235</v>
      </c>
      <c r="R977" s="7">
        <v>46235</v>
      </c>
      <c r="S977" s="7">
        <v>46235</v>
      </c>
      <c r="T977" t="s">
        <v>45</v>
      </c>
      <c r="V977" t="s">
        <v>1356</v>
      </c>
      <c r="W977" t="s">
        <v>45</v>
      </c>
      <c r="X977" t="s">
        <v>45</v>
      </c>
      <c r="Y977" t="s">
        <v>74</v>
      </c>
      <c r="AE977" s="7">
        <v>46089</v>
      </c>
      <c r="AF977">
        <v>2</v>
      </c>
      <c r="AH977" t="s">
        <v>75</v>
      </c>
      <c r="AI977">
        <v>1</v>
      </c>
      <c r="AJ977" s="15"/>
      <c r="AK977" t="s">
        <v>74</v>
      </c>
      <c r="AN977" t="s">
        <v>45</v>
      </c>
      <c r="AO977" t="s">
        <v>45</v>
      </c>
      <c r="AP977">
        <v>2</v>
      </c>
      <c r="AQ977" t="s">
        <v>668</v>
      </c>
      <c r="AR977" s="18" t="str">
        <f>IFERROR(VLOOKUP(K977,[1]POP!$F:$J,1,0),M977)</f>
        <v>MORA</v>
      </c>
      <c r="AS977" s="18" t="str">
        <f t="shared" si="76"/>
        <v>AISSA HARDE</v>
      </c>
      <c r="AT977" s="19">
        <f t="shared" si="79"/>
        <v>2</v>
      </c>
      <c r="AU977" s="19">
        <f t="shared" ca="1" si="78"/>
        <v>2</v>
      </c>
    </row>
    <row r="978" spans="1:47" x14ac:dyDescent="0.3">
      <c r="A978" t="s">
        <v>1381</v>
      </c>
      <c r="B978" t="str">
        <f t="shared" si="75"/>
        <v>S31_2026</v>
      </c>
      <c r="C978" t="str">
        <f t="shared" si="77"/>
        <v>S31_2026</v>
      </c>
      <c r="F978">
        <v>5</v>
      </c>
      <c r="G978" t="s">
        <v>40</v>
      </c>
      <c r="H978" t="s">
        <v>56</v>
      </c>
      <c r="I978" t="s">
        <v>902</v>
      </c>
      <c r="J978" t="s">
        <v>902</v>
      </c>
      <c r="K978" t="s">
        <v>746</v>
      </c>
      <c r="L978" t="s">
        <v>746</v>
      </c>
      <c r="M978" t="s">
        <v>746</v>
      </c>
      <c r="N978" t="s">
        <v>45</v>
      </c>
      <c r="O978" t="s">
        <v>74</v>
      </c>
      <c r="P978">
        <v>1</v>
      </c>
      <c r="Q978" s="7">
        <v>46231</v>
      </c>
      <c r="R978" s="7">
        <v>46231</v>
      </c>
      <c r="S978" s="7">
        <v>46231</v>
      </c>
      <c r="T978" t="s">
        <v>45</v>
      </c>
      <c r="V978" t="s">
        <v>852</v>
      </c>
      <c r="W978" t="s">
        <v>74</v>
      </c>
      <c r="X978" t="s">
        <v>45</v>
      </c>
      <c r="Y978" t="s">
        <v>45</v>
      </c>
      <c r="Z978" t="s">
        <v>74</v>
      </c>
      <c r="AA978" s="7">
        <v>46231</v>
      </c>
      <c r="AB978" t="s">
        <v>62</v>
      </c>
      <c r="AF978">
        <v>3</v>
      </c>
      <c r="AH978" t="s">
        <v>75</v>
      </c>
      <c r="AI978">
        <v>2</v>
      </c>
      <c r="AJ978" s="15"/>
      <c r="AK978" t="s">
        <v>74</v>
      </c>
      <c r="AN978" t="s">
        <v>45</v>
      </c>
      <c r="AO978" t="s">
        <v>45</v>
      </c>
      <c r="AP978">
        <v>3</v>
      </c>
      <c r="AQ978" t="s">
        <v>668</v>
      </c>
      <c r="AR978" s="18" t="str">
        <f>IFERROR(VLOOKUP(K978,[1]POP!$F:$J,1,0),M978)</f>
        <v>MORA</v>
      </c>
      <c r="AS978" s="18" t="str">
        <f t="shared" si="76"/>
        <v>KOURGUI</v>
      </c>
      <c r="AT978" s="19">
        <f t="shared" si="79"/>
        <v>3</v>
      </c>
      <c r="AU978" s="19">
        <f t="shared" ca="1" si="78"/>
        <v>2</v>
      </c>
    </row>
    <row r="979" spans="1:47" x14ac:dyDescent="0.3">
      <c r="A979" t="s">
        <v>1382</v>
      </c>
      <c r="B979" t="str">
        <f t="shared" si="75"/>
        <v>S31_2026</v>
      </c>
      <c r="C979" t="str">
        <f t="shared" si="77"/>
        <v>S31_2026</v>
      </c>
      <c r="F979">
        <v>28</v>
      </c>
      <c r="G979" t="s">
        <v>55</v>
      </c>
      <c r="H979" t="s">
        <v>1376</v>
      </c>
      <c r="I979" t="s">
        <v>1355</v>
      </c>
      <c r="J979" t="s">
        <v>1355</v>
      </c>
      <c r="K979" t="s">
        <v>746</v>
      </c>
      <c r="L979" t="s">
        <v>746</v>
      </c>
      <c r="M979" t="s">
        <v>746</v>
      </c>
      <c r="N979" t="s">
        <v>45</v>
      </c>
      <c r="O979" t="s">
        <v>45</v>
      </c>
      <c r="P979">
        <v>3</v>
      </c>
      <c r="Q979" s="7">
        <v>46231</v>
      </c>
      <c r="R979" s="7">
        <v>46231</v>
      </c>
      <c r="S979" s="7">
        <v>46231</v>
      </c>
      <c r="T979" t="s">
        <v>45</v>
      </c>
      <c r="V979" t="s">
        <v>852</v>
      </c>
      <c r="W979" t="s">
        <v>45</v>
      </c>
      <c r="X979" t="s">
        <v>45</v>
      </c>
      <c r="Y979" t="s">
        <v>45</v>
      </c>
      <c r="Z979" t="s">
        <v>45</v>
      </c>
      <c r="AA979" s="7">
        <v>46231</v>
      </c>
      <c r="AB979" t="s">
        <v>48</v>
      </c>
      <c r="AE979" s="7">
        <v>46233</v>
      </c>
      <c r="AF979">
        <v>2</v>
      </c>
      <c r="AH979" t="s">
        <v>75</v>
      </c>
      <c r="AI979">
        <v>1</v>
      </c>
      <c r="AJ979" s="15"/>
      <c r="AK979" t="s">
        <v>74</v>
      </c>
      <c r="AN979" t="s">
        <v>45</v>
      </c>
      <c r="AO979" t="s">
        <v>45</v>
      </c>
      <c r="AP979">
        <v>4</v>
      </c>
      <c r="AQ979" t="s">
        <v>668</v>
      </c>
      <c r="AR979" s="18" t="str">
        <f>IFERROR(VLOOKUP(K979,[1]POP!$F:$J,1,0),M979)</f>
        <v>MORA</v>
      </c>
      <c r="AS979" s="18" t="str">
        <f t="shared" si="76"/>
        <v>AISSA HARDE</v>
      </c>
      <c r="AT979" s="19">
        <f t="shared" si="79"/>
        <v>2</v>
      </c>
      <c r="AU979" s="19">
        <f t="shared" ca="1" si="78"/>
        <v>2</v>
      </c>
    </row>
    <row r="980" spans="1:47" x14ac:dyDescent="0.3">
      <c r="A980" t="s">
        <v>1383</v>
      </c>
      <c r="B980" t="str">
        <f t="shared" si="75"/>
        <v>S31_2026</v>
      </c>
      <c r="C980" t="str">
        <f t="shared" si="77"/>
        <v>S31_2026</v>
      </c>
      <c r="F980">
        <v>68</v>
      </c>
      <c r="G980" t="s">
        <v>40</v>
      </c>
      <c r="H980" t="s">
        <v>77</v>
      </c>
      <c r="I980" t="s">
        <v>1355</v>
      </c>
      <c r="J980" t="s">
        <v>1355</v>
      </c>
      <c r="K980" t="s">
        <v>746</v>
      </c>
      <c r="L980" t="s">
        <v>746</v>
      </c>
      <c r="M980" t="s">
        <v>746</v>
      </c>
      <c r="N980" t="s">
        <v>45</v>
      </c>
      <c r="O980" t="s">
        <v>45</v>
      </c>
      <c r="P980">
        <v>3</v>
      </c>
      <c r="Q980" s="7">
        <v>46231</v>
      </c>
      <c r="R980" s="7">
        <v>46231</v>
      </c>
      <c r="S980" s="7">
        <v>46231</v>
      </c>
      <c r="T980" t="s">
        <v>45</v>
      </c>
      <c r="V980" t="s">
        <v>852</v>
      </c>
      <c r="W980" t="s">
        <v>45</v>
      </c>
      <c r="X980" t="s">
        <v>45</v>
      </c>
      <c r="Y980" t="s">
        <v>45</v>
      </c>
      <c r="Z980" t="s">
        <v>45</v>
      </c>
      <c r="AA980" s="7">
        <v>46231</v>
      </c>
      <c r="AB980" t="s">
        <v>48</v>
      </c>
      <c r="AE980" s="7">
        <v>46233</v>
      </c>
      <c r="AF980">
        <v>2</v>
      </c>
      <c r="AH980" t="s">
        <v>75</v>
      </c>
      <c r="AI980">
        <v>1</v>
      </c>
      <c r="AJ980" s="15"/>
      <c r="AK980" t="s">
        <v>74</v>
      </c>
      <c r="AN980"/>
      <c r="AO980" t="s">
        <v>117</v>
      </c>
      <c r="AP980">
        <v>2</v>
      </c>
      <c r="AQ980" t="s">
        <v>668</v>
      </c>
      <c r="AR980" s="18" t="str">
        <f>IFERROR(VLOOKUP(K980,[1]POP!$F:$J,1,0),M980)</f>
        <v>MORA</v>
      </c>
      <c r="AS980" s="18" t="str">
        <f t="shared" si="76"/>
        <v>AISSA HARDE</v>
      </c>
      <c r="AT980" s="19">
        <f t="shared" si="79"/>
        <v>2</v>
      </c>
      <c r="AU980" s="19">
        <f t="shared" ca="1" si="78"/>
        <v>2</v>
      </c>
    </row>
    <row r="981" spans="1:47" x14ac:dyDescent="0.3">
      <c r="A981" t="s">
        <v>1384</v>
      </c>
      <c r="B981" t="str">
        <f t="shared" si="75"/>
        <v>S31_2026</v>
      </c>
      <c r="C981" t="str">
        <f t="shared" si="77"/>
        <v>S31_2026</v>
      </c>
      <c r="F981">
        <v>42</v>
      </c>
      <c r="G981" t="s">
        <v>55</v>
      </c>
      <c r="H981" t="s">
        <v>1376</v>
      </c>
      <c r="I981" t="s">
        <v>1385</v>
      </c>
      <c r="J981" t="s">
        <v>1385</v>
      </c>
      <c r="K981" t="s">
        <v>746</v>
      </c>
      <c r="L981" t="s">
        <v>746</v>
      </c>
      <c r="M981" t="s">
        <v>746</v>
      </c>
      <c r="N981" t="s">
        <v>45</v>
      </c>
      <c r="O981" t="s">
        <v>45</v>
      </c>
      <c r="P981">
        <v>1</v>
      </c>
      <c r="Q981" s="7">
        <v>46233</v>
      </c>
      <c r="R981" s="7">
        <v>46233</v>
      </c>
      <c r="S981" s="7">
        <v>46233</v>
      </c>
      <c r="T981" t="s">
        <v>45</v>
      </c>
      <c r="V981" t="s">
        <v>852</v>
      </c>
      <c r="W981" t="s">
        <v>45</v>
      </c>
      <c r="X981" t="s">
        <v>45</v>
      </c>
      <c r="Y981" t="s">
        <v>74</v>
      </c>
      <c r="Z981" t="s">
        <v>45</v>
      </c>
      <c r="AA981" s="7">
        <v>46233</v>
      </c>
      <c r="AB981" t="s">
        <v>62</v>
      </c>
      <c r="AE981" s="7">
        <v>46235</v>
      </c>
      <c r="AF981">
        <v>2</v>
      </c>
      <c r="AH981" t="s">
        <v>75</v>
      </c>
      <c r="AI981">
        <v>1</v>
      </c>
      <c r="AJ981" s="15"/>
      <c r="AK981" t="s">
        <v>74</v>
      </c>
      <c r="AN981" t="s">
        <v>117</v>
      </c>
      <c r="AO981" t="s">
        <v>117</v>
      </c>
      <c r="AP981">
        <v>4</v>
      </c>
      <c r="AQ981" t="s">
        <v>668</v>
      </c>
      <c r="AR981" s="18" t="str">
        <f>IFERROR(VLOOKUP(K981,[1]POP!$F:$J,1,0),M981)</f>
        <v>MORA</v>
      </c>
      <c r="AS981" s="18" t="str">
        <f t="shared" si="76"/>
        <v>TALA MOKOLO</v>
      </c>
      <c r="AT981" s="19">
        <f t="shared" si="79"/>
        <v>2</v>
      </c>
      <c r="AU981" s="19">
        <f t="shared" ca="1" si="78"/>
        <v>2</v>
      </c>
    </row>
    <row r="982" spans="1:47" x14ac:dyDescent="0.3">
      <c r="A982" t="s">
        <v>1386</v>
      </c>
      <c r="B982" t="str">
        <f t="shared" si="75"/>
        <v>S31_2026</v>
      </c>
      <c r="C982" t="str">
        <f t="shared" si="77"/>
        <v>S31_2026</v>
      </c>
      <c r="F982">
        <v>60</v>
      </c>
      <c r="G982" t="s">
        <v>1387</v>
      </c>
      <c r="H982" t="s">
        <v>680</v>
      </c>
      <c r="I982" t="s">
        <v>1388</v>
      </c>
      <c r="J982" t="s">
        <v>1389</v>
      </c>
      <c r="K982" t="s">
        <v>746</v>
      </c>
      <c r="L982" t="s">
        <v>1389</v>
      </c>
      <c r="M982" t="s">
        <v>746</v>
      </c>
      <c r="N982" t="s">
        <v>45</v>
      </c>
      <c r="O982" t="s">
        <v>117</v>
      </c>
      <c r="P982">
        <v>3</v>
      </c>
      <c r="Q982" s="7">
        <v>46233</v>
      </c>
      <c r="R982" s="7">
        <v>46232</v>
      </c>
      <c r="S982" s="7">
        <v>46233</v>
      </c>
      <c r="T982" t="s">
        <v>117</v>
      </c>
      <c r="V982" t="s">
        <v>1390</v>
      </c>
      <c r="W982" t="s">
        <v>117</v>
      </c>
      <c r="X982" t="s">
        <v>117</v>
      </c>
      <c r="Y982" t="s">
        <v>675</v>
      </c>
      <c r="Z982" t="s">
        <v>117</v>
      </c>
      <c r="AE982" s="7">
        <v>46235</v>
      </c>
      <c r="AF982">
        <v>2</v>
      </c>
      <c r="AH982" t="s">
        <v>75</v>
      </c>
      <c r="AI982">
        <v>1</v>
      </c>
      <c r="AJ982" s="15"/>
      <c r="AK982" t="s">
        <v>117</v>
      </c>
      <c r="AN982" t="s">
        <v>117</v>
      </c>
      <c r="AO982" t="s">
        <v>117</v>
      </c>
      <c r="AP982"/>
      <c r="AQ982" t="s">
        <v>668</v>
      </c>
      <c r="AR982" s="18" t="str">
        <f>IFERROR(VLOOKUP(K982,[1]POP!$F:$J,1,0),M982)</f>
        <v>MORA</v>
      </c>
      <c r="AS982" s="18" t="str">
        <f t="shared" si="76"/>
        <v xml:space="preserve">bounderi </v>
      </c>
      <c r="AT982" s="19">
        <f t="shared" si="79"/>
        <v>2</v>
      </c>
      <c r="AU982" s="19">
        <f t="shared" ca="1" si="78"/>
        <v>2</v>
      </c>
    </row>
    <row r="983" spans="1:47" x14ac:dyDescent="0.3">
      <c r="A983" t="s">
        <v>1391</v>
      </c>
      <c r="B983" t="str">
        <f t="shared" si="75"/>
        <v>S31_2026</v>
      </c>
      <c r="C983" t="str">
        <f t="shared" si="77"/>
        <v>S31_2026</v>
      </c>
      <c r="F983">
        <v>24</v>
      </c>
      <c r="G983" t="s">
        <v>1392</v>
      </c>
      <c r="H983" t="s">
        <v>1393</v>
      </c>
      <c r="I983" t="s">
        <v>1394</v>
      </c>
      <c r="J983" t="s">
        <v>1389</v>
      </c>
      <c r="K983" t="s">
        <v>746</v>
      </c>
      <c r="L983" t="s">
        <v>1389</v>
      </c>
      <c r="M983" t="s">
        <v>746</v>
      </c>
      <c r="N983" t="s">
        <v>45</v>
      </c>
      <c r="O983" t="s">
        <v>117</v>
      </c>
      <c r="P983">
        <v>3</v>
      </c>
      <c r="Q983" s="7">
        <v>46233</v>
      </c>
      <c r="R983" s="7">
        <v>46237</v>
      </c>
      <c r="S983" s="7">
        <v>46233</v>
      </c>
      <c r="T983" t="s">
        <v>117</v>
      </c>
      <c r="V983" t="s">
        <v>1390</v>
      </c>
      <c r="W983" t="s">
        <v>117</v>
      </c>
      <c r="X983" t="s">
        <v>117</v>
      </c>
      <c r="Y983" t="s">
        <v>117</v>
      </c>
      <c r="Z983" t="s">
        <v>117</v>
      </c>
      <c r="AE983" s="7">
        <v>46235</v>
      </c>
      <c r="AF983">
        <v>2</v>
      </c>
      <c r="AH983" t="s">
        <v>75</v>
      </c>
      <c r="AI983">
        <v>1</v>
      </c>
      <c r="AJ983" s="15"/>
      <c r="AK983" t="s">
        <v>86</v>
      </c>
      <c r="AN983" t="s">
        <v>2748</v>
      </c>
      <c r="AO983" t="s">
        <v>45</v>
      </c>
      <c r="AP983">
        <v>4</v>
      </c>
      <c r="AQ983" t="s">
        <v>86</v>
      </c>
      <c r="AR983" s="18" t="str">
        <f>IFERROR(VLOOKUP(K983,[1]POP!$F:$J,1,0),M983)</f>
        <v>MORA</v>
      </c>
      <c r="AS983" s="18" t="str">
        <f t="shared" si="76"/>
        <v xml:space="preserve">bounderi </v>
      </c>
      <c r="AT983" s="19">
        <f t="shared" si="79"/>
        <v>2</v>
      </c>
      <c r="AU983" s="19">
        <f t="shared" ca="1" si="78"/>
        <v>2</v>
      </c>
    </row>
    <row r="984" spans="1:47" x14ac:dyDescent="0.3">
      <c r="A984" t="s">
        <v>1395</v>
      </c>
      <c r="B984" t="str">
        <f t="shared" si="75"/>
        <v>S31_2026</v>
      </c>
      <c r="C984" t="str">
        <f t="shared" si="77"/>
        <v>S31_2026</v>
      </c>
      <c r="F984">
        <v>30</v>
      </c>
      <c r="G984" t="s">
        <v>1392</v>
      </c>
      <c r="H984" t="s">
        <v>1393</v>
      </c>
      <c r="I984" t="s">
        <v>1394</v>
      </c>
      <c r="J984" t="s">
        <v>1389</v>
      </c>
      <c r="K984" t="s">
        <v>746</v>
      </c>
      <c r="L984" t="s">
        <v>1389</v>
      </c>
      <c r="M984" t="s">
        <v>746</v>
      </c>
      <c r="N984" t="s">
        <v>45</v>
      </c>
      <c r="O984" t="s">
        <v>117</v>
      </c>
      <c r="P984">
        <v>2</v>
      </c>
      <c r="Q984" s="7">
        <v>46234</v>
      </c>
      <c r="R984" s="7">
        <v>46250</v>
      </c>
      <c r="S984" s="7">
        <v>46234</v>
      </c>
      <c r="T984" t="s">
        <v>117</v>
      </c>
      <c r="V984" t="s">
        <v>1390</v>
      </c>
      <c r="W984" t="s">
        <v>117</v>
      </c>
      <c r="X984" t="s">
        <v>117</v>
      </c>
      <c r="Y984" t="s">
        <v>117</v>
      </c>
      <c r="Z984" t="s">
        <v>117</v>
      </c>
      <c r="AE984" s="7">
        <v>46236</v>
      </c>
      <c r="AF984">
        <v>2</v>
      </c>
      <c r="AH984" t="s">
        <v>75</v>
      </c>
      <c r="AI984">
        <v>1</v>
      </c>
      <c r="AJ984" s="15"/>
      <c r="AK984" t="s">
        <v>86</v>
      </c>
      <c r="AN984" t="s">
        <v>2748</v>
      </c>
      <c r="AO984" t="s">
        <v>45</v>
      </c>
      <c r="AP984">
        <v>5</v>
      </c>
      <c r="AQ984" t="s">
        <v>86</v>
      </c>
      <c r="AR984" s="18" t="str">
        <f>IFERROR(VLOOKUP(K984,[1]POP!$F:$J,1,0),M984)</f>
        <v>MORA</v>
      </c>
      <c r="AS984" s="18" t="str">
        <f t="shared" si="76"/>
        <v xml:space="preserve">bounderi </v>
      </c>
      <c r="AT984" s="19">
        <f t="shared" si="79"/>
        <v>2</v>
      </c>
      <c r="AU984" s="19">
        <f t="shared" ca="1" si="78"/>
        <v>1</v>
      </c>
    </row>
    <row r="985" spans="1:47" x14ac:dyDescent="0.3">
      <c r="A985" t="s">
        <v>1396</v>
      </c>
      <c r="B985" t="str">
        <f t="shared" si="75"/>
        <v>S31_2026</v>
      </c>
      <c r="C985" t="str">
        <f t="shared" si="77"/>
        <v>S31_2026</v>
      </c>
      <c r="F985">
        <v>26</v>
      </c>
      <c r="G985" t="s">
        <v>1387</v>
      </c>
      <c r="H985" t="s">
        <v>680</v>
      </c>
      <c r="I985" t="s">
        <v>1394</v>
      </c>
      <c r="J985" t="s">
        <v>1389</v>
      </c>
      <c r="K985" t="s">
        <v>746</v>
      </c>
      <c r="L985" t="s">
        <v>1389</v>
      </c>
      <c r="M985" t="s">
        <v>746</v>
      </c>
      <c r="N985" t="s">
        <v>45</v>
      </c>
      <c r="O985" t="s">
        <v>117</v>
      </c>
      <c r="P985">
        <v>3</v>
      </c>
      <c r="Q985" s="7">
        <v>46234</v>
      </c>
      <c r="R985" s="7">
        <v>46251</v>
      </c>
      <c r="S985" s="7">
        <v>46234</v>
      </c>
      <c r="T985" t="s">
        <v>117</v>
      </c>
      <c r="V985" t="s">
        <v>1390</v>
      </c>
      <c r="W985" t="s">
        <v>117</v>
      </c>
      <c r="X985" t="s">
        <v>117</v>
      </c>
      <c r="Y985" t="s">
        <v>117</v>
      </c>
      <c r="Z985" t="s">
        <v>117</v>
      </c>
      <c r="AE985" s="7">
        <v>46236</v>
      </c>
      <c r="AF985">
        <v>2</v>
      </c>
      <c r="AH985" t="s">
        <v>75</v>
      </c>
      <c r="AI985">
        <v>1</v>
      </c>
      <c r="AJ985" s="15"/>
      <c r="AK985" t="s">
        <v>86</v>
      </c>
      <c r="AL985" s="16"/>
      <c r="AR985" s="18" t="str">
        <f>IFERROR(VLOOKUP(K985,[1]POP!$F:$J,1,0),M985)</f>
        <v>MORA</v>
      </c>
      <c r="AS985" s="18" t="str">
        <f t="shared" si="76"/>
        <v xml:space="preserve">bounderi </v>
      </c>
      <c r="AT985" s="19">
        <f t="shared" si="79"/>
        <v>2</v>
      </c>
      <c r="AU985" s="19">
        <f t="shared" ca="1" si="78"/>
        <v>1</v>
      </c>
    </row>
    <row r="986" spans="1:47" x14ac:dyDescent="0.3">
      <c r="A986" t="s">
        <v>1397</v>
      </c>
      <c r="B986" t="str">
        <f t="shared" si="75"/>
        <v>S31_2026</v>
      </c>
      <c r="C986" t="str">
        <f t="shared" si="77"/>
        <v>S31_2026</v>
      </c>
      <c r="F986">
        <v>5</v>
      </c>
      <c r="G986" t="s">
        <v>1387</v>
      </c>
      <c r="H986" t="s">
        <v>655</v>
      </c>
      <c r="I986" t="s">
        <v>1388</v>
      </c>
      <c r="J986" t="s">
        <v>1389</v>
      </c>
      <c r="K986" t="s">
        <v>746</v>
      </c>
      <c r="L986" t="s">
        <v>1389</v>
      </c>
      <c r="M986" t="s">
        <v>746</v>
      </c>
      <c r="N986" t="s">
        <v>45</v>
      </c>
      <c r="O986" t="s">
        <v>117</v>
      </c>
      <c r="P986">
        <v>3</v>
      </c>
      <c r="Q986" s="7">
        <v>46234</v>
      </c>
      <c r="R986" s="7">
        <v>46251</v>
      </c>
      <c r="S986" s="7">
        <v>46234</v>
      </c>
      <c r="T986" t="s">
        <v>117</v>
      </c>
      <c r="V986" t="s">
        <v>1390</v>
      </c>
      <c r="W986" t="s">
        <v>117</v>
      </c>
      <c r="X986" t="s">
        <v>117</v>
      </c>
      <c r="Y986" t="s">
        <v>117</v>
      </c>
      <c r="Z986" t="s">
        <v>117</v>
      </c>
      <c r="AE986" s="7">
        <v>46236</v>
      </c>
      <c r="AF986">
        <v>2</v>
      </c>
      <c r="AH986" t="s">
        <v>75</v>
      </c>
      <c r="AI986">
        <v>1</v>
      </c>
      <c r="AJ986" s="15"/>
      <c r="AK986" t="s">
        <v>86</v>
      </c>
      <c r="AL986" s="16"/>
      <c r="AR986" s="18" t="str">
        <f>IFERROR(VLOOKUP(K986,[1]POP!$F:$J,1,0),M986)</f>
        <v>MORA</v>
      </c>
      <c r="AS986" s="18" t="str">
        <f t="shared" si="76"/>
        <v xml:space="preserve">bounderi </v>
      </c>
      <c r="AT986" s="19">
        <f t="shared" si="79"/>
        <v>2</v>
      </c>
      <c r="AU986" s="19">
        <f t="shared" ca="1" si="78"/>
        <v>1</v>
      </c>
    </row>
    <row r="987" spans="1:47" x14ac:dyDescent="0.3">
      <c r="A987" t="s">
        <v>1398</v>
      </c>
      <c r="B987" t="str">
        <f t="shared" si="75"/>
        <v>S31_2026</v>
      </c>
      <c r="C987" t="str">
        <f t="shared" si="77"/>
        <v>S31_2026</v>
      </c>
      <c r="F987">
        <v>7</v>
      </c>
      <c r="G987" t="s">
        <v>1387</v>
      </c>
      <c r="H987" t="s">
        <v>655</v>
      </c>
      <c r="I987" t="s">
        <v>1388</v>
      </c>
      <c r="J987" t="s">
        <v>1389</v>
      </c>
      <c r="K987" t="s">
        <v>746</v>
      </c>
      <c r="L987" t="s">
        <v>1389</v>
      </c>
      <c r="M987" t="s">
        <v>746</v>
      </c>
      <c r="N987" t="s">
        <v>45</v>
      </c>
      <c r="O987" t="s">
        <v>117</v>
      </c>
      <c r="P987">
        <v>3</v>
      </c>
      <c r="Q987" s="7">
        <v>46234</v>
      </c>
      <c r="R987" s="7">
        <v>46251</v>
      </c>
      <c r="S987" s="7">
        <v>46234</v>
      </c>
      <c r="T987" t="s">
        <v>117</v>
      </c>
      <c r="V987" t="s">
        <v>1390</v>
      </c>
      <c r="W987" t="s">
        <v>117</v>
      </c>
      <c r="X987" t="s">
        <v>117</v>
      </c>
      <c r="Y987" t="s">
        <v>117</v>
      </c>
      <c r="Z987" t="s">
        <v>117</v>
      </c>
      <c r="AE987" s="7">
        <v>46236</v>
      </c>
      <c r="AF987">
        <v>2</v>
      </c>
      <c r="AH987" t="s">
        <v>75</v>
      </c>
      <c r="AI987">
        <v>1</v>
      </c>
      <c r="AJ987" s="15"/>
      <c r="AK987" t="s">
        <v>86</v>
      </c>
      <c r="AL987" s="16"/>
      <c r="AR987" s="18" t="str">
        <f>IFERROR(VLOOKUP(K987,[1]POP!$F:$J,1,0),M987)</f>
        <v>MORA</v>
      </c>
      <c r="AS987" s="18" t="str">
        <f t="shared" si="76"/>
        <v xml:space="preserve">bounderi </v>
      </c>
      <c r="AT987" s="19">
        <f t="shared" si="79"/>
        <v>2</v>
      </c>
      <c r="AU987" s="19">
        <f t="shared" ca="1" si="78"/>
        <v>1</v>
      </c>
    </row>
    <row r="988" spans="1:47" x14ac:dyDescent="0.3">
      <c r="A988" t="s">
        <v>1399</v>
      </c>
      <c r="B988" t="str">
        <f t="shared" si="75"/>
        <v>S31_2026</v>
      </c>
      <c r="C988" t="str">
        <f t="shared" si="77"/>
        <v>S31_2026</v>
      </c>
      <c r="F988">
        <v>15</v>
      </c>
      <c r="G988" t="s">
        <v>1387</v>
      </c>
      <c r="H988" t="s">
        <v>1400</v>
      </c>
      <c r="I988" t="s">
        <v>1388</v>
      </c>
      <c r="J988" t="s">
        <v>1389</v>
      </c>
      <c r="K988" t="s">
        <v>746</v>
      </c>
      <c r="L988" t="s">
        <v>1389</v>
      </c>
      <c r="M988" t="s">
        <v>746</v>
      </c>
      <c r="N988" t="s">
        <v>45</v>
      </c>
      <c r="O988" t="s">
        <v>117</v>
      </c>
      <c r="P988">
        <v>3</v>
      </c>
      <c r="Q988" s="7">
        <v>46234</v>
      </c>
      <c r="R988" s="7">
        <v>46251</v>
      </c>
      <c r="S988" s="7">
        <v>46234</v>
      </c>
      <c r="T988" t="s">
        <v>117</v>
      </c>
      <c r="V988" t="s">
        <v>1390</v>
      </c>
      <c r="W988" t="s">
        <v>117</v>
      </c>
      <c r="X988" t="s">
        <v>117</v>
      </c>
      <c r="Y988" t="s">
        <v>117</v>
      </c>
      <c r="Z988" t="s">
        <v>117</v>
      </c>
      <c r="AE988" s="7">
        <v>46236</v>
      </c>
      <c r="AF988">
        <v>2</v>
      </c>
      <c r="AH988" t="s">
        <v>75</v>
      </c>
      <c r="AI988">
        <v>1</v>
      </c>
      <c r="AJ988" s="15"/>
      <c r="AK988" t="s">
        <v>86</v>
      </c>
      <c r="AL988" s="16"/>
      <c r="AR988" s="18" t="str">
        <f>IFERROR(VLOOKUP(K988,[1]POP!$F:$J,1,0),M988)</f>
        <v>MORA</v>
      </c>
      <c r="AS988" s="18" t="str">
        <f t="shared" si="76"/>
        <v xml:space="preserve">bounderi </v>
      </c>
      <c r="AT988" s="19">
        <f t="shared" si="79"/>
        <v>2</v>
      </c>
      <c r="AU988" s="19">
        <f t="shared" ca="1" si="78"/>
        <v>1</v>
      </c>
    </row>
    <row r="989" spans="1:47" x14ac:dyDescent="0.3">
      <c r="A989" t="s">
        <v>1401</v>
      </c>
      <c r="B989" t="str">
        <f t="shared" si="75"/>
        <v>S31_2026</v>
      </c>
      <c r="C989" t="str">
        <f t="shared" si="77"/>
        <v>S31_2026</v>
      </c>
      <c r="F989">
        <v>6</v>
      </c>
      <c r="G989" t="s">
        <v>1387</v>
      </c>
      <c r="H989" t="s">
        <v>1402</v>
      </c>
      <c r="I989" t="s">
        <v>1394</v>
      </c>
      <c r="J989" t="s">
        <v>1389</v>
      </c>
      <c r="K989" t="s">
        <v>746</v>
      </c>
      <c r="L989" t="s">
        <v>1389</v>
      </c>
      <c r="M989" t="s">
        <v>746</v>
      </c>
      <c r="N989" t="s">
        <v>45</v>
      </c>
      <c r="O989" t="s">
        <v>117</v>
      </c>
      <c r="P989">
        <v>3</v>
      </c>
      <c r="Q989" s="7">
        <v>46234</v>
      </c>
      <c r="R989" s="7">
        <v>46251</v>
      </c>
      <c r="S989" s="7">
        <v>46234</v>
      </c>
      <c r="T989" t="s">
        <v>117</v>
      </c>
      <c r="V989" t="s">
        <v>1390</v>
      </c>
      <c r="W989" t="s">
        <v>117</v>
      </c>
      <c r="X989" t="s">
        <v>117</v>
      </c>
      <c r="Y989" t="s">
        <v>117</v>
      </c>
      <c r="Z989" t="s">
        <v>117</v>
      </c>
      <c r="AE989" s="7">
        <v>46236</v>
      </c>
      <c r="AF989">
        <v>2</v>
      </c>
      <c r="AH989" t="s">
        <v>75</v>
      </c>
      <c r="AI989">
        <v>1</v>
      </c>
      <c r="AJ989" s="15"/>
      <c r="AK989" t="s">
        <v>86</v>
      </c>
      <c r="AL989" s="16"/>
      <c r="AR989" s="18" t="str">
        <f>IFERROR(VLOOKUP(K989,[1]POP!$F:$J,1,0),M989)</f>
        <v>MORA</v>
      </c>
      <c r="AS989" s="18" t="str">
        <f t="shared" si="76"/>
        <v xml:space="preserve">bounderi </v>
      </c>
      <c r="AT989" s="19">
        <f t="shared" si="79"/>
        <v>2</v>
      </c>
      <c r="AU989" s="19">
        <f t="shared" ca="1" si="78"/>
        <v>1</v>
      </c>
    </row>
    <row r="990" spans="1:47" x14ac:dyDescent="0.3">
      <c r="A990" t="s">
        <v>1403</v>
      </c>
      <c r="B990" t="str">
        <f t="shared" si="75"/>
        <v>S31_2026</v>
      </c>
      <c r="C990" t="str">
        <f t="shared" si="77"/>
        <v>S31_2026</v>
      </c>
      <c r="F990">
        <v>6</v>
      </c>
      <c r="G990" t="s">
        <v>1387</v>
      </c>
      <c r="H990" t="s">
        <v>655</v>
      </c>
      <c r="I990" t="s">
        <v>1388</v>
      </c>
      <c r="J990" t="s">
        <v>1389</v>
      </c>
      <c r="K990" t="s">
        <v>746</v>
      </c>
      <c r="L990" t="s">
        <v>1389</v>
      </c>
      <c r="M990" t="s">
        <v>746</v>
      </c>
      <c r="N990" t="s">
        <v>45</v>
      </c>
      <c r="O990" t="s">
        <v>117</v>
      </c>
      <c r="P990">
        <v>3</v>
      </c>
      <c r="Q990" s="7">
        <v>46234</v>
      </c>
      <c r="R990" s="7">
        <v>46251</v>
      </c>
      <c r="S990" s="7">
        <v>46234</v>
      </c>
      <c r="T990" t="s">
        <v>117</v>
      </c>
      <c r="V990" t="s">
        <v>1390</v>
      </c>
      <c r="W990" t="s">
        <v>117</v>
      </c>
      <c r="X990" t="s">
        <v>117</v>
      </c>
      <c r="Y990" t="s">
        <v>117</v>
      </c>
      <c r="Z990" t="s">
        <v>117</v>
      </c>
      <c r="AE990" s="7">
        <v>46236</v>
      </c>
      <c r="AF990">
        <v>2</v>
      </c>
      <c r="AH990" t="s">
        <v>75</v>
      </c>
      <c r="AI990">
        <v>1</v>
      </c>
      <c r="AJ990" s="15"/>
      <c r="AK990" t="s">
        <v>86</v>
      </c>
      <c r="AL990" s="16"/>
      <c r="AR990" s="18" t="str">
        <f>IFERROR(VLOOKUP(K990,[1]POP!$F:$J,1,0),M990)</f>
        <v>MORA</v>
      </c>
      <c r="AS990" s="18" t="str">
        <f t="shared" si="76"/>
        <v xml:space="preserve">bounderi </v>
      </c>
      <c r="AT990" s="19">
        <f t="shared" si="79"/>
        <v>2</v>
      </c>
      <c r="AU990" s="19">
        <f t="shared" ca="1" si="78"/>
        <v>1</v>
      </c>
    </row>
    <row r="991" spans="1:47" x14ac:dyDescent="0.3">
      <c r="A991" t="s">
        <v>1404</v>
      </c>
      <c r="B991" t="str">
        <f t="shared" si="75"/>
        <v>S31_2026</v>
      </c>
      <c r="C991" t="str">
        <f t="shared" si="77"/>
        <v>S31_2026</v>
      </c>
      <c r="F991">
        <v>7</v>
      </c>
      <c r="G991" t="s">
        <v>1387</v>
      </c>
      <c r="H991" t="s">
        <v>655</v>
      </c>
      <c r="I991" t="s">
        <v>1394</v>
      </c>
      <c r="J991" t="s">
        <v>1389</v>
      </c>
      <c r="K991" t="s">
        <v>746</v>
      </c>
      <c r="L991" t="s">
        <v>1389</v>
      </c>
      <c r="M991" t="s">
        <v>746</v>
      </c>
      <c r="N991" t="s">
        <v>45</v>
      </c>
      <c r="O991" t="s">
        <v>117</v>
      </c>
      <c r="P991">
        <v>3</v>
      </c>
      <c r="Q991" s="7">
        <v>46234</v>
      </c>
      <c r="R991" s="7">
        <v>46251</v>
      </c>
      <c r="S991" s="7">
        <v>46234</v>
      </c>
      <c r="T991" t="s">
        <v>117</v>
      </c>
      <c r="V991" t="s">
        <v>1390</v>
      </c>
      <c r="W991" t="s">
        <v>117</v>
      </c>
      <c r="X991" t="s">
        <v>117</v>
      </c>
      <c r="Y991" t="s">
        <v>117</v>
      </c>
      <c r="Z991" t="s">
        <v>117</v>
      </c>
      <c r="AE991" s="7">
        <v>46236</v>
      </c>
      <c r="AF991">
        <v>2</v>
      </c>
      <c r="AH991" t="s">
        <v>75</v>
      </c>
      <c r="AI991">
        <v>1</v>
      </c>
      <c r="AJ991" s="15"/>
      <c r="AL991" s="16"/>
      <c r="AR991" s="18" t="str">
        <f>IFERROR(VLOOKUP(K991,[1]POP!$F:$J,1,0),M991)</f>
        <v>MORA</v>
      </c>
      <c r="AS991" s="18" t="str">
        <f t="shared" si="76"/>
        <v xml:space="preserve">bounderi </v>
      </c>
      <c r="AT991" s="19">
        <f t="shared" si="79"/>
        <v>2</v>
      </c>
      <c r="AU991" s="19">
        <f t="shared" ca="1" si="78"/>
        <v>1</v>
      </c>
    </row>
    <row r="992" spans="1:47" x14ac:dyDescent="0.3">
      <c r="A992" t="s">
        <v>1405</v>
      </c>
      <c r="B992" t="str">
        <f t="shared" si="75"/>
        <v>S31_2026</v>
      </c>
      <c r="C992" t="str">
        <f t="shared" si="77"/>
        <v>S31_2026</v>
      </c>
      <c r="F992">
        <v>5</v>
      </c>
      <c r="G992" t="s">
        <v>1387</v>
      </c>
      <c r="H992" t="s">
        <v>1406</v>
      </c>
      <c r="I992" t="s">
        <v>1394</v>
      </c>
      <c r="J992" t="s">
        <v>1389</v>
      </c>
      <c r="K992" t="s">
        <v>746</v>
      </c>
      <c r="L992" t="s">
        <v>1389</v>
      </c>
      <c r="M992" t="s">
        <v>746</v>
      </c>
      <c r="N992" t="s">
        <v>117</v>
      </c>
      <c r="O992" t="s">
        <v>117</v>
      </c>
      <c r="P992">
        <v>3</v>
      </c>
      <c r="Q992" s="7">
        <v>46234</v>
      </c>
      <c r="R992" s="7">
        <v>46251</v>
      </c>
      <c r="S992" s="7">
        <v>46234</v>
      </c>
      <c r="T992" t="s">
        <v>117</v>
      </c>
      <c r="V992" t="s">
        <v>1390</v>
      </c>
      <c r="W992" t="s">
        <v>117</v>
      </c>
      <c r="X992" t="s">
        <v>117</v>
      </c>
      <c r="Y992" t="s">
        <v>117</v>
      </c>
      <c r="Z992" t="s">
        <v>117</v>
      </c>
      <c r="AF992">
        <v>3</v>
      </c>
      <c r="AH992" t="s">
        <v>75</v>
      </c>
      <c r="AI992">
        <v>2</v>
      </c>
      <c r="AJ992" s="15"/>
      <c r="AL992" s="16"/>
      <c r="AR992" s="18" t="str">
        <f>IFERROR(VLOOKUP(K992,[1]POP!$F:$J,1,0),M992)</f>
        <v>MORA</v>
      </c>
      <c r="AS992" s="18" t="str">
        <f t="shared" si="76"/>
        <v xml:space="preserve">bounderi </v>
      </c>
      <c r="AT992" s="19">
        <f t="shared" si="79"/>
        <v>3</v>
      </c>
      <c r="AU992" s="19">
        <f t="shared" ca="1" si="78"/>
        <v>1</v>
      </c>
    </row>
    <row r="993" spans="1:47" x14ac:dyDescent="0.3">
      <c r="A993" t="s">
        <v>1407</v>
      </c>
      <c r="B993" t="str">
        <f t="shared" si="75"/>
        <v>S31_2026</v>
      </c>
      <c r="C993" t="str">
        <f t="shared" si="77"/>
        <v>S31_2026</v>
      </c>
      <c r="F993">
        <v>7</v>
      </c>
      <c r="G993" t="s">
        <v>55</v>
      </c>
      <c r="H993" t="s">
        <v>56</v>
      </c>
      <c r="I993" t="s">
        <v>1408</v>
      </c>
      <c r="J993" t="s">
        <v>1408</v>
      </c>
      <c r="K993" t="s">
        <v>746</v>
      </c>
      <c r="L993" t="s">
        <v>746</v>
      </c>
      <c r="M993" t="s">
        <v>746</v>
      </c>
      <c r="N993" t="s">
        <v>45</v>
      </c>
      <c r="O993" t="s">
        <v>45</v>
      </c>
      <c r="P993">
        <v>3</v>
      </c>
      <c r="Q993" s="7">
        <v>46234</v>
      </c>
      <c r="R993" s="7">
        <v>46251</v>
      </c>
      <c r="S993" s="7">
        <v>46234</v>
      </c>
      <c r="T993" t="s">
        <v>45</v>
      </c>
      <c r="V993" t="s">
        <v>852</v>
      </c>
      <c r="W993" t="s">
        <v>45</v>
      </c>
      <c r="X993" t="s">
        <v>45</v>
      </c>
      <c r="Y993" t="s">
        <v>45</v>
      </c>
      <c r="Z993" t="s">
        <v>45</v>
      </c>
      <c r="AA993" s="7">
        <v>46234</v>
      </c>
      <c r="AB993" t="s">
        <v>48</v>
      </c>
      <c r="AE993" s="7">
        <v>46235</v>
      </c>
      <c r="AF993">
        <v>2</v>
      </c>
      <c r="AH993" t="s">
        <v>75</v>
      </c>
      <c r="AI993">
        <v>1</v>
      </c>
      <c r="AJ993" s="15"/>
      <c r="AK993" t="s">
        <v>74</v>
      </c>
      <c r="AL993" s="16"/>
      <c r="AR993" s="18" t="str">
        <f>IFERROR(VLOOKUP(K993,[1]POP!$F:$J,1,0),M993)</f>
        <v>MORA</v>
      </c>
      <c r="AS993" s="18" t="str">
        <f t="shared" si="76"/>
        <v>DOULO</v>
      </c>
      <c r="AT993" s="19">
        <f t="shared" si="79"/>
        <v>2</v>
      </c>
      <c r="AU993" s="19">
        <f t="shared" ca="1" si="78"/>
        <v>1</v>
      </c>
    </row>
    <row r="994" spans="1:47" x14ac:dyDescent="0.3">
      <c r="A994" t="s">
        <v>1409</v>
      </c>
      <c r="B994" t="str">
        <f t="shared" si="75"/>
        <v>S31_2026</v>
      </c>
      <c r="C994" t="str">
        <f t="shared" si="77"/>
        <v>S31_2026</v>
      </c>
      <c r="F994">
        <v>28</v>
      </c>
      <c r="G994" t="s">
        <v>55</v>
      </c>
      <c r="H994" t="s">
        <v>1376</v>
      </c>
      <c r="K994" t="s">
        <v>746</v>
      </c>
      <c r="L994" t="s">
        <v>746</v>
      </c>
      <c r="M994" t="s">
        <v>746</v>
      </c>
      <c r="N994" t="s">
        <v>45</v>
      </c>
      <c r="O994" t="s">
        <v>74</v>
      </c>
      <c r="P994">
        <v>1</v>
      </c>
      <c r="Q994" s="7">
        <v>46235</v>
      </c>
      <c r="R994" s="7">
        <v>46251</v>
      </c>
      <c r="S994" s="7">
        <v>46235</v>
      </c>
      <c r="T994" t="s">
        <v>45</v>
      </c>
      <c r="V994" t="s">
        <v>852</v>
      </c>
      <c r="W994" t="s">
        <v>45</v>
      </c>
      <c r="X994" t="s">
        <v>45</v>
      </c>
      <c r="Y994" t="s">
        <v>74</v>
      </c>
      <c r="Z994" t="s">
        <v>45</v>
      </c>
      <c r="AA994" s="7">
        <v>46235</v>
      </c>
      <c r="AB994" t="s">
        <v>62</v>
      </c>
      <c r="AE994" s="7">
        <v>46237</v>
      </c>
      <c r="AF994">
        <v>2</v>
      </c>
      <c r="AH994" t="s">
        <v>75</v>
      </c>
      <c r="AI994">
        <v>1</v>
      </c>
      <c r="AJ994" s="15"/>
      <c r="AK994" t="s">
        <v>74</v>
      </c>
      <c r="AL994" s="16"/>
      <c r="AR994" s="18" t="str">
        <f>IFERROR(VLOOKUP(K994,[1]POP!$F:$J,1,0),M994)</f>
        <v>MORA</v>
      </c>
      <c r="AS994" s="18">
        <f t="shared" si="76"/>
        <v>0</v>
      </c>
      <c r="AT994" s="19">
        <f t="shared" si="79"/>
        <v>2</v>
      </c>
      <c r="AU994" s="19">
        <f t="shared" ca="1" si="78"/>
        <v>1</v>
      </c>
    </row>
    <row r="995" spans="1:47" x14ac:dyDescent="0.3">
      <c r="A995" t="s">
        <v>1410</v>
      </c>
      <c r="B995" t="str">
        <f t="shared" si="75"/>
        <v>S31_2026</v>
      </c>
      <c r="C995" t="str">
        <f t="shared" si="77"/>
        <v>S31_2026</v>
      </c>
      <c r="F995">
        <v>20</v>
      </c>
      <c r="G995" t="s">
        <v>40</v>
      </c>
      <c r="H995" t="s">
        <v>77</v>
      </c>
      <c r="I995" t="s">
        <v>731</v>
      </c>
      <c r="J995" t="s">
        <v>731</v>
      </c>
      <c r="K995" t="s">
        <v>72</v>
      </c>
      <c r="L995" t="s">
        <v>72</v>
      </c>
      <c r="M995" t="s">
        <v>72</v>
      </c>
      <c r="N995" t="s">
        <v>45</v>
      </c>
      <c r="O995" t="s">
        <v>45</v>
      </c>
      <c r="P995">
        <v>2</v>
      </c>
      <c r="Q995" s="7">
        <v>46231</v>
      </c>
      <c r="R995" s="7">
        <v>46251</v>
      </c>
      <c r="S995" s="7">
        <v>46231</v>
      </c>
      <c r="T995" t="s">
        <v>45</v>
      </c>
      <c r="V995" t="s">
        <v>343</v>
      </c>
      <c r="W995" t="s">
        <v>45</v>
      </c>
      <c r="X995" t="s">
        <v>45</v>
      </c>
      <c r="Y995" t="s">
        <v>45</v>
      </c>
      <c r="Z995" t="s">
        <v>45</v>
      </c>
      <c r="AE995" s="7">
        <v>46234</v>
      </c>
      <c r="AF995">
        <v>2</v>
      </c>
      <c r="AH995" t="s">
        <v>75</v>
      </c>
      <c r="AI995">
        <v>1</v>
      </c>
      <c r="AJ995" s="15"/>
      <c r="AK995" t="s">
        <v>74</v>
      </c>
      <c r="AL995" s="16"/>
      <c r="AR995" s="18" t="str">
        <f>IFERROR(VLOOKUP(K995,[1]POP!$F:$J,1,0),M995)</f>
        <v>FOTOKOL</v>
      </c>
      <c r="AS995" s="18" t="str">
        <f t="shared" si="76"/>
        <v>SOUERAM</v>
      </c>
      <c r="AT995" s="19">
        <f t="shared" si="79"/>
        <v>2</v>
      </c>
      <c r="AU995" s="19">
        <f t="shared" ca="1" si="78"/>
        <v>1</v>
      </c>
    </row>
    <row r="996" spans="1:47" x14ac:dyDescent="0.3">
      <c r="A996" t="s">
        <v>1411</v>
      </c>
      <c r="B996" t="str">
        <f t="shared" si="75"/>
        <v>S31_2026</v>
      </c>
      <c r="C996" t="str">
        <f t="shared" si="77"/>
        <v>S31_2026</v>
      </c>
      <c r="F996">
        <v>9</v>
      </c>
      <c r="G996" t="s">
        <v>55</v>
      </c>
      <c r="H996" t="s">
        <v>85</v>
      </c>
      <c r="I996" t="s">
        <v>1412</v>
      </c>
      <c r="J996" t="s">
        <v>71</v>
      </c>
      <c r="K996" t="s">
        <v>72</v>
      </c>
      <c r="L996" t="s">
        <v>72</v>
      </c>
      <c r="M996" t="s">
        <v>72</v>
      </c>
      <c r="N996" t="s">
        <v>45</v>
      </c>
      <c r="O996" t="s">
        <v>45</v>
      </c>
      <c r="P996">
        <v>2</v>
      </c>
      <c r="Q996" s="7">
        <v>46232</v>
      </c>
      <c r="R996" s="7">
        <v>46232</v>
      </c>
      <c r="S996" s="7">
        <v>46232</v>
      </c>
      <c r="T996" t="s">
        <v>45</v>
      </c>
      <c r="V996" t="s">
        <v>343</v>
      </c>
      <c r="W996" t="s">
        <v>45</v>
      </c>
      <c r="X996" t="s">
        <v>45</v>
      </c>
      <c r="Y996" t="s">
        <v>45</v>
      </c>
      <c r="Z996" t="s">
        <v>45</v>
      </c>
      <c r="AE996" s="7">
        <v>46235</v>
      </c>
      <c r="AF996">
        <v>2</v>
      </c>
      <c r="AH996" t="s">
        <v>75</v>
      </c>
      <c r="AI996">
        <v>1</v>
      </c>
      <c r="AJ996" s="15"/>
      <c r="AK996" t="s">
        <v>74</v>
      </c>
      <c r="AL996" s="16"/>
      <c r="AR996" s="18" t="str">
        <f>IFERROR(VLOOKUP(K996,[1]POP!$F:$J,1,0),M996)</f>
        <v>FOTOKOL</v>
      </c>
      <c r="AS996" s="18" t="str">
        <f t="shared" si="76"/>
        <v>SAGME</v>
      </c>
      <c r="AT996" s="19">
        <f t="shared" si="79"/>
        <v>2</v>
      </c>
      <c r="AU996" s="19">
        <f t="shared" ca="1" si="78"/>
        <v>2</v>
      </c>
    </row>
    <row r="997" spans="1:47" x14ac:dyDescent="0.3">
      <c r="A997" t="s">
        <v>1413</v>
      </c>
      <c r="B997" t="str">
        <f t="shared" si="75"/>
        <v>S30_2026</v>
      </c>
      <c r="C997" t="str">
        <f t="shared" si="77"/>
        <v>S30_2026</v>
      </c>
      <c r="F997">
        <v>2</v>
      </c>
      <c r="G997" t="s">
        <v>55</v>
      </c>
      <c r="H997" t="s">
        <v>85</v>
      </c>
      <c r="I997" t="s">
        <v>71</v>
      </c>
      <c r="J997" t="s">
        <v>71</v>
      </c>
      <c r="K997" t="s">
        <v>72</v>
      </c>
      <c r="L997" t="s">
        <v>72</v>
      </c>
      <c r="M997" t="s">
        <v>72</v>
      </c>
      <c r="N997" t="s">
        <v>45</v>
      </c>
      <c r="O997" t="s">
        <v>45</v>
      </c>
      <c r="P997">
        <v>2</v>
      </c>
      <c r="Q997" s="7">
        <v>46229</v>
      </c>
      <c r="R997" s="7">
        <v>46243</v>
      </c>
      <c r="S997" s="7">
        <v>46229</v>
      </c>
      <c r="T997" t="s">
        <v>45</v>
      </c>
      <c r="V997" t="s">
        <v>343</v>
      </c>
      <c r="W997" t="s">
        <v>45</v>
      </c>
      <c r="X997" t="s">
        <v>45</v>
      </c>
      <c r="Y997" t="s">
        <v>45</v>
      </c>
      <c r="Z997" t="s">
        <v>45</v>
      </c>
      <c r="AE997" s="7">
        <v>46235</v>
      </c>
      <c r="AF997">
        <v>2</v>
      </c>
      <c r="AH997" t="s">
        <v>75</v>
      </c>
      <c r="AI997">
        <v>1</v>
      </c>
      <c r="AJ997" s="15"/>
      <c r="AK997" t="s">
        <v>74</v>
      </c>
      <c r="AL997" s="16"/>
      <c r="AR997" s="18" t="str">
        <f>IFERROR(VLOOKUP(K997,[1]POP!$F:$J,1,0),M997)</f>
        <v>FOTOKOL</v>
      </c>
      <c r="AS997" s="18" t="str">
        <f t="shared" si="76"/>
        <v>SAGME</v>
      </c>
      <c r="AT997" s="19">
        <f t="shared" si="79"/>
        <v>2</v>
      </c>
      <c r="AU997" s="19">
        <f t="shared" ca="1" si="78"/>
        <v>2</v>
      </c>
    </row>
    <row r="998" spans="1:47" x14ac:dyDescent="0.3">
      <c r="A998" t="s">
        <v>1414</v>
      </c>
      <c r="B998" t="str">
        <f t="shared" si="75"/>
        <v>S31_2026</v>
      </c>
      <c r="C998" t="str">
        <f t="shared" si="77"/>
        <v>S31_2026</v>
      </c>
      <c r="F998">
        <v>50</v>
      </c>
      <c r="G998" t="s">
        <v>40</v>
      </c>
      <c r="H998" t="s">
        <v>77</v>
      </c>
      <c r="I998" t="s">
        <v>731</v>
      </c>
      <c r="J998" t="s">
        <v>731</v>
      </c>
      <c r="K998" t="s">
        <v>72</v>
      </c>
      <c r="L998" t="s">
        <v>72</v>
      </c>
      <c r="M998" t="s">
        <v>72</v>
      </c>
      <c r="N998" t="s">
        <v>45</v>
      </c>
      <c r="O998" t="s">
        <v>45</v>
      </c>
      <c r="P998">
        <v>3</v>
      </c>
      <c r="Q998" s="7">
        <v>46230</v>
      </c>
      <c r="R998" s="7">
        <v>46237</v>
      </c>
      <c r="S998" s="7">
        <v>46230</v>
      </c>
      <c r="T998" t="s">
        <v>45</v>
      </c>
      <c r="V998" t="s">
        <v>343</v>
      </c>
      <c r="W998" t="s">
        <v>45</v>
      </c>
      <c r="X998" t="s">
        <v>45</v>
      </c>
      <c r="Y998" t="s">
        <v>45</v>
      </c>
      <c r="Z998" t="s">
        <v>45</v>
      </c>
      <c r="AA998" s="7">
        <v>46230</v>
      </c>
      <c r="AB998" t="s">
        <v>48</v>
      </c>
      <c r="AE998" s="7">
        <v>46205</v>
      </c>
      <c r="AF998">
        <v>2</v>
      </c>
      <c r="AH998" t="s">
        <v>75</v>
      </c>
      <c r="AI998">
        <v>1</v>
      </c>
      <c r="AJ998" s="15"/>
      <c r="AK998" t="s">
        <v>74</v>
      </c>
      <c r="AL998" s="16"/>
      <c r="AR998" s="18" t="str">
        <f>IFERROR(VLOOKUP(K998,[1]POP!$F:$J,1,0),M998)</f>
        <v>FOTOKOL</v>
      </c>
      <c r="AS998" s="18" t="str">
        <f t="shared" si="76"/>
        <v>SOUERAM</v>
      </c>
      <c r="AT998" s="19">
        <f t="shared" si="79"/>
        <v>2</v>
      </c>
      <c r="AU998" s="19">
        <f t="shared" ca="1" si="78"/>
        <v>2</v>
      </c>
    </row>
    <row r="999" spans="1:47" x14ac:dyDescent="0.3">
      <c r="A999" t="s">
        <v>1415</v>
      </c>
      <c r="B999" t="str">
        <f t="shared" si="75"/>
        <v>S27_2026</v>
      </c>
      <c r="C999" t="str">
        <f t="shared" si="77"/>
        <v>S31_2026</v>
      </c>
      <c r="F999">
        <v>26</v>
      </c>
      <c r="G999" t="s">
        <v>55</v>
      </c>
      <c r="H999" t="s">
        <v>164</v>
      </c>
      <c r="I999" t="s">
        <v>71</v>
      </c>
      <c r="J999" t="s">
        <v>71</v>
      </c>
      <c r="K999" t="s">
        <v>72</v>
      </c>
      <c r="L999" t="s">
        <v>72</v>
      </c>
      <c r="M999" t="s">
        <v>72</v>
      </c>
      <c r="N999" t="s">
        <v>45</v>
      </c>
      <c r="O999" t="s">
        <v>45</v>
      </c>
      <c r="P999">
        <v>3</v>
      </c>
      <c r="Q999" s="7">
        <v>46235</v>
      </c>
      <c r="R999" s="7">
        <v>46254</v>
      </c>
      <c r="S999" s="7">
        <v>46204</v>
      </c>
      <c r="T999" t="s">
        <v>45</v>
      </c>
      <c r="V999" t="s">
        <v>343</v>
      </c>
      <c r="W999" t="s">
        <v>45</v>
      </c>
      <c r="X999" t="s">
        <v>45</v>
      </c>
      <c r="Y999" t="s">
        <v>45</v>
      </c>
      <c r="Z999" t="s">
        <v>45</v>
      </c>
      <c r="AE999" s="7">
        <v>46208</v>
      </c>
      <c r="AF999">
        <v>2</v>
      </c>
      <c r="AH999" t="s">
        <v>75</v>
      </c>
      <c r="AI999">
        <v>1</v>
      </c>
      <c r="AJ999" s="15"/>
      <c r="AL999" s="16"/>
      <c r="AR999" s="18" t="str">
        <f>IFERROR(VLOOKUP(K999,[1]POP!$F:$J,1,0),M999)</f>
        <v>FOTOKOL</v>
      </c>
      <c r="AS999" s="18" t="str">
        <f t="shared" si="76"/>
        <v>SAGME</v>
      </c>
      <c r="AT999" s="19">
        <f t="shared" si="79"/>
        <v>2</v>
      </c>
      <c r="AU999" s="19">
        <f t="shared" ca="1" si="78"/>
        <v>1</v>
      </c>
    </row>
    <row r="1000" spans="1:47" x14ac:dyDescent="0.3">
      <c r="A1000" t="s">
        <v>1416</v>
      </c>
      <c r="B1000" t="str">
        <f t="shared" si="75"/>
        <v>S31_2026</v>
      </c>
      <c r="C1000" t="str">
        <f t="shared" si="77"/>
        <v>S31_2026</v>
      </c>
      <c r="F1000">
        <v>2</v>
      </c>
      <c r="G1000" t="s">
        <v>40</v>
      </c>
      <c r="H1000" t="s">
        <v>85</v>
      </c>
      <c r="I1000" t="s">
        <v>731</v>
      </c>
      <c r="J1000" t="s">
        <v>731</v>
      </c>
      <c r="K1000" t="s">
        <v>72</v>
      </c>
      <c r="L1000" t="s">
        <v>72</v>
      </c>
      <c r="M1000" t="s">
        <v>72</v>
      </c>
      <c r="N1000" t="s">
        <v>45</v>
      </c>
      <c r="O1000" t="s">
        <v>45</v>
      </c>
      <c r="P1000">
        <v>3</v>
      </c>
      <c r="Q1000" s="7">
        <v>46235</v>
      </c>
      <c r="R1000" s="7">
        <v>46204</v>
      </c>
      <c r="S1000" s="7">
        <v>46235</v>
      </c>
      <c r="T1000" t="s">
        <v>45</v>
      </c>
      <c r="V1000" t="s">
        <v>343</v>
      </c>
      <c r="W1000" t="s">
        <v>45</v>
      </c>
      <c r="X1000" t="s">
        <v>45</v>
      </c>
      <c r="Y1000" t="s">
        <v>45</v>
      </c>
      <c r="Z1000" t="s">
        <v>45</v>
      </c>
      <c r="AE1000" s="7">
        <v>46208</v>
      </c>
      <c r="AF1000">
        <v>2</v>
      </c>
      <c r="AH1000" t="s">
        <v>75</v>
      </c>
      <c r="AI1000">
        <v>1</v>
      </c>
      <c r="AJ1000" s="15"/>
      <c r="AL1000" s="16"/>
      <c r="AR1000" s="18" t="str">
        <f>IFERROR(VLOOKUP(K1000,[1]POP!$F:$J,1,0),M1000)</f>
        <v>FOTOKOL</v>
      </c>
      <c r="AS1000" s="18" t="str">
        <f t="shared" si="76"/>
        <v>SOUERAM</v>
      </c>
      <c r="AT1000" s="19">
        <f t="shared" si="79"/>
        <v>2</v>
      </c>
      <c r="AU1000" s="19">
        <f t="shared" ca="1" si="78"/>
        <v>2</v>
      </c>
    </row>
    <row r="1001" spans="1:47" x14ac:dyDescent="0.3">
      <c r="A1001" t="s">
        <v>1417</v>
      </c>
      <c r="B1001" t="str">
        <f t="shared" si="75"/>
        <v>S30_2026</v>
      </c>
      <c r="C1001" t="str">
        <f t="shared" si="77"/>
        <v>S30_2026</v>
      </c>
      <c r="F1001">
        <v>12</v>
      </c>
      <c r="G1001" t="s">
        <v>55</v>
      </c>
      <c r="H1001" t="s">
        <v>468</v>
      </c>
      <c r="I1001" t="s">
        <v>560</v>
      </c>
      <c r="J1001" t="s">
        <v>560</v>
      </c>
      <c r="K1001" t="s">
        <v>460</v>
      </c>
      <c r="L1001" t="s">
        <v>560</v>
      </c>
      <c r="M1001" t="s">
        <v>460</v>
      </c>
      <c r="N1001" t="s">
        <v>45</v>
      </c>
      <c r="O1001" t="s">
        <v>45</v>
      </c>
      <c r="P1001">
        <v>2</v>
      </c>
      <c r="Q1001" s="7">
        <v>46228</v>
      </c>
      <c r="R1001" s="7">
        <v>46228</v>
      </c>
      <c r="S1001" s="7">
        <v>46228</v>
      </c>
      <c r="T1001" t="s">
        <v>45</v>
      </c>
      <c r="V1001" t="s">
        <v>1079</v>
      </c>
      <c r="W1001" t="s">
        <v>45</v>
      </c>
      <c r="X1001" t="s">
        <v>45</v>
      </c>
      <c r="Y1001" t="s">
        <v>45</v>
      </c>
      <c r="Z1001" t="s">
        <v>45</v>
      </c>
      <c r="AA1001" s="7">
        <v>46228</v>
      </c>
      <c r="AB1001" t="s">
        <v>62</v>
      </c>
      <c r="AF1001">
        <v>2</v>
      </c>
      <c r="AH1001" t="s">
        <v>75</v>
      </c>
      <c r="AI1001">
        <v>1</v>
      </c>
      <c r="AJ1001" s="15"/>
      <c r="AK1001" t="s">
        <v>86</v>
      </c>
      <c r="AL1001" s="16"/>
      <c r="AR1001" s="18" t="str">
        <f>IFERROR(VLOOKUP(K1001,[1]POP!$F:$J,1,0),M1001)</f>
        <v>KOUSSERI</v>
      </c>
      <c r="AS1001" s="18" t="str">
        <f t="shared" si="76"/>
        <v>MADANA</v>
      </c>
      <c r="AT1001" s="19">
        <f t="shared" si="79"/>
        <v>2</v>
      </c>
      <c r="AU1001" s="19">
        <f t="shared" ca="1" si="78"/>
        <v>2</v>
      </c>
    </row>
    <row r="1002" spans="1:47" x14ac:dyDescent="0.3">
      <c r="A1002" t="s">
        <v>1418</v>
      </c>
      <c r="B1002" t="str">
        <f t="shared" si="75"/>
        <v>S30_2026</v>
      </c>
      <c r="C1002" t="str">
        <f t="shared" si="77"/>
        <v>S30_2026</v>
      </c>
      <c r="F1002">
        <v>1</v>
      </c>
      <c r="G1002" t="s">
        <v>55</v>
      </c>
      <c r="H1002" t="s">
        <v>85</v>
      </c>
      <c r="I1002" t="s">
        <v>634</v>
      </c>
      <c r="J1002" t="s">
        <v>1419</v>
      </c>
      <c r="K1002" t="s">
        <v>460</v>
      </c>
      <c r="L1002" t="s">
        <v>459</v>
      </c>
      <c r="M1002" t="s">
        <v>460</v>
      </c>
      <c r="N1002" t="s">
        <v>45</v>
      </c>
      <c r="O1002" t="s">
        <v>45</v>
      </c>
      <c r="P1002">
        <v>1</v>
      </c>
      <c r="Q1002" s="7">
        <v>46226</v>
      </c>
      <c r="R1002" s="7">
        <v>46227</v>
      </c>
      <c r="S1002" s="7">
        <v>46227</v>
      </c>
      <c r="T1002" t="s">
        <v>74</v>
      </c>
      <c r="V1002" t="s">
        <v>464</v>
      </c>
      <c r="W1002" t="s">
        <v>45</v>
      </c>
      <c r="X1002" t="s">
        <v>45</v>
      </c>
      <c r="Y1002" t="s">
        <v>74</v>
      </c>
      <c r="Z1002" t="s">
        <v>45</v>
      </c>
      <c r="AC1002" t="s">
        <v>74</v>
      </c>
      <c r="AF1002">
        <v>2</v>
      </c>
      <c r="AH1002" t="s">
        <v>75</v>
      </c>
      <c r="AI1002">
        <v>1</v>
      </c>
      <c r="AJ1002" s="15"/>
      <c r="AK1002" t="s">
        <v>74</v>
      </c>
      <c r="AL1002" s="16"/>
      <c r="AR1002" s="18" t="str">
        <f>IFERROR(VLOOKUP(K1002,[1]POP!$F:$J,1,0),M1002)</f>
        <v>KOUSSERI</v>
      </c>
      <c r="AS1002" s="18" t="str">
        <f t="shared" si="76"/>
        <v>HH</v>
      </c>
      <c r="AT1002" s="19">
        <f t="shared" si="79"/>
        <v>2</v>
      </c>
      <c r="AU1002" s="19">
        <f t="shared" ca="1" si="78"/>
        <v>2</v>
      </c>
    </row>
    <row r="1003" spans="1:47" x14ac:dyDescent="0.3">
      <c r="A1003" t="s">
        <v>1420</v>
      </c>
      <c r="B1003" t="str">
        <f t="shared" si="75"/>
        <v>S31_2026</v>
      </c>
      <c r="C1003" t="str">
        <f t="shared" si="77"/>
        <v>S30_2026</v>
      </c>
      <c r="E1003">
        <v>659499757</v>
      </c>
      <c r="F1003">
        <v>5</v>
      </c>
      <c r="G1003" t="s">
        <v>55</v>
      </c>
      <c r="H1003" t="s">
        <v>85</v>
      </c>
      <c r="I1003" t="s">
        <v>458</v>
      </c>
      <c r="J1003" t="s">
        <v>459</v>
      </c>
      <c r="K1003" t="s">
        <v>460</v>
      </c>
      <c r="L1003" t="s">
        <v>459</v>
      </c>
      <c r="M1003" t="s">
        <v>460</v>
      </c>
      <c r="N1003" t="s">
        <v>45</v>
      </c>
      <c r="O1003" t="s">
        <v>45</v>
      </c>
      <c r="P1003">
        <v>2</v>
      </c>
      <c r="Q1003" s="7">
        <v>46229</v>
      </c>
      <c r="R1003" s="7">
        <v>46230</v>
      </c>
      <c r="S1003" s="7">
        <v>46230</v>
      </c>
      <c r="T1003" t="s">
        <v>45</v>
      </c>
      <c r="V1003" t="s">
        <v>464</v>
      </c>
      <c r="W1003" t="s">
        <v>45</v>
      </c>
      <c r="X1003" t="s">
        <v>45</v>
      </c>
      <c r="Y1003" t="s">
        <v>45</v>
      </c>
      <c r="Z1003" t="s">
        <v>45</v>
      </c>
      <c r="AC1003" t="s">
        <v>74</v>
      </c>
      <c r="AE1003" s="7">
        <v>46232</v>
      </c>
      <c r="AF1003">
        <v>2</v>
      </c>
      <c r="AH1003" t="s">
        <v>75</v>
      </c>
      <c r="AI1003">
        <v>1</v>
      </c>
      <c r="AJ1003" s="15"/>
      <c r="AK1003" t="s">
        <v>74</v>
      </c>
      <c r="AL1003" s="16"/>
      <c r="AR1003" s="18" t="str">
        <f>IFERROR(VLOOKUP(K1003,[1]POP!$F:$J,1,0),M1003)</f>
        <v>KOUSSERI</v>
      </c>
      <c r="AS1003" s="18" t="str">
        <f t="shared" si="76"/>
        <v>PAGUI</v>
      </c>
      <c r="AT1003" s="19">
        <f t="shared" si="79"/>
        <v>2</v>
      </c>
      <c r="AU1003" s="19">
        <f t="shared" ca="1" si="78"/>
        <v>2</v>
      </c>
    </row>
    <row r="1004" spans="1:47" x14ac:dyDescent="0.3">
      <c r="A1004" t="s">
        <v>1421</v>
      </c>
      <c r="B1004" t="str">
        <f t="shared" si="75"/>
        <v>S31_2026</v>
      </c>
      <c r="C1004" t="str">
        <f t="shared" si="77"/>
        <v>S31_2026</v>
      </c>
      <c r="E1004">
        <v>697959196</v>
      </c>
      <c r="F1004">
        <v>67</v>
      </c>
      <c r="G1004" t="s">
        <v>55</v>
      </c>
      <c r="H1004" t="s">
        <v>70</v>
      </c>
      <c r="I1004" t="s">
        <v>553</v>
      </c>
      <c r="J1004" t="s">
        <v>459</v>
      </c>
      <c r="K1004" t="s">
        <v>460</v>
      </c>
      <c r="L1004" t="s">
        <v>459</v>
      </c>
      <c r="M1004" t="s">
        <v>460</v>
      </c>
      <c r="N1004" t="s">
        <v>45</v>
      </c>
      <c r="O1004" t="s">
        <v>45</v>
      </c>
      <c r="P1004">
        <v>2</v>
      </c>
      <c r="Q1004" s="7">
        <v>46230</v>
      </c>
      <c r="R1004" s="7">
        <v>46231</v>
      </c>
      <c r="S1004" s="7">
        <v>46232</v>
      </c>
      <c r="T1004" t="s">
        <v>45</v>
      </c>
      <c r="V1004" t="s">
        <v>464</v>
      </c>
      <c r="W1004" t="s">
        <v>45</v>
      </c>
      <c r="X1004" t="s">
        <v>45</v>
      </c>
      <c r="Y1004" t="s">
        <v>45</v>
      </c>
      <c r="Z1004" t="s">
        <v>45</v>
      </c>
      <c r="AB1004" t="s">
        <v>62</v>
      </c>
      <c r="AC1004" t="s">
        <v>74</v>
      </c>
      <c r="AE1004" s="7">
        <v>46233</v>
      </c>
      <c r="AF1004">
        <v>2</v>
      </c>
      <c r="AH1004" t="s">
        <v>75</v>
      </c>
      <c r="AI1004">
        <v>1</v>
      </c>
      <c r="AJ1004" s="15"/>
      <c r="AK1004" t="s">
        <v>74</v>
      </c>
      <c r="AL1004" s="16"/>
      <c r="AR1004" s="18" t="str">
        <f>IFERROR(VLOOKUP(K1004,[1]POP!$F:$J,1,0),M1004)</f>
        <v>KOUSSERI</v>
      </c>
      <c r="AS1004" s="18" t="str">
        <f t="shared" si="76"/>
        <v>PAGUI</v>
      </c>
      <c r="AT1004" s="19">
        <f t="shared" si="79"/>
        <v>2</v>
      </c>
      <c r="AU1004" s="19">
        <f t="shared" ca="1" si="78"/>
        <v>2</v>
      </c>
    </row>
    <row r="1005" spans="1:47" x14ac:dyDescent="0.3">
      <c r="A1005" t="s">
        <v>1422</v>
      </c>
      <c r="B1005" t="str">
        <f t="shared" si="75"/>
        <v>S31_2026</v>
      </c>
      <c r="C1005" t="str">
        <f t="shared" si="77"/>
        <v>S31_2026</v>
      </c>
      <c r="E1005">
        <v>675486529</v>
      </c>
      <c r="F1005">
        <v>42</v>
      </c>
      <c r="G1005" t="s">
        <v>55</v>
      </c>
      <c r="H1005" t="s">
        <v>1423</v>
      </c>
      <c r="I1005" t="s">
        <v>1424</v>
      </c>
      <c r="J1005" t="s">
        <v>1419</v>
      </c>
      <c r="K1005" t="s">
        <v>460</v>
      </c>
      <c r="L1005" t="s">
        <v>459</v>
      </c>
      <c r="M1005" t="s">
        <v>460</v>
      </c>
      <c r="N1005" t="s">
        <v>45</v>
      </c>
      <c r="O1005" t="s">
        <v>45</v>
      </c>
      <c r="P1005">
        <v>2</v>
      </c>
      <c r="Q1005" s="7">
        <v>46230</v>
      </c>
      <c r="R1005" s="7">
        <v>46231</v>
      </c>
      <c r="S1005" s="7">
        <v>46232</v>
      </c>
      <c r="T1005" t="s">
        <v>45</v>
      </c>
      <c r="V1005" t="s">
        <v>464</v>
      </c>
      <c r="W1005" t="s">
        <v>45</v>
      </c>
      <c r="X1005" t="s">
        <v>45</v>
      </c>
      <c r="Y1005" t="s">
        <v>45</v>
      </c>
      <c r="Z1005" t="s">
        <v>45</v>
      </c>
      <c r="AB1005" t="s">
        <v>62</v>
      </c>
      <c r="AC1005" t="s">
        <v>74</v>
      </c>
      <c r="AE1005" s="7">
        <v>46233</v>
      </c>
      <c r="AF1005">
        <v>2</v>
      </c>
      <c r="AH1005" t="s">
        <v>75</v>
      </c>
      <c r="AI1005">
        <v>1</v>
      </c>
      <c r="AJ1005" s="15"/>
      <c r="AK1005" t="s">
        <v>74</v>
      </c>
      <c r="AL1005" s="16"/>
      <c r="AR1005" s="18" t="str">
        <f>IFERROR(VLOOKUP(K1005,[1]POP!$F:$J,1,0),M1005)</f>
        <v>KOUSSERI</v>
      </c>
      <c r="AS1005" s="18" t="str">
        <f t="shared" si="76"/>
        <v>HH</v>
      </c>
      <c r="AT1005" s="19">
        <f t="shared" si="79"/>
        <v>2</v>
      </c>
      <c r="AU1005" s="19">
        <f t="shared" ca="1" si="78"/>
        <v>2</v>
      </c>
    </row>
    <row r="1006" spans="1:47" x14ac:dyDescent="0.3">
      <c r="A1006" t="s">
        <v>1425</v>
      </c>
      <c r="B1006" t="str">
        <f t="shared" si="75"/>
        <v>S31_2026</v>
      </c>
      <c r="C1006" t="str">
        <f t="shared" si="77"/>
        <v>S31_2026</v>
      </c>
      <c r="F1006">
        <v>40</v>
      </c>
      <c r="G1006" t="s">
        <v>40</v>
      </c>
      <c r="H1006" t="s">
        <v>77</v>
      </c>
      <c r="I1006" t="s">
        <v>1426</v>
      </c>
      <c r="J1006" t="s">
        <v>1427</v>
      </c>
      <c r="K1006" t="s">
        <v>460</v>
      </c>
      <c r="L1006" t="s">
        <v>459</v>
      </c>
      <c r="M1006" t="s">
        <v>460</v>
      </c>
      <c r="N1006" t="s">
        <v>45</v>
      </c>
      <c r="O1006" t="s">
        <v>45</v>
      </c>
      <c r="P1006">
        <v>3</v>
      </c>
      <c r="Q1006" s="7">
        <v>46231</v>
      </c>
      <c r="R1006" s="7">
        <v>46232</v>
      </c>
      <c r="S1006" s="7">
        <v>46232</v>
      </c>
      <c r="T1006" t="s">
        <v>45</v>
      </c>
      <c r="V1006" t="s">
        <v>464</v>
      </c>
      <c r="W1006" t="s">
        <v>45</v>
      </c>
      <c r="X1006" t="s">
        <v>45</v>
      </c>
      <c r="Y1006" t="s">
        <v>45</v>
      </c>
      <c r="Z1006" t="s">
        <v>45</v>
      </c>
      <c r="AB1006" t="s">
        <v>62</v>
      </c>
      <c r="AC1006" t="s">
        <v>74</v>
      </c>
      <c r="AF1006">
        <v>2</v>
      </c>
      <c r="AH1006" t="s">
        <v>75</v>
      </c>
      <c r="AI1006">
        <v>1</v>
      </c>
      <c r="AJ1006" s="15"/>
      <c r="AK1006" t="s">
        <v>74</v>
      </c>
      <c r="AL1006" s="16"/>
      <c r="AR1006" s="18" t="str">
        <f>IFERROR(VLOOKUP(K1006,[1]POP!$F:$J,1,0),M1006)</f>
        <v>KOUSSERI</v>
      </c>
      <c r="AS1006" s="18" t="str">
        <f t="shared" si="76"/>
        <v>MADIAKO</v>
      </c>
      <c r="AT1006" s="19">
        <f t="shared" si="79"/>
        <v>2</v>
      </c>
      <c r="AU1006" s="19">
        <f t="shared" ca="1" si="78"/>
        <v>2</v>
      </c>
    </row>
    <row r="1007" spans="1:47" x14ac:dyDescent="0.3">
      <c r="A1007" t="s">
        <v>1428</v>
      </c>
      <c r="B1007" t="str">
        <f t="shared" si="75"/>
        <v>S31_2026</v>
      </c>
      <c r="C1007" t="str">
        <f t="shared" si="77"/>
        <v>S31_2026</v>
      </c>
      <c r="E1007">
        <v>687500509</v>
      </c>
      <c r="F1007">
        <v>2</v>
      </c>
      <c r="G1007" t="s">
        <v>40</v>
      </c>
      <c r="H1007" t="s">
        <v>85</v>
      </c>
      <c r="I1007" t="s">
        <v>1429</v>
      </c>
      <c r="J1007" t="s">
        <v>635</v>
      </c>
      <c r="K1007" t="s">
        <v>460</v>
      </c>
      <c r="L1007" t="s">
        <v>459</v>
      </c>
      <c r="M1007" t="s">
        <v>460</v>
      </c>
      <c r="N1007" t="s">
        <v>45</v>
      </c>
      <c r="O1007" t="s">
        <v>74</v>
      </c>
      <c r="P1007">
        <v>1</v>
      </c>
      <c r="Q1007" s="7">
        <v>46230</v>
      </c>
      <c r="R1007" s="7">
        <v>46230</v>
      </c>
      <c r="S1007" s="7">
        <v>46231</v>
      </c>
      <c r="T1007" t="s">
        <v>45</v>
      </c>
      <c r="V1007" t="s">
        <v>462</v>
      </c>
      <c r="W1007" t="s">
        <v>45</v>
      </c>
      <c r="X1007" t="s">
        <v>45</v>
      </c>
      <c r="Y1007" t="s">
        <v>45</v>
      </c>
      <c r="Z1007" t="s">
        <v>45</v>
      </c>
      <c r="AA1007" s="7">
        <v>46231</v>
      </c>
      <c r="AB1007" t="s">
        <v>62</v>
      </c>
      <c r="AE1007" s="7">
        <v>46232</v>
      </c>
      <c r="AF1007">
        <v>2</v>
      </c>
      <c r="AH1007" t="s">
        <v>75</v>
      </c>
      <c r="AI1007">
        <v>1</v>
      </c>
      <c r="AJ1007" s="15"/>
      <c r="AK1007" t="s">
        <v>86</v>
      </c>
      <c r="AL1007" s="16"/>
      <c r="AR1007" s="18" t="str">
        <f>IFERROR(VLOOKUP(K1007,[1]POP!$F:$J,1,0),M1007)</f>
        <v>KOUSSERI</v>
      </c>
      <c r="AS1007" s="18" t="str">
        <f t="shared" si="76"/>
        <v>HILE-HAOUSSA</v>
      </c>
      <c r="AT1007" s="19">
        <f t="shared" si="79"/>
        <v>2</v>
      </c>
      <c r="AU1007" s="19">
        <f t="shared" ca="1" si="78"/>
        <v>2</v>
      </c>
    </row>
    <row r="1008" spans="1:47" x14ac:dyDescent="0.3">
      <c r="A1008" t="s">
        <v>1430</v>
      </c>
      <c r="B1008" t="str">
        <f t="shared" si="75"/>
        <v>S31_2026</v>
      </c>
      <c r="C1008" t="str">
        <f t="shared" si="77"/>
        <v>S31_2026</v>
      </c>
      <c r="E1008">
        <v>699699030</v>
      </c>
      <c r="F1008">
        <v>4</v>
      </c>
      <c r="G1008" t="s">
        <v>55</v>
      </c>
      <c r="H1008" t="s">
        <v>85</v>
      </c>
      <c r="I1008" t="s">
        <v>560</v>
      </c>
      <c r="J1008" t="s">
        <v>560</v>
      </c>
      <c r="K1008" t="s">
        <v>460</v>
      </c>
      <c r="L1008" t="s">
        <v>459</v>
      </c>
      <c r="M1008" t="s">
        <v>460</v>
      </c>
      <c r="N1008" t="s">
        <v>45</v>
      </c>
      <c r="O1008" t="s">
        <v>45</v>
      </c>
      <c r="P1008">
        <v>1</v>
      </c>
      <c r="Q1008" s="7">
        <v>46230</v>
      </c>
      <c r="R1008" s="7">
        <v>46231</v>
      </c>
      <c r="S1008" s="7">
        <v>46231</v>
      </c>
      <c r="T1008" t="s">
        <v>45</v>
      </c>
      <c r="V1008" t="s">
        <v>462</v>
      </c>
      <c r="W1008" t="s">
        <v>45</v>
      </c>
      <c r="X1008" t="s">
        <v>45</v>
      </c>
      <c r="Y1008" t="s">
        <v>45</v>
      </c>
      <c r="Z1008" t="s">
        <v>45</v>
      </c>
      <c r="AA1008" s="7">
        <v>46231</v>
      </c>
      <c r="AB1008" t="s">
        <v>48</v>
      </c>
      <c r="AF1008">
        <v>2</v>
      </c>
      <c r="AH1008" t="s">
        <v>75</v>
      </c>
      <c r="AI1008">
        <v>1</v>
      </c>
      <c r="AJ1008" s="15"/>
      <c r="AK1008" t="s">
        <v>86</v>
      </c>
      <c r="AL1008" s="16"/>
      <c r="AR1008" s="18" t="str">
        <f>IFERROR(VLOOKUP(K1008,[1]POP!$F:$J,1,0),M1008)</f>
        <v>KOUSSERI</v>
      </c>
      <c r="AS1008" s="18" t="str">
        <f t="shared" si="76"/>
        <v>MADANA</v>
      </c>
      <c r="AT1008" s="19">
        <f t="shared" si="79"/>
        <v>2</v>
      </c>
      <c r="AU1008" s="19">
        <f t="shared" ca="1" si="78"/>
        <v>2</v>
      </c>
    </row>
    <row r="1009" spans="1:47" x14ac:dyDescent="0.3">
      <c r="A1009" t="s">
        <v>1431</v>
      </c>
      <c r="B1009" t="str">
        <f t="shared" si="75"/>
        <v>S31_2026</v>
      </c>
      <c r="C1009" t="str">
        <f t="shared" si="77"/>
        <v>S31_2026</v>
      </c>
      <c r="E1009">
        <v>670270025</v>
      </c>
      <c r="F1009">
        <v>55</v>
      </c>
      <c r="G1009" t="s">
        <v>55</v>
      </c>
      <c r="H1009" t="s">
        <v>1117</v>
      </c>
      <c r="I1009" t="s">
        <v>553</v>
      </c>
      <c r="J1009" t="s">
        <v>459</v>
      </c>
      <c r="K1009" t="s">
        <v>460</v>
      </c>
      <c r="L1009" t="s">
        <v>459</v>
      </c>
      <c r="M1009" t="s">
        <v>460</v>
      </c>
      <c r="N1009" t="s">
        <v>45</v>
      </c>
      <c r="O1009" t="s">
        <v>45</v>
      </c>
      <c r="P1009">
        <v>2</v>
      </c>
      <c r="Q1009" s="7">
        <v>46231</v>
      </c>
      <c r="R1009" s="7">
        <v>46232</v>
      </c>
      <c r="S1009" s="7">
        <v>46232</v>
      </c>
      <c r="T1009" t="s">
        <v>45</v>
      </c>
      <c r="V1009" t="s">
        <v>462</v>
      </c>
      <c r="W1009" t="s">
        <v>45</v>
      </c>
      <c r="X1009" t="s">
        <v>45</v>
      </c>
      <c r="Y1009" t="s">
        <v>45</v>
      </c>
      <c r="Z1009" t="s">
        <v>45</v>
      </c>
      <c r="AA1009" s="7">
        <v>46232</v>
      </c>
      <c r="AB1009" t="s">
        <v>48</v>
      </c>
      <c r="AF1009">
        <v>2</v>
      </c>
      <c r="AH1009" t="s">
        <v>75</v>
      </c>
      <c r="AI1009">
        <v>1</v>
      </c>
      <c r="AJ1009" s="15"/>
      <c r="AK1009" t="s">
        <v>86</v>
      </c>
      <c r="AL1009" s="16"/>
      <c r="AR1009" s="18" t="str">
        <f>IFERROR(VLOOKUP(K1009,[1]POP!$F:$J,1,0),M1009)</f>
        <v>KOUSSERI</v>
      </c>
      <c r="AS1009" s="18" t="str">
        <f t="shared" si="76"/>
        <v>PAGUI</v>
      </c>
      <c r="AT1009" s="19">
        <f t="shared" si="79"/>
        <v>2</v>
      </c>
      <c r="AU1009" s="19">
        <f t="shared" ca="1" si="78"/>
        <v>2</v>
      </c>
    </row>
    <row r="1010" spans="1:47" x14ac:dyDescent="0.3">
      <c r="A1010" t="s">
        <v>1432</v>
      </c>
      <c r="B1010" t="str">
        <f t="shared" si="75"/>
        <v>S31_2026</v>
      </c>
      <c r="C1010" t="str">
        <f t="shared" si="77"/>
        <v>S31_2026</v>
      </c>
      <c r="F1010">
        <v>70</v>
      </c>
      <c r="G1010" t="s">
        <v>40</v>
      </c>
      <c r="H1010" t="s">
        <v>77</v>
      </c>
      <c r="I1010" t="s">
        <v>1433</v>
      </c>
      <c r="J1010" t="s">
        <v>560</v>
      </c>
      <c r="K1010" t="s">
        <v>460</v>
      </c>
      <c r="L1010" t="s">
        <v>560</v>
      </c>
      <c r="M1010" t="s">
        <v>460</v>
      </c>
      <c r="N1010" t="s">
        <v>45</v>
      </c>
      <c r="O1010" t="s">
        <v>45</v>
      </c>
      <c r="P1010">
        <v>1</v>
      </c>
      <c r="Q1010" s="7">
        <v>46231</v>
      </c>
      <c r="R1010" s="7">
        <v>46231</v>
      </c>
      <c r="S1010" s="7">
        <v>46231</v>
      </c>
      <c r="T1010" t="s">
        <v>45</v>
      </c>
      <c r="V1010" t="s">
        <v>1079</v>
      </c>
      <c r="W1010" t="s">
        <v>45</v>
      </c>
      <c r="X1010" t="s">
        <v>45</v>
      </c>
      <c r="Y1010" t="s">
        <v>45</v>
      </c>
      <c r="Z1010" t="s">
        <v>45</v>
      </c>
      <c r="AA1010" s="7">
        <v>46231</v>
      </c>
      <c r="AB1010" t="s">
        <v>62</v>
      </c>
      <c r="AE1010" s="7">
        <v>46235</v>
      </c>
      <c r="AF1010">
        <v>2</v>
      </c>
      <c r="AH1010" t="s">
        <v>75</v>
      </c>
      <c r="AI1010">
        <v>1</v>
      </c>
      <c r="AJ1010" s="15"/>
      <c r="AK1010" t="s">
        <v>86</v>
      </c>
      <c r="AL1010" s="16"/>
      <c r="AR1010" s="18" t="str">
        <f>IFERROR(VLOOKUP(K1010,[1]POP!$F:$J,1,0),M1010)</f>
        <v>KOUSSERI</v>
      </c>
      <c r="AS1010" s="18" t="str">
        <f t="shared" si="76"/>
        <v>MADANA</v>
      </c>
      <c r="AT1010" s="19">
        <f t="shared" si="79"/>
        <v>2</v>
      </c>
      <c r="AU1010" s="19">
        <f t="shared" ca="1" si="78"/>
        <v>2</v>
      </c>
    </row>
    <row r="1011" spans="1:47" x14ac:dyDescent="0.3">
      <c r="A1011" t="s">
        <v>1434</v>
      </c>
      <c r="B1011" t="str">
        <f t="shared" si="75"/>
        <v>S32_2026</v>
      </c>
      <c r="C1011" t="str">
        <f t="shared" si="77"/>
        <v>S31_2026</v>
      </c>
      <c r="F1011">
        <v>25</v>
      </c>
      <c r="G1011" t="s">
        <v>55</v>
      </c>
      <c r="H1011" t="s">
        <v>1435</v>
      </c>
      <c r="I1011" t="s">
        <v>1436</v>
      </c>
      <c r="J1011" t="s">
        <v>1437</v>
      </c>
      <c r="K1011" t="s">
        <v>1438</v>
      </c>
      <c r="L1011" t="s">
        <v>1427</v>
      </c>
      <c r="M1011" t="s">
        <v>460</v>
      </c>
      <c r="N1011" t="s">
        <v>117</v>
      </c>
      <c r="O1011" t="s">
        <v>117</v>
      </c>
      <c r="P1011">
        <v>1</v>
      </c>
      <c r="Q1011" s="7">
        <v>46235</v>
      </c>
      <c r="R1011" s="7">
        <v>46238</v>
      </c>
      <c r="S1011" s="7">
        <v>46238</v>
      </c>
      <c r="T1011" t="s">
        <v>117</v>
      </c>
      <c r="V1011" t="s">
        <v>1439</v>
      </c>
      <c r="W1011" t="s">
        <v>117</v>
      </c>
      <c r="X1011" t="s">
        <v>117</v>
      </c>
      <c r="Y1011" t="s">
        <v>117</v>
      </c>
      <c r="Z1011" t="s">
        <v>117</v>
      </c>
      <c r="AA1011" s="7">
        <v>46238</v>
      </c>
      <c r="AB1011" t="s">
        <v>62</v>
      </c>
      <c r="AC1011" t="s">
        <v>74</v>
      </c>
      <c r="AF1011">
        <v>2</v>
      </c>
      <c r="AH1011" t="s">
        <v>75</v>
      </c>
      <c r="AI1011">
        <v>1</v>
      </c>
      <c r="AJ1011" s="15"/>
      <c r="AK1011" t="s">
        <v>74</v>
      </c>
      <c r="AL1011" s="16"/>
      <c r="AR1011" s="18" t="str">
        <f>IFERROR(VLOOKUP(K1011,[1]POP!$F:$J,1,0),M1011)</f>
        <v>KOUSSERI</v>
      </c>
      <c r="AS1011" s="18" t="str">
        <f t="shared" si="76"/>
        <v>Madiako</v>
      </c>
      <c r="AT1011" s="19">
        <f t="shared" si="79"/>
        <v>2</v>
      </c>
      <c r="AU1011" s="19">
        <f t="shared" ca="1" si="78"/>
        <v>2</v>
      </c>
    </row>
    <row r="1012" spans="1:47" x14ac:dyDescent="0.3">
      <c r="A1012" t="s">
        <v>1440</v>
      </c>
      <c r="B1012" t="str">
        <f t="shared" si="75"/>
        <v>S32_2026</v>
      </c>
      <c r="C1012" t="str">
        <f t="shared" si="77"/>
        <v>S32_2026</v>
      </c>
      <c r="F1012">
        <v>10</v>
      </c>
      <c r="G1012" t="s">
        <v>55</v>
      </c>
      <c r="H1012" t="s">
        <v>85</v>
      </c>
      <c r="I1012" t="s">
        <v>893</v>
      </c>
      <c r="J1012" t="s">
        <v>1441</v>
      </c>
      <c r="L1012" t="s">
        <v>459</v>
      </c>
      <c r="M1012" t="s">
        <v>460</v>
      </c>
      <c r="N1012" t="s">
        <v>45</v>
      </c>
      <c r="O1012" t="s">
        <v>45</v>
      </c>
      <c r="P1012">
        <v>3</v>
      </c>
      <c r="Q1012" s="7">
        <v>46238</v>
      </c>
      <c r="R1012" s="7">
        <v>46238</v>
      </c>
      <c r="S1012" s="7">
        <v>46240</v>
      </c>
      <c r="T1012" t="s">
        <v>117</v>
      </c>
      <c r="V1012" t="s">
        <v>462</v>
      </c>
      <c r="W1012" t="s">
        <v>45</v>
      </c>
      <c r="X1012" t="s">
        <v>45</v>
      </c>
      <c r="Y1012" t="s">
        <v>45</v>
      </c>
      <c r="Z1012" t="s">
        <v>45</v>
      </c>
      <c r="AA1012" s="7">
        <v>46238</v>
      </c>
      <c r="AB1012" t="s">
        <v>48</v>
      </c>
      <c r="AC1012" t="s">
        <v>74</v>
      </c>
      <c r="AF1012">
        <v>2</v>
      </c>
      <c r="AH1012" t="s">
        <v>75</v>
      </c>
      <c r="AI1012">
        <v>1</v>
      </c>
      <c r="AJ1012" s="15"/>
      <c r="AL1012" s="16"/>
      <c r="AR1012" s="18" t="str">
        <f>IFERROR(VLOOKUP(K1012,[1]POP!$F:$J,1,0),M1012)</f>
        <v>KOUSSERI</v>
      </c>
      <c r="AS1012" s="18" t="str">
        <f t="shared" si="76"/>
        <v>PAGUI</v>
      </c>
      <c r="AT1012" s="19">
        <f t="shared" si="79"/>
        <v>2</v>
      </c>
      <c r="AU1012" s="19">
        <f t="shared" ca="1" si="78"/>
        <v>2</v>
      </c>
    </row>
    <row r="1013" spans="1:47" x14ac:dyDescent="0.3">
      <c r="A1013" t="s">
        <v>1442</v>
      </c>
      <c r="B1013" t="str">
        <f t="shared" si="75"/>
        <v>S32_2026</v>
      </c>
      <c r="C1013" t="str">
        <f t="shared" si="77"/>
        <v>S32_2026</v>
      </c>
      <c r="E1013">
        <v>671059655</v>
      </c>
      <c r="F1013">
        <v>26</v>
      </c>
      <c r="G1013" t="s">
        <v>40</v>
      </c>
      <c r="H1013" t="s">
        <v>77</v>
      </c>
      <c r="I1013" t="s">
        <v>1443</v>
      </c>
      <c r="J1013" t="s">
        <v>635</v>
      </c>
      <c r="K1013" t="s">
        <v>460</v>
      </c>
      <c r="L1013" t="s">
        <v>459</v>
      </c>
      <c r="M1013" t="s">
        <v>460</v>
      </c>
      <c r="N1013" t="s">
        <v>45</v>
      </c>
      <c r="O1013" t="s">
        <v>45</v>
      </c>
      <c r="P1013">
        <v>2</v>
      </c>
      <c r="Q1013" s="7">
        <v>46238</v>
      </c>
      <c r="R1013" s="7">
        <v>46239</v>
      </c>
      <c r="S1013" s="7">
        <v>46240</v>
      </c>
      <c r="T1013" t="s">
        <v>117</v>
      </c>
      <c r="V1013" t="s">
        <v>462</v>
      </c>
      <c r="W1013" t="s">
        <v>45</v>
      </c>
      <c r="X1013" t="s">
        <v>45</v>
      </c>
      <c r="Y1013" t="s">
        <v>45</v>
      </c>
      <c r="Z1013" t="s">
        <v>45</v>
      </c>
      <c r="AA1013" s="7">
        <v>46239</v>
      </c>
      <c r="AB1013" t="s">
        <v>62</v>
      </c>
      <c r="AC1013" t="s">
        <v>74</v>
      </c>
      <c r="AF1013">
        <v>2</v>
      </c>
      <c r="AH1013" t="s">
        <v>75</v>
      </c>
      <c r="AI1013">
        <v>1</v>
      </c>
      <c r="AJ1013" s="15"/>
      <c r="AL1013" s="16"/>
      <c r="AR1013" s="18" t="str">
        <f>IFERROR(VLOOKUP(K1013,[1]POP!$F:$J,1,0),M1013)</f>
        <v>KOUSSERI</v>
      </c>
      <c r="AS1013" s="18" t="str">
        <f t="shared" si="76"/>
        <v>HILE-HAOUSSA</v>
      </c>
      <c r="AT1013" s="19">
        <f t="shared" si="79"/>
        <v>2</v>
      </c>
      <c r="AU1013" s="19">
        <f t="shared" ca="1" si="78"/>
        <v>2</v>
      </c>
    </row>
    <row r="1014" spans="1:47" x14ac:dyDescent="0.3">
      <c r="A1014" t="s">
        <v>1444</v>
      </c>
      <c r="B1014" t="str">
        <f t="shared" si="75"/>
        <v>S32_2026</v>
      </c>
      <c r="C1014" t="str">
        <f t="shared" si="77"/>
        <v>S32_2026</v>
      </c>
      <c r="E1014">
        <v>66277272</v>
      </c>
      <c r="F1014">
        <v>22</v>
      </c>
      <c r="G1014" t="s">
        <v>40</v>
      </c>
      <c r="H1014" t="s">
        <v>77</v>
      </c>
      <c r="I1014" t="s">
        <v>1445</v>
      </c>
      <c r="J1014" t="s">
        <v>560</v>
      </c>
      <c r="K1014" t="s">
        <v>460</v>
      </c>
      <c r="L1014" t="s">
        <v>459</v>
      </c>
      <c r="M1014" t="s">
        <v>460</v>
      </c>
      <c r="N1014" t="s">
        <v>45</v>
      </c>
      <c r="O1014" t="s">
        <v>45</v>
      </c>
      <c r="P1014">
        <v>2</v>
      </c>
      <c r="Q1014" s="7">
        <v>46240</v>
      </c>
      <c r="R1014" s="7">
        <v>46240</v>
      </c>
      <c r="S1014" s="7">
        <v>46240</v>
      </c>
      <c r="T1014" t="s">
        <v>117</v>
      </c>
      <c r="V1014" t="s">
        <v>462</v>
      </c>
      <c r="W1014" t="s">
        <v>45</v>
      </c>
      <c r="X1014" t="s">
        <v>45</v>
      </c>
      <c r="Y1014" t="s">
        <v>45</v>
      </c>
      <c r="Z1014" t="s">
        <v>45</v>
      </c>
      <c r="AA1014" s="7">
        <v>46240</v>
      </c>
      <c r="AB1014" t="s">
        <v>62</v>
      </c>
      <c r="AC1014" t="s">
        <v>74</v>
      </c>
      <c r="AF1014">
        <v>2</v>
      </c>
      <c r="AH1014" t="s">
        <v>75</v>
      </c>
      <c r="AI1014">
        <v>1</v>
      </c>
      <c r="AJ1014" s="15"/>
      <c r="AL1014" s="16"/>
      <c r="AR1014" s="18" t="str">
        <f>IFERROR(VLOOKUP(K1014,[1]POP!$F:$J,1,0),M1014)</f>
        <v>KOUSSERI</v>
      </c>
      <c r="AS1014" s="18" t="str">
        <f t="shared" si="76"/>
        <v>MADANA</v>
      </c>
      <c r="AT1014" s="19">
        <f t="shared" si="79"/>
        <v>2</v>
      </c>
      <c r="AU1014" s="19">
        <f t="shared" ca="1" si="78"/>
        <v>2</v>
      </c>
    </row>
    <row r="1015" spans="1:47" x14ac:dyDescent="0.3">
      <c r="A1015" t="s">
        <v>1446</v>
      </c>
      <c r="B1015" t="str">
        <f t="shared" si="75"/>
        <v>S31_2026</v>
      </c>
      <c r="C1015" t="str">
        <f t="shared" si="77"/>
        <v>S31_2026</v>
      </c>
      <c r="F1015">
        <v>63</v>
      </c>
      <c r="G1015" t="s">
        <v>55</v>
      </c>
      <c r="I1015" t="s">
        <v>477</v>
      </c>
      <c r="J1015" t="s">
        <v>128</v>
      </c>
      <c r="K1015" t="s">
        <v>124</v>
      </c>
      <c r="L1015" t="s">
        <v>174</v>
      </c>
      <c r="M1015" t="s">
        <v>124</v>
      </c>
      <c r="N1015" t="s">
        <v>117</v>
      </c>
      <c r="O1015" t="s">
        <v>117</v>
      </c>
      <c r="P1015">
        <v>3</v>
      </c>
      <c r="Q1015" s="7">
        <v>46235</v>
      </c>
      <c r="R1015" s="7">
        <v>46236</v>
      </c>
      <c r="S1015" s="7">
        <v>46236</v>
      </c>
      <c r="T1015" t="s">
        <v>117</v>
      </c>
      <c r="V1015" t="s">
        <v>175</v>
      </c>
      <c r="W1015" t="s">
        <v>45</v>
      </c>
      <c r="X1015" t="s">
        <v>45</v>
      </c>
      <c r="Y1015" t="s">
        <v>45</v>
      </c>
      <c r="Z1015" t="s">
        <v>45</v>
      </c>
      <c r="AF1015">
        <v>2</v>
      </c>
      <c r="AH1015" t="s">
        <v>75</v>
      </c>
      <c r="AI1015">
        <v>1</v>
      </c>
      <c r="AJ1015" s="15"/>
      <c r="AL1015" s="16"/>
      <c r="AR1015" s="18" t="str">
        <f>IFERROR(VLOOKUP(K1015,[1]POP!$F:$J,1,0),M1015)</f>
        <v>MADA</v>
      </c>
      <c r="AS1015" s="18" t="str">
        <f t="shared" si="76"/>
        <v>NAGA</v>
      </c>
      <c r="AT1015" s="19">
        <f t="shared" si="79"/>
        <v>2</v>
      </c>
      <c r="AU1015" s="19">
        <f t="shared" ca="1" si="78"/>
        <v>2</v>
      </c>
    </row>
    <row r="1016" spans="1:47" x14ac:dyDescent="0.3">
      <c r="A1016" t="s">
        <v>1447</v>
      </c>
      <c r="B1016" t="str">
        <f t="shared" si="75"/>
        <v>S31_2026</v>
      </c>
      <c r="C1016" t="str">
        <f t="shared" si="77"/>
        <v>S31_2026</v>
      </c>
      <c r="F1016">
        <v>62</v>
      </c>
      <c r="G1016" t="s">
        <v>40</v>
      </c>
      <c r="I1016" t="s">
        <v>477</v>
      </c>
      <c r="J1016" t="s">
        <v>128</v>
      </c>
      <c r="K1016" t="s">
        <v>124</v>
      </c>
      <c r="L1016" t="s">
        <v>174</v>
      </c>
      <c r="M1016" t="s">
        <v>124</v>
      </c>
      <c r="N1016" t="s">
        <v>117</v>
      </c>
      <c r="O1016" t="s">
        <v>117</v>
      </c>
      <c r="P1016">
        <v>3</v>
      </c>
      <c r="Q1016" s="7">
        <v>46235</v>
      </c>
      <c r="R1016" s="7">
        <v>46236</v>
      </c>
      <c r="S1016" s="7">
        <v>46236</v>
      </c>
      <c r="T1016" t="s">
        <v>117</v>
      </c>
      <c r="V1016" t="s">
        <v>175</v>
      </c>
      <c r="W1016" t="s">
        <v>45</v>
      </c>
      <c r="X1016" t="s">
        <v>45</v>
      </c>
      <c r="Y1016" t="s">
        <v>45</v>
      </c>
      <c r="Z1016" t="s">
        <v>45</v>
      </c>
      <c r="AF1016">
        <v>2</v>
      </c>
      <c r="AH1016" t="s">
        <v>75</v>
      </c>
      <c r="AI1016">
        <v>1</v>
      </c>
      <c r="AJ1016" s="15"/>
      <c r="AL1016" s="16"/>
      <c r="AR1016" s="18" t="str">
        <f>IFERROR(VLOOKUP(K1016,[1]POP!$F:$J,1,0),M1016)</f>
        <v>MADA</v>
      </c>
      <c r="AS1016" s="18" t="str">
        <f t="shared" si="76"/>
        <v>NAGA</v>
      </c>
      <c r="AT1016" s="19">
        <f t="shared" si="79"/>
        <v>2</v>
      </c>
      <c r="AU1016" s="19">
        <f t="shared" ca="1" si="78"/>
        <v>2</v>
      </c>
    </row>
    <row r="1017" spans="1:47" x14ac:dyDescent="0.3">
      <c r="A1017" t="s">
        <v>1448</v>
      </c>
      <c r="B1017" t="str">
        <f t="shared" si="75"/>
        <v>S31_2026</v>
      </c>
      <c r="C1017" t="str">
        <f t="shared" si="77"/>
        <v>S31_2026</v>
      </c>
      <c r="F1017">
        <v>12</v>
      </c>
      <c r="G1017" t="s">
        <v>55</v>
      </c>
      <c r="I1017" t="s">
        <v>477</v>
      </c>
      <c r="J1017" t="s">
        <v>128</v>
      </c>
      <c r="K1017" t="s">
        <v>124</v>
      </c>
      <c r="L1017" t="s">
        <v>174</v>
      </c>
      <c r="M1017" t="s">
        <v>124</v>
      </c>
      <c r="N1017" t="s">
        <v>117</v>
      </c>
      <c r="O1017" t="s">
        <v>117</v>
      </c>
      <c r="P1017">
        <v>3</v>
      </c>
      <c r="Q1017" s="7">
        <v>46235</v>
      </c>
      <c r="R1017" s="7">
        <v>46236</v>
      </c>
      <c r="S1017" s="7">
        <v>46236</v>
      </c>
      <c r="T1017" t="s">
        <v>117</v>
      </c>
      <c r="V1017" t="s">
        <v>175</v>
      </c>
      <c r="W1017" t="s">
        <v>45</v>
      </c>
      <c r="X1017" t="s">
        <v>45</v>
      </c>
      <c r="Y1017" t="s">
        <v>45</v>
      </c>
      <c r="Z1017" t="s">
        <v>45</v>
      </c>
      <c r="AF1017">
        <v>2</v>
      </c>
      <c r="AH1017" t="s">
        <v>75</v>
      </c>
      <c r="AI1017">
        <v>1</v>
      </c>
      <c r="AJ1017" s="15"/>
      <c r="AL1017" s="16"/>
      <c r="AR1017" s="18" t="str">
        <f>IFERROR(VLOOKUP(K1017,[1]POP!$F:$J,1,0),M1017)</f>
        <v>MADA</v>
      </c>
      <c r="AS1017" s="18" t="str">
        <f t="shared" si="76"/>
        <v>NAGA</v>
      </c>
      <c r="AT1017" s="19">
        <f t="shared" si="79"/>
        <v>2</v>
      </c>
      <c r="AU1017" s="19">
        <f t="shared" ca="1" si="78"/>
        <v>2</v>
      </c>
    </row>
    <row r="1018" spans="1:47" x14ac:dyDescent="0.3">
      <c r="A1018" t="s">
        <v>1449</v>
      </c>
      <c r="B1018" t="str">
        <f t="shared" si="75"/>
        <v>S31_2026</v>
      </c>
      <c r="C1018" t="str">
        <f t="shared" si="77"/>
        <v>S31_2026</v>
      </c>
      <c r="F1018">
        <v>20</v>
      </c>
      <c r="G1018" t="s">
        <v>55</v>
      </c>
      <c r="I1018" t="s">
        <v>128</v>
      </c>
      <c r="J1018" t="s">
        <v>128</v>
      </c>
      <c r="K1018" t="s">
        <v>124</v>
      </c>
      <c r="L1018" t="s">
        <v>174</v>
      </c>
      <c r="M1018" t="s">
        <v>124</v>
      </c>
      <c r="N1018" t="s">
        <v>117</v>
      </c>
      <c r="O1018" t="s">
        <v>117</v>
      </c>
      <c r="P1018">
        <v>2</v>
      </c>
      <c r="Q1018" s="7">
        <v>46235</v>
      </c>
      <c r="R1018" s="7">
        <v>46236</v>
      </c>
      <c r="S1018" s="7">
        <v>46236</v>
      </c>
      <c r="T1018" t="s">
        <v>117</v>
      </c>
      <c r="V1018" t="s">
        <v>175</v>
      </c>
      <c r="W1018" t="s">
        <v>45</v>
      </c>
      <c r="X1018" t="s">
        <v>45</v>
      </c>
      <c r="Y1018" t="s">
        <v>45</v>
      </c>
      <c r="Z1018" t="s">
        <v>45</v>
      </c>
      <c r="AF1018">
        <v>2</v>
      </c>
      <c r="AH1018" t="s">
        <v>75</v>
      </c>
      <c r="AI1018">
        <v>1</v>
      </c>
      <c r="AJ1018" s="15"/>
      <c r="AL1018" s="16"/>
      <c r="AR1018" s="18" t="str">
        <f>IFERROR(VLOOKUP(K1018,[1]POP!$F:$J,1,0),M1018)</f>
        <v>MADA</v>
      </c>
      <c r="AS1018" s="18" t="str">
        <f t="shared" si="76"/>
        <v>NAGA</v>
      </c>
      <c r="AT1018" s="19">
        <f t="shared" si="79"/>
        <v>2</v>
      </c>
      <c r="AU1018" s="19">
        <f t="shared" ca="1" si="78"/>
        <v>2</v>
      </c>
    </row>
    <row r="1019" spans="1:47" x14ac:dyDescent="0.3">
      <c r="A1019" t="s">
        <v>1450</v>
      </c>
      <c r="B1019" t="str">
        <f t="shared" si="75"/>
        <v>S32_2026</v>
      </c>
      <c r="C1019" t="str">
        <f t="shared" si="77"/>
        <v>S31_2026</v>
      </c>
      <c r="F1019">
        <v>45</v>
      </c>
      <c r="G1019" t="s">
        <v>55</v>
      </c>
      <c r="I1019" t="s">
        <v>924</v>
      </c>
      <c r="J1019" t="s">
        <v>174</v>
      </c>
      <c r="K1019" t="s">
        <v>124</v>
      </c>
      <c r="L1019" t="s">
        <v>174</v>
      </c>
      <c r="M1019" t="s">
        <v>124</v>
      </c>
      <c r="N1019" t="s">
        <v>117</v>
      </c>
      <c r="O1019" t="s">
        <v>117</v>
      </c>
      <c r="P1019">
        <v>3</v>
      </c>
      <c r="Q1019" s="7">
        <v>46236</v>
      </c>
      <c r="R1019" s="7">
        <v>46237</v>
      </c>
      <c r="S1019" s="7">
        <v>46237</v>
      </c>
      <c r="T1019" t="s">
        <v>117</v>
      </c>
      <c r="V1019" t="s">
        <v>175</v>
      </c>
      <c r="W1019" t="s">
        <v>45</v>
      </c>
      <c r="X1019" t="s">
        <v>45</v>
      </c>
      <c r="Y1019" t="s">
        <v>45</v>
      </c>
      <c r="Z1019" t="s">
        <v>45</v>
      </c>
      <c r="AF1019">
        <v>2</v>
      </c>
      <c r="AH1019" t="s">
        <v>75</v>
      </c>
      <c r="AI1019">
        <v>1</v>
      </c>
      <c r="AJ1019" s="15"/>
      <c r="AL1019" s="16"/>
      <c r="AR1019" s="18" t="str">
        <f>IFERROR(VLOOKUP(K1019,[1]POP!$F:$J,1,0),M1019)</f>
        <v>MADA</v>
      </c>
      <c r="AS1019" s="18" t="str">
        <f t="shared" si="76"/>
        <v>HILE ALIFA</v>
      </c>
      <c r="AT1019" s="19">
        <f t="shared" si="79"/>
        <v>2</v>
      </c>
      <c r="AU1019" s="19">
        <f t="shared" ca="1" si="78"/>
        <v>2</v>
      </c>
    </row>
    <row r="1020" spans="1:47" x14ac:dyDescent="0.3">
      <c r="A1020" t="s">
        <v>1451</v>
      </c>
      <c r="B1020" t="str">
        <f t="shared" si="75"/>
        <v>S32_2026</v>
      </c>
      <c r="C1020" t="str">
        <f t="shared" si="77"/>
        <v>S31_2026</v>
      </c>
      <c r="F1020">
        <v>12</v>
      </c>
      <c r="G1020" t="s">
        <v>55</v>
      </c>
      <c r="I1020" t="s">
        <v>477</v>
      </c>
      <c r="J1020" t="s">
        <v>128</v>
      </c>
      <c r="K1020" t="s">
        <v>124</v>
      </c>
      <c r="L1020" t="s">
        <v>174</v>
      </c>
      <c r="M1020" t="s">
        <v>124</v>
      </c>
      <c r="N1020" t="s">
        <v>117</v>
      </c>
      <c r="O1020" t="s">
        <v>117</v>
      </c>
      <c r="P1020">
        <v>3</v>
      </c>
      <c r="Q1020" s="7">
        <v>46236</v>
      </c>
      <c r="R1020" s="7">
        <v>46237</v>
      </c>
      <c r="S1020" s="7">
        <v>46237</v>
      </c>
      <c r="T1020" t="s">
        <v>117</v>
      </c>
      <c r="V1020" t="s">
        <v>175</v>
      </c>
      <c r="W1020" t="s">
        <v>45</v>
      </c>
      <c r="X1020" t="s">
        <v>45</v>
      </c>
      <c r="Y1020" t="s">
        <v>45</v>
      </c>
      <c r="Z1020" t="s">
        <v>45</v>
      </c>
      <c r="AF1020">
        <v>2</v>
      </c>
      <c r="AH1020" t="s">
        <v>75</v>
      </c>
      <c r="AI1020">
        <v>1</v>
      </c>
      <c r="AJ1020" s="15"/>
      <c r="AL1020" s="16"/>
      <c r="AR1020" s="18" t="str">
        <f>IFERROR(VLOOKUP(K1020,[1]POP!$F:$J,1,0),M1020)</f>
        <v>MADA</v>
      </c>
      <c r="AS1020" s="18" t="str">
        <f t="shared" si="76"/>
        <v>NAGA</v>
      </c>
      <c r="AT1020" s="19">
        <f t="shared" si="79"/>
        <v>2</v>
      </c>
      <c r="AU1020" s="19">
        <f t="shared" ca="1" si="78"/>
        <v>2</v>
      </c>
    </row>
    <row r="1021" spans="1:47" x14ac:dyDescent="0.3">
      <c r="A1021" t="s">
        <v>1452</v>
      </c>
      <c r="B1021" t="str">
        <f t="shared" si="75"/>
        <v>S32_2026</v>
      </c>
      <c r="C1021" t="str">
        <f t="shared" si="77"/>
        <v>S31_2026</v>
      </c>
      <c r="F1021">
        <v>50</v>
      </c>
      <c r="G1021" t="s">
        <v>55</v>
      </c>
      <c r="I1021" t="s">
        <v>1247</v>
      </c>
      <c r="J1021" t="s">
        <v>174</v>
      </c>
      <c r="K1021" t="s">
        <v>124</v>
      </c>
      <c r="L1021" t="s">
        <v>174</v>
      </c>
      <c r="M1021" t="s">
        <v>124</v>
      </c>
      <c r="N1021" t="s">
        <v>117</v>
      </c>
      <c r="O1021" t="s">
        <v>117</v>
      </c>
      <c r="P1021">
        <v>3</v>
      </c>
      <c r="Q1021" s="7">
        <v>46236</v>
      </c>
      <c r="R1021" s="7">
        <v>46237</v>
      </c>
      <c r="S1021" s="7">
        <v>46237</v>
      </c>
      <c r="T1021" t="s">
        <v>117</v>
      </c>
      <c r="V1021" t="s">
        <v>175</v>
      </c>
      <c r="W1021" t="s">
        <v>45</v>
      </c>
      <c r="X1021" t="s">
        <v>45</v>
      </c>
      <c r="Y1021" t="s">
        <v>45</v>
      </c>
      <c r="Z1021" t="s">
        <v>45</v>
      </c>
      <c r="AF1021">
        <v>2</v>
      </c>
      <c r="AH1021" t="s">
        <v>75</v>
      </c>
      <c r="AI1021">
        <v>1</v>
      </c>
      <c r="AJ1021" s="15"/>
      <c r="AL1021" s="16"/>
      <c r="AR1021" s="18" t="str">
        <f>IFERROR(VLOOKUP(K1021,[1]POP!$F:$J,1,0),M1021)</f>
        <v>MADA</v>
      </c>
      <c r="AS1021" s="18" t="str">
        <f t="shared" si="76"/>
        <v>HILE ALIFA</v>
      </c>
      <c r="AT1021" s="19">
        <f t="shared" si="79"/>
        <v>2</v>
      </c>
      <c r="AU1021" s="19">
        <f t="shared" ca="1" si="78"/>
        <v>2</v>
      </c>
    </row>
    <row r="1022" spans="1:47" x14ac:dyDescent="0.3">
      <c r="A1022" t="s">
        <v>1453</v>
      </c>
      <c r="B1022" t="str">
        <f t="shared" si="75"/>
        <v>S32_2026</v>
      </c>
      <c r="C1022" t="str">
        <f t="shared" si="77"/>
        <v>S31_2026</v>
      </c>
      <c r="F1022">
        <v>3</v>
      </c>
      <c r="G1022" t="s">
        <v>55</v>
      </c>
      <c r="I1022" t="s">
        <v>985</v>
      </c>
      <c r="J1022" t="s">
        <v>985</v>
      </c>
      <c r="K1022" t="s">
        <v>124</v>
      </c>
      <c r="L1022" t="s">
        <v>985</v>
      </c>
      <c r="M1022" t="s">
        <v>124</v>
      </c>
      <c r="N1022" t="s">
        <v>117</v>
      </c>
      <c r="O1022" t="s">
        <v>117</v>
      </c>
      <c r="P1022">
        <v>1</v>
      </c>
      <c r="Q1022" s="7">
        <v>46236</v>
      </c>
      <c r="R1022" s="7">
        <v>46237</v>
      </c>
      <c r="S1022" s="7">
        <v>46237</v>
      </c>
      <c r="T1022" t="s">
        <v>117</v>
      </c>
      <c r="V1022">
        <v>0</v>
      </c>
      <c r="AF1022">
        <v>2</v>
      </c>
      <c r="AH1022" t="s">
        <v>75</v>
      </c>
      <c r="AI1022">
        <v>1</v>
      </c>
      <c r="AJ1022" s="15"/>
      <c r="AL1022" s="16"/>
      <c r="AR1022" s="18" t="str">
        <f>IFERROR(VLOOKUP(K1022,[1]POP!$F:$J,1,0),M1022)</f>
        <v>MADA</v>
      </c>
      <c r="AS1022" s="18" t="str">
        <f t="shared" si="76"/>
        <v>KOFIA</v>
      </c>
      <c r="AT1022" s="19">
        <f t="shared" si="79"/>
        <v>2</v>
      </c>
      <c r="AU1022" s="19">
        <f t="shared" ca="1" si="78"/>
        <v>2</v>
      </c>
    </row>
    <row r="1023" spans="1:47" x14ac:dyDescent="0.3">
      <c r="A1023" t="s">
        <v>1454</v>
      </c>
      <c r="B1023" t="str">
        <f t="shared" si="75"/>
        <v>S32_2026</v>
      </c>
      <c r="C1023" t="str">
        <f t="shared" si="77"/>
        <v>S31_2026</v>
      </c>
      <c r="F1023">
        <v>3</v>
      </c>
      <c r="G1023" t="s">
        <v>55</v>
      </c>
      <c r="I1023" t="s">
        <v>985</v>
      </c>
      <c r="J1023" t="s">
        <v>985</v>
      </c>
      <c r="K1023" t="s">
        <v>124</v>
      </c>
      <c r="L1023" t="s">
        <v>985</v>
      </c>
      <c r="M1023" t="s">
        <v>124</v>
      </c>
      <c r="N1023" t="s">
        <v>117</v>
      </c>
      <c r="O1023" t="s">
        <v>117</v>
      </c>
      <c r="P1023">
        <v>1</v>
      </c>
      <c r="Q1023" s="7">
        <v>46236</v>
      </c>
      <c r="R1023" s="7">
        <v>46237</v>
      </c>
      <c r="S1023" s="7">
        <v>46237</v>
      </c>
      <c r="T1023" t="s">
        <v>117</v>
      </c>
      <c r="V1023">
        <v>1</v>
      </c>
      <c r="AF1023">
        <v>2</v>
      </c>
      <c r="AH1023" t="s">
        <v>75</v>
      </c>
      <c r="AI1023">
        <v>1</v>
      </c>
      <c r="AJ1023" s="15"/>
      <c r="AL1023" s="16"/>
      <c r="AR1023" s="18" t="str">
        <f>IFERROR(VLOOKUP(K1023,[1]POP!$F:$J,1,0),M1023)</f>
        <v>MADA</v>
      </c>
      <c r="AS1023" s="18" t="str">
        <f t="shared" si="76"/>
        <v>KOFIA</v>
      </c>
      <c r="AT1023" s="19">
        <f t="shared" si="79"/>
        <v>2</v>
      </c>
      <c r="AU1023" s="19">
        <f t="shared" ca="1" si="78"/>
        <v>2</v>
      </c>
    </row>
    <row r="1024" spans="1:47" x14ac:dyDescent="0.3">
      <c r="A1024" t="s">
        <v>1455</v>
      </c>
      <c r="B1024" t="str">
        <f t="shared" si="75"/>
        <v>S32_2026</v>
      </c>
      <c r="C1024" t="str">
        <f t="shared" si="77"/>
        <v>S31_2026</v>
      </c>
      <c r="F1024">
        <v>3</v>
      </c>
      <c r="G1024" t="s">
        <v>55</v>
      </c>
      <c r="I1024" t="s">
        <v>985</v>
      </c>
      <c r="J1024" t="s">
        <v>985</v>
      </c>
      <c r="K1024" t="s">
        <v>124</v>
      </c>
      <c r="L1024" t="s">
        <v>985</v>
      </c>
      <c r="M1024" t="s">
        <v>124</v>
      </c>
      <c r="N1024" t="s">
        <v>117</v>
      </c>
      <c r="O1024" t="s">
        <v>117</v>
      </c>
      <c r="P1024">
        <v>1</v>
      </c>
      <c r="Q1024" s="7">
        <v>46236</v>
      </c>
      <c r="R1024" s="7">
        <v>46237</v>
      </c>
      <c r="S1024" s="7">
        <v>46237</v>
      </c>
      <c r="T1024" t="s">
        <v>117</v>
      </c>
      <c r="V1024">
        <v>1</v>
      </c>
      <c r="AF1024">
        <v>2</v>
      </c>
      <c r="AH1024" t="s">
        <v>75</v>
      </c>
      <c r="AI1024">
        <v>1</v>
      </c>
      <c r="AJ1024" s="15"/>
      <c r="AL1024" s="16"/>
      <c r="AR1024" s="18" t="str">
        <f>IFERROR(VLOOKUP(K1024,[1]POP!$F:$J,1,0),M1024)</f>
        <v>MADA</v>
      </c>
      <c r="AS1024" s="18" t="str">
        <f t="shared" si="76"/>
        <v>KOFIA</v>
      </c>
      <c r="AT1024" s="19">
        <f t="shared" si="79"/>
        <v>2</v>
      </c>
      <c r="AU1024" s="19">
        <f t="shared" ca="1" si="78"/>
        <v>2</v>
      </c>
    </row>
    <row r="1025" spans="1:47" x14ac:dyDescent="0.3">
      <c r="A1025" t="s">
        <v>1456</v>
      </c>
      <c r="B1025" t="str">
        <f t="shared" si="75"/>
        <v>S32_2026</v>
      </c>
      <c r="C1025" t="str">
        <f t="shared" si="77"/>
        <v>S32_2026</v>
      </c>
      <c r="F1025">
        <v>12</v>
      </c>
      <c r="G1025" t="s">
        <v>55</v>
      </c>
      <c r="H1025" t="s">
        <v>85</v>
      </c>
      <c r="I1025" t="s">
        <v>1457</v>
      </c>
      <c r="J1025" t="s">
        <v>1067</v>
      </c>
      <c r="K1025" t="s">
        <v>1068</v>
      </c>
      <c r="L1025" t="s">
        <v>1067</v>
      </c>
      <c r="M1025" t="s">
        <v>1068</v>
      </c>
      <c r="N1025" t="s">
        <v>45</v>
      </c>
      <c r="O1025" t="s">
        <v>74</v>
      </c>
      <c r="P1025">
        <v>2</v>
      </c>
      <c r="Q1025" s="7">
        <v>46237</v>
      </c>
      <c r="R1025" s="7">
        <v>46237</v>
      </c>
      <c r="S1025" s="7">
        <v>46237</v>
      </c>
      <c r="T1025" t="s">
        <v>45</v>
      </c>
      <c r="V1025" t="s">
        <v>1331</v>
      </c>
      <c r="W1025" t="s">
        <v>45</v>
      </c>
      <c r="X1025" t="s">
        <v>74</v>
      </c>
      <c r="Y1025" t="s">
        <v>74</v>
      </c>
      <c r="Z1025" t="s">
        <v>45</v>
      </c>
      <c r="AC1025" t="s">
        <v>74</v>
      </c>
      <c r="AE1025" s="7">
        <v>46243</v>
      </c>
      <c r="AF1025">
        <v>2</v>
      </c>
      <c r="AH1025" t="s">
        <v>75</v>
      </c>
      <c r="AI1025">
        <v>1</v>
      </c>
      <c r="AJ1025" s="15"/>
      <c r="AK1025" t="s">
        <v>74</v>
      </c>
      <c r="AL1025" s="16"/>
      <c r="AR1025" s="18" t="str">
        <f>IFERROR(VLOOKUP(K1025,[1]POP!$F:$J,1,0),M1025)</f>
        <v>MOKOLO</v>
      </c>
      <c r="AS1025" s="18" t="str">
        <f t="shared" si="76"/>
        <v>MINAWAO</v>
      </c>
      <c r="AT1025" s="19">
        <f t="shared" si="79"/>
        <v>2</v>
      </c>
      <c r="AU1025" s="19">
        <f t="shared" ca="1" si="78"/>
        <v>2</v>
      </c>
    </row>
    <row r="1026" spans="1:47" x14ac:dyDescent="0.3">
      <c r="A1026" t="s">
        <v>1458</v>
      </c>
      <c r="B1026" t="str">
        <f t="shared" ref="B1026:B1089" si="80">"S"&amp;(IF(_xlfn.ISOWEEKNUM(S1026)&gt;9,_xlfn.ISOWEEKNUM(S1026),_xlfn.CONCAT("0",_xlfn.ISOWEEKNUM(S1026))))&amp;"_"&amp;(YEAR(S1026+26-(_xlfn.ISOWEEKNUM(S1026))))</f>
        <v>S32_2026</v>
      </c>
      <c r="C1026" t="str">
        <f t="shared" si="77"/>
        <v>S32_2026</v>
      </c>
      <c r="F1026">
        <v>5</v>
      </c>
      <c r="G1026" t="s">
        <v>55</v>
      </c>
      <c r="H1026" t="s">
        <v>85</v>
      </c>
      <c r="I1026" t="s">
        <v>1459</v>
      </c>
      <c r="J1026" t="s">
        <v>1067</v>
      </c>
      <c r="K1026" t="s">
        <v>1068</v>
      </c>
      <c r="L1026" t="s">
        <v>1067</v>
      </c>
      <c r="M1026" t="s">
        <v>1068</v>
      </c>
      <c r="N1026" t="s">
        <v>45</v>
      </c>
      <c r="O1026" t="s">
        <v>74</v>
      </c>
      <c r="P1026">
        <v>2</v>
      </c>
      <c r="Q1026" s="7">
        <v>46238</v>
      </c>
      <c r="R1026" s="7">
        <v>46238</v>
      </c>
      <c r="S1026" s="7">
        <v>46238</v>
      </c>
      <c r="T1026" t="s">
        <v>45</v>
      </c>
      <c r="V1026" t="s">
        <v>1331</v>
      </c>
      <c r="W1026" t="s">
        <v>45</v>
      </c>
      <c r="X1026" t="s">
        <v>74</v>
      </c>
      <c r="Y1026" t="s">
        <v>74</v>
      </c>
      <c r="Z1026" t="s">
        <v>45</v>
      </c>
      <c r="AC1026" t="s">
        <v>74</v>
      </c>
      <c r="AE1026" s="7">
        <v>46245</v>
      </c>
      <c r="AF1026">
        <v>2</v>
      </c>
      <c r="AH1026" t="s">
        <v>75</v>
      </c>
      <c r="AI1026">
        <v>1</v>
      </c>
      <c r="AJ1026" s="15"/>
      <c r="AK1026" t="s">
        <v>74</v>
      </c>
      <c r="AL1026" s="16"/>
      <c r="AR1026" s="18" t="str">
        <f>IFERROR(VLOOKUP(K1026,[1]POP!$F:$J,1,0),M1026)</f>
        <v>MOKOLO</v>
      </c>
      <c r="AS1026" s="18" t="str">
        <f t="shared" ref="AS1026:AS1089" si="81">IF(AR1026=K1026,J1026,L1026)</f>
        <v>MINAWAO</v>
      </c>
      <c r="AT1026" s="19">
        <f t="shared" si="79"/>
        <v>2</v>
      </c>
      <c r="AU1026" s="19">
        <f t="shared" ca="1" si="78"/>
        <v>2</v>
      </c>
    </row>
    <row r="1027" spans="1:47" x14ac:dyDescent="0.3">
      <c r="A1027" t="s">
        <v>1460</v>
      </c>
      <c r="B1027" t="str">
        <f t="shared" si="80"/>
        <v>S32_2026</v>
      </c>
      <c r="C1027" t="str">
        <f t="shared" ref="C1027:C1090" si="82">"S"&amp;(IF(_xlfn.ISOWEEKNUM(Q1027)&gt;9,_xlfn.ISOWEEKNUM(Q1027),_xlfn.CONCAT("0",_xlfn.ISOWEEKNUM(Q1027))))&amp;"_"&amp;(YEAR(Q1027+26-(_xlfn.ISOWEEKNUM(Q1027))))</f>
        <v>S32_2026</v>
      </c>
      <c r="F1027">
        <v>3</v>
      </c>
      <c r="G1027" t="s">
        <v>40</v>
      </c>
      <c r="H1027" t="s">
        <v>85</v>
      </c>
      <c r="I1027" t="s">
        <v>1461</v>
      </c>
      <c r="J1027" t="s">
        <v>1067</v>
      </c>
      <c r="K1027" t="s">
        <v>1068</v>
      </c>
      <c r="L1027" t="s">
        <v>1067</v>
      </c>
      <c r="M1027" t="s">
        <v>1068</v>
      </c>
      <c r="N1027" t="s">
        <v>45</v>
      </c>
      <c r="O1027" t="s">
        <v>74</v>
      </c>
      <c r="P1027">
        <v>2</v>
      </c>
      <c r="Q1027" s="7">
        <v>46238</v>
      </c>
      <c r="R1027" s="7">
        <v>46177</v>
      </c>
      <c r="S1027" s="7">
        <v>46238</v>
      </c>
      <c r="T1027" t="s">
        <v>45</v>
      </c>
      <c r="V1027" t="s">
        <v>1331</v>
      </c>
      <c r="W1027" t="s">
        <v>45</v>
      </c>
      <c r="X1027" t="s">
        <v>74</v>
      </c>
      <c r="Y1027" t="s">
        <v>74</v>
      </c>
      <c r="Z1027" t="s">
        <v>45</v>
      </c>
      <c r="AC1027" t="s">
        <v>74</v>
      </c>
      <c r="AE1027" s="7">
        <v>46245</v>
      </c>
      <c r="AF1027">
        <v>2</v>
      </c>
      <c r="AH1027" t="s">
        <v>75</v>
      </c>
      <c r="AI1027">
        <v>1</v>
      </c>
      <c r="AJ1027" s="15"/>
      <c r="AK1027" t="s">
        <v>74</v>
      </c>
      <c r="AL1027" s="16"/>
      <c r="AR1027" s="18" t="str">
        <f>IFERROR(VLOOKUP(K1027,[1]POP!$F:$J,1,0),M1027)</f>
        <v>MOKOLO</v>
      </c>
      <c r="AS1027" s="18" t="str">
        <f t="shared" si="81"/>
        <v>MINAWAO</v>
      </c>
      <c r="AT1027" s="19">
        <f t="shared" si="79"/>
        <v>2</v>
      </c>
      <c r="AU1027" s="19">
        <f t="shared" ref="AU1027:AU1090" ca="1" si="83">IF((TODAY() - R1027)&lt;=21,1,2)</f>
        <v>2</v>
      </c>
    </row>
    <row r="1028" spans="1:47" x14ac:dyDescent="0.3">
      <c r="A1028" t="s">
        <v>1462</v>
      </c>
      <c r="B1028" t="str">
        <f t="shared" si="80"/>
        <v>S23_2026</v>
      </c>
      <c r="C1028" t="str">
        <f t="shared" si="82"/>
        <v>S23_2026</v>
      </c>
      <c r="F1028">
        <v>21</v>
      </c>
      <c r="G1028" t="s">
        <v>40</v>
      </c>
      <c r="H1028" t="s">
        <v>85</v>
      </c>
      <c r="I1028" t="s">
        <v>1463</v>
      </c>
      <c r="J1028" t="s">
        <v>1067</v>
      </c>
      <c r="K1028" t="s">
        <v>1068</v>
      </c>
      <c r="L1028" t="s">
        <v>1067</v>
      </c>
      <c r="M1028" t="s">
        <v>1068</v>
      </c>
      <c r="N1028" t="s">
        <v>45</v>
      </c>
      <c r="O1028" t="s">
        <v>74</v>
      </c>
      <c r="P1028">
        <v>2</v>
      </c>
      <c r="Q1028" s="7">
        <v>46177</v>
      </c>
      <c r="R1028" s="7">
        <v>46177</v>
      </c>
      <c r="S1028" s="7">
        <v>46177</v>
      </c>
      <c r="T1028" t="s">
        <v>45</v>
      </c>
      <c r="V1028" t="s">
        <v>1331</v>
      </c>
      <c r="W1028" t="s">
        <v>45</v>
      </c>
      <c r="X1028" t="s">
        <v>74</v>
      </c>
      <c r="Y1028" t="s">
        <v>74</v>
      </c>
      <c r="Z1028" t="s">
        <v>45</v>
      </c>
      <c r="AC1028" t="s">
        <v>74</v>
      </c>
      <c r="AF1028">
        <v>2</v>
      </c>
      <c r="AH1028" t="s">
        <v>75</v>
      </c>
      <c r="AI1028">
        <v>1</v>
      </c>
      <c r="AJ1028" s="15"/>
      <c r="AK1028" t="s">
        <v>74</v>
      </c>
      <c r="AL1028" s="16"/>
      <c r="AR1028" s="18" t="str">
        <f>IFERROR(VLOOKUP(K1028,[1]POP!$F:$J,1,0),M1028)</f>
        <v>MOKOLO</v>
      </c>
      <c r="AS1028" s="18" t="str">
        <f t="shared" si="81"/>
        <v>MINAWAO</v>
      </c>
      <c r="AT1028" s="19">
        <f t="shared" ref="AT1028:AT1091" si="84">IF($AI:$AI=2,3,IF($AI:$AI=3,3,IF($AI:$AI=4,3,IF($AI:$AI=1,2,0))))</f>
        <v>2</v>
      </c>
      <c r="AU1028" s="19">
        <f t="shared" ca="1" si="83"/>
        <v>2</v>
      </c>
    </row>
    <row r="1029" spans="1:47" x14ac:dyDescent="0.3">
      <c r="A1029" t="s">
        <v>1464</v>
      </c>
      <c r="B1029" t="str">
        <f t="shared" si="80"/>
        <v>S23_2026</v>
      </c>
      <c r="C1029" t="str">
        <f t="shared" si="82"/>
        <v>S23_2026</v>
      </c>
      <c r="F1029">
        <v>3</v>
      </c>
      <c r="G1029" t="s">
        <v>40</v>
      </c>
      <c r="H1029" t="s">
        <v>85</v>
      </c>
      <c r="I1029" t="s">
        <v>1465</v>
      </c>
      <c r="J1029" t="s">
        <v>1067</v>
      </c>
      <c r="K1029" t="s">
        <v>1068</v>
      </c>
      <c r="L1029" t="s">
        <v>1067</v>
      </c>
      <c r="M1029" t="s">
        <v>1068</v>
      </c>
      <c r="N1029" t="s">
        <v>45</v>
      </c>
      <c r="O1029" t="s">
        <v>74</v>
      </c>
      <c r="P1029">
        <v>2</v>
      </c>
      <c r="Q1029" s="7">
        <v>46177</v>
      </c>
      <c r="R1029" s="7">
        <v>46177</v>
      </c>
      <c r="S1029" s="7">
        <v>46177</v>
      </c>
      <c r="T1029" t="s">
        <v>45</v>
      </c>
      <c r="V1029" t="s">
        <v>1331</v>
      </c>
      <c r="W1029" t="s">
        <v>45</v>
      </c>
      <c r="X1029" t="s">
        <v>74</v>
      </c>
      <c r="Y1029" t="s">
        <v>74</v>
      </c>
      <c r="Z1029" t="s">
        <v>45</v>
      </c>
      <c r="AC1029" t="s">
        <v>74</v>
      </c>
      <c r="AE1029" s="7">
        <v>46260</v>
      </c>
      <c r="AF1029">
        <v>2</v>
      </c>
      <c r="AH1029" t="s">
        <v>75</v>
      </c>
      <c r="AI1029">
        <v>1</v>
      </c>
      <c r="AJ1029" s="15"/>
      <c r="AK1029" t="s">
        <v>74</v>
      </c>
      <c r="AL1029" s="16"/>
      <c r="AR1029" s="18" t="str">
        <f>IFERROR(VLOOKUP(K1029,[1]POP!$F:$J,1,0),M1029)</f>
        <v>MOKOLO</v>
      </c>
      <c r="AS1029" s="18" t="str">
        <f t="shared" si="81"/>
        <v>MINAWAO</v>
      </c>
      <c r="AT1029" s="19">
        <f t="shared" si="84"/>
        <v>2</v>
      </c>
      <c r="AU1029" s="19">
        <f t="shared" ca="1" si="83"/>
        <v>2</v>
      </c>
    </row>
    <row r="1030" spans="1:47" x14ac:dyDescent="0.3">
      <c r="A1030" t="s">
        <v>1466</v>
      </c>
      <c r="B1030" t="str">
        <f t="shared" si="80"/>
        <v>S23_2026</v>
      </c>
      <c r="C1030" t="str">
        <f t="shared" si="82"/>
        <v>S32_2026</v>
      </c>
      <c r="F1030">
        <v>2</v>
      </c>
      <c r="G1030" t="s">
        <v>40</v>
      </c>
      <c r="H1030" t="s">
        <v>85</v>
      </c>
      <c r="I1030" t="s">
        <v>1323</v>
      </c>
      <c r="J1030" t="s">
        <v>1067</v>
      </c>
      <c r="K1030" t="s">
        <v>1068</v>
      </c>
      <c r="L1030" t="s">
        <v>1067</v>
      </c>
      <c r="M1030" t="s">
        <v>1068</v>
      </c>
      <c r="N1030" t="s">
        <v>45</v>
      </c>
      <c r="O1030" t="s">
        <v>74</v>
      </c>
      <c r="P1030">
        <v>2</v>
      </c>
      <c r="Q1030" s="7">
        <v>46238</v>
      </c>
      <c r="R1030" s="7">
        <v>46177</v>
      </c>
      <c r="S1030" s="7">
        <v>46177</v>
      </c>
      <c r="T1030" t="s">
        <v>45</v>
      </c>
      <c r="V1030" t="s">
        <v>1331</v>
      </c>
      <c r="W1030" t="s">
        <v>45</v>
      </c>
      <c r="X1030" t="s">
        <v>74</v>
      </c>
      <c r="Y1030" t="s">
        <v>74</v>
      </c>
      <c r="Z1030" t="s">
        <v>45</v>
      </c>
      <c r="AC1030" t="s">
        <v>74</v>
      </c>
      <c r="AE1030" s="7">
        <v>46245</v>
      </c>
      <c r="AF1030">
        <v>2</v>
      </c>
      <c r="AH1030" t="s">
        <v>75</v>
      </c>
      <c r="AI1030">
        <v>1</v>
      </c>
      <c r="AJ1030" s="15"/>
      <c r="AK1030" t="s">
        <v>74</v>
      </c>
      <c r="AL1030" s="16"/>
      <c r="AR1030" s="18" t="str">
        <f>IFERROR(VLOOKUP(K1030,[1]POP!$F:$J,1,0),M1030)</f>
        <v>MOKOLO</v>
      </c>
      <c r="AS1030" s="18" t="str">
        <f t="shared" si="81"/>
        <v>MINAWAO</v>
      </c>
      <c r="AT1030" s="19">
        <f t="shared" si="84"/>
        <v>2</v>
      </c>
      <c r="AU1030" s="19">
        <f t="shared" ca="1" si="83"/>
        <v>2</v>
      </c>
    </row>
    <row r="1031" spans="1:47" x14ac:dyDescent="0.3">
      <c r="A1031" t="s">
        <v>1467</v>
      </c>
      <c r="B1031" t="str">
        <f t="shared" si="80"/>
        <v>S32_2026</v>
      </c>
      <c r="C1031" t="str">
        <f t="shared" si="82"/>
        <v>S32_2026</v>
      </c>
      <c r="F1031">
        <v>1</v>
      </c>
      <c r="G1031" t="s">
        <v>40</v>
      </c>
      <c r="H1031" t="s">
        <v>85</v>
      </c>
      <c r="I1031" t="s">
        <v>1468</v>
      </c>
      <c r="J1031" t="s">
        <v>1067</v>
      </c>
      <c r="K1031" t="s">
        <v>1068</v>
      </c>
      <c r="L1031" t="s">
        <v>1067</v>
      </c>
      <c r="M1031" t="s">
        <v>1068</v>
      </c>
      <c r="N1031" t="s">
        <v>45</v>
      </c>
      <c r="O1031" t="s">
        <v>74</v>
      </c>
      <c r="P1031">
        <v>2</v>
      </c>
      <c r="Q1031" s="7">
        <v>46239</v>
      </c>
      <c r="R1031" s="7">
        <v>46239</v>
      </c>
      <c r="S1031" s="7">
        <v>46239</v>
      </c>
      <c r="T1031" t="s">
        <v>45</v>
      </c>
      <c r="V1031" t="s">
        <v>1331</v>
      </c>
      <c r="W1031" t="s">
        <v>45</v>
      </c>
      <c r="X1031" t="s">
        <v>74</v>
      </c>
      <c r="Y1031" t="s">
        <v>74</v>
      </c>
      <c r="Z1031" t="s">
        <v>45</v>
      </c>
      <c r="AC1031" t="s">
        <v>74</v>
      </c>
      <c r="AE1031" s="7">
        <v>46247</v>
      </c>
      <c r="AF1031">
        <v>2</v>
      </c>
      <c r="AH1031" t="s">
        <v>75</v>
      </c>
      <c r="AI1031">
        <v>1</v>
      </c>
      <c r="AJ1031" s="15"/>
      <c r="AK1031" t="s">
        <v>74</v>
      </c>
      <c r="AL1031" s="16"/>
      <c r="AR1031" s="18" t="str">
        <f>IFERROR(VLOOKUP(K1031,[1]POP!$F:$J,1,0),M1031)</f>
        <v>MOKOLO</v>
      </c>
      <c r="AS1031" s="18" t="str">
        <f t="shared" si="81"/>
        <v>MINAWAO</v>
      </c>
      <c r="AT1031" s="19">
        <f t="shared" si="84"/>
        <v>2</v>
      </c>
      <c r="AU1031" s="19">
        <f t="shared" ca="1" si="83"/>
        <v>2</v>
      </c>
    </row>
    <row r="1032" spans="1:47" x14ac:dyDescent="0.3">
      <c r="A1032" t="s">
        <v>1469</v>
      </c>
      <c r="B1032" t="str">
        <f t="shared" si="80"/>
        <v>S32_2026</v>
      </c>
      <c r="C1032" t="str">
        <f t="shared" si="82"/>
        <v>S32_2026</v>
      </c>
      <c r="F1032">
        <v>17</v>
      </c>
      <c r="G1032" t="s">
        <v>40</v>
      </c>
      <c r="H1032" t="s">
        <v>85</v>
      </c>
      <c r="I1032" t="s">
        <v>1470</v>
      </c>
      <c r="J1032" t="s">
        <v>1138</v>
      </c>
      <c r="K1032" t="s">
        <v>1471</v>
      </c>
      <c r="L1032" t="s">
        <v>1138</v>
      </c>
      <c r="M1032" t="s">
        <v>1068</v>
      </c>
      <c r="N1032" t="s">
        <v>45</v>
      </c>
      <c r="O1032" t="s">
        <v>45</v>
      </c>
      <c r="P1032">
        <v>2</v>
      </c>
      <c r="Q1032" s="7">
        <v>46237</v>
      </c>
      <c r="R1032" s="7">
        <v>46237</v>
      </c>
      <c r="S1032" s="7">
        <v>46237</v>
      </c>
      <c r="T1032" t="s">
        <v>45</v>
      </c>
      <c r="V1032" t="s">
        <v>1472</v>
      </c>
      <c r="W1032" t="s">
        <v>45</v>
      </c>
      <c r="X1032" t="s">
        <v>45</v>
      </c>
      <c r="Y1032" t="s">
        <v>45</v>
      </c>
      <c r="Z1032" t="s">
        <v>45</v>
      </c>
      <c r="AA1032" s="7">
        <v>46237</v>
      </c>
      <c r="AB1032" t="s">
        <v>48</v>
      </c>
      <c r="AC1032" t="s">
        <v>45</v>
      </c>
      <c r="AE1032" s="7">
        <v>46239</v>
      </c>
      <c r="AF1032">
        <v>2</v>
      </c>
      <c r="AH1032" t="s">
        <v>75</v>
      </c>
      <c r="AI1032">
        <v>1</v>
      </c>
      <c r="AJ1032" s="15"/>
      <c r="AK1032" t="s">
        <v>74</v>
      </c>
      <c r="AL1032" s="16"/>
      <c r="AR1032" s="18" t="str">
        <f>IFERROR(VLOOKUP(K1032,[1]POP!$F:$J,1,0),M1032)</f>
        <v>MOKOLO</v>
      </c>
      <c r="AS1032" s="18" t="str">
        <f t="shared" si="81"/>
        <v>GADALA</v>
      </c>
      <c r="AT1032" s="19">
        <f t="shared" si="84"/>
        <v>2</v>
      </c>
      <c r="AU1032" s="19">
        <f t="shared" ca="1" si="83"/>
        <v>2</v>
      </c>
    </row>
    <row r="1033" spans="1:47" x14ac:dyDescent="0.3">
      <c r="A1033" t="s">
        <v>1473</v>
      </c>
      <c r="B1033" t="str">
        <f t="shared" si="80"/>
        <v>S30_2026</v>
      </c>
      <c r="C1033" t="str">
        <f t="shared" si="82"/>
        <v>S29_2026</v>
      </c>
      <c r="E1033" t="s">
        <v>1474</v>
      </c>
      <c r="F1033">
        <v>3</v>
      </c>
      <c r="G1033" t="s">
        <v>40</v>
      </c>
      <c r="H1033" t="s">
        <v>111</v>
      </c>
      <c r="I1033" t="s">
        <v>1412</v>
      </c>
      <c r="J1033" t="s">
        <v>113</v>
      </c>
      <c r="K1033" t="s">
        <v>114</v>
      </c>
      <c r="L1033" t="s">
        <v>115</v>
      </c>
      <c r="M1033" t="s">
        <v>116</v>
      </c>
      <c r="N1033" t="s">
        <v>117</v>
      </c>
      <c r="O1033" t="s">
        <v>117</v>
      </c>
      <c r="P1033">
        <v>3</v>
      </c>
      <c r="Q1033" s="7">
        <v>46221</v>
      </c>
      <c r="R1033" s="7">
        <v>46222</v>
      </c>
      <c r="S1033" s="7">
        <v>46223</v>
      </c>
      <c r="T1033" t="s">
        <v>117</v>
      </c>
      <c r="V1033" t="s">
        <v>118</v>
      </c>
      <c r="W1033" t="s">
        <v>117</v>
      </c>
      <c r="X1033" t="s">
        <v>117</v>
      </c>
      <c r="Y1033" t="s">
        <v>117</v>
      </c>
      <c r="Z1033" t="s">
        <v>117</v>
      </c>
      <c r="AB1033" t="s">
        <v>48</v>
      </c>
      <c r="AC1033" t="s">
        <v>74</v>
      </c>
      <c r="AF1033">
        <v>2</v>
      </c>
      <c r="AH1033" t="s">
        <v>75</v>
      </c>
      <c r="AI1033">
        <v>1</v>
      </c>
      <c r="AJ1033" s="15"/>
      <c r="AK1033" t="s">
        <v>74</v>
      </c>
      <c r="AL1033" s="16"/>
      <c r="AR1033" s="18" t="str">
        <f>IFERROR(VLOOKUP(K1033,[1]POP!$F:$J,1,0),M1033)</f>
        <v>FOTOKOL</v>
      </c>
      <c r="AS1033" s="18" t="str">
        <f t="shared" si="81"/>
        <v>sagmé</v>
      </c>
      <c r="AT1033" s="19">
        <f t="shared" si="84"/>
        <v>2</v>
      </c>
      <c r="AU1033" s="19">
        <f t="shared" ca="1" si="83"/>
        <v>2</v>
      </c>
    </row>
    <row r="1034" spans="1:47" x14ac:dyDescent="0.3">
      <c r="A1034" t="s">
        <v>1475</v>
      </c>
      <c r="B1034" t="str">
        <f t="shared" si="80"/>
        <v>S30_2026</v>
      </c>
      <c r="C1034" t="str">
        <f t="shared" si="82"/>
        <v>S30_2026</v>
      </c>
      <c r="E1034" t="s">
        <v>135</v>
      </c>
      <c r="F1034">
        <v>30</v>
      </c>
      <c r="G1034" t="s">
        <v>40</v>
      </c>
      <c r="H1034" t="s">
        <v>136</v>
      </c>
      <c r="I1034" t="s">
        <v>803</v>
      </c>
      <c r="J1034" t="s">
        <v>657</v>
      </c>
      <c r="K1034" t="s">
        <v>658</v>
      </c>
      <c r="L1034" t="s">
        <v>659</v>
      </c>
      <c r="M1034" t="s">
        <v>116</v>
      </c>
      <c r="N1034" t="s">
        <v>117</v>
      </c>
      <c r="O1034" t="s">
        <v>117</v>
      </c>
      <c r="P1034">
        <v>3</v>
      </c>
      <c r="Q1034" s="7">
        <v>46223</v>
      </c>
      <c r="R1034" s="7">
        <v>46223</v>
      </c>
      <c r="S1034" s="7">
        <v>46223</v>
      </c>
      <c r="T1034" t="s">
        <v>117</v>
      </c>
      <c r="V1034" t="s">
        <v>360</v>
      </c>
      <c r="W1034" t="s">
        <v>117</v>
      </c>
      <c r="X1034" t="s">
        <v>117</v>
      </c>
      <c r="Y1034" t="s">
        <v>117</v>
      </c>
      <c r="Z1034" t="s">
        <v>117</v>
      </c>
      <c r="AF1034">
        <v>2</v>
      </c>
      <c r="AH1034" t="s">
        <v>75</v>
      </c>
      <c r="AI1034">
        <v>1</v>
      </c>
      <c r="AJ1034" s="15"/>
      <c r="AK1034" t="s">
        <v>74</v>
      </c>
      <c r="AL1034" s="16"/>
      <c r="AR1034" s="18" t="str">
        <f>IFERROR(VLOOKUP(K1034,[1]POP!$F:$J,1,0),M1034)</f>
        <v>MAKARY</v>
      </c>
      <c r="AS1034" s="18" t="str">
        <f t="shared" si="81"/>
        <v>Amchilga</v>
      </c>
      <c r="AT1034" s="19">
        <f t="shared" si="84"/>
        <v>2</v>
      </c>
      <c r="AU1034" s="19">
        <f t="shared" ca="1" si="83"/>
        <v>2</v>
      </c>
    </row>
    <row r="1035" spans="1:47" x14ac:dyDescent="0.3">
      <c r="A1035" t="s">
        <v>1476</v>
      </c>
      <c r="B1035" t="str">
        <f t="shared" si="80"/>
        <v>S30_2026</v>
      </c>
      <c r="C1035" t="str">
        <f t="shared" si="82"/>
        <v>S30_2026</v>
      </c>
      <c r="E1035" t="s">
        <v>818</v>
      </c>
      <c r="F1035">
        <v>27</v>
      </c>
      <c r="G1035" t="s">
        <v>40</v>
      </c>
      <c r="H1035" t="s">
        <v>136</v>
      </c>
      <c r="I1035" t="s">
        <v>666</v>
      </c>
      <c r="J1035" t="s">
        <v>657</v>
      </c>
      <c r="K1035" t="s">
        <v>658</v>
      </c>
      <c r="L1035" t="s">
        <v>659</v>
      </c>
      <c r="M1035" t="s">
        <v>116</v>
      </c>
      <c r="N1035" t="s">
        <v>117</v>
      </c>
      <c r="O1035" t="s">
        <v>117</v>
      </c>
      <c r="P1035">
        <v>3</v>
      </c>
      <c r="Q1035" s="7">
        <v>46223</v>
      </c>
      <c r="R1035" s="7">
        <v>46223</v>
      </c>
      <c r="S1035" s="7">
        <v>46223</v>
      </c>
      <c r="T1035" t="s">
        <v>117</v>
      </c>
      <c r="V1035" t="s">
        <v>360</v>
      </c>
      <c r="W1035" t="s">
        <v>117</v>
      </c>
      <c r="X1035" t="s">
        <v>117</v>
      </c>
      <c r="Y1035" t="s">
        <v>117</v>
      </c>
      <c r="Z1035" t="s">
        <v>117</v>
      </c>
      <c r="AF1035">
        <v>2</v>
      </c>
      <c r="AH1035" t="s">
        <v>75</v>
      </c>
      <c r="AI1035">
        <v>1</v>
      </c>
      <c r="AJ1035" s="15"/>
      <c r="AK1035" t="s">
        <v>74</v>
      </c>
      <c r="AL1035" s="16"/>
      <c r="AR1035" s="18" t="str">
        <f>IFERROR(VLOOKUP(K1035,[1]POP!$F:$J,1,0),M1035)</f>
        <v>MAKARY</v>
      </c>
      <c r="AS1035" s="18" t="str">
        <f t="shared" si="81"/>
        <v>Amchilga</v>
      </c>
      <c r="AT1035" s="19">
        <f t="shared" si="84"/>
        <v>2</v>
      </c>
      <c r="AU1035" s="19">
        <f t="shared" ca="1" si="83"/>
        <v>2</v>
      </c>
    </row>
    <row r="1036" spans="1:47" x14ac:dyDescent="0.3">
      <c r="A1036" t="s">
        <v>1477</v>
      </c>
      <c r="B1036" t="str">
        <f t="shared" si="80"/>
        <v>S30_2026</v>
      </c>
      <c r="C1036" t="str">
        <f t="shared" si="82"/>
        <v>S30_2026</v>
      </c>
      <c r="E1036" t="s">
        <v>818</v>
      </c>
      <c r="F1036">
        <v>27</v>
      </c>
      <c r="G1036" t="s">
        <v>55</v>
      </c>
      <c r="H1036" t="s">
        <v>680</v>
      </c>
      <c r="I1036" t="s">
        <v>666</v>
      </c>
      <c r="J1036" t="s">
        <v>657</v>
      </c>
      <c r="K1036" t="s">
        <v>658</v>
      </c>
      <c r="L1036" t="s">
        <v>659</v>
      </c>
      <c r="M1036" t="s">
        <v>116</v>
      </c>
      <c r="N1036" t="s">
        <v>117</v>
      </c>
      <c r="O1036" t="s">
        <v>117</v>
      </c>
      <c r="P1036">
        <v>3</v>
      </c>
      <c r="Q1036" s="7">
        <v>46223</v>
      </c>
      <c r="R1036" s="7">
        <v>46223</v>
      </c>
      <c r="S1036" s="7">
        <v>46223</v>
      </c>
      <c r="T1036" t="s">
        <v>117</v>
      </c>
      <c r="V1036" t="s">
        <v>360</v>
      </c>
      <c r="W1036" t="s">
        <v>117</v>
      </c>
      <c r="X1036" t="s">
        <v>117</v>
      </c>
      <c r="Y1036" t="s">
        <v>117</v>
      </c>
      <c r="Z1036" t="s">
        <v>117</v>
      </c>
      <c r="AF1036">
        <v>2</v>
      </c>
      <c r="AH1036" t="s">
        <v>75</v>
      </c>
      <c r="AI1036">
        <v>1</v>
      </c>
      <c r="AJ1036" s="15"/>
      <c r="AK1036" t="s">
        <v>74</v>
      </c>
      <c r="AL1036" s="16"/>
      <c r="AR1036" s="18" t="str">
        <f>IFERROR(VLOOKUP(K1036,[1]POP!$F:$J,1,0),M1036)</f>
        <v>MAKARY</v>
      </c>
      <c r="AS1036" s="18" t="str">
        <f t="shared" si="81"/>
        <v>Amchilga</v>
      </c>
      <c r="AT1036" s="19">
        <f t="shared" si="84"/>
        <v>2</v>
      </c>
      <c r="AU1036" s="19">
        <f t="shared" ca="1" si="83"/>
        <v>2</v>
      </c>
    </row>
    <row r="1037" spans="1:47" x14ac:dyDescent="0.3">
      <c r="A1037" t="s">
        <v>1478</v>
      </c>
      <c r="B1037" t="str">
        <f t="shared" si="80"/>
        <v>S30_2026</v>
      </c>
      <c r="C1037" t="str">
        <f t="shared" si="82"/>
        <v>S30_2026</v>
      </c>
      <c r="E1037" t="s">
        <v>135</v>
      </c>
      <c r="F1037">
        <v>23</v>
      </c>
      <c r="G1037" t="s">
        <v>40</v>
      </c>
      <c r="H1037" t="s">
        <v>136</v>
      </c>
      <c r="I1037" t="s">
        <v>803</v>
      </c>
      <c r="J1037" t="s">
        <v>657</v>
      </c>
      <c r="K1037" t="s">
        <v>658</v>
      </c>
      <c r="L1037" t="s">
        <v>659</v>
      </c>
      <c r="M1037" t="s">
        <v>116</v>
      </c>
      <c r="N1037" t="s">
        <v>117</v>
      </c>
      <c r="O1037" t="s">
        <v>117</v>
      </c>
      <c r="P1037">
        <v>3</v>
      </c>
      <c r="Q1037" s="7">
        <v>46223</v>
      </c>
      <c r="R1037" s="7">
        <v>46223</v>
      </c>
      <c r="S1037" s="7">
        <v>46223</v>
      </c>
      <c r="T1037" t="s">
        <v>117</v>
      </c>
      <c r="V1037" t="s">
        <v>360</v>
      </c>
      <c r="W1037" t="s">
        <v>117</v>
      </c>
      <c r="X1037" t="s">
        <v>117</v>
      </c>
      <c r="Y1037" t="s">
        <v>117</v>
      </c>
      <c r="Z1037" t="s">
        <v>117</v>
      </c>
      <c r="AF1037">
        <v>2</v>
      </c>
      <c r="AH1037" t="s">
        <v>75</v>
      </c>
      <c r="AI1037">
        <v>1</v>
      </c>
      <c r="AJ1037" s="15"/>
      <c r="AK1037" t="s">
        <v>74</v>
      </c>
      <c r="AL1037" s="16"/>
      <c r="AR1037" s="18" t="str">
        <f>IFERROR(VLOOKUP(K1037,[1]POP!$F:$J,1,0),M1037)</f>
        <v>MAKARY</v>
      </c>
      <c r="AS1037" s="18" t="str">
        <f t="shared" si="81"/>
        <v>Amchilga</v>
      </c>
      <c r="AT1037" s="19">
        <f t="shared" si="84"/>
        <v>2</v>
      </c>
      <c r="AU1037" s="19">
        <f t="shared" ca="1" si="83"/>
        <v>2</v>
      </c>
    </row>
    <row r="1038" spans="1:47" x14ac:dyDescent="0.3">
      <c r="A1038" t="s">
        <v>1479</v>
      </c>
      <c r="B1038" t="str">
        <f t="shared" si="80"/>
        <v>S30_2026</v>
      </c>
      <c r="C1038" t="str">
        <f t="shared" si="82"/>
        <v>S30_2026</v>
      </c>
      <c r="E1038" t="s">
        <v>1480</v>
      </c>
      <c r="F1038">
        <v>2</v>
      </c>
      <c r="G1038" t="s">
        <v>40</v>
      </c>
      <c r="H1038" t="s">
        <v>111</v>
      </c>
      <c r="I1038" t="s">
        <v>1481</v>
      </c>
      <c r="J1038" t="s">
        <v>778</v>
      </c>
      <c r="K1038" t="s">
        <v>116</v>
      </c>
      <c r="L1038" t="s">
        <v>115</v>
      </c>
      <c r="M1038" t="s">
        <v>116</v>
      </c>
      <c r="N1038" t="s">
        <v>117</v>
      </c>
      <c r="O1038" t="s">
        <v>117</v>
      </c>
      <c r="P1038">
        <v>2</v>
      </c>
      <c r="Q1038" s="7">
        <v>46223</v>
      </c>
      <c r="R1038" s="7">
        <v>46224</v>
      </c>
      <c r="S1038" s="7">
        <v>46224</v>
      </c>
      <c r="T1038" t="s">
        <v>117</v>
      </c>
      <c r="V1038" t="s">
        <v>118</v>
      </c>
      <c r="W1038" t="s">
        <v>117</v>
      </c>
      <c r="X1038" t="s">
        <v>117</v>
      </c>
      <c r="Y1038" t="s">
        <v>150</v>
      </c>
      <c r="Z1038" t="s">
        <v>117</v>
      </c>
      <c r="AB1038" t="s">
        <v>48</v>
      </c>
      <c r="AC1038" t="s">
        <v>74</v>
      </c>
      <c r="AF1038">
        <v>2</v>
      </c>
      <c r="AH1038" t="s">
        <v>75</v>
      </c>
      <c r="AI1038">
        <v>1</v>
      </c>
      <c r="AJ1038" s="15"/>
      <c r="AK1038" t="s">
        <v>74</v>
      </c>
      <c r="AL1038" s="16"/>
      <c r="AR1038" s="18" t="str">
        <f>IFERROR(VLOOKUP(K1038,[1]POP!$F:$J,1,0),M1038)</f>
        <v>MAKARY</v>
      </c>
      <c r="AS1038" s="18" t="str">
        <f t="shared" si="81"/>
        <v>WOULKY</v>
      </c>
      <c r="AT1038" s="19">
        <f t="shared" si="84"/>
        <v>2</v>
      </c>
      <c r="AU1038" s="19">
        <f t="shared" ca="1" si="83"/>
        <v>2</v>
      </c>
    </row>
    <row r="1039" spans="1:47" x14ac:dyDescent="0.3">
      <c r="A1039" t="s">
        <v>1482</v>
      </c>
      <c r="B1039" t="str">
        <f t="shared" si="80"/>
        <v>S30_2026</v>
      </c>
      <c r="C1039" t="str">
        <f t="shared" si="82"/>
        <v>S30_2026</v>
      </c>
      <c r="E1039" t="s">
        <v>776</v>
      </c>
      <c r="F1039">
        <v>35</v>
      </c>
      <c r="G1039" t="s">
        <v>40</v>
      </c>
      <c r="H1039" t="s">
        <v>136</v>
      </c>
      <c r="I1039" t="s">
        <v>1483</v>
      </c>
      <c r="J1039" t="s">
        <v>778</v>
      </c>
      <c r="K1039" t="s">
        <v>116</v>
      </c>
      <c r="L1039" t="s">
        <v>115</v>
      </c>
      <c r="M1039" t="s">
        <v>116</v>
      </c>
      <c r="N1039" t="s">
        <v>117</v>
      </c>
      <c r="O1039" t="s">
        <v>117</v>
      </c>
      <c r="P1039">
        <v>3</v>
      </c>
      <c r="Q1039" s="7">
        <v>46223</v>
      </c>
      <c r="R1039" s="7">
        <v>46224</v>
      </c>
      <c r="S1039" s="7">
        <v>46224</v>
      </c>
      <c r="T1039" t="s">
        <v>117</v>
      </c>
      <c r="V1039" t="s">
        <v>118</v>
      </c>
      <c r="W1039" t="s">
        <v>117</v>
      </c>
      <c r="X1039" t="s">
        <v>117</v>
      </c>
      <c r="Y1039" t="s">
        <v>117</v>
      </c>
      <c r="Z1039" t="s">
        <v>117</v>
      </c>
      <c r="AB1039" t="s">
        <v>48</v>
      </c>
      <c r="AC1039" t="s">
        <v>74</v>
      </c>
      <c r="AF1039">
        <v>2</v>
      </c>
      <c r="AH1039" t="s">
        <v>75</v>
      </c>
      <c r="AI1039">
        <v>1</v>
      </c>
      <c r="AJ1039" s="15"/>
      <c r="AK1039" t="s">
        <v>74</v>
      </c>
      <c r="AL1039" s="16"/>
      <c r="AR1039" s="18" t="str">
        <f>IFERROR(VLOOKUP(K1039,[1]POP!$F:$J,1,0),M1039)</f>
        <v>MAKARY</v>
      </c>
      <c r="AS1039" s="18" t="str">
        <f t="shared" si="81"/>
        <v>WOULKY</v>
      </c>
      <c r="AT1039" s="19">
        <f t="shared" si="84"/>
        <v>2</v>
      </c>
      <c r="AU1039" s="19">
        <f t="shared" ca="1" si="83"/>
        <v>2</v>
      </c>
    </row>
    <row r="1040" spans="1:47" x14ac:dyDescent="0.3">
      <c r="A1040" t="s">
        <v>1484</v>
      </c>
      <c r="B1040" t="str">
        <f t="shared" si="80"/>
        <v>S30_2026</v>
      </c>
      <c r="C1040" t="str">
        <f t="shared" si="82"/>
        <v>S30_2026</v>
      </c>
      <c r="E1040" t="s">
        <v>539</v>
      </c>
      <c r="F1040">
        <v>7</v>
      </c>
      <c r="G1040" t="s">
        <v>55</v>
      </c>
      <c r="H1040" t="s">
        <v>655</v>
      </c>
      <c r="I1040" t="s">
        <v>371</v>
      </c>
      <c r="J1040" t="s">
        <v>133</v>
      </c>
      <c r="K1040" t="s">
        <v>116</v>
      </c>
      <c r="L1040" t="s">
        <v>133</v>
      </c>
      <c r="M1040" t="s">
        <v>116</v>
      </c>
      <c r="N1040" t="s">
        <v>117</v>
      </c>
      <c r="O1040" t="s">
        <v>117</v>
      </c>
      <c r="P1040">
        <v>3</v>
      </c>
      <c r="Q1040" s="7">
        <v>46224</v>
      </c>
      <c r="R1040" s="7">
        <v>46224</v>
      </c>
      <c r="S1040" s="7">
        <v>46224</v>
      </c>
      <c r="T1040" t="s">
        <v>117</v>
      </c>
      <c r="V1040" t="s">
        <v>360</v>
      </c>
      <c r="W1040" t="s">
        <v>117</v>
      </c>
      <c r="X1040" t="s">
        <v>117</v>
      </c>
      <c r="Y1040" t="s">
        <v>117</v>
      </c>
      <c r="Z1040" t="s">
        <v>117</v>
      </c>
      <c r="AB1040" t="s">
        <v>48</v>
      </c>
      <c r="AF1040">
        <v>2</v>
      </c>
      <c r="AH1040" t="s">
        <v>75</v>
      </c>
      <c r="AI1040">
        <v>1</v>
      </c>
      <c r="AJ1040" s="15"/>
      <c r="AK1040" t="s">
        <v>74</v>
      </c>
      <c r="AL1040" s="16"/>
      <c r="AR1040" s="18" t="str">
        <f>IFERROR(VLOOKUP(K1040,[1]POP!$F:$J,1,0),M1040)</f>
        <v>MAKARY</v>
      </c>
      <c r="AS1040" s="18" t="str">
        <f t="shared" si="81"/>
        <v>NGOUMA</v>
      </c>
      <c r="AT1040" s="19">
        <f t="shared" si="84"/>
        <v>2</v>
      </c>
      <c r="AU1040" s="19">
        <f t="shared" ca="1" si="83"/>
        <v>2</v>
      </c>
    </row>
    <row r="1041" spans="1:47" x14ac:dyDescent="0.3">
      <c r="A1041" t="s">
        <v>1485</v>
      </c>
      <c r="B1041" t="str">
        <f t="shared" si="80"/>
        <v>S30_2026</v>
      </c>
      <c r="C1041" t="str">
        <f t="shared" si="82"/>
        <v>S30_2026</v>
      </c>
      <c r="E1041" t="s">
        <v>539</v>
      </c>
      <c r="F1041">
        <v>16</v>
      </c>
      <c r="G1041" t="s">
        <v>40</v>
      </c>
      <c r="H1041" t="s">
        <v>644</v>
      </c>
      <c r="I1041" t="s">
        <v>371</v>
      </c>
      <c r="J1041" t="s">
        <v>133</v>
      </c>
      <c r="K1041" t="s">
        <v>116</v>
      </c>
      <c r="L1041" t="s">
        <v>133</v>
      </c>
      <c r="M1041" t="s">
        <v>116</v>
      </c>
      <c r="N1041" t="s">
        <v>117</v>
      </c>
      <c r="O1041" t="s">
        <v>117</v>
      </c>
      <c r="P1041">
        <v>3</v>
      </c>
      <c r="Q1041" s="7">
        <v>46225</v>
      </c>
      <c r="R1041" s="7">
        <v>46225</v>
      </c>
      <c r="S1041" s="7">
        <v>46225</v>
      </c>
      <c r="T1041" t="s">
        <v>117</v>
      </c>
      <c r="V1041" t="s">
        <v>360</v>
      </c>
      <c r="W1041" t="s">
        <v>117</v>
      </c>
      <c r="X1041" t="s">
        <v>117</v>
      </c>
      <c r="Y1041" t="s">
        <v>117</v>
      </c>
      <c r="Z1041" t="s">
        <v>117</v>
      </c>
      <c r="AB1041" t="s">
        <v>48</v>
      </c>
      <c r="AF1041">
        <v>2</v>
      </c>
      <c r="AH1041" t="s">
        <v>75</v>
      </c>
      <c r="AI1041">
        <v>1</v>
      </c>
      <c r="AJ1041" s="15"/>
      <c r="AK1041" t="s">
        <v>74</v>
      </c>
      <c r="AL1041" s="16"/>
      <c r="AR1041" s="18" t="str">
        <f>IFERROR(VLOOKUP(K1041,[1]POP!$F:$J,1,0),M1041)</f>
        <v>MAKARY</v>
      </c>
      <c r="AS1041" s="18" t="str">
        <f t="shared" si="81"/>
        <v>NGOUMA</v>
      </c>
      <c r="AT1041" s="19">
        <f t="shared" si="84"/>
        <v>2</v>
      </c>
      <c r="AU1041" s="19">
        <f t="shared" ca="1" si="83"/>
        <v>2</v>
      </c>
    </row>
    <row r="1042" spans="1:47" x14ac:dyDescent="0.3">
      <c r="A1042" t="s">
        <v>1486</v>
      </c>
      <c r="B1042" t="str">
        <f t="shared" si="80"/>
        <v>S30_2026</v>
      </c>
      <c r="C1042" t="str">
        <f t="shared" si="82"/>
        <v>S30_2026</v>
      </c>
      <c r="E1042" t="s">
        <v>539</v>
      </c>
      <c r="F1042">
        <v>7</v>
      </c>
      <c r="G1042" t="s">
        <v>40</v>
      </c>
      <c r="H1042" t="s">
        <v>655</v>
      </c>
      <c r="I1042" t="s">
        <v>371</v>
      </c>
      <c r="J1042" t="s">
        <v>133</v>
      </c>
      <c r="K1042" t="s">
        <v>116</v>
      </c>
      <c r="L1042" t="s">
        <v>133</v>
      </c>
      <c r="M1042" t="s">
        <v>116</v>
      </c>
      <c r="N1042" t="s">
        <v>117</v>
      </c>
      <c r="O1042" t="s">
        <v>117</v>
      </c>
      <c r="P1042">
        <v>3</v>
      </c>
      <c r="Q1042" s="7">
        <v>46225</v>
      </c>
      <c r="R1042" s="7">
        <v>46225</v>
      </c>
      <c r="S1042" s="7">
        <v>46225</v>
      </c>
      <c r="T1042" t="s">
        <v>117</v>
      </c>
      <c r="V1042" t="s">
        <v>360</v>
      </c>
      <c r="W1042" t="s">
        <v>117</v>
      </c>
      <c r="X1042" t="s">
        <v>117</v>
      </c>
      <c r="Y1042" t="s">
        <v>117</v>
      </c>
      <c r="Z1042" t="s">
        <v>117</v>
      </c>
      <c r="AB1042" t="s">
        <v>48</v>
      </c>
      <c r="AF1042">
        <v>2</v>
      </c>
      <c r="AH1042" t="s">
        <v>75</v>
      </c>
      <c r="AI1042">
        <v>1</v>
      </c>
      <c r="AJ1042" s="15"/>
      <c r="AK1042" t="s">
        <v>74</v>
      </c>
      <c r="AL1042" s="16"/>
      <c r="AR1042" s="18" t="str">
        <f>IFERROR(VLOOKUP(K1042,[1]POP!$F:$J,1,0),M1042)</f>
        <v>MAKARY</v>
      </c>
      <c r="AS1042" s="18" t="str">
        <f t="shared" si="81"/>
        <v>NGOUMA</v>
      </c>
      <c r="AT1042" s="19">
        <f t="shared" si="84"/>
        <v>2</v>
      </c>
      <c r="AU1042" s="19">
        <f t="shared" ca="1" si="83"/>
        <v>2</v>
      </c>
    </row>
    <row r="1043" spans="1:47" x14ac:dyDescent="0.3">
      <c r="A1043" t="s">
        <v>1487</v>
      </c>
      <c r="B1043" t="str">
        <f t="shared" si="80"/>
        <v>S30_2026</v>
      </c>
      <c r="C1043" t="str">
        <f t="shared" si="82"/>
        <v>S30_2026</v>
      </c>
      <c r="E1043" t="s">
        <v>539</v>
      </c>
      <c r="F1043">
        <v>50</v>
      </c>
      <c r="G1043" t="s">
        <v>55</v>
      </c>
      <c r="H1043" t="s">
        <v>70</v>
      </c>
      <c r="I1043" t="s">
        <v>371</v>
      </c>
      <c r="J1043" t="s">
        <v>133</v>
      </c>
      <c r="K1043" t="s">
        <v>116</v>
      </c>
      <c r="L1043" t="s">
        <v>133</v>
      </c>
      <c r="M1043" t="s">
        <v>116</v>
      </c>
      <c r="N1043" t="s">
        <v>117</v>
      </c>
      <c r="O1043" t="s">
        <v>117</v>
      </c>
      <c r="P1043">
        <v>3</v>
      </c>
      <c r="Q1043" s="7">
        <v>46225</v>
      </c>
      <c r="R1043" s="7">
        <v>46225</v>
      </c>
      <c r="S1043" s="7">
        <v>46225</v>
      </c>
      <c r="T1043" t="s">
        <v>117</v>
      </c>
      <c r="V1043" t="s">
        <v>360</v>
      </c>
      <c r="W1043" t="s">
        <v>117</v>
      </c>
      <c r="X1043" t="s">
        <v>117</v>
      </c>
      <c r="Y1043" t="s">
        <v>117</v>
      </c>
      <c r="Z1043" t="s">
        <v>117</v>
      </c>
      <c r="AB1043" t="s">
        <v>48</v>
      </c>
      <c r="AF1043">
        <v>2</v>
      </c>
      <c r="AH1043" t="s">
        <v>75</v>
      </c>
      <c r="AI1043">
        <v>1</v>
      </c>
      <c r="AJ1043" s="15"/>
      <c r="AK1043" t="s">
        <v>74</v>
      </c>
      <c r="AL1043" s="16"/>
      <c r="AR1043" s="18" t="str">
        <f>IFERROR(VLOOKUP(K1043,[1]POP!$F:$J,1,0),M1043)</f>
        <v>MAKARY</v>
      </c>
      <c r="AS1043" s="18" t="str">
        <f t="shared" si="81"/>
        <v>NGOUMA</v>
      </c>
      <c r="AT1043" s="19">
        <f t="shared" si="84"/>
        <v>2</v>
      </c>
      <c r="AU1043" s="19">
        <f t="shared" ca="1" si="83"/>
        <v>2</v>
      </c>
    </row>
    <row r="1044" spans="1:47" x14ac:dyDescent="0.3">
      <c r="A1044" t="s">
        <v>1488</v>
      </c>
      <c r="B1044" t="str">
        <f t="shared" si="80"/>
        <v>S30_2026</v>
      </c>
      <c r="C1044" t="str">
        <f t="shared" si="82"/>
        <v>S30_2026</v>
      </c>
      <c r="E1044" t="s">
        <v>539</v>
      </c>
      <c r="F1044">
        <v>7</v>
      </c>
      <c r="G1044" t="s">
        <v>40</v>
      </c>
      <c r="H1044" t="s">
        <v>655</v>
      </c>
      <c r="I1044" t="s">
        <v>371</v>
      </c>
      <c r="J1044" t="s">
        <v>133</v>
      </c>
      <c r="K1044" t="s">
        <v>116</v>
      </c>
      <c r="L1044" t="s">
        <v>133</v>
      </c>
      <c r="M1044" t="s">
        <v>116</v>
      </c>
      <c r="N1044" t="s">
        <v>117</v>
      </c>
      <c r="O1044" t="s">
        <v>117</v>
      </c>
      <c r="P1044">
        <v>3</v>
      </c>
      <c r="Q1044" s="7">
        <v>46226</v>
      </c>
      <c r="R1044" s="7">
        <v>46226</v>
      </c>
      <c r="S1044" s="7">
        <v>46226</v>
      </c>
      <c r="T1044" t="s">
        <v>117</v>
      </c>
      <c r="V1044" t="s">
        <v>360</v>
      </c>
      <c r="W1044" t="s">
        <v>117</v>
      </c>
      <c r="X1044" t="s">
        <v>117</v>
      </c>
      <c r="Y1044" t="s">
        <v>117</v>
      </c>
      <c r="Z1044" t="s">
        <v>117</v>
      </c>
      <c r="AB1044" t="s">
        <v>48</v>
      </c>
      <c r="AF1044">
        <v>2</v>
      </c>
      <c r="AH1044" t="s">
        <v>75</v>
      </c>
      <c r="AI1044">
        <v>1</v>
      </c>
      <c r="AJ1044" s="15"/>
      <c r="AK1044" t="s">
        <v>74</v>
      </c>
      <c r="AL1044" s="16"/>
      <c r="AR1044" s="18" t="str">
        <f>IFERROR(VLOOKUP(K1044,[1]POP!$F:$J,1,0),M1044)</f>
        <v>MAKARY</v>
      </c>
      <c r="AS1044" s="18" t="str">
        <f t="shared" si="81"/>
        <v>NGOUMA</v>
      </c>
      <c r="AT1044" s="19">
        <f t="shared" si="84"/>
        <v>2</v>
      </c>
      <c r="AU1044" s="19">
        <f t="shared" ca="1" si="83"/>
        <v>2</v>
      </c>
    </row>
    <row r="1045" spans="1:47" x14ac:dyDescent="0.3">
      <c r="A1045" t="s">
        <v>1489</v>
      </c>
      <c r="B1045" t="str">
        <f t="shared" si="80"/>
        <v>S30_2026</v>
      </c>
      <c r="C1045" t="str">
        <f t="shared" si="82"/>
        <v>S30_2026</v>
      </c>
      <c r="E1045" t="s">
        <v>135</v>
      </c>
      <c r="F1045">
        <v>20</v>
      </c>
      <c r="G1045" t="s">
        <v>40</v>
      </c>
      <c r="H1045" t="s">
        <v>136</v>
      </c>
      <c r="I1045" t="s">
        <v>803</v>
      </c>
      <c r="J1045" t="s">
        <v>133</v>
      </c>
      <c r="K1045" t="s">
        <v>116</v>
      </c>
      <c r="L1045" t="s">
        <v>133</v>
      </c>
      <c r="M1045" t="s">
        <v>116</v>
      </c>
      <c r="N1045" t="s">
        <v>117</v>
      </c>
      <c r="O1045" t="s">
        <v>117</v>
      </c>
      <c r="P1045">
        <v>3</v>
      </c>
      <c r="Q1045" s="7">
        <v>46226</v>
      </c>
      <c r="R1045" s="7">
        <v>46226</v>
      </c>
      <c r="S1045" s="7">
        <v>46226</v>
      </c>
      <c r="T1045" t="s">
        <v>117</v>
      </c>
      <c r="V1045" t="s">
        <v>360</v>
      </c>
      <c r="W1045" t="s">
        <v>117</v>
      </c>
      <c r="X1045" t="s">
        <v>117</v>
      </c>
      <c r="Y1045" t="s">
        <v>117</v>
      </c>
      <c r="Z1045" t="s">
        <v>117</v>
      </c>
      <c r="AB1045" t="s">
        <v>48</v>
      </c>
      <c r="AF1045">
        <v>2</v>
      </c>
      <c r="AH1045" t="s">
        <v>75</v>
      </c>
      <c r="AI1045">
        <v>1</v>
      </c>
      <c r="AJ1045" s="15"/>
      <c r="AK1045" t="s">
        <v>74</v>
      </c>
      <c r="AL1045" s="16"/>
      <c r="AR1045" s="18" t="str">
        <f>IFERROR(VLOOKUP(K1045,[1]POP!$F:$J,1,0),M1045)</f>
        <v>MAKARY</v>
      </c>
      <c r="AS1045" s="18" t="str">
        <f t="shared" si="81"/>
        <v>NGOUMA</v>
      </c>
      <c r="AT1045" s="19">
        <f t="shared" si="84"/>
        <v>2</v>
      </c>
      <c r="AU1045" s="19">
        <f t="shared" ca="1" si="83"/>
        <v>2</v>
      </c>
    </row>
    <row r="1046" spans="1:47" x14ac:dyDescent="0.3">
      <c r="A1046" t="s">
        <v>1490</v>
      </c>
      <c r="B1046" t="str">
        <f t="shared" si="80"/>
        <v>S30_2026</v>
      </c>
      <c r="C1046" t="str">
        <f t="shared" si="82"/>
        <v>S30_2026</v>
      </c>
      <c r="F1046">
        <v>24</v>
      </c>
      <c r="G1046" t="s">
        <v>40</v>
      </c>
      <c r="H1046" t="s">
        <v>1491</v>
      </c>
      <c r="I1046" t="s">
        <v>1492</v>
      </c>
      <c r="J1046" t="s">
        <v>1493</v>
      </c>
      <c r="K1046" t="s">
        <v>1494</v>
      </c>
      <c r="L1046" t="s">
        <v>1493</v>
      </c>
      <c r="M1046" t="s">
        <v>116</v>
      </c>
      <c r="N1046" t="s">
        <v>117</v>
      </c>
      <c r="O1046" t="s">
        <v>117</v>
      </c>
      <c r="P1046">
        <v>1</v>
      </c>
      <c r="Q1046" s="7">
        <v>46224</v>
      </c>
      <c r="R1046" s="7">
        <v>46224</v>
      </c>
      <c r="S1046" s="7">
        <v>46224</v>
      </c>
      <c r="T1046" t="s">
        <v>117</v>
      </c>
      <c r="V1046" t="s">
        <v>1495</v>
      </c>
      <c r="W1046" t="s">
        <v>117</v>
      </c>
      <c r="X1046" t="s">
        <v>150</v>
      </c>
      <c r="Y1046" t="s">
        <v>46</v>
      </c>
      <c r="Z1046" t="s">
        <v>150</v>
      </c>
      <c r="AB1046" t="s">
        <v>48</v>
      </c>
      <c r="AF1046">
        <v>2</v>
      </c>
      <c r="AH1046" t="s">
        <v>75</v>
      </c>
      <c r="AI1046">
        <v>1</v>
      </c>
      <c r="AJ1046" s="15"/>
      <c r="AK1046" t="s">
        <v>74</v>
      </c>
      <c r="AL1046" s="16"/>
      <c r="AR1046" s="18" t="str">
        <f>IFERROR(VLOOKUP(K1046,[1]POP!$F:$J,1,0),M1046)</f>
        <v>MAKARY</v>
      </c>
      <c r="AS1046" s="18" t="str">
        <f t="shared" si="81"/>
        <v>woulky</v>
      </c>
      <c r="AT1046" s="19">
        <f t="shared" si="84"/>
        <v>2</v>
      </c>
      <c r="AU1046" s="19">
        <f t="shared" ca="1" si="83"/>
        <v>2</v>
      </c>
    </row>
    <row r="1047" spans="1:47" x14ac:dyDescent="0.3">
      <c r="A1047" t="s">
        <v>1496</v>
      </c>
      <c r="B1047" t="str">
        <f t="shared" si="80"/>
        <v>S30_2026</v>
      </c>
      <c r="C1047" t="str">
        <f t="shared" si="82"/>
        <v>S30_2026</v>
      </c>
      <c r="F1047">
        <v>7</v>
      </c>
      <c r="G1047" t="s">
        <v>55</v>
      </c>
      <c r="H1047" t="s">
        <v>1497</v>
      </c>
      <c r="I1047" t="s">
        <v>1498</v>
      </c>
      <c r="J1047" t="s">
        <v>1493</v>
      </c>
      <c r="K1047" t="s">
        <v>1494</v>
      </c>
      <c r="L1047" t="s">
        <v>1493</v>
      </c>
      <c r="M1047" t="s">
        <v>116</v>
      </c>
      <c r="N1047" t="s">
        <v>117</v>
      </c>
      <c r="O1047" t="s">
        <v>117</v>
      </c>
      <c r="P1047">
        <v>1</v>
      </c>
      <c r="Q1047" s="7">
        <v>46224</v>
      </c>
      <c r="R1047" s="7">
        <v>46224</v>
      </c>
      <c r="S1047" s="7">
        <v>46224</v>
      </c>
      <c r="T1047" t="s">
        <v>117</v>
      </c>
      <c r="V1047" t="s">
        <v>1495</v>
      </c>
      <c r="W1047" t="s">
        <v>117</v>
      </c>
      <c r="X1047" t="s">
        <v>150</v>
      </c>
      <c r="Y1047" t="s">
        <v>117</v>
      </c>
      <c r="Z1047" t="s">
        <v>150</v>
      </c>
      <c r="AB1047" t="s">
        <v>48</v>
      </c>
      <c r="AF1047">
        <v>2</v>
      </c>
      <c r="AH1047" t="s">
        <v>75</v>
      </c>
      <c r="AI1047">
        <v>1</v>
      </c>
      <c r="AJ1047" s="15"/>
      <c r="AK1047" t="s">
        <v>74</v>
      </c>
      <c r="AL1047" s="16"/>
      <c r="AR1047" s="18" t="str">
        <f>IFERROR(VLOOKUP(K1047,[1]POP!$F:$J,1,0),M1047)</f>
        <v>MAKARY</v>
      </c>
      <c r="AS1047" s="18" t="str">
        <f t="shared" si="81"/>
        <v>woulky</v>
      </c>
      <c r="AT1047" s="19">
        <f t="shared" si="84"/>
        <v>2</v>
      </c>
      <c r="AU1047" s="19">
        <f t="shared" ca="1" si="83"/>
        <v>2</v>
      </c>
    </row>
    <row r="1048" spans="1:47" x14ac:dyDescent="0.3">
      <c r="A1048" t="s">
        <v>1499</v>
      </c>
      <c r="B1048" t="str">
        <f t="shared" si="80"/>
        <v>S30_2026</v>
      </c>
      <c r="C1048" t="str">
        <f t="shared" si="82"/>
        <v>S30_2026</v>
      </c>
      <c r="F1048">
        <v>16</v>
      </c>
      <c r="G1048" t="s">
        <v>40</v>
      </c>
      <c r="H1048" t="s">
        <v>1500</v>
      </c>
      <c r="I1048" t="s">
        <v>1492</v>
      </c>
      <c r="J1048" t="s">
        <v>1493</v>
      </c>
      <c r="K1048" t="s">
        <v>1494</v>
      </c>
      <c r="L1048" t="s">
        <v>1493</v>
      </c>
      <c r="M1048" t="s">
        <v>116</v>
      </c>
      <c r="N1048" t="s">
        <v>117</v>
      </c>
      <c r="O1048" t="s">
        <v>117</v>
      </c>
      <c r="P1048">
        <v>2</v>
      </c>
      <c r="Q1048" s="7">
        <v>46227</v>
      </c>
      <c r="R1048" s="7">
        <v>46227</v>
      </c>
      <c r="S1048" s="7">
        <v>46227</v>
      </c>
      <c r="T1048" t="s">
        <v>117</v>
      </c>
      <c r="V1048" t="s">
        <v>1495</v>
      </c>
      <c r="W1048" t="s">
        <v>117</v>
      </c>
      <c r="X1048" t="s">
        <v>150</v>
      </c>
      <c r="Y1048" t="s">
        <v>117</v>
      </c>
      <c r="Z1048" t="s">
        <v>150</v>
      </c>
      <c r="AB1048" t="s">
        <v>48</v>
      </c>
      <c r="AF1048">
        <v>2</v>
      </c>
      <c r="AH1048" t="s">
        <v>75</v>
      </c>
      <c r="AI1048">
        <v>1</v>
      </c>
      <c r="AJ1048" s="15"/>
      <c r="AK1048" t="s">
        <v>74</v>
      </c>
      <c r="AL1048" s="16"/>
      <c r="AR1048" s="18" t="str">
        <f>IFERROR(VLOOKUP(K1048,[1]POP!$F:$J,1,0),M1048)</f>
        <v>MAKARY</v>
      </c>
      <c r="AS1048" s="18" t="str">
        <f t="shared" si="81"/>
        <v>woulky</v>
      </c>
      <c r="AT1048" s="19">
        <f t="shared" si="84"/>
        <v>2</v>
      </c>
      <c r="AU1048" s="19">
        <f t="shared" ca="1" si="83"/>
        <v>2</v>
      </c>
    </row>
    <row r="1049" spans="1:47" x14ac:dyDescent="0.3">
      <c r="A1049" t="s">
        <v>1501</v>
      </c>
      <c r="B1049" t="str">
        <f t="shared" si="80"/>
        <v>S30_2026</v>
      </c>
      <c r="C1049" t="str">
        <f t="shared" si="82"/>
        <v>S30_2026</v>
      </c>
      <c r="F1049">
        <v>15</v>
      </c>
      <c r="G1049" t="s">
        <v>40</v>
      </c>
      <c r="H1049" t="s">
        <v>1497</v>
      </c>
      <c r="I1049" t="s">
        <v>1492</v>
      </c>
      <c r="J1049" t="s">
        <v>1493</v>
      </c>
      <c r="K1049" t="s">
        <v>1494</v>
      </c>
      <c r="L1049" t="s">
        <v>1493</v>
      </c>
      <c r="M1049" t="s">
        <v>116</v>
      </c>
      <c r="N1049" t="s">
        <v>117</v>
      </c>
      <c r="O1049" t="s">
        <v>117</v>
      </c>
      <c r="P1049">
        <v>2</v>
      </c>
      <c r="Q1049" s="7">
        <v>46227</v>
      </c>
      <c r="R1049" s="7">
        <v>46227</v>
      </c>
      <c r="S1049" s="7">
        <v>46227</v>
      </c>
      <c r="T1049" t="s">
        <v>117</v>
      </c>
      <c r="V1049" t="s">
        <v>1495</v>
      </c>
      <c r="W1049" t="s">
        <v>117</v>
      </c>
      <c r="X1049" t="s">
        <v>150</v>
      </c>
      <c r="Y1049" t="s">
        <v>150</v>
      </c>
      <c r="Z1049" t="s">
        <v>150</v>
      </c>
      <c r="AB1049" t="s">
        <v>48</v>
      </c>
      <c r="AF1049">
        <v>2</v>
      </c>
      <c r="AH1049" t="s">
        <v>75</v>
      </c>
      <c r="AI1049">
        <v>1</v>
      </c>
      <c r="AJ1049" s="15"/>
      <c r="AK1049" t="s">
        <v>74</v>
      </c>
      <c r="AL1049" s="16"/>
      <c r="AR1049" s="18" t="str">
        <f>IFERROR(VLOOKUP(K1049,[1]POP!$F:$J,1,0),M1049)</f>
        <v>MAKARY</v>
      </c>
      <c r="AS1049" s="18" t="str">
        <f t="shared" si="81"/>
        <v>woulky</v>
      </c>
      <c r="AT1049" s="19">
        <f t="shared" si="84"/>
        <v>2</v>
      </c>
      <c r="AU1049" s="19">
        <f t="shared" ca="1" si="83"/>
        <v>2</v>
      </c>
    </row>
    <row r="1050" spans="1:47" x14ac:dyDescent="0.3">
      <c r="A1050" t="s">
        <v>1502</v>
      </c>
      <c r="B1050" t="str">
        <f t="shared" si="80"/>
        <v>S30_2026</v>
      </c>
      <c r="C1050" t="str">
        <f t="shared" si="82"/>
        <v>S30_2026</v>
      </c>
      <c r="F1050">
        <v>17</v>
      </c>
      <c r="G1050" t="s">
        <v>40</v>
      </c>
      <c r="H1050" t="s">
        <v>1503</v>
      </c>
      <c r="I1050" t="s">
        <v>1492</v>
      </c>
      <c r="J1050" t="s">
        <v>1493</v>
      </c>
      <c r="K1050" t="s">
        <v>1494</v>
      </c>
      <c r="L1050" t="s">
        <v>1493</v>
      </c>
      <c r="M1050" t="s">
        <v>116</v>
      </c>
      <c r="N1050" t="s">
        <v>117</v>
      </c>
      <c r="O1050" t="s">
        <v>117</v>
      </c>
      <c r="P1050">
        <v>2</v>
      </c>
      <c r="Q1050" s="7">
        <v>46228</v>
      </c>
      <c r="R1050" s="7">
        <v>46228</v>
      </c>
      <c r="S1050" s="7">
        <v>46228</v>
      </c>
      <c r="T1050" t="s">
        <v>117</v>
      </c>
      <c r="V1050" t="s">
        <v>1495</v>
      </c>
      <c r="W1050" t="s">
        <v>117</v>
      </c>
      <c r="X1050" t="s">
        <v>150</v>
      </c>
      <c r="Y1050" t="s">
        <v>150</v>
      </c>
      <c r="Z1050" t="s">
        <v>150</v>
      </c>
      <c r="AB1050" t="s">
        <v>48</v>
      </c>
      <c r="AF1050">
        <v>2</v>
      </c>
      <c r="AH1050" t="s">
        <v>75</v>
      </c>
      <c r="AI1050">
        <v>1</v>
      </c>
      <c r="AJ1050" s="15"/>
      <c r="AK1050" t="s">
        <v>74</v>
      </c>
      <c r="AL1050" s="16"/>
      <c r="AR1050" s="18" t="str">
        <f>IFERROR(VLOOKUP(K1050,[1]POP!$F:$J,1,0),M1050)</f>
        <v>MAKARY</v>
      </c>
      <c r="AS1050" s="18" t="str">
        <f t="shared" si="81"/>
        <v>woulky</v>
      </c>
      <c r="AT1050" s="19">
        <f t="shared" si="84"/>
        <v>2</v>
      </c>
      <c r="AU1050" s="19">
        <f t="shared" ca="1" si="83"/>
        <v>2</v>
      </c>
    </row>
    <row r="1051" spans="1:47" x14ac:dyDescent="0.3">
      <c r="A1051" t="s">
        <v>1504</v>
      </c>
      <c r="B1051" t="str">
        <f t="shared" si="80"/>
        <v>S30_2026</v>
      </c>
      <c r="C1051" t="str">
        <f t="shared" si="82"/>
        <v>S30_2026</v>
      </c>
      <c r="F1051">
        <v>12</v>
      </c>
      <c r="G1051" t="s">
        <v>40</v>
      </c>
      <c r="H1051" t="s">
        <v>1505</v>
      </c>
      <c r="I1051" t="s">
        <v>1492</v>
      </c>
      <c r="J1051" t="s">
        <v>1493</v>
      </c>
      <c r="K1051" t="s">
        <v>1494</v>
      </c>
      <c r="L1051" t="s">
        <v>1493</v>
      </c>
      <c r="M1051" t="s">
        <v>116</v>
      </c>
      <c r="N1051" t="s">
        <v>117</v>
      </c>
      <c r="O1051" t="s">
        <v>117</v>
      </c>
      <c r="P1051">
        <v>2</v>
      </c>
      <c r="Q1051" s="7">
        <v>46228</v>
      </c>
      <c r="R1051" s="7">
        <v>46228</v>
      </c>
      <c r="S1051" s="7">
        <v>46228</v>
      </c>
      <c r="T1051" t="s">
        <v>117</v>
      </c>
      <c r="V1051" t="s">
        <v>1495</v>
      </c>
      <c r="W1051" t="s">
        <v>117</v>
      </c>
      <c r="X1051" t="s">
        <v>150</v>
      </c>
      <c r="Y1051" t="s">
        <v>150</v>
      </c>
      <c r="Z1051" t="s">
        <v>150</v>
      </c>
      <c r="AB1051" t="s">
        <v>48</v>
      </c>
      <c r="AF1051">
        <v>2</v>
      </c>
      <c r="AH1051" t="s">
        <v>75</v>
      </c>
      <c r="AI1051">
        <v>1</v>
      </c>
      <c r="AJ1051" s="15"/>
      <c r="AK1051" t="s">
        <v>74</v>
      </c>
      <c r="AL1051" s="16"/>
      <c r="AR1051" s="18" t="str">
        <f>IFERROR(VLOOKUP(K1051,[1]POP!$F:$J,1,0),M1051)</f>
        <v>MAKARY</v>
      </c>
      <c r="AS1051" s="18" t="str">
        <f t="shared" si="81"/>
        <v>woulky</v>
      </c>
      <c r="AT1051" s="19">
        <f t="shared" si="84"/>
        <v>2</v>
      </c>
      <c r="AU1051" s="19">
        <f t="shared" ca="1" si="83"/>
        <v>2</v>
      </c>
    </row>
    <row r="1052" spans="1:47" x14ac:dyDescent="0.3">
      <c r="A1052" t="s">
        <v>1506</v>
      </c>
      <c r="B1052" t="str">
        <f t="shared" si="80"/>
        <v>S30_2026</v>
      </c>
      <c r="C1052" t="str">
        <f t="shared" si="82"/>
        <v>S30_2026</v>
      </c>
      <c r="E1052" t="s">
        <v>1507</v>
      </c>
      <c r="F1052">
        <v>46</v>
      </c>
      <c r="G1052" t="s">
        <v>40</v>
      </c>
      <c r="H1052" t="s">
        <v>682</v>
      </c>
      <c r="I1052" t="s">
        <v>1508</v>
      </c>
      <c r="J1052" t="s">
        <v>657</v>
      </c>
      <c r="K1052" t="s">
        <v>658</v>
      </c>
      <c r="L1052" t="s">
        <v>659</v>
      </c>
      <c r="M1052" t="s">
        <v>116</v>
      </c>
      <c r="N1052" t="s">
        <v>663</v>
      </c>
      <c r="O1052" t="s">
        <v>663</v>
      </c>
      <c r="P1052">
        <v>1</v>
      </c>
      <c r="Q1052" s="7">
        <v>46226</v>
      </c>
      <c r="R1052" s="7">
        <v>46226</v>
      </c>
      <c r="S1052" s="7">
        <v>46226</v>
      </c>
      <c r="T1052" t="s">
        <v>663</v>
      </c>
      <c r="V1052" t="s">
        <v>662</v>
      </c>
      <c r="W1052" t="s">
        <v>663</v>
      </c>
      <c r="X1052" t="s">
        <v>663</v>
      </c>
      <c r="Y1052" t="s">
        <v>663</v>
      </c>
      <c r="Z1052" t="s">
        <v>663</v>
      </c>
      <c r="AB1052" t="s">
        <v>1509</v>
      </c>
      <c r="AF1052">
        <v>2</v>
      </c>
      <c r="AH1052" t="s">
        <v>75</v>
      </c>
      <c r="AI1052">
        <v>1</v>
      </c>
      <c r="AJ1052" s="15"/>
      <c r="AK1052" t="s">
        <v>74</v>
      </c>
      <c r="AL1052" s="16"/>
      <c r="AR1052" s="18" t="str">
        <f>IFERROR(VLOOKUP(K1052,[1]POP!$F:$J,1,0),M1052)</f>
        <v>MAKARY</v>
      </c>
      <c r="AS1052" s="18" t="str">
        <f t="shared" si="81"/>
        <v>Amchilga</v>
      </c>
      <c r="AT1052" s="19">
        <f t="shared" si="84"/>
        <v>2</v>
      </c>
      <c r="AU1052" s="19">
        <f t="shared" ca="1" si="83"/>
        <v>2</v>
      </c>
    </row>
    <row r="1053" spans="1:47" x14ac:dyDescent="0.3">
      <c r="A1053" t="s">
        <v>1510</v>
      </c>
      <c r="B1053" t="str">
        <f t="shared" si="80"/>
        <v>S30_2026</v>
      </c>
      <c r="C1053" t="str">
        <f t="shared" si="82"/>
        <v>S30_2026</v>
      </c>
      <c r="E1053" t="s">
        <v>1511</v>
      </c>
      <c r="F1053">
        <v>8</v>
      </c>
      <c r="G1053" t="s">
        <v>40</v>
      </c>
      <c r="H1053" t="s">
        <v>655</v>
      </c>
      <c r="I1053" t="s">
        <v>1512</v>
      </c>
      <c r="J1053" t="s">
        <v>1513</v>
      </c>
      <c r="K1053" t="s">
        <v>658</v>
      </c>
      <c r="L1053" t="s">
        <v>659</v>
      </c>
      <c r="M1053" t="s">
        <v>116</v>
      </c>
      <c r="N1053" t="s">
        <v>663</v>
      </c>
      <c r="O1053" t="s">
        <v>663</v>
      </c>
      <c r="P1053">
        <v>1</v>
      </c>
      <c r="Q1053" s="7">
        <v>46226</v>
      </c>
      <c r="R1053" s="7">
        <v>46226</v>
      </c>
      <c r="S1053" s="7">
        <v>46226</v>
      </c>
      <c r="T1053" t="s">
        <v>663</v>
      </c>
      <c r="V1053" t="s">
        <v>662</v>
      </c>
      <c r="W1053" t="s">
        <v>663</v>
      </c>
      <c r="X1053" t="s">
        <v>663</v>
      </c>
      <c r="Y1053" t="s">
        <v>663</v>
      </c>
      <c r="Z1053" t="s">
        <v>663</v>
      </c>
      <c r="AB1053" t="s">
        <v>1509</v>
      </c>
      <c r="AF1053">
        <v>2</v>
      </c>
      <c r="AH1053" t="s">
        <v>75</v>
      </c>
      <c r="AI1053">
        <v>1</v>
      </c>
      <c r="AJ1053" s="15"/>
      <c r="AK1053" t="s">
        <v>74</v>
      </c>
      <c r="AL1053" s="16"/>
      <c r="AR1053" s="18" t="str">
        <f>IFERROR(VLOOKUP(K1053,[1]POP!$F:$J,1,0),M1053)</f>
        <v>MAKARY</v>
      </c>
      <c r="AS1053" s="18" t="str">
        <f t="shared" si="81"/>
        <v>Amchilga</v>
      </c>
      <c r="AT1053" s="19">
        <f t="shared" si="84"/>
        <v>2</v>
      </c>
      <c r="AU1053" s="19">
        <f t="shared" ca="1" si="83"/>
        <v>2</v>
      </c>
    </row>
    <row r="1054" spans="1:47" x14ac:dyDescent="0.3">
      <c r="A1054" t="s">
        <v>1514</v>
      </c>
      <c r="B1054" t="str">
        <f t="shared" si="80"/>
        <v>S30_2026</v>
      </c>
      <c r="C1054" t="str">
        <f t="shared" si="82"/>
        <v>S30_2026</v>
      </c>
      <c r="E1054" t="s">
        <v>1511</v>
      </c>
      <c r="F1054">
        <v>3</v>
      </c>
      <c r="G1054" t="s">
        <v>40</v>
      </c>
      <c r="H1054" t="s">
        <v>655</v>
      </c>
      <c r="I1054" t="s">
        <v>1512</v>
      </c>
      <c r="J1054" t="s">
        <v>1513</v>
      </c>
      <c r="K1054" t="s">
        <v>658</v>
      </c>
      <c r="L1054" t="s">
        <v>659</v>
      </c>
      <c r="M1054" t="s">
        <v>116</v>
      </c>
      <c r="N1054" t="s">
        <v>663</v>
      </c>
      <c r="O1054" t="s">
        <v>663</v>
      </c>
      <c r="P1054">
        <v>1</v>
      </c>
      <c r="Q1054" s="7">
        <v>46226</v>
      </c>
      <c r="R1054" s="7">
        <v>46226</v>
      </c>
      <c r="S1054" s="7">
        <v>46226</v>
      </c>
      <c r="T1054" t="s">
        <v>663</v>
      </c>
      <c r="V1054" t="s">
        <v>662</v>
      </c>
      <c r="W1054" t="s">
        <v>663</v>
      </c>
      <c r="X1054" t="s">
        <v>663</v>
      </c>
      <c r="Y1054" t="s">
        <v>663</v>
      </c>
      <c r="Z1054" t="s">
        <v>663</v>
      </c>
      <c r="AB1054" t="s">
        <v>1509</v>
      </c>
      <c r="AF1054">
        <v>2</v>
      </c>
      <c r="AH1054" t="s">
        <v>75</v>
      </c>
      <c r="AI1054">
        <v>1</v>
      </c>
      <c r="AJ1054" s="15"/>
      <c r="AK1054" t="s">
        <v>74</v>
      </c>
      <c r="AL1054" s="16"/>
      <c r="AR1054" s="18" t="str">
        <f>IFERROR(VLOOKUP(K1054,[1]POP!$F:$J,1,0),M1054)</f>
        <v>MAKARY</v>
      </c>
      <c r="AS1054" s="18" t="str">
        <f t="shared" si="81"/>
        <v>Amchilga</v>
      </c>
      <c r="AT1054" s="19">
        <f t="shared" si="84"/>
        <v>2</v>
      </c>
      <c r="AU1054" s="19">
        <f t="shared" ca="1" si="83"/>
        <v>2</v>
      </c>
    </row>
    <row r="1055" spans="1:47" x14ac:dyDescent="0.3">
      <c r="A1055" t="s">
        <v>1515</v>
      </c>
      <c r="B1055" t="str">
        <f t="shared" si="80"/>
        <v>S31_2026</v>
      </c>
      <c r="C1055" t="str">
        <f t="shared" si="82"/>
        <v>S31_2026</v>
      </c>
      <c r="E1055" t="s">
        <v>1516</v>
      </c>
      <c r="F1055">
        <v>35</v>
      </c>
      <c r="G1055" t="s">
        <v>40</v>
      </c>
      <c r="H1055" t="s">
        <v>521</v>
      </c>
      <c r="I1055" t="s">
        <v>813</v>
      </c>
      <c r="J1055" t="s">
        <v>133</v>
      </c>
      <c r="K1055" t="s">
        <v>658</v>
      </c>
      <c r="L1055" t="s">
        <v>133</v>
      </c>
      <c r="M1055" t="s">
        <v>116</v>
      </c>
      <c r="N1055" t="s">
        <v>663</v>
      </c>
      <c r="O1055" t="s">
        <v>663</v>
      </c>
      <c r="P1055">
        <v>1</v>
      </c>
      <c r="Q1055" s="7">
        <v>46232</v>
      </c>
      <c r="R1055" s="7">
        <v>46233</v>
      </c>
      <c r="S1055" s="7">
        <v>46234</v>
      </c>
      <c r="T1055" t="s">
        <v>663</v>
      </c>
      <c r="V1055" t="s">
        <v>360</v>
      </c>
      <c r="W1055" t="s">
        <v>663</v>
      </c>
      <c r="X1055" t="s">
        <v>663</v>
      </c>
      <c r="Y1055" t="s">
        <v>663</v>
      </c>
      <c r="Z1055" t="s">
        <v>663</v>
      </c>
      <c r="AB1055" t="s">
        <v>1509</v>
      </c>
      <c r="AF1055">
        <v>2</v>
      </c>
      <c r="AH1055" t="s">
        <v>75</v>
      </c>
      <c r="AI1055">
        <v>1</v>
      </c>
      <c r="AJ1055" s="15"/>
      <c r="AK1055" t="s">
        <v>74</v>
      </c>
      <c r="AL1055" s="16"/>
      <c r="AR1055" s="18" t="str">
        <f>IFERROR(VLOOKUP(K1055,[1]POP!$F:$J,1,0),M1055)</f>
        <v>MAKARY</v>
      </c>
      <c r="AS1055" s="18" t="str">
        <f t="shared" si="81"/>
        <v>NGOUMA</v>
      </c>
      <c r="AT1055" s="19">
        <f t="shared" si="84"/>
        <v>2</v>
      </c>
      <c r="AU1055" s="19">
        <f t="shared" ca="1" si="83"/>
        <v>2</v>
      </c>
    </row>
    <row r="1056" spans="1:47" x14ac:dyDescent="0.3">
      <c r="A1056" t="s">
        <v>1517</v>
      </c>
      <c r="B1056" t="str">
        <f t="shared" si="80"/>
        <v>S31_2026</v>
      </c>
      <c r="C1056" t="str">
        <f t="shared" si="82"/>
        <v>S31_2026</v>
      </c>
      <c r="E1056" t="s">
        <v>1516</v>
      </c>
      <c r="F1056">
        <v>20</v>
      </c>
      <c r="G1056" t="s">
        <v>55</v>
      </c>
      <c r="H1056" t="s">
        <v>521</v>
      </c>
      <c r="I1056" t="s">
        <v>813</v>
      </c>
      <c r="J1056" t="s">
        <v>133</v>
      </c>
      <c r="K1056" t="s">
        <v>658</v>
      </c>
      <c r="L1056" t="s">
        <v>133</v>
      </c>
      <c r="M1056" t="s">
        <v>116</v>
      </c>
      <c r="N1056" t="s">
        <v>663</v>
      </c>
      <c r="O1056" t="s">
        <v>663</v>
      </c>
      <c r="P1056">
        <v>1</v>
      </c>
      <c r="Q1056" s="7">
        <v>46232</v>
      </c>
      <c r="R1056" s="7">
        <v>46233</v>
      </c>
      <c r="S1056" s="7">
        <v>46234</v>
      </c>
      <c r="T1056" t="s">
        <v>663</v>
      </c>
      <c r="V1056" t="s">
        <v>360</v>
      </c>
      <c r="W1056" t="s">
        <v>663</v>
      </c>
      <c r="X1056" t="s">
        <v>663</v>
      </c>
      <c r="Y1056" t="s">
        <v>663</v>
      </c>
      <c r="Z1056" t="s">
        <v>663</v>
      </c>
      <c r="AB1056" t="s">
        <v>1509</v>
      </c>
      <c r="AF1056">
        <v>2</v>
      </c>
      <c r="AH1056" t="s">
        <v>75</v>
      </c>
      <c r="AI1056">
        <v>1</v>
      </c>
      <c r="AJ1056" s="15"/>
      <c r="AK1056" t="s">
        <v>74</v>
      </c>
      <c r="AL1056" s="16"/>
      <c r="AR1056" s="18" t="str">
        <f>IFERROR(VLOOKUP(K1056,[1]POP!$F:$J,1,0),M1056)</f>
        <v>MAKARY</v>
      </c>
      <c r="AS1056" s="18" t="str">
        <f t="shared" si="81"/>
        <v>NGOUMA</v>
      </c>
      <c r="AT1056" s="19">
        <f t="shared" si="84"/>
        <v>2</v>
      </c>
      <c r="AU1056" s="19">
        <f t="shared" ca="1" si="83"/>
        <v>2</v>
      </c>
    </row>
    <row r="1057" spans="1:47" x14ac:dyDescent="0.3">
      <c r="A1057" t="s">
        <v>1518</v>
      </c>
      <c r="B1057" t="str">
        <f t="shared" si="80"/>
        <v>S30_2026</v>
      </c>
      <c r="C1057" t="str">
        <f t="shared" si="82"/>
        <v>S30_2026</v>
      </c>
      <c r="E1057" t="s">
        <v>472</v>
      </c>
      <c r="F1057">
        <v>4</v>
      </c>
      <c r="G1057" t="s">
        <v>55</v>
      </c>
      <c r="H1057" t="s">
        <v>85</v>
      </c>
      <c r="I1057" t="s">
        <v>1519</v>
      </c>
      <c r="J1057" t="s">
        <v>1520</v>
      </c>
      <c r="K1057" t="s">
        <v>116</v>
      </c>
      <c r="L1057" t="s">
        <v>1520</v>
      </c>
      <c r="M1057" t="s">
        <v>116</v>
      </c>
      <c r="N1057" t="s">
        <v>45</v>
      </c>
      <c r="O1057" t="s">
        <v>45</v>
      </c>
      <c r="P1057">
        <v>3</v>
      </c>
      <c r="Q1057" s="7">
        <v>46228</v>
      </c>
      <c r="R1057" s="7">
        <v>46228</v>
      </c>
      <c r="S1057" s="7">
        <v>46228</v>
      </c>
      <c r="T1057" t="s">
        <v>45</v>
      </c>
      <c r="V1057" t="s">
        <v>1521</v>
      </c>
      <c r="W1057" t="s">
        <v>45</v>
      </c>
      <c r="X1057" t="s">
        <v>45</v>
      </c>
      <c r="Y1057" t="s">
        <v>45</v>
      </c>
      <c r="Z1057" t="s">
        <v>74</v>
      </c>
      <c r="AB1057" t="s">
        <v>48</v>
      </c>
      <c r="AF1057">
        <v>2</v>
      </c>
      <c r="AH1057" t="s">
        <v>75</v>
      </c>
      <c r="AI1057">
        <v>1</v>
      </c>
      <c r="AJ1057" s="15"/>
      <c r="AK1057" t="s">
        <v>1522</v>
      </c>
      <c r="AL1057" s="16"/>
      <c r="AR1057" s="18" t="str">
        <f>IFERROR(VLOOKUP(K1057,[1]POP!$F:$J,1,0),M1057)</f>
        <v>MAKARY</v>
      </c>
      <c r="AS1057" s="18" t="str">
        <f t="shared" si="81"/>
        <v>AMCHILGA</v>
      </c>
      <c r="AT1057" s="19">
        <f t="shared" si="84"/>
        <v>2</v>
      </c>
      <c r="AU1057" s="19">
        <f t="shared" ca="1" si="83"/>
        <v>2</v>
      </c>
    </row>
    <row r="1058" spans="1:47" x14ac:dyDescent="0.3">
      <c r="A1058" t="s">
        <v>1523</v>
      </c>
      <c r="B1058" t="str">
        <f t="shared" si="80"/>
        <v>S30_2026</v>
      </c>
      <c r="C1058" t="str">
        <f t="shared" si="82"/>
        <v>S30_2026</v>
      </c>
      <c r="E1058" t="s">
        <v>472</v>
      </c>
      <c r="F1058">
        <v>10</v>
      </c>
      <c r="G1058" t="s">
        <v>55</v>
      </c>
      <c r="H1058" t="s">
        <v>706</v>
      </c>
      <c r="I1058" t="s">
        <v>1519</v>
      </c>
      <c r="J1058" t="s">
        <v>1520</v>
      </c>
      <c r="K1058" t="s">
        <v>116</v>
      </c>
      <c r="L1058" t="s">
        <v>1520</v>
      </c>
      <c r="M1058" t="s">
        <v>116</v>
      </c>
      <c r="N1058" t="s">
        <v>45</v>
      </c>
      <c r="O1058" t="s">
        <v>45</v>
      </c>
      <c r="P1058">
        <v>3</v>
      </c>
      <c r="Q1058" s="7">
        <v>46228</v>
      </c>
      <c r="R1058" s="7">
        <v>46228</v>
      </c>
      <c r="S1058" s="7">
        <v>46228</v>
      </c>
      <c r="T1058" t="s">
        <v>45</v>
      </c>
      <c r="V1058" t="s">
        <v>1521</v>
      </c>
      <c r="W1058" t="s">
        <v>45</v>
      </c>
      <c r="X1058" t="s">
        <v>45</v>
      </c>
      <c r="Y1058" t="s">
        <v>45</v>
      </c>
      <c r="Z1058" t="s">
        <v>74</v>
      </c>
      <c r="AB1058" t="s">
        <v>48</v>
      </c>
      <c r="AF1058">
        <v>2</v>
      </c>
      <c r="AH1058" t="s">
        <v>75</v>
      </c>
      <c r="AI1058">
        <v>1</v>
      </c>
      <c r="AJ1058" s="15"/>
      <c r="AK1058" t="s">
        <v>1522</v>
      </c>
      <c r="AL1058" s="16"/>
      <c r="AR1058" s="18" t="str">
        <f>IFERROR(VLOOKUP(K1058,[1]POP!$F:$J,1,0),M1058)</f>
        <v>MAKARY</v>
      </c>
      <c r="AS1058" s="18" t="str">
        <f t="shared" si="81"/>
        <v>AMCHILGA</v>
      </c>
      <c r="AT1058" s="19">
        <f t="shared" si="84"/>
        <v>2</v>
      </c>
      <c r="AU1058" s="19">
        <f t="shared" ca="1" si="83"/>
        <v>2</v>
      </c>
    </row>
    <row r="1059" spans="1:47" x14ac:dyDescent="0.3">
      <c r="A1059" t="s">
        <v>1524</v>
      </c>
      <c r="B1059" t="str">
        <f t="shared" si="80"/>
        <v>S30_2026</v>
      </c>
      <c r="C1059" t="str">
        <f t="shared" si="82"/>
        <v>S30_2026</v>
      </c>
      <c r="E1059" t="s">
        <v>472</v>
      </c>
      <c r="F1059">
        <v>10</v>
      </c>
      <c r="G1059" t="s">
        <v>55</v>
      </c>
      <c r="H1059" t="s">
        <v>706</v>
      </c>
      <c r="I1059" t="s">
        <v>1519</v>
      </c>
      <c r="J1059" t="s">
        <v>1520</v>
      </c>
      <c r="K1059" t="s">
        <v>116</v>
      </c>
      <c r="L1059" t="s">
        <v>1520</v>
      </c>
      <c r="M1059" t="s">
        <v>116</v>
      </c>
      <c r="N1059" t="s">
        <v>45</v>
      </c>
      <c r="O1059" t="s">
        <v>45</v>
      </c>
      <c r="P1059">
        <v>3</v>
      </c>
      <c r="Q1059" s="7">
        <v>46228</v>
      </c>
      <c r="R1059" s="7">
        <v>46228</v>
      </c>
      <c r="S1059" s="7">
        <v>46228</v>
      </c>
      <c r="T1059" t="s">
        <v>45</v>
      </c>
      <c r="V1059" t="s">
        <v>1521</v>
      </c>
      <c r="W1059" t="s">
        <v>45</v>
      </c>
      <c r="X1059" t="s">
        <v>45</v>
      </c>
      <c r="Y1059" t="s">
        <v>45</v>
      </c>
      <c r="Z1059" t="s">
        <v>74</v>
      </c>
      <c r="AB1059" t="s">
        <v>48</v>
      </c>
      <c r="AF1059">
        <v>2</v>
      </c>
      <c r="AH1059" t="s">
        <v>75</v>
      </c>
      <c r="AI1059">
        <v>1</v>
      </c>
      <c r="AJ1059" s="15"/>
      <c r="AK1059" t="s">
        <v>1522</v>
      </c>
      <c r="AL1059" s="16"/>
      <c r="AR1059" s="18" t="str">
        <f>IFERROR(VLOOKUP(K1059,[1]POP!$F:$J,1,0),M1059)</f>
        <v>MAKARY</v>
      </c>
      <c r="AS1059" s="18" t="str">
        <f t="shared" si="81"/>
        <v>AMCHILGA</v>
      </c>
      <c r="AT1059" s="19">
        <f t="shared" si="84"/>
        <v>2</v>
      </c>
      <c r="AU1059" s="19">
        <f t="shared" ca="1" si="83"/>
        <v>2</v>
      </c>
    </row>
    <row r="1060" spans="1:47" x14ac:dyDescent="0.3">
      <c r="A1060" t="s">
        <v>1525</v>
      </c>
      <c r="B1060" t="str">
        <f t="shared" si="80"/>
        <v>S30_2026</v>
      </c>
      <c r="C1060" t="str">
        <f t="shared" si="82"/>
        <v>S30_2026</v>
      </c>
      <c r="E1060" t="s">
        <v>472</v>
      </c>
      <c r="F1060">
        <v>3</v>
      </c>
      <c r="G1060" t="s">
        <v>40</v>
      </c>
      <c r="H1060" t="s">
        <v>85</v>
      </c>
      <c r="I1060" t="s">
        <v>1519</v>
      </c>
      <c r="J1060" t="s">
        <v>1520</v>
      </c>
      <c r="K1060" t="s">
        <v>116</v>
      </c>
      <c r="L1060" t="s">
        <v>1520</v>
      </c>
      <c r="M1060" t="s">
        <v>116</v>
      </c>
      <c r="N1060" t="s">
        <v>45</v>
      </c>
      <c r="O1060" t="s">
        <v>45</v>
      </c>
      <c r="P1060">
        <v>3</v>
      </c>
      <c r="Q1060" s="7">
        <v>46229</v>
      </c>
      <c r="R1060" s="7">
        <v>46229</v>
      </c>
      <c r="S1060" s="7">
        <v>46229</v>
      </c>
      <c r="T1060" t="s">
        <v>45</v>
      </c>
      <c r="V1060" t="s">
        <v>1521</v>
      </c>
      <c r="W1060" t="s">
        <v>45</v>
      </c>
      <c r="X1060" t="s">
        <v>45</v>
      </c>
      <c r="Y1060" t="s">
        <v>45</v>
      </c>
      <c r="Z1060" t="s">
        <v>74</v>
      </c>
      <c r="AB1060" t="s">
        <v>48</v>
      </c>
      <c r="AF1060">
        <v>2</v>
      </c>
      <c r="AH1060" t="s">
        <v>75</v>
      </c>
      <c r="AI1060">
        <v>1</v>
      </c>
      <c r="AJ1060" s="15"/>
      <c r="AK1060" t="s">
        <v>1522</v>
      </c>
      <c r="AL1060" s="16"/>
      <c r="AR1060" s="18" t="str">
        <f>IFERROR(VLOOKUP(K1060,[1]POP!$F:$J,1,0),M1060)</f>
        <v>MAKARY</v>
      </c>
      <c r="AS1060" s="18" t="str">
        <f t="shared" si="81"/>
        <v>AMCHILGA</v>
      </c>
      <c r="AT1060" s="19">
        <f t="shared" si="84"/>
        <v>2</v>
      </c>
      <c r="AU1060" s="19">
        <f t="shared" ca="1" si="83"/>
        <v>2</v>
      </c>
    </row>
    <row r="1061" spans="1:47" x14ac:dyDescent="0.3">
      <c r="A1061" t="s">
        <v>1526</v>
      </c>
      <c r="B1061" t="str">
        <f t="shared" si="80"/>
        <v>S30_2026</v>
      </c>
      <c r="C1061" t="str">
        <f t="shared" si="82"/>
        <v>S30_2026</v>
      </c>
      <c r="E1061" t="s">
        <v>472</v>
      </c>
      <c r="F1061">
        <v>12</v>
      </c>
      <c r="G1061" t="s">
        <v>40</v>
      </c>
      <c r="H1061" t="s">
        <v>829</v>
      </c>
      <c r="I1061" t="s">
        <v>1519</v>
      </c>
      <c r="J1061" t="s">
        <v>1520</v>
      </c>
      <c r="K1061" t="s">
        <v>116</v>
      </c>
      <c r="L1061" t="s">
        <v>1520</v>
      </c>
      <c r="M1061" t="s">
        <v>116</v>
      </c>
      <c r="N1061" t="s">
        <v>45</v>
      </c>
      <c r="O1061" t="s">
        <v>45</v>
      </c>
      <c r="P1061">
        <v>3</v>
      </c>
      <c r="Q1061" s="7">
        <v>46229</v>
      </c>
      <c r="R1061" s="7">
        <v>46229</v>
      </c>
      <c r="S1061" s="7">
        <v>46229</v>
      </c>
      <c r="T1061" t="s">
        <v>45</v>
      </c>
      <c r="V1061" t="s">
        <v>1521</v>
      </c>
      <c r="W1061" t="s">
        <v>45</v>
      </c>
      <c r="X1061" t="s">
        <v>45</v>
      </c>
      <c r="Y1061" t="s">
        <v>45</v>
      </c>
      <c r="Z1061" t="s">
        <v>74</v>
      </c>
      <c r="AB1061" t="s">
        <v>48</v>
      </c>
      <c r="AF1061">
        <v>2</v>
      </c>
      <c r="AH1061" t="s">
        <v>75</v>
      </c>
      <c r="AI1061">
        <v>1</v>
      </c>
      <c r="AJ1061" s="15"/>
      <c r="AK1061" t="s">
        <v>1522</v>
      </c>
      <c r="AL1061" s="16"/>
      <c r="AR1061" s="18" t="str">
        <f>IFERROR(VLOOKUP(K1061,[1]POP!$F:$J,1,0),M1061)</f>
        <v>MAKARY</v>
      </c>
      <c r="AS1061" s="18" t="str">
        <f t="shared" si="81"/>
        <v>AMCHILGA</v>
      </c>
      <c r="AT1061" s="19">
        <f t="shared" si="84"/>
        <v>2</v>
      </c>
      <c r="AU1061" s="19">
        <f t="shared" ca="1" si="83"/>
        <v>2</v>
      </c>
    </row>
    <row r="1062" spans="1:47" x14ac:dyDescent="0.3">
      <c r="A1062" t="s">
        <v>1527</v>
      </c>
      <c r="B1062" t="str">
        <f t="shared" si="80"/>
        <v>S30_2026</v>
      </c>
      <c r="C1062" t="str">
        <f t="shared" si="82"/>
        <v>S30_2026</v>
      </c>
      <c r="E1062" t="s">
        <v>472</v>
      </c>
      <c r="F1062">
        <v>13</v>
      </c>
      <c r="G1062" t="s">
        <v>55</v>
      </c>
      <c r="H1062" t="s">
        <v>1528</v>
      </c>
      <c r="I1062" t="s">
        <v>1519</v>
      </c>
      <c r="J1062" t="s">
        <v>1520</v>
      </c>
      <c r="K1062" t="s">
        <v>116</v>
      </c>
      <c r="L1062" t="s">
        <v>1520</v>
      </c>
      <c r="M1062" t="s">
        <v>116</v>
      </c>
      <c r="N1062" t="s">
        <v>45</v>
      </c>
      <c r="O1062" t="s">
        <v>45</v>
      </c>
      <c r="P1062">
        <v>3</v>
      </c>
      <c r="Q1062" s="7">
        <v>46229</v>
      </c>
      <c r="R1062" s="7">
        <v>46229</v>
      </c>
      <c r="S1062" s="7">
        <v>46229</v>
      </c>
      <c r="T1062" t="s">
        <v>45</v>
      </c>
      <c r="V1062" t="s">
        <v>1521</v>
      </c>
      <c r="W1062" t="s">
        <v>45</v>
      </c>
      <c r="X1062" t="s">
        <v>45</v>
      </c>
      <c r="Y1062" t="s">
        <v>45</v>
      </c>
      <c r="Z1062" t="s">
        <v>74</v>
      </c>
      <c r="AB1062" t="s">
        <v>48</v>
      </c>
      <c r="AF1062">
        <v>2</v>
      </c>
      <c r="AH1062" t="s">
        <v>75</v>
      </c>
      <c r="AI1062">
        <v>1</v>
      </c>
      <c r="AJ1062" s="15"/>
      <c r="AK1062" t="s">
        <v>1522</v>
      </c>
      <c r="AL1062" s="16"/>
      <c r="AR1062" s="18" t="str">
        <f>IFERROR(VLOOKUP(K1062,[1]POP!$F:$J,1,0),M1062)</f>
        <v>MAKARY</v>
      </c>
      <c r="AS1062" s="18" t="str">
        <f t="shared" si="81"/>
        <v>AMCHILGA</v>
      </c>
      <c r="AT1062" s="19">
        <f t="shared" si="84"/>
        <v>2</v>
      </c>
      <c r="AU1062" s="19">
        <f t="shared" ca="1" si="83"/>
        <v>2</v>
      </c>
    </row>
    <row r="1063" spans="1:47" x14ac:dyDescent="0.3">
      <c r="A1063" t="s">
        <v>1529</v>
      </c>
      <c r="B1063" t="str">
        <f t="shared" si="80"/>
        <v>S30_2026</v>
      </c>
      <c r="C1063" t="str">
        <f t="shared" si="82"/>
        <v>S30_2026</v>
      </c>
      <c r="E1063" t="s">
        <v>472</v>
      </c>
      <c r="F1063">
        <v>7</v>
      </c>
      <c r="G1063" t="s">
        <v>55</v>
      </c>
      <c r="H1063" t="s">
        <v>706</v>
      </c>
      <c r="I1063" t="s">
        <v>1519</v>
      </c>
      <c r="J1063" t="s">
        <v>1520</v>
      </c>
      <c r="K1063" t="s">
        <v>116</v>
      </c>
      <c r="L1063" t="s">
        <v>1520</v>
      </c>
      <c r="M1063" t="s">
        <v>116</v>
      </c>
      <c r="N1063" t="s">
        <v>45</v>
      </c>
      <c r="O1063" t="s">
        <v>45</v>
      </c>
      <c r="P1063">
        <v>3</v>
      </c>
      <c r="Q1063" s="7">
        <v>46229</v>
      </c>
      <c r="R1063" s="7">
        <v>46229</v>
      </c>
      <c r="S1063" s="7">
        <v>46229</v>
      </c>
      <c r="T1063" t="s">
        <v>45</v>
      </c>
      <c r="V1063" t="s">
        <v>1521</v>
      </c>
      <c r="W1063" t="s">
        <v>45</v>
      </c>
      <c r="X1063" t="s">
        <v>45</v>
      </c>
      <c r="Y1063" t="s">
        <v>45</v>
      </c>
      <c r="Z1063" t="s">
        <v>74</v>
      </c>
      <c r="AB1063" t="s">
        <v>48</v>
      </c>
      <c r="AF1063">
        <v>2</v>
      </c>
      <c r="AH1063" t="s">
        <v>75</v>
      </c>
      <c r="AI1063">
        <v>1</v>
      </c>
      <c r="AJ1063" s="15"/>
      <c r="AK1063" t="s">
        <v>1522</v>
      </c>
      <c r="AL1063" s="16"/>
      <c r="AR1063" s="18" t="str">
        <f>IFERROR(VLOOKUP(K1063,[1]POP!$F:$J,1,0),M1063)</f>
        <v>MAKARY</v>
      </c>
      <c r="AS1063" s="18" t="str">
        <f t="shared" si="81"/>
        <v>AMCHILGA</v>
      </c>
      <c r="AT1063" s="19">
        <f t="shared" si="84"/>
        <v>2</v>
      </c>
      <c r="AU1063" s="19">
        <f t="shared" ca="1" si="83"/>
        <v>2</v>
      </c>
    </row>
    <row r="1064" spans="1:47" x14ac:dyDescent="0.3">
      <c r="A1064" t="s">
        <v>1530</v>
      </c>
      <c r="B1064" t="str">
        <f t="shared" si="80"/>
        <v>S30_2026</v>
      </c>
      <c r="C1064" t="str">
        <f t="shared" si="82"/>
        <v>S30_2026</v>
      </c>
      <c r="E1064" t="s">
        <v>472</v>
      </c>
      <c r="F1064">
        <v>16</v>
      </c>
      <c r="G1064" t="s">
        <v>40</v>
      </c>
      <c r="H1064" t="s">
        <v>1531</v>
      </c>
      <c r="I1064" t="s">
        <v>1519</v>
      </c>
      <c r="J1064" t="s">
        <v>1520</v>
      </c>
      <c r="K1064" t="s">
        <v>116</v>
      </c>
      <c r="L1064" t="s">
        <v>1520</v>
      </c>
      <c r="M1064" t="s">
        <v>116</v>
      </c>
      <c r="N1064" t="s">
        <v>45</v>
      </c>
      <c r="O1064" t="s">
        <v>45</v>
      </c>
      <c r="P1064">
        <v>3</v>
      </c>
      <c r="Q1064" s="7">
        <v>46229</v>
      </c>
      <c r="R1064" s="7">
        <v>46229</v>
      </c>
      <c r="S1064" s="7">
        <v>46229</v>
      </c>
      <c r="T1064" t="s">
        <v>45</v>
      </c>
      <c r="V1064" t="s">
        <v>1521</v>
      </c>
      <c r="W1064" t="s">
        <v>45</v>
      </c>
      <c r="X1064" t="s">
        <v>45</v>
      </c>
      <c r="Y1064" t="s">
        <v>45</v>
      </c>
      <c r="Z1064" t="s">
        <v>74</v>
      </c>
      <c r="AB1064" t="s">
        <v>48</v>
      </c>
      <c r="AF1064">
        <v>2</v>
      </c>
      <c r="AH1064" t="s">
        <v>75</v>
      </c>
      <c r="AI1064">
        <v>1</v>
      </c>
      <c r="AJ1064" s="15"/>
      <c r="AK1064" t="s">
        <v>1522</v>
      </c>
      <c r="AL1064" s="16"/>
      <c r="AR1064" s="18" t="str">
        <f>IFERROR(VLOOKUP(K1064,[1]POP!$F:$J,1,0),M1064)</f>
        <v>MAKARY</v>
      </c>
      <c r="AS1064" s="18" t="str">
        <f t="shared" si="81"/>
        <v>AMCHILGA</v>
      </c>
      <c r="AT1064" s="19">
        <f t="shared" si="84"/>
        <v>2</v>
      </c>
      <c r="AU1064" s="19">
        <f t="shared" ca="1" si="83"/>
        <v>2</v>
      </c>
    </row>
    <row r="1065" spans="1:47" x14ac:dyDescent="0.3">
      <c r="A1065" t="s">
        <v>1532</v>
      </c>
      <c r="B1065" t="str">
        <f t="shared" si="80"/>
        <v>S31_2026</v>
      </c>
      <c r="C1065" t="str">
        <f t="shared" si="82"/>
        <v>S31_2026</v>
      </c>
      <c r="E1065" t="s">
        <v>1511</v>
      </c>
      <c r="F1065">
        <v>4</v>
      </c>
      <c r="G1065" t="s">
        <v>55</v>
      </c>
      <c r="H1065" t="s">
        <v>655</v>
      </c>
      <c r="I1065" t="s">
        <v>1512</v>
      </c>
      <c r="J1065" t="s">
        <v>1513</v>
      </c>
      <c r="K1065" t="s">
        <v>658</v>
      </c>
      <c r="L1065" t="s">
        <v>659</v>
      </c>
      <c r="M1065" t="s">
        <v>116</v>
      </c>
      <c r="N1065" t="s">
        <v>663</v>
      </c>
      <c r="O1065" t="s">
        <v>663</v>
      </c>
      <c r="P1065">
        <v>1</v>
      </c>
      <c r="Q1065" s="7">
        <v>46236</v>
      </c>
      <c r="R1065" s="7">
        <v>46236</v>
      </c>
      <c r="S1065" s="7">
        <v>46236</v>
      </c>
      <c r="T1065" t="s">
        <v>663</v>
      </c>
      <c r="V1065" t="s">
        <v>667</v>
      </c>
      <c r="W1065" t="s">
        <v>663</v>
      </c>
      <c r="X1065" t="s">
        <v>663</v>
      </c>
      <c r="Y1065" t="s">
        <v>663</v>
      </c>
      <c r="Z1065" t="s">
        <v>663</v>
      </c>
      <c r="AB1065" t="s">
        <v>1509</v>
      </c>
      <c r="AF1065">
        <v>2</v>
      </c>
      <c r="AH1065" t="s">
        <v>75</v>
      </c>
      <c r="AI1065">
        <v>1</v>
      </c>
      <c r="AJ1065" s="15"/>
      <c r="AK1065" t="s">
        <v>664</v>
      </c>
      <c r="AL1065" s="16"/>
      <c r="AR1065" s="18" t="str">
        <f>IFERROR(VLOOKUP(K1065,[1]POP!$F:$J,1,0),M1065)</f>
        <v>MAKARY</v>
      </c>
      <c r="AS1065" s="18" t="str">
        <f t="shared" si="81"/>
        <v>Amchilga</v>
      </c>
      <c r="AT1065" s="19">
        <f t="shared" si="84"/>
        <v>2</v>
      </c>
      <c r="AU1065" s="19">
        <f t="shared" ca="1" si="83"/>
        <v>2</v>
      </c>
    </row>
    <row r="1066" spans="1:47" x14ac:dyDescent="0.3">
      <c r="A1066" t="s">
        <v>1533</v>
      </c>
      <c r="B1066" t="str">
        <f t="shared" si="80"/>
        <v>S32_2026</v>
      </c>
      <c r="C1066" t="str">
        <f t="shared" si="82"/>
        <v>S32_2026</v>
      </c>
      <c r="E1066" t="s">
        <v>1534</v>
      </c>
      <c r="F1066">
        <v>3</v>
      </c>
      <c r="G1066" t="s">
        <v>55</v>
      </c>
      <c r="H1066" t="s">
        <v>655</v>
      </c>
      <c r="I1066" t="s">
        <v>1535</v>
      </c>
      <c r="J1066" t="s">
        <v>1513</v>
      </c>
      <c r="K1066" t="s">
        <v>658</v>
      </c>
      <c r="L1066" t="s">
        <v>659</v>
      </c>
      <c r="M1066" t="s">
        <v>116</v>
      </c>
      <c r="N1066" t="s">
        <v>663</v>
      </c>
      <c r="O1066" t="s">
        <v>663</v>
      </c>
      <c r="P1066">
        <v>1</v>
      </c>
      <c r="Q1066" s="7">
        <v>46237</v>
      </c>
      <c r="R1066" s="7">
        <v>46237</v>
      </c>
      <c r="S1066" s="7">
        <v>46237</v>
      </c>
      <c r="T1066" t="s">
        <v>663</v>
      </c>
      <c r="V1066" t="s">
        <v>667</v>
      </c>
      <c r="W1066" t="s">
        <v>663</v>
      </c>
      <c r="X1066" t="s">
        <v>663</v>
      </c>
      <c r="Y1066" t="s">
        <v>663</v>
      </c>
      <c r="Z1066" t="s">
        <v>663</v>
      </c>
      <c r="AB1066" t="s">
        <v>1509</v>
      </c>
      <c r="AF1066">
        <v>2</v>
      </c>
      <c r="AH1066" t="s">
        <v>75</v>
      </c>
      <c r="AI1066">
        <v>1</v>
      </c>
      <c r="AJ1066" s="15"/>
      <c r="AK1066" t="s">
        <v>664</v>
      </c>
      <c r="AL1066" s="16"/>
      <c r="AR1066" s="18" t="str">
        <f>IFERROR(VLOOKUP(K1066,[1]POP!$F:$J,1,0),M1066)</f>
        <v>MAKARY</v>
      </c>
      <c r="AS1066" s="18" t="str">
        <f t="shared" si="81"/>
        <v>Amchilga</v>
      </c>
      <c r="AT1066" s="19">
        <f t="shared" si="84"/>
        <v>2</v>
      </c>
      <c r="AU1066" s="19">
        <f t="shared" ca="1" si="83"/>
        <v>2</v>
      </c>
    </row>
    <row r="1067" spans="1:47" x14ac:dyDescent="0.3">
      <c r="A1067" t="s">
        <v>1536</v>
      </c>
      <c r="B1067" t="str">
        <f t="shared" si="80"/>
        <v>S32_2026</v>
      </c>
      <c r="C1067" t="str">
        <f t="shared" si="82"/>
        <v>S32_2026</v>
      </c>
      <c r="E1067" t="s">
        <v>1537</v>
      </c>
      <c r="F1067">
        <v>6</v>
      </c>
      <c r="G1067" t="s">
        <v>40</v>
      </c>
      <c r="H1067" t="s">
        <v>1194</v>
      </c>
      <c r="I1067" t="s">
        <v>666</v>
      </c>
      <c r="J1067" t="s">
        <v>657</v>
      </c>
      <c r="K1067" t="s">
        <v>658</v>
      </c>
      <c r="L1067" t="s">
        <v>659</v>
      </c>
      <c r="M1067" t="s">
        <v>116</v>
      </c>
      <c r="N1067" t="s">
        <v>663</v>
      </c>
      <c r="O1067" t="s">
        <v>663</v>
      </c>
      <c r="P1067">
        <v>1</v>
      </c>
      <c r="Q1067" s="7">
        <v>46238</v>
      </c>
      <c r="R1067" s="7">
        <v>46238</v>
      </c>
      <c r="S1067" s="7">
        <v>46238</v>
      </c>
      <c r="T1067" t="s">
        <v>663</v>
      </c>
      <c r="V1067" t="s">
        <v>662</v>
      </c>
      <c r="W1067" t="s">
        <v>663</v>
      </c>
      <c r="X1067" t="s">
        <v>663</v>
      </c>
      <c r="Y1067" t="s">
        <v>663</v>
      </c>
      <c r="Z1067" t="s">
        <v>663</v>
      </c>
      <c r="AB1067" t="s">
        <v>1509</v>
      </c>
      <c r="AF1067">
        <v>2</v>
      </c>
      <c r="AH1067" t="s">
        <v>75</v>
      </c>
      <c r="AI1067">
        <v>1</v>
      </c>
      <c r="AJ1067" s="15"/>
      <c r="AK1067" t="s">
        <v>664</v>
      </c>
      <c r="AL1067" s="16"/>
      <c r="AR1067" s="18" t="str">
        <f>IFERROR(VLOOKUP(K1067,[1]POP!$F:$J,1,0),M1067)</f>
        <v>MAKARY</v>
      </c>
      <c r="AS1067" s="18" t="str">
        <f t="shared" si="81"/>
        <v>Amchilga</v>
      </c>
      <c r="AT1067" s="19">
        <f t="shared" si="84"/>
        <v>2</v>
      </c>
      <c r="AU1067" s="19">
        <f t="shared" ca="1" si="83"/>
        <v>2</v>
      </c>
    </row>
    <row r="1068" spans="1:47" x14ac:dyDescent="0.3">
      <c r="A1068" t="s">
        <v>1538</v>
      </c>
      <c r="B1068" t="str">
        <f t="shared" si="80"/>
        <v>S30_2026</v>
      </c>
      <c r="C1068" t="str">
        <f t="shared" si="82"/>
        <v>S30_2026</v>
      </c>
      <c r="E1068" t="s">
        <v>776</v>
      </c>
      <c r="F1068">
        <v>13</v>
      </c>
      <c r="G1068" t="s">
        <v>40</v>
      </c>
      <c r="H1068" t="s">
        <v>111</v>
      </c>
      <c r="I1068" t="s">
        <v>1483</v>
      </c>
      <c r="J1068" t="s">
        <v>778</v>
      </c>
      <c r="K1068" t="s">
        <v>116</v>
      </c>
      <c r="L1068" t="s">
        <v>115</v>
      </c>
      <c r="M1068" t="s">
        <v>116</v>
      </c>
      <c r="N1068" t="s">
        <v>117</v>
      </c>
      <c r="O1068" t="s">
        <v>117</v>
      </c>
      <c r="P1068">
        <v>3</v>
      </c>
      <c r="Q1068" s="7">
        <v>46225</v>
      </c>
      <c r="R1068" s="7">
        <v>46226</v>
      </c>
      <c r="S1068" s="7">
        <v>46227</v>
      </c>
      <c r="T1068" t="s">
        <v>117</v>
      </c>
      <c r="V1068" t="s">
        <v>118</v>
      </c>
      <c r="W1068" t="s">
        <v>117</v>
      </c>
      <c r="X1068" t="s">
        <v>117</v>
      </c>
      <c r="Y1068" t="s">
        <v>117</v>
      </c>
      <c r="Z1068" t="s">
        <v>117</v>
      </c>
      <c r="AB1068" t="s">
        <v>48</v>
      </c>
      <c r="AC1068" t="s">
        <v>74</v>
      </c>
      <c r="AE1068" s="7">
        <v>46228</v>
      </c>
      <c r="AF1068">
        <v>2</v>
      </c>
      <c r="AH1068" t="s">
        <v>75</v>
      </c>
      <c r="AI1068">
        <v>1</v>
      </c>
      <c r="AJ1068" s="15"/>
      <c r="AK1068" t="s">
        <v>74</v>
      </c>
      <c r="AL1068" s="16"/>
      <c r="AR1068" s="18" t="str">
        <f>IFERROR(VLOOKUP(K1068,[1]POP!$F:$J,1,0),M1068)</f>
        <v>MAKARY</v>
      </c>
      <c r="AS1068" s="18" t="str">
        <f t="shared" si="81"/>
        <v>WOULKY</v>
      </c>
      <c r="AT1068" s="19">
        <f t="shared" si="84"/>
        <v>2</v>
      </c>
      <c r="AU1068" s="19">
        <f t="shared" ca="1" si="83"/>
        <v>2</v>
      </c>
    </row>
    <row r="1069" spans="1:47" x14ac:dyDescent="0.3">
      <c r="A1069" t="s">
        <v>1539</v>
      </c>
      <c r="B1069" t="str">
        <f t="shared" si="80"/>
        <v>S30_2026</v>
      </c>
      <c r="C1069" t="str">
        <f t="shared" si="82"/>
        <v>S30_2026</v>
      </c>
      <c r="E1069" t="s">
        <v>776</v>
      </c>
      <c r="F1069">
        <v>45</v>
      </c>
      <c r="G1069" t="s">
        <v>55</v>
      </c>
      <c r="H1069" t="s">
        <v>70</v>
      </c>
      <c r="I1069" t="s">
        <v>1483</v>
      </c>
      <c r="J1069" t="s">
        <v>778</v>
      </c>
      <c r="K1069" t="s">
        <v>116</v>
      </c>
      <c r="L1069" t="s">
        <v>115</v>
      </c>
      <c r="M1069" t="s">
        <v>116</v>
      </c>
      <c r="N1069" t="s">
        <v>117</v>
      </c>
      <c r="O1069" t="s">
        <v>117</v>
      </c>
      <c r="P1069">
        <v>3</v>
      </c>
      <c r="Q1069" s="7">
        <v>46226</v>
      </c>
      <c r="R1069" s="7">
        <v>46226</v>
      </c>
      <c r="S1069" s="7">
        <v>46227</v>
      </c>
      <c r="T1069" t="s">
        <v>117</v>
      </c>
      <c r="V1069" t="s">
        <v>118</v>
      </c>
      <c r="W1069" t="s">
        <v>117</v>
      </c>
      <c r="X1069" t="s">
        <v>117</v>
      </c>
      <c r="Y1069" t="s">
        <v>117</v>
      </c>
      <c r="Z1069" t="s">
        <v>117</v>
      </c>
      <c r="AB1069" t="s">
        <v>48</v>
      </c>
      <c r="AC1069" t="s">
        <v>74</v>
      </c>
      <c r="AE1069" s="7">
        <v>46228</v>
      </c>
      <c r="AF1069">
        <v>2</v>
      </c>
      <c r="AH1069" t="s">
        <v>75</v>
      </c>
      <c r="AI1069">
        <v>1</v>
      </c>
      <c r="AJ1069" s="15"/>
      <c r="AK1069" t="s">
        <v>74</v>
      </c>
      <c r="AL1069" s="16"/>
      <c r="AR1069" s="18" t="str">
        <f>IFERROR(VLOOKUP(K1069,[1]POP!$F:$J,1,0),M1069)</f>
        <v>MAKARY</v>
      </c>
      <c r="AS1069" s="18" t="str">
        <f t="shared" si="81"/>
        <v>WOULKY</v>
      </c>
      <c r="AT1069" s="19">
        <f t="shared" si="84"/>
        <v>2</v>
      </c>
      <c r="AU1069" s="19">
        <f t="shared" ca="1" si="83"/>
        <v>2</v>
      </c>
    </row>
    <row r="1070" spans="1:47" x14ac:dyDescent="0.3">
      <c r="A1070" t="s">
        <v>1540</v>
      </c>
      <c r="B1070" t="str">
        <f t="shared" si="80"/>
        <v>S30_2026</v>
      </c>
      <c r="C1070" t="str">
        <f t="shared" si="82"/>
        <v>S30_2026</v>
      </c>
      <c r="E1070" t="s">
        <v>776</v>
      </c>
      <c r="F1070">
        <v>23</v>
      </c>
      <c r="G1070" t="s">
        <v>40</v>
      </c>
      <c r="H1070" t="s">
        <v>136</v>
      </c>
      <c r="I1070" t="s">
        <v>1483</v>
      </c>
      <c r="J1070" t="s">
        <v>778</v>
      </c>
      <c r="K1070" t="s">
        <v>116</v>
      </c>
      <c r="L1070" t="s">
        <v>115</v>
      </c>
      <c r="M1070" t="s">
        <v>116</v>
      </c>
      <c r="N1070" t="s">
        <v>117</v>
      </c>
      <c r="O1070" t="s">
        <v>117</v>
      </c>
      <c r="P1070">
        <v>3</v>
      </c>
      <c r="Q1070" s="7">
        <v>46225</v>
      </c>
      <c r="R1070" s="7">
        <v>46226</v>
      </c>
      <c r="S1070" s="7">
        <v>46227</v>
      </c>
      <c r="T1070" t="s">
        <v>117</v>
      </c>
      <c r="V1070" t="s">
        <v>118</v>
      </c>
      <c r="W1070" t="s">
        <v>117</v>
      </c>
      <c r="X1070" t="s">
        <v>117</v>
      </c>
      <c r="Y1070" t="s">
        <v>117</v>
      </c>
      <c r="Z1070" t="s">
        <v>117</v>
      </c>
      <c r="AB1070" t="s">
        <v>48</v>
      </c>
      <c r="AC1070" t="s">
        <v>74</v>
      </c>
      <c r="AE1070" s="7">
        <v>46231</v>
      </c>
      <c r="AF1070">
        <v>2</v>
      </c>
      <c r="AH1070" t="s">
        <v>75</v>
      </c>
      <c r="AI1070">
        <v>1</v>
      </c>
      <c r="AJ1070" s="15"/>
      <c r="AK1070" t="s">
        <v>74</v>
      </c>
      <c r="AL1070" s="16"/>
      <c r="AR1070" s="18" t="str">
        <f>IFERROR(VLOOKUP(K1070,[1]POP!$F:$J,1,0),M1070)</f>
        <v>MAKARY</v>
      </c>
      <c r="AS1070" s="18" t="str">
        <f t="shared" si="81"/>
        <v>WOULKY</v>
      </c>
      <c r="AT1070" s="19">
        <f t="shared" si="84"/>
        <v>2</v>
      </c>
      <c r="AU1070" s="19">
        <f t="shared" ca="1" si="83"/>
        <v>2</v>
      </c>
    </row>
    <row r="1071" spans="1:47" x14ac:dyDescent="0.3">
      <c r="A1071" t="s">
        <v>1541</v>
      </c>
      <c r="B1071" t="str">
        <f t="shared" si="80"/>
        <v>S30_2026</v>
      </c>
      <c r="C1071" t="str">
        <f t="shared" si="82"/>
        <v>S30_2026</v>
      </c>
      <c r="E1071" t="s">
        <v>1542</v>
      </c>
      <c r="F1071">
        <v>1</v>
      </c>
      <c r="G1071" t="s">
        <v>55</v>
      </c>
      <c r="H1071" t="s">
        <v>111</v>
      </c>
      <c r="I1071" t="s">
        <v>123</v>
      </c>
      <c r="J1071" t="s">
        <v>123</v>
      </c>
      <c r="K1071" t="s">
        <v>124</v>
      </c>
      <c r="L1071" t="s">
        <v>115</v>
      </c>
      <c r="M1071" t="s">
        <v>116</v>
      </c>
      <c r="N1071" t="s">
        <v>117</v>
      </c>
      <c r="O1071" t="s">
        <v>117</v>
      </c>
      <c r="P1071">
        <v>3</v>
      </c>
      <c r="Q1071" s="7">
        <v>46225</v>
      </c>
      <c r="R1071" s="7">
        <v>46226</v>
      </c>
      <c r="S1071" s="7">
        <v>46227</v>
      </c>
      <c r="T1071" t="s">
        <v>117</v>
      </c>
      <c r="V1071" t="s">
        <v>118</v>
      </c>
      <c r="W1071" t="s">
        <v>117</v>
      </c>
      <c r="X1071" t="s">
        <v>117</v>
      </c>
      <c r="Y1071" t="s">
        <v>117</v>
      </c>
      <c r="Z1071" t="s">
        <v>117</v>
      </c>
      <c r="AB1071" t="s">
        <v>48</v>
      </c>
      <c r="AC1071" t="s">
        <v>74</v>
      </c>
      <c r="AE1071" s="7">
        <v>46232</v>
      </c>
      <c r="AF1071">
        <v>2</v>
      </c>
      <c r="AH1071" t="s">
        <v>75</v>
      </c>
      <c r="AI1071">
        <v>1</v>
      </c>
      <c r="AJ1071" s="15"/>
      <c r="AK1071" t="s">
        <v>74</v>
      </c>
      <c r="AL1071" s="16"/>
      <c r="AR1071" s="18" t="str">
        <f>IFERROR(VLOOKUP(K1071,[1]POP!$F:$J,1,0),M1071)</f>
        <v>MAKARY</v>
      </c>
      <c r="AS1071" s="18" t="str">
        <f t="shared" si="81"/>
        <v>makary</v>
      </c>
      <c r="AT1071" s="19">
        <f t="shared" si="84"/>
        <v>2</v>
      </c>
      <c r="AU1071" s="19">
        <f t="shared" ca="1" si="83"/>
        <v>2</v>
      </c>
    </row>
    <row r="1072" spans="1:47" x14ac:dyDescent="0.3">
      <c r="A1072" t="s">
        <v>1543</v>
      </c>
      <c r="B1072" t="str">
        <f t="shared" si="80"/>
        <v>S31_2026</v>
      </c>
      <c r="C1072" t="str">
        <f t="shared" si="82"/>
        <v>S30_2026</v>
      </c>
      <c r="E1072" t="s">
        <v>776</v>
      </c>
      <c r="F1072">
        <v>2</v>
      </c>
      <c r="G1072" t="s">
        <v>40</v>
      </c>
      <c r="H1072" t="s">
        <v>111</v>
      </c>
      <c r="I1072" t="s">
        <v>1483</v>
      </c>
      <c r="J1072" t="s">
        <v>778</v>
      </c>
      <c r="K1072" t="s">
        <v>116</v>
      </c>
      <c r="L1072" t="s">
        <v>115</v>
      </c>
      <c r="M1072" t="s">
        <v>116</v>
      </c>
      <c r="N1072" t="s">
        <v>117</v>
      </c>
      <c r="O1072" t="s">
        <v>117</v>
      </c>
      <c r="P1072">
        <v>3</v>
      </c>
      <c r="Q1072" s="7">
        <v>46226</v>
      </c>
      <c r="R1072" s="7">
        <v>46228</v>
      </c>
      <c r="S1072" s="7">
        <v>46230</v>
      </c>
      <c r="T1072" t="s">
        <v>117</v>
      </c>
      <c r="V1072" t="s">
        <v>118</v>
      </c>
      <c r="W1072" t="s">
        <v>117</v>
      </c>
      <c r="X1072" t="s">
        <v>117</v>
      </c>
      <c r="Y1072" t="s">
        <v>117</v>
      </c>
      <c r="Z1072" t="s">
        <v>117</v>
      </c>
      <c r="AB1072" t="s">
        <v>48</v>
      </c>
      <c r="AC1072" t="s">
        <v>74</v>
      </c>
      <c r="AE1072" s="7">
        <v>46232</v>
      </c>
      <c r="AF1072">
        <v>2</v>
      </c>
      <c r="AH1072" t="s">
        <v>75</v>
      </c>
      <c r="AI1072">
        <v>1</v>
      </c>
      <c r="AJ1072" s="15"/>
      <c r="AK1072" t="s">
        <v>74</v>
      </c>
      <c r="AL1072" s="16"/>
      <c r="AR1072" s="18" t="str">
        <f>IFERROR(VLOOKUP(K1072,[1]POP!$F:$J,1,0),M1072)</f>
        <v>MAKARY</v>
      </c>
      <c r="AS1072" s="18" t="str">
        <f t="shared" si="81"/>
        <v>WOULKY</v>
      </c>
      <c r="AT1072" s="19">
        <f t="shared" si="84"/>
        <v>2</v>
      </c>
      <c r="AU1072" s="19">
        <f t="shared" ca="1" si="83"/>
        <v>2</v>
      </c>
    </row>
    <row r="1073" spans="1:47" x14ac:dyDescent="0.3">
      <c r="A1073" t="s">
        <v>1544</v>
      </c>
      <c r="B1073" t="str">
        <f t="shared" si="80"/>
        <v>S31_2026</v>
      </c>
      <c r="C1073" t="str">
        <f t="shared" si="82"/>
        <v>S30_2026</v>
      </c>
      <c r="E1073" t="s">
        <v>776</v>
      </c>
      <c r="F1073">
        <v>7</v>
      </c>
      <c r="G1073" t="s">
        <v>55</v>
      </c>
      <c r="H1073" t="s">
        <v>111</v>
      </c>
      <c r="I1073" t="s">
        <v>1483</v>
      </c>
      <c r="J1073" t="s">
        <v>778</v>
      </c>
      <c r="K1073" t="s">
        <v>116</v>
      </c>
      <c r="L1073" t="s">
        <v>115</v>
      </c>
      <c r="M1073" t="s">
        <v>116</v>
      </c>
      <c r="N1073" t="s">
        <v>117</v>
      </c>
      <c r="O1073" t="s">
        <v>117</v>
      </c>
      <c r="P1073">
        <v>3</v>
      </c>
      <c r="Q1073" s="7">
        <v>46227</v>
      </c>
      <c r="R1073" s="7">
        <v>46228</v>
      </c>
      <c r="S1073" s="7">
        <v>46230</v>
      </c>
      <c r="T1073" t="s">
        <v>117</v>
      </c>
      <c r="V1073" t="s">
        <v>118</v>
      </c>
      <c r="W1073" t="s">
        <v>117</v>
      </c>
      <c r="X1073" t="s">
        <v>117</v>
      </c>
      <c r="Y1073" t="s">
        <v>117</v>
      </c>
      <c r="Z1073" t="s">
        <v>117</v>
      </c>
      <c r="AB1073" t="s">
        <v>48</v>
      </c>
      <c r="AC1073" t="s">
        <v>74</v>
      </c>
      <c r="AE1073" s="7">
        <v>46232</v>
      </c>
      <c r="AF1073">
        <v>2</v>
      </c>
      <c r="AH1073" t="s">
        <v>75</v>
      </c>
      <c r="AI1073">
        <v>1</v>
      </c>
      <c r="AJ1073" s="15"/>
      <c r="AK1073" t="s">
        <v>74</v>
      </c>
      <c r="AL1073" s="16"/>
      <c r="AR1073" s="18" t="str">
        <f>IFERROR(VLOOKUP(K1073,[1]POP!$F:$J,1,0),M1073)</f>
        <v>MAKARY</v>
      </c>
      <c r="AS1073" s="18" t="str">
        <f t="shared" si="81"/>
        <v>WOULKY</v>
      </c>
      <c r="AT1073" s="19">
        <f t="shared" si="84"/>
        <v>2</v>
      </c>
      <c r="AU1073" s="19">
        <f t="shared" ca="1" si="83"/>
        <v>2</v>
      </c>
    </row>
    <row r="1074" spans="1:47" x14ac:dyDescent="0.3">
      <c r="A1074" t="s">
        <v>1545</v>
      </c>
      <c r="B1074" t="str">
        <f t="shared" si="80"/>
        <v>S31_2026</v>
      </c>
      <c r="C1074" t="str">
        <f t="shared" si="82"/>
        <v>S31_2026</v>
      </c>
      <c r="E1074" t="s">
        <v>1546</v>
      </c>
      <c r="F1074">
        <v>1.5</v>
      </c>
      <c r="G1074" t="s">
        <v>40</v>
      </c>
      <c r="H1074" t="s">
        <v>111</v>
      </c>
      <c r="I1074" t="s">
        <v>1008</v>
      </c>
      <c r="J1074" t="s">
        <v>1008</v>
      </c>
      <c r="K1074" t="s">
        <v>124</v>
      </c>
      <c r="L1074" t="s">
        <v>115</v>
      </c>
      <c r="M1074" t="s">
        <v>116</v>
      </c>
      <c r="N1074" t="s">
        <v>117</v>
      </c>
      <c r="O1074" t="s">
        <v>117</v>
      </c>
      <c r="P1074">
        <v>3</v>
      </c>
      <c r="Q1074" s="7">
        <v>46230</v>
      </c>
      <c r="R1074" s="7">
        <v>46231</v>
      </c>
      <c r="S1074" s="7">
        <v>46233</v>
      </c>
      <c r="T1074" t="s">
        <v>117</v>
      </c>
      <c r="V1074" t="s">
        <v>118</v>
      </c>
      <c r="W1074" t="s">
        <v>117</v>
      </c>
      <c r="X1074" t="s">
        <v>117</v>
      </c>
      <c r="Y1074" t="s">
        <v>117</v>
      </c>
      <c r="Z1074" t="s">
        <v>117</v>
      </c>
      <c r="AB1074" t="s">
        <v>48</v>
      </c>
      <c r="AC1074" t="s">
        <v>74</v>
      </c>
      <c r="AE1074" s="7">
        <v>46234</v>
      </c>
      <c r="AF1074">
        <v>2</v>
      </c>
      <c r="AH1074" t="s">
        <v>75</v>
      </c>
      <c r="AI1074">
        <v>1</v>
      </c>
      <c r="AJ1074" s="15"/>
      <c r="AK1074" t="s">
        <v>74</v>
      </c>
      <c r="AL1074" s="16"/>
      <c r="AR1074" s="18" t="str">
        <f>IFERROR(VLOOKUP(K1074,[1]POP!$F:$J,1,0),M1074)</f>
        <v>MAKARY</v>
      </c>
      <c r="AS1074" s="18" t="str">
        <f t="shared" si="81"/>
        <v>makary</v>
      </c>
      <c r="AT1074" s="19">
        <f t="shared" si="84"/>
        <v>2</v>
      </c>
      <c r="AU1074" s="19">
        <f t="shared" ca="1" si="83"/>
        <v>2</v>
      </c>
    </row>
    <row r="1075" spans="1:47" x14ac:dyDescent="0.3">
      <c r="A1075" t="s">
        <v>1547</v>
      </c>
      <c r="B1075" t="str">
        <f t="shared" si="80"/>
        <v>S31_2026</v>
      </c>
      <c r="C1075" t="str">
        <f t="shared" si="82"/>
        <v>S31_2026</v>
      </c>
      <c r="E1075" t="s">
        <v>1548</v>
      </c>
      <c r="F1075">
        <v>3</v>
      </c>
      <c r="G1075" t="s">
        <v>55</v>
      </c>
      <c r="H1075" t="s">
        <v>111</v>
      </c>
      <c r="I1075" t="s">
        <v>124</v>
      </c>
      <c r="J1075" t="s">
        <v>124</v>
      </c>
      <c r="K1075" t="s">
        <v>124</v>
      </c>
      <c r="L1075" t="s">
        <v>115</v>
      </c>
      <c r="M1075" t="s">
        <v>116</v>
      </c>
      <c r="N1075" t="s">
        <v>117</v>
      </c>
      <c r="O1075" t="s">
        <v>117</v>
      </c>
      <c r="P1075">
        <v>3</v>
      </c>
      <c r="Q1075" s="7">
        <v>46233</v>
      </c>
      <c r="R1075" s="7">
        <v>46233</v>
      </c>
      <c r="S1075" s="7">
        <v>46233</v>
      </c>
      <c r="T1075" t="s">
        <v>117</v>
      </c>
      <c r="V1075" t="s">
        <v>118</v>
      </c>
      <c r="W1075" t="s">
        <v>117</v>
      </c>
      <c r="X1075" t="s">
        <v>117</v>
      </c>
      <c r="Y1075" t="s">
        <v>117</v>
      </c>
      <c r="Z1075" t="s">
        <v>117</v>
      </c>
      <c r="AB1075" t="s">
        <v>48</v>
      </c>
      <c r="AC1075" t="s">
        <v>74</v>
      </c>
      <c r="AE1075" s="7">
        <v>46238</v>
      </c>
      <c r="AF1075">
        <v>2</v>
      </c>
      <c r="AH1075" t="s">
        <v>75</v>
      </c>
      <c r="AI1075">
        <v>1</v>
      </c>
      <c r="AJ1075" s="15"/>
      <c r="AK1075" t="s">
        <v>74</v>
      </c>
      <c r="AL1075" s="16"/>
      <c r="AR1075" s="18" t="str">
        <f>IFERROR(VLOOKUP(K1075,[1]POP!$F:$J,1,0),M1075)</f>
        <v>MAKARY</v>
      </c>
      <c r="AS1075" s="18" t="str">
        <f t="shared" si="81"/>
        <v>makary</v>
      </c>
      <c r="AT1075" s="19">
        <f t="shared" si="84"/>
        <v>2</v>
      </c>
      <c r="AU1075" s="19">
        <f t="shared" ca="1" si="83"/>
        <v>2</v>
      </c>
    </row>
    <row r="1076" spans="1:47" x14ac:dyDescent="0.3">
      <c r="A1076" t="s">
        <v>1549</v>
      </c>
      <c r="B1076" t="str">
        <f t="shared" si="80"/>
        <v>S31_2026</v>
      </c>
      <c r="C1076" t="str">
        <f t="shared" si="82"/>
        <v>S31_2026</v>
      </c>
      <c r="E1076" t="s">
        <v>1550</v>
      </c>
      <c r="F1076">
        <v>24</v>
      </c>
      <c r="G1076" t="s">
        <v>40</v>
      </c>
      <c r="H1076" t="s">
        <v>136</v>
      </c>
      <c r="I1076" t="s">
        <v>1551</v>
      </c>
      <c r="J1076" t="s">
        <v>1552</v>
      </c>
      <c r="K1076" t="s">
        <v>116</v>
      </c>
      <c r="L1076" t="s">
        <v>115</v>
      </c>
      <c r="M1076" t="s">
        <v>116</v>
      </c>
      <c r="N1076" t="s">
        <v>117</v>
      </c>
      <c r="O1076" t="s">
        <v>117</v>
      </c>
      <c r="P1076">
        <v>3</v>
      </c>
      <c r="Q1076" s="7">
        <v>46233</v>
      </c>
      <c r="R1076" s="7">
        <v>46234</v>
      </c>
      <c r="S1076" s="7">
        <v>46235</v>
      </c>
      <c r="T1076" t="s">
        <v>117</v>
      </c>
      <c r="V1076" t="s">
        <v>118</v>
      </c>
      <c r="W1076" t="s">
        <v>117</v>
      </c>
      <c r="X1076" t="s">
        <v>117</v>
      </c>
      <c r="Y1076" t="s">
        <v>117</v>
      </c>
      <c r="Z1076" t="s">
        <v>117</v>
      </c>
      <c r="AB1076" t="s">
        <v>48</v>
      </c>
      <c r="AC1076" t="s">
        <v>74</v>
      </c>
      <c r="AE1076" s="7">
        <v>46238</v>
      </c>
      <c r="AF1076">
        <v>2</v>
      </c>
      <c r="AH1076" t="s">
        <v>75</v>
      </c>
      <c r="AI1076">
        <v>1</v>
      </c>
      <c r="AJ1076" s="15"/>
      <c r="AK1076" t="s">
        <v>74</v>
      </c>
      <c r="AL1076" s="16"/>
      <c r="AR1076" s="18" t="str">
        <f>IFERROR(VLOOKUP(K1076,[1]POP!$F:$J,1,0),M1076)</f>
        <v>MAKARY</v>
      </c>
      <c r="AS1076" s="18" t="str">
        <f t="shared" si="81"/>
        <v>BOMBOYO</v>
      </c>
      <c r="AT1076" s="19">
        <f t="shared" si="84"/>
        <v>2</v>
      </c>
      <c r="AU1076" s="19">
        <f t="shared" ca="1" si="83"/>
        <v>2</v>
      </c>
    </row>
    <row r="1077" spans="1:47" x14ac:dyDescent="0.3">
      <c r="A1077" t="s">
        <v>1553</v>
      </c>
      <c r="B1077" t="str">
        <f t="shared" si="80"/>
        <v>S31_2026</v>
      </c>
      <c r="C1077" t="str">
        <f t="shared" si="82"/>
        <v>S31_2026</v>
      </c>
      <c r="E1077" t="s">
        <v>1542</v>
      </c>
      <c r="F1077">
        <v>2</v>
      </c>
      <c r="G1077" t="s">
        <v>40</v>
      </c>
      <c r="H1077" t="s">
        <v>111</v>
      </c>
      <c r="I1077" t="s">
        <v>269</v>
      </c>
      <c r="J1077" t="s">
        <v>123</v>
      </c>
      <c r="K1077" t="s">
        <v>124</v>
      </c>
      <c r="L1077" t="s">
        <v>115</v>
      </c>
      <c r="M1077" t="s">
        <v>116</v>
      </c>
      <c r="N1077" t="s">
        <v>117</v>
      </c>
      <c r="O1077" t="s">
        <v>117</v>
      </c>
      <c r="P1077">
        <v>3</v>
      </c>
      <c r="Q1077" s="7">
        <v>46232</v>
      </c>
      <c r="R1077" s="7">
        <v>46234</v>
      </c>
      <c r="S1077" s="7">
        <v>46235</v>
      </c>
      <c r="T1077" t="s">
        <v>117</v>
      </c>
      <c r="V1077" t="s">
        <v>118</v>
      </c>
      <c r="W1077" t="s">
        <v>117</v>
      </c>
      <c r="X1077" t="s">
        <v>117</v>
      </c>
      <c r="Y1077" t="s">
        <v>117</v>
      </c>
      <c r="Z1077" t="s">
        <v>117</v>
      </c>
      <c r="AB1077" t="s">
        <v>48</v>
      </c>
      <c r="AC1077" t="s">
        <v>74</v>
      </c>
      <c r="AE1077" s="7">
        <v>46238</v>
      </c>
      <c r="AF1077">
        <v>2</v>
      </c>
      <c r="AH1077" t="s">
        <v>75</v>
      </c>
      <c r="AI1077">
        <v>1</v>
      </c>
      <c r="AJ1077" s="15"/>
      <c r="AK1077" t="s">
        <v>74</v>
      </c>
      <c r="AL1077" s="16"/>
      <c r="AR1077" s="18" t="str">
        <f>IFERROR(VLOOKUP(K1077,[1]POP!$F:$J,1,0),M1077)</f>
        <v>MAKARY</v>
      </c>
      <c r="AS1077" s="18" t="str">
        <f t="shared" si="81"/>
        <v>makary</v>
      </c>
      <c r="AT1077" s="19">
        <f t="shared" si="84"/>
        <v>2</v>
      </c>
      <c r="AU1077" s="19">
        <f t="shared" ca="1" si="83"/>
        <v>2</v>
      </c>
    </row>
    <row r="1078" spans="1:47" x14ac:dyDescent="0.3">
      <c r="A1078" t="s">
        <v>1554</v>
      </c>
      <c r="B1078" t="str">
        <f t="shared" si="80"/>
        <v>S32_2026</v>
      </c>
      <c r="C1078" t="str">
        <f t="shared" si="82"/>
        <v>S31_2026</v>
      </c>
      <c r="E1078" t="s">
        <v>1555</v>
      </c>
      <c r="F1078">
        <v>70</v>
      </c>
      <c r="G1078" t="s">
        <v>40</v>
      </c>
      <c r="H1078" t="s">
        <v>136</v>
      </c>
      <c r="I1078" t="s">
        <v>1556</v>
      </c>
      <c r="J1078" t="s">
        <v>1008</v>
      </c>
      <c r="K1078" t="s">
        <v>124</v>
      </c>
      <c r="L1078" t="s">
        <v>115</v>
      </c>
      <c r="M1078" t="s">
        <v>116</v>
      </c>
      <c r="N1078" t="s">
        <v>117</v>
      </c>
      <c r="O1078" t="s">
        <v>117</v>
      </c>
      <c r="P1078">
        <v>2</v>
      </c>
      <c r="Q1078" s="7">
        <v>46234</v>
      </c>
      <c r="R1078" s="7">
        <v>46235</v>
      </c>
      <c r="S1078" s="7">
        <v>46237</v>
      </c>
      <c r="T1078" t="s">
        <v>117</v>
      </c>
      <c r="V1078" t="s">
        <v>118</v>
      </c>
      <c r="W1078" t="s">
        <v>117</v>
      </c>
      <c r="X1078" t="s">
        <v>117</v>
      </c>
      <c r="Y1078" t="s">
        <v>150</v>
      </c>
      <c r="Z1078" t="s">
        <v>117</v>
      </c>
      <c r="AC1078" t="s">
        <v>74</v>
      </c>
      <c r="AE1078" s="7">
        <v>46239</v>
      </c>
      <c r="AF1078">
        <v>2</v>
      </c>
      <c r="AH1078" t="s">
        <v>75</v>
      </c>
      <c r="AI1078">
        <v>1</v>
      </c>
      <c r="AJ1078" s="15"/>
      <c r="AK1078" t="s">
        <v>74</v>
      </c>
      <c r="AL1078" s="16"/>
      <c r="AR1078" s="18" t="str">
        <f>IFERROR(VLOOKUP(K1078,[1]POP!$F:$J,1,0),M1078)</f>
        <v>MAKARY</v>
      </c>
      <c r="AS1078" s="18" t="str">
        <f t="shared" si="81"/>
        <v>makary</v>
      </c>
      <c r="AT1078" s="19">
        <f t="shared" si="84"/>
        <v>2</v>
      </c>
      <c r="AU1078" s="19">
        <f t="shared" ca="1" si="83"/>
        <v>2</v>
      </c>
    </row>
    <row r="1079" spans="1:47" x14ac:dyDescent="0.3">
      <c r="A1079" t="s">
        <v>1557</v>
      </c>
      <c r="B1079" t="str">
        <f t="shared" si="80"/>
        <v>S32_2026</v>
      </c>
      <c r="C1079" t="str">
        <f t="shared" si="82"/>
        <v>S31_2026</v>
      </c>
      <c r="E1079" t="s">
        <v>1558</v>
      </c>
      <c r="F1079">
        <v>3</v>
      </c>
      <c r="G1079" t="s">
        <v>55</v>
      </c>
      <c r="H1079" t="s">
        <v>111</v>
      </c>
      <c r="I1079" t="s">
        <v>124</v>
      </c>
      <c r="J1079" t="s">
        <v>124</v>
      </c>
      <c r="K1079" t="s">
        <v>124</v>
      </c>
      <c r="L1079" t="s">
        <v>115</v>
      </c>
      <c r="M1079" t="s">
        <v>116</v>
      </c>
      <c r="N1079" t="s">
        <v>117</v>
      </c>
      <c r="O1079" t="s">
        <v>117</v>
      </c>
      <c r="P1079">
        <v>3</v>
      </c>
      <c r="Q1079" s="7">
        <v>46233</v>
      </c>
      <c r="R1079" s="7">
        <v>46236</v>
      </c>
      <c r="S1079" s="7">
        <v>46237</v>
      </c>
      <c r="T1079" t="s">
        <v>117</v>
      </c>
      <c r="V1079" t="s">
        <v>118</v>
      </c>
      <c r="W1079" t="s">
        <v>117</v>
      </c>
      <c r="X1079" t="s">
        <v>117</v>
      </c>
      <c r="Y1079" t="s">
        <v>117</v>
      </c>
      <c r="Z1079" t="s">
        <v>117</v>
      </c>
      <c r="AC1079" t="s">
        <v>74</v>
      </c>
      <c r="AE1079" s="7">
        <v>46239</v>
      </c>
      <c r="AF1079">
        <v>2</v>
      </c>
      <c r="AH1079" t="s">
        <v>75</v>
      </c>
      <c r="AI1079">
        <v>1</v>
      </c>
      <c r="AJ1079" s="15"/>
      <c r="AK1079" t="s">
        <v>74</v>
      </c>
      <c r="AL1079" s="16"/>
      <c r="AR1079" s="18" t="str">
        <f>IFERROR(VLOOKUP(K1079,[1]POP!$F:$J,1,0),M1079)</f>
        <v>MAKARY</v>
      </c>
      <c r="AS1079" s="18" t="str">
        <f t="shared" si="81"/>
        <v>makary</v>
      </c>
      <c r="AT1079" s="19">
        <f t="shared" si="84"/>
        <v>2</v>
      </c>
      <c r="AU1079" s="19">
        <f t="shared" ca="1" si="83"/>
        <v>2</v>
      </c>
    </row>
    <row r="1080" spans="1:47" x14ac:dyDescent="0.3">
      <c r="A1080" t="s">
        <v>1559</v>
      </c>
      <c r="B1080" t="str">
        <f t="shared" si="80"/>
        <v>S32_2026</v>
      </c>
      <c r="C1080" t="str">
        <f t="shared" si="82"/>
        <v>S31_2026</v>
      </c>
      <c r="E1080" t="s">
        <v>1560</v>
      </c>
      <c r="F1080">
        <v>1.5</v>
      </c>
      <c r="G1080" t="s">
        <v>55</v>
      </c>
      <c r="H1080" t="s">
        <v>111</v>
      </c>
      <c r="I1080" t="s">
        <v>1519</v>
      </c>
      <c r="J1080" t="s">
        <v>1520</v>
      </c>
      <c r="K1080" t="s">
        <v>116</v>
      </c>
      <c r="L1080" t="s">
        <v>115</v>
      </c>
      <c r="M1080" t="s">
        <v>116</v>
      </c>
      <c r="N1080" t="s">
        <v>117</v>
      </c>
      <c r="O1080" t="s">
        <v>117</v>
      </c>
      <c r="P1080">
        <v>3</v>
      </c>
      <c r="Q1080" s="7">
        <v>46234</v>
      </c>
      <c r="R1080" s="7">
        <v>46236</v>
      </c>
      <c r="S1080" s="7">
        <v>46237</v>
      </c>
      <c r="T1080" t="s">
        <v>117</v>
      </c>
      <c r="V1080" t="s">
        <v>118</v>
      </c>
      <c r="W1080" t="s">
        <v>117</v>
      </c>
      <c r="X1080" t="s">
        <v>117</v>
      </c>
      <c r="Y1080" t="s">
        <v>117</v>
      </c>
      <c r="Z1080" t="s">
        <v>117</v>
      </c>
      <c r="AC1080" t="s">
        <v>74</v>
      </c>
      <c r="AF1080">
        <v>2</v>
      </c>
      <c r="AH1080" t="s">
        <v>75</v>
      </c>
      <c r="AI1080">
        <v>1</v>
      </c>
      <c r="AJ1080" s="15"/>
      <c r="AK1080" t="s">
        <v>74</v>
      </c>
      <c r="AL1080" s="16"/>
      <c r="AR1080" s="18" t="str">
        <f>IFERROR(VLOOKUP(K1080,[1]POP!$F:$J,1,0),M1080)</f>
        <v>MAKARY</v>
      </c>
      <c r="AS1080" s="18" t="str">
        <f t="shared" si="81"/>
        <v>AMCHILGA</v>
      </c>
      <c r="AT1080" s="19">
        <f t="shared" si="84"/>
        <v>2</v>
      </c>
      <c r="AU1080" s="19">
        <f t="shared" ca="1" si="83"/>
        <v>2</v>
      </c>
    </row>
    <row r="1081" spans="1:47" x14ac:dyDescent="0.3">
      <c r="A1081" t="s">
        <v>1561</v>
      </c>
      <c r="B1081" t="str">
        <f t="shared" si="80"/>
        <v>S32_2026</v>
      </c>
      <c r="C1081" t="str">
        <f t="shared" si="82"/>
        <v>S31_2026</v>
      </c>
      <c r="E1081" t="s">
        <v>1562</v>
      </c>
      <c r="F1081">
        <v>1</v>
      </c>
      <c r="G1081" t="s">
        <v>40</v>
      </c>
      <c r="H1081" t="s">
        <v>111</v>
      </c>
      <c r="I1081" t="s">
        <v>1563</v>
      </c>
      <c r="J1081" t="s">
        <v>116</v>
      </c>
      <c r="K1081" t="s">
        <v>116</v>
      </c>
      <c r="L1081" t="s">
        <v>115</v>
      </c>
      <c r="M1081" t="s">
        <v>116</v>
      </c>
      <c r="N1081" t="s">
        <v>117</v>
      </c>
      <c r="O1081" t="s">
        <v>117</v>
      </c>
      <c r="P1081">
        <v>3</v>
      </c>
      <c r="Q1081" s="7">
        <v>46235</v>
      </c>
      <c r="R1081" s="7">
        <v>46237</v>
      </c>
      <c r="S1081" s="7">
        <v>46238</v>
      </c>
      <c r="T1081" t="s">
        <v>117</v>
      </c>
      <c r="V1081" t="s">
        <v>118</v>
      </c>
      <c r="W1081" t="s">
        <v>117</v>
      </c>
      <c r="X1081" t="s">
        <v>117</v>
      </c>
      <c r="Y1081" t="s">
        <v>117</v>
      </c>
      <c r="Z1081" t="s">
        <v>117</v>
      </c>
      <c r="AC1081" t="s">
        <v>74</v>
      </c>
      <c r="AF1081">
        <v>2</v>
      </c>
      <c r="AH1081" t="s">
        <v>75</v>
      </c>
      <c r="AI1081">
        <v>1</v>
      </c>
      <c r="AJ1081" s="15"/>
      <c r="AK1081" t="s">
        <v>74</v>
      </c>
      <c r="AL1081" s="16"/>
      <c r="AR1081" s="18" t="str">
        <f>IFERROR(VLOOKUP(K1081,[1]POP!$F:$J,1,0),M1081)</f>
        <v>MAKARY</v>
      </c>
      <c r="AS1081" s="18" t="str">
        <f t="shared" si="81"/>
        <v>MAKARY</v>
      </c>
      <c r="AT1081" s="19">
        <f t="shared" si="84"/>
        <v>2</v>
      </c>
      <c r="AU1081" s="19">
        <f t="shared" ca="1" si="83"/>
        <v>2</v>
      </c>
    </row>
    <row r="1082" spans="1:47" x14ac:dyDescent="0.3">
      <c r="A1082" t="s">
        <v>1564</v>
      </c>
      <c r="B1082" t="str">
        <f t="shared" si="80"/>
        <v>S32_2026</v>
      </c>
      <c r="C1082" t="str">
        <f t="shared" si="82"/>
        <v>S32_2026</v>
      </c>
      <c r="E1082" t="s">
        <v>1562</v>
      </c>
      <c r="F1082">
        <v>2</v>
      </c>
      <c r="G1082" t="s">
        <v>40</v>
      </c>
      <c r="H1082" t="s">
        <v>111</v>
      </c>
      <c r="I1082" t="s">
        <v>1563</v>
      </c>
      <c r="J1082" t="s">
        <v>116</v>
      </c>
      <c r="K1082" t="s">
        <v>116</v>
      </c>
      <c r="L1082" t="s">
        <v>115</v>
      </c>
      <c r="M1082" t="s">
        <v>116</v>
      </c>
      <c r="N1082" t="s">
        <v>117</v>
      </c>
      <c r="O1082" t="s">
        <v>117</v>
      </c>
      <c r="P1082">
        <v>2</v>
      </c>
      <c r="Q1082" s="7">
        <v>46237</v>
      </c>
      <c r="R1082" s="7">
        <v>46237</v>
      </c>
      <c r="S1082" s="7">
        <v>46238</v>
      </c>
      <c r="T1082" t="s">
        <v>117</v>
      </c>
      <c r="V1082" t="s">
        <v>118</v>
      </c>
      <c r="W1082" t="s">
        <v>117</v>
      </c>
      <c r="X1082" t="s">
        <v>117</v>
      </c>
      <c r="Y1082" t="s">
        <v>150</v>
      </c>
      <c r="Z1082" t="s">
        <v>117</v>
      </c>
      <c r="AC1082" t="s">
        <v>74</v>
      </c>
      <c r="AF1082">
        <v>2</v>
      </c>
      <c r="AH1082" t="s">
        <v>75</v>
      </c>
      <c r="AI1082">
        <v>1</v>
      </c>
      <c r="AJ1082" s="15"/>
      <c r="AK1082" t="s">
        <v>74</v>
      </c>
      <c r="AL1082" s="16"/>
      <c r="AR1082" s="18" t="str">
        <f>IFERROR(VLOOKUP(K1082,[1]POP!$F:$J,1,0),M1082)</f>
        <v>MAKARY</v>
      </c>
      <c r="AS1082" s="18" t="str">
        <f t="shared" si="81"/>
        <v>MAKARY</v>
      </c>
      <c r="AT1082" s="19">
        <f t="shared" si="84"/>
        <v>2</v>
      </c>
      <c r="AU1082" s="19">
        <f t="shared" ca="1" si="83"/>
        <v>2</v>
      </c>
    </row>
    <row r="1083" spans="1:47" x14ac:dyDescent="0.3">
      <c r="A1083" t="s">
        <v>1565</v>
      </c>
      <c r="B1083" t="str">
        <f t="shared" si="80"/>
        <v>S32_2026</v>
      </c>
      <c r="C1083" t="str">
        <f t="shared" si="82"/>
        <v>S32_2026</v>
      </c>
      <c r="E1083" t="s">
        <v>1566</v>
      </c>
      <c r="F1083">
        <v>62</v>
      </c>
      <c r="G1083" t="s">
        <v>55</v>
      </c>
      <c r="H1083" t="s">
        <v>70</v>
      </c>
      <c r="I1083" t="s">
        <v>1567</v>
      </c>
      <c r="J1083" t="s">
        <v>1568</v>
      </c>
      <c r="K1083" t="s">
        <v>1568</v>
      </c>
      <c r="L1083" t="s">
        <v>115</v>
      </c>
      <c r="M1083" t="s">
        <v>116</v>
      </c>
      <c r="N1083" t="s">
        <v>117</v>
      </c>
      <c r="O1083" t="s">
        <v>117</v>
      </c>
      <c r="P1083">
        <v>2</v>
      </c>
      <c r="Q1083" s="7">
        <v>46237</v>
      </c>
      <c r="R1083" s="7">
        <v>46239</v>
      </c>
      <c r="S1083" s="7">
        <v>46241</v>
      </c>
      <c r="T1083" t="s">
        <v>117</v>
      </c>
      <c r="V1083" t="s">
        <v>118</v>
      </c>
      <c r="W1083" t="s">
        <v>117</v>
      </c>
      <c r="X1083" t="s">
        <v>117</v>
      </c>
      <c r="Y1083" t="s">
        <v>150</v>
      </c>
      <c r="Z1083" t="s">
        <v>117</v>
      </c>
      <c r="AC1083" t="s">
        <v>74</v>
      </c>
      <c r="AE1083" s="7">
        <v>46244</v>
      </c>
      <c r="AF1083">
        <v>2</v>
      </c>
      <c r="AH1083" t="s">
        <v>75</v>
      </c>
      <c r="AI1083">
        <v>1</v>
      </c>
      <c r="AJ1083" s="15"/>
      <c r="AK1083" t="s">
        <v>74</v>
      </c>
      <c r="AL1083" s="16"/>
      <c r="AR1083" s="18" t="str">
        <f>IFERROR(VLOOKUP(K1083,[1]POP!$F:$J,1,0),M1083)</f>
        <v>MAKARY</v>
      </c>
      <c r="AS1083" s="18" t="str">
        <f t="shared" si="81"/>
        <v>makary</v>
      </c>
      <c r="AT1083" s="19">
        <f t="shared" si="84"/>
        <v>2</v>
      </c>
      <c r="AU1083" s="19">
        <f t="shared" ca="1" si="83"/>
        <v>2</v>
      </c>
    </row>
    <row r="1084" spans="1:47" x14ac:dyDescent="0.3">
      <c r="A1084" t="s">
        <v>1569</v>
      </c>
      <c r="B1084" t="str">
        <f t="shared" si="80"/>
        <v>S29_2026</v>
      </c>
      <c r="C1084" t="str">
        <f t="shared" si="82"/>
        <v>S28_2026</v>
      </c>
      <c r="F1084">
        <v>32</v>
      </c>
      <c r="G1084" t="s">
        <v>40</v>
      </c>
      <c r="H1084" t="s">
        <v>77</v>
      </c>
      <c r="I1084" t="s">
        <v>640</v>
      </c>
      <c r="J1084" t="s">
        <v>116</v>
      </c>
      <c r="K1084" t="s">
        <v>116</v>
      </c>
      <c r="L1084" t="s">
        <v>116</v>
      </c>
      <c r="M1084" t="s">
        <v>116</v>
      </c>
      <c r="N1084" t="s">
        <v>45</v>
      </c>
      <c r="O1084" t="s">
        <v>45</v>
      </c>
      <c r="P1084">
        <v>3</v>
      </c>
      <c r="Q1084" s="7">
        <v>46215</v>
      </c>
      <c r="R1084" s="7">
        <v>46216</v>
      </c>
      <c r="S1084" s="7">
        <v>46216</v>
      </c>
      <c r="T1084" t="s">
        <v>45</v>
      </c>
      <c r="V1084" t="s">
        <v>641</v>
      </c>
      <c r="W1084" t="s">
        <v>45</v>
      </c>
      <c r="X1084" t="s">
        <v>45</v>
      </c>
      <c r="Y1084" t="s">
        <v>45</v>
      </c>
      <c r="Z1084" t="s">
        <v>45</v>
      </c>
      <c r="AA1084" s="7">
        <v>46216</v>
      </c>
      <c r="AB1084" t="s">
        <v>48</v>
      </c>
      <c r="AC1084" t="s">
        <v>74</v>
      </c>
      <c r="AE1084" s="7">
        <v>46240</v>
      </c>
      <c r="AF1084">
        <v>2</v>
      </c>
      <c r="AH1084" t="s">
        <v>75</v>
      </c>
      <c r="AI1084">
        <v>1</v>
      </c>
      <c r="AJ1084" s="15"/>
      <c r="AK1084" t="s">
        <v>1570</v>
      </c>
      <c r="AL1084" s="16"/>
      <c r="AR1084" s="18" t="str">
        <f>IFERROR(VLOOKUP(K1084,[1]POP!$F:$J,1,0),M1084)</f>
        <v>MAKARY</v>
      </c>
      <c r="AS1084" s="18" t="str">
        <f t="shared" si="81"/>
        <v>MAKARY</v>
      </c>
      <c r="AT1084" s="19">
        <f t="shared" si="84"/>
        <v>2</v>
      </c>
      <c r="AU1084" s="19">
        <f t="shared" ca="1" si="83"/>
        <v>2</v>
      </c>
    </row>
    <row r="1085" spans="1:47" x14ac:dyDescent="0.3">
      <c r="A1085" t="s">
        <v>1571</v>
      </c>
      <c r="B1085" t="str">
        <f t="shared" si="80"/>
        <v>S31_2026</v>
      </c>
      <c r="C1085" t="str">
        <f t="shared" si="82"/>
        <v>S31_2026</v>
      </c>
      <c r="F1085">
        <v>30</v>
      </c>
      <c r="G1085" t="s">
        <v>55</v>
      </c>
      <c r="H1085" t="s">
        <v>70</v>
      </c>
      <c r="I1085" t="s">
        <v>640</v>
      </c>
      <c r="J1085" t="s">
        <v>116</v>
      </c>
      <c r="K1085" t="s">
        <v>116</v>
      </c>
      <c r="L1085" t="s">
        <v>116</v>
      </c>
      <c r="M1085" t="s">
        <v>116</v>
      </c>
      <c r="N1085" t="s">
        <v>45</v>
      </c>
      <c r="O1085" t="s">
        <v>45</v>
      </c>
      <c r="P1085">
        <v>2</v>
      </c>
      <c r="Q1085" s="7">
        <v>46232</v>
      </c>
      <c r="R1085" s="7">
        <v>46233</v>
      </c>
      <c r="S1085" s="7">
        <v>46233</v>
      </c>
      <c r="T1085" t="s">
        <v>45</v>
      </c>
      <c r="V1085" t="s">
        <v>641</v>
      </c>
      <c r="W1085" t="s">
        <v>45</v>
      </c>
      <c r="X1085" t="s">
        <v>45</v>
      </c>
      <c r="Y1085" t="s">
        <v>45</v>
      </c>
      <c r="Z1085" t="s">
        <v>45</v>
      </c>
      <c r="AA1085" s="7">
        <v>46233</v>
      </c>
      <c r="AB1085" t="s">
        <v>48</v>
      </c>
      <c r="AC1085" t="s">
        <v>74</v>
      </c>
      <c r="AE1085" s="7">
        <v>46240</v>
      </c>
      <c r="AF1085">
        <v>2</v>
      </c>
      <c r="AH1085" t="s">
        <v>75</v>
      </c>
      <c r="AI1085">
        <v>1</v>
      </c>
      <c r="AJ1085" s="15"/>
      <c r="AK1085" t="s">
        <v>1570</v>
      </c>
      <c r="AL1085" s="16"/>
      <c r="AR1085" s="18" t="str">
        <f>IFERROR(VLOOKUP(K1085,[1]POP!$F:$J,1,0),M1085)</f>
        <v>MAKARY</v>
      </c>
      <c r="AS1085" s="18" t="str">
        <f t="shared" si="81"/>
        <v>MAKARY</v>
      </c>
      <c r="AT1085" s="19">
        <f t="shared" si="84"/>
        <v>2</v>
      </c>
      <c r="AU1085" s="19">
        <f t="shared" ca="1" si="83"/>
        <v>2</v>
      </c>
    </row>
    <row r="1086" spans="1:47" x14ac:dyDescent="0.3">
      <c r="A1086" t="s">
        <v>1572</v>
      </c>
      <c r="B1086" t="str">
        <f t="shared" si="80"/>
        <v>S31_2026</v>
      </c>
      <c r="C1086" t="str">
        <f t="shared" si="82"/>
        <v>S31_2026</v>
      </c>
      <c r="F1086">
        <v>24</v>
      </c>
      <c r="G1086" t="s">
        <v>40</v>
      </c>
      <c r="H1086" t="s">
        <v>1573</v>
      </c>
      <c r="I1086" t="s">
        <v>640</v>
      </c>
      <c r="J1086" t="s">
        <v>116</v>
      </c>
      <c r="K1086" t="s">
        <v>116</v>
      </c>
      <c r="L1086" t="s">
        <v>116</v>
      </c>
      <c r="M1086" t="s">
        <v>116</v>
      </c>
      <c r="N1086" t="s">
        <v>45</v>
      </c>
      <c r="O1086" t="s">
        <v>45</v>
      </c>
      <c r="P1086">
        <v>2</v>
      </c>
      <c r="Q1086" s="7">
        <v>46232</v>
      </c>
      <c r="R1086" s="7">
        <v>46233</v>
      </c>
      <c r="S1086" s="7">
        <v>46233</v>
      </c>
      <c r="T1086" t="s">
        <v>45</v>
      </c>
      <c r="V1086" t="s">
        <v>641</v>
      </c>
      <c r="W1086" t="s">
        <v>45</v>
      </c>
      <c r="X1086" t="s">
        <v>45</v>
      </c>
      <c r="Y1086" t="s">
        <v>45</v>
      </c>
      <c r="Z1086" t="s">
        <v>45</v>
      </c>
      <c r="AB1086" t="s">
        <v>48</v>
      </c>
      <c r="AC1086" t="s">
        <v>74</v>
      </c>
      <c r="AE1086" s="7">
        <v>46240</v>
      </c>
      <c r="AF1086">
        <v>2</v>
      </c>
      <c r="AH1086" t="s">
        <v>75</v>
      </c>
      <c r="AI1086">
        <v>1</v>
      </c>
      <c r="AJ1086" s="15"/>
      <c r="AK1086" t="s">
        <v>1570</v>
      </c>
      <c r="AL1086" s="16"/>
      <c r="AR1086" s="18" t="str">
        <f>IFERROR(VLOOKUP(K1086,[1]POP!$F:$J,1,0),M1086)</f>
        <v>MAKARY</v>
      </c>
      <c r="AS1086" s="18" t="str">
        <f t="shared" si="81"/>
        <v>MAKARY</v>
      </c>
      <c r="AT1086" s="19">
        <f t="shared" si="84"/>
        <v>2</v>
      </c>
      <c r="AU1086" s="19">
        <f t="shared" ca="1" si="83"/>
        <v>2</v>
      </c>
    </row>
    <row r="1087" spans="1:47" x14ac:dyDescent="0.3">
      <c r="A1087" t="s">
        <v>1574</v>
      </c>
      <c r="B1087" t="str">
        <f t="shared" si="80"/>
        <v>S31_2026</v>
      </c>
      <c r="C1087" t="str">
        <f t="shared" si="82"/>
        <v>S31_2026</v>
      </c>
      <c r="F1087">
        <v>25</v>
      </c>
      <c r="G1087" t="s">
        <v>55</v>
      </c>
      <c r="H1087" t="s">
        <v>70</v>
      </c>
      <c r="I1087" t="s">
        <v>640</v>
      </c>
      <c r="J1087" t="s">
        <v>116</v>
      </c>
      <c r="K1087" t="s">
        <v>116</v>
      </c>
      <c r="L1087" t="s">
        <v>116</v>
      </c>
      <c r="M1087" t="s">
        <v>116</v>
      </c>
      <c r="N1087" t="s">
        <v>45</v>
      </c>
      <c r="O1087" t="s">
        <v>45</v>
      </c>
      <c r="P1087">
        <v>2</v>
      </c>
      <c r="Q1087" s="7">
        <v>46232</v>
      </c>
      <c r="R1087" s="7">
        <v>46233</v>
      </c>
      <c r="S1087" s="7">
        <v>46233</v>
      </c>
      <c r="T1087" t="s">
        <v>45</v>
      </c>
      <c r="V1087" t="s">
        <v>641</v>
      </c>
      <c r="W1087" t="s">
        <v>45</v>
      </c>
      <c r="X1087" t="s">
        <v>45</v>
      </c>
      <c r="Y1087" t="s">
        <v>45</v>
      </c>
      <c r="Z1087" t="s">
        <v>45</v>
      </c>
      <c r="AC1087" t="s">
        <v>74</v>
      </c>
      <c r="AE1087" s="7">
        <v>46240</v>
      </c>
      <c r="AF1087">
        <v>2</v>
      </c>
      <c r="AH1087" t="s">
        <v>75</v>
      </c>
      <c r="AI1087">
        <v>1</v>
      </c>
      <c r="AJ1087" s="15"/>
      <c r="AK1087" t="s">
        <v>1570</v>
      </c>
      <c r="AL1087" s="16"/>
      <c r="AR1087" s="18" t="str">
        <f>IFERROR(VLOOKUP(K1087,[1]POP!$F:$J,1,0),M1087)</f>
        <v>MAKARY</v>
      </c>
      <c r="AS1087" s="18" t="str">
        <f t="shared" si="81"/>
        <v>MAKARY</v>
      </c>
      <c r="AT1087" s="19">
        <f t="shared" si="84"/>
        <v>2</v>
      </c>
      <c r="AU1087" s="19">
        <f t="shared" ca="1" si="83"/>
        <v>2</v>
      </c>
    </row>
    <row r="1088" spans="1:47" x14ac:dyDescent="0.3">
      <c r="A1088" t="s">
        <v>1575</v>
      </c>
      <c r="B1088" t="str">
        <f t="shared" si="80"/>
        <v>S31_2026</v>
      </c>
      <c r="C1088" t="str">
        <f t="shared" si="82"/>
        <v>S31_2026</v>
      </c>
      <c r="F1088">
        <v>25</v>
      </c>
      <c r="G1088" t="s">
        <v>55</v>
      </c>
      <c r="H1088" t="s">
        <v>70</v>
      </c>
      <c r="I1088" t="s">
        <v>640</v>
      </c>
      <c r="J1088" t="s">
        <v>116</v>
      </c>
      <c r="K1088" t="s">
        <v>116</v>
      </c>
      <c r="L1088" t="s">
        <v>116</v>
      </c>
      <c r="M1088" t="s">
        <v>116</v>
      </c>
      <c r="N1088" t="s">
        <v>45</v>
      </c>
      <c r="O1088" t="s">
        <v>45</v>
      </c>
      <c r="P1088">
        <v>2</v>
      </c>
      <c r="Q1088" s="7">
        <v>46232</v>
      </c>
      <c r="R1088" s="7">
        <v>46233</v>
      </c>
      <c r="S1088" s="7">
        <v>46233</v>
      </c>
      <c r="T1088" t="s">
        <v>45</v>
      </c>
      <c r="V1088" t="s">
        <v>641</v>
      </c>
      <c r="W1088" t="s">
        <v>45</v>
      </c>
      <c r="X1088" t="s">
        <v>45</v>
      </c>
      <c r="Y1088" t="s">
        <v>45</v>
      </c>
      <c r="Z1088" t="s">
        <v>45</v>
      </c>
      <c r="AC1088" t="s">
        <v>74</v>
      </c>
      <c r="AE1088" s="7">
        <v>46240</v>
      </c>
      <c r="AF1088">
        <v>2</v>
      </c>
      <c r="AH1088" t="s">
        <v>75</v>
      </c>
      <c r="AI1088">
        <v>1</v>
      </c>
      <c r="AJ1088" s="15"/>
      <c r="AK1088" t="s">
        <v>1570</v>
      </c>
      <c r="AL1088" s="16"/>
      <c r="AR1088" s="18" t="str">
        <f>IFERROR(VLOOKUP(K1088,[1]POP!$F:$J,1,0),M1088)</f>
        <v>MAKARY</v>
      </c>
      <c r="AS1088" s="18" t="str">
        <f t="shared" si="81"/>
        <v>MAKARY</v>
      </c>
      <c r="AT1088" s="19">
        <f t="shared" si="84"/>
        <v>2</v>
      </c>
      <c r="AU1088" s="19">
        <f t="shared" ca="1" si="83"/>
        <v>2</v>
      </c>
    </row>
    <row r="1089" spans="1:47" x14ac:dyDescent="0.3">
      <c r="A1089" t="s">
        <v>1576</v>
      </c>
      <c r="B1089" t="str">
        <f t="shared" si="80"/>
        <v>S31_2026</v>
      </c>
      <c r="C1089" t="str">
        <f t="shared" si="82"/>
        <v>S31_2026</v>
      </c>
      <c r="F1089">
        <v>30</v>
      </c>
      <c r="G1089" t="s">
        <v>40</v>
      </c>
      <c r="H1089" t="s">
        <v>77</v>
      </c>
      <c r="I1089" t="s">
        <v>640</v>
      </c>
      <c r="J1089" t="s">
        <v>116</v>
      </c>
      <c r="K1089" t="s">
        <v>116</v>
      </c>
      <c r="L1089" t="s">
        <v>116</v>
      </c>
      <c r="M1089" t="s">
        <v>116</v>
      </c>
      <c r="N1089" t="s">
        <v>45</v>
      </c>
      <c r="O1089" t="s">
        <v>45</v>
      </c>
      <c r="P1089">
        <v>2</v>
      </c>
      <c r="Q1089" s="7">
        <v>46232</v>
      </c>
      <c r="R1089" s="7">
        <v>46233</v>
      </c>
      <c r="S1089" s="7">
        <v>46233</v>
      </c>
      <c r="T1089" t="s">
        <v>45</v>
      </c>
      <c r="V1089" t="s">
        <v>641</v>
      </c>
      <c r="W1089" t="s">
        <v>45</v>
      </c>
      <c r="X1089" t="s">
        <v>45</v>
      </c>
      <c r="Y1089" t="s">
        <v>45</v>
      </c>
      <c r="Z1089" t="s">
        <v>45</v>
      </c>
      <c r="AC1089" t="s">
        <v>74</v>
      </c>
      <c r="AE1089" s="7">
        <v>46240</v>
      </c>
      <c r="AF1089">
        <v>2</v>
      </c>
      <c r="AH1089" t="s">
        <v>75</v>
      </c>
      <c r="AI1089">
        <v>1</v>
      </c>
      <c r="AJ1089" s="15"/>
      <c r="AK1089" t="s">
        <v>1570</v>
      </c>
      <c r="AL1089" s="16"/>
      <c r="AR1089" s="18" t="str">
        <f>IFERROR(VLOOKUP(K1089,[1]POP!$F:$J,1,0),M1089)</f>
        <v>MAKARY</v>
      </c>
      <c r="AS1089" s="18" t="str">
        <f t="shared" si="81"/>
        <v>MAKARY</v>
      </c>
      <c r="AT1089" s="19">
        <f t="shared" si="84"/>
        <v>2</v>
      </c>
      <c r="AU1089" s="19">
        <f t="shared" ca="1" si="83"/>
        <v>2</v>
      </c>
    </row>
    <row r="1090" spans="1:47" x14ac:dyDescent="0.3">
      <c r="A1090" t="s">
        <v>1577</v>
      </c>
      <c r="B1090" t="str">
        <f t="shared" ref="B1090:B1153" si="85">"S"&amp;(IF(_xlfn.ISOWEEKNUM(S1090)&gt;9,_xlfn.ISOWEEKNUM(S1090),_xlfn.CONCAT("0",_xlfn.ISOWEEKNUM(S1090))))&amp;"_"&amp;(YEAR(S1090+26-(_xlfn.ISOWEEKNUM(S1090))))</f>
        <v>S31_2026</v>
      </c>
      <c r="C1090" t="str">
        <f t="shared" si="82"/>
        <v>S31_2026</v>
      </c>
      <c r="F1090">
        <v>25</v>
      </c>
      <c r="G1090" t="s">
        <v>40</v>
      </c>
      <c r="H1090" t="s">
        <v>77</v>
      </c>
      <c r="I1090" t="s">
        <v>640</v>
      </c>
      <c r="J1090" t="s">
        <v>116</v>
      </c>
      <c r="K1090" t="s">
        <v>116</v>
      </c>
      <c r="L1090" t="s">
        <v>116</v>
      </c>
      <c r="M1090" t="s">
        <v>116</v>
      </c>
      <c r="N1090" t="s">
        <v>45</v>
      </c>
      <c r="O1090" t="s">
        <v>45</v>
      </c>
      <c r="P1090">
        <v>2</v>
      </c>
      <c r="Q1090" s="7">
        <v>46232</v>
      </c>
      <c r="R1090" s="7">
        <v>46233</v>
      </c>
      <c r="S1090" s="7">
        <v>46233</v>
      </c>
      <c r="T1090" t="s">
        <v>45</v>
      </c>
      <c r="V1090" t="s">
        <v>641</v>
      </c>
      <c r="W1090" t="s">
        <v>45</v>
      </c>
      <c r="X1090" t="s">
        <v>45</v>
      </c>
      <c r="Y1090" t="s">
        <v>45</v>
      </c>
      <c r="Z1090" t="s">
        <v>45</v>
      </c>
      <c r="AC1090" t="s">
        <v>74</v>
      </c>
      <c r="AF1090">
        <v>2</v>
      </c>
      <c r="AH1090" t="s">
        <v>75</v>
      </c>
      <c r="AI1090">
        <v>1</v>
      </c>
      <c r="AJ1090" s="15"/>
      <c r="AK1090" t="s">
        <v>1570</v>
      </c>
      <c r="AL1090" s="16"/>
      <c r="AR1090" s="18" t="str">
        <f>IFERROR(VLOOKUP(K1090,[1]POP!$F:$J,1,0),M1090)</f>
        <v>MAKARY</v>
      </c>
      <c r="AS1090" s="18" t="str">
        <f t="shared" ref="AS1090:AS1153" si="86">IF(AR1090=K1090,J1090,L1090)</f>
        <v>MAKARY</v>
      </c>
      <c r="AT1090" s="19">
        <f t="shared" si="84"/>
        <v>2</v>
      </c>
      <c r="AU1090" s="19">
        <f t="shared" ca="1" si="83"/>
        <v>2</v>
      </c>
    </row>
    <row r="1091" spans="1:47" x14ac:dyDescent="0.3">
      <c r="A1091" t="s">
        <v>1578</v>
      </c>
      <c r="B1091" t="str">
        <f t="shared" si="85"/>
        <v>S32_2026</v>
      </c>
      <c r="C1091" t="str">
        <f t="shared" ref="C1091:C1154" si="87">"S"&amp;(IF(_xlfn.ISOWEEKNUM(Q1091)&gt;9,_xlfn.ISOWEEKNUM(Q1091),_xlfn.CONCAT("0",_xlfn.ISOWEEKNUM(Q1091))))&amp;"_"&amp;(YEAR(Q1091+26-(_xlfn.ISOWEEKNUM(Q1091))))</f>
        <v>S32_2026</v>
      </c>
      <c r="E1091" t="s">
        <v>1534</v>
      </c>
      <c r="F1091">
        <v>10</v>
      </c>
      <c r="G1091" t="s">
        <v>40</v>
      </c>
      <c r="H1091" t="s">
        <v>85</v>
      </c>
      <c r="I1091" t="s">
        <v>1579</v>
      </c>
      <c r="J1091" t="s">
        <v>133</v>
      </c>
      <c r="K1091" t="s">
        <v>116</v>
      </c>
      <c r="L1091" t="s">
        <v>133</v>
      </c>
      <c r="M1091" t="s">
        <v>116</v>
      </c>
      <c r="N1091" t="s">
        <v>45</v>
      </c>
      <c r="O1091" t="s">
        <v>45</v>
      </c>
      <c r="P1091">
        <v>3</v>
      </c>
      <c r="Q1091" s="7">
        <v>46239</v>
      </c>
      <c r="R1091" s="7">
        <v>46240</v>
      </c>
      <c r="S1091" s="7">
        <v>46241</v>
      </c>
      <c r="T1091" t="s">
        <v>45</v>
      </c>
      <c r="V1091" t="s">
        <v>360</v>
      </c>
      <c r="W1091" t="s">
        <v>74</v>
      </c>
      <c r="X1091" t="s">
        <v>45</v>
      </c>
      <c r="Y1091" t="s">
        <v>45</v>
      </c>
      <c r="Z1091" t="s">
        <v>74</v>
      </c>
      <c r="AF1091">
        <v>3</v>
      </c>
      <c r="AH1091" t="s">
        <v>75</v>
      </c>
      <c r="AI1091">
        <v>2</v>
      </c>
      <c r="AJ1091" s="15"/>
      <c r="AL1091" s="16"/>
      <c r="AR1091" s="18" t="str">
        <f>IFERROR(VLOOKUP(K1091,[1]POP!$F:$J,1,0),M1091)</f>
        <v>MAKARY</v>
      </c>
      <c r="AS1091" s="18" t="str">
        <f t="shared" si="86"/>
        <v>NGOUMA</v>
      </c>
      <c r="AT1091" s="19">
        <f t="shared" si="84"/>
        <v>3</v>
      </c>
      <c r="AU1091" s="19">
        <f t="shared" ref="AU1091:AU1154" ca="1" si="88">IF((TODAY() - R1091)&lt;=21,1,2)</f>
        <v>2</v>
      </c>
    </row>
    <row r="1092" spans="1:47" x14ac:dyDescent="0.3">
      <c r="A1092" t="s">
        <v>1580</v>
      </c>
      <c r="B1092" t="str">
        <f t="shared" si="85"/>
        <v>S31_2026</v>
      </c>
      <c r="C1092" t="str">
        <f t="shared" si="87"/>
        <v>S31_2026</v>
      </c>
      <c r="F1092">
        <v>20</v>
      </c>
      <c r="G1092" t="s">
        <v>40</v>
      </c>
      <c r="H1092" t="s">
        <v>77</v>
      </c>
      <c r="I1092" t="s">
        <v>1581</v>
      </c>
      <c r="J1092" t="s">
        <v>746</v>
      </c>
      <c r="K1092" t="s">
        <v>746</v>
      </c>
      <c r="L1092" t="s">
        <v>746</v>
      </c>
      <c r="M1092" t="s">
        <v>746</v>
      </c>
      <c r="N1092" t="s">
        <v>45</v>
      </c>
      <c r="O1092" t="s">
        <v>45</v>
      </c>
      <c r="P1092">
        <v>1</v>
      </c>
      <c r="Q1092" s="7">
        <v>46235</v>
      </c>
      <c r="R1092" s="7">
        <v>46235</v>
      </c>
      <c r="S1092" s="7">
        <v>46235</v>
      </c>
      <c r="T1092" t="s">
        <v>45</v>
      </c>
      <c r="V1092" t="s">
        <v>852</v>
      </c>
      <c r="W1092" t="s">
        <v>45</v>
      </c>
      <c r="X1092" t="s">
        <v>45</v>
      </c>
      <c r="Y1092" t="s">
        <v>45</v>
      </c>
      <c r="Z1092" t="s">
        <v>45</v>
      </c>
      <c r="AA1092" s="7">
        <v>46235</v>
      </c>
      <c r="AB1092" t="s">
        <v>62</v>
      </c>
      <c r="AE1092" s="7">
        <v>46237</v>
      </c>
      <c r="AF1092">
        <v>2</v>
      </c>
      <c r="AH1092" t="s">
        <v>75</v>
      </c>
      <c r="AI1092">
        <v>1</v>
      </c>
      <c r="AJ1092" s="15"/>
      <c r="AK1092" t="s">
        <v>74</v>
      </c>
      <c r="AL1092" s="16"/>
      <c r="AR1092" s="18" t="str">
        <f>IFERROR(VLOOKUP(K1092,[1]POP!$F:$J,1,0),M1092)</f>
        <v>MORA</v>
      </c>
      <c r="AS1092" s="18" t="str">
        <f t="shared" si="86"/>
        <v>MORA</v>
      </c>
      <c r="AT1092" s="19">
        <f t="shared" ref="AT1092:AT1155" si="89">IF($AI:$AI=2,3,IF($AI:$AI=3,3,IF($AI:$AI=4,3,IF($AI:$AI=1,2,0))))</f>
        <v>2</v>
      </c>
      <c r="AU1092" s="19">
        <f t="shared" ca="1" si="88"/>
        <v>2</v>
      </c>
    </row>
    <row r="1093" spans="1:47" x14ac:dyDescent="0.3">
      <c r="A1093" t="s">
        <v>1582</v>
      </c>
      <c r="B1093" t="str">
        <f t="shared" si="85"/>
        <v>S31_2026</v>
      </c>
      <c r="C1093" t="str">
        <f t="shared" si="87"/>
        <v>S31_2026</v>
      </c>
      <c r="F1093">
        <v>24</v>
      </c>
      <c r="G1093" t="s">
        <v>40</v>
      </c>
      <c r="H1093" t="s">
        <v>77</v>
      </c>
      <c r="I1093" t="s">
        <v>1355</v>
      </c>
      <c r="J1093" t="s">
        <v>1355</v>
      </c>
      <c r="K1093" t="s">
        <v>746</v>
      </c>
      <c r="L1093" t="s">
        <v>746</v>
      </c>
      <c r="M1093" t="s">
        <v>746</v>
      </c>
      <c r="N1093" t="s">
        <v>45</v>
      </c>
      <c r="O1093" t="s">
        <v>45</v>
      </c>
      <c r="P1093">
        <v>3</v>
      </c>
      <c r="Q1093" s="7">
        <v>46235</v>
      </c>
      <c r="R1093" s="7">
        <v>46235</v>
      </c>
      <c r="S1093" s="7">
        <v>46235</v>
      </c>
      <c r="T1093" t="s">
        <v>45</v>
      </c>
      <c r="V1093" t="s">
        <v>852</v>
      </c>
      <c r="W1093" t="s">
        <v>45</v>
      </c>
      <c r="X1093" t="s">
        <v>45</v>
      </c>
      <c r="Y1093" t="s">
        <v>45</v>
      </c>
      <c r="Z1093" t="s">
        <v>45</v>
      </c>
      <c r="AA1093" s="7">
        <v>46235</v>
      </c>
      <c r="AB1093" t="s">
        <v>48</v>
      </c>
      <c r="AE1093" s="7">
        <v>46237</v>
      </c>
      <c r="AF1093">
        <v>2</v>
      </c>
      <c r="AH1093" t="s">
        <v>75</v>
      </c>
      <c r="AI1093">
        <v>1</v>
      </c>
      <c r="AJ1093" s="15"/>
      <c r="AK1093" t="s">
        <v>74</v>
      </c>
      <c r="AL1093" s="16"/>
      <c r="AR1093" s="18" t="str">
        <f>IFERROR(VLOOKUP(K1093,[1]POP!$F:$J,1,0),M1093)</f>
        <v>MORA</v>
      </c>
      <c r="AS1093" s="18" t="str">
        <f t="shared" si="86"/>
        <v>AISSA HARDE</v>
      </c>
      <c r="AT1093" s="19">
        <f t="shared" si="89"/>
        <v>2</v>
      </c>
      <c r="AU1093" s="19">
        <f t="shared" ca="1" si="88"/>
        <v>2</v>
      </c>
    </row>
    <row r="1094" spans="1:47" x14ac:dyDescent="0.3">
      <c r="A1094" t="s">
        <v>1583</v>
      </c>
      <c r="B1094" t="str">
        <f t="shared" si="85"/>
        <v>S31_2026</v>
      </c>
      <c r="C1094" t="str">
        <f t="shared" si="87"/>
        <v>S31_2026</v>
      </c>
      <c r="F1094">
        <v>4</v>
      </c>
      <c r="G1094" t="s">
        <v>40</v>
      </c>
      <c r="H1094" t="s">
        <v>85</v>
      </c>
      <c r="I1094" t="s">
        <v>1584</v>
      </c>
      <c r="J1094" t="s">
        <v>746</v>
      </c>
      <c r="K1094" t="s">
        <v>746</v>
      </c>
      <c r="L1094" t="s">
        <v>746</v>
      </c>
      <c r="M1094" t="s">
        <v>746</v>
      </c>
      <c r="N1094" t="s">
        <v>45</v>
      </c>
      <c r="O1094" t="s">
        <v>45</v>
      </c>
      <c r="P1094">
        <v>1</v>
      </c>
      <c r="Q1094" s="7">
        <v>46236</v>
      </c>
      <c r="R1094" s="7">
        <v>46236</v>
      </c>
      <c r="S1094" s="7">
        <v>46236</v>
      </c>
      <c r="T1094" t="s">
        <v>45</v>
      </c>
      <c r="V1094" t="s">
        <v>852</v>
      </c>
      <c r="W1094" t="s">
        <v>45</v>
      </c>
      <c r="X1094" t="s">
        <v>45</v>
      </c>
      <c r="Y1094" t="s">
        <v>74</v>
      </c>
      <c r="Z1094" t="s">
        <v>45</v>
      </c>
      <c r="AA1094" s="7">
        <v>46236</v>
      </c>
      <c r="AB1094" t="s">
        <v>62</v>
      </c>
      <c r="AE1094" s="7">
        <v>46239</v>
      </c>
      <c r="AF1094">
        <v>2</v>
      </c>
      <c r="AH1094" t="s">
        <v>75</v>
      </c>
      <c r="AI1094">
        <v>1</v>
      </c>
      <c r="AJ1094" s="15"/>
      <c r="AK1094" t="s">
        <v>74</v>
      </c>
      <c r="AL1094" s="16"/>
      <c r="AR1094" s="18" t="str">
        <f>IFERROR(VLOOKUP(K1094,[1]POP!$F:$J,1,0),M1094)</f>
        <v>MORA</v>
      </c>
      <c r="AS1094" s="18" t="str">
        <f t="shared" si="86"/>
        <v>MORA</v>
      </c>
      <c r="AT1094" s="19">
        <f t="shared" si="89"/>
        <v>2</v>
      </c>
      <c r="AU1094" s="19">
        <f t="shared" ca="1" si="88"/>
        <v>2</v>
      </c>
    </row>
    <row r="1095" spans="1:47" x14ac:dyDescent="0.3">
      <c r="A1095" t="s">
        <v>1585</v>
      </c>
      <c r="B1095" t="str">
        <f t="shared" si="85"/>
        <v>S31_2026</v>
      </c>
      <c r="C1095" t="str">
        <f t="shared" si="87"/>
        <v>S31_2026</v>
      </c>
      <c r="F1095">
        <v>2</v>
      </c>
      <c r="G1095" t="s">
        <v>55</v>
      </c>
      <c r="H1095" t="s">
        <v>85</v>
      </c>
      <c r="I1095" t="s">
        <v>1586</v>
      </c>
      <c r="J1095" t="s">
        <v>746</v>
      </c>
      <c r="K1095" t="s">
        <v>746</v>
      </c>
      <c r="L1095" t="s">
        <v>746</v>
      </c>
      <c r="M1095" t="s">
        <v>746</v>
      </c>
      <c r="N1095" t="s">
        <v>45</v>
      </c>
      <c r="O1095" t="s">
        <v>45</v>
      </c>
      <c r="P1095">
        <v>1</v>
      </c>
      <c r="Q1095" s="7">
        <v>46236</v>
      </c>
      <c r="R1095" s="7">
        <v>46236</v>
      </c>
      <c r="S1095" s="7">
        <v>46236</v>
      </c>
      <c r="T1095" t="s">
        <v>45</v>
      </c>
      <c r="V1095" t="s">
        <v>852</v>
      </c>
      <c r="W1095" t="s">
        <v>45</v>
      </c>
      <c r="X1095" t="s">
        <v>45</v>
      </c>
      <c r="Y1095" t="s">
        <v>74</v>
      </c>
      <c r="Z1095" t="s">
        <v>45</v>
      </c>
      <c r="AA1095" s="7">
        <v>46236</v>
      </c>
      <c r="AB1095" t="s">
        <v>62</v>
      </c>
      <c r="AE1095" s="7">
        <v>46239</v>
      </c>
      <c r="AF1095">
        <v>2</v>
      </c>
      <c r="AH1095" t="s">
        <v>75</v>
      </c>
      <c r="AI1095">
        <v>1</v>
      </c>
      <c r="AJ1095" s="15"/>
      <c r="AK1095" t="s">
        <v>74</v>
      </c>
      <c r="AL1095" s="16"/>
      <c r="AR1095" s="18" t="str">
        <f>IFERROR(VLOOKUP(K1095,[1]POP!$F:$J,1,0),M1095)</f>
        <v>MORA</v>
      </c>
      <c r="AS1095" s="18" t="str">
        <f t="shared" si="86"/>
        <v>MORA</v>
      </c>
      <c r="AT1095" s="19">
        <f t="shared" si="89"/>
        <v>2</v>
      </c>
      <c r="AU1095" s="19">
        <f t="shared" ca="1" si="88"/>
        <v>2</v>
      </c>
    </row>
    <row r="1096" spans="1:47" x14ac:dyDescent="0.3">
      <c r="A1096" t="s">
        <v>1587</v>
      </c>
      <c r="B1096" t="str">
        <f t="shared" si="85"/>
        <v>S31_2026</v>
      </c>
      <c r="C1096" t="str">
        <f t="shared" si="87"/>
        <v>S31_2026</v>
      </c>
      <c r="F1096">
        <v>2</v>
      </c>
      <c r="G1096" t="s">
        <v>55</v>
      </c>
      <c r="H1096" t="s">
        <v>85</v>
      </c>
      <c r="I1096" t="s">
        <v>1586</v>
      </c>
      <c r="J1096" t="s">
        <v>746</v>
      </c>
      <c r="K1096" t="s">
        <v>746</v>
      </c>
      <c r="L1096" t="s">
        <v>746</v>
      </c>
      <c r="M1096" t="s">
        <v>746</v>
      </c>
      <c r="N1096" t="s">
        <v>45</v>
      </c>
      <c r="O1096" t="s">
        <v>45</v>
      </c>
      <c r="P1096">
        <v>1</v>
      </c>
      <c r="Q1096" s="7">
        <v>46236</v>
      </c>
      <c r="R1096" s="7">
        <v>46236</v>
      </c>
      <c r="S1096" s="7">
        <v>46236</v>
      </c>
      <c r="T1096" t="s">
        <v>45</v>
      </c>
      <c r="V1096" t="s">
        <v>852</v>
      </c>
      <c r="W1096" t="s">
        <v>45</v>
      </c>
      <c r="X1096" t="s">
        <v>45</v>
      </c>
      <c r="Y1096" t="s">
        <v>74</v>
      </c>
      <c r="Z1096" t="s">
        <v>45</v>
      </c>
      <c r="AA1096" s="7">
        <v>46236</v>
      </c>
      <c r="AB1096" t="s">
        <v>62</v>
      </c>
      <c r="AE1096" s="7">
        <v>46239</v>
      </c>
      <c r="AF1096">
        <v>2</v>
      </c>
      <c r="AH1096" t="s">
        <v>75</v>
      </c>
      <c r="AI1096">
        <v>1</v>
      </c>
      <c r="AJ1096" s="15"/>
      <c r="AK1096" t="s">
        <v>74</v>
      </c>
      <c r="AL1096" s="16"/>
      <c r="AR1096" s="18" t="str">
        <f>IFERROR(VLOOKUP(K1096,[1]POP!$F:$J,1,0),M1096)</f>
        <v>MORA</v>
      </c>
      <c r="AS1096" s="18" t="str">
        <f t="shared" si="86"/>
        <v>MORA</v>
      </c>
      <c r="AT1096" s="19">
        <f t="shared" si="89"/>
        <v>2</v>
      </c>
      <c r="AU1096" s="19">
        <f t="shared" ca="1" si="88"/>
        <v>2</v>
      </c>
    </row>
    <row r="1097" spans="1:47" x14ac:dyDescent="0.3">
      <c r="A1097" t="s">
        <v>1588</v>
      </c>
      <c r="B1097" t="str">
        <f t="shared" si="85"/>
        <v>S31_2026</v>
      </c>
      <c r="C1097" t="str">
        <f t="shared" si="87"/>
        <v>S31_2026</v>
      </c>
      <c r="F1097">
        <v>2</v>
      </c>
      <c r="G1097" t="s">
        <v>1387</v>
      </c>
      <c r="H1097" t="s">
        <v>655</v>
      </c>
      <c r="I1097" t="s">
        <v>1388</v>
      </c>
      <c r="J1097" t="s">
        <v>1389</v>
      </c>
      <c r="K1097" t="s">
        <v>746</v>
      </c>
      <c r="L1097" t="s">
        <v>1389</v>
      </c>
      <c r="M1097" t="s">
        <v>746</v>
      </c>
      <c r="N1097" t="s">
        <v>45</v>
      </c>
      <c r="O1097" t="s">
        <v>117</v>
      </c>
      <c r="P1097">
        <v>2</v>
      </c>
      <c r="Q1097" s="7">
        <v>46235</v>
      </c>
      <c r="R1097" s="7">
        <v>46235</v>
      </c>
      <c r="S1097" s="7">
        <v>46235</v>
      </c>
      <c r="T1097" t="s">
        <v>117</v>
      </c>
      <c r="V1097" t="s">
        <v>1390</v>
      </c>
      <c r="W1097" t="s">
        <v>117</v>
      </c>
      <c r="X1097" t="s">
        <v>117</v>
      </c>
      <c r="Y1097" t="s">
        <v>117</v>
      </c>
      <c r="Z1097" t="s">
        <v>117</v>
      </c>
      <c r="AE1097" s="7">
        <v>46237</v>
      </c>
      <c r="AF1097">
        <v>2</v>
      </c>
      <c r="AH1097" t="s">
        <v>75</v>
      </c>
      <c r="AI1097">
        <v>1</v>
      </c>
      <c r="AJ1097" s="15"/>
      <c r="AK1097" t="s">
        <v>668</v>
      </c>
      <c r="AL1097" s="16"/>
      <c r="AR1097" s="18" t="str">
        <f>IFERROR(VLOOKUP(K1097,[1]POP!$F:$J,1,0),M1097)</f>
        <v>MORA</v>
      </c>
      <c r="AS1097" s="18" t="str">
        <f t="shared" si="86"/>
        <v xml:space="preserve">bounderi </v>
      </c>
      <c r="AT1097" s="19">
        <f t="shared" si="89"/>
        <v>2</v>
      </c>
      <c r="AU1097" s="19">
        <f t="shared" ca="1" si="88"/>
        <v>2</v>
      </c>
    </row>
    <row r="1098" spans="1:47" x14ac:dyDescent="0.3">
      <c r="A1098" t="s">
        <v>1589</v>
      </c>
      <c r="B1098" t="str">
        <f t="shared" si="85"/>
        <v>S31_2026</v>
      </c>
      <c r="C1098" t="str">
        <f t="shared" si="87"/>
        <v>S31_2026</v>
      </c>
      <c r="F1098">
        <v>25</v>
      </c>
      <c r="G1098" t="s">
        <v>1387</v>
      </c>
      <c r="H1098" t="s">
        <v>680</v>
      </c>
      <c r="I1098" t="s">
        <v>1394</v>
      </c>
      <c r="J1098" t="s">
        <v>1389</v>
      </c>
      <c r="K1098" t="s">
        <v>746</v>
      </c>
      <c r="L1098" t="s">
        <v>1389</v>
      </c>
      <c r="M1098" t="s">
        <v>746</v>
      </c>
      <c r="N1098" t="s">
        <v>45</v>
      </c>
      <c r="O1098" t="s">
        <v>117</v>
      </c>
      <c r="P1098">
        <v>2</v>
      </c>
      <c r="Q1098" s="7">
        <v>46235</v>
      </c>
      <c r="R1098" s="7">
        <v>46235</v>
      </c>
      <c r="S1098" s="7">
        <v>46235</v>
      </c>
      <c r="T1098" t="s">
        <v>117</v>
      </c>
      <c r="V1098" t="s">
        <v>1390</v>
      </c>
      <c r="W1098" t="s">
        <v>117</v>
      </c>
      <c r="X1098" t="s">
        <v>117</v>
      </c>
      <c r="Y1098" t="s">
        <v>117</v>
      </c>
      <c r="Z1098" t="s">
        <v>117</v>
      </c>
      <c r="AE1098" s="7">
        <v>46237</v>
      </c>
      <c r="AF1098">
        <v>2</v>
      </c>
      <c r="AH1098" t="s">
        <v>75</v>
      </c>
      <c r="AI1098">
        <v>1</v>
      </c>
      <c r="AJ1098" s="15"/>
      <c r="AK1098" t="s">
        <v>1590</v>
      </c>
      <c r="AL1098" s="16"/>
      <c r="AR1098" s="18" t="str">
        <f>IFERROR(VLOOKUP(K1098,[1]POP!$F:$J,1,0),M1098)</f>
        <v>MORA</v>
      </c>
      <c r="AS1098" s="18" t="str">
        <f t="shared" si="86"/>
        <v xml:space="preserve">bounderi </v>
      </c>
      <c r="AT1098" s="19">
        <f t="shared" si="89"/>
        <v>2</v>
      </c>
      <c r="AU1098" s="19">
        <f t="shared" ca="1" si="88"/>
        <v>2</v>
      </c>
    </row>
    <row r="1099" spans="1:47" x14ac:dyDescent="0.3">
      <c r="A1099" t="s">
        <v>1591</v>
      </c>
      <c r="B1099" t="str">
        <f t="shared" si="85"/>
        <v>S32_2026</v>
      </c>
      <c r="C1099" t="str">
        <f t="shared" si="87"/>
        <v>S32_2026</v>
      </c>
      <c r="F1099">
        <v>12</v>
      </c>
      <c r="G1099" t="s">
        <v>1387</v>
      </c>
      <c r="H1099" t="s">
        <v>1592</v>
      </c>
      <c r="I1099" t="s">
        <v>1394</v>
      </c>
      <c r="J1099" t="s">
        <v>1389</v>
      </c>
      <c r="K1099" t="s">
        <v>746</v>
      </c>
      <c r="L1099" t="s">
        <v>1389</v>
      </c>
      <c r="M1099" t="s">
        <v>746</v>
      </c>
      <c r="N1099" t="s">
        <v>45</v>
      </c>
      <c r="O1099" t="s">
        <v>117</v>
      </c>
      <c r="P1099">
        <v>3</v>
      </c>
      <c r="Q1099" s="7">
        <v>46237</v>
      </c>
      <c r="R1099" s="7">
        <v>46237</v>
      </c>
      <c r="S1099" s="7">
        <v>46237</v>
      </c>
      <c r="T1099" t="s">
        <v>117</v>
      </c>
      <c r="V1099" t="s">
        <v>1390</v>
      </c>
      <c r="W1099" t="s">
        <v>117</v>
      </c>
      <c r="X1099" t="s">
        <v>117</v>
      </c>
      <c r="Y1099" t="s">
        <v>117</v>
      </c>
      <c r="Z1099" t="s">
        <v>117</v>
      </c>
      <c r="AE1099" s="7">
        <v>46238</v>
      </c>
      <c r="AF1099">
        <v>2</v>
      </c>
      <c r="AH1099" t="s">
        <v>75</v>
      </c>
      <c r="AI1099">
        <v>1</v>
      </c>
      <c r="AJ1099" s="15"/>
      <c r="AK1099" t="s">
        <v>668</v>
      </c>
      <c r="AL1099" s="16"/>
      <c r="AR1099" s="18" t="str">
        <f>IFERROR(VLOOKUP(K1099,[1]POP!$F:$J,1,0),M1099)</f>
        <v>MORA</v>
      </c>
      <c r="AS1099" s="18" t="str">
        <f t="shared" si="86"/>
        <v xml:space="preserve">bounderi </v>
      </c>
      <c r="AT1099" s="19">
        <f t="shared" si="89"/>
        <v>2</v>
      </c>
      <c r="AU1099" s="19">
        <f t="shared" ca="1" si="88"/>
        <v>2</v>
      </c>
    </row>
    <row r="1100" spans="1:47" x14ac:dyDescent="0.3">
      <c r="A1100" t="s">
        <v>1593</v>
      </c>
      <c r="B1100" t="str">
        <f t="shared" si="85"/>
        <v>S32_2026</v>
      </c>
      <c r="C1100" t="str">
        <f t="shared" si="87"/>
        <v>S32_2026</v>
      </c>
      <c r="F1100">
        <v>18</v>
      </c>
      <c r="G1100" t="s">
        <v>1387</v>
      </c>
      <c r="H1100" t="s">
        <v>680</v>
      </c>
      <c r="I1100" t="s">
        <v>1394</v>
      </c>
      <c r="J1100" t="s">
        <v>1389</v>
      </c>
      <c r="K1100" t="s">
        <v>746</v>
      </c>
      <c r="L1100" t="s">
        <v>1389</v>
      </c>
      <c r="M1100" t="s">
        <v>746</v>
      </c>
      <c r="N1100" t="s">
        <v>45</v>
      </c>
      <c r="O1100" t="s">
        <v>117</v>
      </c>
      <c r="P1100">
        <v>3</v>
      </c>
      <c r="Q1100" s="7">
        <v>46237</v>
      </c>
      <c r="R1100" s="7">
        <v>46237</v>
      </c>
      <c r="S1100" s="7">
        <v>46237</v>
      </c>
      <c r="T1100" t="s">
        <v>117</v>
      </c>
      <c r="V1100" t="s">
        <v>1390</v>
      </c>
      <c r="W1100" t="s">
        <v>117</v>
      </c>
      <c r="X1100" t="s">
        <v>117</v>
      </c>
      <c r="Y1100" t="s">
        <v>117</v>
      </c>
      <c r="Z1100" t="s">
        <v>117</v>
      </c>
      <c r="AE1100" s="7">
        <v>46238</v>
      </c>
      <c r="AF1100">
        <v>2</v>
      </c>
      <c r="AH1100" t="s">
        <v>75</v>
      </c>
      <c r="AI1100">
        <v>1</v>
      </c>
      <c r="AJ1100" s="15"/>
      <c r="AK1100" t="s">
        <v>1590</v>
      </c>
      <c r="AL1100" s="16"/>
      <c r="AR1100" s="18" t="str">
        <f>IFERROR(VLOOKUP(K1100,[1]POP!$F:$J,1,0),M1100)</f>
        <v>MORA</v>
      </c>
      <c r="AS1100" s="18" t="str">
        <f t="shared" si="86"/>
        <v xml:space="preserve">bounderi </v>
      </c>
      <c r="AT1100" s="19">
        <f t="shared" si="89"/>
        <v>2</v>
      </c>
      <c r="AU1100" s="19">
        <f t="shared" ca="1" si="88"/>
        <v>2</v>
      </c>
    </row>
    <row r="1101" spans="1:47" x14ac:dyDescent="0.3">
      <c r="A1101" t="s">
        <v>1594</v>
      </c>
      <c r="B1101" t="str">
        <f t="shared" si="85"/>
        <v>S32_2026</v>
      </c>
      <c r="C1101" t="str">
        <f t="shared" si="87"/>
        <v>S32_2026</v>
      </c>
      <c r="F1101">
        <v>3</v>
      </c>
      <c r="G1101" t="s">
        <v>1392</v>
      </c>
      <c r="H1101" t="s">
        <v>1406</v>
      </c>
      <c r="I1101" t="s">
        <v>1394</v>
      </c>
      <c r="J1101" t="s">
        <v>1389</v>
      </c>
      <c r="K1101" t="s">
        <v>746</v>
      </c>
      <c r="L1101" t="s">
        <v>1389</v>
      </c>
      <c r="M1101" t="s">
        <v>746</v>
      </c>
      <c r="N1101" t="s">
        <v>45</v>
      </c>
      <c r="O1101" t="s">
        <v>117</v>
      </c>
      <c r="P1101">
        <v>3</v>
      </c>
      <c r="Q1101" s="7">
        <v>46237</v>
      </c>
      <c r="R1101" s="7">
        <v>46237</v>
      </c>
      <c r="S1101" s="7">
        <v>46237</v>
      </c>
      <c r="T1101" t="s">
        <v>117</v>
      </c>
      <c r="V1101" t="s">
        <v>1390</v>
      </c>
      <c r="W1101" t="s">
        <v>117</v>
      </c>
      <c r="X1101" t="s">
        <v>117</v>
      </c>
      <c r="Y1101" t="s">
        <v>117</v>
      </c>
      <c r="Z1101" t="s">
        <v>117</v>
      </c>
      <c r="AE1101" s="7">
        <v>46239</v>
      </c>
      <c r="AF1101">
        <v>2</v>
      </c>
      <c r="AH1101" t="s">
        <v>75</v>
      </c>
      <c r="AI1101">
        <v>1</v>
      </c>
      <c r="AJ1101" s="15"/>
      <c r="AK1101" t="s">
        <v>1590</v>
      </c>
      <c r="AL1101" s="16"/>
      <c r="AR1101" s="18" t="str">
        <f>IFERROR(VLOOKUP(K1101,[1]POP!$F:$J,1,0),M1101)</f>
        <v>MORA</v>
      </c>
      <c r="AS1101" s="18" t="str">
        <f t="shared" si="86"/>
        <v xml:space="preserve">bounderi </v>
      </c>
      <c r="AT1101" s="19">
        <f t="shared" si="89"/>
        <v>2</v>
      </c>
      <c r="AU1101" s="19">
        <f t="shared" ca="1" si="88"/>
        <v>2</v>
      </c>
    </row>
    <row r="1102" spans="1:47" x14ac:dyDescent="0.3">
      <c r="A1102" t="s">
        <v>1595</v>
      </c>
      <c r="B1102" t="str">
        <f t="shared" si="85"/>
        <v>S32_2026</v>
      </c>
      <c r="C1102" t="str">
        <f t="shared" si="87"/>
        <v>S32_2026</v>
      </c>
      <c r="F1102">
        <v>26</v>
      </c>
      <c r="G1102" t="s">
        <v>1392</v>
      </c>
      <c r="H1102" t="s">
        <v>1503</v>
      </c>
      <c r="I1102" t="s">
        <v>1394</v>
      </c>
      <c r="J1102" t="s">
        <v>1389</v>
      </c>
      <c r="K1102" t="s">
        <v>746</v>
      </c>
      <c r="L1102" t="s">
        <v>1389</v>
      </c>
      <c r="M1102" t="s">
        <v>746</v>
      </c>
      <c r="N1102" t="s">
        <v>45</v>
      </c>
      <c r="O1102" t="s">
        <v>117</v>
      </c>
      <c r="P1102">
        <v>3</v>
      </c>
      <c r="Q1102" s="7">
        <v>46237</v>
      </c>
      <c r="R1102" s="7">
        <v>46237</v>
      </c>
      <c r="S1102" s="7">
        <v>46237</v>
      </c>
      <c r="T1102" t="s">
        <v>117</v>
      </c>
      <c r="V1102" t="s">
        <v>1390</v>
      </c>
      <c r="W1102" t="s">
        <v>117</v>
      </c>
      <c r="X1102" t="s">
        <v>117</v>
      </c>
      <c r="Y1102" t="s">
        <v>117</v>
      </c>
      <c r="Z1102" t="s">
        <v>117</v>
      </c>
      <c r="AE1102" s="7">
        <v>46239</v>
      </c>
      <c r="AF1102">
        <v>2</v>
      </c>
      <c r="AH1102" t="s">
        <v>75</v>
      </c>
      <c r="AI1102">
        <v>1</v>
      </c>
      <c r="AJ1102" s="15"/>
      <c r="AK1102" t="s">
        <v>1590</v>
      </c>
      <c r="AL1102" s="16"/>
      <c r="AR1102" s="18" t="str">
        <f>IFERROR(VLOOKUP(K1102,[1]POP!$F:$J,1,0),M1102)</f>
        <v>MORA</v>
      </c>
      <c r="AS1102" s="18" t="str">
        <f t="shared" si="86"/>
        <v xml:space="preserve">bounderi </v>
      </c>
      <c r="AT1102" s="19">
        <f t="shared" si="89"/>
        <v>2</v>
      </c>
      <c r="AU1102" s="19">
        <f t="shared" ca="1" si="88"/>
        <v>2</v>
      </c>
    </row>
    <row r="1103" spans="1:47" x14ac:dyDescent="0.3">
      <c r="A1103" t="s">
        <v>1596</v>
      </c>
      <c r="B1103" t="str">
        <f t="shared" si="85"/>
        <v>S32_2026</v>
      </c>
      <c r="C1103" t="str">
        <f t="shared" si="87"/>
        <v>S32_2026</v>
      </c>
      <c r="F1103">
        <v>2</v>
      </c>
      <c r="G1103" t="s">
        <v>1392</v>
      </c>
      <c r="H1103" t="s">
        <v>655</v>
      </c>
      <c r="I1103" t="s">
        <v>1388</v>
      </c>
      <c r="J1103" t="s">
        <v>1389</v>
      </c>
      <c r="K1103" t="s">
        <v>746</v>
      </c>
      <c r="L1103" t="s">
        <v>1389</v>
      </c>
      <c r="M1103" t="s">
        <v>746</v>
      </c>
      <c r="N1103" t="s">
        <v>45</v>
      </c>
      <c r="O1103" t="s">
        <v>117</v>
      </c>
      <c r="P1103">
        <v>3</v>
      </c>
      <c r="Q1103" s="7">
        <v>46237</v>
      </c>
      <c r="R1103" s="7">
        <v>46237</v>
      </c>
      <c r="S1103" s="7">
        <v>46237</v>
      </c>
      <c r="T1103" t="s">
        <v>117</v>
      </c>
      <c r="V1103" t="s">
        <v>1390</v>
      </c>
      <c r="W1103" t="s">
        <v>117</v>
      </c>
      <c r="X1103" t="s">
        <v>117</v>
      </c>
      <c r="Y1103" t="s">
        <v>117</v>
      </c>
      <c r="Z1103" t="s">
        <v>117</v>
      </c>
      <c r="AE1103" s="7">
        <v>46150</v>
      </c>
      <c r="AF1103">
        <v>2</v>
      </c>
      <c r="AH1103" t="s">
        <v>75</v>
      </c>
      <c r="AI1103">
        <v>1</v>
      </c>
      <c r="AJ1103" s="15"/>
      <c r="AK1103" t="s">
        <v>1590</v>
      </c>
      <c r="AL1103" s="16"/>
      <c r="AR1103" s="18" t="str">
        <f>IFERROR(VLOOKUP(K1103,[1]POP!$F:$J,1,0),M1103)</f>
        <v>MORA</v>
      </c>
      <c r="AS1103" s="18" t="str">
        <f t="shared" si="86"/>
        <v xml:space="preserve">bounderi </v>
      </c>
      <c r="AT1103" s="19">
        <f t="shared" si="89"/>
        <v>2</v>
      </c>
      <c r="AU1103" s="19">
        <f t="shared" ca="1" si="88"/>
        <v>2</v>
      </c>
    </row>
    <row r="1104" spans="1:47" x14ac:dyDescent="0.3">
      <c r="A1104" t="s">
        <v>1597</v>
      </c>
      <c r="B1104" t="str">
        <f t="shared" si="85"/>
        <v>S31_2026</v>
      </c>
      <c r="C1104" t="str">
        <f t="shared" si="87"/>
        <v>S31_2026</v>
      </c>
      <c r="F1104">
        <v>3</v>
      </c>
      <c r="G1104" t="s">
        <v>55</v>
      </c>
      <c r="H1104" t="s">
        <v>85</v>
      </c>
      <c r="I1104" t="s">
        <v>1354</v>
      </c>
      <c r="J1104" t="s">
        <v>1355</v>
      </c>
      <c r="K1104" t="s">
        <v>746</v>
      </c>
      <c r="L1104" t="s">
        <v>1355</v>
      </c>
      <c r="M1104" t="s">
        <v>746</v>
      </c>
      <c r="N1104" t="s">
        <v>45</v>
      </c>
      <c r="O1104" t="s">
        <v>45</v>
      </c>
      <c r="P1104">
        <v>2</v>
      </c>
      <c r="Q1104" s="7">
        <v>46232</v>
      </c>
      <c r="R1104" s="7">
        <v>46232</v>
      </c>
      <c r="S1104" s="7">
        <v>46232</v>
      </c>
      <c r="T1104" t="s">
        <v>45</v>
      </c>
      <c r="V1104" t="s">
        <v>1356</v>
      </c>
      <c r="W1104" t="s">
        <v>45</v>
      </c>
      <c r="X1104" t="s">
        <v>45</v>
      </c>
      <c r="Y1104" t="s">
        <v>74</v>
      </c>
      <c r="AE1104" s="7">
        <v>46061</v>
      </c>
      <c r="AF1104">
        <v>2</v>
      </c>
      <c r="AH1104" t="s">
        <v>75</v>
      </c>
      <c r="AI1104">
        <v>1</v>
      </c>
      <c r="AJ1104" s="15"/>
      <c r="AK1104" t="s">
        <v>74</v>
      </c>
      <c r="AL1104" s="16"/>
      <c r="AR1104" s="18" t="str">
        <f>IFERROR(VLOOKUP(K1104,[1]POP!$F:$J,1,0),M1104)</f>
        <v>MORA</v>
      </c>
      <c r="AS1104" s="18" t="str">
        <f t="shared" si="86"/>
        <v>AISSA HARDE</v>
      </c>
      <c r="AT1104" s="19">
        <f t="shared" si="89"/>
        <v>2</v>
      </c>
      <c r="AU1104" s="19">
        <f t="shared" ca="1" si="88"/>
        <v>2</v>
      </c>
    </row>
    <row r="1105" spans="1:47" x14ac:dyDescent="0.3">
      <c r="A1105" t="s">
        <v>1598</v>
      </c>
      <c r="B1105" t="str">
        <f t="shared" si="85"/>
        <v>S31_2026</v>
      </c>
      <c r="C1105" t="str">
        <f t="shared" si="87"/>
        <v>S31_2026</v>
      </c>
      <c r="F1105">
        <v>27</v>
      </c>
      <c r="G1105" t="s">
        <v>55</v>
      </c>
      <c r="H1105" t="s">
        <v>70</v>
      </c>
      <c r="I1105" t="s">
        <v>1354</v>
      </c>
      <c r="J1105" t="s">
        <v>1355</v>
      </c>
      <c r="K1105" t="s">
        <v>746</v>
      </c>
      <c r="L1105" t="s">
        <v>1355</v>
      </c>
      <c r="M1105" t="s">
        <v>746</v>
      </c>
      <c r="N1105" t="s">
        <v>45</v>
      </c>
      <c r="O1105" t="s">
        <v>45</v>
      </c>
      <c r="P1105">
        <v>2</v>
      </c>
      <c r="Q1105" s="7">
        <v>46235</v>
      </c>
      <c r="R1105" s="7">
        <v>46235</v>
      </c>
      <c r="S1105" s="7">
        <v>46235</v>
      </c>
      <c r="T1105" t="s">
        <v>45</v>
      </c>
      <c r="V1105" t="s">
        <v>1356</v>
      </c>
      <c r="W1105" t="s">
        <v>45</v>
      </c>
      <c r="X1105" t="s">
        <v>45</v>
      </c>
      <c r="Y1105" t="s">
        <v>74</v>
      </c>
      <c r="AE1105" s="7">
        <v>46089</v>
      </c>
      <c r="AF1105">
        <v>2</v>
      </c>
      <c r="AH1105" t="s">
        <v>75</v>
      </c>
      <c r="AI1105">
        <v>1</v>
      </c>
      <c r="AJ1105" s="15"/>
      <c r="AK1105" t="s">
        <v>74</v>
      </c>
      <c r="AL1105" s="16"/>
      <c r="AR1105" s="18" t="str">
        <f>IFERROR(VLOOKUP(K1105,[1]POP!$F:$J,1,0),M1105)</f>
        <v>MORA</v>
      </c>
      <c r="AS1105" s="18" t="str">
        <f t="shared" si="86"/>
        <v>AISSA HARDE</v>
      </c>
      <c r="AT1105" s="19">
        <f t="shared" si="89"/>
        <v>2</v>
      </c>
      <c r="AU1105" s="19">
        <f t="shared" ca="1" si="88"/>
        <v>2</v>
      </c>
    </row>
    <row r="1106" spans="1:47" x14ac:dyDescent="0.3">
      <c r="A1106" t="s">
        <v>1599</v>
      </c>
      <c r="B1106" t="str">
        <f t="shared" si="85"/>
        <v>S32_2026</v>
      </c>
      <c r="C1106" t="str">
        <f t="shared" si="87"/>
        <v>S31_2026</v>
      </c>
      <c r="F1106">
        <v>6</v>
      </c>
      <c r="G1106" t="s">
        <v>40</v>
      </c>
      <c r="H1106" t="s">
        <v>655</v>
      </c>
      <c r="I1106" t="s">
        <v>1600</v>
      </c>
      <c r="J1106" t="s">
        <v>906</v>
      </c>
      <c r="K1106" t="s">
        <v>746</v>
      </c>
      <c r="L1106" t="s">
        <v>906</v>
      </c>
      <c r="M1106" t="s">
        <v>746</v>
      </c>
      <c r="N1106" t="s">
        <v>45</v>
      </c>
      <c r="O1106" t="s">
        <v>117</v>
      </c>
      <c r="P1106">
        <v>3</v>
      </c>
      <c r="Q1106" s="7">
        <v>46235</v>
      </c>
      <c r="R1106" s="7">
        <v>46237</v>
      </c>
      <c r="S1106" s="7">
        <v>46237</v>
      </c>
      <c r="T1106" t="s">
        <v>117</v>
      </c>
      <c r="V1106" t="s">
        <v>1601</v>
      </c>
      <c r="W1106" t="s">
        <v>668</v>
      </c>
      <c r="X1106" t="s">
        <v>117</v>
      </c>
      <c r="Y1106" t="s">
        <v>117</v>
      </c>
      <c r="Z1106" t="s">
        <v>668</v>
      </c>
      <c r="AE1106" s="7">
        <v>46237</v>
      </c>
      <c r="AF1106">
        <v>2</v>
      </c>
      <c r="AH1106" t="s">
        <v>75</v>
      </c>
      <c r="AI1106">
        <v>1</v>
      </c>
      <c r="AJ1106" s="15"/>
      <c r="AK1106" t="s">
        <v>86</v>
      </c>
      <c r="AL1106" s="16"/>
      <c r="AR1106" s="18" t="str">
        <f>IFERROR(VLOOKUP(K1106,[1]POP!$F:$J,1,0),M1106)</f>
        <v>MORA</v>
      </c>
      <c r="AS1106" s="18" t="str">
        <f t="shared" si="86"/>
        <v xml:space="preserve">MAGDEME </v>
      </c>
      <c r="AT1106" s="19">
        <f t="shared" si="89"/>
        <v>2</v>
      </c>
      <c r="AU1106" s="19">
        <f t="shared" ca="1" si="88"/>
        <v>2</v>
      </c>
    </row>
    <row r="1107" spans="1:47" x14ac:dyDescent="0.3">
      <c r="A1107" t="s">
        <v>1602</v>
      </c>
      <c r="B1107" t="str">
        <f t="shared" si="85"/>
        <v>S32_2026</v>
      </c>
      <c r="C1107" t="str">
        <f t="shared" si="87"/>
        <v>S31_2026</v>
      </c>
      <c r="F1107">
        <v>2</v>
      </c>
      <c r="G1107" t="s">
        <v>55</v>
      </c>
      <c r="H1107" t="s">
        <v>655</v>
      </c>
      <c r="I1107" t="s">
        <v>1603</v>
      </c>
      <c r="J1107" t="s">
        <v>1604</v>
      </c>
      <c r="K1107" t="s">
        <v>746</v>
      </c>
      <c r="L1107" t="s">
        <v>1604</v>
      </c>
      <c r="M1107" t="s">
        <v>746</v>
      </c>
      <c r="N1107" t="s">
        <v>45</v>
      </c>
      <c r="O1107" t="s">
        <v>117</v>
      </c>
      <c r="P1107">
        <v>1</v>
      </c>
      <c r="Q1107" s="7">
        <v>46236</v>
      </c>
      <c r="R1107" s="7">
        <v>46237</v>
      </c>
      <c r="S1107" s="7">
        <v>46237</v>
      </c>
      <c r="T1107" t="s">
        <v>117</v>
      </c>
      <c r="V1107" t="s">
        <v>1601</v>
      </c>
      <c r="W1107" t="s">
        <v>117</v>
      </c>
      <c r="X1107" t="s">
        <v>117</v>
      </c>
      <c r="Y1107" t="s">
        <v>668</v>
      </c>
      <c r="Z1107" t="s">
        <v>117</v>
      </c>
      <c r="AE1107" s="7">
        <v>46237</v>
      </c>
      <c r="AF1107">
        <v>2</v>
      </c>
      <c r="AH1107" t="s">
        <v>75</v>
      </c>
      <c r="AI1107">
        <v>1</v>
      </c>
      <c r="AJ1107" s="15"/>
      <c r="AK1107" t="s">
        <v>86</v>
      </c>
      <c r="AL1107" s="16"/>
      <c r="AR1107" s="18" t="str">
        <f>IFERROR(VLOOKUP(K1107,[1]POP!$F:$J,1,0),M1107)</f>
        <v>MORA</v>
      </c>
      <c r="AS1107" s="18" t="str">
        <f t="shared" si="86"/>
        <v xml:space="preserve">Magdeme </v>
      </c>
      <c r="AT1107" s="19">
        <f t="shared" si="89"/>
        <v>2</v>
      </c>
      <c r="AU1107" s="19">
        <f t="shared" ca="1" si="88"/>
        <v>2</v>
      </c>
    </row>
    <row r="1108" spans="1:47" x14ac:dyDescent="0.3">
      <c r="A1108" t="s">
        <v>1605</v>
      </c>
      <c r="B1108" t="str">
        <f t="shared" si="85"/>
        <v>S32_2026</v>
      </c>
      <c r="C1108" t="str">
        <f t="shared" si="87"/>
        <v>S31_2026</v>
      </c>
      <c r="F1108">
        <v>6</v>
      </c>
      <c r="G1108" t="s">
        <v>40</v>
      </c>
      <c r="H1108" t="s">
        <v>655</v>
      </c>
      <c r="I1108" t="s">
        <v>1603</v>
      </c>
      <c r="J1108" t="s">
        <v>1604</v>
      </c>
      <c r="K1108" t="s">
        <v>746</v>
      </c>
      <c r="L1108" t="s">
        <v>1604</v>
      </c>
      <c r="M1108" t="s">
        <v>746</v>
      </c>
      <c r="N1108" t="s">
        <v>45</v>
      </c>
      <c r="O1108" t="s">
        <v>117</v>
      </c>
      <c r="P1108">
        <v>1</v>
      </c>
      <c r="Q1108" s="7">
        <v>46236</v>
      </c>
      <c r="R1108" s="7">
        <v>46237</v>
      </c>
      <c r="S1108" s="7">
        <v>46237</v>
      </c>
      <c r="T1108" t="s">
        <v>117</v>
      </c>
      <c r="V1108" t="s">
        <v>1601</v>
      </c>
      <c r="W1108" t="s">
        <v>117</v>
      </c>
      <c r="X1108" t="s">
        <v>117</v>
      </c>
      <c r="Y1108" t="s">
        <v>668</v>
      </c>
      <c r="Z1108" t="s">
        <v>117</v>
      </c>
      <c r="AE1108" s="7">
        <v>46237</v>
      </c>
      <c r="AF1108">
        <v>2</v>
      </c>
      <c r="AH1108" t="s">
        <v>75</v>
      </c>
      <c r="AI1108">
        <v>1</v>
      </c>
      <c r="AJ1108" s="15"/>
      <c r="AK1108" t="s">
        <v>86</v>
      </c>
      <c r="AL1108" s="16"/>
      <c r="AR1108" s="18" t="str">
        <f>IFERROR(VLOOKUP(K1108,[1]POP!$F:$J,1,0),M1108)</f>
        <v>MORA</v>
      </c>
      <c r="AS1108" s="18" t="str">
        <f t="shared" si="86"/>
        <v xml:space="preserve">Magdeme </v>
      </c>
      <c r="AT1108" s="19">
        <f t="shared" si="89"/>
        <v>2</v>
      </c>
      <c r="AU1108" s="19">
        <f t="shared" ca="1" si="88"/>
        <v>2</v>
      </c>
    </row>
    <row r="1109" spans="1:47" x14ac:dyDescent="0.3">
      <c r="A1109" t="s">
        <v>1606</v>
      </c>
      <c r="B1109" t="str">
        <f t="shared" si="85"/>
        <v>S32_2026</v>
      </c>
      <c r="C1109" t="str">
        <f t="shared" si="87"/>
        <v>S31_2026</v>
      </c>
      <c r="F1109">
        <v>20</v>
      </c>
      <c r="G1109" t="s">
        <v>40</v>
      </c>
      <c r="H1109" t="s">
        <v>655</v>
      </c>
      <c r="I1109" t="s">
        <v>1607</v>
      </c>
      <c r="J1109" t="s">
        <v>1604</v>
      </c>
      <c r="K1109" t="s">
        <v>746</v>
      </c>
      <c r="L1109" t="s">
        <v>1604</v>
      </c>
      <c r="M1109" t="s">
        <v>746</v>
      </c>
      <c r="N1109" t="s">
        <v>45</v>
      </c>
      <c r="O1109" t="s">
        <v>117</v>
      </c>
      <c r="P1109">
        <v>1</v>
      </c>
      <c r="Q1109" s="7">
        <v>46236</v>
      </c>
      <c r="R1109" s="7">
        <v>46237</v>
      </c>
      <c r="S1109" s="7">
        <v>46237</v>
      </c>
      <c r="T1109" t="s">
        <v>117</v>
      </c>
      <c r="V1109" t="s">
        <v>1601</v>
      </c>
      <c r="W1109" t="s">
        <v>117</v>
      </c>
      <c r="X1109" t="s">
        <v>117</v>
      </c>
      <c r="Y1109" t="s">
        <v>668</v>
      </c>
      <c r="Z1109" t="s">
        <v>117</v>
      </c>
      <c r="AE1109" s="7">
        <v>46237</v>
      </c>
      <c r="AF1109">
        <v>2</v>
      </c>
      <c r="AH1109" t="s">
        <v>75</v>
      </c>
      <c r="AI1109">
        <v>1</v>
      </c>
      <c r="AJ1109" s="15"/>
      <c r="AK1109" t="s">
        <v>86</v>
      </c>
      <c r="AL1109" s="16"/>
      <c r="AR1109" s="18" t="str">
        <f>IFERROR(VLOOKUP(K1109,[1]POP!$F:$J,1,0),M1109)</f>
        <v>MORA</v>
      </c>
      <c r="AS1109" s="18" t="str">
        <f t="shared" si="86"/>
        <v xml:space="preserve">Magdeme </v>
      </c>
      <c r="AT1109" s="19">
        <f t="shared" si="89"/>
        <v>2</v>
      </c>
      <c r="AU1109" s="19">
        <f t="shared" ca="1" si="88"/>
        <v>2</v>
      </c>
    </row>
    <row r="1110" spans="1:47" x14ac:dyDescent="0.3">
      <c r="A1110" t="s">
        <v>1608</v>
      </c>
      <c r="B1110" t="str">
        <f t="shared" si="85"/>
        <v>S30_2026</v>
      </c>
      <c r="C1110" t="str">
        <f t="shared" si="87"/>
        <v>S30_2026</v>
      </c>
      <c r="F1110">
        <v>20</v>
      </c>
      <c r="G1110" t="s">
        <v>40</v>
      </c>
      <c r="H1110" t="s">
        <v>899</v>
      </c>
      <c r="I1110" t="s">
        <v>1609</v>
      </c>
      <c r="J1110" t="s">
        <v>902</v>
      </c>
      <c r="K1110" t="s">
        <v>746</v>
      </c>
      <c r="L1110" t="s">
        <v>902</v>
      </c>
      <c r="M1110" t="s">
        <v>746</v>
      </c>
      <c r="N1110" t="s">
        <v>45</v>
      </c>
      <c r="O1110" t="s">
        <v>45</v>
      </c>
      <c r="P1110">
        <v>1</v>
      </c>
      <c r="Q1110" s="7">
        <v>46226</v>
      </c>
      <c r="R1110" s="7">
        <v>46226</v>
      </c>
      <c r="S1110" s="7">
        <v>46227</v>
      </c>
      <c r="T1110" t="s">
        <v>74</v>
      </c>
      <c r="V1110" t="s">
        <v>903</v>
      </c>
      <c r="W1110" t="s">
        <v>45</v>
      </c>
      <c r="X1110" t="s">
        <v>45</v>
      </c>
      <c r="Y1110" t="s">
        <v>74</v>
      </c>
      <c r="Z1110" t="s">
        <v>1610</v>
      </c>
      <c r="AA1110" s="7">
        <v>46166</v>
      </c>
      <c r="AB1110" t="s">
        <v>62</v>
      </c>
      <c r="AE1110" s="7">
        <v>46227</v>
      </c>
      <c r="AF1110">
        <v>2</v>
      </c>
      <c r="AH1110" t="s">
        <v>75</v>
      </c>
      <c r="AI1110">
        <v>1</v>
      </c>
      <c r="AJ1110" s="15"/>
      <c r="AK1110" t="s">
        <v>86</v>
      </c>
      <c r="AL1110" s="16"/>
      <c r="AR1110" s="18" t="str">
        <f>IFERROR(VLOOKUP(K1110,[1]POP!$F:$J,1,0),M1110)</f>
        <v>MORA</v>
      </c>
      <c r="AS1110" s="18" t="str">
        <f t="shared" si="86"/>
        <v>KOURGUI</v>
      </c>
      <c r="AT1110" s="19">
        <f t="shared" si="89"/>
        <v>2</v>
      </c>
      <c r="AU1110" s="19">
        <f t="shared" ca="1" si="88"/>
        <v>2</v>
      </c>
    </row>
    <row r="1111" spans="1:47" x14ac:dyDescent="0.3">
      <c r="A1111" t="s">
        <v>1611</v>
      </c>
      <c r="B1111" t="str">
        <f t="shared" si="85"/>
        <v>S30_2026</v>
      </c>
      <c r="C1111" t="str">
        <f t="shared" si="87"/>
        <v>S30_2026</v>
      </c>
      <c r="F1111">
        <v>52</v>
      </c>
      <c r="G1111" t="s">
        <v>40</v>
      </c>
      <c r="H1111" t="s">
        <v>899</v>
      </c>
      <c r="I1111" t="s">
        <v>1612</v>
      </c>
      <c r="J1111" t="s">
        <v>902</v>
      </c>
      <c r="K1111" t="s">
        <v>746</v>
      </c>
      <c r="L1111" t="s">
        <v>902</v>
      </c>
      <c r="M1111" t="s">
        <v>746</v>
      </c>
      <c r="N1111" t="s">
        <v>45</v>
      </c>
      <c r="O1111" t="s">
        <v>74</v>
      </c>
      <c r="P1111">
        <v>1</v>
      </c>
      <c r="Q1111" s="7">
        <v>46227</v>
      </c>
      <c r="R1111" s="7">
        <v>46227</v>
      </c>
      <c r="S1111" s="7">
        <v>46227</v>
      </c>
      <c r="T1111" t="s">
        <v>74</v>
      </c>
      <c r="V1111" t="s">
        <v>903</v>
      </c>
      <c r="W1111" t="s">
        <v>74</v>
      </c>
      <c r="X1111" t="s">
        <v>45</v>
      </c>
      <c r="Y1111" t="s">
        <v>74</v>
      </c>
      <c r="Z1111" t="s">
        <v>74</v>
      </c>
      <c r="AA1111" s="7">
        <v>46227</v>
      </c>
      <c r="AB1111" t="s">
        <v>62</v>
      </c>
      <c r="AE1111" s="7">
        <v>46227</v>
      </c>
      <c r="AF1111">
        <v>2</v>
      </c>
      <c r="AH1111" t="s">
        <v>75</v>
      </c>
      <c r="AI1111">
        <v>1</v>
      </c>
      <c r="AJ1111" s="15"/>
      <c r="AK1111" t="s">
        <v>86</v>
      </c>
      <c r="AL1111" s="16"/>
      <c r="AR1111" s="18" t="str">
        <f>IFERROR(VLOOKUP(K1111,[1]POP!$F:$J,1,0),M1111)</f>
        <v>MORA</v>
      </c>
      <c r="AS1111" s="18" t="str">
        <f t="shared" si="86"/>
        <v>KOURGUI</v>
      </c>
      <c r="AT1111" s="19">
        <f t="shared" si="89"/>
        <v>2</v>
      </c>
      <c r="AU1111" s="19">
        <f t="shared" ca="1" si="88"/>
        <v>2</v>
      </c>
    </row>
    <row r="1112" spans="1:47" x14ac:dyDescent="0.3">
      <c r="A1112" t="s">
        <v>1613</v>
      </c>
      <c r="B1112" t="str">
        <f t="shared" si="85"/>
        <v>S30_2026</v>
      </c>
      <c r="C1112" t="str">
        <f t="shared" si="87"/>
        <v>S30_2026</v>
      </c>
      <c r="F1112">
        <v>30</v>
      </c>
      <c r="G1112" t="s">
        <v>40</v>
      </c>
      <c r="H1112" t="s">
        <v>1614</v>
      </c>
      <c r="I1112" t="s">
        <v>907</v>
      </c>
      <c r="J1112" t="s">
        <v>907</v>
      </c>
      <c r="K1112" t="s">
        <v>746</v>
      </c>
      <c r="L1112" t="s">
        <v>902</v>
      </c>
      <c r="M1112" t="s">
        <v>746</v>
      </c>
      <c r="N1112" t="s">
        <v>45</v>
      </c>
      <c r="O1112" t="s">
        <v>74</v>
      </c>
      <c r="P1112">
        <v>1</v>
      </c>
      <c r="Q1112" s="7">
        <v>46227</v>
      </c>
      <c r="R1112" s="7">
        <v>46227</v>
      </c>
      <c r="S1112" s="7">
        <v>46227</v>
      </c>
      <c r="T1112" t="s">
        <v>74</v>
      </c>
      <c r="V1112" t="s">
        <v>903</v>
      </c>
      <c r="W1112" t="s">
        <v>74</v>
      </c>
      <c r="X1112" t="s">
        <v>74</v>
      </c>
      <c r="Y1112" t="s">
        <v>74</v>
      </c>
      <c r="Z1112" t="s">
        <v>74</v>
      </c>
      <c r="AA1112" s="7">
        <v>46227</v>
      </c>
      <c r="AB1112" t="s">
        <v>62</v>
      </c>
      <c r="AE1112" s="7">
        <v>46227</v>
      </c>
      <c r="AF1112">
        <v>2</v>
      </c>
      <c r="AH1112" t="s">
        <v>75</v>
      </c>
      <c r="AI1112">
        <v>1</v>
      </c>
      <c r="AJ1112" s="15"/>
      <c r="AK1112" t="s">
        <v>86</v>
      </c>
      <c r="AL1112" s="16"/>
      <c r="AR1112" s="18" t="str">
        <f>IFERROR(VLOOKUP(K1112,[1]POP!$F:$J,1,0),M1112)</f>
        <v>MORA</v>
      </c>
      <c r="AS1112" s="18" t="str">
        <f t="shared" si="86"/>
        <v>Mora</v>
      </c>
      <c r="AT1112" s="19">
        <f t="shared" si="89"/>
        <v>2</v>
      </c>
      <c r="AU1112" s="19">
        <f t="shared" ca="1" si="88"/>
        <v>2</v>
      </c>
    </row>
    <row r="1113" spans="1:47" x14ac:dyDescent="0.3">
      <c r="A1113" t="s">
        <v>1615</v>
      </c>
      <c r="B1113" t="str">
        <f t="shared" si="85"/>
        <v>S31_2026</v>
      </c>
      <c r="C1113" t="str">
        <f t="shared" si="87"/>
        <v>S31_2026</v>
      </c>
      <c r="F1113">
        <v>20</v>
      </c>
      <c r="G1113" t="s">
        <v>40</v>
      </c>
      <c r="H1113" t="s">
        <v>899</v>
      </c>
      <c r="J1113" t="s">
        <v>902</v>
      </c>
      <c r="K1113" t="s">
        <v>746</v>
      </c>
      <c r="L1113" t="s">
        <v>902</v>
      </c>
      <c r="M1113" t="s">
        <v>746</v>
      </c>
      <c r="N1113" t="s">
        <v>45</v>
      </c>
      <c r="O1113" t="s">
        <v>45</v>
      </c>
      <c r="P1113">
        <v>1</v>
      </c>
      <c r="Q1113" s="7">
        <v>46234</v>
      </c>
      <c r="R1113" s="7">
        <v>46234</v>
      </c>
      <c r="S1113" s="7">
        <v>46234</v>
      </c>
      <c r="T1113" t="s">
        <v>74</v>
      </c>
      <c r="V1113" t="s">
        <v>903</v>
      </c>
      <c r="W1113" t="s">
        <v>45</v>
      </c>
      <c r="X1113" t="s">
        <v>74</v>
      </c>
      <c r="Y1113" t="s">
        <v>74</v>
      </c>
      <c r="Z1113" t="s">
        <v>74</v>
      </c>
      <c r="AA1113" s="7">
        <v>46234</v>
      </c>
      <c r="AB1113" t="s">
        <v>62</v>
      </c>
      <c r="AE1113" s="7">
        <v>46234</v>
      </c>
      <c r="AF1113">
        <v>2</v>
      </c>
      <c r="AH1113" t="s">
        <v>75</v>
      </c>
      <c r="AI1113">
        <v>1</v>
      </c>
      <c r="AJ1113" s="15"/>
      <c r="AK1113" t="s">
        <v>86</v>
      </c>
      <c r="AL1113" s="16"/>
      <c r="AR1113" s="18" t="str">
        <f>IFERROR(VLOOKUP(K1113,[1]POP!$F:$J,1,0),M1113)</f>
        <v>MORA</v>
      </c>
      <c r="AS1113" s="18" t="str">
        <f t="shared" si="86"/>
        <v>KOURGUI</v>
      </c>
      <c r="AT1113" s="19">
        <f t="shared" si="89"/>
        <v>2</v>
      </c>
      <c r="AU1113" s="19">
        <f t="shared" ca="1" si="88"/>
        <v>2</v>
      </c>
    </row>
    <row r="1114" spans="1:47" x14ac:dyDescent="0.3">
      <c r="A1114" t="s">
        <v>1616</v>
      </c>
      <c r="B1114" t="str">
        <f t="shared" si="85"/>
        <v>S32_2026</v>
      </c>
      <c r="C1114" t="str">
        <f t="shared" si="87"/>
        <v>S32_2026</v>
      </c>
      <c r="F1114">
        <v>20</v>
      </c>
      <c r="G1114" t="s">
        <v>55</v>
      </c>
      <c r="H1114" t="s">
        <v>70</v>
      </c>
      <c r="I1114" t="s">
        <v>1617</v>
      </c>
      <c r="J1114" t="s">
        <v>1355</v>
      </c>
      <c r="K1114" t="s">
        <v>746</v>
      </c>
      <c r="L1114" t="s">
        <v>1355</v>
      </c>
      <c r="M1114" t="s">
        <v>746</v>
      </c>
      <c r="N1114" t="s">
        <v>45</v>
      </c>
      <c r="O1114" t="s">
        <v>45</v>
      </c>
      <c r="P1114">
        <v>1</v>
      </c>
      <c r="Q1114" s="7">
        <v>46238</v>
      </c>
      <c r="R1114" s="7">
        <v>46238</v>
      </c>
      <c r="S1114" s="7">
        <v>46238</v>
      </c>
      <c r="T1114" t="s">
        <v>45</v>
      </c>
      <c r="V1114" t="s">
        <v>1356</v>
      </c>
      <c r="W1114" t="s">
        <v>45</v>
      </c>
      <c r="X1114" t="s">
        <v>45</v>
      </c>
      <c r="Y1114" t="s">
        <v>45</v>
      </c>
      <c r="AB1114" t="s">
        <v>48</v>
      </c>
      <c r="AC1114" t="s">
        <v>74</v>
      </c>
      <c r="AE1114" s="7">
        <v>46247</v>
      </c>
      <c r="AF1114">
        <v>2</v>
      </c>
      <c r="AH1114" t="s">
        <v>75</v>
      </c>
      <c r="AI1114">
        <v>1</v>
      </c>
      <c r="AJ1114" s="15"/>
      <c r="AL1114" s="16"/>
      <c r="AR1114" s="18" t="str">
        <f>IFERROR(VLOOKUP(K1114,[1]POP!$F:$J,1,0),M1114)</f>
        <v>MORA</v>
      </c>
      <c r="AS1114" s="18" t="str">
        <f t="shared" si="86"/>
        <v>AISSA HARDE</v>
      </c>
      <c r="AT1114" s="19">
        <f t="shared" si="89"/>
        <v>2</v>
      </c>
      <c r="AU1114" s="19">
        <f t="shared" ca="1" si="88"/>
        <v>2</v>
      </c>
    </row>
    <row r="1115" spans="1:47" x14ac:dyDescent="0.3">
      <c r="A1115" t="s">
        <v>1618</v>
      </c>
      <c r="B1115" t="str">
        <f t="shared" si="85"/>
        <v>S27_2026</v>
      </c>
      <c r="C1115" t="str">
        <f t="shared" si="87"/>
        <v>S27_2026</v>
      </c>
      <c r="F1115">
        <v>14</v>
      </c>
      <c r="G1115" t="s">
        <v>40</v>
      </c>
      <c r="H1115" t="s">
        <v>85</v>
      </c>
      <c r="I1115" t="s">
        <v>1619</v>
      </c>
      <c r="J1115" t="s">
        <v>71</v>
      </c>
      <c r="K1115" t="s">
        <v>72</v>
      </c>
      <c r="L1115" t="s">
        <v>72</v>
      </c>
      <c r="M1115" t="s">
        <v>72</v>
      </c>
      <c r="N1115" t="s">
        <v>45</v>
      </c>
      <c r="O1115" t="s">
        <v>45</v>
      </c>
      <c r="P1115">
        <v>3</v>
      </c>
      <c r="Q1115" s="7">
        <v>46205</v>
      </c>
      <c r="R1115" s="7">
        <v>46206</v>
      </c>
      <c r="S1115" s="7">
        <v>46206</v>
      </c>
      <c r="T1115" t="s">
        <v>45</v>
      </c>
      <c r="V1115" t="s">
        <v>343</v>
      </c>
      <c r="W1115" t="s">
        <v>45</v>
      </c>
      <c r="X1115" t="s">
        <v>45</v>
      </c>
      <c r="Y1115" t="s">
        <v>45</v>
      </c>
      <c r="Z1115" t="s">
        <v>45</v>
      </c>
      <c r="AB1115" t="s">
        <v>48</v>
      </c>
      <c r="AE1115" s="7">
        <v>46241</v>
      </c>
      <c r="AF1115">
        <v>2</v>
      </c>
      <c r="AH1115" t="s">
        <v>75</v>
      </c>
      <c r="AI1115">
        <v>1</v>
      </c>
      <c r="AJ1115" s="15"/>
      <c r="AK1115" t="s">
        <v>74</v>
      </c>
      <c r="AL1115" s="16"/>
      <c r="AR1115" s="18" t="str">
        <f>IFERROR(VLOOKUP(K1115,[1]POP!$F:$J,1,0),M1115)</f>
        <v>FOTOKOL</v>
      </c>
      <c r="AS1115" s="18" t="str">
        <f t="shared" si="86"/>
        <v>SAGME</v>
      </c>
      <c r="AT1115" s="19">
        <f t="shared" si="89"/>
        <v>2</v>
      </c>
      <c r="AU1115" s="19">
        <f t="shared" ca="1" si="88"/>
        <v>2</v>
      </c>
    </row>
    <row r="1116" spans="1:47" x14ac:dyDescent="0.3">
      <c r="A1116" t="s">
        <v>1620</v>
      </c>
      <c r="B1116" t="str">
        <f t="shared" si="85"/>
        <v>S27_2026</v>
      </c>
      <c r="C1116" t="str">
        <f t="shared" si="87"/>
        <v>S27_2026</v>
      </c>
      <c r="F1116">
        <v>5</v>
      </c>
      <c r="G1116" t="s">
        <v>40</v>
      </c>
      <c r="H1116" t="s">
        <v>85</v>
      </c>
      <c r="I1116" t="s">
        <v>71</v>
      </c>
      <c r="J1116" t="s">
        <v>71</v>
      </c>
      <c r="K1116" t="s">
        <v>72</v>
      </c>
      <c r="L1116" t="s">
        <v>71</v>
      </c>
      <c r="M1116" t="s">
        <v>72</v>
      </c>
      <c r="N1116" t="s">
        <v>45</v>
      </c>
      <c r="O1116" t="s">
        <v>45</v>
      </c>
      <c r="P1116">
        <v>2</v>
      </c>
      <c r="Q1116" s="7">
        <v>46208</v>
      </c>
      <c r="R1116" s="7">
        <v>46208</v>
      </c>
      <c r="S1116" s="7">
        <v>46208</v>
      </c>
      <c r="T1116" t="s">
        <v>45</v>
      </c>
      <c r="V1116" t="s">
        <v>83</v>
      </c>
      <c r="W1116" t="s">
        <v>45</v>
      </c>
      <c r="X1116" t="s">
        <v>45</v>
      </c>
      <c r="Y1116" t="s">
        <v>45</v>
      </c>
      <c r="Z1116" t="s">
        <v>45</v>
      </c>
      <c r="AE1116" s="7">
        <v>46242</v>
      </c>
      <c r="AF1116">
        <v>2</v>
      </c>
      <c r="AH1116" t="s">
        <v>75</v>
      </c>
      <c r="AI1116">
        <v>1</v>
      </c>
      <c r="AJ1116" s="15"/>
      <c r="AK1116" t="s">
        <v>74</v>
      </c>
      <c r="AL1116" s="16"/>
      <c r="AR1116" s="18" t="str">
        <f>IFERROR(VLOOKUP(K1116,[1]POP!$F:$J,1,0),M1116)</f>
        <v>FOTOKOL</v>
      </c>
      <c r="AS1116" s="18" t="str">
        <f t="shared" si="86"/>
        <v>SAGME</v>
      </c>
      <c r="AT1116" s="19">
        <f t="shared" si="89"/>
        <v>2</v>
      </c>
      <c r="AU1116" s="19">
        <f t="shared" ca="1" si="88"/>
        <v>2</v>
      </c>
    </row>
    <row r="1117" spans="1:47" x14ac:dyDescent="0.3">
      <c r="A1117" t="s">
        <v>1621</v>
      </c>
      <c r="B1117" t="str">
        <f t="shared" si="85"/>
        <v>S27_2026</v>
      </c>
      <c r="C1117" t="str">
        <f t="shared" si="87"/>
        <v>S27_2026</v>
      </c>
      <c r="F1117">
        <v>11</v>
      </c>
      <c r="G1117" t="s">
        <v>40</v>
      </c>
      <c r="H1117" t="s">
        <v>85</v>
      </c>
      <c r="I1117" t="s">
        <v>71</v>
      </c>
      <c r="J1117" t="s">
        <v>71</v>
      </c>
      <c r="K1117" t="s">
        <v>72</v>
      </c>
      <c r="L1117" t="s">
        <v>71</v>
      </c>
      <c r="M1117" t="s">
        <v>72</v>
      </c>
      <c r="N1117" t="s">
        <v>45</v>
      </c>
      <c r="O1117" t="s">
        <v>45</v>
      </c>
      <c r="P1117">
        <v>2</v>
      </c>
      <c r="Q1117" s="7">
        <v>46208</v>
      </c>
      <c r="R1117" s="7">
        <v>46208</v>
      </c>
      <c r="S1117" s="7">
        <v>46208</v>
      </c>
      <c r="T1117" t="s">
        <v>45</v>
      </c>
      <c r="V1117" t="s">
        <v>83</v>
      </c>
      <c r="W1117" t="s">
        <v>45</v>
      </c>
      <c r="X1117" t="s">
        <v>45</v>
      </c>
      <c r="Y1117" t="s">
        <v>45</v>
      </c>
      <c r="Z1117" t="s">
        <v>45</v>
      </c>
      <c r="AE1117" s="7">
        <v>46242</v>
      </c>
      <c r="AF1117">
        <v>2</v>
      </c>
      <c r="AH1117" t="s">
        <v>75</v>
      </c>
      <c r="AI1117">
        <v>1</v>
      </c>
      <c r="AJ1117" s="15"/>
      <c r="AK1117" t="s">
        <v>74</v>
      </c>
      <c r="AL1117" s="16"/>
      <c r="AR1117" s="18" t="str">
        <f>IFERROR(VLOOKUP(K1117,[1]POP!$F:$J,1,0),M1117)</f>
        <v>FOTOKOL</v>
      </c>
      <c r="AS1117" s="18" t="str">
        <f t="shared" si="86"/>
        <v>SAGME</v>
      </c>
      <c r="AT1117" s="19">
        <f t="shared" si="89"/>
        <v>2</v>
      </c>
      <c r="AU1117" s="19">
        <f t="shared" ca="1" si="88"/>
        <v>2</v>
      </c>
    </row>
    <row r="1118" spans="1:47" x14ac:dyDescent="0.3">
      <c r="A1118" t="s">
        <v>1622</v>
      </c>
      <c r="B1118" t="str">
        <f t="shared" si="85"/>
        <v>S27_2026</v>
      </c>
      <c r="C1118" t="str">
        <f t="shared" si="87"/>
        <v>S32_2026</v>
      </c>
      <c r="F1118">
        <v>21</v>
      </c>
      <c r="G1118" t="s">
        <v>55</v>
      </c>
      <c r="H1118" t="s">
        <v>164</v>
      </c>
      <c r="I1118" t="s">
        <v>71</v>
      </c>
      <c r="J1118" t="s">
        <v>71</v>
      </c>
      <c r="K1118" t="s">
        <v>72</v>
      </c>
      <c r="L1118" t="s">
        <v>71</v>
      </c>
      <c r="M1118" t="s">
        <v>72</v>
      </c>
      <c r="N1118" t="s">
        <v>45</v>
      </c>
      <c r="O1118" t="s">
        <v>45</v>
      </c>
      <c r="P1118">
        <v>2</v>
      </c>
      <c r="Q1118" s="7">
        <v>46239</v>
      </c>
      <c r="R1118" s="7">
        <v>46208</v>
      </c>
      <c r="S1118" s="7">
        <v>46208</v>
      </c>
      <c r="T1118" t="s">
        <v>45</v>
      </c>
      <c r="V1118" t="s">
        <v>83</v>
      </c>
      <c r="W1118" t="s">
        <v>45</v>
      </c>
      <c r="X1118" t="s">
        <v>45</v>
      </c>
      <c r="Y1118" t="s">
        <v>45</v>
      </c>
      <c r="Z1118" t="s">
        <v>45</v>
      </c>
      <c r="AE1118" s="7">
        <v>46242</v>
      </c>
      <c r="AF1118">
        <v>2</v>
      </c>
      <c r="AH1118" t="s">
        <v>75</v>
      </c>
      <c r="AI1118">
        <v>1</v>
      </c>
      <c r="AJ1118" s="15"/>
      <c r="AK1118" t="s">
        <v>74</v>
      </c>
      <c r="AL1118" s="16"/>
      <c r="AR1118" s="18" t="str">
        <f>IFERROR(VLOOKUP(K1118,[1]POP!$F:$J,1,0),M1118)</f>
        <v>FOTOKOL</v>
      </c>
      <c r="AS1118" s="18" t="str">
        <f t="shared" si="86"/>
        <v>SAGME</v>
      </c>
      <c r="AT1118" s="19">
        <f t="shared" si="89"/>
        <v>2</v>
      </c>
      <c r="AU1118" s="19">
        <f t="shared" ca="1" si="88"/>
        <v>2</v>
      </c>
    </row>
    <row r="1119" spans="1:47" x14ac:dyDescent="0.3">
      <c r="A1119" t="s">
        <v>1623</v>
      </c>
      <c r="B1119" t="str">
        <f t="shared" si="85"/>
        <v>S28_2026</v>
      </c>
      <c r="C1119" t="str">
        <f t="shared" si="87"/>
        <v>S28_2026</v>
      </c>
      <c r="F1119">
        <v>22</v>
      </c>
      <c r="G1119" t="s">
        <v>55</v>
      </c>
      <c r="H1119" t="s">
        <v>164</v>
      </c>
      <c r="I1119" t="s">
        <v>71</v>
      </c>
      <c r="J1119" t="s">
        <v>71</v>
      </c>
      <c r="K1119" t="s">
        <v>72</v>
      </c>
      <c r="L1119" t="s">
        <v>71</v>
      </c>
      <c r="M1119" t="s">
        <v>72</v>
      </c>
      <c r="N1119" t="s">
        <v>45</v>
      </c>
      <c r="O1119" t="s">
        <v>45</v>
      </c>
      <c r="P1119">
        <v>2</v>
      </c>
      <c r="Q1119" s="7">
        <v>46209</v>
      </c>
      <c r="R1119" s="7">
        <v>46209</v>
      </c>
      <c r="S1119" s="7">
        <v>46209</v>
      </c>
      <c r="T1119" t="s">
        <v>45</v>
      </c>
      <c r="V1119" t="s">
        <v>83</v>
      </c>
      <c r="W1119" t="s">
        <v>45</v>
      </c>
      <c r="X1119" t="s">
        <v>45</v>
      </c>
      <c r="Y1119" t="s">
        <v>45</v>
      </c>
      <c r="Z1119" t="s">
        <v>45</v>
      </c>
      <c r="AE1119" s="7">
        <v>46243</v>
      </c>
      <c r="AF1119">
        <v>2</v>
      </c>
      <c r="AH1119" t="s">
        <v>75</v>
      </c>
      <c r="AI1119">
        <v>1</v>
      </c>
      <c r="AJ1119" s="15"/>
      <c r="AK1119" t="s">
        <v>74</v>
      </c>
      <c r="AL1119" s="16"/>
      <c r="AR1119" s="18" t="str">
        <f>IFERROR(VLOOKUP(K1119,[1]POP!$F:$J,1,0),M1119)</f>
        <v>FOTOKOL</v>
      </c>
      <c r="AS1119" s="18" t="str">
        <f t="shared" si="86"/>
        <v>SAGME</v>
      </c>
      <c r="AT1119" s="19">
        <f t="shared" si="89"/>
        <v>2</v>
      </c>
      <c r="AU1119" s="19">
        <f t="shared" ca="1" si="88"/>
        <v>2</v>
      </c>
    </row>
    <row r="1120" spans="1:47" x14ac:dyDescent="0.3">
      <c r="A1120" t="s">
        <v>1624</v>
      </c>
      <c r="B1120" t="str">
        <f t="shared" si="85"/>
        <v>S28_2026</v>
      </c>
      <c r="C1120" t="str">
        <f t="shared" si="87"/>
        <v>S32_2026</v>
      </c>
      <c r="F1120">
        <v>7</v>
      </c>
      <c r="G1120" t="s">
        <v>40</v>
      </c>
      <c r="H1120" t="s">
        <v>85</v>
      </c>
      <c r="I1120" t="s">
        <v>71</v>
      </c>
      <c r="J1120" t="s">
        <v>71</v>
      </c>
      <c r="K1120" t="s">
        <v>72</v>
      </c>
      <c r="L1120" t="s">
        <v>71</v>
      </c>
      <c r="M1120" t="s">
        <v>72</v>
      </c>
      <c r="N1120" t="s">
        <v>45</v>
      </c>
      <c r="O1120" t="s">
        <v>45</v>
      </c>
      <c r="P1120">
        <v>2</v>
      </c>
      <c r="Q1120" s="7">
        <v>46240</v>
      </c>
      <c r="R1120" s="7">
        <v>46240</v>
      </c>
      <c r="S1120" s="7">
        <v>46209</v>
      </c>
      <c r="T1120" t="s">
        <v>45</v>
      </c>
      <c r="V1120" t="s">
        <v>83</v>
      </c>
      <c r="W1120" t="s">
        <v>45</v>
      </c>
      <c r="X1120" t="s">
        <v>45</v>
      </c>
      <c r="Y1120" t="s">
        <v>45</v>
      </c>
      <c r="Z1120" t="s">
        <v>45</v>
      </c>
      <c r="AE1120" s="7">
        <v>46243</v>
      </c>
      <c r="AF1120">
        <v>2</v>
      </c>
      <c r="AH1120" t="s">
        <v>75</v>
      </c>
      <c r="AI1120">
        <v>1</v>
      </c>
      <c r="AJ1120" s="15"/>
      <c r="AK1120" t="s">
        <v>74</v>
      </c>
      <c r="AL1120" s="16"/>
      <c r="AR1120" s="18" t="str">
        <f>IFERROR(VLOOKUP(K1120,[1]POP!$F:$J,1,0),M1120)</f>
        <v>FOTOKOL</v>
      </c>
      <c r="AS1120" s="18" t="str">
        <f t="shared" si="86"/>
        <v>SAGME</v>
      </c>
      <c r="AT1120" s="19">
        <f t="shared" si="89"/>
        <v>2</v>
      </c>
      <c r="AU1120" s="19">
        <f t="shared" ca="1" si="88"/>
        <v>2</v>
      </c>
    </row>
    <row r="1121" spans="1:47" x14ac:dyDescent="0.3">
      <c r="A1121" t="s">
        <v>1625</v>
      </c>
      <c r="B1121" t="str">
        <f t="shared" si="85"/>
        <v>S28_2026</v>
      </c>
      <c r="C1121" t="str">
        <f t="shared" si="87"/>
        <v>S32_2026</v>
      </c>
      <c r="F1121">
        <v>14</v>
      </c>
      <c r="G1121" t="s">
        <v>40</v>
      </c>
      <c r="H1121" t="s">
        <v>85</v>
      </c>
      <c r="I1121" t="s">
        <v>71</v>
      </c>
      <c r="J1121" t="s">
        <v>71</v>
      </c>
      <c r="K1121" t="s">
        <v>72</v>
      </c>
      <c r="L1121" t="s">
        <v>71</v>
      </c>
      <c r="M1121" t="s">
        <v>72</v>
      </c>
      <c r="N1121" t="s">
        <v>45</v>
      </c>
      <c r="O1121" t="s">
        <v>45</v>
      </c>
      <c r="P1121">
        <v>2</v>
      </c>
      <c r="Q1121" s="7">
        <v>46240</v>
      </c>
      <c r="R1121" s="7">
        <v>46240</v>
      </c>
      <c r="S1121" s="7">
        <v>46209</v>
      </c>
      <c r="T1121" t="s">
        <v>45</v>
      </c>
      <c r="V1121" t="s">
        <v>83</v>
      </c>
      <c r="W1121" t="s">
        <v>45</v>
      </c>
      <c r="X1121" t="s">
        <v>45</v>
      </c>
      <c r="Y1121" t="s">
        <v>45</v>
      </c>
      <c r="Z1121" t="s">
        <v>45</v>
      </c>
      <c r="AE1121" s="7">
        <v>46243</v>
      </c>
      <c r="AF1121">
        <v>2</v>
      </c>
      <c r="AH1121" t="s">
        <v>75</v>
      </c>
      <c r="AI1121">
        <v>1</v>
      </c>
      <c r="AJ1121" s="15"/>
      <c r="AK1121" t="s">
        <v>74</v>
      </c>
      <c r="AL1121" s="16"/>
      <c r="AR1121" s="18" t="str">
        <f>IFERROR(VLOOKUP(K1121,[1]POP!$F:$J,1,0),M1121)</f>
        <v>FOTOKOL</v>
      </c>
      <c r="AS1121" s="18" t="str">
        <f t="shared" si="86"/>
        <v>SAGME</v>
      </c>
      <c r="AT1121" s="19">
        <f t="shared" si="89"/>
        <v>2</v>
      </c>
      <c r="AU1121" s="19">
        <f t="shared" ca="1" si="88"/>
        <v>2</v>
      </c>
    </row>
    <row r="1122" spans="1:47" x14ac:dyDescent="0.3">
      <c r="A1122" t="s">
        <v>1626</v>
      </c>
      <c r="B1122" t="str">
        <f t="shared" si="85"/>
        <v>S32_2026</v>
      </c>
      <c r="C1122" t="str">
        <f t="shared" si="87"/>
        <v>S32_2026</v>
      </c>
      <c r="F1122">
        <v>13</v>
      </c>
      <c r="G1122" t="s">
        <v>55</v>
      </c>
      <c r="H1122" t="s">
        <v>85</v>
      </c>
      <c r="I1122" t="s">
        <v>624</v>
      </c>
      <c r="J1122" t="s">
        <v>624</v>
      </c>
      <c r="K1122" t="s">
        <v>72</v>
      </c>
      <c r="L1122" t="s">
        <v>624</v>
      </c>
      <c r="M1122" t="s">
        <v>72</v>
      </c>
      <c r="N1122" t="s">
        <v>45</v>
      </c>
      <c r="O1122" t="s">
        <v>45</v>
      </c>
      <c r="P1122">
        <v>3</v>
      </c>
      <c r="Q1122" s="7">
        <v>46241</v>
      </c>
      <c r="R1122" s="7">
        <v>46241</v>
      </c>
      <c r="S1122" s="7">
        <v>46241</v>
      </c>
      <c r="T1122" t="s">
        <v>45</v>
      </c>
      <c r="V1122" t="s">
        <v>343</v>
      </c>
      <c r="W1122" t="s">
        <v>45</v>
      </c>
      <c r="X1122" t="s">
        <v>45</v>
      </c>
      <c r="Y1122" t="s">
        <v>45</v>
      </c>
      <c r="Z1122" t="s">
        <v>45</v>
      </c>
      <c r="AA1122" s="7">
        <v>46241</v>
      </c>
      <c r="AB1122" t="s">
        <v>48</v>
      </c>
      <c r="AE1122" s="7">
        <v>46244</v>
      </c>
      <c r="AF1122">
        <v>2</v>
      </c>
      <c r="AH1122" t="s">
        <v>75</v>
      </c>
      <c r="AI1122">
        <v>1</v>
      </c>
      <c r="AJ1122" s="15"/>
      <c r="AK1122" t="s">
        <v>74</v>
      </c>
      <c r="AL1122" s="16"/>
      <c r="AR1122" s="18" t="str">
        <f>IFERROR(VLOOKUP(K1122,[1]POP!$F:$J,1,0),M1122)</f>
        <v>FOTOKOL</v>
      </c>
      <c r="AS1122" s="18" t="str">
        <f t="shared" si="86"/>
        <v>BELGUEDE</v>
      </c>
      <c r="AT1122" s="19">
        <f t="shared" si="89"/>
        <v>2</v>
      </c>
      <c r="AU1122" s="19">
        <f t="shared" ca="1" si="88"/>
        <v>2</v>
      </c>
    </row>
    <row r="1123" spans="1:47" x14ac:dyDescent="0.3">
      <c r="A1123" t="s">
        <v>1627</v>
      </c>
      <c r="B1123" t="str">
        <f t="shared" si="85"/>
        <v>S32_2026</v>
      </c>
      <c r="C1123" t="str">
        <f t="shared" si="87"/>
        <v>S32_2026</v>
      </c>
      <c r="F1123">
        <v>2</v>
      </c>
      <c r="G1123" t="s">
        <v>55</v>
      </c>
      <c r="H1123" t="s">
        <v>85</v>
      </c>
      <c r="I1123" t="s">
        <v>1628</v>
      </c>
      <c r="J1123" t="s">
        <v>624</v>
      </c>
      <c r="K1123" t="s">
        <v>72</v>
      </c>
      <c r="L1123" t="s">
        <v>624</v>
      </c>
      <c r="M1123" t="s">
        <v>72</v>
      </c>
      <c r="N1123" t="s">
        <v>45</v>
      </c>
      <c r="O1123" t="s">
        <v>45</v>
      </c>
      <c r="P1123">
        <v>2</v>
      </c>
      <c r="Q1123" s="7">
        <v>46241</v>
      </c>
      <c r="R1123" s="7">
        <v>46241</v>
      </c>
      <c r="S1123" s="7">
        <v>46241</v>
      </c>
      <c r="T1123" t="s">
        <v>45</v>
      </c>
      <c r="V1123" t="s">
        <v>343</v>
      </c>
      <c r="W1123" t="s">
        <v>45</v>
      </c>
      <c r="X1123" t="s">
        <v>45</v>
      </c>
      <c r="Y1123" t="s">
        <v>45</v>
      </c>
      <c r="Z1123" t="s">
        <v>45</v>
      </c>
      <c r="AA1123" s="7">
        <v>46241</v>
      </c>
      <c r="AB1123" t="s">
        <v>48</v>
      </c>
      <c r="AE1123" s="7">
        <v>46244</v>
      </c>
      <c r="AF1123">
        <v>2</v>
      </c>
      <c r="AH1123" t="s">
        <v>75</v>
      </c>
      <c r="AI1123">
        <v>1</v>
      </c>
      <c r="AJ1123" s="15"/>
      <c r="AK1123" t="s">
        <v>74</v>
      </c>
      <c r="AL1123" s="16"/>
      <c r="AR1123" s="18" t="str">
        <f>IFERROR(VLOOKUP(K1123,[1]POP!$F:$J,1,0),M1123)</f>
        <v>FOTOKOL</v>
      </c>
      <c r="AS1123" s="18" t="str">
        <f t="shared" si="86"/>
        <v>BELGUEDE</v>
      </c>
      <c r="AT1123" s="19">
        <f t="shared" si="89"/>
        <v>2</v>
      </c>
      <c r="AU1123" s="19">
        <f t="shared" ca="1" si="88"/>
        <v>2</v>
      </c>
    </row>
    <row r="1124" spans="1:47" x14ac:dyDescent="0.3">
      <c r="A1124" t="s">
        <v>1629</v>
      </c>
      <c r="B1124" t="str">
        <f t="shared" si="85"/>
        <v>S30_2026</v>
      </c>
      <c r="C1124" t="str">
        <f t="shared" si="87"/>
        <v>S29_2026</v>
      </c>
      <c r="E1124">
        <v>682525039</v>
      </c>
      <c r="F1124">
        <v>68</v>
      </c>
      <c r="G1124" t="s">
        <v>55</v>
      </c>
      <c r="H1124" t="s">
        <v>790</v>
      </c>
      <c r="I1124" t="s">
        <v>460</v>
      </c>
      <c r="J1124" t="s">
        <v>459</v>
      </c>
      <c r="K1124" t="s">
        <v>460</v>
      </c>
      <c r="L1124" t="s">
        <v>793</v>
      </c>
      <c r="M1124" t="s">
        <v>116</v>
      </c>
      <c r="N1124" t="s">
        <v>45</v>
      </c>
      <c r="O1124" t="s">
        <v>45</v>
      </c>
      <c r="P1124">
        <v>2</v>
      </c>
      <c r="Q1124" s="7">
        <v>46222</v>
      </c>
      <c r="R1124" s="7">
        <v>46224</v>
      </c>
      <c r="S1124" s="7">
        <v>46225</v>
      </c>
      <c r="T1124" t="s">
        <v>45</v>
      </c>
      <c r="V1124" t="s">
        <v>794</v>
      </c>
      <c r="W1124" t="s">
        <v>45</v>
      </c>
      <c r="X1124" t="s">
        <v>45</v>
      </c>
      <c r="Y1124" t="s">
        <v>45</v>
      </c>
      <c r="Z1124" t="s">
        <v>74</v>
      </c>
      <c r="AA1124" s="7">
        <v>46224</v>
      </c>
      <c r="AB1124" t="s">
        <v>48</v>
      </c>
      <c r="AE1124" s="7">
        <v>46228</v>
      </c>
      <c r="AF1124">
        <v>2</v>
      </c>
      <c r="AH1124" t="s">
        <v>75</v>
      </c>
      <c r="AI1124">
        <v>1</v>
      </c>
      <c r="AJ1124" s="15"/>
      <c r="AK1124" t="s">
        <v>74</v>
      </c>
      <c r="AL1124" s="16"/>
      <c r="AR1124" s="18" t="str">
        <f>IFERROR(VLOOKUP(K1124,[1]POP!$F:$J,1,0),M1124)</f>
        <v>MAKARY</v>
      </c>
      <c r="AS1124" s="18" t="str">
        <f t="shared" si="86"/>
        <v>BODO</v>
      </c>
      <c r="AT1124" s="19">
        <f t="shared" si="89"/>
        <v>2</v>
      </c>
      <c r="AU1124" s="19">
        <f t="shared" ca="1" si="88"/>
        <v>2</v>
      </c>
    </row>
    <row r="1125" spans="1:47" x14ac:dyDescent="0.3">
      <c r="A1125" t="s">
        <v>1630</v>
      </c>
      <c r="B1125" t="str">
        <f t="shared" si="85"/>
        <v>S32_2026</v>
      </c>
      <c r="C1125" t="str">
        <f t="shared" si="87"/>
        <v>S32_2026</v>
      </c>
      <c r="E1125">
        <v>671904134</v>
      </c>
      <c r="F1125">
        <v>32</v>
      </c>
      <c r="G1125" t="s">
        <v>40</v>
      </c>
      <c r="H1125" t="s">
        <v>77</v>
      </c>
      <c r="I1125" t="s">
        <v>1631</v>
      </c>
      <c r="J1125" t="s">
        <v>793</v>
      </c>
      <c r="K1125" t="s">
        <v>116</v>
      </c>
      <c r="L1125" t="s">
        <v>793</v>
      </c>
      <c r="M1125" t="s">
        <v>116</v>
      </c>
      <c r="N1125" t="s">
        <v>45</v>
      </c>
      <c r="O1125" t="s">
        <v>45</v>
      </c>
      <c r="P1125">
        <v>2</v>
      </c>
      <c r="Q1125" s="7">
        <v>46239</v>
      </c>
      <c r="R1125" s="7">
        <v>46240</v>
      </c>
      <c r="S1125" s="7">
        <v>46240</v>
      </c>
      <c r="T1125" t="s">
        <v>45</v>
      </c>
      <c r="V1125" t="s">
        <v>794</v>
      </c>
      <c r="W1125" t="s">
        <v>45</v>
      </c>
      <c r="X1125" t="s">
        <v>45</v>
      </c>
      <c r="Y1125" t="s">
        <v>45</v>
      </c>
      <c r="Z1125" t="s">
        <v>74</v>
      </c>
      <c r="AA1125" s="7">
        <v>46240</v>
      </c>
      <c r="AB1125" t="s">
        <v>48</v>
      </c>
      <c r="AF1125">
        <v>2</v>
      </c>
      <c r="AH1125" t="s">
        <v>75</v>
      </c>
      <c r="AI1125">
        <v>1</v>
      </c>
      <c r="AJ1125" s="15"/>
      <c r="AK1125" t="s">
        <v>74</v>
      </c>
      <c r="AL1125" s="16"/>
      <c r="AR1125" s="18" t="str">
        <f>IFERROR(VLOOKUP(K1125,[1]POP!$F:$J,1,0),M1125)</f>
        <v>MAKARY</v>
      </c>
      <c r="AS1125" s="18" t="str">
        <f t="shared" si="86"/>
        <v>BODO</v>
      </c>
      <c r="AT1125" s="19">
        <f t="shared" si="89"/>
        <v>2</v>
      </c>
      <c r="AU1125" s="19">
        <f t="shared" ca="1" si="88"/>
        <v>2</v>
      </c>
    </row>
    <row r="1126" spans="1:47" x14ac:dyDescent="0.3">
      <c r="A1126" t="s">
        <v>1632</v>
      </c>
      <c r="B1126" t="str">
        <f t="shared" si="85"/>
        <v>S32_2026</v>
      </c>
      <c r="C1126" t="str">
        <f t="shared" si="87"/>
        <v>S32_2026</v>
      </c>
      <c r="E1126">
        <v>671904134</v>
      </c>
      <c r="F1126">
        <v>8</v>
      </c>
      <c r="G1126" t="s">
        <v>55</v>
      </c>
      <c r="H1126" t="s">
        <v>85</v>
      </c>
      <c r="I1126" t="s">
        <v>1631</v>
      </c>
      <c r="J1126" t="s">
        <v>793</v>
      </c>
      <c r="K1126" t="s">
        <v>116</v>
      </c>
      <c r="L1126" t="s">
        <v>793</v>
      </c>
      <c r="M1126" t="s">
        <v>116</v>
      </c>
      <c r="N1126" t="s">
        <v>45</v>
      </c>
      <c r="O1126" t="s">
        <v>45</v>
      </c>
      <c r="P1126">
        <v>2</v>
      </c>
      <c r="Q1126" s="7">
        <v>46241</v>
      </c>
      <c r="R1126" s="7">
        <v>46242</v>
      </c>
      <c r="S1126" s="7">
        <v>46242</v>
      </c>
      <c r="T1126" t="s">
        <v>45</v>
      </c>
      <c r="V1126" t="s">
        <v>794</v>
      </c>
      <c r="W1126" t="s">
        <v>45</v>
      </c>
      <c r="X1126" t="s">
        <v>45</v>
      </c>
      <c r="Y1126" t="s">
        <v>45</v>
      </c>
      <c r="Z1126" t="s">
        <v>74</v>
      </c>
      <c r="AA1126" s="7">
        <v>46243</v>
      </c>
      <c r="AB1126" t="s">
        <v>48</v>
      </c>
      <c r="AF1126">
        <v>2</v>
      </c>
      <c r="AH1126" t="s">
        <v>75</v>
      </c>
      <c r="AI1126">
        <v>1</v>
      </c>
      <c r="AJ1126" s="15"/>
      <c r="AK1126" t="s">
        <v>74</v>
      </c>
      <c r="AL1126" s="16"/>
      <c r="AR1126" s="18" t="str">
        <f>IFERROR(VLOOKUP(K1126,[1]POP!$F:$J,1,0),M1126)</f>
        <v>MAKARY</v>
      </c>
      <c r="AS1126" s="18" t="str">
        <f t="shared" si="86"/>
        <v>BODO</v>
      </c>
      <c r="AT1126" s="19">
        <f t="shared" si="89"/>
        <v>2</v>
      </c>
      <c r="AU1126" s="19">
        <f t="shared" ca="1" si="88"/>
        <v>2</v>
      </c>
    </row>
    <row r="1127" spans="1:47" x14ac:dyDescent="0.3">
      <c r="A1127" t="s">
        <v>1633</v>
      </c>
      <c r="B1127" t="str">
        <f t="shared" si="85"/>
        <v>S32_2026</v>
      </c>
      <c r="C1127" t="str">
        <f t="shared" si="87"/>
        <v>S32_2026</v>
      </c>
      <c r="E1127">
        <v>671904134</v>
      </c>
      <c r="F1127">
        <v>4</v>
      </c>
      <c r="G1127" t="s">
        <v>55</v>
      </c>
      <c r="H1127" t="s">
        <v>85</v>
      </c>
      <c r="I1127" t="s">
        <v>1631</v>
      </c>
      <c r="J1127" t="s">
        <v>793</v>
      </c>
      <c r="K1127" t="s">
        <v>116</v>
      </c>
      <c r="L1127" t="s">
        <v>793</v>
      </c>
      <c r="M1127" t="s">
        <v>116</v>
      </c>
      <c r="N1127" t="s">
        <v>45</v>
      </c>
      <c r="O1127" t="s">
        <v>45</v>
      </c>
      <c r="P1127">
        <v>1</v>
      </c>
      <c r="Q1127" s="7">
        <v>46242</v>
      </c>
      <c r="R1127" s="7">
        <v>46243</v>
      </c>
      <c r="S1127" s="7">
        <v>46243</v>
      </c>
      <c r="T1127" t="s">
        <v>45</v>
      </c>
      <c r="V1127" t="s">
        <v>794</v>
      </c>
      <c r="W1127" t="s">
        <v>45</v>
      </c>
      <c r="X1127" t="s">
        <v>45</v>
      </c>
      <c r="Y1127" t="s">
        <v>45</v>
      </c>
      <c r="Z1127" t="s">
        <v>74</v>
      </c>
      <c r="AA1127" s="7">
        <v>46244</v>
      </c>
      <c r="AB1127" t="s">
        <v>48</v>
      </c>
      <c r="AF1127">
        <v>2</v>
      </c>
      <c r="AH1127" t="s">
        <v>75</v>
      </c>
      <c r="AI1127">
        <v>1</v>
      </c>
      <c r="AJ1127" s="15"/>
      <c r="AK1127" t="s">
        <v>74</v>
      </c>
      <c r="AL1127" s="16"/>
      <c r="AR1127" s="18" t="str">
        <f>IFERROR(VLOOKUP(K1127,[1]POP!$F:$J,1,0),M1127)</f>
        <v>MAKARY</v>
      </c>
      <c r="AS1127" s="18" t="str">
        <f t="shared" si="86"/>
        <v>BODO</v>
      </c>
      <c r="AT1127" s="19">
        <f t="shared" si="89"/>
        <v>2</v>
      </c>
      <c r="AU1127" s="19">
        <f t="shared" ca="1" si="88"/>
        <v>2</v>
      </c>
    </row>
    <row r="1128" spans="1:47" x14ac:dyDescent="0.3">
      <c r="A1128" t="s">
        <v>1634</v>
      </c>
      <c r="B1128" t="str">
        <f t="shared" si="85"/>
        <v>S32_2026</v>
      </c>
      <c r="C1128" t="str">
        <f t="shared" si="87"/>
        <v>S32_2026</v>
      </c>
      <c r="E1128">
        <v>657950855</v>
      </c>
      <c r="F1128">
        <v>3</v>
      </c>
      <c r="G1128" t="s">
        <v>55</v>
      </c>
      <c r="H1128" t="s">
        <v>85</v>
      </c>
      <c r="I1128" t="s">
        <v>1635</v>
      </c>
      <c r="J1128" t="s">
        <v>560</v>
      </c>
      <c r="K1128" t="s">
        <v>460</v>
      </c>
      <c r="L1128" t="s">
        <v>459</v>
      </c>
      <c r="M1128" t="s">
        <v>460</v>
      </c>
      <c r="N1128" t="s">
        <v>45</v>
      </c>
      <c r="O1128" t="s">
        <v>45</v>
      </c>
      <c r="P1128">
        <v>2</v>
      </c>
      <c r="Q1128" s="7">
        <v>46241</v>
      </c>
      <c r="R1128" s="7">
        <v>46241</v>
      </c>
      <c r="S1128" s="7">
        <v>46241</v>
      </c>
      <c r="T1128" t="s">
        <v>117</v>
      </c>
      <c r="V1128" t="s">
        <v>462</v>
      </c>
      <c r="W1128" t="s">
        <v>45</v>
      </c>
      <c r="X1128" t="s">
        <v>45</v>
      </c>
      <c r="Y1128" t="s">
        <v>45</v>
      </c>
      <c r="Z1128" t="s">
        <v>45</v>
      </c>
      <c r="AA1128" s="7">
        <v>46241</v>
      </c>
      <c r="AB1128" t="s">
        <v>62</v>
      </c>
      <c r="AC1128" t="s">
        <v>74</v>
      </c>
      <c r="AF1128">
        <v>2</v>
      </c>
      <c r="AH1128" t="s">
        <v>75</v>
      </c>
      <c r="AI1128">
        <v>1</v>
      </c>
      <c r="AJ1128" s="15"/>
      <c r="AL1128" s="16"/>
      <c r="AR1128" s="18" t="str">
        <f>IFERROR(VLOOKUP(K1128,[1]POP!$F:$J,1,0),M1128)</f>
        <v>KOUSSERI</v>
      </c>
      <c r="AS1128" s="18" t="str">
        <f t="shared" si="86"/>
        <v>MADANA</v>
      </c>
      <c r="AT1128" s="19">
        <f t="shared" si="89"/>
        <v>2</v>
      </c>
      <c r="AU1128" s="19">
        <f t="shared" ca="1" si="88"/>
        <v>2</v>
      </c>
    </row>
    <row r="1129" spans="1:47" x14ac:dyDescent="0.3">
      <c r="A1129" t="s">
        <v>1636</v>
      </c>
      <c r="B1129" t="str">
        <f t="shared" si="85"/>
        <v>S32_2026</v>
      </c>
      <c r="C1129" t="str">
        <f t="shared" si="87"/>
        <v>S32_2026</v>
      </c>
      <c r="E1129">
        <v>697672755</v>
      </c>
      <c r="F1129">
        <v>43</v>
      </c>
      <c r="G1129" t="s">
        <v>55</v>
      </c>
      <c r="H1129" t="s">
        <v>1637</v>
      </c>
      <c r="I1129" t="s">
        <v>1638</v>
      </c>
      <c r="J1129" t="s">
        <v>459</v>
      </c>
      <c r="K1129" t="s">
        <v>460</v>
      </c>
      <c r="L1129" t="s">
        <v>459</v>
      </c>
      <c r="M1129" t="s">
        <v>460</v>
      </c>
      <c r="N1129" t="s">
        <v>45</v>
      </c>
      <c r="O1129" t="s">
        <v>45</v>
      </c>
      <c r="P1129">
        <v>3</v>
      </c>
      <c r="Q1129" s="7">
        <v>46241</v>
      </c>
      <c r="R1129" s="7">
        <v>46241</v>
      </c>
      <c r="S1129" s="7">
        <v>46241</v>
      </c>
      <c r="T1129" t="s">
        <v>117</v>
      </c>
      <c r="V1129" t="s">
        <v>462</v>
      </c>
      <c r="W1129" t="s">
        <v>45</v>
      </c>
      <c r="X1129" t="s">
        <v>45</v>
      </c>
      <c r="Y1129" t="s">
        <v>45</v>
      </c>
      <c r="Z1129" t="s">
        <v>45</v>
      </c>
      <c r="AA1129" s="7">
        <v>46241</v>
      </c>
      <c r="AB1129" t="s">
        <v>48</v>
      </c>
      <c r="AC1129" t="s">
        <v>74</v>
      </c>
      <c r="AF1129">
        <v>2</v>
      </c>
      <c r="AH1129" t="s">
        <v>75</v>
      </c>
      <c r="AI1129">
        <v>1</v>
      </c>
      <c r="AJ1129" s="15"/>
      <c r="AL1129" s="16"/>
      <c r="AR1129" s="18" t="str">
        <f>IFERROR(VLOOKUP(K1129,[1]POP!$F:$J,1,0),M1129)</f>
        <v>KOUSSERI</v>
      </c>
      <c r="AS1129" s="18" t="str">
        <f t="shared" si="86"/>
        <v>PAGUI</v>
      </c>
      <c r="AT1129" s="19">
        <f t="shared" si="89"/>
        <v>2</v>
      </c>
      <c r="AU1129" s="19">
        <f t="shared" ca="1" si="88"/>
        <v>2</v>
      </c>
    </row>
    <row r="1130" spans="1:47" x14ac:dyDescent="0.3">
      <c r="A1130" t="s">
        <v>1639</v>
      </c>
      <c r="B1130" t="str">
        <f t="shared" si="85"/>
        <v>S32_2026</v>
      </c>
      <c r="C1130" t="str">
        <f t="shared" si="87"/>
        <v>S32_2026</v>
      </c>
      <c r="E1130">
        <v>677794262</v>
      </c>
      <c r="F1130">
        <v>9</v>
      </c>
      <c r="G1130" t="s">
        <v>55</v>
      </c>
      <c r="H1130" t="s">
        <v>468</v>
      </c>
      <c r="I1130" t="s">
        <v>1640</v>
      </c>
      <c r="J1130" t="s">
        <v>459</v>
      </c>
      <c r="K1130" t="s">
        <v>460</v>
      </c>
      <c r="L1130" t="s">
        <v>459</v>
      </c>
      <c r="M1130" t="s">
        <v>460</v>
      </c>
      <c r="N1130" t="s">
        <v>45</v>
      </c>
      <c r="O1130" t="s">
        <v>45</v>
      </c>
      <c r="P1130">
        <v>3</v>
      </c>
      <c r="Q1130" s="7">
        <v>46241</v>
      </c>
      <c r="R1130" s="7">
        <v>46241</v>
      </c>
      <c r="S1130" s="7">
        <v>46241</v>
      </c>
      <c r="T1130" t="s">
        <v>117</v>
      </c>
      <c r="V1130" t="s">
        <v>462</v>
      </c>
      <c r="W1130" t="s">
        <v>45</v>
      </c>
      <c r="X1130" t="s">
        <v>45</v>
      </c>
      <c r="Y1130" t="s">
        <v>45</v>
      </c>
      <c r="Z1130" t="s">
        <v>45</v>
      </c>
      <c r="AA1130" s="7">
        <v>46241</v>
      </c>
      <c r="AB1130" t="s">
        <v>48</v>
      </c>
      <c r="AC1130" t="s">
        <v>74</v>
      </c>
      <c r="AE1130" s="7">
        <v>46244</v>
      </c>
      <c r="AF1130">
        <v>2</v>
      </c>
      <c r="AH1130" t="s">
        <v>75</v>
      </c>
      <c r="AI1130">
        <v>1</v>
      </c>
      <c r="AJ1130" s="15"/>
      <c r="AL1130" s="16"/>
      <c r="AR1130" s="18" t="str">
        <f>IFERROR(VLOOKUP(K1130,[1]POP!$F:$J,1,0),M1130)</f>
        <v>KOUSSERI</v>
      </c>
      <c r="AS1130" s="18" t="str">
        <f t="shared" si="86"/>
        <v>PAGUI</v>
      </c>
      <c r="AT1130" s="19">
        <f t="shared" si="89"/>
        <v>2</v>
      </c>
      <c r="AU1130" s="19">
        <f t="shared" ca="1" si="88"/>
        <v>2</v>
      </c>
    </row>
    <row r="1131" spans="1:47" x14ac:dyDescent="0.3">
      <c r="A1131" t="s">
        <v>1641</v>
      </c>
      <c r="B1131" t="str">
        <f t="shared" si="85"/>
        <v>S32_2026</v>
      </c>
      <c r="C1131" t="str">
        <f t="shared" si="87"/>
        <v>S32_2026</v>
      </c>
      <c r="E1131">
        <v>640043303</v>
      </c>
      <c r="F1131">
        <v>20</v>
      </c>
      <c r="G1131" t="s">
        <v>55</v>
      </c>
      <c r="H1131" t="s">
        <v>1642</v>
      </c>
      <c r="I1131" t="s">
        <v>553</v>
      </c>
      <c r="J1131" t="s">
        <v>459</v>
      </c>
      <c r="K1131" t="s">
        <v>460</v>
      </c>
      <c r="L1131" t="s">
        <v>459</v>
      </c>
      <c r="M1131" t="s">
        <v>460</v>
      </c>
      <c r="N1131" t="s">
        <v>45</v>
      </c>
      <c r="O1131" t="s">
        <v>74</v>
      </c>
      <c r="P1131">
        <v>2</v>
      </c>
      <c r="Q1131" s="7">
        <v>46242</v>
      </c>
      <c r="R1131" s="7">
        <v>46242</v>
      </c>
      <c r="S1131" s="7">
        <v>46242</v>
      </c>
      <c r="T1131" t="s">
        <v>117</v>
      </c>
      <c r="V1131" t="s">
        <v>462</v>
      </c>
      <c r="W1131" t="s">
        <v>45</v>
      </c>
      <c r="X1131" t="s">
        <v>45</v>
      </c>
      <c r="Y1131" t="s">
        <v>45</v>
      </c>
      <c r="Z1131" t="s">
        <v>45</v>
      </c>
      <c r="AA1131" s="7">
        <v>46242</v>
      </c>
      <c r="AB1131" t="s">
        <v>48</v>
      </c>
      <c r="AC1131" t="s">
        <v>74</v>
      </c>
      <c r="AE1131" s="7">
        <v>46244</v>
      </c>
      <c r="AF1131">
        <v>2</v>
      </c>
      <c r="AH1131" t="s">
        <v>75</v>
      </c>
      <c r="AI1131">
        <v>1</v>
      </c>
      <c r="AJ1131" s="15"/>
      <c r="AL1131" s="16"/>
      <c r="AR1131" s="18" t="str">
        <f>IFERROR(VLOOKUP(K1131,[1]POP!$F:$J,1,0),M1131)</f>
        <v>KOUSSERI</v>
      </c>
      <c r="AS1131" s="18" t="str">
        <f t="shared" si="86"/>
        <v>PAGUI</v>
      </c>
      <c r="AT1131" s="19">
        <f t="shared" si="89"/>
        <v>2</v>
      </c>
      <c r="AU1131" s="19">
        <f t="shared" ca="1" si="88"/>
        <v>2</v>
      </c>
    </row>
    <row r="1132" spans="1:47" x14ac:dyDescent="0.3">
      <c r="A1132" t="s">
        <v>1643</v>
      </c>
      <c r="B1132" t="str">
        <f t="shared" si="85"/>
        <v>S32_2026</v>
      </c>
      <c r="C1132" t="str">
        <f t="shared" si="87"/>
        <v>S32_2026</v>
      </c>
      <c r="E1132">
        <v>693194848</v>
      </c>
      <c r="F1132">
        <v>24</v>
      </c>
      <c r="G1132" t="s">
        <v>55</v>
      </c>
      <c r="H1132" t="s">
        <v>1644</v>
      </c>
      <c r="I1132" t="s">
        <v>553</v>
      </c>
      <c r="J1132" t="s">
        <v>459</v>
      </c>
      <c r="K1132" t="s">
        <v>460</v>
      </c>
      <c r="L1132" t="s">
        <v>459</v>
      </c>
      <c r="M1132" t="s">
        <v>460</v>
      </c>
      <c r="N1132" t="s">
        <v>45</v>
      </c>
      <c r="O1132" t="s">
        <v>45</v>
      </c>
      <c r="P1132">
        <v>3</v>
      </c>
      <c r="Q1132" s="7">
        <v>46242</v>
      </c>
      <c r="R1132" s="7">
        <v>46242</v>
      </c>
      <c r="S1132" s="7">
        <v>46242</v>
      </c>
      <c r="T1132" t="s">
        <v>117</v>
      </c>
      <c r="V1132" t="s">
        <v>462</v>
      </c>
      <c r="W1132" t="s">
        <v>45</v>
      </c>
      <c r="X1132" t="s">
        <v>45</v>
      </c>
      <c r="Y1132" t="s">
        <v>45</v>
      </c>
      <c r="Z1132" t="s">
        <v>45</v>
      </c>
      <c r="AA1132" s="7">
        <v>46242</v>
      </c>
      <c r="AB1132" t="s">
        <v>48</v>
      </c>
      <c r="AC1132" t="s">
        <v>74</v>
      </c>
      <c r="AE1132" s="7">
        <v>46244</v>
      </c>
      <c r="AF1132">
        <v>2</v>
      </c>
      <c r="AH1132" t="s">
        <v>75</v>
      </c>
      <c r="AI1132">
        <v>1</v>
      </c>
      <c r="AJ1132" s="15"/>
      <c r="AL1132" s="16"/>
      <c r="AR1132" s="18" t="str">
        <f>IFERROR(VLOOKUP(K1132,[1]POP!$F:$J,1,0),M1132)</f>
        <v>KOUSSERI</v>
      </c>
      <c r="AS1132" s="18" t="str">
        <f t="shared" si="86"/>
        <v>PAGUI</v>
      </c>
      <c r="AT1132" s="19">
        <f t="shared" si="89"/>
        <v>2</v>
      </c>
      <c r="AU1132" s="19">
        <f t="shared" ca="1" si="88"/>
        <v>2</v>
      </c>
    </row>
    <row r="1133" spans="1:47" x14ac:dyDescent="0.3">
      <c r="A1133" t="s">
        <v>1645</v>
      </c>
      <c r="B1133" t="str">
        <f t="shared" si="85"/>
        <v>S32_2026</v>
      </c>
      <c r="C1133" t="str">
        <f t="shared" si="87"/>
        <v>S32_2026</v>
      </c>
      <c r="E1133">
        <v>66962642</v>
      </c>
      <c r="F1133">
        <v>55</v>
      </c>
      <c r="G1133" t="s">
        <v>40</v>
      </c>
      <c r="H1133" t="s">
        <v>77</v>
      </c>
      <c r="I1133" t="s">
        <v>1646</v>
      </c>
      <c r="L1133" t="s">
        <v>459</v>
      </c>
      <c r="M1133" t="s">
        <v>460</v>
      </c>
      <c r="N1133" t="s">
        <v>45</v>
      </c>
      <c r="O1133" t="s">
        <v>45</v>
      </c>
      <c r="P1133">
        <v>3</v>
      </c>
      <c r="Q1133" s="7">
        <v>46242</v>
      </c>
      <c r="R1133" s="7">
        <v>46242</v>
      </c>
      <c r="S1133" s="7">
        <v>46242</v>
      </c>
      <c r="T1133" t="s">
        <v>117</v>
      </c>
      <c r="V1133" t="s">
        <v>462</v>
      </c>
      <c r="W1133" t="s">
        <v>45</v>
      </c>
      <c r="X1133" t="s">
        <v>45</v>
      </c>
      <c r="Y1133" t="s">
        <v>45</v>
      </c>
      <c r="Z1133" t="s">
        <v>45</v>
      </c>
      <c r="AA1133" s="7">
        <v>46242</v>
      </c>
      <c r="AB1133" t="s">
        <v>62</v>
      </c>
      <c r="AC1133" t="s">
        <v>74</v>
      </c>
      <c r="AE1133" s="7">
        <v>46244</v>
      </c>
      <c r="AF1133">
        <v>2</v>
      </c>
      <c r="AH1133" t="s">
        <v>75</v>
      </c>
      <c r="AI1133">
        <v>1</v>
      </c>
      <c r="AJ1133" s="15"/>
      <c r="AL1133" s="16"/>
      <c r="AR1133" s="18" t="str">
        <f>IFERROR(VLOOKUP(K1133,[1]POP!$F:$J,1,0),M1133)</f>
        <v>KOUSSERI</v>
      </c>
      <c r="AS1133" s="18" t="str">
        <f t="shared" si="86"/>
        <v>PAGUI</v>
      </c>
      <c r="AT1133" s="19">
        <f t="shared" si="89"/>
        <v>2</v>
      </c>
      <c r="AU1133" s="19">
        <f t="shared" ca="1" si="88"/>
        <v>2</v>
      </c>
    </row>
    <row r="1134" spans="1:47" x14ac:dyDescent="0.3">
      <c r="A1134" t="s">
        <v>1647</v>
      </c>
      <c r="B1134" t="str">
        <f t="shared" si="85"/>
        <v>S32_2026</v>
      </c>
      <c r="C1134" t="str">
        <f t="shared" si="87"/>
        <v>S32_2026</v>
      </c>
      <c r="E1134">
        <v>674238626</v>
      </c>
      <c r="F1134">
        <v>22</v>
      </c>
      <c r="G1134" t="s">
        <v>40</v>
      </c>
      <c r="H1134" t="s">
        <v>77</v>
      </c>
      <c r="I1134" t="s">
        <v>1648</v>
      </c>
      <c r="J1134" t="s">
        <v>635</v>
      </c>
      <c r="K1134" t="s">
        <v>460</v>
      </c>
      <c r="L1134" t="s">
        <v>459</v>
      </c>
      <c r="M1134" t="s">
        <v>460</v>
      </c>
      <c r="N1134" t="s">
        <v>45</v>
      </c>
      <c r="O1134" t="s">
        <v>45</v>
      </c>
      <c r="P1134">
        <v>3</v>
      </c>
      <c r="Q1134" s="7">
        <v>46242</v>
      </c>
      <c r="R1134" s="7">
        <v>46242</v>
      </c>
      <c r="S1134" s="7">
        <v>46242</v>
      </c>
      <c r="T1134" t="s">
        <v>117</v>
      </c>
      <c r="V1134" t="s">
        <v>462</v>
      </c>
      <c r="W1134" t="s">
        <v>45</v>
      </c>
      <c r="X1134" t="s">
        <v>45</v>
      </c>
      <c r="Y1134" t="s">
        <v>45</v>
      </c>
      <c r="Z1134" t="s">
        <v>45</v>
      </c>
      <c r="AA1134" s="7">
        <v>46242</v>
      </c>
      <c r="AB1134" t="s">
        <v>62</v>
      </c>
      <c r="AC1134" t="s">
        <v>74</v>
      </c>
      <c r="AE1134" s="7">
        <v>46244</v>
      </c>
      <c r="AF1134">
        <v>2</v>
      </c>
      <c r="AH1134" t="s">
        <v>75</v>
      </c>
      <c r="AI1134">
        <v>1</v>
      </c>
      <c r="AJ1134" s="15"/>
      <c r="AL1134" s="16"/>
      <c r="AR1134" s="18" t="str">
        <f>IFERROR(VLOOKUP(K1134,[1]POP!$F:$J,1,0),M1134)</f>
        <v>KOUSSERI</v>
      </c>
      <c r="AS1134" s="18" t="str">
        <f t="shared" si="86"/>
        <v>HILE-HAOUSSA</v>
      </c>
      <c r="AT1134" s="19">
        <f t="shared" si="89"/>
        <v>2</v>
      </c>
      <c r="AU1134" s="19">
        <f t="shared" ca="1" si="88"/>
        <v>2</v>
      </c>
    </row>
    <row r="1135" spans="1:47" x14ac:dyDescent="0.3">
      <c r="A1135" t="s">
        <v>1649</v>
      </c>
      <c r="B1135" t="str">
        <f t="shared" si="85"/>
        <v>S32_2026</v>
      </c>
      <c r="C1135" t="str">
        <f t="shared" si="87"/>
        <v>S32_2026</v>
      </c>
      <c r="E1135">
        <v>699706093</v>
      </c>
      <c r="F1135">
        <v>6</v>
      </c>
      <c r="G1135" t="s">
        <v>55</v>
      </c>
      <c r="H1135" t="s">
        <v>85</v>
      </c>
      <c r="I1135" t="s">
        <v>560</v>
      </c>
      <c r="J1135" t="s">
        <v>560</v>
      </c>
      <c r="K1135" t="s">
        <v>460</v>
      </c>
      <c r="L1135" t="s">
        <v>459</v>
      </c>
      <c r="M1135" t="s">
        <v>460</v>
      </c>
      <c r="N1135" t="s">
        <v>45</v>
      </c>
      <c r="O1135" t="s">
        <v>45</v>
      </c>
      <c r="P1135">
        <v>3</v>
      </c>
      <c r="Q1135" s="7">
        <v>46243</v>
      </c>
      <c r="R1135" s="7">
        <v>46243</v>
      </c>
      <c r="S1135" s="7">
        <v>46243</v>
      </c>
      <c r="T1135" t="s">
        <v>117</v>
      </c>
      <c r="V1135" t="s">
        <v>462</v>
      </c>
      <c r="W1135" t="s">
        <v>45</v>
      </c>
      <c r="X1135" t="s">
        <v>45</v>
      </c>
      <c r="Y1135" t="s">
        <v>45</v>
      </c>
      <c r="Z1135" t="s">
        <v>45</v>
      </c>
      <c r="AA1135" s="7">
        <v>46243</v>
      </c>
      <c r="AB1135" t="s">
        <v>48</v>
      </c>
      <c r="AC1135" t="s">
        <v>74</v>
      </c>
      <c r="AF1135">
        <v>2</v>
      </c>
      <c r="AH1135" t="s">
        <v>75</v>
      </c>
      <c r="AI1135">
        <v>1</v>
      </c>
      <c r="AJ1135" s="15"/>
      <c r="AL1135" s="16"/>
      <c r="AR1135" s="18" t="str">
        <f>IFERROR(VLOOKUP(K1135,[1]POP!$F:$J,1,0),M1135)</f>
        <v>KOUSSERI</v>
      </c>
      <c r="AS1135" s="18" t="str">
        <f t="shared" si="86"/>
        <v>MADANA</v>
      </c>
      <c r="AT1135" s="19">
        <f t="shared" si="89"/>
        <v>2</v>
      </c>
      <c r="AU1135" s="19">
        <f t="shared" ca="1" si="88"/>
        <v>2</v>
      </c>
    </row>
    <row r="1136" spans="1:47" x14ac:dyDescent="0.3">
      <c r="A1136" t="s">
        <v>1650</v>
      </c>
      <c r="B1136" t="str">
        <f t="shared" si="85"/>
        <v>S32_2026</v>
      </c>
      <c r="C1136" t="str">
        <f t="shared" si="87"/>
        <v>S32_2026</v>
      </c>
      <c r="F1136">
        <v>9</v>
      </c>
      <c r="G1136" t="s">
        <v>55</v>
      </c>
      <c r="H1136" t="s">
        <v>85</v>
      </c>
      <c r="I1136" t="s">
        <v>553</v>
      </c>
      <c r="J1136" t="s">
        <v>459</v>
      </c>
      <c r="K1136" t="s">
        <v>460</v>
      </c>
      <c r="L1136" t="s">
        <v>459</v>
      </c>
      <c r="M1136" t="s">
        <v>460</v>
      </c>
      <c r="N1136" t="s">
        <v>45</v>
      </c>
      <c r="O1136" t="s">
        <v>45</v>
      </c>
      <c r="P1136">
        <v>3</v>
      </c>
      <c r="Q1136" s="7">
        <v>46243</v>
      </c>
      <c r="R1136" s="7">
        <v>46243</v>
      </c>
      <c r="S1136" s="7">
        <v>46243</v>
      </c>
      <c r="T1136" t="s">
        <v>117</v>
      </c>
      <c r="V1136" t="s">
        <v>462</v>
      </c>
      <c r="W1136" t="s">
        <v>45</v>
      </c>
      <c r="X1136" t="s">
        <v>45</v>
      </c>
      <c r="Y1136" t="s">
        <v>45</v>
      </c>
      <c r="Z1136" t="s">
        <v>45</v>
      </c>
      <c r="AA1136" s="7">
        <v>46243</v>
      </c>
      <c r="AB1136" t="s">
        <v>48</v>
      </c>
      <c r="AC1136" t="s">
        <v>74</v>
      </c>
      <c r="AF1136">
        <v>2</v>
      </c>
      <c r="AH1136" t="s">
        <v>75</v>
      </c>
      <c r="AI1136">
        <v>1</v>
      </c>
      <c r="AJ1136" s="15"/>
      <c r="AL1136" s="16"/>
      <c r="AR1136" s="18" t="str">
        <f>IFERROR(VLOOKUP(K1136,[1]POP!$F:$J,1,0),M1136)</f>
        <v>KOUSSERI</v>
      </c>
      <c r="AS1136" s="18" t="str">
        <f t="shared" si="86"/>
        <v>PAGUI</v>
      </c>
      <c r="AT1136" s="19">
        <f t="shared" si="89"/>
        <v>2</v>
      </c>
      <c r="AU1136" s="19">
        <f t="shared" ca="1" si="88"/>
        <v>2</v>
      </c>
    </row>
    <row r="1137" spans="1:47" x14ac:dyDescent="0.3">
      <c r="A1137" t="s">
        <v>1651</v>
      </c>
      <c r="B1137" t="str">
        <f t="shared" si="85"/>
        <v>S32_2026</v>
      </c>
      <c r="C1137" t="str">
        <f t="shared" si="87"/>
        <v>S32_2026</v>
      </c>
      <c r="F1137">
        <v>15</v>
      </c>
      <c r="G1137" t="s">
        <v>40</v>
      </c>
      <c r="I1137" t="s">
        <v>985</v>
      </c>
      <c r="J1137" t="s">
        <v>985</v>
      </c>
      <c r="K1137" t="s">
        <v>124</v>
      </c>
      <c r="L1137" t="s">
        <v>985</v>
      </c>
      <c r="M1137" t="s">
        <v>124</v>
      </c>
      <c r="N1137" t="s">
        <v>117</v>
      </c>
      <c r="O1137" t="s">
        <v>117</v>
      </c>
      <c r="P1137">
        <v>3</v>
      </c>
      <c r="Q1137" s="7">
        <v>46238</v>
      </c>
      <c r="R1137" s="7">
        <v>46239</v>
      </c>
      <c r="S1137" s="7">
        <v>46239</v>
      </c>
      <c r="T1137" t="s">
        <v>117</v>
      </c>
      <c r="V1137" t="s">
        <v>986</v>
      </c>
      <c r="W1137" t="s">
        <v>45</v>
      </c>
      <c r="X1137" t="s">
        <v>45</v>
      </c>
      <c r="Y1137" t="s">
        <v>45</v>
      </c>
      <c r="Z1137" t="s">
        <v>45</v>
      </c>
      <c r="AF1137">
        <v>2</v>
      </c>
      <c r="AH1137" t="s">
        <v>75</v>
      </c>
      <c r="AI1137">
        <v>1</v>
      </c>
      <c r="AJ1137" s="15"/>
      <c r="AL1137" s="16"/>
      <c r="AR1137" s="18" t="str">
        <f>IFERROR(VLOOKUP(K1137,[1]POP!$F:$J,1,0),M1137)</f>
        <v>MADA</v>
      </c>
      <c r="AS1137" s="18" t="str">
        <f t="shared" si="86"/>
        <v>KOFIA</v>
      </c>
      <c r="AT1137" s="19">
        <f t="shared" si="89"/>
        <v>2</v>
      </c>
      <c r="AU1137" s="19">
        <f t="shared" ca="1" si="88"/>
        <v>2</v>
      </c>
    </row>
    <row r="1138" spans="1:47" x14ac:dyDescent="0.3">
      <c r="A1138" t="s">
        <v>1652</v>
      </c>
      <c r="B1138" t="str">
        <f t="shared" si="85"/>
        <v>S32_2026</v>
      </c>
      <c r="C1138" t="str">
        <f t="shared" si="87"/>
        <v>S32_2026</v>
      </c>
      <c r="F1138">
        <v>27</v>
      </c>
      <c r="G1138" t="s">
        <v>40</v>
      </c>
      <c r="I1138" t="s">
        <v>985</v>
      </c>
      <c r="J1138" t="s">
        <v>985</v>
      </c>
      <c r="K1138" t="s">
        <v>124</v>
      </c>
      <c r="L1138" t="s">
        <v>985</v>
      </c>
      <c r="M1138" t="s">
        <v>124</v>
      </c>
      <c r="N1138" t="s">
        <v>117</v>
      </c>
      <c r="O1138" t="s">
        <v>117</v>
      </c>
      <c r="P1138">
        <v>3</v>
      </c>
      <c r="Q1138" s="7">
        <v>46238</v>
      </c>
      <c r="R1138" s="7">
        <v>46239</v>
      </c>
      <c r="S1138" s="7">
        <v>46239</v>
      </c>
      <c r="T1138" t="s">
        <v>117</v>
      </c>
      <c r="V1138" t="s">
        <v>986</v>
      </c>
      <c r="W1138" t="s">
        <v>45</v>
      </c>
      <c r="X1138" t="s">
        <v>45</v>
      </c>
      <c r="Y1138" t="s">
        <v>45</v>
      </c>
      <c r="Z1138" t="s">
        <v>45</v>
      </c>
      <c r="AF1138">
        <v>2</v>
      </c>
      <c r="AH1138" t="s">
        <v>75</v>
      </c>
      <c r="AI1138">
        <v>1</v>
      </c>
      <c r="AJ1138" s="15"/>
      <c r="AL1138" s="16"/>
      <c r="AR1138" s="18" t="str">
        <f>IFERROR(VLOOKUP(K1138,[1]POP!$F:$J,1,0),M1138)</f>
        <v>MADA</v>
      </c>
      <c r="AS1138" s="18" t="str">
        <f t="shared" si="86"/>
        <v>KOFIA</v>
      </c>
      <c r="AT1138" s="19">
        <f t="shared" si="89"/>
        <v>2</v>
      </c>
      <c r="AU1138" s="19">
        <f t="shared" ca="1" si="88"/>
        <v>2</v>
      </c>
    </row>
    <row r="1139" spans="1:47" x14ac:dyDescent="0.3">
      <c r="A1139" t="s">
        <v>1653</v>
      </c>
      <c r="B1139" t="str">
        <f t="shared" si="85"/>
        <v>S32_2026</v>
      </c>
      <c r="C1139" t="str">
        <f t="shared" si="87"/>
        <v>S32_2026</v>
      </c>
      <c r="F1139">
        <v>60</v>
      </c>
      <c r="G1139" t="s">
        <v>55</v>
      </c>
      <c r="I1139" t="s">
        <v>985</v>
      </c>
      <c r="J1139" t="s">
        <v>985</v>
      </c>
      <c r="K1139" t="s">
        <v>124</v>
      </c>
      <c r="L1139" t="s">
        <v>985</v>
      </c>
      <c r="M1139" t="s">
        <v>124</v>
      </c>
      <c r="N1139" t="s">
        <v>117</v>
      </c>
      <c r="O1139" t="s">
        <v>117</v>
      </c>
      <c r="P1139">
        <v>3</v>
      </c>
      <c r="Q1139" s="7">
        <v>46238</v>
      </c>
      <c r="R1139" s="7">
        <v>46239</v>
      </c>
      <c r="S1139" s="7">
        <v>46239</v>
      </c>
      <c r="T1139" t="s">
        <v>117</v>
      </c>
      <c r="V1139" t="s">
        <v>986</v>
      </c>
      <c r="W1139" t="s">
        <v>45</v>
      </c>
      <c r="X1139" t="s">
        <v>45</v>
      </c>
      <c r="Y1139" t="s">
        <v>45</v>
      </c>
      <c r="Z1139" t="s">
        <v>45</v>
      </c>
      <c r="AF1139">
        <v>2</v>
      </c>
      <c r="AH1139" t="s">
        <v>75</v>
      </c>
      <c r="AI1139">
        <v>1</v>
      </c>
      <c r="AJ1139" s="15"/>
      <c r="AL1139" s="16"/>
      <c r="AR1139" s="18" t="str">
        <f>IFERROR(VLOOKUP(K1139,[1]POP!$F:$J,1,0),M1139)</f>
        <v>MADA</v>
      </c>
      <c r="AS1139" s="18" t="str">
        <f t="shared" si="86"/>
        <v>KOFIA</v>
      </c>
      <c r="AT1139" s="19">
        <f t="shared" si="89"/>
        <v>2</v>
      </c>
      <c r="AU1139" s="19">
        <f t="shared" ca="1" si="88"/>
        <v>2</v>
      </c>
    </row>
    <row r="1140" spans="1:47" x14ac:dyDescent="0.3">
      <c r="A1140" t="s">
        <v>1654</v>
      </c>
      <c r="B1140" t="str">
        <f t="shared" si="85"/>
        <v>S32_2026</v>
      </c>
      <c r="C1140" t="str">
        <f t="shared" si="87"/>
        <v>S32_2026</v>
      </c>
      <c r="F1140">
        <v>12</v>
      </c>
      <c r="G1140" t="s">
        <v>40</v>
      </c>
      <c r="I1140" t="s">
        <v>985</v>
      </c>
      <c r="J1140" t="s">
        <v>985</v>
      </c>
      <c r="K1140" t="s">
        <v>124</v>
      </c>
      <c r="L1140" t="s">
        <v>985</v>
      </c>
      <c r="M1140" t="s">
        <v>124</v>
      </c>
      <c r="N1140" t="s">
        <v>117</v>
      </c>
      <c r="O1140" t="s">
        <v>117</v>
      </c>
      <c r="P1140">
        <v>3</v>
      </c>
      <c r="Q1140" s="7">
        <v>46238</v>
      </c>
      <c r="R1140" s="7">
        <v>46239</v>
      </c>
      <c r="S1140" s="7">
        <v>46239</v>
      </c>
      <c r="T1140" t="s">
        <v>117</v>
      </c>
      <c r="V1140" t="s">
        <v>986</v>
      </c>
      <c r="W1140" t="s">
        <v>45</v>
      </c>
      <c r="X1140" t="s">
        <v>45</v>
      </c>
      <c r="Y1140" t="s">
        <v>45</v>
      </c>
      <c r="Z1140" t="s">
        <v>45</v>
      </c>
      <c r="AF1140">
        <v>2</v>
      </c>
      <c r="AH1140" t="s">
        <v>75</v>
      </c>
      <c r="AI1140">
        <v>1</v>
      </c>
      <c r="AJ1140" s="15"/>
      <c r="AL1140" s="16"/>
      <c r="AR1140" s="18" t="str">
        <f>IFERROR(VLOOKUP(K1140,[1]POP!$F:$J,1,0),M1140)</f>
        <v>MADA</v>
      </c>
      <c r="AS1140" s="18" t="str">
        <f t="shared" si="86"/>
        <v>KOFIA</v>
      </c>
      <c r="AT1140" s="19">
        <f t="shared" si="89"/>
        <v>2</v>
      </c>
      <c r="AU1140" s="19">
        <f t="shared" ca="1" si="88"/>
        <v>2</v>
      </c>
    </row>
    <row r="1141" spans="1:47" x14ac:dyDescent="0.3">
      <c r="A1141" t="s">
        <v>1655</v>
      </c>
      <c r="B1141" t="str">
        <f t="shared" si="85"/>
        <v>S32_2026</v>
      </c>
      <c r="C1141" t="str">
        <f t="shared" si="87"/>
        <v>S32_2026</v>
      </c>
      <c r="F1141">
        <v>20</v>
      </c>
      <c r="G1141" t="s">
        <v>55</v>
      </c>
      <c r="H1141" t="s">
        <v>85</v>
      </c>
      <c r="I1141" t="s">
        <v>1656</v>
      </c>
      <c r="J1141" t="s">
        <v>124</v>
      </c>
      <c r="K1141" t="s">
        <v>124</v>
      </c>
      <c r="L1141" t="s">
        <v>124</v>
      </c>
      <c r="M1141" t="s">
        <v>124</v>
      </c>
      <c r="N1141" t="s">
        <v>45</v>
      </c>
      <c r="O1141" t="s">
        <v>74</v>
      </c>
      <c r="P1141">
        <v>3</v>
      </c>
      <c r="Q1141" s="7">
        <v>46238</v>
      </c>
      <c r="R1141" s="7">
        <v>46238</v>
      </c>
      <c r="S1141" s="7">
        <v>46238</v>
      </c>
      <c r="T1141" t="s">
        <v>45</v>
      </c>
      <c r="V1141" t="s">
        <v>1657</v>
      </c>
      <c r="W1141" t="s">
        <v>45</v>
      </c>
      <c r="X1141" t="s">
        <v>45</v>
      </c>
      <c r="Y1141" t="s">
        <v>45</v>
      </c>
      <c r="Z1141" t="s">
        <v>74</v>
      </c>
      <c r="AF1141">
        <v>2</v>
      </c>
      <c r="AH1141" t="s">
        <v>75</v>
      </c>
      <c r="AI1141">
        <v>1</v>
      </c>
      <c r="AJ1141" s="15"/>
      <c r="AL1141" s="16"/>
      <c r="AR1141" s="18" t="str">
        <f>IFERROR(VLOOKUP(K1141,[1]POP!$F:$J,1,0),M1141)</f>
        <v>MADA</v>
      </c>
      <c r="AS1141" s="18" t="str">
        <f t="shared" si="86"/>
        <v>MADA</v>
      </c>
      <c r="AT1141" s="19">
        <f t="shared" si="89"/>
        <v>2</v>
      </c>
      <c r="AU1141" s="19">
        <f t="shared" ca="1" si="88"/>
        <v>2</v>
      </c>
    </row>
    <row r="1142" spans="1:47" x14ac:dyDescent="0.3">
      <c r="A1142" t="s">
        <v>1658</v>
      </c>
      <c r="B1142" t="str">
        <f t="shared" si="85"/>
        <v>S32_2026</v>
      </c>
      <c r="C1142" t="str">
        <f t="shared" si="87"/>
        <v>S32_2026</v>
      </c>
      <c r="F1142">
        <v>1</v>
      </c>
      <c r="G1142" t="s">
        <v>40</v>
      </c>
      <c r="H1142" t="s">
        <v>77</v>
      </c>
      <c r="I1142" t="s">
        <v>1656</v>
      </c>
      <c r="J1142" t="s">
        <v>124</v>
      </c>
      <c r="K1142" t="s">
        <v>124</v>
      </c>
      <c r="L1142" t="s">
        <v>124</v>
      </c>
      <c r="M1142" t="s">
        <v>124</v>
      </c>
      <c r="N1142" t="s">
        <v>45</v>
      </c>
      <c r="O1142" t="s">
        <v>74</v>
      </c>
      <c r="P1142">
        <v>3</v>
      </c>
      <c r="Q1142" s="7">
        <v>46239</v>
      </c>
      <c r="R1142" s="7">
        <v>46239</v>
      </c>
      <c r="S1142" s="7">
        <v>46239</v>
      </c>
      <c r="T1142" t="s">
        <v>45</v>
      </c>
      <c r="V1142" t="s">
        <v>1657</v>
      </c>
      <c r="W1142" t="s">
        <v>45</v>
      </c>
      <c r="X1142" t="s">
        <v>45</v>
      </c>
      <c r="Y1142" t="s">
        <v>45</v>
      </c>
      <c r="Z1142" t="s">
        <v>74</v>
      </c>
      <c r="AF1142">
        <v>2</v>
      </c>
      <c r="AH1142" t="s">
        <v>75</v>
      </c>
      <c r="AI1142">
        <v>1</v>
      </c>
      <c r="AJ1142" s="15"/>
      <c r="AL1142" s="16"/>
      <c r="AR1142" s="18" t="str">
        <f>IFERROR(VLOOKUP(K1142,[1]POP!$F:$J,1,0),M1142)</f>
        <v>MADA</v>
      </c>
      <c r="AS1142" s="18" t="str">
        <f t="shared" si="86"/>
        <v>MADA</v>
      </c>
      <c r="AT1142" s="19">
        <f t="shared" si="89"/>
        <v>2</v>
      </c>
      <c r="AU1142" s="19">
        <f t="shared" ca="1" si="88"/>
        <v>2</v>
      </c>
    </row>
    <row r="1143" spans="1:47" x14ac:dyDescent="0.3">
      <c r="A1143" t="s">
        <v>1659</v>
      </c>
      <c r="B1143" t="str">
        <f t="shared" si="85"/>
        <v>S32_2026</v>
      </c>
      <c r="C1143" t="str">
        <f t="shared" si="87"/>
        <v>S32_2026</v>
      </c>
      <c r="F1143">
        <v>3</v>
      </c>
      <c r="G1143" t="s">
        <v>55</v>
      </c>
      <c r="H1143" t="s">
        <v>70</v>
      </c>
      <c r="I1143" t="s">
        <v>1660</v>
      </c>
      <c r="J1143" t="s">
        <v>124</v>
      </c>
      <c r="K1143" t="s">
        <v>124</v>
      </c>
      <c r="L1143" t="s">
        <v>124</v>
      </c>
      <c r="M1143" t="s">
        <v>124</v>
      </c>
      <c r="N1143" t="s">
        <v>45</v>
      </c>
      <c r="O1143" t="s">
        <v>74</v>
      </c>
      <c r="P1143">
        <v>3</v>
      </c>
      <c r="Q1143" s="7">
        <v>46238</v>
      </c>
      <c r="R1143" s="7">
        <v>46238</v>
      </c>
      <c r="S1143" s="7">
        <v>46238</v>
      </c>
      <c r="T1143" t="s">
        <v>45</v>
      </c>
      <c r="V1143" t="s">
        <v>1657</v>
      </c>
      <c r="W1143" t="s">
        <v>45</v>
      </c>
      <c r="X1143" t="s">
        <v>45</v>
      </c>
      <c r="Y1143" t="s">
        <v>45</v>
      </c>
      <c r="Z1143" t="s">
        <v>74</v>
      </c>
      <c r="AF1143">
        <v>2</v>
      </c>
      <c r="AH1143" t="s">
        <v>75</v>
      </c>
      <c r="AI1143">
        <v>1</v>
      </c>
      <c r="AJ1143" s="15"/>
      <c r="AL1143" s="16"/>
      <c r="AR1143" s="18" t="str">
        <f>IFERROR(VLOOKUP(K1143,[1]POP!$F:$J,1,0),M1143)</f>
        <v>MADA</v>
      </c>
      <c r="AS1143" s="18" t="str">
        <f t="shared" si="86"/>
        <v>MADA</v>
      </c>
      <c r="AT1143" s="19">
        <f t="shared" si="89"/>
        <v>2</v>
      </c>
      <c r="AU1143" s="19">
        <f t="shared" ca="1" si="88"/>
        <v>2</v>
      </c>
    </row>
    <row r="1144" spans="1:47" x14ac:dyDescent="0.3">
      <c r="A1144" t="s">
        <v>1661</v>
      </c>
      <c r="B1144" t="str">
        <f t="shared" si="85"/>
        <v>S32_2026</v>
      </c>
      <c r="C1144" t="str">
        <f t="shared" si="87"/>
        <v>S32_2026</v>
      </c>
      <c r="F1144">
        <v>30</v>
      </c>
      <c r="G1144" t="s">
        <v>55</v>
      </c>
      <c r="H1144" t="s">
        <v>85</v>
      </c>
      <c r="I1144" t="s">
        <v>1660</v>
      </c>
      <c r="J1144" t="s">
        <v>124</v>
      </c>
      <c r="K1144" t="s">
        <v>124</v>
      </c>
      <c r="L1144" t="s">
        <v>124</v>
      </c>
      <c r="M1144" t="s">
        <v>124</v>
      </c>
      <c r="N1144" t="s">
        <v>45</v>
      </c>
      <c r="O1144" t="s">
        <v>74</v>
      </c>
      <c r="P1144">
        <v>3</v>
      </c>
      <c r="Q1144" s="7">
        <v>46238</v>
      </c>
      <c r="R1144" s="7">
        <v>46238</v>
      </c>
      <c r="S1144" s="7">
        <v>46238</v>
      </c>
      <c r="T1144" t="s">
        <v>45</v>
      </c>
      <c r="V1144" t="s">
        <v>1657</v>
      </c>
      <c r="W1144" t="s">
        <v>45</v>
      </c>
      <c r="X1144" t="s">
        <v>45</v>
      </c>
      <c r="Y1144" t="s">
        <v>45</v>
      </c>
      <c r="Z1144" t="s">
        <v>74</v>
      </c>
      <c r="AF1144">
        <v>2</v>
      </c>
      <c r="AH1144" t="s">
        <v>75</v>
      </c>
      <c r="AI1144">
        <v>1</v>
      </c>
      <c r="AJ1144" s="15"/>
      <c r="AL1144" s="16"/>
      <c r="AR1144" s="18" t="str">
        <f>IFERROR(VLOOKUP(K1144,[1]POP!$F:$J,1,0),M1144)</f>
        <v>MADA</v>
      </c>
      <c r="AS1144" s="18" t="str">
        <f t="shared" si="86"/>
        <v>MADA</v>
      </c>
      <c r="AT1144" s="19">
        <f t="shared" si="89"/>
        <v>2</v>
      </c>
      <c r="AU1144" s="19">
        <f t="shared" ca="1" si="88"/>
        <v>2</v>
      </c>
    </row>
    <row r="1145" spans="1:47" x14ac:dyDescent="0.3">
      <c r="A1145" t="s">
        <v>1662</v>
      </c>
      <c r="B1145" t="str">
        <f t="shared" si="85"/>
        <v>S32_2026</v>
      </c>
      <c r="C1145" t="str">
        <f t="shared" si="87"/>
        <v>S32_2026</v>
      </c>
      <c r="F1145">
        <v>12</v>
      </c>
      <c r="G1145" t="s">
        <v>40</v>
      </c>
      <c r="H1145" t="s">
        <v>77</v>
      </c>
      <c r="I1145" t="s">
        <v>1660</v>
      </c>
      <c r="J1145" t="s">
        <v>124</v>
      </c>
      <c r="K1145" t="s">
        <v>124</v>
      </c>
      <c r="L1145" t="s">
        <v>124</v>
      </c>
      <c r="M1145" t="s">
        <v>124</v>
      </c>
      <c r="N1145" t="s">
        <v>45</v>
      </c>
      <c r="O1145" t="s">
        <v>74</v>
      </c>
      <c r="P1145">
        <v>3</v>
      </c>
      <c r="Q1145" s="7">
        <v>46238</v>
      </c>
      <c r="R1145" s="7">
        <v>46238</v>
      </c>
      <c r="S1145" s="7">
        <v>46238</v>
      </c>
      <c r="T1145" t="s">
        <v>45</v>
      </c>
      <c r="V1145" t="s">
        <v>1657</v>
      </c>
      <c r="W1145" t="s">
        <v>45</v>
      </c>
      <c r="X1145" t="s">
        <v>45</v>
      </c>
      <c r="Y1145" t="s">
        <v>45</v>
      </c>
      <c r="Z1145" t="s">
        <v>74</v>
      </c>
      <c r="AF1145">
        <v>2</v>
      </c>
      <c r="AH1145" t="s">
        <v>75</v>
      </c>
      <c r="AI1145">
        <v>1</v>
      </c>
      <c r="AJ1145" s="15"/>
      <c r="AL1145" s="16"/>
      <c r="AR1145" s="18" t="str">
        <f>IFERROR(VLOOKUP(K1145,[1]POP!$F:$J,1,0),M1145)</f>
        <v>MADA</v>
      </c>
      <c r="AS1145" s="18" t="str">
        <f t="shared" si="86"/>
        <v>MADA</v>
      </c>
      <c r="AT1145" s="19">
        <f t="shared" si="89"/>
        <v>2</v>
      </c>
      <c r="AU1145" s="19">
        <f t="shared" ca="1" si="88"/>
        <v>2</v>
      </c>
    </row>
    <row r="1146" spans="1:47" x14ac:dyDescent="0.3">
      <c r="A1146" t="s">
        <v>1663</v>
      </c>
      <c r="B1146" t="str">
        <f t="shared" si="85"/>
        <v>S32_2026</v>
      </c>
      <c r="C1146" t="str">
        <f t="shared" si="87"/>
        <v>S32_2026</v>
      </c>
      <c r="F1146">
        <v>14</v>
      </c>
      <c r="G1146" t="s">
        <v>40</v>
      </c>
      <c r="H1146" t="s">
        <v>85</v>
      </c>
      <c r="I1146" t="s">
        <v>1660</v>
      </c>
      <c r="J1146" t="s">
        <v>124</v>
      </c>
      <c r="K1146" t="s">
        <v>124</v>
      </c>
      <c r="L1146" t="s">
        <v>124</v>
      </c>
      <c r="M1146" t="s">
        <v>124</v>
      </c>
      <c r="N1146" t="s">
        <v>45</v>
      </c>
      <c r="O1146" t="s">
        <v>74</v>
      </c>
      <c r="P1146">
        <v>3</v>
      </c>
      <c r="Q1146" s="7">
        <v>46238</v>
      </c>
      <c r="R1146" s="7">
        <v>46238</v>
      </c>
      <c r="S1146" s="7">
        <v>46238</v>
      </c>
      <c r="T1146" t="s">
        <v>45</v>
      </c>
      <c r="V1146" t="s">
        <v>1657</v>
      </c>
      <c r="W1146" t="s">
        <v>45</v>
      </c>
      <c r="X1146" t="s">
        <v>45</v>
      </c>
      <c r="Y1146" t="s">
        <v>45</v>
      </c>
      <c r="Z1146" t="s">
        <v>74</v>
      </c>
      <c r="AF1146">
        <v>2</v>
      </c>
      <c r="AH1146" t="s">
        <v>75</v>
      </c>
      <c r="AI1146">
        <v>1</v>
      </c>
      <c r="AJ1146" s="15"/>
      <c r="AL1146" s="16"/>
      <c r="AR1146" s="18" t="str">
        <f>IFERROR(VLOOKUP(K1146,[1]POP!$F:$J,1,0),M1146)</f>
        <v>MADA</v>
      </c>
      <c r="AS1146" s="18" t="str">
        <f t="shared" si="86"/>
        <v>MADA</v>
      </c>
      <c r="AT1146" s="19">
        <f t="shared" si="89"/>
        <v>2</v>
      </c>
      <c r="AU1146" s="19">
        <f t="shared" ca="1" si="88"/>
        <v>2</v>
      </c>
    </row>
    <row r="1147" spans="1:47" x14ac:dyDescent="0.3">
      <c r="A1147" t="s">
        <v>1664</v>
      </c>
      <c r="B1147" t="str">
        <f t="shared" si="85"/>
        <v>S32_2026</v>
      </c>
      <c r="C1147" t="str">
        <f t="shared" si="87"/>
        <v>S32_2026</v>
      </c>
      <c r="F1147">
        <v>2</v>
      </c>
      <c r="G1147" t="s">
        <v>40</v>
      </c>
      <c r="H1147" t="s">
        <v>85</v>
      </c>
      <c r="I1147" t="s">
        <v>1660</v>
      </c>
      <c r="J1147" t="s">
        <v>124</v>
      </c>
      <c r="K1147" t="s">
        <v>124</v>
      </c>
      <c r="L1147" t="s">
        <v>124</v>
      </c>
      <c r="M1147" t="s">
        <v>124</v>
      </c>
      <c r="N1147" t="s">
        <v>45</v>
      </c>
      <c r="O1147" t="s">
        <v>74</v>
      </c>
      <c r="P1147">
        <v>3</v>
      </c>
      <c r="Q1147" s="7">
        <v>46238</v>
      </c>
      <c r="R1147" s="7">
        <v>46238</v>
      </c>
      <c r="S1147" s="7">
        <v>46238</v>
      </c>
      <c r="T1147" t="s">
        <v>45</v>
      </c>
      <c r="V1147" t="s">
        <v>1657</v>
      </c>
      <c r="W1147" t="s">
        <v>45</v>
      </c>
      <c r="X1147" t="s">
        <v>45</v>
      </c>
      <c r="Y1147" t="s">
        <v>45</v>
      </c>
      <c r="Z1147" t="s">
        <v>74</v>
      </c>
      <c r="AF1147">
        <v>2</v>
      </c>
      <c r="AH1147" t="s">
        <v>75</v>
      </c>
      <c r="AI1147">
        <v>1</v>
      </c>
      <c r="AJ1147" s="15"/>
      <c r="AL1147" s="16"/>
      <c r="AR1147" s="18" t="str">
        <f>IFERROR(VLOOKUP(K1147,[1]POP!$F:$J,1,0),M1147)</f>
        <v>MADA</v>
      </c>
      <c r="AS1147" s="18" t="str">
        <f t="shared" si="86"/>
        <v>MADA</v>
      </c>
      <c r="AT1147" s="19">
        <f t="shared" si="89"/>
        <v>2</v>
      </c>
      <c r="AU1147" s="19">
        <f t="shared" ca="1" si="88"/>
        <v>2</v>
      </c>
    </row>
    <row r="1148" spans="1:47" x14ac:dyDescent="0.3">
      <c r="A1148" t="s">
        <v>1665</v>
      </c>
      <c r="B1148" t="str">
        <f t="shared" si="85"/>
        <v>S32_2026</v>
      </c>
      <c r="C1148" t="str">
        <f t="shared" si="87"/>
        <v>S32_2026</v>
      </c>
      <c r="F1148">
        <v>6</v>
      </c>
      <c r="G1148" t="s">
        <v>40</v>
      </c>
      <c r="H1148" t="s">
        <v>85</v>
      </c>
      <c r="I1148" t="s">
        <v>1660</v>
      </c>
      <c r="J1148" t="s">
        <v>124</v>
      </c>
      <c r="K1148" t="s">
        <v>124</v>
      </c>
      <c r="L1148" t="s">
        <v>124</v>
      </c>
      <c r="M1148" t="s">
        <v>124</v>
      </c>
      <c r="N1148" t="s">
        <v>45</v>
      </c>
      <c r="O1148" t="s">
        <v>74</v>
      </c>
      <c r="P1148">
        <v>3</v>
      </c>
      <c r="Q1148" s="7">
        <v>46238</v>
      </c>
      <c r="R1148" s="7">
        <v>46238</v>
      </c>
      <c r="S1148" s="7">
        <v>46238</v>
      </c>
      <c r="T1148" t="s">
        <v>45</v>
      </c>
      <c r="V1148" t="s">
        <v>1657</v>
      </c>
      <c r="W1148" t="s">
        <v>45</v>
      </c>
      <c r="X1148" t="s">
        <v>45</v>
      </c>
      <c r="Y1148" t="s">
        <v>45</v>
      </c>
      <c r="Z1148" t="s">
        <v>74</v>
      </c>
      <c r="AF1148">
        <v>2</v>
      </c>
      <c r="AH1148" t="s">
        <v>75</v>
      </c>
      <c r="AI1148">
        <v>1</v>
      </c>
      <c r="AJ1148" s="15"/>
      <c r="AL1148" s="16"/>
      <c r="AR1148" s="18" t="str">
        <f>IFERROR(VLOOKUP(K1148,[1]POP!$F:$J,1,0),M1148)</f>
        <v>MADA</v>
      </c>
      <c r="AS1148" s="18" t="str">
        <f t="shared" si="86"/>
        <v>MADA</v>
      </c>
      <c r="AT1148" s="19">
        <f t="shared" si="89"/>
        <v>2</v>
      </c>
      <c r="AU1148" s="19">
        <f t="shared" ca="1" si="88"/>
        <v>2</v>
      </c>
    </row>
    <row r="1149" spans="1:47" x14ac:dyDescent="0.3">
      <c r="A1149" t="s">
        <v>1666</v>
      </c>
      <c r="B1149" t="str">
        <f t="shared" si="85"/>
        <v>S32_2026</v>
      </c>
      <c r="C1149" t="str">
        <f t="shared" si="87"/>
        <v>S32_2026</v>
      </c>
      <c r="F1149">
        <v>4</v>
      </c>
      <c r="G1149" t="s">
        <v>40</v>
      </c>
      <c r="H1149" t="s">
        <v>77</v>
      </c>
      <c r="I1149" t="s">
        <v>1660</v>
      </c>
      <c r="J1149" t="s">
        <v>124</v>
      </c>
      <c r="K1149" t="s">
        <v>124</v>
      </c>
      <c r="L1149" t="s">
        <v>124</v>
      </c>
      <c r="M1149" t="s">
        <v>124</v>
      </c>
      <c r="N1149" t="s">
        <v>45</v>
      </c>
      <c r="O1149" t="s">
        <v>74</v>
      </c>
      <c r="P1149">
        <v>3</v>
      </c>
      <c r="Q1149" s="7">
        <v>46238</v>
      </c>
      <c r="R1149" s="7">
        <v>46238</v>
      </c>
      <c r="S1149" s="7">
        <v>46238</v>
      </c>
      <c r="T1149" t="s">
        <v>45</v>
      </c>
      <c r="V1149" t="s">
        <v>1657</v>
      </c>
      <c r="W1149" t="s">
        <v>45</v>
      </c>
      <c r="X1149" t="s">
        <v>45</v>
      </c>
      <c r="Y1149" t="s">
        <v>45</v>
      </c>
      <c r="Z1149" t="s">
        <v>74</v>
      </c>
      <c r="AF1149">
        <v>2</v>
      </c>
      <c r="AH1149" t="s">
        <v>75</v>
      </c>
      <c r="AI1149">
        <v>1</v>
      </c>
      <c r="AJ1149" s="15"/>
      <c r="AL1149" s="16"/>
      <c r="AR1149" s="18" t="str">
        <f>IFERROR(VLOOKUP(K1149,[1]POP!$F:$J,1,0),M1149)</f>
        <v>MADA</v>
      </c>
      <c r="AS1149" s="18" t="str">
        <f t="shared" si="86"/>
        <v>MADA</v>
      </c>
      <c r="AT1149" s="19">
        <f t="shared" si="89"/>
        <v>2</v>
      </c>
      <c r="AU1149" s="19">
        <f t="shared" ca="1" si="88"/>
        <v>2</v>
      </c>
    </row>
    <row r="1150" spans="1:47" x14ac:dyDescent="0.3">
      <c r="A1150" t="s">
        <v>1667</v>
      </c>
      <c r="B1150" t="str">
        <f t="shared" si="85"/>
        <v>S32_2026</v>
      </c>
      <c r="C1150" t="str">
        <f t="shared" si="87"/>
        <v>S32_2026</v>
      </c>
      <c r="F1150">
        <v>50</v>
      </c>
      <c r="G1150" t="s">
        <v>40</v>
      </c>
      <c r="H1150" t="s">
        <v>77</v>
      </c>
      <c r="I1150" t="s">
        <v>1660</v>
      </c>
      <c r="J1150" t="s">
        <v>124</v>
      </c>
      <c r="K1150" t="s">
        <v>124</v>
      </c>
      <c r="L1150" t="s">
        <v>124</v>
      </c>
      <c r="M1150" t="s">
        <v>124</v>
      </c>
      <c r="N1150" t="s">
        <v>45</v>
      </c>
      <c r="O1150" t="s">
        <v>74</v>
      </c>
      <c r="P1150">
        <v>3</v>
      </c>
      <c r="Q1150" s="7">
        <v>46239</v>
      </c>
      <c r="R1150" s="7">
        <v>46239</v>
      </c>
      <c r="S1150" s="7">
        <v>46239</v>
      </c>
      <c r="T1150" t="s">
        <v>45</v>
      </c>
      <c r="V1150" t="s">
        <v>1657</v>
      </c>
      <c r="W1150" t="s">
        <v>45</v>
      </c>
      <c r="X1150" t="s">
        <v>45</v>
      </c>
      <c r="Y1150" t="s">
        <v>45</v>
      </c>
      <c r="Z1150" t="s">
        <v>74</v>
      </c>
      <c r="AF1150">
        <v>2</v>
      </c>
      <c r="AH1150" t="s">
        <v>75</v>
      </c>
      <c r="AI1150">
        <v>1</v>
      </c>
      <c r="AJ1150" s="15"/>
      <c r="AL1150" s="16"/>
      <c r="AR1150" s="18" t="str">
        <f>IFERROR(VLOOKUP(K1150,[1]POP!$F:$J,1,0),M1150)</f>
        <v>MADA</v>
      </c>
      <c r="AS1150" s="18" t="str">
        <f t="shared" si="86"/>
        <v>MADA</v>
      </c>
      <c r="AT1150" s="19">
        <f t="shared" si="89"/>
        <v>2</v>
      </c>
      <c r="AU1150" s="19">
        <f t="shared" ca="1" si="88"/>
        <v>2</v>
      </c>
    </row>
    <row r="1151" spans="1:47" x14ac:dyDescent="0.3">
      <c r="A1151" t="s">
        <v>1668</v>
      </c>
      <c r="B1151" t="str">
        <f t="shared" si="85"/>
        <v>S32_2026</v>
      </c>
      <c r="C1151" t="str">
        <f t="shared" si="87"/>
        <v>S32_2026</v>
      </c>
      <c r="F1151">
        <v>49</v>
      </c>
      <c r="G1151" t="s">
        <v>55</v>
      </c>
      <c r="H1151" t="s">
        <v>85</v>
      </c>
      <c r="I1151" t="s">
        <v>1660</v>
      </c>
      <c r="J1151" t="s">
        <v>124</v>
      </c>
      <c r="K1151" t="s">
        <v>124</v>
      </c>
      <c r="L1151" t="s">
        <v>124</v>
      </c>
      <c r="M1151" t="s">
        <v>124</v>
      </c>
      <c r="N1151" t="s">
        <v>45</v>
      </c>
      <c r="O1151" t="s">
        <v>74</v>
      </c>
      <c r="P1151">
        <v>3</v>
      </c>
      <c r="Q1151" s="7">
        <v>46240</v>
      </c>
      <c r="R1151" s="7">
        <v>46240</v>
      </c>
      <c r="S1151" s="7">
        <v>46240</v>
      </c>
      <c r="T1151" t="s">
        <v>45</v>
      </c>
      <c r="V1151" t="s">
        <v>1657</v>
      </c>
      <c r="W1151" t="s">
        <v>45</v>
      </c>
      <c r="X1151" t="s">
        <v>45</v>
      </c>
      <c r="Y1151" t="s">
        <v>45</v>
      </c>
      <c r="Z1151" t="s">
        <v>74</v>
      </c>
      <c r="AF1151">
        <v>2</v>
      </c>
      <c r="AH1151" t="s">
        <v>75</v>
      </c>
      <c r="AI1151">
        <v>1</v>
      </c>
      <c r="AJ1151" s="15"/>
      <c r="AL1151" s="16"/>
      <c r="AR1151" s="18" t="str">
        <f>IFERROR(VLOOKUP(K1151,[1]POP!$F:$J,1,0),M1151)</f>
        <v>MADA</v>
      </c>
      <c r="AS1151" s="18" t="str">
        <f t="shared" si="86"/>
        <v>MADA</v>
      </c>
      <c r="AT1151" s="19">
        <f t="shared" si="89"/>
        <v>2</v>
      </c>
      <c r="AU1151" s="19">
        <f t="shared" ca="1" si="88"/>
        <v>2</v>
      </c>
    </row>
    <row r="1152" spans="1:47" x14ac:dyDescent="0.3">
      <c r="A1152" t="s">
        <v>1669</v>
      </c>
      <c r="B1152" t="str">
        <f t="shared" si="85"/>
        <v>S32_2026</v>
      </c>
      <c r="C1152" t="str">
        <f t="shared" si="87"/>
        <v>S32_2026</v>
      </c>
      <c r="F1152">
        <v>7</v>
      </c>
      <c r="G1152" t="s">
        <v>55</v>
      </c>
      <c r="H1152" t="s">
        <v>70</v>
      </c>
      <c r="I1152" t="s">
        <v>1670</v>
      </c>
      <c r="J1152" t="s">
        <v>124</v>
      </c>
      <c r="K1152" t="s">
        <v>124</v>
      </c>
      <c r="L1152" t="s">
        <v>124</v>
      </c>
      <c r="M1152" t="s">
        <v>124</v>
      </c>
      <c r="N1152" t="s">
        <v>45</v>
      </c>
      <c r="O1152" t="s">
        <v>74</v>
      </c>
      <c r="P1152">
        <v>3</v>
      </c>
      <c r="Q1152" s="7">
        <v>46240</v>
      </c>
      <c r="R1152" s="7">
        <v>46240</v>
      </c>
      <c r="S1152" s="7">
        <v>46240</v>
      </c>
      <c r="T1152" t="s">
        <v>45</v>
      </c>
      <c r="V1152" t="s">
        <v>1657</v>
      </c>
      <c r="W1152" t="s">
        <v>45</v>
      </c>
      <c r="X1152" t="s">
        <v>45</v>
      </c>
      <c r="Y1152" t="s">
        <v>45</v>
      </c>
      <c r="Z1152" t="s">
        <v>74</v>
      </c>
      <c r="AF1152">
        <v>2</v>
      </c>
      <c r="AH1152" t="s">
        <v>75</v>
      </c>
      <c r="AI1152">
        <v>1</v>
      </c>
      <c r="AJ1152" s="15"/>
      <c r="AL1152" s="16"/>
      <c r="AR1152" s="18" t="str">
        <f>IFERROR(VLOOKUP(K1152,[1]POP!$F:$J,1,0),M1152)</f>
        <v>MADA</v>
      </c>
      <c r="AS1152" s="18" t="str">
        <f t="shared" si="86"/>
        <v>MADA</v>
      </c>
      <c r="AT1152" s="19">
        <f t="shared" si="89"/>
        <v>2</v>
      </c>
      <c r="AU1152" s="19">
        <f t="shared" ca="1" si="88"/>
        <v>2</v>
      </c>
    </row>
    <row r="1153" spans="1:47" x14ac:dyDescent="0.3">
      <c r="A1153" t="s">
        <v>1671</v>
      </c>
      <c r="B1153" t="str">
        <f t="shared" si="85"/>
        <v>S32_2026</v>
      </c>
      <c r="C1153" t="str">
        <f t="shared" si="87"/>
        <v>S32_2026</v>
      </c>
      <c r="F1153">
        <v>30</v>
      </c>
      <c r="G1153" t="s">
        <v>55</v>
      </c>
      <c r="H1153" t="s">
        <v>70</v>
      </c>
      <c r="I1153" t="s">
        <v>1670</v>
      </c>
      <c r="J1153" t="s">
        <v>124</v>
      </c>
      <c r="K1153" t="s">
        <v>124</v>
      </c>
      <c r="L1153" t="s">
        <v>124</v>
      </c>
      <c r="M1153" t="s">
        <v>124</v>
      </c>
      <c r="N1153" t="s">
        <v>45</v>
      </c>
      <c r="O1153" t="s">
        <v>74</v>
      </c>
      <c r="P1153">
        <v>3</v>
      </c>
      <c r="Q1153" s="7">
        <v>46240</v>
      </c>
      <c r="R1153" s="7">
        <v>46240</v>
      </c>
      <c r="S1153" s="7">
        <v>46240</v>
      </c>
      <c r="T1153" t="s">
        <v>45</v>
      </c>
      <c r="V1153" t="s">
        <v>1657</v>
      </c>
      <c r="W1153" t="s">
        <v>45</v>
      </c>
      <c r="X1153" t="s">
        <v>45</v>
      </c>
      <c r="Y1153" t="s">
        <v>45</v>
      </c>
      <c r="Z1153" t="s">
        <v>74</v>
      </c>
      <c r="AF1153">
        <v>2</v>
      </c>
      <c r="AH1153" t="s">
        <v>75</v>
      </c>
      <c r="AI1153">
        <v>1</v>
      </c>
      <c r="AJ1153" s="15"/>
      <c r="AL1153" s="16"/>
      <c r="AR1153" s="18" t="str">
        <f>IFERROR(VLOOKUP(K1153,[1]POP!$F:$J,1,0),M1153)</f>
        <v>MADA</v>
      </c>
      <c r="AS1153" s="18" t="str">
        <f t="shared" si="86"/>
        <v>MADA</v>
      </c>
      <c r="AT1153" s="19">
        <f t="shared" si="89"/>
        <v>2</v>
      </c>
      <c r="AU1153" s="19">
        <f t="shared" ca="1" si="88"/>
        <v>2</v>
      </c>
    </row>
    <row r="1154" spans="1:47" x14ac:dyDescent="0.3">
      <c r="A1154" t="s">
        <v>1672</v>
      </c>
      <c r="B1154" t="str">
        <f t="shared" ref="B1154:B1217" si="90">"S"&amp;(IF(_xlfn.ISOWEEKNUM(S1154)&gt;9,_xlfn.ISOWEEKNUM(S1154),_xlfn.CONCAT("0",_xlfn.ISOWEEKNUM(S1154))))&amp;"_"&amp;(YEAR(S1154+26-(_xlfn.ISOWEEKNUM(S1154))))</f>
        <v>S32_2026</v>
      </c>
      <c r="C1154" t="str">
        <f t="shared" si="87"/>
        <v>S32_2026</v>
      </c>
      <c r="F1154">
        <v>7</v>
      </c>
      <c r="G1154" t="s">
        <v>55</v>
      </c>
      <c r="I1154" t="s">
        <v>924</v>
      </c>
      <c r="J1154" t="s">
        <v>174</v>
      </c>
      <c r="K1154" t="s">
        <v>124</v>
      </c>
      <c r="L1154" t="s">
        <v>174</v>
      </c>
      <c r="M1154" t="s">
        <v>124</v>
      </c>
      <c r="N1154" t="s">
        <v>45</v>
      </c>
      <c r="O1154" t="s">
        <v>74</v>
      </c>
      <c r="P1154">
        <v>1</v>
      </c>
      <c r="Q1154" s="7">
        <v>46237</v>
      </c>
      <c r="R1154" s="7">
        <v>46238</v>
      </c>
      <c r="S1154" s="7">
        <v>46238</v>
      </c>
      <c r="T1154" t="s">
        <v>45</v>
      </c>
      <c r="V1154" t="s">
        <v>175</v>
      </c>
      <c r="W1154" t="s">
        <v>45</v>
      </c>
      <c r="X1154" t="s">
        <v>74</v>
      </c>
      <c r="Y1154" t="s">
        <v>74</v>
      </c>
      <c r="Z1154" t="s">
        <v>45</v>
      </c>
      <c r="AF1154">
        <v>2</v>
      </c>
      <c r="AH1154" t="s">
        <v>75</v>
      </c>
      <c r="AI1154">
        <v>1</v>
      </c>
      <c r="AJ1154" s="15"/>
      <c r="AL1154" s="16"/>
      <c r="AR1154" s="18" t="str">
        <f>IFERROR(VLOOKUP(K1154,[1]POP!$F:$J,1,0),M1154)</f>
        <v>MADA</v>
      </c>
      <c r="AS1154" s="18" t="str">
        <f t="shared" ref="AS1154:AS1217" si="91">IF(AR1154=K1154,J1154,L1154)</f>
        <v>HILE ALIFA</v>
      </c>
      <c r="AT1154" s="19">
        <f t="shared" si="89"/>
        <v>2</v>
      </c>
      <c r="AU1154" s="19">
        <f t="shared" ca="1" si="88"/>
        <v>2</v>
      </c>
    </row>
    <row r="1155" spans="1:47" x14ac:dyDescent="0.3">
      <c r="A1155" t="s">
        <v>1673</v>
      </c>
      <c r="B1155" t="str">
        <f t="shared" si="90"/>
        <v>S32_2026</v>
      </c>
      <c r="C1155" t="str">
        <f t="shared" ref="C1155:C1218" si="92">"S"&amp;(IF(_xlfn.ISOWEEKNUM(Q1155)&gt;9,_xlfn.ISOWEEKNUM(Q1155),_xlfn.CONCAT("0",_xlfn.ISOWEEKNUM(Q1155))))&amp;"_"&amp;(YEAR(Q1155+26-(_xlfn.ISOWEEKNUM(Q1155))))</f>
        <v>S32_2026</v>
      </c>
      <c r="F1155">
        <v>0.25</v>
      </c>
      <c r="G1155" t="s">
        <v>40</v>
      </c>
      <c r="I1155" t="s">
        <v>127</v>
      </c>
      <c r="J1155" t="s">
        <v>174</v>
      </c>
      <c r="K1155" t="s">
        <v>124</v>
      </c>
      <c r="L1155" t="s">
        <v>174</v>
      </c>
      <c r="M1155" t="s">
        <v>124</v>
      </c>
      <c r="N1155" t="s">
        <v>45</v>
      </c>
      <c r="O1155" t="s">
        <v>74</v>
      </c>
      <c r="P1155">
        <v>1</v>
      </c>
      <c r="Q1155" s="7">
        <v>46237</v>
      </c>
      <c r="R1155" s="7">
        <v>46238</v>
      </c>
      <c r="S1155" s="7">
        <v>46238</v>
      </c>
      <c r="T1155" t="s">
        <v>45</v>
      </c>
      <c r="V1155" t="s">
        <v>175</v>
      </c>
      <c r="W1155" t="s">
        <v>45</v>
      </c>
      <c r="X1155" t="s">
        <v>74</v>
      </c>
      <c r="Y1155" t="s">
        <v>74</v>
      </c>
      <c r="Z1155" t="s">
        <v>45</v>
      </c>
      <c r="AF1155">
        <v>2</v>
      </c>
      <c r="AH1155" t="s">
        <v>75</v>
      </c>
      <c r="AI1155">
        <v>1</v>
      </c>
      <c r="AJ1155" s="15"/>
      <c r="AL1155" s="16"/>
      <c r="AR1155" s="18" t="str">
        <f>IFERROR(VLOOKUP(K1155,[1]POP!$F:$J,1,0),M1155)</f>
        <v>MADA</v>
      </c>
      <c r="AS1155" s="18" t="str">
        <f t="shared" si="91"/>
        <v>HILE ALIFA</v>
      </c>
      <c r="AT1155" s="19">
        <f t="shared" si="89"/>
        <v>2</v>
      </c>
      <c r="AU1155" s="19">
        <f t="shared" ref="AU1155:AU1218" ca="1" si="93">IF((TODAY() - R1155)&lt;=21,1,2)</f>
        <v>2</v>
      </c>
    </row>
    <row r="1156" spans="1:47" x14ac:dyDescent="0.3">
      <c r="A1156" t="s">
        <v>1674</v>
      </c>
      <c r="B1156" t="str">
        <f t="shared" si="90"/>
        <v>S32_2026</v>
      </c>
      <c r="C1156" t="str">
        <f t="shared" si="92"/>
        <v>S32_2026</v>
      </c>
      <c r="F1156">
        <v>70</v>
      </c>
      <c r="G1156" t="s">
        <v>40</v>
      </c>
      <c r="I1156" t="s">
        <v>267</v>
      </c>
      <c r="J1156" t="s">
        <v>174</v>
      </c>
      <c r="K1156" t="s">
        <v>124</v>
      </c>
      <c r="L1156" t="s">
        <v>174</v>
      </c>
      <c r="M1156" t="s">
        <v>124</v>
      </c>
      <c r="N1156" t="s">
        <v>45</v>
      </c>
      <c r="O1156" t="s">
        <v>45</v>
      </c>
      <c r="P1156">
        <v>3</v>
      </c>
      <c r="Q1156" s="7">
        <v>46237</v>
      </c>
      <c r="R1156" s="7">
        <v>46238</v>
      </c>
      <c r="S1156" s="7">
        <v>46238</v>
      </c>
      <c r="T1156" t="s">
        <v>45</v>
      </c>
      <c r="V1156" t="s">
        <v>175</v>
      </c>
      <c r="W1156" t="s">
        <v>45</v>
      </c>
      <c r="X1156" t="s">
        <v>45</v>
      </c>
      <c r="Y1156" t="s">
        <v>45</v>
      </c>
      <c r="Z1156" t="s">
        <v>45</v>
      </c>
      <c r="AF1156">
        <v>2</v>
      </c>
      <c r="AH1156" t="s">
        <v>75</v>
      </c>
      <c r="AI1156">
        <v>1</v>
      </c>
      <c r="AJ1156" s="15"/>
      <c r="AL1156" s="16"/>
      <c r="AR1156" s="18" t="str">
        <f>IFERROR(VLOOKUP(K1156,[1]POP!$F:$J,1,0),M1156)</f>
        <v>MADA</v>
      </c>
      <c r="AS1156" s="18" t="str">
        <f t="shared" si="91"/>
        <v>HILE ALIFA</v>
      </c>
      <c r="AT1156" s="19">
        <f t="shared" ref="AT1156:AT1219" si="94">IF($AI:$AI=2,3,IF($AI:$AI=3,3,IF($AI:$AI=4,3,IF($AI:$AI=1,2,0))))</f>
        <v>2</v>
      </c>
      <c r="AU1156" s="19">
        <f t="shared" ca="1" si="93"/>
        <v>2</v>
      </c>
    </row>
    <row r="1157" spans="1:47" x14ac:dyDescent="0.3">
      <c r="A1157" t="s">
        <v>1675</v>
      </c>
      <c r="B1157" t="str">
        <f t="shared" si="90"/>
        <v>S32_2026</v>
      </c>
      <c r="C1157" t="str">
        <f t="shared" si="92"/>
        <v>S32_2026</v>
      </c>
      <c r="F1157">
        <v>6</v>
      </c>
      <c r="G1157" t="s">
        <v>40</v>
      </c>
      <c r="I1157" t="s">
        <v>1186</v>
      </c>
      <c r="J1157" t="s">
        <v>174</v>
      </c>
      <c r="K1157" t="s">
        <v>124</v>
      </c>
      <c r="L1157" t="s">
        <v>174</v>
      </c>
      <c r="M1157" t="s">
        <v>124</v>
      </c>
      <c r="N1157" t="s">
        <v>45</v>
      </c>
      <c r="O1157" t="s">
        <v>45</v>
      </c>
      <c r="P1157">
        <v>2</v>
      </c>
      <c r="Q1157" s="7">
        <v>46238</v>
      </c>
      <c r="R1157" s="7">
        <v>46239</v>
      </c>
      <c r="S1157" s="7">
        <v>46239</v>
      </c>
      <c r="T1157" t="s">
        <v>45</v>
      </c>
      <c r="V1157" t="s">
        <v>175</v>
      </c>
      <c r="W1157" t="s">
        <v>45</v>
      </c>
      <c r="X1157" t="s">
        <v>45</v>
      </c>
      <c r="Y1157" t="s">
        <v>45</v>
      </c>
      <c r="Z1157" t="s">
        <v>45</v>
      </c>
      <c r="AF1157">
        <v>2</v>
      </c>
      <c r="AH1157" t="s">
        <v>75</v>
      </c>
      <c r="AI1157">
        <v>1</v>
      </c>
      <c r="AJ1157" s="15"/>
      <c r="AL1157" s="16"/>
      <c r="AR1157" s="18" t="str">
        <f>IFERROR(VLOOKUP(K1157,[1]POP!$F:$J,1,0),M1157)</f>
        <v>MADA</v>
      </c>
      <c r="AS1157" s="18" t="str">
        <f t="shared" si="91"/>
        <v>HILE ALIFA</v>
      </c>
      <c r="AT1157" s="19">
        <f t="shared" si="94"/>
        <v>2</v>
      </c>
      <c r="AU1157" s="19">
        <f t="shared" ca="1" si="93"/>
        <v>2</v>
      </c>
    </row>
    <row r="1158" spans="1:47" x14ac:dyDescent="0.3">
      <c r="A1158" t="s">
        <v>1676</v>
      </c>
      <c r="B1158" t="str">
        <f t="shared" si="90"/>
        <v>S32_2026</v>
      </c>
      <c r="C1158" t="str">
        <f t="shared" si="92"/>
        <v>S32_2026</v>
      </c>
      <c r="F1158">
        <v>25</v>
      </c>
      <c r="G1158" t="s">
        <v>55</v>
      </c>
      <c r="I1158" t="s">
        <v>477</v>
      </c>
      <c r="J1158" t="s">
        <v>128</v>
      </c>
      <c r="K1158" t="s">
        <v>124</v>
      </c>
      <c r="L1158" t="s">
        <v>174</v>
      </c>
      <c r="M1158" t="s">
        <v>124</v>
      </c>
      <c r="N1158" t="s">
        <v>45</v>
      </c>
      <c r="O1158" t="s">
        <v>45</v>
      </c>
      <c r="P1158">
        <v>2</v>
      </c>
      <c r="Q1158" s="7">
        <v>46238</v>
      </c>
      <c r="R1158" s="7">
        <v>46239</v>
      </c>
      <c r="S1158" s="7">
        <v>46239</v>
      </c>
      <c r="T1158" t="s">
        <v>45</v>
      </c>
      <c r="V1158" t="s">
        <v>175</v>
      </c>
      <c r="W1158" t="s">
        <v>45</v>
      </c>
      <c r="X1158" t="s">
        <v>45</v>
      </c>
      <c r="Y1158" t="s">
        <v>45</v>
      </c>
      <c r="Z1158" t="s">
        <v>45</v>
      </c>
      <c r="AF1158">
        <v>2</v>
      </c>
      <c r="AH1158" t="s">
        <v>75</v>
      </c>
      <c r="AI1158">
        <v>1</v>
      </c>
      <c r="AJ1158" s="15"/>
      <c r="AL1158" s="16"/>
      <c r="AR1158" s="18" t="str">
        <f>IFERROR(VLOOKUP(K1158,[1]POP!$F:$J,1,0),M1158)</f>
        <v>MADA</v>
      </c>
      <c r="AS1158" s="18" t="str">
        <f t="shared" si="91"/>
        <v>NAGA</v>
      </c>
      <c r="AT1158" s="19">
        <f t="shared" si="94"/>
        <v>2</v>
      </c>
      <c r="AU1158" s="19">
        <f t="shared" ca="1" si="93"/>
        <v>2</v>
      </c>
    </row>
    <row r="1159" spans="1:47" x14ac:dyDescent="0.3">
      <c r="A1159" t="s">
        <v>1677</v>
      </c>
      <c r="B1159" t="str">
        <f t="shared" si="90"/>
        <v>S32_2026</v>
      </c>
      <c r="C1159" t="str">
        <f t="shared" si="92"/>
        <v>S32_2026</v>
      </c>
      <c r="F1159">
        <v>25</v>
      </c>
      <c r="G1159" t="s">
        <v>40</v>
      </c>
      <c r="I1159" t="s">
        <v>924</v>
      </c>
      <c r="J1159" t="s">
        <v>174</v>
      </c>
      <c r="K1159" t="s">
        <v>124</v>
      </c>
      <c r="L1159" t="s">
        <v>174</v>
      </c>
      <c r="M1159" t="s">
        <v>124</v>
      </c>
      <c r="N1159" t="s">
        <v>45</v>
      </c>
      <c r="O1159" t="s">
        <v>45</v>
      </c>
      <c r="P1159">
        <v>2</v>
      </c>
      <c r="Q1159" s="7">
        <v>46238</v>
      </c>
      <c r="R1159" s="7">
        <v>46239</v>
      </c>
      <c r="S1159" s="7">
        <v>46239</v>
      </c>
      <c r="T1159" t="s">
        <v>45</v>
      </c>
      <c r="V1159" t="s">
        <v>175</v>
      </c>
      <c r="W1159" t="s">
        <v>45</v>
      </c>
      <c r="X1159" t="s">
        <v>45</v>
      </c>
      <c r="Y1159" t="s">
        <v>45</v>
      </c>
      <c r="Z1159" t="s">
        <v>45</v>
      </c>
      <c r="AF1159">
        <v>2</v>
      </c>
      <c r="AH1159" t="s">
        <v>75</v>
      </c>
      <c r="AI1159">
        <v>1</v>
      </c>
      <c r="AJ1159" s="15"/>
      <c r="AL1159" s="16"/>
      <c r="AR1159" s="18" t="str">
        <f>IFERROR(VLOOKUP(K1159,[1]POP!$F:$J,1,0),M1159)</f>
        <v>MADA</v>
      </c>
      <c r="AS1159" s="18" t="str">
        <f t="shared" si="91"/>
        <v>HILE ALIFA</v>
      </c>
      <c r="AT1159" s="19">
        <f t="shared" si="94"/>
        <v>2</v>
      </c>
      <c r="AU1159" s="19">
        <f t="shared" ca="1" si="93"/>
        <v>2</v>
      </c>
    </row>
    <row r="1160" spans="1:47" x14ac:dyDescent="0.3">
      <c r="A1160" t="s">
        <v>1678</v>
      </c>
      <c r="B1160" t="str">
        <f t="shared" si="90"/>
        <v>S32_2026</v>
      </c>
      <c r="C1160" t="str">
        <f t="shared" si="92"/>
        <v>S32_2026</v>
      </c>
      <c r="F1160">
        <v>0.25</v>
      </c>
      <c r="G1160" t="s">
        <v>40</v>
      </c>
      <c r="I1160" t="s">
        <v>924</v>
      </c>
      <c r="J1160" t="s">
        <v>174</v>
      </c>
      <c r="K1160" t="s">
        <v>124</v>
      </c>
      <c r="L1160" t="s">
        <v>174</v>
      </c>
      <c r="M1160" t="s">
        <v>124</v>
      </c>
      <c r="N1160" t="s">
        <v>45</v>
      </c>
      <c r="O1160" t="s">
        <v>45</v>
      </c>
      <c r="P1160">
        <v>2</v>
      </c>
      <c r="Q1160" s="7">
        <v>46238</v>
      </c>
      <c r="R1160" s="7">
        <v>46239</v>
      </c>
      <c r="S1160" s="7">
        <v>46239</v>
      </c>
      <c r="T1160" t="s">
        <v>45</v>
      </c>
      <c r="V1160" t="s">
        <v>175</v>
      </c>
      <c r="W1160" t="s">
        <v>45</v>
      </c>
      <c r="X1160" t="s">
        <v>45</v>
      </c>
      <c r="Y1160" t="s">
        <v>45</v>
      </c>
      <c r="Z1160" t="s">
        <v>45</v>
      </c>
      <c r="AF1160">
        <v>2</v>
      </c>
      <c r="AH1160" t="s">
        <v>75</v>
      </c>
      <c r="AI1160">
        <v>1</v>
      </c>
      <c r="AJ1160" s="15"/>
      <c r="AL1160" s="16"/>
      <c r="AR1160" s="18" t="str">
        <f>IFERROR(VLOOKUP(K1160,[1]POP!$F:$J,1,0),M1160)</f>
        <v>MADA</v>
      </c>
      <c r="AS1160" s="18" t="str">
        <f t="shared" si="91"/>
        <v>HILE ALIFA</v>
      </c>
      <c r="AT1160" s="19">
        <f t="shared" si="94"/>
        <v>2</v>
      </c>
      <c r="AU1160" s="19">
        <f t="shared" ca="1" si="93"/>
        <v>2</v>
      </c>
    </row>
    <row r="1161" spans="1:47" x14ac:dyDescent="0.3">
      <c r="A1161" t="s">
        <v>1679</v>
      </c>
      <c r="B1161" t="str">
        <f t="shared" si="90"/>
        <v>S32_2026</v>
      </c>
      <c r="C1161" t="str">
        <f t="shared" si="92"/>
        <v>S32_2026</v>
      </c>
      <c r="F1161">
        <v>2</v>
      </c>
      <c r="G1161" t="s">
        <v>55</v>
      </c>
      <c r="I1161" t="s">
        <v>924</v>
      </c>
      <c r="J1161" t="s">
        <v>174</v>
      </c>
      <c r="K1161" t="s">
        <v>124</v>
      </c>
      <c r="L1161" t="s">
        <v>174</v>
      </c>
      <c r="M1161" t="s">
        <v>124</v>
      </c>
      <c r="N1161" t="s">
        <v>45</v>
      </c>
      <c r="O1161" t="s">
        <v>45</v>
      </c>
      <c r="P1161">
        <v>2</v>
      </c>
      <c r="Q1161" s="7">
        <v>46238</v>
      </c>
      <c r="R1161" s="7">
        <v>46239</v>
      </c>
      <c r="S1161" s="7">
        <v>46239</v>
      </c>
      <c r="T1161" t="s">
        <v>45</v>
      </c>
      <c r="V1161" t="s">
        <v>175</v>
      </c>
      <c r="W1161" t="s">
        <v>45</v>
      </c>
      <c r="X1161" t="s">
        <v>45</v>
      </c>
      <c r="Y1161" t="s">
        <v>45</v>
      </c>
      <c r="Z1161" t="s">
        <v>45</v>
      </c>
      <c r="AF1161">
        <v>2</v>
      </c>
      <c r="AH1161" t="s">
        <v>75</v>
      </c>
      <c r="AI1161">
        <v>1</v>
      </c>
      <c r="AJ1161" s="15"/>
      <c r="AL1161" s="16"/>
      <c r="AR1161" s="18" t="str">
        <f>IFERROR(VLOOKUP(K1161,[1]POP!$F:$J,1,0),M1161)</f>
        <v>MADA</v>
      </c>
      <c r="AS1161" s="18" t="str">
        <f t="shared" si="91"/>
        <v>HILE ALIFA</v>
      </c>
      <c r="AT1161" s="19">
        <f t="shared" si="94"/>
        <v>2</v>
      </c>
      <c r="AU1161" s="19">
        <f t="shared" ca="1" si="93"/>
        <v>2</v>
      </c>
    </row>
    <row r="1162" spans="1:47" x14ac:dyDescent="0.3">
      <c r="A1162" t="s">
        <v>1680</v>
      </c>
      <c r="B1162" t="str">
        <f t="shared" si="90"/>
        <v>S32_2026</v>
      </c>
      <c r="C1162" t="str">
        <f t="shared" si="92"/>
        <v>S32_2026</v>
      </c>
      <c r="F1162">
        <v>3</v>
      </c>
      <c r="G1162" t="s">
        <v>55</v>
      </c>
      <c r="I1162" t="s">
        <v>127</v>
      </c>
      <c r="J1162" t="s">
        <v>173</v>
      </c>
      <c r="K1162" t="s">
        <v>124</v>
      </c>
      <c r="L1162" t="s">
        <v>174</v>
      </c>
      <c r="M1162" t="s">
        <v>124</v>
      </c>
      <c r="N1162" t="s">
        <v>45</v>
      </c>
      <c r="O1162" t="s">
        <v>45</v>
      </c>
      <c r="P1162">
        <v>2</v>
      </c>
      <c r="Q1162" s="7">
        <v>46238</v>
      </c>
      <c r="R1162" s="7">
        <v>46239</v>
      </c>
      <c r="S1162" s="7">
        <v>46239</v>
      </c>
      <c r="T1162" t="s">
        <v>45</v>
      </c>
      <c r="V1162" t="s">
        <v>175</v>
      </c>
      <c r="W1162" t="s">
        <v>45</v>
      </c>
      <c r="X1162" t="s">
        <v>45</v>
      </c>
      <c r="Y1162" t="s">
        <v>45</v>
      </c>
      <c r="Z1162" t="s">
        <v>45</v>
      </c>
      <c r="AF1162">
        <v>2</v>
      </c>
      <c r="AH1162" t="s">
        <v>75</v>
      </c>
      <c r="AI1162">
        <v>1</v>
      </c>
      <c r="AJ1162" s="15"/>
      <c r="AL1162" s="16"/>
      <c r="AR1162" s="18" t="str">
        <f>IFERROR(VLOOKUP(K1162,[1]POP!$F:$J,1,0),M1162)</f>
        <v>MADA</v>
      </c>
      <c r="AS1162" s="18" t="str">
        <f t="shared" si="91"/>
        <v>TCHIKA</v>
      </c>
      <c r="AT1162" s="19">
        <f t="shared" si="94"/>
        <v>2</v>
      </c>
      <c r="AU1162" s="19">
        <f t="shared" ca="1" si="93"/>
        <v>2</v>
      </c>
    </row>
    <row r="1163" spans="1:47" x14ac:dyDescent="0.3">
      <c r="A1163" t="s">
        <v>1681</v>
      </c>
      <c r="B1163" t="str">
        <f t="shared" si="90"/>
        <v>S32_2026</v>
      </c>
      <c r="C1163" t="str">
        <f t="shared" si="92"/>
        <v>S32_2026</v>
      </c>
      <c r="F1163">
        <v>3</v>
      </c>
      <c r="G1163" t="s">
        <v>40</v>
      </c>
      <c r="I1163" t="s">
        <v>924</v>
      </c>
      <c r="J1163" t="s">
        <v>174</v>
      </c>
      <c r="K1163" t="s">
        <v>124</v>
      </c>
      <c r="L1163" t="s">
        <v>174</v>
      </c>
      <c r="M1163" t="s">
        <v>124</v>
      </c>
      <c r="N1163" t="s">
        <v>45</v>
      </c>
      <c r="O1163" t="s">
        <v>45</v>
      </c>
      <c r="P1163">
        <v>2</v>
      </c>
      <c r="Q1163" s="7">
        <v>46239</v>
      </c>
      <c r="R1163" s="7">
        <v>46240</v>
      </c>
      <c r="S1163" s="7">
        <v>46240</v>
      </c>
      <c r="T1163" t="s">
        <v>45</v>
      </c>
      <c r="V1163" t="s">
        <v>175</v>
      </c>
      <c r="W1163" t="s">
        <v>45</v>
      </c>
      <c r="X1163" t="s">
        <v>45</v>
      </c>
      <c r="Y1163" t="s">
        <v>45</v>
      </c>
      <c r="Z1163" t="s">
        <v>45</v>
      </c>
      <c r="AF1163">
        <v>2</v>
      </c>
      <c r="AH1163" t="s">
        <v>75</v>
      </c>
      <c r="AI1163">
        <v>1</v>
      </c>
      <c r="AJ1163" s="15"/>
      <c r="AL1163" s="16"/>
      <c r="AR1163" s="18" t="str">
        <f>IFERROR(VLOOKUP(K1163,[1]POP!$F:$J,1,0),M1163)</f>
        <v>MADA</v>
      </c>
      <c r="AS1163" s="18" t="str">
        <f t="shared" si="91"/>
        <v>HILE ALIFA</v>
      </c>
      <c r="AT1163" s="19">
        <f t="shared" si="94"/>
        <v>2</v>
      </c>
      <c r="AU1163" s="19">
        <f t="shared" ca="1" si="93"/>
        <v>2</v>
      </c>
    </row>
    <row r="1164" spans="1:47" x14ac:dyDescent="0.3">
      <c r="A1164" t="s">
        <v>1682</v>
      </c>
      <c r="B1164" t="str">
        <f t="shared" si="90"/>
        <v>S32_2026</v>
      </c>
      <c r="C1164" t="str">
        <f t="shared" si="92"/>
        <v>S32_2026</v>
      </c>
      <c r="F1164">
        <v>25</v>
      </c>
      <c r="G1164" t="s">
        <v>55</v>
      </c>
      <c r="I1164" t="s">
        <v>924</v>
      </c>
      <c r="J1164" t="s">
        <v>174</v>
      </c>
      <c r="K1164" t="s">
        <v>124</v>
      </c>
      <c r="L1164" t="s">
        <v>174</v>
      </c>
      <c r="M1164" t="s">
        <v>124</v>
      </c>
      <c r="N1164" t="s">
        <v>45</v>
      </c>
      <c r="O1164" t="s">
        <v>45</v>
      </c>
      <c r="P1164">
        <v>2</v>
      </c>
      <c r="Q1164" s="7">
        <v>46239</v>
      </c>
      <c r="R1164" s="7">
        <v>46240</v>
      </c>
      <c r="S1164" s="7">
        <v>46240</v>
      </c>
      <c r="T1164" t="s">
        <v>45</v>
      </c>
      <c r="V1164" t="s">
        <v>175</v>
      </c>
      <c r="W1164" t="s">
        <v>45</v>
      </c>
      <c r="X1164" t="s">
        <v>45</v>
      </c>
      <c r="Y1164" t="s">
        <v>45</v>
      </c>
      <c r="Z1164" t="s">
        <v>45</v>
      </c>
      <c r="AF1164">
        <v>2</v>
      </c>
      <c r="AH1164" t="s">
        <v>75</v>
      </c>
      <c r="AI1164">
        <v>1</v>
      </c>
      <c r="AJ1164" s="15"/>
      <c r="AL1164" s="16"/>
      <c r="AR1164" s="18" t="str">
        <f>IFERROR(VLOOKUP(K1164,[1]POP!$F:$J,1,0),M1164)</f>
        <v>MADA</v>
      </c>
      <c r="AS1164" s="18" t="str">
        <f t="shared" si="91"/>
        <v>HILE ALIFA</v>
      </c>
      <c r="AT1164" s="19">
        <f t="shared" si="94"/>
        <v>2</v>
      </c>
      <c r="AU1164" s="19">
        <f t="shared" ca="1" si="93"/>
        <v>2</v>
      </c>
    </row>
    <row r="1165" spans="1:47" x14ac:dyDescent="0.3">
      <c r="A1165" t="s">
        <v>1683</v>
      </c>
      <c r="B1165" t="str">
        <f t="shared" si="90"/>
        <v>S32_2026</v>
      </c>
      <c r="C1165" t="str">
        <f t="shared" si="92"/>
        <v>S31_2026</v>
      </c>
      <c r="F1165">
        <v>6</v>
      </c>
      <c r="G1165" t="s">
        <v>40</v>
      </c>
      <c r="H1165" t="s">
        <v>56</v>
      </c>
      <c r="I1165" t="s">
        <v>1684</v>
      </c>
      <c r="J1165" t="s">
        <v>1685</v>
      </c>
      <c r="K1165" t="s">
        <v>124</v>
      </c>
      <c r="L1165" t="s">
        <v>1685</v>
      </c>
      <c r="M1165" t="s">
        <v>124</v>
      </c>
      <c r="N1165" t="s">
        <v>45</v>
      </c>
      <c r="O1165" t="s">
        <v>45</v>
      </c>
      <c r="P1165">
        <v>2</v>
      </c>
      <c r="Q1165" s="7">
        <v>46236</v>
      </c>
      <c r="R1165" s="7">
        <v>46237</v>
      </c>
      <c r="S1165" s="7">
        <v>46237</v>
      </c>
      <c r="T1165" t="s">
        <v>45</v>
      </c>
      <c r="V1165" t="s">
        <v>1686</v>
      </c>
      <c r="W1165" t="s">
        <v>45</v>
      </c>
      <c r="X1165" t="s">
        <v>45</v>
      </c>
      <c r="Y1165" t="s">
        <v>45</v>
      </c>
      <c r="Z1165" t="s">
        <v>45</v>
      </c>
      <c r="AE1165" s="7">
        <v>46240</v>
      </c>
      <c r="AF1165">
        <v>2</v>
      </c>
      <c r="AH1165" t="s">
        <v>75</v>
      </c>
      <c r="AI1165">
        <v>1</v>
      </c>
      <c r="AJ1165" s="15"/>
      <c r="AL1165" s="16"/>
      <c r="AR1165" s="18" t="str">
        <f>IFERROR(VLOOKUP(K1165,[1]POP!$F:$J,1,0),M1165)</f>
        <v>MADA</v>
      </c>
      <c r="AS1165" s="18" t="str">
        <f t="shared" si="91"/>
        <v>BLARAM</v>
      </c>
      <c r="AT1165" s="19">
        <f t="shared" si="94"/>
        <v>2</v>
      </c>
      <c r="AU1165" s="19">
        <f t="shared" ca="1" si="93"/>
        <v>2</v>
      </c>
    </row>
    <row r="1166" spans="1:47" x14ac:dyDescent="0.3">
      <c r="A1166" t="s">
        <v>1687</v>
      </c>
      <c r="B1166" t="str">
        <f t="shared" si="90"/>
        <v>S32_2026</v>
      </c>
      <c r="C1166" t="str">
        <f t="shared" si="92"/>
        <v>S32_2026</v>
      </c>
      <c r="F1166">
        <v>11</v>
      </c>
      <c r="G1166" t="s">
        <v>55</v>
      </c>
      <c r="H1166" t="s">
        <v>85</v>
      </c>
      <c r="I1166" t="s">
        <v>1688</v>
      </c>
      <c r="J1166" t="s">
        <v>1067</v>
      </c>
      <c r="K1166" t="s">
        <v>1068</v>
      </c>
      <c r="L1166" t="s">
        <v>1067</v>
      </c>
      <c r="M1166" t="s">
        <v>1068</v>
      </c>
      <c r="N1166" t="s">
        <v>45</v>
      </c>
      <c r="O1166" t="s">
        <v>74</v>
      </c>
      <c r="P1166">
        <v>2</v>
      </c>
      <c r="Q1166" s="7">
        <v>46240</v>
      </c>
      <c r="R1166" s="7">
        <v>46240</v>
      </c>
      <c r="S1166" s="7">
        <v>46240</v>
      </c>
      <c r="T1166" t="s">
        <v>45</v>
      </c>
      <c r="V1166" t="s">
        <v>1331</v>
      </c>
      <c r="W1166" t="s">
        <v>45</v>
      </c>
      <c r="X1166" t="s">
        <v>74</v>
      </c>
      <c r="Y1166" t="s">
        <v>74</v>
      </c>
      <c r="Z1166" t="s">
        <v>45</v>
      </c>
      <c r="AC1166" t="s">
        <v>74</v>
      </c>
      <c r="AE1166" s="7">
        <v>46244</v>
      </c>
      <c r="AF1166">
        <v>2</v>
      </c>
      <c r="AH1166" t="s">
        <v>75</v>
      </c>
      <c r="AI1166">
        <v>1</v>
      </c>
      <c r="AJ1166" s="15"/>
      <c r="AK1166" t="s">
        <v>74</v>
      </c>
      <c r="AL1166" s="16"/>
      <c r="AR1166" s="18" t="str">
        <f>IFERROR(VLOOKUP(K1166,[1]POP!$F:$J,1,0),M1166)</f>
        <v>MOKOLO</v>
      </c>
      <c r="AS1166" s="18" t="str">
        <f t="shared" si="91"/>
        <v>MINAWAO</v>
      </c>
      <c r="AT1166" s="19">
        <f t="shared" si="94"/>
        <v>2</v>
      </c>
      <c r="AU1166" s="19">
        <f t="shared" ca="1" si="93"/>
        <v>2</v>
      </c>
    </row>
    <row r="1167" spans="1:47" x14ac:dyDescent="0.3">
      <c r="A1167" t="s">
        <v>1689</v>
      </c>
      <c r="B1167" t="str">
        <f t="shared" si="90"/>
        <v>S32_2026</v>
      </c>
      <c r="C1167" t="str">
        <f t="shared" si="92"/>
        <v>S32_2026</v>
      </c>
      <c r="F1167">
        <v>70</v>
      </c>
      <c r="G1167" t="s">
        <v>40</v>
      </c>
      <c r="H1167" t="s">
        <v>77</v>
      </c>
      <c r="I1167" t="s">
        <v>1339</v>
      </c>
      <c r="J1167" t="s">
        <v>1067</v>
      </c>
      <c r="K1167" t="s">
        <v>1068</v>
      </c>
      <c r="L1167" t="s">
        <v>1067</v>
      </c>
      <c r="M1167" t="s">
        <v>1068</v>
      </c>
      <c r="N1167" t="s">
        <v>45</v>
      </c>
      <c r="O1167" t="s">
        <v>74</v>
      </c>
      <c r="P1167">
        <v>2</v>
      </c>
      <c r="Q1167" s="7">
        <v>46240</v>
      </c>
      <c r="R1167" s="7">
        <v>46240</v>
      </c>
      <c r="S1167" s="7">
        <v>46240</v>
      </c>
      <c r="T1167" t="s">
        <v>45</v>
      </c>
      <c r="V1167" t="s">
        <v>1331</v>
      </c>
      <c r="W1167" t="s">
        <v>45</v>
      </c>
      <c r="X1167" t="s">
        <v>74</v>
      </c>
      <c r="Y1167" t="s">
        <v>45</v>
      </c>
      <c r="Z1167" t="s">
        <v>45</v>
      </c>
      <c r="AA1167" s="7">
        <v>46240</v>
      </c>
      <c r="AC1167" t="s">
        <v>45</v>
      </c>
      <c r="AD1167" t="s">
        <v>1122</v>
      </c>
      <c r="AE1167" s="7">
        <v>46247</v>
      </c>
      <c r="AF1167">
        <v>2</v>
      </c>
      <c r="AH1167" t="s">
        <v>75</v>
      </c>
      <c r="AI1167">
        <v>1</v>
      </c>
      <c r="AJ1167" s="15"/>
      <c r="AK1167" t="s">
        <v>74</v>
      </c>
      <c r="AL1167" s="16"/>
      <c r="AR1167" s="18" t="str">
        <f>IFERROR(VLOOKUP(K1167,[1]POP!$F:$J,1,0),M1167)</f>
        <v>MOKOLO</v>
      </c>
      <c r="AS1167" s="18" t="str">
        <f t="shared" si="91"/>
        <v>MINAWAO</v>
      </c>
      <c r="AT1167" s="19">
        <f t="shared" si="94"/>
        <v>2</v>
      </c>
      <c r="AU1167" s="19">
        <f t="shared" ca="1" si="93"/>
        <v>2</v>
      </c>
    </row>
    <row r="1168" spans="1:47" x14ac:dyDescent="0.3">
      <c r="A1168" t="s">
        <v>1690</v>
      </c>
      <c r="B1168" t="str">
        <f t="shared" si="90"/>
        <v>S32_2026</v>
      </c>
      <c r="C1168" t="str">
        <f t="shared" si="92"/>
        <v>S32_2026</v>
      </c>
      <c r="F1168">
        <v>0.5</v>
      </c>
      <c r="G1168" t="s">
        <v>55</v>
      </c>
      <c r="H1168" t="s">
        <v>85</v>
      </c>
      <c r="I1168" t="s">
        <v>1691</v>
      </c>
      <c r="J1168" t="s">
        <v>1067</v>
      </c>
      <c r="K1168" t="s">
        <v>1068</v>
      </c>
      <c r="L1168" t="s">
        <v>1067</v>
      </c>
      <c r="M1168" t="s">
        <v>1068</v>
      </c>
      <c r="N1168" t="s">
        <v>45</v>
      </c>
      <c r="O1168" t="s">
        <v>74</v>
      </c>
      <c r="P1168">
        <v>2</v>
      </c>
      <c r="Q1168" s="7">
        <v>46240</v>
      </c>
      <c r="R1168" s="7">
        <v>46240</v>
      </c>
      <c r="S1168" s="7">
        <v>46240</v>
      </c>
      <c r="T1168" t="s">
        <v>45</v>
      </c>
      <c r="V1168" t="s">
        <v>1331</v>
      </c>
      <c r="W1168" t="s">
        <v>45</v>
      </c>
      <c r="X1168" t="s">
        <v>74</v>
      </c>
      <c r="Y1168" t="s">
        <v>45</v>
      </c>
      <c r="Z1168" t="s">
        <v>45</v>
      </c>
      <c r="AC1168" t="s">
        <v>74</v>
      </c>
      <c r="AF1168">
        <v>2</v>
      </c>
      <c r="AH1168" t="s">
        <v>75</v>
      </c>
      <c r="AI1168">
        <v>1</v>
      </c>
      <c r="AJ1168" s="15"/>
      <c r="AK1168" t="s">
        <v>74</v>
      </c>
      <c r="AL1168" s="16"/>
      <c r="AR1168" s="18" t="str">
        <f>IFERROR(VLOOKUP(K1168,[1]POP!$F:$J,1,0),M1168)</f>
        <v>MOKOLO</v>
      </c>
      <c r="AS1168" s="18" t="str">
        <f t="shared" si="91"/>
        <v>MINAWAO</v>
      </c>
      <c r="AT1168" s="19">
        <f t="shared" si="94"/>
        <v>2</v>
      </c>
      <c r="AU1168" s="19">
        <f t="shared" ca="1" si="93"/>
        <v>2</v>
      </c>
    </row>
    <row r="1169" spans="1:47" x14ac:dyDescent="0.3">
      <c r="A1169" t="s">
        <v>1692</v>
      </c>
      <c r="B1169" t="str">
        <f t="shared" si="90"/>
        <v>S32_2026</v>
      </c>
      <c r="C1169" t="str">
        <f t="shared" si="92"/>
        <v>S32_2026</v>
      </c>
      <c r="F1169">
        <v>45</v>
      </c>
      <c r="G1169" t="s">
        <v>40</v>
      </c>
      <c r="H1169" t="s">
        <v>77</v>
      </c>
      <c r="I1169" t="s">
        <v>1693</v>
      </c>
      <c r="J1169" t="s">
        <v>1067</v>
      </c>
      <c r="K1169" t="s">
        <v>1068</v>
      </c>
      <c r="L1169" t="s">
        <v>1067</v>
      </c>
      <c r="M1169" t="s">
        <v>1068</v>
      </c>
      <c r="N1169" t="s">
        <v>45</v>
      </c>
      <c r="O1169" t="s">
        <v>74</v>
      </c>
      <c r="P1169">
        <v>2</v>
      </c>
      <c r="Q1169" s="7">
        <v>46240</v>
      </c>
      <c r="R1169" s="7">
        <v>46240</v>
      </c>
      <c r="S1169" s="7">
        <v>46240</v>
      </c>
      <c r="T1169" t="s">
        <v>45</v>
      </c>
      <c r="V1169" t="s">
        <v>1331</v>
      </c>
      <c r="W1169" t="s">
        <v>45</v>
      </c>
      <c r="X1169" t="s">
        <v>74</v>
      </c>
      <c r="Y1169" t="s">
        <v>45</v>
      </c>
      <c r="Z1169" t="s">
        <v>45</v>
      </c>
      <c r="AC1169" t="s">
        <v>74</v>
      </c>
      <c r="AE1169" s="7">
        <v>46246</v>
      </c>
      <c r="AF1169">
        <v>2</v>
      </c>
      <c r="AH1169" t="s">
        <v>75</v>
      </c>
      <c r="AI1169">
        <v>1</v>
      </c>
      <c r="AJ1169" s="15"/>
      <c r="AK1169" t="s">
        <v>74</v>
      </c>
      <c r="AL1169" s="16"/>
      <c r="AR1169" s="18" t="str">
        <f>IFERROR(VLOOKUP(K1169,[1]POP!$F:$J,1,0),M1169)</f>
        <v>MOKOLO</v>
      </c>
      <c r="AS1169" s="18" t="str">
        <f t="shared" si="91"/>
        <v>MINAWAO</v>
      </c>
      <c r="AT1169" s="19">
        <f t="shared" si="94"/>
        <v>2</v>
      </c>
      <c r="AU1169" s="19">
        <f t="shared" ca="1" si="93"/>
        <v>2</v>
      </c>
    </row>
    <row r="1170" spans="1:47" x14ac:dyDescent="0.3">
      <c r="A1170" t="s">
        <v>1694</v>
      </c>
      <c r="B1170" t="str">
        <f t="shared" si="90"/>
        <v>S32_2026</v>
      </c>
      <c r="C1170" t="str">
        <f t="shared" si="92"/>
        <v>S32_2026</v>
      </c>
      <c r="F1170">
        <v>8</v>
      </c>
      <c r="G1170" t="s">
        <v>40</v>
      </c>
      <c r="H1170" t="s">
        <v>85</v>
      </c>
      <c r="I1170" t="s">
        <v>1695</v>
      </c>
      <c r="J1170" t="s">
        <v>1067</v>
      </c>
      <c r="K1170" t="s">
        <v>1068</v>
      </c>
      <c r="L1170" t="s">
        <v>1067</v>
      </c>
      <c r="M1170" t="s">
        <v>1068</v>
      </c>
      <c r="N1170" t="s">
        <v>45</v>
      </c>
      <c r="O1170" t="s">
        <v>74</v>
      </c>
      <c r="P1170">
        <v>2</v>
      </c>
      <c r="Q1170" s="7">
        <v>46240</v>
      </c>
      <c r="R1170" s="7">
        <v>46240</v>
      </c>
      <c r="S1170" s="7">
        <v>46240</v>
      </c>
      <c r="T1170" t="s">
        <v>45</v>
      </c>
      <c r="V1170" t="s">
        <v>1331</v>
      </c>
      <c r="W1170" t="s">
        <v>45</v>
      </c>
      <c r="X1170" t="s">
        <v>74</v>
      </c>
      <c r="Y1170" t="s">
        <v>45</v>
      </c>
      <c r="Z1170" t="s">
        <v>45</v>
      </c>
      <c r="AC1170" t="s">
        <v>74</v>
      </c>
      <c r="AE1170" s="7">
        <v>46246</v>
      </c>
      <c r="AF1170">
        <v>2</v>
      </c>
      <c r="AH1170" t="s">
        <v>75</v>
      </c>
      <c r="AI1170">
        <v>1</v>
      </c>
      <c r="AJ1170" s="15"/>
      <c r="AK1170" t="s">
        <v>74</v>
      </c>
      <c r="AL1170" s="16"/>
      <c r="AR1170" s="18" t="str">
        <f>IFERROR(VLOOKUP(K1170,[1]POP!$F:$J,1,0),M1170)</f>
        <v>MOKOLO</v>
      </c>
      <c r="AS1170" s="18" t="str">
        <f t="shared" si="91"/>
        <v>MINAWAO</v>
      </c>
      <c r="AT1170" s="19">
        <f t="shared" si="94"/>
        <v>2</v>
      </c>
      <c r="AU1170" s="19">
        <f t="shared" ca="1" si="93"/>
        <v>2</v>
      </c>
    </row>
    <row r="1171" spans="1:47" x14ac:dyDescent="0.3">
      <c r="A1171" t="s">
        <v>1696</v>
      </c>
      <c r="B1171" t="str">
        <f t="shared" si="90"/>
        <v>S32_2026</v>
      </c>
      <c r="C1171" t="str">
        <f t="shared" si="92"/>
        <v>S32_2026</v>
      </c>
      <c r="F1171">
        <v>38</v>
      </c>
      <c r="G1171" t="s">
        <v>40</v>
      </c>
      <c r="H1171" t="s">
        <v>77</v>
      </c>
      <c r="I1171" t="s">
        <v>1697</v>
      </c>
      <c r="J1171" t="s">
        <v>1067</v>
      </c>
      <c r="K1171" t="s">
        <v>1068</v>
      </c>
      <c r="L1171" t="s">
        <v>1067</v>
      </c>
      <c r="M1171" t="s">
        <v>1068</v>
      </c>
      <c r="N1171" t="s">
        <v>45</v>
      </c>
      <c r="O1171" t="s">
        <v>74</v>
      </c>
      <c r="P1171">
        <v>2</v>
      </c>
      <c r="Q1171" s="7">
        <v>46240</v>
      </c>
      <c r="R1171" s="7">
        <v>46240</v>
      </c>
      <c r="S1171" s="7">
        <v>46240</v>
      </c>
      <c r="T1171" t="s">
        <v>45</v>
      </c>
      <c r="V1171" t="s">
        <v>1331</v>
      </c>
      <c r="W1171" t="s">
        <v>45</v>
      </c>
      <c r="X1171" t="s">
        <v>74</v>
      </c>
      <c r="Y1171" t="s">
        <v>45</v>
      </c>
      <c r="Z1171" t="s">
        <v>45</v>
      </c>
      <c r="AC1171" t="s">
        <v>74</v>
      </c>
      <c r="AE1171" s="7">
        <v>46245</v>
      </c>
      <c r="AF1171">
        <v>2</v>
      </c>
      <c r="AH1171" t="s">
        <v>75</v>
      </c>
      <c r="AI1171">
        <v>1</v>
      </c>
      <c r="AJ1171" s="15"/>
      <c r="AK1171" t="s">
        <v>74</v>
      </c>
      <c r="AL1171" s="16"/>
      <c r="AR1171" s="18" t="str">
        <f>IFERROR(VLOOKUP(K1171,[1]POP!$F:$J,1,0),M1171)</f>
        <v>MOKOLO</v>
      </c>
      <c r="AS1171" s="18" t="str">
        <f t="shared" si="91"/>
        <v>MINAWAO</v>
      </c>
      <c r="AT1171" s="19">
        <f t="shared" si="94"/>
        <v>2</v>
      </c>
      <c r="AU1171" s="19">
        <f t="shared" ca="1" si="93"/>
        <v>2</v>
      </c>
    </row>
    <row r="1172" spans="1:47" x14ac:dyDescent="0.3">
      <c r="A1172" t="s">
        <v>1698</v>
      </c>
      <c r="B1172" t="str">
        <f t="shared" si="90"/>
        <v>S32_2026</v>
      </c>
      <c r="C1172" t="str">
        <f t="shared" si="92"/>
        <v>S32_2026</v>
      </c>
      <c r="F1172">
        <v>53</v>
      </c>
      <c r="G1172" t="s">
        <v>40</v>
      </c>
      <c r="H1172" t="s">
        <v>77</v>
      </c>
      <c r="I1172" t="s">
        <v>1699</v>
      </c>
      <c r="J1172" t="s">
        <v>1067</v>
      </c>
      <c r="K1172" t="s">
        <v>1068</v>
      </c>
      <c r="L1172" t="s">
        <v>1067</v>
      </c>
      <c r="M1172" t="s">
        <v>1068</v>
      </c>
      <c r="N1172" t="s">
        <v>45</v>
      </c>
      <c r="O1172" t="s">
        <v>45</v>
      </c>
      <c r="P1172">
        <v>3</v>
      </c>
      <c r="Q1172" s="7">
        <v>46241</v>
      </c>
      <c r="R1172" s="7">
        <v>46241</v>
      </c>
      <c r="S1172" s="7">
        <v>46241</v>
      </c>
      <c r="T1172" t="s">
        <v>45</v>
      </c>
      <c r="V1172" t="s">
        <v>1331</v>
      </c>
      <c r="W1172" t="s">
        <v>45</v>
      </c>
      <c r="X1172" t="s">
        <v>45</v>
      </c>
      <c r="Y1172" t="s">
        <v>45</v>
      </c>
      <c r="Z1172" t="s">
        <v>45</v>
      </c>
      <c r="AC1172" t="s">
        <v>74</v>
      </c>
      <c r="AE1172" s="7">
        <v>46245</v>
      </c>
      <c r="AF1172">
        <v>2</v>
      </c>
      <c r="AH1172" t="s">
        <v>75</v>
      </c>
      <c r="AI1172">
        <v>1</v>
      </c>
      <c r="AJ1172" s="15"/>
      <c r="AK1172" t="s">
        <v>45</v>
      </c>
      <c r="AL1172" s="16"/>
      <c r="AR1172" s="18" t="str">
        <f>IFERROR(VLOOKUP(K1172,[1]POP!$F:$J,1,0),M1172)</f>
        <v>MOKOLO</v>
      </c>
      <c r="AS1172" s="18" t="str">
        <f t="shared" si="91"/>
        <v>MINAWAO</v>
      </c>
      <c r="AT1172" s="19">
        <f t="shared" si="94"/>
        <v>2</v>
      </c>
      <c r="AU1172" s="19">
        <f t="shared" ca="1" si="93"/>
        <v>2</v>
      </c>
    </row>
    <row r="1173" spans="1:47" x14ac:dyDescent="0.3">
      <c r="A1173" t="s">
        <v>1700</v>
      </c>
      <c r="B1173" t="str">
        <f t="shared" si="90"/>
        <v>S32_2026</v>
      </c>
      <c r="C1173" t="str">
        <f t="shared" si="92"/>
        <v>S32_2026</v>
      </c>
      <c r="F1173">
        <v>3</v>
      </c>
      <c r="G1173" t="s">
        <v>40</v>
      </c>
      <c r="H1173" t="s">
        <v>85</v>
      </c>
      <c r="I1173" t="s">
        <v>908</v>
      </c>
      <c r="J1173" t="s">
        <v>908</v>
      </c>
      <c r="K1173" t="s">
        <v>746</v>
      </c>
      <c r="L1173" t="s">
        <v>746</v>
      </c>
      <c r="M1173" t="s">
        <v>746</v>
      </c>
      <c r="N1173" t="s">
        <v>45</v>
      </c>
      <c r="O1173" t="s">
        <v>45</v>
      </c>
      <c r="P1173">
        <v>3</v>
      </c>
      <c r="Q1173" s="7">
        <v>46237</v>
      </c>
      <c r="R1173" s="7">
        <v>46237</v>
      </c>
      <c r="S1173" s="7">
        <v>46237</v>
      </c>
      <c r="T1173" t="s">
        <v>45</v>
      </c>
      <c r="V1173" t="s">
        <v>852</v>
      </c>
      <c r="W1173" t="s">
        <v>45</v>
      </c>
      <c r="X1173" t="s">
        <v>45</v>
      </c>
      <c r="Y1173" t="s">
        <v>45</v>
      </c>
      <c r="Z1173" t="s">
        <v>45</v>
      </c>
      <c r="AA1173" s="7">
        <v>46237</v>
      </c>
      <c r="AB1173" t="s">
        <v>48</v>
      </c>
      <c r="AC1173" t="s">
        <v>45</v>
      </c>
      <c r="AD1173" t="s">
        <v>48</v>
      </c>
      <c r="AE1173" s="7">
        <v>46240</v>
      </c>
      <c r="AF1173">
        <v>2</v>
      </c>
      <c r="AH1173" t="s">
        <v>75</v>
      </c>
      <c r="AI1173">
        <v>1</v>
      </c>
      <c r="AJ1173" s="15"/>
      <c r="AK1173" t="s">
        <v>1590</v>
      </c>
      <c r="AL1173" s="16"/>
      <c r="AR1173" s="18" t="str">
        <f>IFERROR(VLOOKUP(K1173,[1]POP!$F:$J,1,0),M1173)</f>
        <v>MORA</v>
      </c>
      <c r="AS1173" s="18" t="str">
        <f t="shared" si="91"/>
        <v>MAGDEME</v>
      </c>
      <c r="AT1173" s="19">
        <f t="shared" si="94"/>
        <v>2</v>
      </c>
      <c r="AU1173" s="19">
        <f t="shared" ca="1" si="93"/>
        <v>2</v>
      </c>
    </row>
    <row r="1174" spans="1:47" x14ac:dyDescent="0.3">
      <c r="A1174" t="s">
        <v>1701</v>
      </c>
      <c r="B1174" t="str">
        <f t="shared" si="90"/>
        <v>S32_2026</v>
      </c>
      <c r="C1174" t="str">
        <f t="shared" si="92"/>
        <v>S32_2026</v>
      </c>
      <c r="F1174">
        <v>60</v>
      </c>
      <c r="G1174" t="s">
        <v>1387</v>
      </c>
      <c r="H1174" t="s">
        <v>680</v>
      </c>
      <c r="I1174" t="s">
        <v>1702</v>
      </c>
      <c r="J1174" t="s">
        <v>1389</v>
      </c>
      <c r="K1174" t="s">
        <v>1703</v>
      </c>
      <c r="L1174" t="s">
        <v>1389</v>
      </c>
      <c r="M1174" t="s">
        <v>746</v>
      </c>
      <c r="N1174" t="s">
        <v>45</v>
      </c>
      <c r="O1174" t="s">
        <v>117</v>
      </c>
      <c r="P1174">
        <v>3</v>
      </c>
      <c r="Q1174" s="7">
        <v>46238</v>
      </c>
      <c r="R1174" s="7">
        <v>46238</v>
      </c>
      <c r="S1174" s="7">
        <v>46238</v>
      </c>
      <c r="T1174" t="s">
        <v>45</v>
      </c>
      <c r="V1174" t="s">
        <v>1390</v>
      </c>
      <c r="W1174" t="s">
        <v>45</v>
      </c>
      <c r="X1174" t="s">
        <v>45</v>
      </c>
      <c r="Y1174" t="s">
        <v>45</v>
      </c>
      <c r="Z1174" t="s">
        <v>117</v>
      </c>
      <c r="AE1174" s="7">
        <v>46240</v>
      </c>
      <c r="AF1174">
        <v>2</v>
      </c>
      <c r="AH1174" t="s">
        <v>75</v>
      </c>
      <c r="AI1174">
        <v>1</v>
      </c>
      <c r="AJ1174" s="15"/>
      <c r="AK1174" t="s">
        <v>1704</v>
      </c>
      <c r="AL1174" s="16"/>
      <c r="AR1174" s="18" t="str">
        <f>IFERROR(VLOOKUP(K1174,[1]POP!$F:$J,1,0),M1174)</f>
        <v>MORA</v>
      </c>
      <c r="AS1174" s="18" t="str">
        <f t="shared" si="91"/>
        <v xml:space="preserve">bounderi </v>
      </c>
      <c r="AT1174" s="19">
        <f t="shared" si="94"/>
        <v>2</v>
      </c>
      <c r="AU1174" s="19">
        <f t="shared" ca="1" si="93"/>
        <v>2</v>
      </c>
    </row>
    <row r="1175" spans="1:47" x14ac:dyDescent="0.3">
      <c r="A1175" t="s">
        <v>1705</v>
      </c>
      <c r="B1175" t="str">
        <f t="shared" si="90"/>
        <v>S32_2026</v>
      </c>
      <c r="C1175" t="e">
        <f t="shared" si="92"/>
        <v>#NUM!</v>
      </c>
      <c r="F1175">
        <v>6</v>
      </c>
      <c r="G1175" t="s">
        <v>1392</v>
      </c>
      <c r="H1175" t="s">
        <v>655</v>
      </c>
      <c r="I1175" t="s">
        <v>1394</v>
      </c>
      <c r="J1175" t="s">
        <v>1389</v>
      </c>
      <c r="K1175" t="s">
        <v>1703</v>
      </c>
      <c r="L1175" t="s">
        <v>1389</v>
      </c>
      <c r="M1175" t="s">
        <v>746</v>
      </c>
      <c r="N1175" t="s">
        <v>45</v>
      </c>
      <c r="O1175" t="s">
        <v>117</v>
      </c>
      <c r="P1175">
        <v>3</v>
      </c>
      <c r="R1175" s="7">
        <v>46239</v>
      </c>
      <c r="S1175" s="7">
        <v>46239</v>
      </c>
      <c r="T1175" t="s">
        <v>45</v>
      </c>
      <c r="V1175" t="s">
        <v>1390</v>
      </c>
      <c r="W1175" t="s">
        <v>45</v>
      </c>
      <c r="X1175" t="s">
        <v>45</v>
      </c>
      <c r="Y1175" t="s">
        <v>45</v>
      </c>
      <c r="Z1175" t="s">
        <v>117</v>
      </c>
      <c r="AE1175" s="7">
        <v>46240</v>
      </c>
      <c r="AF1175">
        <v>2</v>
      </c>
      <c r="AH1175" t="s">
        <v>75</v>
      </c>
      <c r="AI1175">
        <v>1</v>
      </c>
      <c r="AJ1175" s="15"/>
      <c r="AK1175" t="s">
        <v>1704</v>
      </c>
      <c r="AL1175" s="16"/>
      <c r="AR1175" s="18" t="str">
        <f>IFERROR(VLOOKUP(K1175,[1]POP!$F:$J,1,0),M1175)</f>
        <v>MORA</v>
      </c>
      <c r="AS1175" s="18" t="str">
        <f t="shared" si="91"/>
        <v xml:space="preserve">bounderi </v>
      </c>
      <c r="AT1175" s="19">
        <f t="shared" si="94"/>
        <v>2</v>
      </c>
      <c r="AU1175" s="19">
        <f t="shared" ca="1" si="93"/>
        <v>2</v>
      </c>
    </row>
    <row r="1176" spans="1:47" x14ac:dyDescent="0.3">
      <c r="A1176" t="s">
        <v>1706</v>
      </c>
      <c r="B1176" t="str">
        <f t="shared" si="90"/>
        <v>S32_2026</v>
      </c>
      <c r="C1176" t="str">
        <f t="shared" si="92"/>
        <v>S32_2026</v>
      </c>
      <c r="F1176">
        <v>8</v>
      </c>
      <c r="G1176" t="s">
        <v>1387</v>
      </c>
      <c r="H1176" t="s">
        <v>655</v>
      </c>
      <c r="I1176" t="s">
        <v>1394</v>
      </c>
      <c r="J1176" t="s">
        <v>1389</v>
      </c>
      <c r="K1176" t="s">
        <v>1703</v>
      </c>
      <c r="L1176" t="s">
        <v>1389</v>
      </c>
      <c r="M1176" t="s">
        <v>746</v>
      </c>
      <c r="N1176" t="s">
        <v>45</v>
      </c>
      <c r="O1176" t="s">
        <v>117</v>
      </c>
      <c r="P1176">
        <v>3</v>
      </c>
      <c r="Q1176" s="7">
        <v>46239</v>
      </c>
      <c r="R1176" s="7">
        <v>46239</v>
      </c>
      <c r="S1176" s="7">
        <v>46239</v>
      </c>
      <c r="T1176" t="s">
        <v>45</v>
      </c>
      <c r="V1176" t="s">
        <v>1390</v>
      </c>
      <c r="W1176" t="s">
        <v>45</v>
      </c>
      <c r="X1176" t="s">
        <v>45</v>
      </c>
      <c r="Y1176" t="s">
        <v>45</v>
      </c>
      <c r="Z1176" t="s">
        <v>117</v>
      </c>
      <c r="AE1176" s="7">
        <v>46240</v>
      </c>
      <c r="AF1176">
        <v>2</v>
      </c>
      <c r="AH1176" t="s">
        <v>75</v>
      </c>
      <c r="AI1176">
        <v>1</v>
      </c>
      <c r="AJ1176" s="15"/>
      <c r="AK1176" t="s">
        <v>1590</v>
      </c>
      <c r="AL1176" s="16"/>
      <c r="AR1176" s="18" t="str">
        <f>IFERROR(VLOOKUP(K1176,[1]POP!$F:$J,1,0),M1176)</f>
        <v>MORA</v>
      </c>
      <c r="AS1176" s="18" t="str">
        <f t="shared" si="91"/>
        <v xml:space="preserve">bounderi </v>
      </c>
      <c r="AT1176" s="19">
        <f t="shared" si="94"/>
        <v>2</v>
      </c>
      <c r="AU1176" s="19">
        <f t="shared" ca="1" si="93"/>
        <v>2</v>
      </c>
    </row>
    <row r="1177" spans="1:47" x14ac:dyDescent="0.3">
      <c r="A1177" t="s">
        <v>1707</v>
      </c>
      <c r="B1177" t="str">
        <f t="shared" si="90"/>
        <v>S32_2026</v>
      </c>
      <c r="C1177" t="str">
        <f t="shared" si="92"/>
        <v>S32_2026</v>
      </c>
      <c r="F1177">
        <v>5</v>
      </c>
      <c r="G1177" t="s">
        <v>1387</v>
      </c>
      <c r="H1177" t="s">
        <v>655</v>
      </c>
      <c r="I1177" t="s">
        <v>1394</v>
      </c>
      <c r="J1177" t="s">
        <v>1389</v>
      </c>
      <c r="K1177" t="s">
        <v>1703</v>
      </c>
      <c r="L1177" t="s">
        <v>1389</v>
      </c>
      <c r="M1177" t="s">
        <v>746</v>
      </c>
      <c r="N1177" t="s">
        <v>45</v>
      </c>
      <c r="O1177" t="s">
        <v>117</v>
      </c>
      <c r="P1177">
        <v>2</v>
      </c>
      <c r="Q1177" s="7">
        <v>46239</v>
      </c>
      <c r="R1177" s="7">
        <v>46239</v>
      </c>
      <c r="S1177" s="7">
        <v>46239</v>
      </c>
      <c r="T1177" t="s">
        <v>45</v>
      </c>
      <c r="V1177" t="s">
        <v>1390</v>
      </c>
      <c r="W1177" t="s">
        <v>45</v>
      </c>
      <c r="X1177" t="s">
        <v>45</v>
      </c>
      <c r="Y1177" t="s">
        <v>45</v>
      </c>
      <c r="Z1177" t="s">
        <v>117</v>
      </c>
      <c r="AE1177" s="7">
        <v>46240</v>
      </c>
      <c r="AF1177">
        <v>2</v>
      </c>
      <c r="AH1177" t="s">
        <v>75</v>
      </c>
      <c r="AI1177">
        <v>1</v>
      </c>
      <c r="AJ1177" s="15"/>
      <c r="AK1177" t="s">
        <v>1590</v>
      </c>
      <c r="AL1177" s="16"/>
      <c r="AR1177" s="18" t="str">
        <f>IFERROR(VLOOKUP(K1177,[1]POP!$F:$J,1,0),M1177)</f>
        <v>MORA</v>
      </c>
      <c r="AS1177" s="18" t="str">
        <f t="shared" si="91"/>
        <v xml:space="preserve">bounderi </v>
      </c>
      <c r="AT1177" s="19">
        <f t="shared" si="94"/>
        <v>2</v>
      </c>
      <c r="AU1177" s="19">
        <f t="shared" ca="1" si="93"/>
        <v>2</v>
      </c>
    </row>
    <row r="1178" spans="1:47" x14ac:dyDescent="0.3">
      <c r="A1178" t="s">
        <v>1708</v>
      </c>
      <c r="B1178" t="str">
        <f t="shared" si="90"/>
        <v>S32_2026</v>
      </c>
      <c r="C1178" t="str">
        <f t="shared" si="92"/>
        <v>S32_2026</v>
      </c>
      <c r="F1178">
        <v>35</v>
      </c>
      <c r="G1178" t="s">
        <v>1392</v>
      </c>
      <c r="H1178" t="s">
        <v>682</v>
      </c>
      <c r="I1178" t="s">
        <v>1394</v>
      </c>
      <c r="J1178" t="s">
        <v>1389</v>
      </c>
      <c r="K1178" t="s">
        <v>1703</v>
      </c>
      <c r="L1178" t="s">
        <v>1389</v>
      </c>
      <c r="M1178" t="s">
        <v>746</v>
      </c>
      <c r="N1178" t="s">
        <v>45</v>
      </c>
      <c r="O1178" t="s">
        <v>117</v>
      </c>
      <c r="P1178">
        <v>2</v>
      </c>
      <c r="Q1178" s="7">
        <v>46239</v>
      </c>
      <c r="R1178" s="7">
        <v>46239</v>
      </c>
      <c r="S1178" s="7">
        <v>46239</v>
      </c>
      <c r="T1178" t="s">
        <v>45</v>
      </c>
      <c r="V1178" t="s">
        <v>1390</v>
      </c>
      <c r="W1178" t="s">
        <v>45</v>
      </c>
      <c r="X1178" t="s">
        <v>45</v>
      </c>
      <c r="Y1178" t="s">
        <v>45</v>
      </c>
      <c r="Z1178" t="s">
        <v>117</v>
      </c>
      <c r="AE1178" s="7">
        <v>46244</v>
      </c>
      <c r="AF1178">
        <v>2</v>
      </c>
      <c r="AH1178" t="s">
        <v>75</v>
      </c>
      <c r="AI1178">
        <v>1</v>
      </c>
      <c r="AJ1178" s="15"/>
      <c r="AK1178" t="s">
        <v>1590</v>
      </c>
      <c r="AL1178" s="16"/>
      <c r="AR1178" s="18" t="str">
        <f>IFERROR(VLOOKUP(K1178,[1]POP!$F:$J,1,0),M1178)</f>
        <v>MORA</v>
      </c>
      <c r="AS1178" s="18" t="str">
        <f t="shared" si="91"/>
        <v xml:space="preserve">bounderi </v>
      </c>
      <c r="AT1178" s="19">
        <f t="shared" si="94"/>
        <v>2</v>
      </c>
      <c r="AU1178" s="19">
        <f t="shared" ca="1" si="93"/>
        <v>2</v>
      </c>
    </row>
    <row r="1179" spans="1:47" x14ac:dyDescent="0.3">
      <c r="A1179" t="s">
        <v>1709</v>
      </c>
      <c r="B1179" t="str">
        <f t="shared" si="90"/>
        <v>S32_2026</v>
      </c>
      <c r="C1179" t="str">
        <f t="shared" si="92"/>
        <v>S32_2026</v>
      </c>
      <c r="F1179">
        <v>8</v>
      </c>
      <c r="G1179" t="s">
        <v>1387</v>
      </c>
      <c r="H1179" t="s">
        <v>655</v>
      </c>
      <c r="I1179" t="s">
        <v>1388</v>
      </c>
      <c r="J1179" t="s">
        <v>1389</v>
      </c>
      <c r="K1179" t="s">
        <v>1703</v>
      </c>
      <c r="L1179" t="s">
        <v>1389</v>
      </c>
      <c r="M1179" t="s">
        <v>746</v>
      </c>
      <c r="N1179" t="s">
        <v>45</v>
      </c>
      <c r="O1179" t="s">
        <v>117</v>
      </c>
      <c r="P1179">
        <v>2</v>
      </c>
      <c r="Q1179" s="7">
        <v>46239</v>
      </c>
      <c r="R1179" s="7">
        <v>46239</v>
      </c>
      <c r="S1179" s="7">
        <v>46239</v>
      </c>
      <c r="T1179" t="s">
        <v>45</v>
      </c>
      <c r="V1179" t="s">
        <v>1390</v>
      </c>
      <c r="W1179" t="s">
        <v>45</v>
      </c>
      <c r="X1179" t="s">
        <v>45</v>
      </c>
      <c r="Y1179" t="s">
        <v>45</v>
      </c>
      <c r="Z1179" t="s">
        <v>117</v>
      </c>
      <c r="AE1179" s="7">
        <v>46180</v>
      </c>
      <c r="AF1179">
        <v>2</v>
      </c>
      <c r="AH1179" t="s">
        <v>75</v>
      </c>
      <c r="AI1179">
        <v>1</v>
      </c>
      <c r="AJ1179" s="15"/>
      <c r="AK1179" t="s">
        <v>1590</v>
      </c>
      <c r="AL1179" s="16"/>
      <c r="AR1179" s="18" t="str">
        <f>IFERROR(VLOOKUP(K1179,[1]POP!$F:$J,1,0),M1179)</f>
        <v>MORA</v>
      </c>
      <c r="AS1179" s="18" t="str">
        <f t="shared" si="91"/>
        <v xml:space="preserve">bounderi </v>
      </c>
      <c r="AT1179" s="19">
        <f t="shared" si="94"/>
        <v>2</v>
      </c>
      <c r="AU1179" s="19">
        <f t="shared" ca="1" si="93"/>
        <v>2</v>
      </c>
    </row>
    <row r="1180" spans="1:47" x14ac:dyDescent="0.3">
      <c r="A1180" t="s">
        <v>1710</v>
      </c>
      <c r="B1180" t="str">
        <f t="shared" si="90"/>
        <v>S32_2026</v>
      </c>
      <c r="C1180" t="str">
        <f t="shared" si="92"/>
        <v>S32_2026</v>
      </c>
      <c r="F1180">
        <v>32</v>
      </c>
      <c r="G1180" t="s">
        <v>1387</v>
      </c>
      <c r="H1180" t="s">
        <v>680</v>
      </c>
      <c r="I1180" t="s">
        <v>1711</v>
      </c>
      <c r="J1180" t="s">
        <v>1389</v>
      </c>
      <c r="K1180" t="s">
        <v>1703</v>
      </c>
      <c r="L1180" t="s">
        <v>1389</v>
      </c>
      <c r="M1180" t="s">
        <v>746</v>
      </c>
      <c r="N1180" t="s">
        <v>117</v>
      </c>
      <c r="O1180" t="s">
        <v>117</v>
      </c>
      <c r="P1180">
        <v>1</v>
      </c>
      <c r="Q1180" s="7">
        <v>46240</v>
      </c>
      <c r="R1180" s="7">
        <v>46240</v>
      </c>
      <c r="S1180" s="7">
        <v>46240</v>
      </c>
      <c r="T1180" t="s">
        <v>117</v>
      </c>
      <c r="V1180" t="s">
        <v>1390</v>
      </c>
      <c r="W1180" t="s">
        <v>117</v>
      </c>
      <c r="X1180" t="s">
        <v>117</v>
      </c>
      <c r="Y1180" t="s">
        <v>117</v>
      </c>
      <c r="Z1180" t="s">
        <v>117</v>
      </c>
      <c r="AF1180">
        <v>3</v>
      </c>
      <c r="AH1180" t="s">
        <v>75</v>
      </c>
      <c r="AI1180">
        <v>2</v>
      </c>
      <c r="AJ1180" s="15"/>
      <c r="AK1180" t="s">
        <v>1590</v>
      </c>
      <c r="AL1180" s="16"/>
      <c r="AR1180" s="18" t="str">
        <f>IFERROR(VLOOKUP(K1180,[1]POP!$F:$J,1,0),M1180)</f>
        <v>MORA</v>
      </c>
      <c r="AS1180" s="18" t="str">
        <f t="shared" si="91"/>
        <v xml:space="preserve">bounderi </v>
      </c>
      <c r="AT1180" s="19">
        <f t="shared" si="94"/>
        <v>3</v>
      </c>
      <c r="AU1180" s="19">
        <f t="shared" ca="1" si="93"/>
        <v>2</v>
      </c>
    </row>
    <row r="1181" spans="1:47" x14ac:dyDescent="0.3">
      <c r="A1181" t="s">
        <v>1712</v>
      </c>
      <c r="B1181" t="str">
        <f t="shared" si="90"/>
        <v>S32_2026</v>
      </c>
      <c r="C1181" t="str">
        <f t="shared" si="92"/>
        <v>S32_2026</v>
      </c>
      <c r="F1181">
        <v>16</v>
      </c>
      <c r="G1181" t="s">
        <v>1392</v>
      </c>
      <c r="H1181" t="s">
        <v>682</v>
      </c>
      <c r="I1181" t="s">
        <v>1388</v>
      </c>
      <c r="J1181" t="s">
        <v>1389</v>
      </c>
      <c r="K1181" t="s">
        <v>1703</v>
      </c>
      <c r="L1181" t="s">
        <v>1389</v>
      </c>
      <c r="M1181" t="s">
        <v>746</v>
      </c>
      <c r="N1181" t="s">
        <v>117</v>
      </c>
      <c r="O1181" t="s">
        <v>117</v>
      </c>
      <c r="P1181">
        <v>2</v>
      </c>
      <c r="Q1181" s="7">
        <v>46240</v>
      </c>
      <c r="R1181" s="7">
        <v>46240</v>
      </c>
      <c r="S1181" s="7">
        <v>46240</v>
      </c>
      <c r="T1181" t="s">
        <v>117</v>
      </c>
      <c r="V1181" t="s">
        <v>1390</v>
      </c>
      <c r="W1181" t="s">
        <v>117</v>
      </c>
      <c r="X1181" t="s">
        <v>117</v>
      </c>
      <c r="Y1181" t="s">
        <v>117</v>
      </c>
      <c r="Z1181" t="s">
        <v>117</v>
      </c>
      <c r="AE1181" s="7">
        <v>46242</v>
      </c>
      <c r="AF1181">
        <v>2</v>
      </c>
      <c r="AH1181" t="s">
        <v>75</v>
      </c>
      <c r="AI1181">
        <v>1</v>
      </c>
      <c r="AJ1181" s="15"/>
      <c r="AK1181" t="s">
        <v>1590</v>
      </c>
      <c r="AL1181" s="16"/>
      <c r="AR1181" s="18" t="str">
        <f>IFERROR(VLOOKUP(K1181,[1]POP!$F:$J,1,0),M1181)</f>
        <v>MORA</v>
      </c>
      <c r="AS1181" s="18" t="str">
        <f t="shared" si="91"/>
        <v xml:space="preserve">bounderi </v>
      </c>
      <c r="AT1181" s="19">
        <f t="shared" si="94"/>
        <v>2</v>
      </c>
      <c r="AU1181" s="19">
        <f t="shared" ca="1" si="93"/>
        <v>2</v>
      </c>
    </row>
    <row r="1182" spans="1:47" x14ac:dyDescent="0.3">
      <c r="A1182" t="s">
        <v>1713</v>
      </c>
      <c r="B1182" t="str">
        <f t="shared" si="90"/>
        <v>S32_2026</v>
      </c>
      <c r="C1182" t="str">
        <f t="shared" si="92"/>
        <v>S32_2026</v>
      </c>
      <c r="F1182">
        <v>35</v>
      </c>
      <c r="G1182" t="s">
        <v>1392</v>
      </c>
      <c r="H1182" t="s">
        <v>682</v>
      </c>
      <c r="I1182" t="s">
        <v>1388</v>
      </c>
      <c r="J1182" t="s">
        <v>1389</v>
      </c>
      <c r="K1182" t="s">
        <v>1714</v>
      </c>
      <c r="L1182" t="s">
        <v>1389</v>
      </c>
      <c r="M1182" t="s">
        <v>746</v>
      </c>
      <c r="N1182" t="s">
        <v>117</v>
      </c>
      <c r="O1182" t="s">
        <v>117</v>
      </c>
      <c r="P1182">
        <v>3</v>
      </c>
      <c r="Q1182" s="7">
        <v>46240</v>
      </c>
      <c r="R1182" s="7">
        <v>46240</v>
      </c>
      <c r="S1182" s="7">
        <v>46240</v>
      </c>
      <c r="T1182" t="s">
        <v>117</v>
      </c>
      <c r="V1182" t="s">
        <v>1390</v>
      </c>
      <c r="W1182" t="s">
        <v>117</v>
      </c>
      <c r="X1182" t="s">
        <v>117</v>
      </c>
      <c r="Y1182" t="s">
        <v>117</v>
      </c>
      <c r="Z1182" t="s">
        <v>117</v>
      </c>
      <c r="AE1182" s="7">
        <v>46242</v>
      </c>
      <c r="AF1182">
        <v>2</v>
      </c>
      <c r="AH1182" t="s">
        <v>75</v>
      </c>
      <c r="AI1182">
        <v>1</v>
      </c>
      <c r="AJ1182" s="15"/>
      <c r="AK1182" t="s">
        <v>1590</v>
      </c>
      <c r="AL1182" s="16"/>
      <c r="AR1182" s="18" t="str">
        <f>IFERROR(VLOOKUP(K1182,[1]POP!$F:$J,1,0),M1182)</f>
        <v>MORA</v>
      </c>
      <c r="AS1182" s="18" t="str">
        <f t="shared" si="91"/>
        <v xml:space="preserve">bounderi </v>
      </c>
      <c r="AT1182" s="19">
        <f t="shared" si="94"/>
        <v>2</v>
      </c>
      <c r="AU1182" s="19">
        <f t="shared" ca="1" si="93"/>
        <v>2</v>
      </c>
    </row>
    <row r="1183" spans="1:47" x14ac:dyDescent="0.3">
      <c r="A1183" t="s">
        <v>1715</v>
      </c>
      <c r="B1183" t="str">
        <f t="shared" si="90"/>
        <v>S32_2026</v>
      </c>
      <c r="C1183" t="str">
        <f t="shared" si="92"/>
        <v>S32_2026</v>
      </c>
      <c r="F1183">
        <v>1</v>
      </c>
      <c r="G1183" t="s">
        <v>1387</v>
      </c>
      <c r="H1183" t="s">
        <v>655</v>
      </c>
      <c r="I1183" t="s">
        <v>1388</v>
      </c>
      <c r="J1183" t="s">
        <v>1389</v>
      </c>
      <c r="K1183" t="s">
        <v>1703</v>
      </c>
      <c r="L1183" t="s">
        <v>1389</v>
      </c>
      <c r="M1183" t="s">
        <v>746</v>
      </c>
      <c r="N1183" t="s">
        <v>117</v>
      </c>
      <c r="O1183" t="s">
        <v>117</v>
      </c>
      <c r="P1183">
        <v>2</v>
      </c>
      <c r="Q1183" s="7">
        <v>46240</v>
      </c>
      <c r="R1183" s="7">
        <v>46240</v>
      </c>
      <c r="S1183" s="7">
        <v>46240</v>
      </c>
      <c r="T1183" t="s">
        <v>117</v>
      </c>
      <c r="V1183" t="s">
        <v>1390</v>
      </c>
      <c r="W1183" t="s">
        <v>117</v>
      </c>
      <c r="X1183" t="s">
        <v>117</v>
      </c>
      <c r="Y1183" t="s">
        <v>117</v>
      </c>
      <c r="Z1183" t="s">
        <v>117</v>
      </c>
      <c r="AE1183" s="7">
        <v>46242</v>
      </c>
      <c r="AF1183">
        <v>2</v>
      </c>
      <c r="AH1183" t="s">
        <v>75</v>
      </c>
      <c r="AI1183">
        <v>1</v>
      </c>
      <c r="AJ1183" s="15"/>
      <c r="AK1183" t="s">
        <v>1590</v>
      </c>
      <c r="AL1183" s="16"/>
      <c r="AR1183" s="18" t="str">
        <f>IFERROR(VLOOKUP(K1183,[1]POP!$F:$J,1,0),M1183)</f>
        <v>MORA</v>
      </c>
      <c r="AS1183" s="18" t="str">
        <f t="shared" si="91"/>
        <v xml:space="preserve">bounderi </v>
      </c>
      <c r="AT1183" s="19">
        <f t="shared" si="94"/>
        <v>2</v>
      </c>
      <c r="AU1183" s="19">
        <f t="shared" ca="1" si="93"/>
        <v>2</v>
      </c>
    </row>
    <row r="1184" spans="1:47" x14ac:dyDescent="0.3">
      <c r="A1184" t="s">
        <v>1716</v>
      </c>
      <c r="B1184" t="str">
        <f t="shared" si="90"/>
        <v>S32_2026</v>
      </c>
      <c r="C1184" t="str">
        <f t="shared" si="92"/>
        <v>S32_2026</v>
      </c>
      <c r="F1184">
        <v>12</v>
      </c>
      <c r="G1184" t="s">
        <v>1392</v>
      </c>
      <c r="H1184" t="s">
        <v>655</v>
      </c>
      <c r="I1184" t="s">
        <v>1388</v>
      </c>
      <c r="J1184" t="s">
        <v>1389</v>
      </c>
      <c r="K1184" t="s">
        <v>1714</v>
      </c>
      <c r="L1184" t="s">
        <v>1389</v>
      </c>
      <c r="M1184" t="s">
        <v>746</v>
      </c>
      <c r="N1184" t="s">
        <v>117</v>
      </c>
      <c r="O1184" t="s">
        <v>117</v>
      </c>
      <c r="P1184">
        <v>3</v>
      </c>
      <c r="Q1184" s="7">
        <v>46240</v>
      </c>
      <c r="R1184" s="7">
        <v>46240</v>
      </c>
      <c r="S1184" s="7">
        <v>46240</v>
      </c>
      <c r="T1184" t="s">
        <v>117</v>
      </c>
      <c r="V1184" t="s">
        <v>1390</v>
      </c>
      <c r="W1184" t="s">
        <v>117</v>
      </c>
      <c r="X1184" t="s">
        <v>117</v>
      </c>
      <c r="Y1184" t="s">
        <v>117</v>
      </c>
      <c r="Z1184" t="s">
        <v>117</v>
      </c>
      <c r="AE1184" s="7">
        <v>46242</v>
      </c>
      <c r="AF1184">
        <v>2</v>
      </c>
      <c r="AH1184" t="s">
        <v>75</v>
      </c>
      <c r="AI1184">
        <v>1</v>
      </c>
      <c r="AJ1184" s="15"/>
      <c r="AK1184" t="s">
        <v>1590</v>
      </c>
      <c r="AL1184" s="16"/>
      <c r="AR1184" s="18" t="str">
        <f>IFERROR(VLOOKUP(K1184,[1]POP!$F:$J,1,0),M1184)</f>
        <v>MORA</v>
      </c>
      <c r="AS1184" s="18" t="str">
        <f t="shared" si="91"/>
        <v xml:space="preserve">bounderi </v>
      </c>
      <c r="AT1184" s="19">
        <f t="shared" si="94"/>
        <v>2</v>
      </c>
      <c r="AU1184" s="19">
        <f t="shared" ca="1" si="93"/>
        <v>2</v>
      </c>
    </row>
    <row r="1185" spans="1:47" x14ac:dyDescent="0.3">
      <c r="A1185" t="s">
        <v>1717</v>
      </c>
      <c r="B1185" t="str">
        <f t="shared" si="90"/>
        <v>S32_2026</v>
      </c>
      <c r="C1185" t="str">
        <f t="shared" si="92"/>
        <v>S32_2026</v>
      </c>
      <c r="F1185">
        <v>35</v>
      </c>
      <c r="G1185" t="s">
        <v>1392</v>
      </c>
      <c r="H1185" t="s">
        <v>682</v>
      </c>
      <c r="I1185" t="s">
        <v>1388</v>
      </c>
      <c r="J1185" t="s">
        <v>1389</v>
      </c>
      <c r="K1185" t="s">
        <v>1703</v>
      </c>
      <c r="L1185" t="s">
        <v>1389</v>
      </c>
      <c r="M1185" t="s">
        <v>746</v>
      </c>
      <c r="N1185" t="s">
        <v>117</v>
      </c>
      <c r="O1185" t="s">
        <v>117</v>
      </c>
      <c r="P1185">
        <v>3</v>
      </c>
      <c r="Q1185" s="7">
        <v>46240</v>
      </c>
      <c r="R1185" s="7">
        <v>46240</v>
      </c>
      <c r="S1185" s="7">
        <v>46240</v>
      </c>
      <c r="T1185" t="s">
        <v>117</v>
      </c>
      <c r="V1185" t="s">
        <v>1390</v>
      </c>
      <c r="W1185" t="s">
        <v>117</v>
      </c>
      <c r="X1185" t="s">
        <v>117</v>
      </c>
      <c r="Y1185" t="s">
        <v>117</v>
      </c>
      <c r="Z1185" t="s">
        <v>117</v>
      </c>
      <c r="AE1185" s="7">
        <v>46242</v>
      </c>
      <c r="AF1185">
        <v>2</v>
      </c>
      <c r="AH1185" t="s">
        <v>75</v>
      </c>
      <c r="AI1185">
        <v>1</v>
      </c>
      <c r="AJ1185" s="15"/>
      <c r="AK1185" t="s">
        <v>1590</v>
      </c>
      <c r="AL1185" s="16"/>
      <c r="AR1185" s="18" t="str">
        <f>IFERROR(VLOOKUP(K1185,[1]POP!$F:$J,1,0),M1185)</f>
        <v>MORA</v>
      </c>
      <c r="AS1185" s="18" t="str">
        <f t="shared" si="91"/>
        <v xml:space="preserve">bounderi </v>
      </c>
      <c r="AT1185" s="19">
        <f t="shared" si="94"/>
        <v>2</v>
      </c>
      <c r="AU1185" s="19">
        <f t="shared" ca="1" si="93"/>
        <v>2</v>
      </c>
    </row>
    <row r="1186" spans="1:47" x14ac:dyDescent="0.3">
      <c r="A1186" t="s">
        <v>1718</v>
      </c>
      <c r="B1186" t="str">
        <f t="shared" si="90"/>
        <v>S32_2026</v>
      </c>
      <c r="C1186" t="str">
        <f t="shared" si="92"/>
        <v>S32_2026</v>
      </c>
      <c r="F1186">
        <v>28</v>
      </c>
      <c r="G1186" t="s">
        <v>40</v>
      </c>
      <c r="H1186" t="s">
        <v>77</v>
      </c>
      <c r="I1186" t="s">
        <v>1719</v>
      </c>
      <c r="J1186" t="s">
        <v>851</v>
      </c>
      <c r="K1186" t="s">
        <v>746</v>
      </c>
      <c r="L1186" t="s">
        <v>1041</v>
      </c>
      <c r="M1186" t="s">
        <v>746</v>
      </c>
      <c r="N1186" t="s">
        <v>45</v>
      </c>
      <c r="O1186" t="s">
        <v>117</v>
      </c>
      <c r="P1186">
        <v>2</v>
      </c>
      <c r="Q1186" s="7">
        <v>46241</v>
      </c>
      <c r="R1186" s="7">
        <v>46241</v>
      </c>
      <c r="S1186" s="7">
        <v>46241</v>
      </c>
      <c r="T1186" t="s">
        <v>1720</v>
      </c>
      <c r="W1186" t="s">
        <v>45</v>
      </c>
      <c r="X1186" t="s">
        <v>45</v>
      </c>
      <c r="Y1186" t="s">
        <v>45</v>
      </c>
      <c r="Z1186" t="s">
        <v>45</v>
      </c>
      <c r="AA1186" s="7">
        <v>46241</v>
      </c>
      <c r="AB1186" t="s">
        <v>62</v>
      </c>
      <c r="AC1186" t="s">
        <v>74</v>
      </c>
      <c r="AE1186" s="7">
        <v>46241</v>
      </c>
      <c r="AF1186">
        <v>2</v>
      </c>
      <c r="AH1186" t="s">
        <v>75</v>
      </c>
      <c r="AI1186">
        <v>1</v>
      </c>
      <c r="AJ1186" s="15"/>
      <c r="AL1186" s="16"/>
      <c r="AR1186" s="18" t="str">
        <f>IFERROR(VLOOKUP(K1186,[1]POP!$F:$J,1,0),M1186)</f>
        <v>MORA</v>
      </c>
      <c r="AS1186" s="18" t="str">
        <f t="shared" si="91"/>
        <v>TOLKOMARI</v>
      </c>
      <c r="AT1186" s="19">
        <f t="shared" si="94"/>
        <v>2</v>
      </c>
      <c r="AU1186" s="19">
        <f t="shared" ca="1" si="93"/>
        <v>2</v>
      </c>
    </row>
    <row r="1187" spans="1:47" x14ac:dyDescent="0.3">
      <c r="A1187" t="s">
        <v>1721</v>
      </c>
      <c r="B1187" t="str">
        <f t="shared" si="90"/>
        <v>S32_2026</v>
      </c>
      <c r="C1187" t="str">
        <f t="shared" si="92"/>
        <v>S32_2026</v>
      </c>
      <c r="F1187">
        <v>5</v>
      </c>
      <c r="G1187" t="s">
        <v>1387</v>
      </c>
      <c r="H1187" t="s">
        <v>655</v>
      </c>
      <c r="I1187" t="s">
        <v>1711</v>
      </c>
      <c r="J1187" t="s">
        <v>1389</v>
      </c>
      <c r="K1187" t="s">
        <v>746</v>
      </c>
      <c r="L1187" t="s">
        <v>1389</v>
      </c>
      <c r="M1187" t="s">
        <v>746</v>
      </c>
      <c r="N1187" t="s">
        <v>117</v>
      </c>
      <c r="O1187" t="s">
        <v>117</v>
      </c>
      <c r="P1187">
        <v>3</v>
      </c>
      <c r="Q1187" s="7">
        <v>46241</v>
      </c>
      <c r="R1187" s="7">
        <v>46241</v>
      </c>
      <c r="S1187" s="7">
        <v>46241</v>
      </c>
      <c r="T1187" t="s">
        <v>117</v>
      </c>
      <c r="V1187" t="s">
        <v>1390</v>
      </c>
      <c r="W1187" t="s">
        <v>117</v>
      </c>
      <c r="X1187" t="s">
        <v>117</v>
      </c>
      <c r="Y1187" t="s">
        <v>117</v>
      </c>
      <c r="Z1187" t="s">
        <v>117</v>
      </c>
      <c r="AE1187" s="7">
        <v>46242</v>
      </c>
      <c r="AF1187">
        <v>2</v>
      </c>
      <c r="AH1187" t="s">
        <v>75</v>
      </c>
      <c r="AI1187">
        <v>1</v>
      </c>
      <c r="AJ1187" s="15"/>
      <c r="AK1187" t="s">
        <v>1590</v>
      </c>
      <c r="AL1187" s="16"/>
      <c r="AR1187" s="18" t="str">
        <f>IFERROR(VLOOKUP(K1187,[1]POP!$F:$J,1,0),M1187)</f>
        <v>MORA</v>
      </c>
      <c r="AS1187" s="18" t="str">
        <f t="shared" si="91"/>
        <v xml:space="preserve">bounderi </v>
      </c>
      <c r="AT1187" s="19">
        <f t="shared" si="94"/>
        <v>2</v>
      </c>
      <c r="AU1187" s="19">
        <f t="shared" ca="1" si="93"/>
        <v>2</v>
      </c>
    </row>
    <row r="1188" spans="1:47" x14ac:dyDescent="0.3">
      <c r="A1188" t="s">
        <v>1722</v>
      </c>
      <c r="B1188" t="str">
        <f t="shared" si="90"/>
        <v>S32_2026</v>
      </c>
      <c r="C1188" t="str">
        <f t="shared" si="92"/>
        <v>S32_2026</v>
      </c>
      <c r="F1188">
        <v>64</v>
      </c>
      <c r="G1188" t="s">
        <v>1392</v>
      </c>
      <c r="H1188" t="s">
        <v>682</v>
      </c>
      <c r="I1188" t="s">
        <v>1388</v>
      </c>
      <c r="J1188" t="s">
        <v>1389</v>
      </c>
      <c r="K1188" t="s">
        <v>746</v>
      </c>
      <c r="L1188" t="s">
        <v>1389</v>
      </c>
      <c r="M1188" t="s">
        <v>746</v>
      </c>
      <c r="N1188" t="s">
        <v>117</v>
      </c>
      <c r="O1188" t="s">
        <v>117</v>
      </c>
      <c r="P1188">
        <v>3</v>
      </c>
      <c r="Q1188" s="7">
        <v>46241</v>
      </c>
      <c r="R1188" s="7">
        <v>46241</v>
      </c>
      <c r="S1188" s="7">
        <v>46241</v>
      </c>
      <c r="T1188" t="s">
        <v>117</v>
      </c>
      <c r="V1188" t="s">
        <v>1390</v>
      </c>
      <c r="W1188" t="s">
        <v>117</v>
      </c>
      <c r="X1188" t="s">
        <v>117</v>
      </c>
      <c r="Y1188" t="s">
        <v>117</v>
      </c>
      <c r="Z1188" t="s">
        <v>117</v>
      </c>
      <c r="AE1188" s="7">
        <v>46243</v>
      </c>
      <c r="AF1188">
        <v>2</v>
      </c>
      <c r="AH1188" t="s">
        <v>75</v>
      </c>
      <c r="AI1188">
        <v>1</v>
      </c>
      <c r="AJ1188" s="15"/>
      <c r="AK1188" t="s">
        <v>1590</v>
      </c>
      <c r="AL1188" s="16"/>
      <c r="AR1188" s="18" t="str">
        <f>IFERROR(VLOOKUP(K1188,[1]POP!$F:$J,1,0),M1188)</f>
        <v>MORA</v>
      </c>
      <c r="AS1188" s="18" t="str">
        <f t="shared" si="91"/>
        <v xml:space="preserve">bounderi </v>
      </c>
      <c r="AT1188" s="19">
        <f t="shared" si="94"/>
        <v>2</v>
      </c>
      <c r="AU1188" s="19">
        <f t="shared" ca="1" si="93"/>
        <v>2</v>
      </c>
    </row>
    <row r="1189" spans="1:47" x14ac:dyDescent="0.3">
      <c r="A1189" t="s">
        <v>1723</v>
      </c>
      <c r="B1189" t="str">
        <f t="shared" si="90"/>
        <v>S32_2026</v>
      </c>
      <c r="C1189" t="str">
        <f t="shared" si="92"/>
        <v>S32_2026</v>
      </c>
      <c r="F1189">
        <v>14</v>
      </c>
      <c r="G1189" t="s">
        <v>1392</v>
      </c>
      <c r="H1189" t="s">
        <v>673</v>
      </c>
      <c r="I1189" t="s">
        <v>1388</v>
      </c>
      <c r="J1189" t="s">
        <v>1389</v>
      </c>
      <c r="K1189" t="s">
        <v>746</v>
      </c>
      <c r="L1189" t="s">
        <v>1389</v>
      </c>
      <c r="M1189" t="s">
        <v>746</v>
      </c>
      <c r="N1189" t="s">
        <v>117</v>
      </c>
      <c r="O1189" t="s">
        <v>117</v>
      </c>
      <c r="P1189">
        <v>2</v>
      </c>
      <c r="Q1189" s="7">
        <v>46241</v>
      </c>
      <c r="R1189" s="7">
        <v>46241</v>
      </c>
      <c r="S1189" s="7">
        <v>46241</v>
      </c>
      <c r="T1189" t="s">
        <v>117</v>
      </c>
      <c r="V1189" t="s">
        <v>1390</v>
      </c>
      <c r="W1189" t="s">
        <v>117</v>
      </c>
      <c r="X1189" t="s">
        <v>117</v>
      </c>
      <c r="Y1189" t="s">
        <v>117</v>
      </c>
      <c r="Z1189" t="s">
        <v>117</v>
      </c>
      <c r="AF1189">
        <v>2</v>
      </c>
      <c r="AH1189" t="s">
        <v>75</v>
      </c>
      <c r="AI1189">
        <v>1</v>
      </c>
      <c r="AJ1189" s="15"/>
      <c r="AK1189" t="s">
        <v>1590</v>
      </c>
      <c r="AL1189" s="16"/>
      <c r="AR1189" s="18" t="str">
        <f>IFERROR(VLOOKUP(K1189,[1]POP!$F:$J,1,0),M1189)</f>
        <v>MORA</v>
      </c>
      <c r="AS1189" s="18" t="str">
        <f t="shared" si="91"/>
        <v xml:space="preserve">bounderi </v>
      </c>
      <c r="AT1189" s="19">
        <f t="shared" si="94"/>
        <v>2</v>
      </c>
      <c r="AU1189" s="19">
        <f t="shared" ca="1" si="93"/>
        <v>2</v>
      </c>
    </row>
    <row r="1190" spans="1:47" x14ac:dyDescent="0.3">
      <c r="A1190" t="s">
        <v>1724</v>
      </c>
      <c r="B1190" t="str">
        <f t="shared" si="90"/>
        <v>S32_2026</v>
      </c>
      <c r="C1190" t="str">
        <f t="shared" si="92"/>
        <v>S32_2026</v>
      </c>
      <c r="F1190">
        <v>25</v>
      </c>
      <c r="G1190" t="s">
        <v>1387</v>
      </c>
      <c r="H1190" t="s">
        <v>680</v>
      </c>
      <c r="I1190" t="s">
        <v>1388</v>
      </c>
      <c r="J1190" t="s">
        <v>1389</v>
      </c>
      <c r="K1190" t="s">
        <v>746</v>
      </c>
      <c r="L1190" t="s">
        <v>1389</v>
      </c>
      <c r="M1190" t="s">
        <v>746</v>
      </c>
      <c r="N1190" t="s">
        <v>117</v>
      </c>
      <c r="O1190" t="s">
        <v>117</v>
      </c>
      <c r="P1190">
        <v>2</v>
      </c>
      <c r="Q1190" s="7">
        <v>46241</v>
      </c>
      <c r="R1190" s="7">
        <v>46241</v>
      </c>
      <c r="S1190" s="7">
        <v>46241</v>
      </c>
      <c r="T1190" t="s">
        <v>117</v>
      </c>
      <c r="V1190" t="s">
        <v>1390</v>
      </c>
      <c r="W1190" t="s">
        <v>117</v>
      </c>
      <c r="X1190" t="s">
        <v>117</v>
      </c>
      <c r="Y1190" t="s">
        <v>117</v>
      </c>
      <c r="Z1190" t="s">
        <v>117</v>
      </c>
      <c r="AE1190" s="7">
        <v>46266</v>
      </c>
      <c r="AF1190">
        <v>2</v>
      </c>
      <c r="AH1190" t="s">
        <v>75</v>
      </c>
      <c r="AI1190">
        <v>1</v>
      </c>
      <c r="AJ1190" s="15"/>
      <c r="AK1190" t="s">
        <v>1590</v>
      </c>
      <c r="AL1190" s="16"/>
      <c r="AR1190" s="18" t="str">
        <f>IFERROR(VLOOKUP(K1190,[1]POP!$F:$J,1,0),M1190)</f>
        <v>MORA</v>
      </c>
      <c r="AS1190" s="18" t="str">
        <f t="shared" si="91"/>
        <v xml:space="preserve">bounderi </v>
      </c>
      <c r="AT1190" s="19">
        <f t="shared" si="94"/>
        <v>2</v>
      </c>
      <c r="AU1190" s="19">
        <f t="shared" ca="1" si="93"/>
        <v>2</v>
      </c>
    </row>
    <row r="1191" spans="1:47" x14ac:dyDescent="0.3">
      <c r="A1191" t="s">
        <v>1725</v>
      </c>
      <c r="B1191" t="str">
        <f t="shared" si="90"/>
        <v>S32_2026</v>
      </c>
      <c r="C1191" t="str">
        <f t="shared" si="92"/>
        <v>S32_2026</v>
      </c>
      <c r="F1191">
        <v>15</v>
      </c>
      <c r="G1191" t="s">
        <v>1387</v>
      </c>
      <c r="H1191" t="s">
        <v>673</v>
      </c>
      <c r="I1191" t="s">
        <v>1388</v>
      </c>
      <c r="J1191" t="s">
        <v>1389</v>
      </c>
      <c r="K1191" t="s">
        <v>746</v>
      </c>
      <c r="L1191" t="s">
        <v>1389</v>
      </c>
      <c r="M1191" t="s">
        <v>746</v>
      </c>
      <c r="N1191" t="s">
        <v>117</v>
      </c>
      <c r="O1191" t="s">
        <v>117</v>
      </c>
      <c r="P1191">
        <v>3</v>
      </c>
      <c r="Q1191" s="7">
        <v>46242</v>
      </c>
      <c r="R1191" s="7">
        <v>46242</v>
      </c>
      <c r="S1191" s="7">
        <v>46242</v>
      </c>
      <c r="T1191" t="s">
        <v>117</v>
      </c>
      <c r="V1191" t="s">
        <v>1390</v>
      </c>
      <c r="W1191" t="s">
        <v>117</v>
      </c>
      <c r="X1191" t="s">
        <v>117</v>
      </c>
      <c r="Y1191" t="s">
        <v>117</v>
      </c>
      <c r="Z1191" t="s">
        <v>117</v>
      </c>
      <c r="AA1191" s="7">
        <v>46242</v>
      </c>
      <c r="AB1191" t="s">
        <v>62</v>
      </c>
      <c r="AC1191" t="s">
        <v>668</v>
      </c>
      <c r="AE1191" s="7">
        <v>46243</v>
      </c>
      <c r="AF1191">
        <v>2</v>
      </c>
      <c r="AH1191" t="s">
        <v>75</v>
      </c>
      <c r="AI1191">
        <v>1</v>
      </c>
      <c r="AJ1191" s="15"/>
      <c r="AL1191" s="16"/>
      <c r="AR1191" s="18" t="str">
        <f>IFERROR(VLOOKUP(K1191,[1]POP!$F:$J,1,0),M1191)</f>
        <v>MORA</v>
      </c>
      <c r="AS1191" s="18" t="str">
        <f t="shared" si="91"/>
        <v xml:space="preserve">bounderi </v>
      </c>
      <c r="AT1191" s="19">
        <f t="shared" si="94"/>
        <v>2</v>
      </c>
      <c r="AU1191" s="19">
        <f t="shared" ca="1" si="93"/>
        <v>2</v>
      </c>
    </row>
    <row r="1192" spans="1:47" x14ac:dyDescent="0.3">
      <c r="A1192" t="s">
        <v>1726</v>
      </c>
      <c r="B1192" t="str">
        <f t="shared" si="90"/>
        <v>S32_2026</v>
      </c>
      <c r="C1192" t="str">
        <f t="shared" si="92"/>
        <v>S32_2026</v>
      </c>
      <c r="F1192">
        <v>22</v>
      </c>
      <c r="G1192" t="s">
        <v>1392</v>
      </c>
      <c r="H1192" t="s">
        <v>682</v>
      </c>
      <c r="I1192" t="s">
        <v>1388</v>
      </c>
      <c r="J1192" t="s">
        <v>1389</v>
      </c>
      <c r="K1192" t="s">
        <v>746</v>
      </c>
      <c r="L1192" t="s">
        <v>1389</v>
      </c>
      <c r="M1192" t="s">
        <v>746</v>
      </c>
      <c r="N1192" t="s">
        <v>117</v>
      </c>
      <c r="O1192" t="s">
        <v>117</v>
      </c>
      <c r="P1192">
        <v>3</v>
      </c>
      <c r="Q1192" s="7">
        <v>46242</v>
      </c>
      <c r="R1192" s="7">
        <v>46242</v>
      </c>
      <c r="S1192" s="7">
        <v>46242</v>
      </c>
      <c r="T1192" t="s">
        <v>117</v>
      </c>
      <c r="V1192" t="s">
        <v>1390</v>
      </c>
      <c r="W1192" t="s">
        <v>117</v>
      </c>
      <c r="X1192" t="s">
        <v>117</v>
      </c>
      <c r="Y1192" t="s">
        <v>117</v>
      </c>
      <c r="Z1192" t="s">
        <v>117</v>
      </c>
      <c r="AE1192" s="7">
        <v>46243</v>
      </c>
      <c r="AF1192">
        <v>2</v>
      </c>
      <c r="AH1192" t="s">
        <v>75</v>
      </c>
      <c r="AI1192">
        <v>1</v>
      </c>
      <c r="AJ1192" s="15"/>
      <c r="AL1192" s="16"/>
      <c r="AR1192" s="18" t="str">
        <f>IFERROR(VLOOKUP(K1192,[1]POP!$F:$J,1,0),M1192)</f>
        <v>MORA</v>
      </c>
      <c r="AS1192" s="18" t="str">
        <f t="shared" si="91"/>
        <v xml:space="preserve">bounderi </v>
      </c>
      <c r="AT1192" s="19">
        <f t="shared" si="94"/>
        <v>2</v>
      </c>
      <c r="AU1192" s="19">
        <f t="shared" ca="1" si="93"/>
        <v>2</v>
      </c>
    </row>
    <row r="1193" spans="1:47" x14ac:dyDescent="0.3">
      <c r="A1193" t="s">
        <v>1727</v>
      </c>
      <c r="B1193" t="str">
        <f t="shared" si="90"/>
        <v>S32_2026</v>
      </c>
      <c r="C1193" t="str">
        <f t="shared" si="92"/>
        <v>S32_2026</v>
      </c>
      <c r="F1193">
        <v>3</v>
      </c>
      <c r="G1193" t="s">
        <v>1392</v>
      </c>
      <c r="H1193" t="s">
        <v>655</v>
      </c>
      <c r="I1193" t="s">
        <v>1388</v>
      </c>
      <c r="J1193" t="s">
        <v>1389</v>
      </c>
      <c r="K1193" t="s">
        <v>746</v>
      </c>
      <c r="L1193" t="s">
        <v>1389</v>
      </c>
      <c r="M1193" t="s">
        <v>746</v>
      </c>
      <c r="N1193" t="s">
        <v>117</v>
      </c>
      <c r="O1193" t="s">
        <v>117</v>
      </c>
      <c r="P1193">
        <v>2</v>
      </c>
      <c r="Q1193" s="7">
        <v>46242</v>
      </c>
      <c r="R1193" s="7">
        <v>46242</v>
      </c>
      <c r="S1193" s="7">
        <v>46242</v>
      </c>
      <c r="T1193" t="s">
        <v>117</v>
      </c>
      <c r="V1193" t="s">
        <v>1390</v>
      </c>
      <c r="W1193" t="s">
        <v>117</v>
      </c>
      <c r="X1193" t="s">
        <v>117</v>
      </c>
      <c r="Y1193" t="s">
        <v>117</v>
      </c>
      <c r="Z1193" t="s">
        <v>117</v>
      </c>
      <c r="AE1193" s="7">
        <v>46240</v>
      </c>
      <c r="AF1193">
        <v>2</v>
      </c>
      <c r="AH1193" t="s">
        <v>75</v>
      </c>
      <c r="AI1193">
        <v>1</v>
      </c>
      <c r="AJ1193" s="15"/>
      <c r="AL1193" s="16"/>
      <c r="AR1193" s="18" t="str">
        <f>IFERROR(VLOOKUP(K1193,[1]POP!$F:$J,1,0),M1193)</f>
        <v>MORA</v>
      </c>
      <c r="AS1193" s="18" t="str">
        <f t="shared" si="91"/>
        <v xml:space="preserve">bounderi </v>
      </c>
      <c r="AT1193" s="19">
        <f t="shared" si="94"/>
        <v>2</v>
      </c>
      <c r="AU1193" s="19">
        <f t="shared" ca="1" si="93"/>
        <v>2</v>
      </c>
    </row>
    <row r="1194" spans="1:47" x14ac:dyDescent="0.3">
      <c r="A1194" t="s">
        <v>1728</v>
      </c>
      <c r="B1194" t="str">
        <f t="shared" si="90"/>
        <v>S32_2026</v>
      </c>
      <c r="C1194" t="str">
        <f t="shared" si="92"/>
        <v>S32_2026</v>
      </c>
      <c r="F1194">
        <v>20</v>
      </c>
      <c r="G1194" t="s">
        <v>1392</v>
      </c>
      <c r="H1194" t="s">
        <v>682</v>
      </c>
      <c r="I1194" t="s">
        <v>1388</v>
      </c>
      <c r="J1194" t="s">
        <v>1389</v>
      </c>
      <c r="K1194" t="s">
        <v>746</v>
      </c>
      <c r="L1194" t="s">
        <v>1389</v>
      </c>
      <c r="M1194" t="s">
        <v>746</v>
      </c>
      <c r="N1194" t="s">
        <v>117</v>
      </c>
      <c r="O1194" t="s">
        <v>117</v>
      </c>
      <c r="P1194">
        <v>3</v>
      </c>
      <c r="Q1194" s="7">
        <v>46242</v>
      </c>
      <c r="R1194" s="7">
        <v>46242</v>
      </c>
      <c r="S1194" s="7">
        <v>46242</v>
      </c>
      <c r="T1194" t="s">
        <v>117</v>
      </c>
      <c r="V1194" t="s">
        <v>1390</v>
      </c>
      <c r="W1194" t="s">
        <v>117</v>
      </c>
      <c r="X1194" t="s">
        <v>117</v>
      </c>
      <c r="Y1194" t="s">
        <v>117</v>
      </c>
      <c r="Z1194" t="s">
        <v>117</v>
      </c>
      <c r="AE1194" s="7">
        <v>46244</v>
      </c>
      <c r="AF1194">
        <v>2</v>
      </c>
      <c r="AH1194" t="s">
        <v>75</v>
      </c>
      <c r="AI1194">
        <v>1</v>
      </c>
      <c r="AJ1194" s="15"/>
      <c r="AL1194" s="16"/>
      <c r="AR1194" s="18" t="str">
        <f>IFERROR(VLOOKUP(K1194,[1]POP!$F:$J,1,0),M1194)</f>
        <v>MORA</v>
      </c>
      <c r="AS1194" s="18" t="str">
        <f t="shared" si="91"/>
        <v xml:space="preserve">bounderi </v>
      </c>
      <c r="AT1194" s="19">
        <f t="shared" si="94"/>
        <v>2</v>
      </c>
      <c r="AU1194" s="19">
        <f t="shared" ca="1" si="93"/>
        <v>2</v>
      </c>
    </row>
    <row r="1195" spans="1:47" x14ac:dyDescent="0.3">
      <c r="A1195" t="s">
        <v>1729</v>
      </c>
      <c r="B1195" t="str">
        <f t="shared" si="90"/>
        <v>S32_2026</v>
      </c>
      <c r="C1195" t="str">
        <f t="shared" si="92"/>
        <v>S32_2026</v>
      </c>
      <c r="F1195">
        <v>7</v>
      </c>
      <c r="G1195" t="s">
        <v>1392</v>
      </c>
      <c r="H1195" t="s">
        <v>655</v>
      </c>
      <c r="I1195" t="s">
        <v>1388</v>
      </c>
      <c r="J1195" t="s">
        <v>1389</v>
      </c>
      <c r="K1195" t="s">
        <v>746</v>
      </c>
      <c r="L1195" t="s">
        <v>1389</v>
      </c>
      <c r="M1195" t="s">
        <v>746</v>
      </c>
      <c r="N1195" t="s">
        <v>117</v>
      </c>
      <c r="O1195" t="s">
        <v>117</v>
      </c>
      <c r="P1195">
        <v>2</v>
      </c>
      <c r="Q1195" s="7">
        <v>46242</v>
      </c>
      <c r="R1195" s="7">
        <v>46242</v>
      </c>
      <c r="S1195" s="7">
        <v>46242</v>
      </c>
      <c r="T1195" t="s">
        <v>117</v>
      </c>
      <c r="V1195" t="s">
        <v>1390</v>
      </c>
      <c r="W1195" t="s">
        <v>117</v>
      </c>
      <c r="X1195" t="s">
        <v>117</v>
      </c>
      <c r="Y1195" t="s">
        <v>117</v>
      </c>
      <c r="Z1195" t="s">
        <v>117</v>
      </c>
      <c r="AE1195" s="7">
        <v>46244</v>
      </c>
      <c r="AF1195">
        <v>2</v>
      </c>
      <c r="AH1195" t="s">
        <v>75</v>
      </c>
      <c r="AI1195">
        <v>1</v>
      </c>
      <c r="AJ1195" s="15"/>
      <c r="AL1195" s="16"/>
      <c r="AR1195" s="18" t="str">
        <f>IFERROR(VLOOKUP(K1195,[1]POP!$F:$J,1,0),M1195)</f>
        <v>MORA</v>
      </c>
      <c r="AS1195" s="18" t="str">
        <f t="shared" si="91"/>
        <v xml:space="preserve">bounderi </v>
      </c>
      <c r="AT1195" s="19">
        <f t="shared" si="94"/>
        <v>2</v>
      </c>
      <c r="AU1195" s="19">
        <f t="shared" ca="1" si="93"/>
        <v>2</v>
      </c>
    </row>
    <row r="1196" spans="1:47" x14ac:dyDescent="0.3">
      <c r="A1196" t="s">
        <v>1730</v>
      </c>
      <c r="B1196" t="str">
        <f t="shared" si="90"/>
        <v>S32_2026</v>
      </c>
      <c r="C1196" t="str">
        <f t="shared" si="92"/>
        <v>S32_2026</v>
      </c>
      <c r="F1196">
        <v>16</v>
      </c>
      <c r="G1196" t="s">
        <v>1387</v>
      </c>
      <c r="H1196" t="s">
        <v>673</v>
      </c>
      <c r="I1196" t="s">
        <v>1394</v>
      </c>
      <c r="J1196" t="s">
        <v>1389</v>
      </c>
      <c r="K1196" t="s">
        <v>746</v>
      </c>
      <c r="L1196" t="s">
        <v>1389</v>
      </c>
      <c r="M1196" t="s">
        <v>746</v>
      </c>
      <c r="N1196" t="s">
        <v>117</v>
      </c>
      <c r="O1196" t="s">
        <v>117</v>
      </c>
      <c r="P1196">
        <v>2</v>
      </c>
      <c r="Q1196" s="7">
        <v>46242</v>
      </c>
      <c r="R1196" s="7">
        <v>46242</v>
      </c>
      <c r="S1196" s="7">
        <v>46242</v>
      </c>
      <c r="T1196" t="s">
        <v>117</v>
      </c>
      <c r="V1196" t="s">
        <v>1390</v>
      </c>
      <c r="W1196" t="s">
        <v>117</v>
      </c>
      <c r="X1196" t="s">
        <v>117</v>
      </c>
      <c r="Y1196" t="s">
        <v>117</v>
      </c>
      <c r="Z1196" t="s">
        <v>117</v>
      </c>
      <c r="AE1196" s="7">
        <v>46244</v>
      </c>
      <c r="AF1196">
        <v>2</v>
      </c>
      <c r="AH1196" t="s">
        <v>75</v>
      </c>
      <c r="AI1196">
        <v>1</v>
      </c>
      <c r="AJ1196" s="15"/>
      <c r="AL1196" s="16"/>
      <c r="AR1196" s="18" t="str">
        <f>IFERROR(VLOOKUP(K1196,[1]POP!$F:$J,1,0),M1196)</f>
        <v>MORA</v>
      </c>
      <c r="AS1196" s="18" t="str">
        <f t="shared" si="91"/>
        <v xml:space="preserve">bounderi </v>
      </c>
      <c r="AT1196" s="19">
        <f t="shared" si="94"/>
        <v>2</v>
      </c>
      <c r="AU1196" s="19">
        <f t="shared" ca="1" si="93"/>
        <v>2</v>
      </c>
    </row>
    <row r="1197" spans="1:47" x14ac:dyDescent="0.3">
      <c r="A1197" t="s">
        <v>1731</v>
      </c>
      <c r="B1197" t="str">
        <f t="shared" si="90"/>
        <v>S32_2026</v>
      </c>
      <c r="C1197" t="str">
        <f t="shared" si="92"/>
        <v>S32_2026</v>
      </c>
      <c r="F1197">
        <v>30</v>
      </c>
      <c r="G1197" t="s">
        <v>1387</v>
      </c>
      <c r="H1197" t="s">
        <v>680</v>
      </c>
      <c r="I1197" t="s">
        <v>1394</v>
      </c>
      <c r="J1197" t="s">
        <v>1389</v>
      </c>
      <c r="K1197" t="s">
        <v>746</v>
      </c>
      <c r="L1197" t="s">
        <v>1389</v>
      </c>
      <c r="M1197" t="s">
        <v>746</v>
      </c>
      <c r="N1197" t="s">
        <v>117</v>
      </c>
      <c r="O1197" t="s">
        <v>117</v>
      </c>
      <c r="P1197">
        <v>3</v>
      </c>
      <c r="Q1197" s="7">
        <v>46242</v>
      </c>
      <c r="R1197" s="7">
        <v>46242</v>
      </c>
      <c r="S1197" s="7">
        <v>46242</v>
      </c>
      <c r="T1197" t="s">
        <v>117</v>
      </c>
      <c r="V1197" t="s">
        <v>1390</v>
      </c>
      <c r="W1197" t="s">
        <v>117</v>
      </c>
      <c r="X1197" t="s">
        <v>117</v>
      </c>
      <c r="Y1197" t="s">
        <v>117</v>
      </c>
      <c r="Z1197" t="s">
        <v>117</v>
      </c>
      <c r="AE1197" s="7">
        <v>46244</v>
      </c>
      <c r="AF1197">
        <v>2</v>
      </c>
      <c r="AH1197" t="s">
        <v>75</v>
      </c>
      <c r="AI1197">
        <v>1</v>
      </c>
      <c r="AJ1197" s="15"/>
      <c r="AL1197" s="16"/>
      <c r="AR1197" s="18" t="str">
        <f>IFERROR(VLOOKUP(K1197,[1]POP!$F:$J,1,0),M1197)</f>
        <v>MORA</v>
      </c>
      <c r="AS1197" s="18" t="str">
        <f t="shared" si="91"/>
        <v xml:space="preserve">bounderi </v>
      </c>
      <c r="AT1197" s="19">
        <f t="shared" si="94"/>
        <v>2</v>
      </c>
      <c r="AU1197" s="19">
        <f t="shared" ca="1" si="93"/>
        <v>2</v>
      </c>
    </row>
    <row r="1198" spans="1:47" x14ac:dyDescent="0.3">
      <c r="A1198" t="s">
        <v>1732</v>
      </c>
      <c r="B1198" t="str">
        <f t="shared" si="90"/>
        <v>S32_2026</v>
      </c>
      <c r="C1198" t="str">
        <f t="shared" si="92"/>
        <v>S32_2026</v>
      </c>
      <c r="F1198">
        <v>26</v>
      </c>
      <c r="G1198" t="s">
        <v>1387</v>
      </c>
      <c r="H1198" t="s">
        <v>680</v>
      </c>
      <c r="I1198" t="s">
        <v>1394</v>
      </c>
      <c r="J1198" t="s">
        <v>1389</v>
      </c>
      <c r="K1198" t="s">
        <v>746</v>
      </c>
      <c r="L1198" t="s">
        <v>1389</v>
      </c>
      <c r="M1198" t="s">
        <v>746</v>
      </c>
      <c r="N1198" t="s">
        <v>117</v>
      </c>
      <c r="O1198" t="s">
        <v>117</v>
      </c>
      <c r="P1198">
        <v>3</v>
      </c>
      <c r="Q1198" s="7">
        <v>46242</v>
      </c>
      <c r="R1198" s="7">
        <v>46242</v>
      </c>
      <c r="S1198" s="7">
        <v>46242</v>
      </c>
      <c r="T1198" t="s">
        <v>117</v>
      </c>
      <c r="V1198" t="s">
        <v>1390</v>
      </c>
      <c r="W1198" t="s">
        <v>117</v>
      </c>
      <c r="X1198" t="s">
        <v>117</v>
      </c>
      <c r="Y1198" t="s">
        <v>117</v>
      </c>
      <c r="Z1198" t="s">
        <v>117</v>
      </c>
      <c r="AE1198" s="7">
        <v>46244</v>
      </c>
      <c r="AF1198">
        <v>2</v>
      </c>
      <c r="AH1198" t="s">
        <v>75</v>
      </c>
      <c r="AI1198">
        <v>1</v>
      </c>
      <c r="AJ1198" s="15"/>
      <c r="AL1198" s="16"/>
      <c r="AR1198" s="18" t="str">
        <f>IFERROR(VLOOKUP(K1198,[1]POP!$F:$J,1,0),M1198)</f>
        <v>MORA</v>
      </c>
      <c r="AS1198" s="18" t="str">
        <f t="shared" si="91"/>
        <v xml:space="preserve">bounderi </v>
      </c>
      <c r="AT1198" s="19">
        <f t="shared" si="94"/>
        <v>2</v>
      </c>
      <c r="AU1198" s="19">
        <f t="shared" ca="1" si="93"/>
        <v>2</v>
      </c>
    </row>
    <row r="1199" spans="1:47" x14ac:dyDescent="0.3">
      <c r="A1199" t="s">
        <v>1733</v>
      </c>
      <c r="B1199" t="str">
        <f t="shared" si="90"/>
        <v>S32_2026</v>
      </c>
      <c r="C1199" t="str">
        <f t="shared" si="92"/>
        <v>S32_2026</v>
      </c>
      <c r="F1199">
        <v>16</v>
      </c>
      <c r="G1199" t="s">
        <v>1387</v>
      </c>
      <c r="H1199" t="s">
        <v>673</v>
      </c>
      <c r="I1199" t="s">
        <v>1388</v>
      </c>
      <c r="J1199" t="s">
        <v>1389</v>
      </c>
      <c r="K1199" t="s">
        <v>746</v>
      </c>
      <c r="L1199" t="s">
        <v>1389</v>
      </c>
      <c r="M1199" t="s">
        <v>746</v>
      </c>
      <c r="N1199" t="s">
        <v>117</v>
      </c>
      <c r="O1199" t="s">
        <v>117</v>
      </c>
      <c r="P1199">
        <v>1</v>
      </c>
      <c r="Q1199" s="7">
        <v>46242</v>
      </c>
      <c r="R1199" s="7">
        <v>46242</v>
      </c>
      <c r="S1199" s="7">
        <v>46242</v>
      </c>
      <c r="T1199" t="s">
        <v>117</v>
      </c>
      <c r="V1199" t="s">
        <v>1390</v>
      </c>
      <c r="W1199" t="s">
        <v>117</v>
      </c>
      <c r="X1199" t="s">
        <v>117</v>
      </c>
      <c r="Y1199" t="s">
        <v>117</v>
      </c>
      <c r="Z1199" t="s">
        <v>117</v>
      </c>
      <c r="AE1199" s="7">
        <v>46244</v>
      </c>
      <c r="AF1199">
        <v>2</v>
      </c>
      <c r="AH1199" t="s">
        <v>75</v>
      </c>
      <c r="AI1199">
        <v>1</v>
      </c>
      <c r="AJ1199" s="15"/>
      <c r="AL1199" s="16"/>
      <c r="AR1199" s="18" t="str">
        <f>IFERROR(VLOOKUP(K1199,[1]POP!$F:$J,1,0),M1199)</f>
        <v>MORA</v>
      </c>
      <c r="AS1199" s="18" t="str">
        <f t="shared" si="91"/>
        <v xml:space="preserve">bounderi </v>
      </c>
      <c r="AT1199" s="19">
        <f t="shared" si="94"/>
        <v>2</v>
      </c>
      <c r="AU1199" s="19">
        <f t="shared" ca="1" si="93"/>
        <v>2</v>
      </c>
    </row>
    <row r="1200" spans="1:47" x14ac:dyDescent="0.3">
      <c r="A1200" t="s">
        <v>1734</v>
      </c>
      <c r="B1200" t="str">
        <f t="shared" si="90"/>
        <v>S32_2026</v>
      </c>
      <c r="C1200" t="str">
        <f t="shared" si="92"/>
        <v>S32_2026</v>
      </c>
      <c r="F1200">
        <v>15</v>
      </c>
      <c r="G1200" t="s">
        <v>55</v>
      </c>
      <c r="H1200" t="s">
        <v>85</v>
      </c>
      <c r="I1200" t="s">
        <v>1735</v>
      </c>
      <c r="J1200" t="s">
        <v>1067</v>
      </c>
      <c r="K1200" t="s">
        <v>1068</v>
      </c>
      <c r="L1200" t="s">
        <v>1067</v>
      </c>
      <c r="M1200" t="s">
        <v>1068</v>
      </c>
      <c r="N1200" t="s">
        <v>45</v>
      </c>
      <c r="O1200" t="s">
        <v>45</v>
      </c>
      <c r="P1200">
        <v>2</v>
      </c>
      <c r="Q1200" s="7">
        <v>46242</v>
      </c>
      <c r="R1200" s="7">
        <v>46242</v>
      </c>
      <c r="S1200" s="7">
        <v>46242</v>
      </c>
      <c r="T1200" t="s">
        <v>45</v>
      </c>
      <c r="V1200" t="s">
        <v>1331</v>
      </c>
      <c r="W1200" t="s">
        <v>45</v>
      </c>
      <c r="X1200" t="s">
        <v>45</v>
      </c>
      <c r="Y1200" t="s">
        <v>45</v>
      </c>
      <c r="Z1200" t="s">
        <v>45</v>
      </c>
      <c r="AC1200" t="s">
        <v>74</v>
      </c>
      <c r="AE1200" s="7">
        <v>46249</v>
      </c>
      <c r="AF1200">
        <v>2</v>
      </c>
      <c r="AH1200" t="s">
        <v>75</v>
      </c>
      <c r="AI1200">
        <v>1</v>
      </c>
      <c r="AJ1200" s="15"/>
      <c r="AK1200" t="s">
        <v>45</v>
      </c>
      <c r="AL1200" s="16"/>
      <c r="AR1200" s="18" t="str">
        <f>IFERROR(VLOOKUP(K1200,[1]POP!$F:$J,1,0),M1200)</f>
        <v>MOKOLO</v>
      </c>
      <c r="AS1200" s="18" t="str">
        <f t="shared" si="91"/>
        <v>MINAWAO</v>
      </c>
      <c r="AT1200" s="19">
        <f t="shared" si="94"/>
        <v>2</v>
      </c>
      <c r="AU1200" s="19">
        <f t="shared" ca="1" si="93"/>
        <v>2</v>
      </c>
    </row>
    <row r="1201" spans="1:47" x14ac:dyDescent="0.3">
      <c r="A1201" t="s">
        <v>1736</v>
      </c>
      <c r="B1201" t="str">
        <f t="shared" si="90"/>
        <v>S32_2026</v>
      </c>
      <c r="C1201" t="str">
        <f t="shared" si="92"/>
        <v>S32_2026</v>
      </c>
      <c r="F1201">
        <v>2</v>
      </c>
      <c r="G1201" t="s">
        <v>55</v>
      </c>
      <c r="H1201" t="s">
        <v>85</v>
      </c>
      <c r="I1201" t="s">
        <v>1737</v>
      </c>
      <c r="J1201" t="s">
        <v>1067</v>
      </c>
      <c r="K1201" t="s">
        <v>1068</v>
      </c>
      <c r="L1201" t="s">
        <v>1067</v>
      </c>
      <c r="M1201" t="s">
        <v>1068</v>
      </c>
      <c r="N1201" t="s">
        <v>45</v>
      </c>
      <c r="O1201" t="s">
        <v>45</v>
      </c>
      <c r="P1201">
        <v>2</v>
      </c>
      <c r="Q1201" s="7">
        <v>46242</v>
      </c>
      <c r="R1201" s="7">
        <v>46242</v>
      </c>
      <c r="S1201" s="7">
        <v>46242</v>
      </c>
      <c r="T1201" t="s">
        <v>45</v>
      </c>
      <c r="V1201" t="s">
        <v>1331</v>
      </c>
      <c r="W1201" t="s">
        <v>45</v>
      </c>
      <c r="X1201" t="s">
        <v>45</v>
      </c>
      <c r="Y1201" t="s">
        <v>45</v>
      </c>
      <c r="Z1201" t="s">
        <v>45</v>
      </c>
      <c r="AC1201" t="s">
        <v>74</v>
      </c>
      <c r="AE1201" s="7">
        <v>46249</v>
      </c>
      <c r="AF1201">
        <v>2</v>
      </c>
      <c r="AH1201" t="s">
        <v>75</v>
      </c>
      <c r="AI1201">
        <v>1</v>
      </c>
      <c r="AJ1201" s="15"/>
      <c r="AK1201" t="s">
        <v>45</v>
      </c>
      <c r="AL1201" s="16"/>
      <c r="AR1201" s="18" t="str">
        <f>IFERROR(VLOOKUP(K1201,[1]POP!$F:$J,1,0),M1201)</f>
        <v>MOKOLO</v>
      </c>
      <c r="AS1201" s="18" t="str">
        <f t="shared" si="91"/>
        <v>MINAWAO</v>
      </c>
      <c r="AT1201" s="19">
        <f t="shared" si="94"/>
        <v>2</v>
      </c>
      <c r="AU1201" s="19">
        <f t="shared" ca="1" si="93"/>
        <v>2</v>
      </c>
    </row>
    <row r="1202" spans="1:47" x14ac:dyDescent="0.3">
      <c r="A1202" t="s">
        <v>1738</v>
      </c>
      <c r="B1202" t="str">
        <f t="shared" si="90"/>
        <v>S32_2026</v>
      </c>
      <c r="C1202" t="str">
        <f t="shared" si="92"/>
        <v>S32_2026</v>
      </c>
      <c r="F1202">
        <v>21</v>
      </c>
      <c r="G1202" t="s">
        <v>40</v>
      </c>
      <c r="H1202" t="s">
        <v>85</v>
      </c>
      <c r="I1202" t="s">
        <v>1739</v>
      </c>
      <c r="J1202" t="s">
        <v>1067</v>
      </c>
      <c r="K1202" t="s">
        <v>1068</v>
      </c>
      <c r="L1202" t="s">
        <v>1067</v>
      </c>
      <c r="M1202" t="s">
        <v>1068</v>
      </c>
      <c r="N1202" t="s">
        <v>45</v>
      </c>
      <c r="O1202" t="s">
        <v>45</v>
      </c>
      <c r="P1202">
        <v>2</v>
      </c>
      <c r="Q1202" s="7">
        <v>46242</v>
      </c>
      <c r="R1202" s="7">
        <v>46242</v>
      </c>
      <c r="S1202" s="7">
        <v>46242</v>
      </c>
      <c r="T1202" t="s">
        <v>45</v>
      </c>
      <c r="V1202" t="s">
        <v>1331</v>
      </c>
      <c r="W1202" t="s">
        <v>45</v>
      </c>
      <c r="X1202" t="s">
        <v>45</v>
      </c>
      <c r="Y1202" t="s">
        <v>45</v>
      </c>
      <c r="Z1202" t="s">
        <v>45</v>
      </c>
      <c r="AC1202" t="s">
        <v>74</v>
      </c>
      <c r="AE1202" s="7">
        <v>46245</v>
      </c>
      <c r="AF1202">
        <v>2</v>
      </c>
      <c r="AH1202" t="s">
        <v>75</v>
      </c>
      <c r="AI1202">
        <v>1</v>
      </c>
      <c r="AJ1202" s="15"/>
      <c r="AK1202" t="s">
        <v>45</v>
      </c>
      <c r="AL1202" s="16"/>
      <c r="AR1202" s="18" t="str">
        <f>IFERROR(VLOOKUP(K1202,[1]POP!$F:$J,1,0),M1202)</f>
        <v>MOKOLO</v>
      </c>
      <c r="AS1202" s="18" t="str">
        <f t="shared" si="91"/>
        <v>MINAWAO</v>
      </c>
      <c r="AT1202" s="19">
        <f t="shared" si="94"/>
        <v>2</v>
      </c>
      <c r="AU1202" s="19">
        <f t="shared" ca="1" si="93"/>
        <v>2</v>
      </c>
    </row>
    <row r="1203" spans="1:47" x14ac:dyDescent="0.3">
      <c r="A1203" t="s">
        <v>1740</v>
      </c>
      <c r="B1203" t="str">
        <f t="shared" si="90"/>
        <v>S32_2026</v>
      </c>
      <c r="C1203" t="str">
        <f t="shared" si="92"/>
        <v>S32_2026</v>
      </c>
      <c r="F1203">
        <v>70</v>
      </c>
      <c r="G1203" t="s">
        <v>40</v>
      </c>
      <c r="H1203" t="s">
        <v>77</v>
      </c>
      <c r="I1203" t="s">
        <v>1741</v>
      </c>
      <c r="J1203" t="s">
        <v>1067</v>
      </c>
      <c r="K1203" t="s">
        <v>1068</v>
      </c>
      <c r="L1203" t="s">
        <v>1067</v>
      </c>
      <c r="M1203" t="s">
        <v>1068</v>
      </c>
      <c r="N1203" t="s">
        <v>45</v>
      </c>
      <c r="O1203" t="s">
        <v>45</v>
      </c>
      <c r="P1203">
        <v>2</v>
      </c>
      <c r="Q1203" s="7">
        <v>46243</v>
      </c>
      <c r="R1203" s="7">
        <v>46243</v>
      </c>
      <c r="S1203" s="7">
        <v>46243</v>
      </c>
      <c r="T1203" t="s">
        <v>45</v>
      </c>
      <c r="V1203" t="s">
        <v>1331</v>
      </c>
      <c r="W1203" t="s">
        <v>45</v>
      </c>
      <c r="X1203" t="s">
        <v>45</v>
      </c>
      <c r="Y1203" t="s">
        <v>45</v>
      </c>
      <c r="Z1203" t="s">
        <v>45</v>
      </c>
      <c r="AC1203" t="s">
        <v>74</v>
      </c>
      <c r="AE1203" s="7">
        <v>46252</v>
      </c>
      <c r="AF1203">
        <v>2</v>
      </c>
      <c r="AH1203" t="s">
        <v>75</v>
      </c>
      <c r="AI1203">
        <v>1</v>
      </c>
      <c r="AJ1203" s="15"/>
      <c r="AK1203" t="s">
        <v>45</v>
      </c>
      <c r="AL1203" s="16"/>
      <c r="AR1203" s="18" t="str">
        <f>IFERROR(VLOOKUP(K1203,[1]POP!$F:$J,1,0),M1203)</f>
        <v>MOKOLO</v>
      </c>
      <c r="AS1203" s="18" t="str">
        <f t="shared" si="91"/>
        <v>MINAWAO</v>
      </c>
      <c r="AT1203" s="19">
        <f t="shared" si="94"/>
        <v>2</v>
      </c>
      <c r="AU1203" s="19">
        <f t="shared" ca="1" si="93"/>
        <v>2</v>
      </c>
    </row>
    <row r="1204" spans="1:47" x14ac:dyDescent="0.3">
      <c r="A1204" t="s">
        <v>1742</v>
      </c>
      <c r="B1204" t="str">
        <f t="shared" si="90"/>
        <v>S32_2026</v>
      </c>
      <c r="C1204" t="str">
        <f t="shared" si="92"/>
        <v>S32_2026</v>
      </c>
      <c r="F1204">
        <v>7</v>
      </c>
      <c r="G1204" t="s">
        <v>40</v>
      </c>
      <c r="H1204" t="s">
        <v>85</v>
      </c>
      <c r="I1204" t="s">
        <v>1697</v>
      </c>
      <c r="J1204" t="s">
        <v>1067</v>
      </c>
      <c r="K1204" t="s">
        <v>1068</v>
      </c>
      <c r="L1204" t="s">
        <v>1067</v>
      </c>
      <c r="M1204" t="s">
        <v>1068</v>
      </c>
      <c r="N1204" t="s">
        <v>45</v>
      </c>
      <c r="O1204" t="s">
        <v>45</v>
      </c>
      <c r="P1204">
        <v>2</v>
      </c>
      <c r="Q1204" s="7">
        <v>46243</v>
      </c>
      <c r="R1204" s="7">
        <v>46243</v>
      </c>
      <c r="S1204" s="7">
        <v>46243</v>
      </c>
      <c r="T1204" t="s">
        <v>45</v>
      </c>
      <c r="V1204" t="s">
        <v>1331</v>
      </c>
      <c r="W1204" t="s">
        <v>45</v>
      </c>
      <c r="X1204" t="s">
        <v>45</v>
      </c>
      <c r="Y1204" t="s">
        <v>45</v>
      </c>
      <c r="Z1204" t="s">
        <v>45</v>
      </c>
      <c r="AC1204" t="s">
        <v>74</v>
      </c>
      <c r="AF1204">
        <v>2</v>
      </c>
      <c r="AH1204" t="s">
        <v>75</v>
      </c>
      <c r="AI1204">
        <v>1</v>
      </c>
      <c r="AJ1204" s="15"/>
      <c r="AK1204" t="s">
        <v>45</v>
      </c>
      <c r="AL1204" s="16"/>
      <c r="AR1204" s="18" t="str">
        <f>IFERROR(VLOOKUP(K1204,[1]POP!$F:$J,1,0),M1204)</f>
        <v>MOKOLO</v>
      </c>
      <c r="AS1204" s="18" t="str">
        <f t="shared" si="91"/>
        <v>MINAWAO</v>
      </c>
      <c r="AT1204" s="19">
        <f t="shared" si="94"/>
        <v>2</v>
      </c>
      <c r="AU1204" s="19">
        <f t="shared" ca="1" si="93"/>
        <v>2</v>
      </c>
    </row>
    <row r="1205" spans="1:47" x14ac:dyDescent="0.3">
      <c r="A1205" t="s">
        <v>1743</v>
      </c>
      <c r="B1205" t="str">
        <f t="shared" si="90"/>
        <v>S32_2026</v>
      </c>
      <c r="C1205" t="str">
        <f t="shared" si="92"/>
        <v>S32_2026</v>
      </c>
      <c r="F1205">
        <v>4</v>
      </c>
      <c r="G1205" t="s">
        <v>40</v>
      </c>
      <c r="H1205" t="s">
        <v>85</v>
      </c>
      <c r="I1205" t="s">
        <v>1744</v>
      </c>
      <c r="J1205" t="s">
        <v>1067</v>
      </c>
      <c r="K1205" t="s">
        <v>1068</v>
      </c>
      <c r="L1205" t="s">
        <v>1067</v>
      </c>
      <c r="M1205" t="s">
        <v>1068</v>
      </c>
      <c r="N1205" t="s">
        <v>45</v>
      </c>
      <c r="O1205" t="s">
        <v>45</v>
      </c>
      <c r="P1205">
        <v>2</v>
      </c>
      <c r="Q1205" s="7">
        <v>46243</v>
      </c>
      <c r="R1205" s="7">
        <v>46243</v>
      </c>
      <c r="S1205" s="7">
        <v>46243</v>
      </c>
      <c r="T1205" t="s">
        <v>45</v>
      </c>
      <c r="V1205" t="s">
        <v>1331</v>
      </c>
      <c r="W1205" t="s">
        <v>45</v>
      </c>
      <c r="X1205" t="s">
        <v>45</v>
      </c>
      <c r="Y1205" t="s">
        <v>45</v>
      </c>
      <c r="Z1205" t="s">
        <v>45</v>
      </c>
      <c r="AC1205" t="s">
        <v>74</v>
      </c>
      <c r="AF1205">
        <v>2</v>
      </c>
      <c r="AH1205" t="s">
        <v>75</v>
      </c>
      <c r="AI1205">
        <v>1</v>
      </c>
      <c r="AJ1205" s="15"/>
      <c r="AK1205" t="s">
        <v>45</v>
      </c>
      <c r="AL1205" s="16"/>
      <c r="AR1205" s="18" t="str">
        <f>IFERROR(VLOOKUP(K1205,[1]POP!$F:$J,1,0),M1205)</f>
        <v>MOKOLO</v>
      </c>
      <c r="AS1205" s="18" t="str">
        <f t="shared" si="91"/>
        <v>MINAWAO</v>
      </c>
      <c r="AT1205" s="19">
        <f t="shared" si="94"/>
        <v>2</v>
      </c>
      <c r="AU1205" s="19">
        <f t="shared" ca="1" si="93"/>
        <v>2</v>
      </c>
    </row>
    <row r="1206" spans="1:47" x14ac:dyDescent="0.3">
      <c r="A1206" t="s">
        <v>1745</v>
      </c>
      <c r="B1206" t="str">
        <f t="shared" si="90"/>
        <v>S33_2026</v>
      </c>
      <c r="C1206" t="str">
        <f t="shared" si="92"/>
        <v>S33_2026</v>
      </c>
      <c r="F1206">
        <v>4</v>
      </c>
      <c r="G1206" t="s">
        <v>40</v>
      </c>
      <c r="H1206" t="s">
        <v>85</v>
      </c>
      <c r="I1206" t="s">
        <v>1746</v>
      </c>
      <c r="J1206" t="s">
        <v>1067</v>
      </c>
      <c r="K1206" t="s">
        <v>1068</v>
      </c>
      <c r="L1206" t="s">
        <v>1067</v>
      </c>
      <c r="M1206" t="s">
        <v>1068</v>
      </c>
      <c r="N1206" t="s">
        <v>45</v>
      </c>
      <c r="O1206" t="s">
        <v>45</v>
      </c>
      <c r="P1206">
        <v>2</v>
      </c>
      <c r="Q1206" s="7">
        <v>46244</v>
      </c>
      <c r="R1206" s="7">
        <v>46244</v>
      </c>
      <c r="S1206" s="7">
        <v>46244</v>
      </c>
      <c r="T1206" t="s">
        <v>45</v>
      </c>
      <c r="V1206" t="s">
        <v>1331</v>
      </c>
      <c r="W1206" t="s">
        <v>45</v>
      </c>
      <c r="X1206" t="s">
        <v>45</v>
      </c>
      <c r="Y1206" t="s">
        <v>45</v>
      </c>
      <c r="Z1206" t="s">
        <v>45</v>
      </c>
      <c r="AC1206" t="s">
        <v>74</v>
      </c>
      <c r="AE1206" s="7">
        <v>46246</v>
      </c>
      <c r="AF1206">
        <v>2</v>
      </c>
      <c r="AH1206" t="s">
        <v>75</v>
      </c>
      <c r="AI1206">
        <v>1</v>
      </c>
      <c r="AJ1206" s="15"/>
      <c r="AK1206" t="s">
        <v>74</v>
      </c>
      <c r="AL1206" s="16"/>
      <c r="AR1206" s="18" t="str">
        <f>IFERROR(VLOOKUP(K1206,[1]POP!$F:$J,1,0),M1206)</f>
        <v>MOKOLO</v>
      </c>
      <c r="AS1206" s="18" t="str">
        <f t="shared" si="91"/>
        <v>MINAWAO</v>
      </c>
      <c r="AT1206" s="19">
        <f t="shared" si="94"/>
        <v>2</v>
      </c>
      <c r="AU1206" s="19">
        <f t="shared" ca="1" si="93"/>
        <v>2</v>
      </c>
    </row>
    <row r="1207" spans="1:47" x14ac:dyDescent="0.3">
      <c r="A1207" t="s">
        <v>1747</v>
      </c>
      <c r="B1207" t="str">
        <f t="shared" si="90"/>
        <v>S33_2026</v>
      </c>
      <c r="C1207" t="str">
        <f t="shared" si="92"/>
        <v>S33_2026</v>
      </c>
      <c r="F1207">
        <v>9</v>
      </c>
      <c r="G1207" t="s">
        <v>55</v>
      </c>
      <c r="H1207" t="s">
        <v>85</v>
      </c>
      <c r="I1207" t="s">
        <v>1748</v>
      </c>
      <c r="J1207" t="s">
        <v>1067</v>
      </c>
      <c r="K1207" t="s">
        <v>1068</v>
      </c>
      <c r="L1207" t="s">
        <v>1067</v>
      </c>
      <c r="M1207" t="s">
        <v>1068</v>
      </c>
      <c r="N1207" t="s">
        <v>45</v>
      </c>
      <c r="O1207" t="s">
        <v>45</v>
      </c>
      <c r="P1207">
        <v>3</v>
      </c>
      <c r="Q1207" s="7">
        <v>46244</v>
      </c>
      <c r="R1207" s="7">
        <v>46244</v>
      </c>
      <c r="S1207" s="7">
        <v>46244</v>
      </c>
      <c r="T1207" t="s">
        <v>45</v>
      </c>
      <c r="V1207" t="s">
        <v>1331</v>
      </c>
      <c r="W1207" t="s">
        <v>45</v>
      </c>
      <c r="X1207" t="s">
        <v>45</v>
      </c>
      <c r="Y1207" t="s">
        <v>45</v>
      </c>
      <c r="Z1207" t="s">
        <v>45</v>
      </c>
      <c r="AC1207" t="s">
        <v>74</v>
      </c>
      <c r="AE1207" s="7">
        <v>46246</v>
      </c>
      <c r="AF1207">
        <v>2</v>
      </c>
      <c r="AH1207" t="s">
        <v>75</v>
      </c>
      <c r="AI1207">
        <v>1</v>
      </c>
      <c r="AJ1207" s="15"/>
      <c r="AK1207" t="s">
        <v>74</v>
      </c>
      <c r="AL1207" s="16"/>
      <c r="AR1207" s="18" t="str">
        <f>IFERROR(VLOOKUP(K1207,[1]POP!$F:$J,1,0),M1207)</f>
        <v>MOKOLO</v>
      </c>
      <c r="AS1207" s="18" t="str">
        <f t="shared" si="91"/>
        <v>MINAWAO</v>
      </c>
      <c r="AT1207" s="19">
        <f t="shared" si="94"/>
        <v>2</v>
      </c>
      <c r="AU1207" s="19">
        <f t="shared" ca="1" si="93"/>
        <v>2</v>
      </c>
    </row>
    <row r="1208" spans="1:47" x14ac:dyDescent="0.3">
      <c r="A1208" t="s">
        <v>1749</v>
      </c>
      <c r="B1208" t="str">
        <f t="shared" si="90"/>
        <v>S33_2026</v>
      </c>
      <c r="C1208" t="str">
        <f t="shared" si="92"/>
        <v>S33_2026</v>
      </c>
      <c r="F1208">
        <v>30</v>
      </c>
      <c r="G1208" t="s">
        <v>40</v>
      </c>
      <c r="H1208" t="s">
        <v>85</v>
      </c>
      <c r="I1208" t="s">
        <v>1750</v>
      </c>
      <c r="J1208" t="s">
        <v>1067</v>
      </c>
      <c r="K1208" t="s">
        <v>1068</v>
      </c>
      <c r="L1208" t="s">
        <v>1067</v>
      </c>
      <c r="M1208" t="s">
        <v>1068</v>
      </c>
      <c r="N1208" t="s">
        <v>45</v>
      </c>
      <c r="O1208" t="s">
        <v>45</v>
      </c>
      <c r="P1208">
        <v>2</v>
      </c>
      <c r="Q1208" s="7">
        <v>46244</v>
      </c>
      <c r="R1208" s="7">
        <v>46244</v>
      </c>
      <c r="S1208" s="7">
        <v>46244</v>
      </c>
      <c r="T1208" t="s">
        <v>45</v>
      </c>
      <c r="V1208" t="s">
        <v>1331</v>
      </c>
      <c r="W1208" t="s">
        <v>45</v>
      </c>
      <c r="X1208" t="s">
        <v>45</v>
      </c>
      <c r="Y1208" t="s">
        <v>45</v>
      </c>
      <c r="Z1208" t="s">
        <v>45</v>
      </c>
      <c r="AC1208" t="s">
        <v>74</v>
      </c>
      <c r="AE1208" s="7">
        <v>46253</v>
      </c>
      <c r="AF1208">
        <v>2</v>
      </c>
      <c r="AH1208" t="s">
        <v>75</v>
      </c>
      <c r="AI1208">
        <v>1</v>
      </c>
      <c r="AJ1208" s="15"/>
      <c r="AK1208" t="s">
        <v>74</v>
      </c>
      <c r="AL1208" s="16"/>
      <c r="AR1208" s="18" t="str">
        <f>IFERROR(VLOOKUP(K1208,[1]POP!$F:$J,1,0),M1208)</f>
        <v>MOKOLO</v>
      </c>
      <c r="AS1208" s="18" t="str">
        <f t="shared" si="91"/>
        <v>MINAWAO</v>
      </c>
      <c r="AT1208" s="19">
        <f t="shared" si="94"/>
        <v>2</v>
      </c>
      <c r="AU1208" s="19">
        <f t="shared" ca="1" si="93"/>
        <v>2</v>
      </c>
    </row>
    <row r="1209" spans="1:47" x14ac:dyDescent="0.3">
      <c r="A1209" t="s">
        <v>1751</v>
      </c>
      <c r="B1209" t="str">
        <f t="shared" si="90"/>
        <v>S33_2026</v>
      </c>
      <c r="C1209" t="str">
        <f t="shared" si="92"/>
        <v>S33_2026</v>
      </c>
      <c r="F1209">
        <v>4</v>
      </c>
      <c r="G1209" t="s">
        <v>40</v>
      </c>
      <c r="H1209" t="s">
        <v>85</v>
      </c>
      <c r="I1209" t="s">
        <v>1752</v>
      </c>
      <c r="J1209" t="s">
        <v>1067</v>
      </c>
      <c r="K1209" t="s">
        <v>1068</v>
      </c>
      <c r="L1209" t="s">
        <v>1067</v>
      </c>
      <c r="M1209" t="s">
        <v>1068</v>
      </c>
      <c r="N1209" t="s">
        <v>45</v>
      </c>
      <c r="O1209" t="s">
        <v>45</v>
      </c>
      <c r="P1209">
        <v>3</v>
      </c>
      <c r="Q1209" s="7">
        <v>46244</v>
      </c>
      <c r="R1209" s="7">
        <v>46244</v>
      </c>
      <c r="S1209" s="7">
        <v>46244</v>
      </c>
      <c r="T1209" t="s">
        <v>45</v>
      </c>
      <c r="V1209" t="s">
        <v>1331</v>
      </c>
      <c r="W1209" t="s">
        <v>45</v>
      </c>
      <c r="X1209" t="s">
        <v>45</v>
      </c>
      <c r="Y1209" t="s">
        <v>45</v>
      </c>
      <c r="Z1209" t="s">
        <v>45</v>
      </c>
      <c r="AC1209" t="s">
        <v>74</v>
      </c>
      <c r="AE1209" s="7">
        <v>46253</v>
      </c>
      <c r="AF1209">
        <v>2</v>
      </c>
      <c r="AH1209" t="s">
        <v>75</v>
      </c>
      <c r="AI1209">
        <v>1</v>
      </c>
      <c r="AJ1209" s="15"/>
      <c r="AK1209" t="s">
        <v>74</v>
      </c>
      <c r="AL1209" s="16"/>
      <c r="AR1209" s="18" t="str">
        <f>IFERROR(VLOOKUP(K1209,[1]POP!$F:$J,1,0),M1209)</f>
        <v>MOKOLO</v>
      </c>
      <c r="AS1209" s="18" t="str">
        <f t="shared" si="91"/>
        <v>MINAWAO</v>
      </c>
      <c r="AT1209" s="19">
        <f t="shared" si="94"/>
        <v>2</v>
      </c>
      <c r="AU1209" s="19">
        <f t="shared" ca="1" si="93"/>
        <v>2</v>
      </c>
    </row>
    <row r="1210" spans="1:47" x14ac:dyDescent="0.3">
      <c r="A1210" t="s">
        <v>1753</v>
      </c>
      <c r="B1210" t="str">
        <f t="shared" si="90"/>
        <v>S33_2026</v>
      </c>
      <c r="C1210" t="str">
        <f t="shared" si="92"/>
        <v>S33_2026</v>
      </c>
      <c r="F1210">
        <v>24</v>
      </c>
      <c r="G1210" t="s">
        <v>40</v>
      </c>
      <c r="H1210" t="s">
        <v>85</v>
      </c>
      <c r="I1210" t="s">
        <v>1752</v>
      </c>
      <c r="J1210" t="s">
        <v>1067</v>
      </c>
      <c r="K1210" t="s">
        <v>1068</v>
      </c>
      <c r="L1210" t="s">
        <v>1067</v>
      </c>
      <c r="M1210" t="s">
        <v>1068</v>
      </c>
      <c r="N1210" t="s">
        <v>45</v>
      </c>
      <c r="O1210" t="s">
        <v>45</v>
      </c>
      <c r="P1210">
        <v>2</v>
      </c>
      <c r="Q1210" s="7">
        <v>46244</v>
      </c>
      <c r="R1210" s="7">
        <v>46244</v>
      </c>
      <c r="S1210" s="7">
        <v>46244</v>
      </c>
      <c r="T1210" t="s">
        <v>45</v>
      </c>
      <c r="V1210" t="s">
        <v>1331</v>
      </c>
      <c r="W1210" t="s">
        <v>45</v>
      </c>
      <c r="X1210" t="s">
        <v>45</v>
      </c>
      <c r="Y1210" t="s">
        <v>45</v>
      </c>
      <c r="Z1210" t="s">
        <v>45</v>
      </c>
      <c r="AC1210" t="s">
        <v>74</v>
      </c>
      <c r="AF1210">
        <v>2</v>
      </c>
      <c r="AH1210" t="s">
        <v>75</v>
      </c>
      <c r="AI1210">
        <v>1</v>
      </c>
      <c r="AJ1210" s="15"/>
      <c r="AK1210" t="s">
        <v>74</v>
      </c>
      <c r="AL1210" s="16"/>
      <c r="AR1210" s="18" t="str">
        <f>IFERROR(VLOOKUP(K1210,[1]POP!$F:$J,1,0),M1210)</f>
        <v>MOKOLO</v>
      </c>
      <c r="AS1210" s="18" t="str">
        <f t="shared" si="91"/>
        <v>MINAWAO</v>
      </c>
      <c r="AT1210" s="19">
        <f t="shared" si="94"/>
        <v>2</v>
      </c>
      <c r="AU1210" s="19">
        <f t="shared" ca="1" si="93"/>
        <v>2</v>
      </c>
    </row>
    <row r="1211" spans="1:47" x14ac:dyDescent="0.3">
      <c r="A1211" t="s">
        <v>1754</v>
      </c>
      <c r="B1211" t="str">
        <f t="shared" si="90"/>
        <v>S33_2026</v>
      </c>
      <c r="C1211" t="str">
        <f t="shared" si="92"/>
        <v>S33_2026</v>
      </c>
      <c r="F1211">
        <v>10</v>
      </c>
      <c r="G1211" t="s">
        <v>40</v>
      </c>
      <c r="H1211" t="s">
        <v>85</v>
      </c>
      <c r="I1211" t="s">
        <v>1755</v>
      </c>
      <c r="J1211" t="s">
        <v>1067</v>
      </c>
      <c r="K1211" t="s">
        <v>1068</v>
      </c>
      <c r="L1211" t="s">
        <v>1067</v>
      </c>
      <c r="M1211" t="s">
        <v>1068</v>
      </c>
      <c r="N1211" t="s">
        <v>45</v>
      </c>
      <c r="O1211" t="s">
        <v>45</v>
      </c>
      <c r="P1211">
        <v>3</v>
      </c>
      <c r="Q1211" s="7">
        <v>46244</v>
      </c>
      <c r="R1211" s="7">
        <v>46244</v>
      </c>
      <c r="S1211" s="7">
        <v>46244</v>
      </c>
      <c r="T1211" t="s">
        <v>45</v>
      </c>
      <c r="V1211" t="s">
        <v>1331</v>
      </c>
      <c r="W1211" t="s">
        <v>45</v>
      </c>
      <c r="X1211" t="s">
        <v>45</v>
      </c>
      <c r="Y1211" t="s">
        <v>45</v>
      </c>
      <c r="Z1211" t="s">
        <v>45</v>
      </c>
      <c r="AC1211" t="s">
        <v>74</v>
      </c>
      <c r="AE1211" s="7">
        <v>46253</v>
      </c>
      <c r="AF1211">
        <v>2</v>
      </c>
      <c r="AH1211" t="s">
        <v>75</v>
      </c>
      <c r="AI1211">
        <v>1</v>
      </c>
      <c r="AJ1211" s="15"/>
      <c r="AK1211" t="s">
        <v>74</v>
      </c>
      <c r="AL1211" s="16"/>
      <c r="AR1211" s="18" t="str">
        <f>IFERROR(VLOOKUP(K1211,[1]POP!$F:$J,1,0),M1211)</f>
        <v>MOKOLO</v>
      </c>
      <c r="AS1211" s="18" t="str">
        <f t="shared" si="91"/>
        <v>MINAWAO</v>
      </c>
      <c r="AT1211" s="19">
        <f t="shared" si="94"/>
        <v>2</v>
      </c>
      <c r="AU1211" s="19">
        <f t="shared" ca="1" si="93"/>
        <v>2</v>
      </c>
    </row>
    <row r="1212" spans="1:47" x14ac:dyDescent="0.3">
      <c r="A1212" t="s">
        <v>1756</v>
      </c>
      <c r="B1212" t="str">
        <f t="shared" si="90"/>
        <v>S32_2026</v>
      </c>
      <c r="C1212" t="str">
        <f t="shared" si="92"/>
        <v>S32_2026</v>
      </c>
      <c r="E1212">
        <v>697426975</v>
      </c>
      <c r="F1212">
        <v>10</v>
      </c>
      <c r="G1212" t="s">
        <v>55</v>
      </c>
      <c r="H1212" t="s">
        <v>56</v>
      </c>
      <c r="I1212" t="s">
        <v>1757</v>
      </c>
      <c r="J1212" t="s">
        <v>1757</v>
      </c>
      <c r="K1212" t="s">
        <v>1758</v>
      </c>
      <c r="L1212" t="s">
        <v>1757</v>
      </c>
      <c r="M1212" t="s">
        <v>1758</v>
      </c>
      <c r="N1212" t="s">
        <v>45</v>
      </c>
      <c r="O1212" t="s">
        <v>45</v>
      </c>
      <c r="P1212">
        <v>3</v>
      </c>
      <c r="Q1212" s="7">
        <v>46242</v>
      </c>
      <c r="R1212" s="7">
        <v>46242</v>
      </c>
      <c r="S1212" s="7">
        <v>46242</v>
      </c>
      <c r="T1212" t="s">
        <v>45</v>
      </c>
      <c r="V1212" t="s">
        <v>1759</v>
      </c>
      <c r="W1212" t="s">
        <v>45</v>
      </c>
      <c r="X1212" t="s">
        <v>45</v>
      </c>
      <c r="Y1212" t="s">
        <v>45</v>
      </c>
      <c r="Z1212" t="s">
        <v>45</v>
      </c>
      <c r="AA1212" s="7">
        <v>46242</v>
      </c>
      <c r="AB1212" t="s">
        <v>48</v>
      </c>
      <c r="AC1212" t="s">
        <v>45</v>
      </c>
      <c r="AD1212" t="s">
        <v>48</v>
      </c>
      <c r="AF1212">
        <v>2</v>
      </c>
      <c r="AH1212" t="s">
        <v>75</v>
      </c>
      <c r="AI1212">
        <v>1</v>
      </c>
      <c r="AJ1212" s="15"/>
      <c r="AK1212" t="s">
        <v>86</v>
      </c>
      <c r="AL1212" s="16"/>
      <c r="AR1212" s="18" t="str">
        <f>IFERROR(VLOOKUP(K1212,[1]POP!$F:$J,1,0),M1212)</f>
        <v>MAROUA 2</v>
      </c>
      <c r="AS1212" s="18" t="str">
        <f t="shared" si="91"/>
        <v>DOUALARE</v>
      </c>
      <c r="AT1212" s="19">
        <f t="shared" si="94"/>
        <v>2</v>
      </c>
      <c r="AU1212" s="19">
        <f t="shared" ca="1" si="93"/>
        <v>2</v>
      </c>
    </row>
    <row r="1213" spans="1:47" x14ac:dyDescent="0.3">
      <c r="A1213" t="s">
        <v>1760</v>
      </c>
      <c r="B1213" t="str">
        <f t="shared" si="90"/>
        <v>S32_2026</v>
      </c>
      <c r="C1213" t="str">
        <f t="shared" si="92"/>
        <v>S32_2026</v>
      </c>
      <c r="E1213">
        <v>697426975</v>
      </c>
      <c r="F1213">
        <v>2</v>
      </c>
      <c r="G1213" t="s">
        <v>40</v>
      </c>
      <c r="I1213" t="s">
        <v>1757</v>
      </c>
      <c r="J1213" t="s">
        <v>1757</v>
      </c>
      <c r="K1213" t="s">
        <v>1758</v>
      </c>
      <c r="L1213" t="s">
        <v>1757</v>
      </c>
      <c r="M1213" t="s">
        <v>1758</v>
      </c>
      <c r="N1213" t="s">
        <v>45</v>
      </c>
      <c r="O1213" t="s">
        <v>45</v>
      </c>
      <c r="P1213">
        <v>3</v>
      </c>
      <c r="Q1213" s="7">
        <v>46242</v>
      </c>
      <c r="R1213" s="7">
        <v>46242</v>
      </c>
      <c r="S1213" s="7">
        <v>46242</v>
      </c>
      <c r="T1213" t="s">
        <v>45</v>
      </c>
      <c r="V1213" t="s">
        <v>1759</v>
      </c>
      <c r="W1213" t="s">
        <v>45</v>
      </c>
      <c r="X1213" t="s">
        <v>45</v>
      </c>
      <c r="Y1213" t="s">
        <v>45</v>
      </c>
      <c r="Z1213" t="s">
        <v>45</v>
      </c>
      <c r="AA1213" s="7">
        <v>46242</v>
      </c>
      <c r="AB1213" t="s">
        <v>48</v>
      </c>
      <c r="AC1213" t="s">
        <v>45</v>
      </c>
      <c r="AD1213" t="s">
        <v>48</v>
      </c>
      <c r="AF1213">
        <v>2</v>
      </c>
      <c r="AH1213" t="s">
        <v>75</v>
      </c>
      <c r="AI1213">
        <v>1</v>
      </c>
      <c r="AJ1213" s="15"/>
      <c r="AK1213" t="s">
        <v>86</v>
      </c>
      <c r="AL1213" s="16"/>
      <c r="AR1213" s="18" t="str">
        <f>IFERROR(VLOOKUP(K1213,[1]POP!$F:$J,1,0),M1213)</f>
        <v>MAROUA 2</v>
      </c>
      <c r="AS1213" s="18" t="str">
        <f t="shared" si="91"/>
        <v>DOUALARE</v>
      </c>
      <c r="AT1213" s="19">
        <f t="shared" si="94"/>
        <v>2</v>
      </c>
      <c r="AU1213" s="19">
        <f t="shared" ca="1" si="93"/>
        <v>2</v>
      </c>
    </row>
    <row r="1214" spans="1:47" x14ac:dyDescent="0.3">
      <c r="A1214" t="s">
        <v>1761</v>
      </c>
      <c r="B1214" t="str">
        <f t="shared" si="90"/>
        <v>S33_2026</v>
      </c>
      <c r="C1214" t="str">
        <f t="shared" si="92"/>
        <v>S32_2026</v>
      </c>
      <c r="F1214">
        <v>13</v>
      </c>
      <c r="G1214" t="s">
        <v>40</v>
      </c>
      <c r="H1214" t="s">
        <v>85</v>
      </c>
      <c r="I1214" t="s">
        <v>896</v>
      </c>
      <c r="J1214" t="s">
        <v>731</v>
      </c>
      <c r="K1214" t="s">
        <v>72</v>
      </c>
      <c r="L1214" t="s">
        <v>72</v>
      </c>
      <c r="M1214" t="s">
        <v>72</v>
      </c>
      <c r="N1214" t="s">
        <v>45</v>
      </c>
      <c r="O1214" t="s">
        <v>45</v>
      </c>
      <c r="P1214">
        <v>2</v>
      </c>
      <c r="Q1214" s="7">
        <v>46243</v>
      </c>
      <c r="R1214" s="7">
        <v>46243</v>
      </c>
      <c r="S1214" s="7">
        <v>46244</v>
      </c>
      <c r="T1214" t="s">
        <v>45</v>
      </c>
      <c r="V1214" t="s">
        <v>343</v>
      </c>
      <c r="W1214" t="s">
        <v>45</v>
      </c>
      <c r="X1214" t="s">
        <v>45</v>
      </c>
      <c r="Y1214" t="s">
        <v>45</v>
      </c>
      <c r="Z1214" t="s">
        <v>45</v>
      </c>
      <c r="AE1214" s="7">
        <v>46245</v>
      </c>
      <c r="AF1214">
        <v>2</v>
      </c>
      <c r="AH1214" t="s">
        <v>75</v>
      </c>
      <c r="AI1214">
        <v>1</v>
      </c>
      <c r="AJ1214" s="15"/>
      <c r="AK1214" t="s">
        <v>74</v>
      </c>
      <c r="AL1214" s="16"/>
      <c r="AR1214" s="18" t="str">
        <f>IFERROR(VLOOKUP(K1214,[1]POP!$F:$J,1,0),M1214)</f>
        <v>FOTOKOL</v>
      </c>
      <c r="AS1214" s="18" t="str">
        <f t="shared" si="91"/>
        <v>SOUERAM</v>
      </c>
      <c r="AT1214" s="19">
        <f t="shared" si="94"/>
        <v>2</v>
      </c>
      <c r="AU1214" s="19">
        <f t="shared" ca="1" si="93"/>
        <v>2</v>
      </c>
    </row>
    <row r="1215" spans="1:47" x14ac:dyDescent="0.3">
      <c r="A1215" t="s">
        <v>1762</v>
      </c>
      <c r="B1215" t="str">
        <f t="shared" si="90"/>
        <v>S33_2026</v>
      </c>
      <c r="C1215" t="str">
        <f t="shared" si="92"/>
        <v>S32_2026</v>
      </c>
      <c r="F1215">
        <v>2</v>
      </c>
      <c r="G1215" t="s">
        <v>55</v>
      </c>
      <c r="H1215" t="s">
        <v>85</v>
      </c>
      <c r="I1215" t="s">
        <v>896</v>
      </c>
      <c r="J1215" t="s">
        <v>731</v>
      </c>
      <c r="K1215" t="s">
        <v>72</v>
      </c>
      <c r="L1215" t="s">
        <v>72</v>
      </c>
      <c r="M1215" t="s">
        <v>72</v>
      </c>
      <c r="N1215" t="s">
        <v>45</v>
      </c>
      <c r="O1215" t="s">
        <v>45</v>
      </c>
      <c r="P1215">
        <v>2</v>
      </c>
      <c r="Q1215" s="7">
        <v>46243</v>
      </c>
      <c r="R1215" s="7">
        <v>46243</v>
      </c>
      <c r="S1215" s="7">
        <v>46244</v>
      </c>
      <c r="T1215" t="s">
        <v>45</v>
      </c>
      <c r="V1215" t="s">
        <v>343</v>
      </c>
      <c r="W1215" t="s">
        <v>45</v>
      </c>
      <c r="X1215" t="s">
        <v>45</v>
      </c>
      <c r="Y1215" t="s">
        <v>45</v>
      </c>
      <c r="Z1215" t="s">
        <v>45</v>
      </c>
      <c r="AE1215" s="7">
        <v>46245</v>
      </c>
      <c r="AF1215">
        <v>2</v>
      </c>
      <c r="AH1215" t="s">
        <v>75</v>
      </c>
      <c r="AI1215">
        <v>1</v>
      </c>
      <c r="AJ1215" s="15"/>
      <c r="AK1215" t="s">
        <v>74</v>
      </c>
      <c r="AL1215" s="16"/>
      <c r="AR1215" s="18" t="str">
        <f>IFERROR(VLOOKUP(K1215,[1]POP!$F:$J,1,0),M1215)</f>
        <v>FOTOKOL</v>
      </c>
      <c r="AS1215" s="18" t="str">
        <f t="shared" si="91"/>
        <v>SOUERAM</v>
      </c>
      <c r="AT1215" s="19">
        <f t="shared" si="94"/>
        <v>2</v>
      </c>
      <c r="AU1215" s="19">
        <f t="shared" ca="1" si="93"/>
        <v>2</v>
      </c>
    </row>
    <row r="1216" spans="1:47" x14ac:dyDescent="0.3">
      <c r="A1216" t="s">
        <v>1763</v>
      </c>
      <c r="B1216" t="str">
        <f t="shared" si="90"/>
        <v>S33_2026</v>
      </c>
      <c r="C1216" t="str">
        <f t="shared" si="92"/>
        <v>S33_2026</v>
      </c>
      <c r="F1216">
        <v>38</v>
      </c>
      <c r="G1216" t="s">
        <v>55</v>
      </c>
      <c r="H1216" t="s">
        <v>164</v>
      </c>
      <c r="I1216" t="s">
        <v>1764</v>
      </c>
      <c r="J1216" t="s">
        <v>72</v>
      </c>
      <c r="K1216" t="s">
        <v>72</v>
      </c>
      <c r="L1216" t="s">
        <v>72</v>
      </c>
      <c r="M1216" t="s">
        <v>72</v>
      </c>
      <c r="N1216" t="s">
        <v>45</v>
      </c>
      <c r="O1216" t="s">
        <v>45</v>
      </c>
      <c r="P1216">
        <v>2</v>
      </c>
      <c r="Q1216" s="7">
        <v>46245</v>
      </c>
      <c r="R1216" s="7">
        <v>46245</v>
      </c>
      <c r="S1216" s="7">
        <v>46245</v>
      </c>
      <c r="T1216" t="s">
        <v>45</v>
      </c>
      <c r="V1216" t="s">
        <v>343</v>
      </c>
      <c r="W1216" t="s">
        <v>45</v>
      </c>
      <c r="X1216" t="s">
        <v>45</v>
      </c>
      <c r="Y1216" t="s">
        <v>45</v>
      </c>
      <c r="Z1216" t="s">
        <v>45</v>
      </c>
      <c r="AA1216" s="7">
        <v>46245</v>
      </c>
      <c r="AB1216" t="s">
        <v>48</v>
      </c>
      <c r="AF1216">
        <v>3</v>
      </c>
      <c r="AH1216" t="s">
        <v>75</v>
      </c>
      <c r="AI1216">
        <v>2</v>
      </c>
      <c r="AJ1216" s="15"/>
      <c r="AK1216" t="s">
        <v>74</v>
      </c>
      <c r="AL1216" s="16"/>
      <c r="AR1216" s="18" t="str">
        <f>IFERROR(VLOOKUP(K1216,[1]POP!$F:$J,1,0),M1216)</f>
        <v>FOTOKOL</v>
      </c>
      <c r="AS1216" s="18" t="str">
        <f t="shared" si="91"/>
        <v>FOTOKOL</v>
      </c>
      <c r="AT1216" s="19">
        <f t="shared" si="94"/>
        <v>3</v>
      </c>
      <c r="AU1216" s="19">
        <f t="shared" ca="1" si="93"/>
        <v>2</v>
      </c>
    </row>
    <row r="1217" spans="1:47" x14ac:dyDescent="0.3">
      <c r="A1217" t="s">
        <v>1765</v>
      </c>
      <c r="B1217" t="str">
        <f t="shared" si="90"/>
        <v>S33_2026</v>
      </c>
      <c r="C1217" t="str">
        <f t="shared" si="92"/>
        <v>S33_2026</v>
      </c>
      <c r="F1217">
        <v>11</v>
      </c>
      <c r="G1217" t="s">
        <v>55</v>
      </c>
      <c r="H1217" t="s">
        <v>85</v>
      </c>
      <c r="I1217" t="s">
        <v>1766</v>
      </c>
      <c r="J1217" t="s">
        <v>1067</v>
      </c>
      <c r="K1217" t="s">
        <v>1068</v>
      </c>
      <c r="L1217" t="s">
        <v>1067</v>
      </c>
      <c r="M1217" t="s">
        <v>1068</v>
      </c>
      <c r="N1217" t="s">
        <v>45</v>
      </c>
      <c r="O1217" t="s">
        <v>45</v>
      </c>
      <c r="P1217">
        <v>2</v>
      </c>
      <c r="Q1217" s="7">
        <v>46245</v>
      </c>
      <c r="R1217" s="7">
        <v>46245</v>
      </c>
      <c r="S1217" s="7">
        <v>46245</v>
      </c>
      <c r="T1217" t="s">
        <v>45</v>
      </c>
      <c r="V1217" t="s">
        <v>1331</v>
      </c>
      <c r="W1217" t="s">
        <v>45</v>
      </c>
      <c r="X1217" t="s">
        <v>45</v>
      </c>
      <c r="Y1217" t="s">
        <v>45</v>
      </c>
      <c r="Z1217" t="s">
        <v>45</v>
      </c>
      <c r="AC1217" t="s">
        <v>74</v>
      </c>
      <c r="AE1217" s="7">
        <v>46244</v>
      </c>
      <c r="AF1217">
        <v>2</v>
      </c>
      <c r="AH1217" t="s">
        <v>75</v>
      </c>
      <c r="AI1217">
        <v>1</v>
      </c>
      <c r="AJ1217" s="15"/>
      <c r="AK1217" t="s">
        <v>74</v>
      </c>
      <c r="AL1217" s="16"/>
      <c r="AR1217" s="18" t="str">
        <f>IFERROR(VLOOKUP(K1217,[1]POP!$F:$J,1,0),M1217)</f>
        <v>MOKOLO</v>
      </c>
      <c r="AS1217" s="18" t="str">
        <f t="shared" si="91"/>
        <v>MINAWAO</v>
      </c>
      <c r="AT1217" s="19">
        <f t="shared" si="94"/>
        <v>2</v>
      </c>
      <c r="AU1217" s="19">
        <f t="shared" ca="1" si="93"/>
        <v>2</v>
      </c>
    </row>
    <row r="1218" spans="1:47" x14ac:dyDescent="0.3">
      <c r="A1218" t="s">
        <v>1767</v>
      </c>
      <c r="B1218" t="str">
        <f t="shared" ref="B1218:B1281" si="95">"S"&amp;(IF(_xlfn.ISOWEEKNUM(S1218)&gt;9,_xlfn.ISOWEEKNUM(S1218),_xlfn.CONCAT("0",_xlfn.ISOWEEKNUM(S1218))))&amp;"_"&amp;(YEAR(S1218+26-(_xlfn.ISOWEEKNUM(S1218))))</f>
        <v>S30_2026</v>
      </c>
      <c r="C1218" t="str">
        <f t="shared" si="92"/>
        <v>S29_2026</v>
      </c>
      <c r="E1218">
        <v>670022731</v>
      </c>
      <c r="F1218">
        <v>17</v>
      </c>
      <c r="G1218" t="s">
        <v>40</v>
      </c>
      <c r="H1218" t="s">
        <v>111</v>
      </c>
      <c r="I1218" t="s">
        <v>1768</v>
      </c>
      <c r="J1218" t="s">
        <v>1769</v>
      </c>
      <c r="K1218" t="s">
        <v>1770</v>
      </c>
      <c r="L1218" t="s">
        <v>1769</v>
      </c>
      <c r="M1218" t="s">
        <v>1769</v>
      </c>
      <c r="N1218" t="s">
        <v>46</v>
      </c>
      <c r="O1218" t="s">
        <v>150</v>
      </c>
      <c r="P1218">
        <v>1</v>
      </c>
      <c r="Q1218" s="7">
        <v>46222</v>
      </c>
      <c r="R1218" s="7">
        <v>46223</v>
      </c>
      <c r="S1218" s="7">
        <v>46223</v>
      </c>
      <c r="T1218" t="s">
        <v>74</v>
      </c>
      <c r="V1218" t="s">
        <v>150</v>
      </c>
      <c r="W1218" t="s">
        <v>46</v>
      </c>
      <c r="X1218" t="s">
        <v>117</v>
      </c>
      <c r="Y1218" t="s">
        <v>150</v>
      </c>
      <c r="Z1218" t="s">
        <v>117</v>
      </c>
      <c r="AB1218" t="s">
        <v>62</v>
      </c>
      <c r="AC1218" t="s">
        <v>150</v>
      </c>
      <c r="AE1218" s="7">
        <v>46224</v>
      </c>
      <c r="AF1218">
        <v>2</v>
      </c>
      <c r="AH1218" t="s">
        <v>75</v>
      </c>
      <c r="AI1218">
        <v>1</v>
      </c>
      <c r="AJ1218" s="15"/>
      <c r="AK1218" t="s">
        <v>74</v>
      </c>
      <c r="AL1218" s="16"/>
      <c r="AR1218" s="18" t="str">
        <f>IFERROR(VLOOKUP(K1218,[1]POP!$F:$J,1,0),M1218)</f>
        <v>Mozogo</v>
      </c>
      <c r="AS1218" s="18" t="str">
        <f t="shared" ref="AS1218:AS1281" si="96">IF(AR1218=K1218,J1218,L1218)</f>
        <v>Mozogo</v>
      </c>
      <c r="AT1218" s="19">
        <f t="shared" si="94"/>
        <v>2</v>
      </c>
      <c r="AU1218" s="19">
        <f t="shared" ca="1" si="93"/>
        <v>2</v>
      </c>
    </row>
    <row r="1219" spans="1:47" x14ac:dyDescent="0.3">
      <c r="A1219" t="s">
        <v>1771</v>
      </c>
      <c r="B1219" t="str">
        <f t="shared" si="95"/>
        <v>S31_2026</v>
      </c>
      <c r="C1219" t="str">
        <f t="shared" ref="C1219:C1282" si="97">"S"&amp;(IF(_xlfn.ISOWEEKNUM(Q1219)&gt;9,_xlfn.ISOWEEKNUM(Q1219),_xlfn.CONCAT("0",_xlfn.ISOWEEKNUM(Q1219))))&amp;"_"&amp;(YEAR(Q1219+26-(_xlfn.ISOWEEKNUM(Q1219))))</f>
        <v>S31_2026</v>
      </c>
      <c r="E1219">
        <v>695501945</v>
      </c>
      <c r="F1219">
        <v>36</v>
      </c>
      <c r="G1219" t="s">
        <v>55</v>
      </c>
      <c r="H1219" t="s">
        <v>1772</v>
      </c>
      <c r="I1219" t="s">
        <v>1769</v>
      </c>
      <c r="J1219" t="s">
        <v>1769</v>
      </c>
      <c r="K1219" t="s">
        <v>1770</v>
      </c>
      <c r="L1219" t="s">
        <v>1770</v>
      </c>
      <c r="M1219" t="s">
        <v>1770</v>
      </c>
      <c r="N1219" t="s">
        <v>117</v>
      </c>
      <c r="O1219" t="s">
        <v>150</v>
      </c>
      <c r="P1219">
        <v>1</v>
      </c>
      <c r="Q1219" s="7">
        <v>46230</v>
      </c>
      <c r="R1219" s="7">
        <v>46230</v>
      </c>
      <c r="S1219" s="7">
        <v>46230</v>
      </c>
      <c r="T1219" t="s">
        <v>74</v>
      </c>
      <c r="V1219" t="s">
        <v>150</v>
      </c>
      <c r="W1219" t="s">
        <v>117</v>
      </c>
      <c r="X1219" t="s">
        <v>117</v>
      </c>
      <c r="Y1219" t="s">
        <v>150</v>
      </c>
      <c r="Z1219" t="s">
        <v>117</v>
      </c>
      <c r="AB1219" t="s">
        <v>62</v>
      </c>
      <c r="AC1219" t="s">
        <v>150</v>
      </c>
      <c r="AE1219" s="7">
        <v>46230</v>
      </c>
      <c r="AF1219">
        <v>2</v>
      </c>
      <c r="AH1219" t="s">
        <v>75</v>
      </c>
      <c r="AI1219">
        <v>1</v>
      </c>
      <c r="AJ1219" s="15"/>
      <c r="AK1219" t="s">
        <v>74</v>
      </c>
      <c r="AL1219" s="16"/>
      <c r="AR1219" s="18" t="str">
        <f>IFERROR(VLOOKUP(K1219,[1]POP!$F:$J,1,0),M1219)</f>
        <v>MOZOGO</v>
      </c>
      <c r="AS1219" s="18" t="str">
        <f t="shared" si="96"/>
        <v>Mozogo</v>
      </c>
      <c r="AT1219" s="19">
        <f t="shared" si="94"/>
        <v>2</v>
      </c>
      <c r="AU1219" s="19">
        <f t="shared" ref="AU1219:AU1282" ca="1" si="98">IF((TODAY() - R1219)&lt;=21,1,2)</f>
        <v>2</v>
      </c>
    </row>
    <row r="1220" spans="1:47" x14ac:dyDescent="0.3">
      <c r="A1220" t="s">
        <v>1773</v>
      </c>
      <c r="B1220" t="str">
        <f t="shared" si="95"/>
        <v>S32_2026</v>
      </c>
      <c r="C1220" t="str">
        <f t="shared" si="97"/>
        <v>S32_2026</v>
      </c>
      <c r="F1220">
        <v>10</v>
      </c>
      <c r="G1220" t="s">
        <v>40</v>
      </c>
      <c r="H1220" t="s">
        <v>111</v>
      </c>
      <c r="I1220" t="s">
        <v>1770</v>
      </c>
      <c r="J1220" t="s">
        <v>1770</v>
      </c>
      <c r="K1220" t="s">
        <v>1770</v>
      </c>
      <c r="L1220" t="s">
        <v>1770</v>
      </c>
      <c r="M1220" t="s">
        <v>1770</v>
      </c>
      <c r="N1220" t="s">
        <v>117</v>
      </c>
      <c r="O1220" t="s">
        <v>117</v>
      </c>
      <c r="P1220">
        <v>1</v>
      </c>
      <c r="Q1220" s="7">
        <v>46237</v>
      </c>
      <c r="R1220" s="7">
        <v>46237</v>
      </c>
      <c r="S1220" s="7">
        <v>46238</v>
      </c>
      <c r="T1220" t="s">
        <v>150</v>
      </c>
      <c r="V1220" t="s">
        <v>150</v>
      </c>
      <c r="W1220" t="s">
        <v>117</v>
      </c>
      <c r="X1220" t="s">
        <v>117</v>
      </c>
      <c r="Y1220" t="s">
        <v>150</v>
      </c>
      <c r="Z1220" t="s">
        <v>117</v>
      </c>
      <c r="AB1220" t="s">
        <v>62</v>
      </c>
      <c r="AC1220" t="s">
        <v>150</v>
      </c>
      <c r="AE1220" s="7">
        <v>46120</v>
      </c>
      <c r="AF1220">
        <v>2</v>
      </c>
      <c r="AH1220" t="s">
        <v>75</v>
      </c>
      <c r="AI1220">
        <v>1</v>
      </c>
      <c r="AJ1220" s="15"/>
      <c r="AK1220" t="s">
        <v>150</v>
      </c>
      <c r="AL1220" s="16"/>
      <c r="AR1220" s="18" t="str">
        <f>IFERROR(VLOOKUP(K1220,[1]POP!$F:$J,1,0),M1220)</f>
        <v>MOZOGO</v>
      </c>
      <c r="AS1220" s="18" t="str">
        <f t="shared" si="96"/>
        <v>MOZOGO</v>
      </c>
      <c r="AT1220" s="19">
        <f t="shared" ref="AT1220:AT1283" si="99">IF($AI:$AI=2,3,IF($AI:$AI=3,3,IF($AI:$AI=4,3,IF($AI:$AI=1,2,0))))</f>
        <v>2</v>
      </c>
      <c r="AU1220" s="19">
        <f t="shared" ca="1" si="98"/>
        <v>2</v>
      </c>
    </row>
    <row r="1221" spans="1:47" x14ac:dyDescent="0.3">
      <c r="A1221" t="s">
        <v>1774</v>
      </c>
      <c r="B1221" t="str">
        <f t="shared" si="95"/>
        <v>S32_2026</v>
      </c>
      <c r="C1221" t="str">
        <f t="shared" si="97"/>
        <v>S32_2026</v>
      </c>
      <c r="E1221" t="s">
        <v>143</v>
      </c>
      <c r="F1221">
        <v>12</v>
      </c>
      <c r="G1221" t="s">
        <v>55</v>
      </c>
      <c r="H1221" t="s">
        <v>85</v>
      </c>
      <c r="I1221" t="s">
        <v>146</v>
      </c>
      <c r="J1221" t="s">
        <v>1775</v>
      </c>
      <c r="K1221" t="s">
        <v>146</v>
      </c>
      <c r="L1221" t="s">
        <v>146</v>
      </c>
      <c r="M1221" t="s">
        <v>146</v>
      </c>
      <c r="N1221" t="s">
        <v>45</v>
      </c>
      <c r="O1221" t="s">
        <v>45</v>
      </c>
      <c r="P1221">
        <v>3</v>
      </c>
      <c r="Q1221" s="7">
        <v>46237</v>
      </c>
      <c r="R1221" s="7">
        <v>46237</v>
      </c>
      <c r="S1221" s="7">
        <v>46237</v>
      </c>
      <c r="T1221" t="s">
        <v>45</v>
      </c>
      <c r="V1221" t="s">
        <v>742</v>
      </c>
      <c r="W1221" t="s">
        <v>45</v>
      </c>
      <c r="X1221" t="s">
        <v>45</v>
      </c>
      <c r="Y1221" t="s">
        <v>45</v>
      </c>
      <c r="Z1221" t="s">
        <v>45</v>
      </c>
      <c r="AB1221" t="s">
        <v>48</v>
      </c>
      <c r="AC1221" t="s">
        <v>74</v>
      </c>
      <c r="AF1221">
        <v>2</v>
      </c>
      <c r="AH1221" t="s">
        <v>75</v>
      </c>
      <c r="AI1221">
        <v>1</v>
      </c>
      <c r="AJ1221" s="15"/>
      <c r="AK1221" t="s">
        <v>74</v>
      </c>
      <c r="AL1221" s="16"/>
      <c r="AR1221" s="18" t="str">
        <f>IFERROR(VLOOKUP(K1221,[1]POP!$F:$J,1,0),M1221)</f>
        <v>KOLOFATA</v>
      </c>
      <c r="AS1221" s="18" t="str">
        <f t="shared" si="96"/>
        <v>KOLOFATA 1</v>
      </c>
      <c r="AT1221" s="19">
        <f t="shared" si="99"/>
        <v>2</v>
      </c>
      <c r="AU1221" s="19">
        <f t="shared" ca="1" si="98"/>
        <v>2</v>
      </c>
    </row>
    <row r="1222" spans="1:47" x14ac:dyDescent="0.3">
      <c r="A1222" t="s">
        <v>1776</v>
      </c>
      <c r="B1222" t="str">
        <f t="shared" si="95"/>
        <v>S32_2026</v>
      </c>
      <c r="C1222" t="str">
        <f t="shared" si="97"/>
        <v>S32_2026</v>
      </c>
      <c r="E1222" t="s">
        <v>143</v>
      </c>
      <c r="F1222">
        <v>15</v>
      </c>
      <c r="G1222" t="s">
        <v>55</v>
      </c>
      <c r="H1222" t="s">
        <v>85</v>
      </c>
      <c r="I1222" t="s">
        <v>146</v>
      </c>
      <c r="J1222" t="s">
        <v>1775</v>
      </c>
      <c r="K1222" t="s">
        <v>146</v>
      </c>
      <c r="L1222" t="s">
        <v>146</v>
      </c>
      <c r="M1222" t="s">
        <v>146</v>
      </c>
      <c r="N1222" t="s">
        <v>45</v>
      </c>
      <c r="O1222" t="s">
        <v>45</v>
      </c>
      <c r="P1222">
        <v>2</v>
      </c>
      <c r="Q1222" s="7">
        <v>46238</v>
      </c>
      <c r="R1222" s="7">
        <v>46238</v>
      </c>
      <c r="S1222" s="7">
        <v>46238</v>
      </c>
      <c r="T1222" t="s">
        <v>45</v>
      </c>
      <c r="V1222" t="s">
        <v>742</v>
      </c>
      <c r="W1222" t="s">
        <v>45</v>
      </c>
      <c r="X1222" t="s">
        <v>45</v>
      </c>
      <c r="Y1222" t="s">
        <v>45</v>
      </c>
      <c r="Z1222" t="s">
        <v>45</v>
      </c>
      <c r="AB1222" t="s">
        <v>48</v>
      </c>
      <c r="AC1222" t="s">
        <v>74</v>
      </c>
      <c r="AF1222">
        <v>2</v>
      </c>
      <c r="AH1222" t="s">
        <v>75</v>
      </c>
      <c r="AI1222">
        <v>1</v>
      </c>
      <c r="AJ1222" s="15"/>
      <c r="AK1222" t="s">
        <v>74</v>
      </c>
      <c r="AL1222" s="16"/>
      <c r="AR1222" s="18" t="str">
        <f>IFERROR(VLOOKUP(K1222,[1]POP!$F:$J,1,0),M1222)</f>
        <v>KOLOFATA</v>
      </c>
      <c r="AS1222" s="18" t="str">
        <f t="shared" si="96"/>
        <v>KOLOFATA 1</v>
      </c>
      <c r="AT1222" s="19">
        <f t="shared" si="99"/>
        <v>2</v>
      </c>
      <c r="AU1222" s="19">
        <f t="shared" ca="1" si="98"/>
        <v>2</v>
      </c>
    </row>
    <row r="1223" spans="1:47" x14ac:dyDescent="0.3">
      <c r="A1223" t="s">
        <v>1777</v>
      </c>
      <c r="B1223" t="str">
        <f t="shared" si="95"/>
        <v>S32_2026</v>
      </c>
      <c r="C1223" t="str">
        <f t="shared" si="97"/>
        <v>S32_2026</v>
      </c>
      <c r="E1223" t="s">
        <v>143</v>
      </c>
      <c r="F1223">
        <v>2</v>
      </c>
      <c r="G1223" t="s">
        <v>40</v>
      </c>
      <c r="H1223" t="s">
        <v>85</v>
      </c>
      <c r="I1223" t="s">
        <v>739</v>
      </c>
      <c r="J1223" t="s">
        <v>740</v>
      </c>
      <c r="K1223" t="s">
        <v>146</v>
      </c>
      <c r="L1223" t="s">
        <v>146</v>
      </c>
      <c r="M1223" t="s">
        <v>146</v>
      </c>
      <c r="N1223" t="s">
        <v>45</v>
      </c>
      <c r="O1223" t="s">
        <v>45</v>
      </c>
      <c r="P1223">
        <v>3</v>
      </c>
      <c r="Q1223" s="7">
        <v>46238</v>
      </c>
      <c r="R1223" s="7">
        <v>46238</v>
      </c>
      <c r="S1223" s="7">
        <v>46238</v>
      </c>
      <c r="T1223" t="s">
        <v>45</v>
      </c>
      <c r="V1223" t="s">
        <v>742</v>
      </c>
      <c r="W1223" t="s">
        <v>45</v>
      </c>
      <c r="X1223" t="s">
        <v>45</v>
      </c>
      <c r="Y1223" t="s">
        <v>45</v>
      </c>
      <c r="Z1223" t="s">
        <v>45</v>
      </c>
      <c r="AB1223" t="s">
        <v>48</v>
      </c>
      <c r="AC1223" t="s">
        <v>74</v>
      </c>
      <c r="AF1223">
        <v>2</v>
      </c>
      <c r="AH1223" t="s">
        <v>75</v>
      </c>
      <c r="AI1223">
        <v>1</v>
      </c>
      <c r="AJ1223" s="15"/>
      <c r="AK1223" t="s">
        <v>74</v>
      </c>
      <c r="AL1223" s="16"/>
      <c r="AR1223" s="18" t="str">
        <f>IFERROR(VLOOKUP(K1223,[1]POP!$F:$J,1,0),M1223)</f>
        <v>KOLOFATA</v>
      </c>
      <c r="AS1223" s="18" t="str">
        <f t="shared" si="96"/>
        <v>KOLOFATA 2</v>
      </c>
      <c r="AT1223" s="19">
        <f t="shared" si="99"/>
        <v>2</v>
      </c>
      <c r="AU1223" s="19">
        <f t="shared" ca="1" si="98"/>
        <v>2</v>
      </c>
    </row>
    <row r="1224" spans="1:47" x14ac:dyDescent="0.3">
      <c r="A1224" t="s">
        <v>1778</v>
      </c>
      <c r="B1224" t="str">
        <f t="shared" si="95"/>
        <v>S32_2026</v>
      </c>
      <c r="C1224" t="str">
        <f t="shared" si="97"/>
        <v>S32_2026</v>
      </c>
      <c r="E1224" t="s">
        <v>143</v>
      </c>
      <c r="F1224">
        <v>2</v>
      </c>
      <c r="G1224" t="s">
        <v>40</v>
      </c>
      <c r="H1224" t="s">
        <v>85</v>
      </c>
      <c r="I1224" t="s">
        <v>739</v>
      </c>
      <c r="J1224" t="s">
        <v>740</v>
      </c>
      <c r="K1224" t="s">
        <v>146</v>
      </c>
      <c r="L1224" t="s">
        <v>146</v>
      </c>
      <c r="M1224" t="s">
        <v>146</v>
      </c>
      <c r="N1224" t="s">
        <v>45</v>
      </c>
      <c r="O1224" t="s">
        <v>45</v>
      </c>
      <c r="P1224">
        <v>2</v>
      </c>
      <c r="Q1224" s="7">
        <v>46238</v>
      </c>
      <c r="R1224" s="7">
        <v>46238</v>
      </c>
      <c r="S1224" s="7">
        <v>46238</v>
      </c>
      <c r="T1224" t="s">
        <v>45</v>
      </c>
      <c r="V1224" t="s">
        <v>742</v>
      </c>
      <c r="W1224" t="s">
        <v>45</v>
      </c>
      <c r="X1224" t="s">
        <v>45</v>
      </c>
      <c r="Y1224" t="s">
        <v>45</v>
      </c>
      <c r="Z1224" t="s">
        <v>45</v>
      </c>
      <c r="AB1224" t="s">
        <v>48</v>
      </c>
      <c r="AC1224" t="s">
        <v>74</v>
      </c>
      <c r="AE1224" s="7">
        <v>46243</v>
      </c>
      <c r="AF1224">
        <v>2</v>
      </c>
      <c r="AH1224" t="s">
        <v>75</v>
      </c>
      <c r="AI1224">
        <v>1</v>
      </c>
      <c r="AJ1224" s="15"/>
      <c r="AK1224" t="s">
        <v>74</v>
      </c>
      <c r="AL1224" s="16"/>
      <c r="AR1224" s="18" t="str">
        <f>IFERROR(VLOOKUP(K1224,[1]POP!$F:$J,1,0),M1224)</f>
        <v>KOLOFATA</v>
      </c>
      <c r="AS1224" s="18" t="str">
        <f t="shared" si="96"/>
        <v>KOLOFATA 2</v>
      </c>
      <c r="AT1224" s="19">
        <f t="shared" si="99"/>
        <v>2</v>
      </c>
      <c r="AU1224" s="19">
        <f t="shared" ca="1" si="98"/>
        <v>2</v>
      </c>
    </row>
    <row r="1225" spans="1:47" x14ac:dyDescent="0.3">
      <c r="A1225" t="s">
        <v>1779</v>
      </c>
      <c r="B1225" t="str">
        <f t="shared" si="95"/>
        <v>S32_2026</v>
      </c>
      <c r="C1225" t="str">
        <f t="shared" si="97"/>
        <v>S32_2026</v>
      </c>
      <c r="E1225" t="s">
        <v>143</v>
      </c>
      <c r="F1225">
        <v>3</v>
      </c>
      <c r="G1225" t="s">
        <v>40</v>
      </c>
      <c r="H1225" t="s">
        <v>85</v>
      </c>
      <c r="I1225" t="s">
        <v>739</v>
      </c>
      <c r="J1225" t="s">
        <v>740</v>
      </c>
      <c r="K1225" t="s">
        <v>146</v>
      </c>
      <c r="L1225" t="s">
        <v>146</v>
      </c>
      <c r="M1225" t="s">
        <v>146</v>
      </c>
      <c r="N1225" t="s">
        <v>45</v>
      </c>
      <c r="O1225" t="s">
        <v>45</v>
      </c>
      <c r="P1225">
        <v>2</v>
      </c>
      <c r="Q1225" s="7">
        <v>46238</v>
      </c>
      <c r="R1225" s="7">
        <v>46238</v>
      </c>
      <c r="S1225" s="7">
        <v>46238</v>
      </c>
      <c r="T1225" t="s">
        <v>45</v>
      </c>
      <c r="V1225" t="s">
        <v>742</v>
      </c>
      <c r="W1225" t="s">
        <v>45</v>
      </c>
      <c r="X1225" t="s">
        <v>45</v>
      </c>
      <c r="Y1225" t="s">
        <v>45</v>
      </c>
      <c r="Z1225" t="s">
        <v>45</v>
      </c>
      <c r="AB1225" t="s">
        <v>48</v>
      </c>
      <c r="AC1225" t="s">
        <v>74</v>
      </c>
      <c r="AF1225">
        <v>2</v>
      </c>
      <c r="AH1225" t="s">
        <v>75</v>
      </c>
      <c r="AI1225">
        <v>1</v>
      </c>
      <c r="AJ1225" s="15"/>
      <c r="AK1225" t="s">
        <v>74</v>
      </c>
      <c r="AL1225" s="16"/>
      <c r="AR1225" s="18" t="str">
        <f>IFERROR(VLOOKUP(K1225,[1]POP!$F:$J,1,0),M1225)</f>
        <v>KOLOFATA</v>
      </c>
      <c r="AS1225" s="18" t="str">
        <f t="shared" si="96"/>
        <v>KOLOFATA 2</v>
      </c>
      <c r="AT1225" s="19">
        <f t="shared" si="99"/>
        <v>2</v>
      </c>
      <c r="AU1225" s="19">
        <f t="shared" ca="1" si="98"/>
        <v>2</v>
      </c>
    </row>
    <row r="1226" spans="1:47" x14ac:dyDescent="0.3">
      <c r="A1226" t="s">
        <v>1780</v>
      </c>
      <c r="B1226" t="str">
        <f t="shared" si="95"/>
        <v>S32_2026</v>
      </c>
      <c r="C1226" t="str">
        <f t="shared" si="97"/>
        <v>S32_2026</v>
      </c>
      <c r="E1226" t="s">
        <v>143</v>
      </c>
      <c r="F1226">
        <v>3</v>
      </c>
      <c r="G1226" t="s">
        <v>55</v>
      </c>
      <c r="H1226" t="s">
        <v>85</v>
      </c>
      <c r="I1226" t="s">
        <v>739</v>
      </c>
      <c r="J1226" t="s">
        <v>740</v>
      </c>
      <c r="K1226" t="s">
        <v>146</v>
      </c>
      <c r="L1226" t="s">
        <v>146</v>
      </c>
      <c r="M1226" t="s">
        <v>146</v>
      </c>
      <c r="N1226" t="s">
        <v>45</v>
      </c>
      <c r="O1226" t="s">
        <v>45</v>
      </c>
      <c r="P1226">
        <v>3</v>
      </c>
      <c r="Q1226" s="7">
        <v>46242</v>
      </c>
      <c r="R1226" s="7">
        <v>46242</v>
      </c>
      <c r="S1226" s="7">
        <v>46242</v>
      </c>
      <c r="T1226" t="s">
        <v>45</v>
      </c>
      <c r="V1226" t="s">
        <v>742</v>
      </c>
      <c r="W1226" t="s">
        <v>45</v>
      </c>
      <c r="X1226" t="s">
        <v>45</v>
      </c>
      <c r="Y1226" t="s">
        <v>45</v>
      </c>
      <c r="Z1226" t="s">
        <v>45</v>
      </c>
      <c r="AB1226" t="s">
        <v>48</v>
      </c>
      <c r="AC1226" t="s">
        <v>74</v>
      </c>
      <c r="AF1226">
        <v>2</v>
      </c>
      <c r="AH1226" t="s">
        <v>75</v>
      </c>
      <c r="AI1226">
        <v>1</v>
      </c>
      <c r="AJ1226" s="15"/>
      <c r="AK1226" t="s">
        <v>74</v>
      </c>
      <c r="AL1226" s="16"/>
      <c r="AR1226" s="18" t="str">
        <f>IFERROR(VLOOKUP(K1226,[1]POP!$F:$J,1,0),M1226)</f>
        <v>KOLOFATA</v>
      </c>
      <c r="AS1226" s="18" t="str">
        <f t="shared" si="96"/>
        <v>KOLOFATA 2</v>
      </c>
      <c r="AT1226" s="19">
        <f t="shared" si="99"/>
        <v>2</v>
      </c>
      <c r="AU1226" s="19">
        <f t="shared" ca="1" si="98"/>
        <v>2</v>
      </c>
    </row>
    <row r="1227" spans="1:47" x14ac:dyDescent="0.3">
      <c r="A1227" t="s">
        <v>1781</v>
      </c>
      <c r="B1227" t="str">
        <f t="shared" si="95"/>
        <v>S32_2026</v>
      </c>
      <c r="C1227" t="str">
        <f t="shared" si="97"/>
        <v>S32_2026</v>
      </c>
      <c r="E1227" t="s">
        <v>143</v>
      </c>
      <c r="F1227">
        <v>3</v>
      </c>
      <c r="G1227" t="s">
        <v>40</v>
      </c>
      <c r="H1227" t="s">
        <v>85</v>
      </c>
      <c r="I1227" t="s">
        <v>739</v>
      </c>
      <c r="J1227" t="s">
        <v>740</v>
      </c>
      <c r="K1227" t="s">
        <v>146</v>
      </c>
      <c r="L1227" t="s">
        <v>146</v>
      </c>
      <c r="M1227" t="s">
        <v>146</v>
      </c>
      <c r="N1227" t="s">
        <v>45</v>
      </c>
      <c r="O1227" t="s">
        <v>45</v>
      </c>
      <c r="P1227">
        <v>3</v>
      </c>
      <c r="Q1227" s="7">
        <v>46240</v>
      </c>
      <c r="R1227" s="7">
        <v>46240</v>
      </c>
      <c r="S1227" s="7">
        <v>46240</v>
      </c>
      <c r="T1227" t="s">
        <v>45</v>
      </c>
      <c r="V1227" t="s">
        <v>742</v>
      </c>
      <c r="W1227" t="s">
        <v>45</v>
      </c>
      <c r="X1227" t="s">
        <v>45</v>
      </c>
      <c r="Y1227" t="s">
        <v>45</v>
      </c>
      <c r="Z1227" t="s">
        <v>45</v>
      </c>
      <c r="AB1227" t="s">
        <v>48</v>
      </c>
      <c r="AC1227" t="s">
        <v>74</v>
      </c>
      <c r="AE1227" s="7">
        <v>46243</v>
      </c>
      <c r="AF1227">
        <v>2</v>
      </c>
      <c r="AH1227" t="s">
        <v>75</v>
      </c>
      <c r="AI1227">
        <v>1</v>
      </c>
      <c r="AJ1227" s="15"/>
      <c r="AK1227" t="s">
        <v>74</v>
      </c>
      <c r="AL1227" s="16"/>
      <c r="AR1227" s="18" t="str">
        <f>IFERROR(VLOOKUP(K1227,[1]POP!$F:$J,1,0),M1227)</f>
        <v>KOLOFATA</v>
      </c>
      <c r="AS1227" s="18" t="str">
        <f t="shared" si="96"/>
        <v>KOLOFATA 2</v>
      </c>
      <c r="AT1227" s="19">
        <f t="shared" si="99"/>
        <v>2</v>
      </c>
      <c r="AU1227" s="19">
        <f t="shared" ca="1" si="98"/>
        <v>2</v>
      </c>
    </row>
    <row r="1228" spans="1:47" x14ac:dyDescent="0.3">
      <c r="A1228" t="s">
        <v>1782</v>
      </c>
      <c r="B1228" t="str">
        <f t="shared" si="95"/>
        <v>S32_2026</v>
      </c>
      <c r="C1228" t="str">
        <f t="shared" si="97"/>
        <v>S32_2026</v>
      </c>
      <c r="E1228" t="s">
        <v>143</v>
      </c>
      <c r="F1228">
        <v>3</v>
      </c>
      <c r="G1228" t="s">
        <v>40</v>
      </c>
      <c r="H1228" t="s">
        <v>85</v>
      </c>
      <c r="I1228" t="s">
        <v>146</v>
      </c>
      <c r="J1228" t="s">
        <v>1775</v>
      </c>
      <c r="K1228" t="s">
        <v>146</v>
      </c>
      <c r="L1228" t="s">
        <v>146</v>
      </c>
      <c r="M1228" t="s">
        <v>146</v>
      </c>
      <c r="N1228" t="s">
        <v>45</v>
      </c>
      <c r="O1228" t="s">
        <v>45</v>
      </c>
      <c r="P1228">
        <v>1</v>
      </c>
      <c r="Q1228" s="7">
        <v>46240</v>
      </c>
      <c r="R1228" s="7">
        <v>46240</v>
      </c>
      <c r="S1228" s="7">
        <v>46240</v>
      </c>
      <c r="T1228" t="s">
        <v>45</v>
      </c>
      <c r="V1228" t="s">
        <v>742</v>
      </c>
      <c r="W1228" t="s">
        <v>45</v>
      </c>
      <c r="X1228" t="s">
        <v>45</v>
      </c>
      <c r="Y1228" t="s">
        <v>45</v>
      </c>
      <c r="Z1228" t="s">
        <v>45</v>
      </c>
      <c r="AB1228" t="s">
        <v>48</v>
      </c>
      <c r="AC1228" t="s">
        <v>74</v>
      </c>
      <c r="AE1228" s="7">
        <v>46243</v>
      </c>
      <c r="AF1228">
        <v>2</v>
      </c>
      <c r="AH1228" t="s">
        <v>75</v>
      </c>
      <c r="AI1228">
        <v>1</v>
      </c>
      <c r="AJ1228" s="15"/>
      <c r="AK1228" t="s">
        <v>74</v>
      </c>
      <c r="AL1228" s="16"/>
      <c r="AR1228" s="18" t="str">
        <f>IFERROR(VLOOKUP(K1228,[1]POP!$F:$J,1,0),M1228)</f>
        <v>KOLOFATA</v>
      </c>
      <c r="AS1228" s="18" t="str">
        <f t="shared" si="96"/>
        <v>KOLOFATA 1</v>
      </c>
      <c r="AT1228" s="19">
        <f t="shared" si="99"/>
        <v>2</v>
      </c>
      <c r="AU1228" s="19">
        <f t="shared" ca="1" si="98"/>
        <v>2</v>
      </c>
    </row>
    <row r="1229" spans="1:47" x14ac:dyDescent="0.3">
      <c r="A1229" t="s">
        <v>1783</v>
      </c>
      <c r="B1229" t="str">
        <f t="shared" si="95"/>
        <v>S32_2026</v>
      </c>
      <c r="C1229" t="str">
        <f t="shared" si="97"/>
        <v>S32_2026</v>
      </c>
      <c r="E1229" t="s">
        <v>143</v>
      </c>
      <c r="F1229">
        <v>4</v>
      </c>
      <c r="G1229" t="s">
        <v>40</v>
      </c>
      <c r="H1229" t="s">
        <v>85</v>
      </c>
      <c r="I1229" t="s">
        <v>146</v>
      </c>
      <c r="J1229" t="s">
        <v>1775</v>
      </c>
      <c r="K1229" t="s">
        <v>146</v>
      </c>
      <c r="L1229" t="s">
        <v>146</v>
      </c>
      <c r="M1229" t="s">
        <v>146</v>
      </c>
      <c r="N1229" t="s">
        <v>45</v>
      </c>
      <c r="O1229" t="s">
        <v>45</v>
      </c>
      <c r="P1229">
        <v>2</v>
      </c>
      <c r="Q1229" s="7">
        <v>46241</v>
      </c>
      <c r="R1229" s="7">
        <v>46241</v>
      </c>
      <c r="S1229" s="7">
        <v>46241</v>
      </c>
      <c r="T1229" t="s">
        <v>45</v>
      </c>
      <c r="V1229" t="s">
        <v>742</v>
      </c>
      <c r="W1229" t="s">
        <v>45</v>
      </c>
      <c r="X1229" t="s">
        <v>45</v>
      </c>
      <c r="Y1229" t="s">
        <v>45</v>
      </c>
      <c r="Z1229" t="s">
        <v>45</v>
      </c>
      <c r="AB1229" t="s">
        <v>48</v>
      </c>
      <c r="AC1229" t="s">
        <v>74</v>
      </c>
      <c r="AE1229" s="7">
        <v>46243</v>
      </c>
      <c r="AF1229">
        <v>2</v>
      </c>
      <c r="AH1229" t="s">
        <v>75</v>
      </c>
      <c r="AI1229">
        <v>1</v>
      </c>
      <c r="AJ1229" s="15"/>
      <c r="AK1229" t="s">
        <v>74</v>
      </c>
      <c r="AL1229" s="16"/>
      <c r="AR1229" s="18" t="str">
        <f>IFERROR(VLOOKUP(K1229,[1]POP!$F:$J,1,0),M1229)</f>
        <v>KOLOFATA</v>
      </c>
      <c r="AS1229" s="18" t="str">
        <f t="shared" si="96"/>
        <v>KOLOFATA 1</v>
      </c>
      <c r="AT1229" s="19">
        <f t="shared" si="99"/>
        <v>2</v>
      </c>
      <c r="AU1229" s="19">
        <f t="shared" ca="1" si="98"/>
        <v>2</v>
      </c>
    </row>
    <row r="1230" spans="1:47" x14ac:dyDescent="0.3">
      <c r="A1230" t="s">
        <v>1784</v>
      </c>
      <c r="B1230" t="str">
        <f t="shared" si="95"/>
        <v>S32_2026</v>
      </c>
      <c r="C1230" t="str">
        <f t="shared" si="97"/>
        <v>S32_2026</v>
      </c>
      <c r="E1230" t="s">
        <v>143</v>
      </c>
      <c r="F1230">
        <v>4</v>
      </c>
      <c r="G1230" t="s">
        <v>40</v>
      </c>
      <c r="H1230" t="s">
        <v>85</v>
      </c>
      <c r="I1230" t="s">
        <v>739</v>
      </c>
      <c r="J1230" t="s">
        <v>740</v>
      </c>
      <c r="K1230" t="s">
        <v>146</v>
      </c>
      <c r="L1230" t="s">
        <v>146</v>
      </c>
      <c r="M1230" t="s">
        <v>146</v>
      </c>
      <c r="N1230" t="s">
        <v>45</v>
      </c>
      <c r="O1230" t="s">
        <v>45</v>
      </c>
      <c r="P1230">
        <v>2</v>
      </c>
      <c r="Q1230" s="7">
        <v>46241</v>
      </c>
      <c r="R1230" s="7">
        <v>46241</v>
      </c>
      <c r="S1230" s="7">
        <v>46241</v>
      </c>
      <c r="T1230" t="s">
        <v>45</v>
      </c>
      <c r="V1230" t="s">
        <v>742</v>
      </c>
      <c r="W1230" t="s">
        <v>45</v>
      </c>
      <c r="X1230" t="s">
        <v>45</v>
      </c>
      <c r="Y1230" t="s">
        <v>45</v>
      </c>
      <c r="Z1230" t="s">
        <v>45</v>
      </c>
      <c r="AB1230" t="s">
        <v>48</v>
      </c>
      <c r="AC1230" t="s">
        <v>74</v>
      </c>
      <c r="AE1230" s="7">
        <v>46243</v>
      </c>
      <c r="AF1230">
        <v>2</v>
      </c>
      <c r="AH1230" t="s">
        <v>75</v>
      </c>
      <c r="AI1230">
        <v>1</v>
      </c>
      <c r="AJ1230" s="15"/>
      <c r="AK1230" t="s">
        <v>74</v>
      </c>
      <c r="AL1230" s="16"/>
      <c r="AR1230" s="18" t="str">
        <f>IFERROR(VLOOKUP(K1230,[1]POP!$F:$J,1,0),M1230)</f>
        <v>KOLOFATA</v>
      </c>
      <c r="AS1230" s="18" t="str">
        <f t="shared" si="96"/>
        <v>KOLOFATA 2</v>
      </c>
      <c r="AT1230" s="19">
        <f t="shared" si="99"/>
        <v>2</v>
      </c>
      <c r="AU1230" s="19">
        <f t="shared" ca="1" si="98"/>
        <v>2</v>
      </c>
    </row>
    <row r="1231" spans="1:47" x14ac:dyDescent="0.3">
      <c r="A1231" t="s">
        <v>1785</v>
      </c>
      <c r="B1231" t="str">
        <f t="shared" si="95"/>
        <v>S32_2026</v>
      </c>
      <c r="C1231" t="str">
        <f t="shared" si="97"/>
        <v>S32_2026</v>
      </c>
      <c r="E1231" t="s">
        <v>143</v>
      </c>
      <c r="F1231">
        <v>4</v>
      </c>
      <c r="G1231" t="s">
        <v>40</v>
      </c>
      <c r="H1231" t="s">
        <v>85</v>
      </c>
      <c r="I1231" t="s">
        <v>146</v>
      </c>
      <c r="J1231" t="s">
        <v>1775</v>
      </c>
      <c r="K1231" t="s">
        <v>146</v>
      </c>
      <c r="L1231" t="s">
        <v>146</v>
      </c>
      <c r="M1231" t="s">
        <v>146</v>
      </c>
      <c r="N1231" t="s">
        <v>45</v>
      </c>
      <c r="O1231" t="s">
        <v>45</v>
      </c>
      <c r="P1231">
        <v>2</v>
      </c>
      <c r="Q1231" s="7">
        <v>46241</v>
      </c>
      <c r="R1231" s="7">
        <v>46241</v>
      </c>
      <c r="S1231" s="7">
        <v>46241</v>
      </c>
      <c r="T1231" t="s">
        <v>45</v>
      </c>
      <c r="V1231" t="s">
        <v>742</v>
      </c>
      <c r="W1231" t="s">
        <v>45</v>
      </c>
      <c r="X1231" t="s">
        <v>45</v>
      </c>
      <c r="Y1231" t="s">
        <v>45</v>
      </c>
      <c r="Z1231" t="s">
        <v>45</v>
      </c>
      <c r="AB1231" t="s">
        <v>48</v>
      </c>
      <c r="AC1231" t="s">
        <v>74</v>
      </c>
      <c r="AE1231" s="7">
        <v>46243</v>
      </c>
      <c r="AF1231">
        <v>2</v>
      </c>
      <c r="AH1231" t="s">
        <v>75</v>
      </c>
      <c r="AI1231">
        <v>1</v>
      </c>
      <c r="AJ1231" s="15"/>
      <c r="AK1231" t="s">
        <v>74</v>
      </c>
      <c r="AL1231" s="16"/>
      <c r="AR1231" s="18" t="str">
        <f>IFERROR(VLOOKUP(K1231,[1]POP!$F:$J,1,0),M1231)</f>
        <v>KOLOFATA</v>
      </c>
      <c r="AS1231" s="18" t="str">
        <f t="shared" si="96"/>
        <v>KOLOFATA 1</v>
      </c>
      <c r="AT1231" s="19">
        <f t="shared" si="99"/>
        <v>2</v>
      </c>
      <c r="AU1231" s="19">
        <f t="shared" ca="1" si="98"/>
        <v>2</v>
      </c>
    </row>
    <row r="1232" spans="1:47" x14ac:dyDescent="0.3">
      <c r="A1232" t="s">
        <v>1786</v>
      </c>
      <c r="B1232" t="str">
        <f t="shared" si="95"/>
        <v>S32_2026</v>
      </c>
      <c r="C1232" t="str">
        <f t="shared" si="97"/>
        <v>S32_2026</v>
      </c>
      <c r="E1232" t="s">
        <v>143</v>
      </c>
      <c r="F1232">
        <v>4</v>
      </c>
      <c r="G1232" t="s">
        <v>55</v>
      </c>
      <c r="H1232" t="s">
        <v>85</v>
      </c>
      <c r="I1232" t="s">
        <v>146</v>
      </c>
      <c r="J1232" t="s">
        <v>1775</v>
      </c>
      <c r="K1232" t="s">
        <v>146</v>
      </c>
      <c r="L1232" t="s">
        <v>146</v>
      </c>
      <c r="M1232" t="s">
        <v>146</v>
      </c>
      <c r="N1232" t="s">
        <v>45</v>
      </c>
      <c r="O1232" t="s">
        <v>45</v>
      </c>
      <c r="P1232">
        <v>2</v>
      </c>
      <c r="Q1232" s="7">
        <v>46241</v>
      </c>
      <c r="R1232" s="7">
        <v>46241</v>
      </c>
      <c r="S1232" s="7">
        <v>46241</v>
      </c>
      <c r="T1232" t="s">
        <v>45</v>
      </c>
      <c r="V1232" t="s">
        <v>742</v>
      </c>
      <c r="W1232" t="s">
        <v>45</v>
      </c>
      <c r="X1232" t="s">
        <v>45</v>
      </c>
      <c r="Y1232" t="s">
        <v>45</v>
      </c>
      <c r="Z1232" t="s">
        <v>45</v>
      </c>
      <c r="AB1232" t="s">
        <v>48</v>
      </c>
      <c r="AC1232" t="s">
        <v>74</v>
      </c>
      <c r="AE1232" s="7">
        <v>46243</v>
      </c>
      <c r="AF1232">
        <v>2</v>
      </c>
      <c r="AH1232" t="s">
        <v>75</v>
      </c>
      <c r="AI1232">
        <v>1</v>
      </c>
      <c r="AJ1232" s="15"/>
      <c r="AK1232" t="s">
        <v>74</v>
      </c>
      <c r="AL1232" s="16"/>
      <c r="AR1232" s="18" t="str">
        <f>IFERROR(VLOOKUP(K1232,[1]POP!$F:$J,1,0),M1232)</f>
        <v>KOLOFATA</v>
      </c>
      <c r="AS1232" s="18" t="str">
        <f t="shared" si="96"/>
        <v>KOLOFATA 1</v>
      </c>
      <c r="AT1232" s="19">
        <f t="shared" si="99"/>
        <v>2</v>
      </c>
      <c r="AU1232" s="19">
        <f t="shared" ca="1" si="98"/>
        <v>2</v>
      </c>
    </row>
    <row r="1233" spans="1:47" x14ac:dyDescent="0.3">
      <c r="A1233" t="s">
        <v>1787</v>
      </c>
      <c r="B1233" t="str">
        <f t="shared" si="95"/>
        <v>S32_2026</v>
      </c>
      <c r="C1233" t="str">
        <f t="shared" si="97"/>
        <v>S32_2026</v>
      </c>
      <c r="E1233" t="s">
        <v>143</v>
      </c>
      <c r="F1233">
        <v>5</v>
      </c>
      <c r="G1233" t="s">
        <v>55</v>
      </c>
      <c r="H1233" t="s">
        <v>85</v>
      </c>
      <c r="I1233" t="s">
        <v>739</v>
      </c>
      <c r="J1233" t="s">
        <v>740</v>
      </c>
      <c r="K1233" t="s">
        <v>146</v>
      </c>
      <c r="L1233" t="s">
        <v>146</v>
      </c>
      <c r="M1233" t="s">
        <v>146</v>
      </c>
      <c r="N1233" t="s">
        <v>45</v>
      </c>
      <c r="O1233" t="s">
        <v>45</v>
      </c>
      <c r="P1233">
        <v>2</v>
      </c>
      <c r="Q1233" s="7">
        <v>46241</v>
      </c>
      <c r="R1233" s="7">
        <v>46241</v>
      </c>
      <c r="S1233" s="7">
        <v>46241</v>
      </c>
      <c r="T1233" t="s">
        <v>45</v>
      </c>
      <c r="V1233" t="s">
        <v>742</v>
      </c>
      <c r="W1233" t="s">
        <v>45</v>
      </c>
      <c r="X1233" t="s">
        <v>45</v>
      </c>
      <c r="Y1233" t="s">
        <v>45</v>
      </c>
      <c r="Z1233" t="s">
        <v>45</v>
      </c>
      <c r="AB1233" t="s">
        <v>48</v>
      </c>
      <c r="AC1233" t="s">
        <v>74</v>
      </c>
      <c r="AE1233" s="7">
        <v>46243</v>
      </c>
      <c r="AF1233">
        <v>2</v>
      </c>
      <c r="AH1233" t="s">
        <v>75</v>
      </c>
      <c r="AI1233">
        <v>1</v>
      </c>
      <c r="AJ1233" s="15"/>
      <c r="AK1233" t="s">
        <v>74</v>
      </c>
      <c r="AL1233" s="16"/>
      <c r="AR1233" s="18" t="str">
        <f>IFERROR(VLOOKUP(K1233,[1]POP!$F:$J,1,0),M1233)</f>
        <v>KOLOFATA</v>
      </c>
      <c r="AS1233" s="18" t="str">
        <f t="shared" si="96"/>
        <v>KOLOFATA 2</v>
      </c>
      <c r="AT1233" s="19">
        <f t="shared" si="99"/>
        <v>2</v>
      </c>
      <c r="AU1233" s="19">
        <f t="shared" ca="1" si="98"/>
        <v>2</v>
      </c>
    </row>
    <row r="1234" spans="1:47" x14ac:dyDescent="0.3">
      <c r="A1234" t="s">
        <v>1788</v>
      </c>
      <c r="B1234" t="str">
        <f t="shared" si="95"/>
        <v>S32_2026</v>
      </c>
      <c r="C1234" t="str">
        <f t="shared" si="97"/>
        <v>S32_2026</v>
      </c>
      <c r="E1234" t="s">
        <v>143</v>
      </c>
      <c r="F1234">
        <v>5</v>
      </c>
      <c r="G1234" t="s">
        <v>40</v>
      </c>
      <c r="H1234" t="s">
        <v>85</v>
      </c>
      <c r="I1234" t="s">
        <v>146</v>
      </c>
      <c r="J1234" t="s">
        <v>1775</v>
      </c>
      <c r="K1234" t="s">
        <v>146</v>
      </c>
      <c r="L1234" t="s">
        <v>146</v>
      </c>
      <c r="M1234" t="s">
        <v>146</v>
      </c>
      <c r="N1234" t="s">
        <v>45</v>
      </c>
      <c r="O1234" t="s">
        <v>45</v>
      </c>
      <c r="P1234">
        <v>2</v>
      </c>
      <c r="Q1234" s="7">
        <v>46241</v>
      </c>
      <c r="R1234" s="7">
        <v>46241</v>
      </c>
      <c r="S1234" s="7">
        <v>46241</v>
      </c>
      <c r="T1234" t="s">
        <v>45</v>
      </c>
      <c r="V1234" t="s">
        <v>742</v>
      </c>
      <c r="W1234" t="s">
        <v>45</v>
      </c>
      <c r="X1234" t="s">
        <v>45</v>
      </c>
      <c r="Y1234" t="s">
        <v>45</v>
      </c>
      <c r="Z1234" t="s">
        <v>45</v>
      </c>
      <c r="AB1234" t="s">
        <v>48</v>
      </c>
      <c r="AC1234" t="s">
        <v>74</v>
      </c>
      <c r="AF1234">
        <v>2</v>
      </c>
      <c r="AH1234" t="s">
        <v>75</v>
      </c>
      <c r="AI1234">
        <v>1</v>
      </c>
      <c r="AJ1234" s="15"/>
      <c r="AK1234" t="s">
        <v>74</v>
      </c>
      <c r="AL1234" s="16"/>
      <c r="AR1234" s="18" t="str">
        <f>IFERROR(VLOOKUP(K1234,[1]POP!$F:$J,1,0),M1234)</f>
        <v>KOLOFATA</v>
      </c>
      <c r="AS1234" s="18" t="str">
        <f t="shared" si="96"/>
        <v>KOLOFATA 1</v>
      </c>
      <c r="AT1234" s="19">
        <f t="shared" si="99"/>
        <v>2</v>
      </c>
      <c r="AU1234" s="19">
        <f t="shared" ca="1" si="98"/>
        <v>2</v>
      </c>
    </row>
    <row r="1235" spans="1:47" x14ac:dyDescent="0.3">
      <c r="A1235" t="s">
        <v>1789</v>
      </c>
      <c r="B1235" t="str">
        <f t="shared" si="95"/>
        <v>S32_2026</v>
      </c>
      <c r="C1235" t="str">
        <f t="shared" si="97"/>
        <v>S32_2026</v>
      </c>
      <c r="E1235" t="s">
        <v>143</v>
      </c>
      <c r="F1235">
        <v>5</v>
      </c>
      <c r="G1235" t="s">
        <v>55</v>
      </c>
      <c r="H1235" t="s">
        <v>85</v>
      </c>
      <c r="I1235" t="s">
        <v>146</v>
      </c>
      <c r="J1235" t="s">
        <v>1775</v>
      </c>
      <c r="K1235" t="s">
        <v>146</v>
      </c>
      <c r="L1235" t="s">
        <v>146</v>
      </c>
      <c r="M1235" t="s">
        <v>146</v>
      </c>
      <c r="N1235" t="s">
        <v>45</v>
      </c>
      <c r="O1235" t="s">
        <v>45</v>
      </c>
      <c r="P1235">
        <v>2</v>
      </c>
      <c r="Q1235" s="7">
        <v>46241</v>
      </c>
      <c r="R1235" s="7">
        <v>46241</v>
      </c>
      <c r="S1235" s="7">
        <v>46241</v>
      </c>
      <c r="T1235" t="s">
        <v>45</v>
      </c>
      <c r="V1235" t="s">
        <v>742</v>
      </c>
      <c r="W1235" t="s">
        <v>45</v>
      </c>
      <c r="X1235" t="s">
        <v>45</v>
      </c>
      <c r="Y1235" t="s">
        <v>45</v>
      </c>
      <c r="Z1235" t="s">
        <v>45</v>
      </c>
      <c r="AB1235" t="s">
        <v>48</v>
      </c>
      <c r="AC1235" t="s">
        <v>74</v>
      </c>
      <c r="AE1235" s="7">
        <v>46243</v>
      </c>
      <c r="AF1235">
        <v>2</v>
      </c>
      <c r="AH1235" t="s">
        <v>75</v>
      </c>
      <c r="AI1235">
        <v>1</v>
      </c>
      <c r="AJ1235" s="15"/>
      <c r="AK1235" t="s">
        <v>74</v>
      </c>
      <c r="AL1235" s="16"/>
      <c r="AR1235" s="18" t="str">
        <f>IFERROR(VLOOKUP(K1235,[1]POP!$F:$J,1,0),M1235)</f>
        <v>KOLOFATA</v>
      </c>
      <c r="AS1235" s="18" t="str">
        <f t="shared" si="96"/>
        <v>KOLOFATA 1</v>
      </c>
      <c r="AT1235" s="19">
        <f t="shared" si="99"/>
        <v>2</v>
      </c>
      <c r="AU1235" s="19">
        <f t="shared" ca="1" si="98"/>
        <v>2</v>
      </c>
    </row>
    <row r="1236" spans="1:47" x14ac:dyDescent="0.3">
      <c r="A1236" t="s">
        <v>1790</v>
      </c>
      <c r="B1236" t="str">
        <f t="shared" si="95"/>
        <v>S32_2026</v>
      </c>
      <c r="C1236" t="str">
        <f t="shared" si="97"/>
        <v>S32_2026</v>
      </c>
      <c r="E1236" t="s">
        <v>143</v>
      </c>
      <c r="F1236">
        <v>5</v>
      </c>
      <c r="G1236" t="s">
        <v>55</v>
      </c>
      <c r="H1236" t="s">
        <v>85</v>
      </c>
      <c r="I1236" t="s">
        <v>146</v>
      </c>
      <c r="J1236" t="s">
        <v>1775</v>
      </c>
      <c r="K1236" t="s">
        <v>146</v>
      </c>
      <c r="L1236" t="s">
        <v>146</v>
      </c>
      <c r="M1236" t="s">
        <v>146</v>
      </c>
      <c r="N1236" t="s">
        <v>45</v>
      </c>
      <c r="O1236" t="s">
        <v>45</v>
      </c>
      <c r="P1236">
        <v>3</v>
      </c>
      <c r="Q1236" s="7">
        <v>46241</v>
      </c>
      <c r="R1236" s="7">
        <v>46241</v>
      </c>
      <c r="S1236" s="7">
        <v>46241</v>
      </c>
      <c r="T1236" t="s">
        <v>45</v>
      </c>
      <c r="V1236" t="s">
        <v>742</v>
      </c>
      <c r="W1236" t="s">
        <v>45</v>
      </c>
      <c r="X1236" t="s">
        <v>45</v>
      </c>
      <c r="Y1236" t="s">
        <v>45</v>
      </c>
      <c r="Z1236" t="s">
        <v>45</v>
      </c>
      <c r="AB1236" t="s">
        <v>48</v>
      </c>
      <c r="AC1236" t="s">
        <v>74</v>
      </c>
      <c r="AF1236">
        <v>2</v>
      </c>
      <c r="AH1236" t="s">
        <v>75</v>
      </c>
      <c r="AI1236">
        <v>1</v>
      </c>
      <c r="AJ1236" s="15"/>
      <c r="AK1236" t="s">
        <v>74</v>
      </c>
      <c r="AL1236" s="16"/>
      <c r="AR1236" s="18" t="str">
        <f>IFERROR(VLOOKUP(K1236,[1]POP!$F:$J,1,0),M1236)</f>
        <v>KOLOFATA</v>
      </c>
      <c r="AS1236" s="18" t="str">
        <f t="shared" si="96"/>
        <v>KOLOFATA 1</v>
      </c>
      <c r="AT1236" s="19">
        <f t="shared" si="99"/>
        <v>2</v>
      </c>
      <c r="AU1236" s="19">
        <f t="shared" ca="1" si="98"/>
        <v>2</v>
      </c>
    </row>
    <row r="1237" spans="1:47" x14ac:dyDescent="0.3">
      <c r="A1237" t="s">
        <v>1791</v>
      </c>
      <c r="B1237" t="str">
        <f t="shared" si="95"/>
        <v>S32_2026</v>
      </c>
      <c r="C1237" t="str">
        <f t="shared" si="97"/>
        <v>S32_2026</v>
      </c>
      <c r="E1237" t="s">
        <v>143</v>
      </c>
      <c r="F1237">
        <v>6</v>
      </c>
      <c r="G1237" t="s">
        <v>55</v>
      </c>
      <c r="H1237" t="s">
        <v>85</v>
      </c>
      <c r="I1237" t="s">
        <v>146</v>
      </c>
      <c r="J1237" t="s">
        <v>1775</v>
      </c>
      <c r="K1237" t="s">
        <v>146</v>
      </c>
      <c r="L1237" t="s">
        <v>146</v>
      </c>
      <c r="M1237" t="s">
        <v>146</v>
      </c>
      <c r="N1237" t="s">
        <v>45</v>
      </c>
      <c r="O1237" t="s">
        <v>45</v>
      </c>
      <c r="P1237">
        <v>2</v>
      </c>
      <c r="Q1237" s="7">
        <v>46241</v>
      </c>
      <c r="R1237" s="7">
        <v>46241</v>
      </c>
      <c r="S1237" s="7">
        <v>46241</v>
      </c>
      <c r="T1237" t="s">
        <v>45</v>
      </c>
      <c r="V1237" t="s">
        <v>742</v>
      </c>
      <c r="W1237" t="s">
        <v>45</v>
      </c>
      <c r="X1237" t="s">
        <v>45</v>
      </c>
      <c r="Y1237" t="s">
        <v>45</v>
      </c>
      <c r="Z1237" t="s">
        <v>45</v>
      </c>
      <c r="AB1237" t="s">
        <v>48</v>
      </c>
      <c r="AC1237" t="s">
        <v>74</v>
      </c>
      <c r="AF1237">
        <v>2</v>
      </c>
      <c r="AH1237" t="s">
        <v>75</v>
      </c>
      <c r="AI1237">
        <v>1</v>
      </c>
      <c r="AJ1237" s="15"/>
      <c r="AK1237" t="s">
        <v>74</v>
      </c>
      <c r="AL1237" s="16"/>
      <c r="AR1237" s="18" t="str">
        <f>IFERROR(VLOOKUP(K1237,[1]POP!$F:$J,1,0),M1237)</f>
        <v>KOLOFATA</v>
      </c>
      <c r="AS1237" s="18" t="str">
        <f t="shared" si="96"/>
        <v>KOLOFATA 1</v>
      </c>
      <c r="AT1237" s="19">
        <f t="shared" si="99"/>
        <v>2</v>
      </c>
      <c r="AU1237" s="19">
        <f t="shared" ca="1" si="98"/>
        <v>2</v>
      </c>
    </row>
    <row r="1238" spans="1:47" x14ac:dyDescent="0.3">
      <c r="A1238" t="s">
        <v>1792</v>
      </c>
      <c r="B1238" t="str">
        <f t="shared" si="95"/>
        <v>S32_2026</v>
      </c>
      <c r="C1238" t="str">
        <f t="shared" si="97"/>
        <v>S32_2026</v>
      </c>
      <c r="E1238" t="s">
        <v>143</v>
      </c>
      <c r="F1238">
        <v>7</v>
      </c>
      <c r="G1238" t="s">
        <v>40</v>
      </c>
      <c r="H1238" t="s">
        <v>85</v>
      </c>
      <c r="I1238" t="s">
        <v>739</v>
      </c>
      <c r="J1238" t="s">
        <v>740</v>
      </c>
      <c r="K1238" t="s">
        <v>146</v>
      </c>
      <c r="L1238" t="s">
        <v>146</v>
      </c>
      <c r="M1238" t="s">
        <v>146</v>
      </c>
      <c r="N1238" t="s">
        <v>45</v>
      </c>
      <c r="O1238" t="s">
        <v>45</v>
      </c>
      <c r="P1238">
        <v>3</v>
      </c>
      <c r="Q1238" s="7">
        <v>46241</v>
      </c>
      <c r="R1238" s="7">
        <v>46241</v>
      </c>
      <c r="S1238" s="7">
        <v>46241</v>
      </c>
      <c r="T1238" t="s">
        <v>45</v>
      </c>
      <c r="V1238" t="s">
        <v>742</v>
      </c>
      <c r="W1238" t="s">
        <v>45</v>
      </c>
      <c r="X1238" t="s">
        <v>45</v>
      </c>
      <c r="Y1238" t="s">
        <v>45</v>
      </c>
      <c r="Z1238" t="s">
        <v>45</v>
      </c>
      <c r="AB1238" t="s">
        <v>48</v>
      </c>
      <c r="AC1238" t="s">
        <v>74</v>
      </c>
      <c r="AE1238" s="7">
        <v>46243</v>
      </c>
      <c r="AF1238">
        <v>2</v>
      </c>
      <c r="AH1238" t="s">
        <v>75</v>
      </c>
      <c r="AI1238">
        <v>1</v>
      </c>
      <c r="AJ1238" s="15"/>
      <c r="AK1238" t="s">
        <v>74</v>
      </c>
      <c r="AL1238" s="16"/>
      <c r="AR1238" s="18" t="str">
        <f>IFERROR(VLOOKUP(K1238,[1]POP!$F:$J,1,0),M1238)</f>
        <v>KOLOFATA</v>
      </c>
      <c r="AS1238" s="18" t="str">
        <f t="shared" si="96"/>
        <v>KOLOFATA 2</v>
      </c>
      <c r="AT1238" s="19">
        <f t="shared" si="99"/>
        <v>2</v>
      </c>
      <c r="AU1238" s="19">
        <f t="shared" ca="1" si="98"/>
        <v>2</v>
      </c>
    </row>
    <row r="1239" spans="1:47" x14ac:dyDescent="0.3">
      <c r="A1239" t="s">
        <v>1793</v>
      </c>
      <c r="B1239" t="str">
        <f t="shared" si="95"/>
        <v>S32_2026</v>
      </c>
      <c r="C1239" t="str">
        <f t="shared" si="97"/>
        <v>S32_2026</v>
      </c>
      <c r="E1239" t="s">
        <v>143</v>
      </c>
      <c r="F1239">
        <v>7</v>
      </c>
      <c r="G1239" t="s">
        <v>40</v>
      </c>
      <c r="H1239" t="s">
        <v>85</v>
      </c>
      <c r="I1239" t="s">
        <v>739</v>
      </c>
      <c r="J1239" t="s">
        <v>740</v>
      </c>
      <c r="K1239" t="s">
        <v>146</v>
      </c>
      <c r="L1239" t="s">
        <v>146</v>
      </c>
      <c r="M1239" t="s">
        <v>146</v>
      </c>
      <c r="N1239" t="s">
        <v>45</v>
      </c>
      <c r="O1239" t="s">
        <v>45</v>
      </c>
      <c r="P1239">
        <v>2</v>
      </c>
      <c r="Q1239" s="7">
        <v>46242</v>
      </c>
      <c r="R1239" s="7">
        <v>46242</v>
      </c>
      <c r="S1239" s="7">
        <v>46242</v>
      </c>
      <c r="T1239" t="s">
        <v>45</v>
      </c>
      <c r="V1239" t="s">
        <v>742</v>
      </c>
      <c r="W1239" t="s">
        <v>45</v>
      </c>
      <c r="X1239" t="s">
        <v>45</v>
      </c>
      <c r="Y1239" t="s">
        <v>45</v>
      </c>
      <c r="Z1239" t="s">
        <v>45</v>
      </c>
      <c r="AB1239" t="s">
        <v>48</v>
      </c>
      <c r="AC1239" t="s">
        <v>74</v>
      </c>
      <c r="AE1239" s="7">
        <v>46243</v>
      </c>
      <c r="AF1239">
        <v>2</v>
      </c>
      <c r="AH1239" t="s">
        <v>75</v>
      </c>
      <c r="AI1239">
        <v>1</v>
      </c>
      <c r="AJ1239" s="15"/>
      <c r="AK1239" t="s">
        <v>74</v>
      </c>
      <c r="AL1239" s="16"/>
      <c r="AR1239" s="18" t="str">
        <f>IFERROR(VLOOKUP(K1239,[1]POP!$F:$J,1,0),M1239)</f>
        <v>KOLOFATA</v>
      </c>
      <c r="AS1239" s="18" t="str">
        <f t="shared" si="96"/>
        <v>KOLOFATA 2</v>
      </c>
      <c r="AT1239" s="19">
        <f t="shared" si="99"/>
        <v>2</v>
      </c>
      <c r="AU1239" s="19">
        <f t="shared" ca="1" si="98"/>
        <v>2</v>
      </c>
    </row>
    <row r="1240" spans="1:47" x14ac:dyDescent="0.3">
      <c r="A1240" t="s">
        <v>1794</v>
      </c>
      <c r="B1240" t="str">
        <f t="shared" si="95"/>
        <v>S32_2026</v>
      </c>
      <c r="C1240" t="str">
        <f t="shared" si="97"/>
        <v>S32_2026</v>
      </c>
      <c r="E1240" t="s">
        <v>143</v>
      </c>
      <c r="F1240">
        <v>7</v>
      </c>
      <c r="G1240" t="s">
        <v>40</v>
      </c>
      <c r="H1240" t="s">
        <v>85</v>
      </c>
      <c r="I1240" t="s">
        <v>146</v>
      </c>
      <c r="J1240" t="s">
        <v>1775</v>
      </c>
      <c r="K1240" t="s">
        <v>146</v>
      </c>
      <c r="L1240" t="s">
        <v>146</v>
      </c>
      <c r="M1240" t="s">
        <v>146</v>
      </c>
      <c r="N1240" t="s">
        <v>45</v>
      </c>
      <c r="O1240" t="s">
        <v>45</v>
      </c>
      <c r="P1240">
        <v>3</v>
      </c>
      <c r="Q1240" s="7">
        <v>46241</v>
      </c>
      <c r="R1240" s="7">
        <v>46241</v>
      </c>
      <c r="S1240" s="7">
        <v>46241</v>
      </c>
      <c r="T1240" t="s">
        <v>45</v>
      </c>
      <c r="V1240" t="s">
        <v>742</v>
      </c>
      <c r="W1240" t="s">
        <v>45</v>
      </c>
      <c r="X1240" t="s">
        <v>45</v>
      </c>
      <c r="Y1240" t="s">
        <v>45</v>
      </c>
      <c r="Z1240" t="s">
        <v>45</v>
      </c>
      <c r="AB1240" t="s">
        <v>48</v>
      </c>
      <c r="AC1240" t="s">
        <v>74</v>
      </c>
      <c r="AE1240" s="7">
        <v>46243</v>
      </c>
      <c r="AF1240">
        <v>2</v>
      </c>
      <c r="AH1240" t="s">
        <v>75</v>
      </c>
      <c r="AI1240">
        <v>1</v>
      </c>
      <c r="AJ1240" s="15"/>
      <c r="AK1240" t="s">
        <v>74</v>
      </c>
      <c r="AL1240" s="16"/>
      <c r="AR1240" s="18" t="str">
        <f>IFERROR(VLOOKUP(K1240,[1]POP!$F:$J,1,0),M1240)</f>
        <v>KOLOFATA</v>
      </c>
      <c r="AS1240" s="18" t="str">
        <f t="shared" si="96"/>
        <v>KOLOFATA 1</v>
      </c>
      <c r="AT1240" s="19">
        <f t="shared" si="99"/>
        <v>2</v>
      </c>
      <c r="AU1240" s="19">
        <f t="shared" ca="1" si="98"/>
        <v>2</v>
      </c>
    </row>
    <row r="1241" spans="1:47" x14ac:dyDescent="0.3">
      <c r="A1241" t="s">
        <v>1795</v>
      </c>
      <c r="B1241" t="str">
        <f t="shared" si="95"/>
        <v>S32_2026</v>
      </c>
      <c r="C1241" t="str">
        <f t="shared" si="97"/>
        <v>S32_2026</v>
      </c>
      <c r="E1241" t="s">
        <v>143</v>
      </c>
      <c r="F1241">
        <v>8</v>
      </c>
      <c r="G1241" t="s">
        <v>55</v>
      </c>
      <c r="H1241" t="s">
        <v>85</v>
      </c>
      <c r="I1241" t="s">
        <v>146</v>
      </c>
      <c r="J1241" t="s">
        <v>1775</v>
      </c>
      <c r="K1241" t="s">
        <v>146</v>
      </c>
      <c r="L1241" t="s">
        <v>146</v>
      </c>
      <c r="M1241" t="s">
        <v>146</v>
      </c>
      <c r="N1241" t="s">
        <v>45</v>
      </c>
      <c r="O1241" t="s">
        <v>45</v>
      </c>
      <c r="P1241">
        <v>3</v>
      </c>
      <c r="Q1241" s="7">
        <v>46241</v>
      </c>
      <c r="R1241" s="7">
        <v>46241</v>
      </c>
      <c r="S1241" s="7">
        <v>46241</v>
      </c>
      <c r="T1241" t="s">
        <v>45</v>
      </c>
      <c r="V1241" t="s">
        <v>742</v>
      </c>
      <c r="W1241" t="s">
        <v>45</v>
      </c>
      <c r="X1241" t="s">
        <v>45</v>
      </c>
      <c r="Y1241" t="s">
        <v>45</v>
      </c>
      <c r="Z1241" t="s">
        <v>45</v>
      </c>
      <c r="AB1241" t="s">
        <v>48</v>
      </c>
      <c r="AC1241" t="s">
        <v>74</v>
      </c>
      <c r="AE1241" s="7">
        <v>46241</v>
      </c>
      <c r="AF1241">
        <v>2</v>
      </c>
      <c r="AH1241" t="s">
        <v>75</v>
      </c>
      <c r="AI1241">
        <v>1</v>
      </c>
      <c r="AJ1241" s="15"/>
      <c r="AK1241" t="s">
        <v>74</v>
      </c>
      <c r="AL1241" s="16"/>
      <c r="AR1241" s="18" t="str">
        <f>IFERROR(VLOOKUP(K1241,[1]POP!$F:$J,1,0),M1241)</f>
        <v>KOLOFATA</v>
      </c>
      <c r="AS1241" s="18" t="str">
        <f t="shared" si="96"/>
        <v>KOLOFATA 1</v>
      </c>
      <c r="AT1241" s="19">
        <f t="shared" si="99"/>
        <v>2</v>
      </c>
      <c r="AU1241" s="19">
        <f t="shared" ca="1" si="98"/>
        <v>2</v>
      </c>
    </row>
    <row r="1242" spans="1:47" x14ac:dyDescent="0.3">
      <c r="A1242" t="s">
        <v>1796</v>
      </c>
      <c r="B1242" t="str">
        <f t="shared" si="95"/>
        <v>S32_2026</v>
      </c>
      <c r="C1242" t="str">
        <f t="shared" si="97"/>
        <v>S32_2026</v>
      </c>
      <c r="E1242" t="s">
        <v>143</v>
      </c>
      <c r="F1242">
        <v>8</v>
      </c>
      <c r="G1242" t="s">
        <v>40</v>
      </c>
      <c r="H1242" t="s">
        <v>85</v>
      </c>
      <c r="I1242" t="s">
        <v>1797</v>
      </c>
      <c r="J1242" t="s">
        <v>1797</v>
      </c>
      <c r="K1242" t="s">
        <v>146</v>
      </c>
      <c r="L1242" t="s">
        <v>145</v>
      </c>
      <c r="M1242" t="s">
        <v>146</v>
      </c>
      <c r="N1242" t="s">
        <v>45</v>
      </c>
      <c r="O1242" t="s">
        <v>45</v>
      </c>
      <c r="P1242">
        <v>3</v>
      </c>
      <c r="Q1242" s="7">
        <v>46241</v>
      </c>
      <c r="R1242" s="7">
        <v>46241</v>
      </c>
      <c r="S1242" s="7">
        <v>46241</v>
      </c>
      <c r="T1242" t="s">
        <v>45</v>
      </c>
      <c r="V1242" t="s">
        <v>1205</v>
      </c>
      <c r="W1242" t="s">
        <v>45</v>
      </c>
      <c r="X1242" t="s">
        <v>45</v>
      </c>
      <c r="Y1242" t="s">
        <v>45</v>
      </c>
      <c r="Z1242" t="s">
        <v>45</v>
      </c>
      <c r="AB1242" t="s">
        <v>48</v>
      </c>
      <c r="AC1242" t="s">
        <v>74</v>
      </c>
      <c r="AE1242" s="7">
        <v>46243</v>
      </c>
      <c r="AF1242">
        <v>2</v>
      </c>
      <c r="AH1242" t="s">
        <v>75</v>
      </c>
      <c r="AI1242">
        <v>1</v>
      </c>
      <c r="AJ1242" s="15"/>
      <c r="AK1242" t="s">
        <v>74</v>
      </c>
      <c r="AL1242" s="16"/>
      <c r="AR1242" s="18" t="str">
        <f>IFERROR(VLOOKUP(K1242,[1]POP!$F:$J,1,0),M1242)</f>
        <v>KOLOFATA</v>
      </c>
      <c r="AS1242" s="18" t="str">
        <f t="shared" si="96"/>
        <v>AMCHIDé</v>
      </c>
      <c r="AT1242" s="19">
        <f t="shared" si="99"/>
        <v>2</v>
      </c>
      <c r="AU1242" s="19">
        <f t="shared" ca="1" si="98"/>
        <v>2</v>
      </c>
    </row>
    <row r="1243" spans="1:47" x14ac:dyDescent="0.3">
      <c r="A1243" t="s">
        <v>1798</v>
      </c>
      <c r="B1243" t="str">
        <f t="shared" si="95"/>
        <v>S32_2026</v>
      </c>
      <c r="C1243" t="str">
        <f t="shared" si="97"/>
        <v>S32_2026</v>
      </c>
      <c r="E1243" t="s">
        <v>143</v>
      </c>
      <c r="F1243">
        <v>10</v>
      </c>
      <c r="G1243" t="s">
        <v>40</v>
      </c>
      <c r="H1243" t="s">
        <v>85</v>
      </c>
      <c r="I1243" t="s">
        <v>146</v>
      </c>
      <c r="J1243" t="s">
        <v>1799</v>
      </c>
      <c r="K1243" t="s">
        <v>146</v>
      </c>
      <c r="L1243" t="s">
        <v>146</v>
      </c>
      <c r="M1243" t="s">
        <v>146</v>
      </c>
      <c r="N1243" t="s">
        <v>45</v>
      </c>
      <c r="O1243" t="s">
        <v>45</v>
      </c>
      <c r="P1243">
        <v>2</v>
      </c>
      <c r="Q1243" s="7">
        <v>46241</v>
      </c>
      <c r="R1243" s="7">
        <v>46241</v>
      </c>
      <c r="S1243" s="7">
        <v>46241</v>
      </c>
      <c r="T1243" t="s">
        <v>45</v>
      </c>
      <c r="V1243" t="s">
        <v>742</v>
      </c>
      <c r="W1243" t="s">
        <v>45</v>
      </c>
      <c r="X1243" t="s">
        <v>45</v>
      </c>
      <c r="Y1243" t="s">
        <v>45</v>
      </c>
      <c r="Z1243" t="s">
        <v>45</v>
      </c>
      <c r="AB1243" t="s">
        <v>48</v>
      </c>
      <c r="AC1243" t="s">
        <v>74</v>
      </c>
      <c r="AE1243" s="7">
        <v>46243</v>
      </c>
      <c r="AF1243">
        <v>2</v>
      </c>
      <c r="AH1243" t="s">
        <v>75</v>
      </c>
      <c r="AI1243">
        <v>1</v>
      </c>
      <c r="AJ1243" s="15"/>
      <c r="AK1243" t="s">
        <v>74</v>
      </c>
      <c r="AL1243" s="16"/>
      <c r="AR1243" s="18" t="str">
        <f>IFERROR(VLOOKUP(K1243,[1]POP!$F:$J,1,0),M1243)</f>
        <v>KOLOFATA</v>
      </c>
      <c r="AS1243" s="18" t="str">
        <f t="shared" si="96"/>
        <v>KOLOFATA 25</v>
      </c>
      <c r="AT1243" s="19">
        <f t="shared" si="99"/>
        <v>2</v>
      </c>
      <c r="AU1243" s="19">
        <f t="shared" ca="1" si="98"/>
        <v>2</v>
      </c>
    </row>
    <row r="1244" spans="1:47" x14ac:dyDescent="0.3">
      <c r="A1244" t="s">
        <v>1800</v>
      </c>
      <c r="B1244" t="str">
        <f t="shared" si="95"/>
        <v>S32_2026</v>
      </c>
      <c r="C1244" t="str">
        <f t="shared" si="97"/>
        <v>S32_2026</v>
      </c>
      <c r="E1244" t="s">
        <v>143</v>
      </c>
      <c r="F1244">
        <v>12</v>
      </c>
      <c r="G1244" t="s">
        <v>55</v>
      </c>
      <c r="H1244" t="s">
        <v>85</v>
      </c>
      <c r="I1244" t="s">
        <v>739</v>
      </c>
      <c r="J1244" t="s">
        <v>1801</v>
      </c>
      <c r="K1244" t="s">
        <v>146</v>
      </c>
      <c r="L1244" t="s">
        <v>146</v>
      </c>
      <c r="M1244" t="s">
        <v>146</v>
      </c>
      <c r="N1244" t="s">
        <v>45</v>
      </c>
      <c r="O1244" t="s">
        <v>45</v>
      </c>
      <c r="P1244">
        <v>2</v>
      </c>
      <c r="Q1244" s="7">
        <v>46240</v>
      </c>
      <c r="R1244" s="7">
        <v>46240</v>
      </c>
      <c r="S1244" s="7">
        <v>46240</v>
      </c>
      <c r="T1244" t="s">
        <v>45</v>
      </c>
      <c r="V1244" t="s">
        <v>742</v>
      </c>
      <c r="W1244" t="s">
        <v>45</v>
      </c>
      <c r="X1244" t="s">
        <v>45</v>
      </c>
      <c r="Y1244" t="s">
        <v>45</v>
      </c>
      <c r="Z1244" t="s">
        <v>45</v>
      </c>
      <c r="AB1244" t="s">
        <v>48</v>
      </c>
      <c r="AC1244" t="s">
        <v>74</v>
      </c>
      <c r="AE1244" s="7">
        <v>46242</v>
      </c>
      <c r="AF1244">
        <v>2</v>
      </c>
      <c r="AH1244" t="s">
        <v>75</v>
      </c>
      <c r="AI1244">
        <v>1</v>
      </c>
      <c r="AJ1244" s="15"/>
      <c r="AK1244" t="s">
        <v>74</v>
      </c>
      <c r="AL1244" s="16"/>
      <c r="AR1244" s="18" t="str">
        <f>IFERROR(VLOOKUP(K1244,[1]POP!$F:$J,1,0),M1244)</f>
        <v>KOLOFATA</v>
      </c>
      <c r="AS1244" s="18" t="str">
        <f t="shared" si="96"/>
        <v>KOLOFATA 26</v>
      </c>
      <c r="AT1244" s="19">
        <f t="shared" si="99"/>
        <v>2</v>
      </c>
      <c r="AU1244" s="19">
        <f t="shared" ca="1" si="98"/>
        <v>2</v>
      </c>
    </row>
    <row r="1245" spans="1:47" x14ac:dyDescent="0.3">
      <c r="A1245" t="s">
        <v>1802</v>
      </c>
      <c r="B1245" t="str">
        <f t="shared" si="95"/>
        <v>S32_2026</v>
      </c>
      <c r="C1245" t="str">
        <f t="shared" si="97"/>
        <v>S32_2026</v>
      </c>
      <c r="E1245" t="s">
        <v>143</v>
      </c>
      <c r="F1245">
        <v>12</v>
      </c>
      <c r="G1245" t="s">
        <v>55</v>
      </c>
      <c r="H1245" t="s">
        <v>85</v>
      </c>
      <c r="I1245" t="s">
        <v>739</v>
      </c>
      <c r="J1245" t="s">
        <v>1803</v>
      </c>
      <c r="K1245" t="s">
        <v>146</v>
      </c>
      <c r="L1245" t="s">
        <v>146</v>
      </c>
      <c r="M1245" t="s">
        <v>146</v>
      </c>
      <c r="N1245" t="s">
        <v>45</v>
      </c>
      <c r="O1245" t="s">
        <v>45</v>
      </c>
      <c r="P1245">
        <v>2</v>
      </c>
      <c r="Q1245" s="7">
        <v>46241</v>
      </c>
      <c r="R1245" s="7">
        <v>46241</v>
      </c>
      <c r="S1245" s="7">
        <v>46241</v>
      </c>
      <c r="T1245" t="s">
        <v>45</v>
      </c>
      <c r="V1245" t="s">
        <v>742</v>
      </c>
      <c r="W1245" t="s">
        <v>45</v>
      </c>
      <c r="X1245" t="s">
        <v>45</v>
      </c>
      <c r="Y1245" t="s">
        <v>45</v>
      </c>
      <c r="Z1245" t="s">
        <v>45</v>
      </c>
      <c r="AB1245" t="s">
        <v>48</v>
      </c>
      <c r="AC1245" t="s">
        <v>74</v>
      </c>
      <c r="AE1245" s="7">
        <v>46243</v>
      </c>
      <c r="AF1245">
        <v>2</v>
      </c>
      <c r="AH1245" t="s">
        <v>75</v>
      </c>
      <c r="AI1245">
        <v>1</v>
      </c>
      <c r="AJ1245" s="15"/>
      <c r="AK1245" t="s">
        <v>74</v>
      </c>
      <c r="AL1245" s="16"/>
      <c r="AR1245" s="18" t="str">
        <f>IFERROR(VLOOKUP(K1245,[1]POP!$F:$J,1,0),M1245)</f>
        <v>KOLOFATA</v>
      </c>
      <c r="AS1245" s="18" t="str">
        <f t="shared" si="96"/>
        <v>KOLOFATA 27</v>
      </c>
      <c r="AT1245" s="19">
        <f t="shared" si="99"/>
        <v>2</v>
      </c>
      <c r="AU1245" s="19">
        <f t="shared" ca="1" si="98"/>
        <v>2</v>
      </c>
    </row>
    <row r="1246" spans="1:47" x14ac:dyDescent="0.3">
      <c r="A1246" t="s">
        <v>1804</v>
      </c>
      <c r="B1246" t="str">
        <f t="shared" si="95"/>
        <v>S32_2026</v>
      </c>
      <c r="C1246" t="str">
        <f t="shared" si="97"/>
        <v>S32_2026</v>
      </c>
      <c r="E1246" t="s">
        <v>143</v>
      </c>
      <c r="F1246">
        <v>12</v>
      </c>
      <c r="G1246" t="s">
        <v>55</v>
      </c>
      <c r="H1246" t="s">
        <v>85</v>
      </c>
      <c r="I1246" t="s">
        <v>146</v>
      </c>
      <c r="J1246" t="s">
        <v>1805</v>
      </c>
      <c r="K1246" t="s">
        <v>146</v>
      </c>
      <c r="L1246" t="s">
        <v>146</v>
      </c>
      <c r="M1246" t="s">
        <v>146</v>
      </c>
      <c r="N1246" t="s">
        <v>45</v>
      </c>
      <c r="O1246" t="s">
        <v>45</v>
      </c>
      <c r="P1246">
        <v>3</v>
      </c>
      <c r="Q1246" s="7">
        <v>46241</v>
      </c>
      <c r="R1246" s="7">
        <v>46241</v>
      </c>
      <c r="S1246" s="7">
        <v>46241</v>
      </c>
      <c r="T1246" t="s">
        <v>45</v>
      </c>
      <c r="V1246" t="s">
        <v>742</v>
      </c>
      <c r="W1246" t="s">
        <v>45</v>
      </c>
      <c r="X1246" t="s">
        <v>45</v>
      </c>
      <c r="Y1246" t="s">
        <v>45</v>
      </c>
      <c r="Z1246" t="s">
        <v>45</v>
      </c>
      <c r="AB1246" t="s">
        <v>48</v>
      </c>
      <c r="AC1246" t="s">
        <v>74</v>
      </c>
      <c r="AE1246" s="7">
        <v>46243</v>
      </c>
      <c r="AF1246">
        <v>2</v>
      </c>
      <c r="AH1246" t="s">
        <v>75</v>
      </c>
      <c r="AI1246">
        <v>1</v>
      </c>
      <c r="AJ1246" s="15"/>
      <c r="AK1246" t="s">
        <v>74</v>
      </c>
      <c r="AL1246" s="16"/>
      <c r="AR1246" s="18" t="str">
        <f>IFERROR(VLOOKUP(K1246,[1]POP!$F:$J,1,0),M1246)</f>
        <v>KOLOFATA</v>
      </c>
      <c r="AS1246" s="18" t="str">
        <f t="shared" si="96"/>
        <v>KOLOFATA 28</v>
      </c>
      <c r="AT1246" s="19">
        <f t="shared" si="99"/>
        <v>2</v>
      </c>
      <c r="AU1246" s="19">
        <f t="shared" ca="1" si="98"/>
        <v>2</v>
      </c>
    </row>
    <row r="1247" spans="1:47" x14ac:dyDescent="0.3">
      <c r="A1247" t="s">
        <v>1806</v>
      </c>
      <c r="B1247" t="str">
        <f t="shared" si="95"/>
        <v>S32_2026</v>
      </c>
      <c r="C1247" t="str">
        <f t="shared" si="97"/>
        <v>S32_2026</v>
      </c>
      <c r="E1247" t="s">
        <v>143</v>
      </c>
      <c r="F1247">
        <v>12</v>
      </c>
      <c r="G1247" t="s">
        <v>40</v>
      </c>
      <c r="H1247" t="s">
        <v>85</v>
      </c>
      <c r="I1247" t="s">
        <v>752</v>
      </c>
      <c r="J1247" t="s">
        <v>752</v>
      </c>
      <c r="K1247" t="s">
        <v>146</v>
      </c>
      <c r="L1247" t="s">
        <v>752</v>
      </c>
      <c r="M1247" t="s">
        <v>146</v>
      </c>
      <c r="N1247" t="s">
        <v>45</v>
      </c>
      <c r="O1247" t="s">
        <v>45</v>
      </c>
      <c r="P1247">
        <v>2</v>
      </c>
      <c r="Q1247" s="7">
        <v>46238</v>
      </c>
      <c r="R1247" s="7">
        <v>46238</v>
      </c>
      <c r="S1247" s="7">
        <v>46238</v>
      </c>
      <c r="T1247" t="s">
        <v>45</v>
      </c>
      <c r="V1247" t="s">
        <v>752</v>
      </c>
      <c r="W1247" t="s">
        <v>45</v>
      </c>
      <c r="X1247" t="s">
        <v>45</v>
      </c>
      <c r="Y1247" t="s">
        <v>45</v>
      </c>
      <c r="Z1247" t="s">
        <v>45</v>
      </c>
      <c r="AB1247" t="s">
        <v>48</v>
      </c>
      <c r="AC1247" t="s">
        <v>74</v>
      </c>
      <c r="AE1247" s="7">
        <v>46241</v>
      </c>
      <c r="AF1247">
        <v>2</v>
      </c>
      <c r="AH1247" t="s">
        <v>75</v>
      </c>
      <c r="AI1247">
        <v>1</v>
      </c>
      <c r="AJ1247" s="15"/>
      <c r="AK1247" t="s">
        <v>74</v>
      </c>
      <c r="AL1247" s="16"/>
      <c r="AR1247" s="18" t="str">
        <f>IFERROR(VLOOKUP(K1247,[1]POP!$F:$J,1,0),M1247)</f>
        <v>KOLOFATA</v>
      </c>
      <c r="AS1247" s="18" t="str">
        <f t="shared" si="96"/>
        <v>LIMANI</v>
      </c>
      <c r="AT1247" s="19">
        <f t="shared" si="99"/>
        <v>2</v>
      </c>
      <c r="AU1247" s="19">
        <f t="shared" ca="1" si="98"/>
        <v>2</v>
      </c>
    </row>
    <row r="1248" spans="1:47" x14ac:dyDescent="0.3">
      <c r="A1248" t="s">
        <v>1807</v>
      </c>
      <c r="B1248" t="str">
        <f t="shared" si="95"/>
        <v>S32_2026</v>
      </c>
      <c r="C1248" t="str">
        <f t="shared" si="97"/>
        <v>S32_2026</v>
      </c>
      <c r="E1248" t="s">
        <v>143</v>
      </c>
      <c r="F1248">
        <v>20</v>
      </c>
      <c r="G1248" t="s">
        <v>55</v>
      </c>
      <c r="H1248" t="s">
        <v>70</v>
      </c>
      <c r="I1248" t="s">
        <v>146</v>
      </c>
      <c r="J1248" t="s">
        <v>1775</v>
      </c>
      <c r="K1248" t="s">
        <v>146</v>
      </c>
      <c r="L1248" t="s">
        <v>146</v>
      </c>
      <c r="M1248" t="s">
        <v>146</v>
      </c>
      <c r="N1248" t="s">
        <v>45</v>
      </c>
      <c r="O1248" t="s">
        <v>45</v>
      </c>
      <c r="P1248">
        <v>3</v>
      </c>
      <c r="Q1248" s="7">
        <v>46243</v>
      </c>
      <c r="R1248" s="7">
        <v>46243</v>
      </c>
      <c r="S1248" s="7">
        <v>46243</v>
      </c>
      <c r="T1248" t="s">
        <v>45</v>
      </c>
      <c r="V1248" t="s">
        <v>742</v>
      </c>
      <c r="W1248" t="s">
        <v>45</v>
      </c>
      <c r="X1248" t="s">
        <v>45</v>
      </c>
      <c r="Y1248" t="s">
        <v>45</v>
      </c>
      <c r="Z1248" t="s">
        <v>45</v>
      </c>
      <c r="AB1248" t="s">
        <v>48</v>
      </c>
      <c r="AC1248" t="s">
        <v>74</v>
      </c>
      <c r="AF1248">
        <v>2</v>
      </c>
      <c r="AH1248" t="s">
        <v>75</v>
      </c>
      <c r="AI1248">
        <v>1</v>
      </c>
      <c r="AJ1248" s="15"/>
      <c r="AK1248" t="s">
        <v>74</v>
      </c>
      <c r="AL1248" s="16"/>
      <c r="AR1248" s="18" t="str">
        <f>IFERROR(VLOOKUP(K1248,[1]POP!$F:$J,1,0),M1248)</f>
        <v>KOLOFATA</v>
      </c>
      <c r="AS1248" s="18" t="str">
        <f t="shared" si="96"/>
        <v>KOLOFATA 1</v>
      </c>
      <c r="AT1248" s="19">
        <f t="shared" si="99"/>
        <v>2</v>
      </c>
      <c r="AU1248" s="19">
        <f t="shared" ca="1" si="98"/>
        <v>2</v>
      </c>
    </row>
    <row r="1249" spans="1:47" x14ac:dyDescent="0.3">
      <c r="A1249" t="s">
        <v>1808</v>
      </c>
      <c r="B1249" t="str">
        <f t="shared" si="95"/>
        <v>S32_2026</v>
      </c>
      <c r="C1249" t="str">
        <f t="shared" si="97"/>
        <v>S32_2026</v>
      </c>
      <c r="E1249" t="s">
        <v>143</v>
      </c>
      <c r="F1249">
        <v>27</v>
      </c>
      <c r="G1249" t="s">
        <v>40</v>
      </c>
      <c r="H1249" t="s">
        <v>77</v>
      </c>
      <c r="I1249" t="s">
        <v>739</v>
      </c>
      <c r="J1249" t="s">
        <v>740</v>
      </c>
      <c r="K1249" t="s">
        <v>146</v>
      </c>
      <c r="L1249" t="s">
        <v>146</v>
      </c>
      <c r="M1249" t="s">
        <v>146</v>
      </c>
      <c r="N1249" t="s">
        <v>45</v>
      </c>
      <c r="O1249" t="s">
        <v>45</v>
      </c>
      <c r="P1249">
        <v>2</v>
      </c>
      <c r="Q1249" s="7">
        <v>46243</v>
      </c>
      <c r="R1249" s="7">
        <v>46243</v>
      </c>
      <c r="S1249" s="7">
        <v>46243</v>
      </c>
      <c r="T1249" t="s">
        <v>45</v>
      </c>
      <c r="V1249" t="s">
        <v>742</v>
      </c>
      <c r="W1249" t="s">
        <v>45</v>
      </c>
      <c r="X1249" t="s">
        <v>45</v>
      </c>
      <c r="Y1249" t="s">
        <v>45</v>
      </c>
      <c r="Z1249" t="s">
        <v>45</v>
      </c>
      <c r="AB1249" t="s">
        <v>48</v>
      </c>
      <c r="AC1249" t="s">
        <v>74</v>
      </c>
      <c r="AE1249" s="7">
        <v>46241</v>
      </c>
      <c r="AF1249">
        <v>2</v>
      </c>
      <c r="AH1249" t="s">
        <v>75</v>
      </c>
      <c r="AI1249">
        <v>1</v>
      </c>
      <c r="AJ1249" s="15"/>
      <c r="AK1249" t="s">
        <v>74</v>
      </c>
      <c r="AL1249" s="16"/>
      <c r="AR1249" s="18" t="str">
        <f>IFERROR(VLOOKUP(K1249,[1]POP!$F:$J,1,0),M1249)</f>
        <v>KOLOFATA</v>
      </c>
      <c r="AS1249" s="18" t="str">
        <f t="shared" si="96"/>
        <v>KOLOFATA 2</v>
      </c>
      <c r="AT1249" s="19">
        <f t="shared" si="99"/>
        <v>2</v>
      </c>
      <c r="AU1249" s="19">
        <f t="shared" ca="1" si="98"/>
        <v>2</v>
      </c>
    </row>
    <row r="1250" spans="1:47" x14ac:dyDescent="0.3">
      <c r="A1250" t="s">
        <v>1809</v>
      </c>
      <c r="B1250" t="str">
        <f t="shared" si="95"/>
        <v>S32_2026</v>
      </c>
      <c r="C1250" t="str">
        <f t="shared" si="97"/>
        <v>S32_2026</v>
      </c>
      <c r="E1250" t="s">
        <v>143</v>
      </c>
      <c r="F1250">
        <v>30</v>
      </c>
      <c r="G1250" t="s">
        <v>55</v>
      </c>
      <c r="H1250" t="s">
        <v>70</v>
      </c>
      <c r="I1250" t="s">
        <v>146</v>
      </c>
      <c r="J1250" t="s">
        <v>1775</v>
      </c>
      <c r="K1250" t="s">
        <v>146</v>
      </c>
      <c r="L1250" t="s">
        <v>146</v>
      </c>
      <c r="M1250" t="s">
        <v>146</v>
      </c>
      <c r="N1250" t="s">
        <v>45</v>
      </c>
      <c r="O1250" t="s">
        <v>45</v>
      </c>
      <c r="P1250">
        <v>2</v>
      </c>
      <c r="Q1250" s="7">
        <v>46237</v>
      </c>
      <c r="R1250" s="7">
        <v>46237</v>
      </c>
      <c r="S1250" s="7">
        <v>46237</v>
      </c>
      <c r="T1250" t="s">
        <v>45</v>
      </c>
      <c r="V1250" t="s">
        <v>742</v>
      </c>
      <c r="W1250" t="s">
        <v>45</v>
      </c>
      <c r="X1250" t="s">
        <v>45</v>
      </c>
      <c r="Y1250" t="s">
        <v>45</v>
      </c>
      <c r="Z1250" t="s">
        <v>45</v>
      </c>
      <c r="AB1250" t="s">
        <v>48</v>
      </c>
      <c r="AC1250" t="s">
        <v>74</v>
      </c>
      <c r="AF1250">
        <v>2</v>
      </c>
      <c r="AH1250" t="s">
        <v>75</v>
      </c>
      <c r="AI1250">
        <v>1</v>
      </c>
      <c r="AJ1250" s="15"/>
      <c r="AK1250" t="s">
        <v>74</v>
      </c>
      <c r="AL1250" s="16"/>
      <c r="AR1250" s="18" t="str">
        <f>IFERROR(VLOOKUP(K1250,[1]POP!$F:$J,1,0),M1250)</f>
        <v>KOLOFATA</v>
      </c>
      <c r="AS1250" s="18" t="str">
        <f t="shared" si="96"/>
        <v>KOLOFATA 1</v>
      </c>
      <c r="AT1250" s="19">
        <f t="shared" si="99"/>
        <v>2</v>
      </c>
      <c r="AU1250" s="19">
        <f t="shared" ca="1" si="98"/>
        <v>2</v>
      </c>
    </row>
    <row r="1251" spans="1:47" x14ac:dyDescent="0.3">
      <c r="A1251" t="s">
        <v>1810</v>
      </c>
      <c r="B1251" t="str">
        <f t="shared" si="95"/>
        <v>S32_2026</v>
      </c>
      <c r="C1251" t="str">
        <f t="shared" si="97"/>
        <v>S32_2026</v>
      </c>
      <c r="E1251" t="s">
        <v>143</v>
      </c>
      <c r="F1251">
        <v>30</v>
      </c>
      <c r="G1251" t="s">
        <v>40</v>
      </c>
      <c r="H1251" t="s">
        <v>77</v>
      </c>
      <c r="I1251" t="s">
        <v>739</v>
      </c>
      <c r="J1251" t="s">
        <v>740</v>
      </c>
      <c r="K1251" t="s">
        <v>146</v>
      </c>
      <c r="L1251" t="s">
        <v>146</v>
      </c>
      <c r="M1251" t="s">
        <v>146</v>
      </c>
      <c r="N1251" t="s">
        <v>45</v>
      </c>
      <c r="O1251" t="s">
        <v>45</v>
      </c>
      <c r="P1251">
        <v>3</v>
      </c>
      <c r="Q1251" s="7">
        <v>46243</v>
      </c>
      <c r="R1251" s="7">
        <v>46243</v>
      </c>
      <c r="S1251" s="7">
        <v>46243</v>
      </c>
      <c r="T1251" t="s">
        <v>45</v>
      </c>
      <c r="V1251" t="s">
        <v>742</v>
      </c>
      <c r="W1251" t="s">
        <v>45</v>
      </c>
      <c r="X1251" t="s">
        <v>45</v>
      </c>
      <c r="Y1251" t="s">
        <v>45</v>
      </c>
      <c r="Z1251" t="s">
        <v>45</v>
      </c>
      <c r="AB1251" t="s">
        <v>48</v>
      </c>
      <c r="AC1251" t="s">
        <v>74</v>
      </c>
      <c r="AF1251">
        <v>2</v>
      </c>
      <c r="AH1251" t="s">
        <v>75</v>
      </c>
      <c r="AI1251">
        <v>1</v>
      </c>
      <c r="AJ1251" s="15"/>
      <c r="AK1251" t="s">
        <v>74</v>
      </c>
      <c r="AL1251" s="16"/>
      <c r="AR1251" s="18" t="str">
        <f>IFERROR(VLOOKUP(K1251,[1]POP!$F:$J,1,0),M1251)</f>
        <v>KOLOFATA</v>
      </c>
      <c r="AS1251" s="18" t="str">
        <f t="shared" si="96"/>
        <v>KOLOFATA 2</v>
      </c>
      <c r="AT1251" s="19">
        <f t="shared" si="99"/>
        <v>2</v>
      </c>
      <c r="AU1251" s="19">
        <f t="shared" ca="1" si="98"/>
        <v>2</v>
      </c>
    </row>
    <row r="1252" spans="1:47" x14ac:dyDescent="0.3">
      <c r="A1252" t="s">
        <v>1811</v>
      </c>
      <c r="B1252" t="str">
        <f t="shared" si="95"/>
        <v>S32_2026</v>
      </c>
      <c r="C1252" t="str">
        <f t="shared" si="97"/>
        <v>S32_2026</v>
      </c>
      <c r="E1252" t="s">
        <v>143</v>
      </c>
      <c r="F1252">
        <v>35</v>
      </c>
      <c r="G1252" t="s">
        <v>40</v>
      </c>
      <c r="H1252" t="s">
        <v>77</v>
      </c>
      <c r="I1252" t="s">
        <v>146</v>
      </c>
      <c r="J1252" t="s">
        <v>1775</v>
      </c>
      <c r="K1252" t="s">
        <v>146</v>
      </c>
      <c r="L1252" t="s">
        <v>146</v>
      </c>
      <c r="M1252" t="s">
        <v>146</v>
      </c>
      <c r="N1252" t="s">
        <v>45</v>
      </c>
      <c r="O1252" t="s">
        <v>45</v>
      </c>
      <c r="P1252">
        <v>3</v>
      </c>
      <c r="Q1252" s="7">
        <v>46243</v>
      </c>
      <c r="R1252" s="7">
        <v>46243</v>
      </c>
      <c r="S1252" s="7">
        <v>46243</v>
      </c>
      <c r="T1252" t="s">
        <v>45</v>
      </c>
      <c r="V1252" t="s">
        <v>742</v>
      </c>
      <c r="W1252" t="s">
        <v>45</v>
      </c>
      <c r="X1252" t="s">
        <v>45</v>
      </c>
      <c r="Y1252" t="s">
        <v>45</v>
      </c>
      <c r="Z1252" t="s">
        <v>45</v>
      </c>
      <c r="AB1252" t="s">
        <v>48</v>
      </c>
      <c r="AC1252" t="s">
        <v>74</v>
      </c>
      <c r="AF1252">
        <v>2</v>
      </c>
      <c r="AH1252" t="s">
        <v>75</v>
      </c>
      <c r="AI1252">
        <v>1</v>
      </c>
      <c r="AJ1252" s="15"/>
      <c r="AK1252" t="s">
        <v>74</v>
      </c>
      <c r="AL1252" s="16"/>
      <c r="AR1252" s="18" t="str">
        <f>IFERROR(VLOOKUP(K1252,[1]POP!$F:$J,1,0),M1252)</f>
        <v>KOLOFATA</v>
      </c>
      <c r="AS1252" s="18" t="str">
        <f t="shared" si="96"/>
        <v>KOLOFATA 1</v>
      </c>
      <c r="AT1252" s="19">
        <f t="shared" si="99"/>
        <v>2</v>
      </c>
      <c r="AU1252" s="19">
        <f t="shared" ca="1" si="98"/>
        <v>2</v>
      </c>
    </row>
    <row r="1253" spans="1:47" x14ac:dyDescent="0.3">
      <c r="A1253" t="s">
        <v>1812</v>
      </c>
      <c r="B1253" t="str">
        <f t="shared" si="95"/>
        <v>S32_2026</v>
      </c>
      <c r="C1253" t="str">
        <f t="shared" si="97"/>
        <v>S32_2026</v>
      </c>
      <c r="E1253" t="s">
        <v>143</v>
      </c>
      <c r="F1253">
        <v>37</v>
      </c>
      <c r="G1253" t="s">
        <v>40</v>
      </c>
      <c r="H1253" t="s">
        <v>77</v>
      </c>
      <c r="I1253" t="s">
        <v>739</v>
      </c>
      <c r="J1253" t="s">
        <v>740</v>
      </c>
      <c r="K1253" t="s">
        <v>146</v>
      </c>
      <c r="L1253" t="s">
        <v>146</v>
      </c>
      <c r="M1253" t="s">
        <v>146</v>
      </c>
      <c r="N1253" t="s">
        <v>45</v>
      </c>
      <c r="O1253" t="s">
        <v>45</v>
      </c>
      <c r="P1253">
        <v>1</v>
      </c>
      <c r="Q1253" s="7">
        <v>46243</v>
      </c>
      <c r="R1253" s="7">
        <v>46243</v>
      </c>
      <c r="S1253" s="7">
        <v>46243</v>
      </c>
      <c r="T1253" t="s">
        <v>45</v>
      </c>
      <c r="V1253" t="s">
        <v>742</v>
      </c>
      <c r="W1253" t="s">
        <v>45</v>
      </c>
      <c r="X1253" t="s">
        <v>45</v>
      </c>
      <c r="Y1253" t="s">
        <v>45</v>
      </c>
      <c r="Z1253" t="s">
        <v>45</v>
      </c>
      <c r="AB1253" t="s">
        <v>48</v>
      </c>
      <c r="AC1253" t="s">
        <v>74</v>
      </c>
      <c r="AF1253">
        <v>2</v>
      </c>
      <c r="AH1253" t="s">
        <v>75</v>
      </c>
      <c r="AI1253">
        <v>1</v>
      </c>
      <c r="AJ1253" s="15"/>
      <c r="AK1253" t="s">
        <v>74</v>
      </c>
      <c r="AL1253" s="16"/>
      <c r="AR1253" s="18" t="str">
        <f>IFERROR(VLOOKUP(K1253,[1]POP!$F:$J,1,0),M1253)</f>
        <v>KOLOFATA</v>
      </c>
      <c r="AS1253" s="18" t="str">
        <f t="shared" si="96"/>
        <v>KOLOFATA 2</v>
      </c>
      <c r="AT1253" s="19">
        <f t="shared" si="99"/>
        <v>2</v>
      </c>
      <c r="AU1253" s="19">
        <f t="shared" ca="1" si="98"/>
        <v>2</v>
      </c>
    </row>
    <row r="1254" spans="1:47" x14ac:dyDescent="0.3">
      <c r="A1254" t="s">
        <v>1813</v>
      </c>
      <c r="B1254" t="str">
        <f t="shared" si="95"/>
        <v>S32_2026</v>
      </c>
      <c r="C1254" t="str">
        <f t="shared" si="97"/>
        <v>S32_2026</v>
      </c>
      <c r="E1254" t="s">
        <v>143</v>
      </c>
      <c r="F1254">
        <v>45</v>
      </c>
      <c r="G1254" t="s">
        <v>40</v>
      </c>
      <c r="H1254" t="s">
        <v>77</v>
      </c>
      <c r="I1254" t="s">
        <v>146</v>
      </c>
      <c r="J1254" t="s">
        <v>1775</v>
      </c>
      <c r="K1254" t="s">
        <v>146</v>
      </c>
      <c r="L1254" t="s">
        <v>146</v>
      </c>
      <c r="M1254" t="s">
        <v>146</v>
      </c>
      <c r="N1254" t="s">
        <v>45</v>
      </c>
      <c r="O1254" t="s">
        <v>45</v>
      </c>
      <c r="P1254">
        <v>2</v>
      </c>
      <c r="Q1254" s="7">
        <v>46243</v>
      </c>
      <c r="R1254" s="7">
        <v>46243</v>
      </c>
      <c r="S1254" s="7">
        <v>46243</v>
      </c>
      <c r="T1254" t="s">
        <v>45</v>
      </c>
      <c r="V1254" t="s">
        <v>742</v>
      </c>
      <c r="W1254" t="s">
        <v>45</v>
      </c>
      <c r="X1254" t="s">
        <v>45</v>
      </c>
      <c r="Y1254" t="s">
        <v>45</v>
      </c>
      <c r="Z1254" t="s">
        <v>45</v>
      </c>
      <c r="AB1254" t="s">
        <v>48</v>
      </c>
      <c r="AC1254" t="s">
        <v>74</v>
      </c>
      <c r="AF1254">
        <v>2</v>
      </c>
      <c r="AH1254" t="s">
        <v>75</v>
      </c>
      <c r="AI1254">
        <v>1</v>
      </c>
      <c r="AJ1254" s="15"/>
      <c r="AK1254" t="s">
        <v>74</v>
      </c>
      <c r="AL1254" s="16"/>
      <c r="AR1254" s="18" t="str">
        <f>IFERROR(VLOOKUP(K1254,[1]POP!$F:$J,1,0),M1254)</f>
        <v>KOLOFATA</v>
      </c>
      <c r="AS1254" s="18" t="str">
        <f t="shared" si="96"/>
        <v>KOLOFATA 1</v>
      </c>
      <c r="AT1254" s="19">
        <f t="shared" si="99"/>
        <v>2</v>
      </c>
      <c r="AU1254" s="19">
        <f t="shared" ca="1" si="98"/>
        <v>2</v>
      </c>
    </row>
    <row r="1255" spans="1:47" x14ac:dyDescent="0.3">
      <c r="A1255" t="s">
        <v>1814</v>
      </c>
      <c r="B1255" t="str">
        <f t="shared" si="95"/>
        <v>S32_2026</v>
      </c>
      <c r="C1255" t="str">
        <f t="shared" si="97"/>
        <v>S32_2026</v>
      </c>
      <c r="E1255" t="s">
        <v>143</v>
      </c>
      <c r="F1255">
        <v>45</v>
      </c>
      <c r="G1255" t="s">
        <v>40</v>
      </c>
      <c r="H1255" t="s">
        <v>77</v>
      </c>
      <c r="I1255" t="s">
        <v>146</v>
      </c>
      <c r="J1255" t="s">
        <v>1775</v>
      </c>
      <c r="K1255" t="s">
        <v>146</v>
      </c>
      <c r="L1255" t="s">
        <v>146</v>
      </c>
      <c r="M1255" t="s">
        <v>146</v>
      </c>
      <c r="N1255" t="s">
        <v>45</v>
      </c>
      <c r="O1255" t="s">
        <v>45</v>
      </c>
      <c r="P1255">
        <v>2</v>
      </c>
      <c r="Q1255" s="7">
        <v>46243</v>
      </c>
      <c r="R1255" s="7">
        <v>46243</v>
      </c>
      <c r="S1255" s="7">
        <v>46243</v>
      </c>
      <c r="T1255" t="s">
        <v>45</v>
      </c>
      <c r="V1255" t="s">
        <v>742</v>
      </c>
      <c r="W1255" t="s">
        <v>45</v>
      </c>
      <c r="X1255" t="s">
        <v>45</v>
      </c>
      <c r="Y1255" t="s">
        <v>45</v>
      </c>
      <c r="Z1255" t="s">
        <v>45</v>
      </c>
      <c r="AB1255" t="s">
        <v>48</v>
      </c>
      <c r="AC1255" t="s">
        <v>74</v>
      </c>
      <c r="AF1255">
        <v>2</v>
      </c>
      <c r="AH1255" t="s">
        <v>75</v>
      </c>
      <c r="AI1255">
        <v>1</v>
      </c>
      <c r="AJ1255" s="15"/>
      <c r="AK1255" t="s">
        <v>74</v>
      </c>
      <c r="AL1255" s="16"/>
      <c r="AR1255" s="18" t="str">
        <f>IFERROR(VLOOKUP(K1255,[1]POP!$F:$J,1,0),M1255)</f>
        <v>KOLOFATA</v>
      </c>
      <c r="AS1255" s="18" t="str">
        <f t="shared" si="96"/>
        <v>KOLOFATA 1</v>
      </c>
      <c r="AT1255" s="19">
        <f t="shared" si="99"/>
        <v>2</v>
      </c>
      <c r="AU1255" s="19">
        <f t="shared" ca="1" si="98"/>
        <v>2</v>
      </c>
    </row>
    <row r="1256" spans="1:47" x14ac:dyDescent="0.3">
      <c r="A1256" t="s">
        <v>1815</v>
      </c>
      <c r="B1256" t="str">
        <f t="shared" si="95"/>
        <v>S32_2026</v>
      </c>
      <c r="C1256" t="str">
        <f t="shared" si="97"/>
        <v>S32_2026</v>
      </c>
      <c r="E1256" t="s">
        <v>143</v>
      </c>
      <c r="F1256">
        <v>70</v>
      </c>
      <c r="G1256" t="s">
        <v>40</v>
      </c>
      <c r="H1256" t="s">
        <v>77</v>
      </c>
      <c r="I1256" t="s">
        <v>1797</v>
      </c>
      <c r="J1256" t="s">
        <v>1797</v>
      </c>
      <c r="K1256" t="s">
        <v>146</v>
      </c>
      <c r="L1256" t="s">
        <v>145</v>
      </c>
      <c r="M1256" t="s">
        <v>146</v>
      </c>
      <c r="N1256" t="s">
        <v>45</v>
      </c>
      <c r="O1256" t="s">
        <v>45</v>
      </c>
      <c r="P1256">
        <v>2</v>
      </c>
      <c r="Q1256" s="7">
        <v>46243</v>
      </c>
      <c r="R1256" s="7">
        <v>46243</v>
      </c>
      <c r="S1256" s="7">
        <v>46243</v>
      </c>
      <c r="T1256" t="s">
        <v>45</v>
      </c>
      <c r="V1256" t="s">
        <v>1205</v>
      </c>
      <c r="W1256" t="s">
        <v>45</v>
      </c>
      <c r="X1256" t="s">
        <v>45</v>
      </c>
      <c r="Y1256" t="s">
        <v>45</v>
      </c>
      <c r="Z1256" t="s">
        <v>45</v>
      </c>
      <c r="AB1256" t="s">
        <v>48</v>
      </c>
      <c r="AC1256" t="s">
        <v>74</v>
      </c>
      <c r="AE1256" s="7">
        <v>46243</v>
      </c>
      <c r="AF1256">
        <v>2</v>
      </c>
      <c r="AH1256" t="s">
        <v>75</v>
      </c>
      <c r="AI1256">
        <v>1</v>
      </c>
      <c r="AJ1256" s="15"/>
      <c r="AK1256" t="s">
        <v>74</v>
      </c>
      <c r="AL1256" s="16"/>
      <c r="AR1256" s="18" t="str">
        <f>IFERROR(VLOOKUP(K1256,[1]POP!$F:$J,1,0),M1256)</f>
        <v>KOLOFATA</v>
      </c>
      <c r="AS1256" s="18" t="str">
        <f t="shared" si="96"/>
        <v>AMCHIDé</v>
      </c>
      <c r="AT1256" s="19">
        <f t="shared" si="99"/>
        <v>2</v>
      </c>
      <c r="AU1256" s="19">
        <f t="shared" ca="1" si="98"/>
        <v>2</v>
      </c>
    </row>
    <row r="1257" spans="1:47" x14ac:dyDescent="0.3">
      <c r="A1257" t="s">
        <v>1816</v>
      </c>
      <c r="B1257" t="str">
        <f t="shared" si="95"/>
        <v>S30_2026</v>
      </c>
      <c r="C1257" t="str">
        <f t="shared" si="97"/>
        <v>S30_2026</v>
      </c>
      <c r="F1257">
        <v>4</v>
      </c>
      <c r="G1257" t="s">
        <v>40</v>
      </c>
      <c r="H1257" t="s">
        <v>1817</v>
      </c>
      <c r="I1257" t="s">
        <v>1818</v>
      </c>
      <c r="J1257" t="s">
        <v>1818</v>
      </c>
      <c r="K1257" t="s">
        <v>146</v>
      </c>
      <c r="L1257" t="s">
        <v>851</v>
      </c>
      <c r="M1257" t="s">
        <v>146</v>
      </c>
      <c r="N1257" t="s">
        <v>45</v>
      </c>
      <c r="O1257" t="s">
        <v>45</v>
      </c>
      <c r="P1257">
        <v>2</v>
      </c>
      <c r="Q1257" s="7">
        <v>46229</v>
      </c>
      <c r="R1257" s="7">
        <v>46229</v>
      </c>
      <c r="S1257" s="7">
        <v>46229</v>
      </c>
      <c r="T1257" t="s">
        <v>45</v>
      </c>
      <c r="V1257" t="s">
        <v>1819</v>
      </c>
      <c r="W1257" t="s">
        <v>45</v>
      </c>
      <c r="X1257" t="s">
        <v>45</v>
      </c>
      <c r="Y1257" t="s">
        <v>45</v>
      </c>
      <c r="Z1257" t="s">
        <v>45</v>
      </c>
      <c r="AB1257" t="s">
        <v>48</v>
      </c>
      <c r="AC1257" t="s">
        <v>74</v>
      </c>
      <c r="AF1257">
        <v>2</v>
      </c>
      <c r="AH1257" t="s">
        <v>75</v>
      </c>
      <c r="AI1257">
        <v>1</v>
      </c>
      <c r="AJ1257" s="15"/>
      <c r="AK1257" t="s">
        <v>74</v>
      </c>
      <c r="AL1257" s="16"/>
      <c r="AR1257" s="18" t="str">
        <f>IFERROR(VLOOKUP(K1257,[1]POP!$F:$J,1,0),M1257)</f>
        <v>KOLOFATA</v>
      </c>
      <c r="AS1257" s="18" t="str">
        <f t="shared" si="96"/>
        <v xml:space="preserve">TOLKOMARI </v>
      </c>
      <c r="AT1257" s="19">
        <f t="shared" si="99"/>
        <v>2</v>
      </c>
      <c r="AU1257" s="19">
        <f t="shared" ca="1" si="98"/>
        <v>2</v>
      </c>
    </row>
    <row r="1258" spans="1:47" x14ac:dyDescent="0.3">
      <c r="A1258" t="s">
        <v>1820</v>
      </c>
      <c r="B1258" t="str">
        <f t="shared" si="95"/>
        <v>S30_2026</v>
      </c>
      <c r="C1258" t="str">
        <f t="shared" si="97"/>
        <v>S30_2026</v>
      </c>
      <c r="F1258">
        <v>65</v>
      </c>
      <c r="G1258" t="s">
        <v>40</v>
      </c>
      <c r="H1258" t="s">
        <v>1821</v>
      </c>
      <c r="I1258" t="s">
        <v>1818</v>
      </c>
      <c r="J1258" t="s">
        <v>1818</v>
      </c>
      <c r="K1258" t="s">
        <v>146</v>
      </c>
      <c r="L1258" t="s">
        <v>851</v>
      </c>
      <c r="M1258" t="s">
        <v>146</v>
      </c>
      <c r="N1258" t="s">
        <v>45</v>
      </c>
      <c r="O1258" t="s">
        <v>45</v>
      </c>
      <c r="P1258">
        <v>3</v>
      </c>
      <c r="Q1258" s="7">
        <v>46225</v>
      </c>
      <c r="R1258" s="7">
        <v>46225</v>
      </c>
      <c r="S1258" s="7">
        <v>46225</v>
      </c>
      <c r="T1258" t="s">
        <v>74</v>
      </c>
      <c r="V1258" t="s">
        <v>1819</v>
      </c>
      <c r="W1258" t="s">
        <v>74</v>
      </c>
      <c r="X1258" t="s">
        <v>74</v>
      </c>
      <c r="Y1258" t="s">
        <v>74</v>
      </c>
      <c r="Z1258" t="s">
        <v>74</v>
      </c>
      <c r="AC1258" t="s">
        <v>74</v>
      </c>
      <c r="AF1258">
        <v>3</v>
      </c>
      <c r="AH1258" t="s">
        <v>75</v>
      </c>
      <c r="AI1258">
        <v>3</v>
      </c>
      <c r="AJ1258" s="15"/>
      <c r="AK1258" t="s">
        <v>74</v>
      </c>
      <c r="AL1258" s="16"/>
      <c r="AR1258" s="18" t="str">
        <f>IFERROR(VLOOKUP(K1258,[1]POP!$F:$J,1,0),M1258)</f>
        <v>KOLOFATA</v>
      </c>
      <c r="AS1258" s="18" t="str">
        <f t="shared" si="96"/>
        <v xml:space="preserve">TOLKOMARI </v>
      </c>
      <c r="AT1258" s="19">
        <f t="shared" si="99"/>
        <v>3</v>
      </c>
      <c r="AU1258" s="19">
        <f t="shared" ca="1" si="98"/>
        <v>2</v>
      </c>
    </row>
    <row r="1259" spans="1:47" x14ac:dyDescent="0.3">
      <c r="A1259" t="s">
        <v>1822</v>
      </c>
      <c r="B1259" t="str">
        <f t="shared" si="95"/>
        <v>S30_2026</v>
      </c>
      <c r="C1259" t="str">
        <f t="shared" si="97"/>
        <v>S30_2026</v>
      </c>
      <c r="F1259">
        <v>30</v>
      </c>
      <c r="G1259" t="s">
        <v>40</v>
      </c>
      <c r="H1259" t="s">
        <v>1821</v>
      </c>
      <c r="I1259" t="s">
        <v>1823</v>
      </c>
      <c r="J1259" t="s">
        <v>1818</v>
      </c>
      <c r="K1259" t="s">
        <v>146</v>
      </c>
      <c r="L1259" t="s">
        <v>851</v>
      </c>
      <c r="M1259" t="s">
        <v>146</v>
      </c>
      <c r="N1259" t="s">
        <v>45</v>
      </c>
      <c r="O1259" t="s">
        <v>45</v>
      </c>
      <c r="P1259">
        <v>3</v>
      </c>
      <c r="Q1259" s="7">
        <v>46225</v>
      </c>
      <c r="R1259" s="7">
        <v>46225</v>
      </c>
      <c r="S1259" s="7">
        <v>46225</v>
      </c>
      <c r="T1259" t="s">
        <v>74</v>
      </c>
      <c r="V1259" t="s">
        <v>1819</v>
      </c>
      <c r="W1259" t="s">
        <v>74</v>
      </c>
      <c r="X1259" t="s">
        <v>74</v>
      </c>
      <c r="Y1259" t="s">
        <v>74</v>
      </c>
      <c r="Z1259" t="s">
        <v>74</v>
      </c>
      <c r="AC1259" t="s">
        <v>74</v>
      </c>
      <c r="AF1259">
        <v>3</v>
      </c>
      <c r="AH1259" t="s">
        <v>75</v>
      </c>
      <c r="AI1259">
        <v>3</v>
      </c>
      <c r="AJ1259" s="15"/>
      <c r="AK1259" t="s">
        <v>74</v>
      </c>
      <c r="AL1259" s="16"/>
      <c r="AR1259" s="18" t="str">
        <f>IFERROR(VLOOKUP(K1259,[1]POP!$F:$J,1,0),M1259)</f>
        <v>KOLOFATA</v>
      </c>
      <c r="AS1259" s="18" t="str">
        <f t="shared" si="96"/>
        <v xml:space="preserve">TOLKOMARI </v>
      </c>
      <c r="AT1259" s="19">
        <f t="shared" si="99"/>
        <v>3</v>
      </c>
      <c r="AU1259" s="19">
        <f t="shared" ca="1" si="98"/>
        <v>2</v>
      </c>
    </row>
    <row r="1260" spans="1:47" x14ac:dyDescent="0.3">
      <c r="A1260" t="s">
        <v>1824</v>
      </c>
      <c r="B1260" t="str">
        <f t="shared" si="95"/>
        <v>S31_2026</v>
      </c>
      <c r="C1260" t="str">
        <f t="shared" si="97"/>
        <v>S31_2026</v>
      </c>
      <c r="F1260">
        <v>5</v>
      </c>
      <c r="G1260" t="s">
        <v>55</v>
      </c>
      <c r="H1260" t="s">
        <v>1817</v>
      </c>
      <c r="I1260" t="s">
        <v>1818</v>
      </c>
      <c r="J1260" t="s">
        <v>1818</v>
      </c>
      <c r="K1260" t="s">
        <v>146</v>
      </c>
      <c r="L1260" t="s">
        <v>851</v>
      </c>
      <c r="M1260" t="s">
        <v>146</v>
      </c>
      <c r="N1260" t="s">
        <v>45</v>
      </c>
      <c r="O1260" t="s">
        <v>45</v>
      </c>
      <c r="P1260">
        <v>3</v>
      </c>
      <c r="Q1260" s="7">
        <v>46230</v>
      </c>
      <c r="R1260" s="7">
        <v>46230</v>
      </c>
      <c r="S1260" s="7">
        <v>46230</v>
      </c>
      <c r="T1260" t="s">
        <v>45</v>
      </c>
      <c r="V1260" t="s">
        <v>1819</v>
      </c>
      <c r="W1260" t="s">
        <v>45</v>
      </c>
      <c r="X1260" t="s">
        <v>45</v>
      </c>
      <c r="Y1260" t="s">
        <v>45</v>
      </c>
      <c r="Z1260" t="s">
        <v>45</v>
      </c>
      <c r="AB1260" t="s">
        <v>48</v>
      </c>
      <c r="AC1260" t="s">
        <v>74</v>
      </c>
      <c r="AF1260">
        <v>2</v>
      </c>
      <c r="AH1260" t="s">
        <v>75</v>
      </c>
      <c r="AI1260">
        <v>1</v>
      </c>
      <c r="AJ1260" s="15"/>
      <c r="AK1260" t="s">
        <v>74</v>
      </c>
      <c r="AL1260" s="16"/>
      <c r="AR1260" s="18" t="str">
        <f>IFERROR(VLOOKUP(K1260,[1]POP!$F:$J,1,0),M1260)</f>
        <v>KOLOFATA</v>
      </c>
      <c r="AS1260" s="18" t="str">
        <f t="shared" si="96"/>
        <v xml:space="preserve">TOLKOMARI </v>
      </c>
      <c r="AT1260" s="19">
        <f t="shared" si="99"/>
        <v>2</v>
      </c>
      <c r="AU1260" s="19">
        <f t="shared" ca="1" si="98"/>
        <v>2</v>
      </c>
    </row>
    <row r="1261" spans="1:47" x14ac:dyDescent="0.3">
      <c r="A1261" t="s">
        <v>1825</v>
      </c>
      <c r="B1261" t="str">
        <f t="shared" si="95"/>
        <v>S31_2026</v>
      </c>
      <c r="C1261" t="str">
        <f t="shared" si="97"/>
        <v>S31_2026</v>
      </c>
      <c r="F1261">
        <v>2</v>
      </c>
      <c r="G1261" t="s">
        <v>55</v>
      </c>
      <c r="H1261" t="s">
        <v>1817</v>
      </c>
      <c r="I1261" t="s">
        <v>1818</v>
      </c>
      <c r="J1261" t="s">
        <v>1818</v>
      </c>
      <c r="K1261" t="s">
        <v>146</v>
      </c>
      <c r="L1261" t="s">
        <v>851</v>
      </c>
      <c r="M1261" t="s">
        <v>146</v>
      </c>
      <c r="N1261" t="s">
        <v>45</v>
      </c>
      <c r="O1261" t="s">
        <v>45</v>
      </c>
      <c r="P1261">
        <v>3</v>
      </c>
      <c r="Q1261" s="7">
        <v>46230</v>
      </c>
      <c r="R1261" s="7">
        <v>46230</v>
      </c>
      <c r="S1261" s="7">
        <v>46230</v>
      </c>
      <c r="T1261" t="s">
        <v>45</v>
      </c>
      <c r="V1261" t="s">
        <v>1819</v>
      </c>
      <c r="W1261" t="s">
        <v>45</v>
      </c>
      <c r="X1261" t="s">
        <v>45</v>
      </c>
      <c r="Y1261" t="s">
        <v>45</v>
      </c>
      <c r="Z1261" t="s">
        <v>45</v>
      </c>
      <c r="AB1261" t="s">
        <v>48</v>
      </c>
      <c r="AC1261" t="s">
        <v>74</v>
      </c>
      <c r="AF1261">
        <v>2</v>
      </c>
      <c r="AH1261" t="s">
        <v>75</v>
      </c>
      <c r="AI1261">
        <v>1</v>
      </c>
      <c r="AJ1261" s="15"/>
      <c r="AK1261" t="s">
        <v>74</v>
      </c>
      <c r="AL1261" s="16"/>
      <c r="AR1261" s="18" t="str">
        <f>IFERROR(VLOOKUP(K1261,[1]POP!$F:$J,1,0),M1261)</f>
        <v>KOLOFATA</v>
      </c>
      <c r="AS1261" s="18" t="str">
        <f t="shared" si="96"/>
        <v xml:space="preserve">TOLKOMARI </v>
      </c>
      <c r="AT1261" s="19">
        <f t="shared" si="99"/>
        <v>2</v>
      </c>
      <c r="AU1261" s="19">
        <f t="shared" ca="1" si="98"/>
        <v>2</v>
      </c>
    </row>
    <row r="1262" spans="1:47" x14ac:dyDescent="0.3">
      <c r="A1262" t="s">
        <v>1826</v>
      </c>
      <c r="B1262" t="str">
        <f t="shared" si="95"/>
        <v>S31_2026</v>
      </c>
      <c r="C1262" t="str">
        <f t="shared" si="97"/>
        <v>S31_2026</v>
      </c>
      <c r="F1262">
        <v>2</v>
      </c>
      <c r="G1262" t="s">
        <v>55</v>
      </c>
      <c r="H1262" t="s">
        <v>1817</v>
      </c>
      <c r="I1262" t="s">
        <v>1818</v>
      </c>
      <c r="J1262" t="s">
        <v>1818</v>
      </c>
      <c r="K1262" t="s">
        <v>146</v>
      </c>
      <c r="L1262" t="s">
        <v>851</v>
      </c>
      <c r="M1262" t="s">
        <v>146</v>
      </c>
      <c r="N1262" t="s">
        <v>45</v>
      </c>
      <c r="O1262" t="s">
        <v>45</v>
      </c>
      <c r="P1262">
        <v>2</v>
      </c>
      <c r="Q1262" s="7">
        <v>46230</v>
      </c>
      <c r="R1262" s="7">
        <v>46230</v>
      </c>
      <c r="S1262" s="7">
        <v>46230</v>
      </c>
      <c r="T1262" t="s">
        <v>45</v>
      </c>
      <c r="V1262" t="s">
        <v>1819</v>
      </c>
      <c r="W1262" t="s">
        <v>45</v>
      </c>
      <c r="X1262" t="s">
        <v>45</v>
      </c>
      <c r="Y1262" t="s">
        <v>45</v>
      </c>
      <c r="Z1262" t="s">
        <v>45</v>
      </c>
      <c r="AB1262" t="s">
        <v>48</v>
      </c>
      <c r="AC1262" t="s">
        <v>74</v>
      </c>
      <c r="AF1262">
        <v>2</v>
      </c>
      <c r="AH1262" t="s">
        <v>75</v>
      </c>
      <c r="AI1262">
        <v>1</v>
      </c>
      <c r="AJ1262" s="15"/>
      <c r="AK1262" t="s">
        <v>74</v>
      </c>
      <c r="AL1262" s="16"/>
      <c r="AR1262" s="18" t="str">
        <f>IFERROR(VLOOKUP(K1262,[1]POP!$F:$J,1,0),M1262)</f>
        <v>KOLOFATA</v>
      </c>
      <c r="AS1262" s="18" t="str">
        <f t="shared" si="96"/>
        <v xml:space="preserve">TOLKOMARI </v>
      </c>
      <c r="AT1262" s="19">
        <f t="shared" si="99"/>
        <v>2</v>
      </c>
      <c r="AU1262" s="19">
        <f t="shared" ca="1" si="98"/>
        <v>2</v>
      </c>
    </row>
    <row r="1263" spans="1:47" x14ac:dyDescent="0.3">
      <c r="A1263" t="s">
        <v>1827</v>
      </c>
      <c r="B1263" t="str">
        <f t="shared" si="95"/>
        <v>S31_2026</v>
      </c>
      <c r="C1263" t="str">
        <f t="shared" si="97"/>
        <v>S31_2026</v>
      </c>
      <c r="F1263">
        <v>40</v>
      </c>
      <c r="G1263" t="s">
        <v>55</v>
      </c>
      <c r="H1263" t="s">
        <v>1828</v>
      </c>
      <c r="I1263" t="s">
        <v>1818</v>
      </c>
      <c r="J1263" t="s">
        <v>1818</v>
      </c>
      <c r="K1263" t="s">
        <v>146</v>
      </c>
      <c r="L1263" t="s">
        <v>851</v>
      </c>
      <c r="M1263" t="s">
        <v>146</v>
      </c>
      <c r="N1263" t="s">
        <v>45</v>
      </c>
      <c r="O1263" t="s">
        <v>45</v>
      </c>
      <c r="P1263">
        <v>2</v>
      </c>
      <c r="Q1263" s="7">
        <v>46230</v>
      </c>
      <c r="R1263" s="7">
        <v>46230</v>
      </c>
      <c r="S1263" s="7">
        <v>46230</v>
      </c>
      <c r="T1263" t="s">
        <v>45</v>
      </c>
      <c r="V1263" t="s">
        <v>1819</v>
      </c>
      <c r="W1263" t="s">
        <v>45</v>
      </c>
      <c r="X1263" t="s">
        <v>45</v>
      </c>
      <c r="Y1263" t="s">
        <v>45</v>
      </c>
      <c r="Z1263" t="s">
        <v>45</v>
      </c>
      <c r="AB1263" t="s">
        <v>48</v>
      </c>
      <c r="AC1263" t="s">
        <v>74</v>
      </c>
      <c r="AF1263">
        <v>2</v>
      </c>
      <c r="AH1263" t="s">
        <v>75</v>
      </c>
      <c r="AI1263">
        <v>1</v>
      </c>
      <c r="AJ1263" s="15"/>
      <c r="AK1263" t="s">
        <v>74</v>
      </c>
      <c r="AL1263" s="16"/>
      <c r="AR1263" s="18" t="str">
        <f>IFERROR(VLOOKUP(K1263,[1]POP!$F:$J,1,0),M1263)</f>
        <v>KOLOFATA</v>
      </c>
      <c r="AS1263" s="18" t="str">
        <f t="shared" si="96"/>
        <v xml:space="preserve">TOLKOMARI </v>
      </c>
      <c r="AT1263" s="19">
        <f t="shared" si="99"/>
        <v>2</v>
      </c>
      <c r="AU1263" s="19">
        <f t="shared" ca="1" si="98"/>
        <v>2</v>
      </c>
    </row>
    <row r="1264" spans="1:47" x14ac:dyDescent="0.3">
      <c r="A1264" t="s">
        <v>1829</v>
      </c>
      <c r="B1264" t="str">
        <f t="shared" si="95"/>
        <v>S31_2026</v>
      </c>
      <c r="C1264" t="str">
        <f t="shared" si="97"/>
        <v>S31_2026</v>
      </c>
      <c r="F1264">
        <v>15</v>
      </c>
      <c r="G1264" t="s">
        <v>55</v>
      </c>
      <c r="H1264" t="s">
        <v>1817</v>
      </c>
      <c r="I1264" t="s">
        <v>1818</v>
      </c>
      <c r="J1264" t="s">
        <v>1818</v>
      </c>
      <c r="K1264" t="s">
        <v>146</v>
      </c>
      <c r="L1264" t="s">
        <v>851</v>
      </c>
      <c r="M1264" t="s">
        <v>146</v>
      </c>
      <c r="N1264" t="s">
        <v>1830</v>
      </c>
      <c r="O1264" t="s">
        <v>45</v>
      </c>
      <c r="P1264">
        <v>3</v>
      </c>
      <c r="Q1264" s="7">
        <v>46230</v>
      </c>
      <c r="R1264" s="7">
        <v>46230</v>
      </c>
      <c r="S1264" s="7">
        <v>46230</v>
      </c>
      <c r="T1264" t="s">
        <v>45</v>
      </c>
      <c r="V1264" t="s">
        <v>1819</v>
      </c>
      <c r="W1264" t="s">
        <v>45</v>
      </c>
      <c r="X1264" t="s">
        <v>45</v>
      </c>
      <c r="Y1264" t="s">
        <v>45</v>
      </c>
      <c r="Z1264" t="s">
        <v>45</v>
      </c>
      <c r="AB1264" t="s">
        <v>48</v>
      </c>
      <c r="AC1264" t="s">
        <v>74</v>
      </c>
      <c r="AF1264">
        <v>2</v>
      </c>
      <c r="AH1264" t="s">
        <v>75</v>
      </c>
      <c r="AI1264">
        <v>1</v>
      </c>
      <c r="AJ1264" s="15"/>
      <c r="AK1264" t="s">
        <v>74</v>
      </c>
      <c r="AL1264" s="16"/>
      <c r="AR1264" s="18" t="str">
        <f>IFERROR(VLOOKUP(K1264,[1]POP!$F:$J,1,0),M1264)</f>
        <v>KOLOFATA</v>
      </c>
      <c r="AS1264" s="18" t="str">
        <f t="shared" si="96"/>
        <v xml:space="preserve">TOLKOMARI </v>
      </c>
      <c r="AT1264" s="19">
        <f t="shared" si="99"/>
        <v>2</v>
      </c>
      <c r="AU1264" s="19">
        <f t="shared" ca="1" si="98"/>
        <v>2</v>
      </c>
    </row>
    <row r="1265" spans="1:47" x14ac:dyDescent="0.3">
      <c r="A1265" t="s">
        <v>1831</v>
      </c>
      <c r="B1265" t="str">
        <f t="shared" si="95"/>
        <v>S31_2026</v>
      </c>
      <c r="C1265" t="str">
        <f t="shared" si="97"/>
        <v>S31_2026</v>
      </c>
      <c r="F1265">
        <v>65</v>
      </c>
      <c r="G1265" t="s">
        <v>55</v>
      </c>
      <c r="H1265" t="s">
        <v>1828</v>
      </c>
      <c r="I1265" t="s">
        <v>1818</v>
      </c>
      <c r="J1265" t="s">
        <v>1818</v>
      </c>
      <c r="K1265" t="s">
        <v>146</v>
      </c>
      <c r="L1265" t="s">
        <v>851</v>
      </c>
      <c r="M1265" t="s">
        <v>146</v>
      </c>
      <c r="N1265" t="s">
        <v>45</v>
      </c>
      <c r="O1265" t="s">
        <v>45</v>
      </c>
      <c r="P1265">
        <v>3</v>
      </c>
      <c r="Q1265" s="7">
        <v>46232</v>
      </c>
      <c r="R1265" s="7">
        <v>46232</v>
      </c>
      <c r="S1265" s="7">
        <v>46232</v>
      </c>
      <c r="T1265" t="s">
        <v>45</v>
      </c>
      <c r="V1265" t="s">
        <v>1819</v>
      </c>
      <c r="W1265" t="s">
        <v>45</v>
      </c>
      <c r="X1265" t="s">
        <v>45</v>
      </c>
      <c r="Y1265" t="s">
        <v>45</v>
      </c>
      <c r="Z1265" t="s">
        <v>45</v>
      </c>
      <c r="AB1265" t="s">
        <v>48</v>
      </c>
      <c r="AC1265" t="s">
        <v>74</v>
      </c>
      <c r="AF1265">
        <v>2</v>
      </c>
      <c r="AH1265" t="s">
        <v>75</v>
      </c>
      <c r="AI1265">
        <v>1</v>
      </c>
      <c r="AJ1265" s="15"/>
      <c r="AK1265" t="s">
        <v>74</v>
      </c>
      <c r="AL1265" s="16"/>
      <c r="AR1265" s="18" t="str">
        <f>IFERROR(VLOOKUP(K1265,[1]POP!$F:$J,1,0),M1265)</f>
        <v>KOLOFATA</v>
      </c>
      <c r="AS1265" s="18" t="str">
        <f t="shared" si="96"/>
        <v xml:space="preserve">TOLKOMARI </v>
      </c>
      <c r="AT1265" s="19">
        <f t="shared" si="99"/>
        <v>2</v>
      </c>
      <c r="AU1265" s="19">
        <f t="shared" ca="1" si="98"/>
        <v>2</v>
      </c>
    </row>
    <row r="1266" spans="1:47" x14ac:dyDescent="0.3">
      <c r="A1266" t="s">
        <v>1832</v>
      </c>
      <c r="B1266" t="str">
        <f t="shared" si="95"/>
        <v>S31_2026</v>
      </c>
      <c r="C1266" t="str">
        <f t="shared" si="97"/>
        <v>S31_2026</v>
      </c>
      <c r="F1266">
        <v>8</v>
      </c>
      <c r="G1266" t="s">
        <v>55</v>
      </c>
      <c r="H1266" t="s">
        <v>1817</v>
      </c>
      <c r="I1266" t="s">
        <v>1818</v>
      </c>
      <c r="J1266" t="s">
        <v>1818</v>
      </c>
      <c r="K1266" t="s">
        <v>146</v>
      </c>
      <c r="L1266" t="s">
        <v>851</v>
      </c>
      <c r="M1266" t="s">
        <v>146</v>
      </c>
      <c r="N1266" t="s">
        <v>45</v>
      </c>
      <c r="O1266" t="s">
        <v>45</v>
      </c>
      <c r="P1266">
        <v>3</v>
      </c>
      <c r="Q1266" s="7">
        <v>46232</v>
      </c>
      <c r="R1266" s="7">
        <v>46232</v>
      </c>
      <c r="S1266" s="7">
        <v>46232</v>
      </c>
      <c r="T1266" t="s">
        <v>45</v>
      </c>
      <c r="V1266" t="s">
        <v>1819</v>
      </c>
      <c r="W1266" t="s">
        <v>45</v>
      </c>
      <c r="X1266" t="s">
        <v>45</v>
      </c>
      <c r="Y1266" t="s">
        <v>45</v>
      </c>
      <c r="Z1266" t="s">
        <v>45</v>
      </c>
      <c r="AB1266" t="s">
        <v>48</v>
      </c>
      <c r="AC1266" t="s">
        <v>74</v>
      </c>
      <c r="AF1266">
        <v>2</v>
      </c>
      <c r="AH1266" t="s">
        <v>75</v>
      </c>
      <c r="AI1266">
        <v>1</v>
      </c>
      <c r="AJ1266" s="15"/>
      <c r="AK1266" t="s">
        <v>74</v>
      </c>
      <c r="AL1266" s="16"/>
      <c r="AR1266" s="18" t="str">
        <f>IFERROR(VLOOKUP(K1266,[1]POP!$F:$J,1,0),M1266)</f>
        <v>KOLOFATA</v>
      </c>
      <c r="AS1266" s="18" t="str">
        <f t="shared" si="96"/>
        <v xml:space="preserve">TOLKOMARI </v>
      </c>
      <c r="AT1266" s="19">
        <f t="shared" si="99"/>
        <v>2</v>
      </c>
      <c r="AU1266" s="19">
        <f t="shared" ca="1" si="98"/>
        <v>2</v>
      </c>
    </row>
    <row r="1267" spans="1:47" x14ac:dyDescent="0.3">
      <c r="A1267" t="s">
        <v>1833</v>
      </c>
      <c r="B1267" t="str">
        <f t="shared" si="95"/>
        <v>S32_2026</v>
      </c>
      <c r="C1267" t="str">
        <f t="shared" si="97"/>
        <v>S32_2026</v>
      </c>
      <c r="F1267">
        <v>18</v>
      </c>
      <c r="G1267" t="s">
        <v>55</v>
      </c>
      <c r="H1267" t="s">
        <v>1828</v>
      </c>
      <c r="I1267" t="s">
        <v>1818</v>
      </c>
      <c r="J1267" t="s">
        <v>1818</v>
      </c>
      <c r="K1267" t="s">
        <v>146</v>
      </c>
      <c r="L1267" t="s">
        <v>851</v>
      </c>
      <c r="M1267" t="s">
        <v>146</v>
      </c>
      <c r="N1267" t="s">
        <v>45</v>
      </c>
      <c r="O1267" t="s">
        <v>45</v>
      </c>
      <c r="P1267">
        <v>2</v>
      </c>
      <c r="Q1267" s="7">
        <v>46240</v>
      </c>
      <c r="R1267" s="7">
        <v>46240</v>
      </c>
      <c r="S1267" s="7">
        <v>46240</v>
      </c>
      <c r="T1267" t="s">
        <v>45</v>
      </c>
      <c r="V1267" t="s">
        <v>1819</v>
      </c>
      <c r="W1267" t="s">
        <v>45</v>
      </c>
      <c r="X1267" t="s">
        <v>45</v>
      </c>
      <c r="Y1267" t="s">
        <v>45</v>
      </c>
      <c r="Z1267" t="s">
        <v>45</v>
      </c>
      <c r="AB1267" t="s">
        <v>48</v>
      </c>
      <c r="AC1267" t="s">
        <v>74</v>
      </c>
      <c r="AF1267">
        <v>2</v>
      </c>
      <c r="AH1267" t="s">
        <v>75</v>
      </c>
      <c r="AI1267">
        <v>1</v>
      </c>
      <c r="AJ1267" s="15"/>
      <c r="AK1267" t="s">
        <v>74</v>
      </c>
      <c r="AL1267" s="16"/>
      <c r="AR1267" s="18" t="str">
        <f>IFERROR(VLOOKUP(K1267,[1]POP!$F:$J,1,0),M1267)</f>
        <v>KOLOFATA</v>
      </c>
      <c r="AS1267" s="18" t="str">
        <f t="shared" si="96"/>
        <v xml:space="preserve">TOLKOMARI </v>
      </c>
      <c r="AT1267" s="19">
        <f t="shared" si="99"/>
        <v>2</v>
      </c>
      <c r="AU1267" s="19">
        <f t="shared" ca="1" si="98"/>
        <v>2</v>
      </c>
    </row>
    <row r="1268" spans="1:47" x14ac:dyDescent="0.3">
      <c r="A1268" t="s">
        <v>1834</v>
      </c>
      <c r="B1268" t="str">
        <f t="shared" si="95"/>
        <v>S32_2026</v>
      </c>
      <c r="C1268" t="str">
        <f t="shared" si="97"/>
        <v>S32_2026</v>
      </c>
      <c r="F1268">
        <v>11</v>
      </c>
      <c r="G1268" t="s">
        <v>55</v>
      </c>
      <c r="H1268" t="s">
        <v>1817</v>
      </c>
      <c r="I1268" t="s">
        <v>1818</v>
      </c>
      <c r="J1268" t="s">
        <v>1818</v>
      </c>
      <c r="K1268" t="s">
        <v>146</v>
      </c>
      <c r="L1268" t="s">
        <v>851</v>
      </c>
      <c r="M1268" t="s">
        <v>146</v>
      </c>
      <c r="N1268" t="s">
        <v>45</v>
      </c>
      <c r="O1268" t="s">
        <v>45</v>
      </c>
      <c r="P1268">
        <v>2</v>
      </c>
      <c r="Q1268" s="7">
        <v>46240</v>
      </c>
      <c r="R1268" s="7">
        <v>46240</v>
      </c>
      <c r="S1268" s="7">
        <v>46240</v>
      </c>
      <c r="T1268" t="s">
        <v>45</v>
      </c>
      <c r="V1268" t="s">
        <v>1819</v>
      </c>
      <c r="W1268" t="s">
        <v>45</v>
      </c>
      <c r="X1268" t="s">
        <v>45</v>
      </c>
      <c r="Y1268" t="s">
        <v>45</v>
      </c>
      <c r="Z1268" t="s">
        <v>45</v>
      </c>
      <c r="AB1268" t="s">
        <v>48</v>
      </c>
      <c r="AC1268" t="s">
        <v>74</v>
      </c>
      <c r="AF1268">
        <v>2</v>
      </c>
      <c r="AH1268" t="s">
        <v>75</v>
      </c>
      <c r="AI1268">
        <v>1</v>
      </c>
      <c r="AJ1268" s="15"/>
      <c r="AK1268" t="s">
        <v>74</v>
      </c>
      <c r="AL1268" s="16"/>
      <c r="AR1268" s="18" t="str">
        <f>IFERROR(VLOOKUP(K1268,[1]POP!$F:$J,1,0),M1268)</f>
        <v>KOLOFATA</v>
      </c>
      <c r="AS1268" s="18" t="str">
        <f t="shared" si="96"/>
        <v xml:space="preserve">TOLKOMARI </v>
      </c>
      <c r="AT1268" s="19">
        <f t="shared" si="99"/>
        <v>2</v>
      </c>
      <c r="AU1268" s="19">
        <f t="shared" ca="1" si="98"/>
        <v>2</v>
      </c>
    </row>
    <row r="1269" spans="1:47" x14ac:dyDescent="0.3">
      <c r="A1269" t="s">
        <v>1835</v>
      </c>
      <c r="B1269" t="str">
        <f t="shared" si="95"/>
        <v>S33_2026</v>
      </c>
      <c r="C1269" t="str">
        <f t="shared" si="97"/>
        <v>S33_2026</v>
      </c>
      <c r="F1269">
        <v>36</v>
      </c>
      <c r="G1269" t="s">
        <v>55</v>
      </c>
      <c r="H1269" t="s">
        <v>1828</v>
      </c>
      <c r="I1269" t="s">
        <v>1818</v>
      </c>
      <c r="J1269" t="s">
        <v>1818</v>
      </c>
      <c r="K1269" t="s">
        <v>1836</v>
      </c>
      <c r="L1269" t="s">
        <v>851</v>
      </c>
      <c r="M1269" t="s">
        <v>146</v>
      </c>
      <c r="N1269" t="s">
        <v>45</v>
      </c>
      <c r="O1269" t="s">
        <v>45</v>
      </c>
      <c r="P1269">
        <v>3</v>
      </c>
      <c r="Q1269" s="7">
        <v>46245</v>
      </c>
      <c r="R1269" s="7">
        <v>46245</v>
      </c>
      <c r="S1269" s="7">
        <v>46245</v>
      </c>
      <c r="T1269" t="s">
        <v>45</v>
      </c>
      <c r="V1269" t="s">
        <v>1819</v>
      </c>
      <c r="W1269" t="s">
        <v>1830</v>
      </c>
      <c r="X1269" t="s">
        <v>1830</v>
      </c>
      <c r="Y1269" t="s">
        <v>45</v>
      </c>
      <c r="Z1269" t="s">
        <v>45</v>
      </c>
      <c r="AF1269">
        <v>2</v>
      </c>
      <c r="AH1269" t="s">
        <v>75</v>
      </c>
      <c r="AI1269">
        <v>1</v>
      </c>
      <c r="AJ1269" s="15"/>
      <c r="AK1269" t="s">
        <v>1720</v>
      </c>
      <c r="AL1269" s="16"/>
      <c r="AR1269" s="18" t="str">
        <f>IFERROR(VLOOKUP(K1269,[1]POP!$F:$J,1,0),M1269)</f>
        <v>KOLOFATA</v>
      </c>
      <c r="AS1269" s="18" t="str">
        <f t="shared" si="96"/>
        <v>TOLKOMARI</v>
      </c>
      <c r="AT1269" s="19">
        <f t="shared" si="99"/>
        <v>2</v>
      </c>
      <c r="AU1269" s="19">
        <f t="shared" ca="1" si="98"/>
        <v>2</v>
      </c>
    </row>
    <row r="1270" spans="1:47" x14ac:dyDescent="0.3">
      <c r="A1270" t="s">
        <v>1837</v>
      </c>
      <c r="B1270" t="str">
        <f t="shared" si="95"/>
        <v>S33_2026</v>
      </c>
      <c r="C1270" t="str">
        <f t="shared" si="97"/>
        <v>S33_2026</v>
      </c>
      <c r="F1270">
        <v>9</v>
      </c>
      <c r="G1270" t="s">
        <v>40</v>
      </c>
      <c r="H1270" t="s">
        <v>1817</v>
      </c>
      <c r="I1270" t="s">
        <v>1818</v>
      </c>
      <c r="J1270" t="s">
        <v>1818</v>
      </c>
      <c r="K1270" t="s">
        <v>1836</v>
      </c>
      <c r="L1270" t="s">
        <v>851</v>
      </c>
      <c r="M1270" t="s">
        <v>146</v>
      </c>
      <c r="N1270" t="s">
        <v>45</v>
      </c>
      <c r="O1270" t="s">
        <v>1838</v>
      </c>
      <c r="P1270">
        <v>2</v>
      </c>
      <c r="Q1270" s="7">
        <v>46248</v>
      </c>
      <c r="R1270" s="7">
        <v>46248</v>
      </c>
      <c r="S1270" s="7">
        <v>46248</v>
      </c>
      <c r="T1270" t="s">
        <v>45</v>
      </c>
      <c r="V1270" t="s">
        <v>1819</v>
      </c>
      <c r="W1270" t="s">
        <v>1830</v>
      </c>
      <c r="X1270" t="s">
        <v>1830</v>
      </c>
      <c r="Y1270" t="s">
        <v>1830</v>
      </c>
      <c r="Z1270" t="s">
        <v>1830</v>
      </c>
      <c r="AF1270">
        <v>2</v>
      </c>
      <c r="AH1270" t="s">
        <v>75</v>
      </c>
      <c r="AI1270">
        <v>1</v>
      </c>
      <c r="AJ1270" s="15"/>
      <c r="AK1270" t="s">
        <v>1720</v>
      </c>
      <c r="AL1270" s="16"/>
      <c r="AR1270" s="18" t="str">
        <f>IFERROR(VLOOKUP(K1270,[1]POP!$F:$J,1,0),M1270)</f>
        <v>KOLOFATA</v>
      </c>
      <c r="AS1270" s="18" t="str">
        <f t="shared" si="96"/>
        <v>TOLKOMARI</v>
      </c>
      <c r="AT1270" s="19">
        <f t="shared" si="99"/>
        <v>2</v>
      </c>
      <c r="AU1270" s="19">
        <f t="shared" ca="1" si="98"/>
        <v>1</v>
      </c>
    </row>
    <row r="1271" spans="1:47" x14ac:dyDescent="0.3">
      <c r="A1271" t="s">
        <v>1839</v>
      </c>
      <c r="B1271" t="str">
        <f t="shared" si="95"/>
        <v>S33_2026</v>
      </c>
      <c r="C1271" t="str">
        <f t="shared" si="97"/>
        <v>S33_2026</v>
      </c>
      <c r="F1271">
        <v>12</v>
      </c>
      <c r="G1271" t="s">
        <v>40</v>
      </c>
      <c r="H1271" t="s">
        <v>1817</v>
      </c>
      <c r="I1271" t="s">
        <v>1818</v>
      </c>
      <c r="J1271" t="s">
        <v>1818</v>
      </c>
      <c r="K1271" t="s">
        <v>1836</v>
      </c>
      <c r="L1271" t="s">
        <v>851</v>
      </c>
      <c r="M1271" t="s">
        <v>146</v>
      </c>
      <c r="N1271" t="s">
        <v>45</v>
      </c>
      <c r="O1271" t="s">
        <v>45</v>
      </c>
      <c r="P1271">
        <v>3</v>
      </c>
      <c r="Q1271" s="7">
        <v>46248</v>
      </c>
      <c r="R1271" s="7">
        <v>46248</v>
      </c>
      <c r="S1271" s="7">
        <v>46248</v>
      </c>
      <c r="T1271" t="s">
        <v>45</v>
      </c>
      <c r="V1271" t="s">
        <v>1819</v>
      </c>
      <c r="W1271" t="s">
        <v>1830</v>
      </c>
      <c r="X1271" t="s">
        <v>1830</v>
      </c>
      <c r="Y1271" t="s">
        <v>1830</v>
      </c>
      <c r="Z1271" t="s">
        <v>1830</v>
      </c>
      <c r="AF1271">
        <v>2</v>
      </c>
      <c r="AH1271" t="s">
        <v>75</v>
      </c>
      <c r="AI1271">
        <v>1</v>
      </c>
      <c r="AJ1271" s="15"/>
      <c r="AK1271" t="s">
        <v>1720</v>
      </c>
      <c r="AL1271" s="16"/>
      <c r="AR1271" s="18" t="str">
        <f>IFERROR(VLOOKUP(K1271,[1]POP!$F:$J,1,0),M1271)</f>
        <v>KOLOFATA</v>
      </c>
      <c r="AS1271" s="18" t="str">
        <f t="shared" si="96"/>
        <v>TOLKOMARI</v>
      </c>
      <c r="AT1271" s="19">
        <f t="shared" si="99"/>
        <v>2</v>
      </c>
      <c r="AU1271" s="19">
        <f t="shared" ca="1" si="98"/>
        <v>1</v>
      </c>
    </row>
    <row r="1272" spans="1:47" x14ac:dyDescent="0.3">
      <c r="A1272" t="s">
        <v>1840</v>
      </c>
      <c r="B1272" t="str">
        <f t="shared" si="95"/>
        <v>S33_2026</v>
      </c>
      <c r="C1272" t="str">
        <f t="shared" si="97"/>
        <v>S33_2026</v>
      </c>
      <c r="F1272">
        <v>2</v>
      </c>
      <c r="G1272" t="s">
        <v>55</v>
      </c>
      <c r="H1272" t="s">
        <v>1817</v>
      </c>
      <c r="I1272" t="s">
        <v>1818</v>
      </c>
      <c r="J1272" t="s">
        <v>1818</v>
      </c>
      <c r="K1272" t="s">
        <v>1836</v>
      </c>
      <c r="L1272" t="s">
        <v>851</v>
      </c>
      <c r="M1272" t="s">
        <v>146</v>
      </c>
      <c r="N1272" t="s">
        <v>45</v>
      </c>
      <c r="O1272" t="s">
        <v>45</v>
      </c>
      <c r="P1272">
        <v>3</v>
      </c>
      <c r="Q1272" s="7">
        <v>46248</v>
      </c>
      <c r="R1272" s="7">
        <v>46248</v>
      </c>
      <c r="S1272" s="7">
        <v>46248</v>
      </c>
      <c r="T1272" t="s">
        <v>45</v>
      </c>
      <c r="V1272" t="s">
        <v>1819</v>
      </c>
      <c r="W1272" t="s">
        <v>1830</v>
      </c>
      <c r="X1272" t="s">
        <v>1830</v>
      </c>
      <c r="Y1272" t="s">
        <v>1830</v>
      </c>
      <c r="Z1272" t="s">
        <v>45</v>
      </c>
      <c r="AF1272">
        <v>2</v>
      </c>
      <c r="AH1272" t="s">
        <v>75</v>
      </c>
      <c r="AI1272">
        <v>1</v>
      </c>
      <c r="AJ1272" s="15"/>
      <c r="AK1272" t="s">
        <v>1720</v>
      </c>
      <c r="AL1272" s="16"/>
      <c r="AR1272" s="18" t="str">
        <f>IFERROR(VLOOKUP(K1272,[1]POP!$F:$J,1,0),M1272)</f>
        <v>KOLOFATA</v>
      </c>
      <c r="AS1272" s="18" t="str">
        <f t="shared" si="96"/>
        <v>TOLKOMARI</v>
      </c>
      <c r="AT1272" s="19">
        <f t="shared" si="99"/>
        <v>2</v>
      </c>
      <c r="AU1272" s="19">
        <f t="shared" ca="1" si="98"/>
        <v>1</v>
      </c>
    </row>
    <row r="1273" spans="1:47" x14ac:dyDescent="0.3">
      <c r="A1273" t="s">
        <v>1841</v>
      </c>
      <c r="B1273" t="str">
        <f t="shared" si="95"/>
        <v>S32_2026</v>
      </c>
      <c r="C1273" t="str">
        <f t="shared" si="97"/>
        <v>S32_2026</v>
      </c>
      <c r="F1273">
        <v>2</v>
      </c>
      <c r="G1273" t="s">
        <v>55</v>
      </c>
      <c r="I1273" t="s">
        <v>1842</v>
      </c>
      <c r="J1273" t="s">
        <v>401</v>
      </c>
      <c r="K1273" t="s">
        <v>401</v>
      </c>
      <c r="L1273" t="s">
        <v>124</v>
      </c>
      <c r="M1273" t="s">
        <v>124</v>
      </c>
      <c r="N1273" t="s">
        <v>45</v>
      </c>
      <c r="O1273" t="s">
        <v>45</v>
      </c>
      <c r="P1273">
        <v>1</v>
      </c>
      <c r="Q1273" s="7">
        <v>46241</v>
      </c>
      <c r="R1273" s="7">
        <v>46241</v>
      </c>
      <c r="S1273" s="7">
        <v>46241</v>
      </c>
      <c r="T1273" t="s">
        <v>45</v>
      </c>
      <c r="V1273" t="s">
        <v>574</v>
      </c>
      <c r="W1273" t="s">
        <v>45</v>
      </c>
      <c r="X1273" t="s">
        <v>45</v>
      </c>
      <c r="Y1273" t="s">
        <v>45</v>
      </c>
      <c r="Z1273" t="s">
        <v>45</v>
      </c>
      <c r="AF1273">
        <v>2</v>
      </c>
      <c r="AH1273" t="s">
        <v>75</v>
      </c>
      <c r="AI1273">
        <v>1</v>
      </c>
      <c r="AJ1273" s="15"/>
      <c r="AL1273" s="16"/>
      <c r="AR1273" s="18" t="str">
        <f>IFERROR(VLOOKUP(K1273,[1]POP!$F:$J,1,0),M1273)</f>
        <v>MADA</v>
      </c>
      <c r="AS1273" s="18" t="str">
        <f t="shared" si="96"/>
        <v>MADA</v>
      </c>
      <c r="AT1273" s="19">
        <f t="shared" si="99"/>
        <v>2</v>
      </c>
      <c r="AU1273" s="19">
        <f t="shared" ca="1" si="98"/>
        <v>2</v>
      </c>
    </row>
    <row r="1274" spans="1:47" x14ac:dyDescent="0.3">
      <c r="A1274" t="s">
        <v>1843</v>
      </c>
      <c r="B1274" t="str">
        <f t="shared" si="95"/>
        <v>S32_2026</v>
      </c>
      <c r="C1274" t="str">
        <f t="shared" si="97"/>
        <v>S32_2026</v>
      </c>
      <c r="F1274">
        <v>5</v>
      </c>
      <c r="G1274" t="s">
        <v>40</v>
      </c>
      <c r="I1274" t="s">
        <v>1844</v>
      </c>
      <c r="J1274" t="s">
        <v>1845</v>
      </c>
      <c r="K1274" t="s">
        <v>401</v>
      </c>
      <c r="L1274" t="s">
        <v>124</v>
      </c>
      <c r="M1274" t="s">
        <v>124</v>
      </c>
      <c r="N1274" t="s">
        <v>45</v>
      </c>
      <c r="O1274" t="s">
        <v>45</v>
      </c>
      <c r="P1274">
        <v>1</v>
      </c>
      <c r="Q1274" s="7">
        <v>46241</v>
      </c>
      <c r="R1274" s="7">
        <v>46241</v>
      </c>
      <c r="S1274" s="7">
        <v>46241</v>
      </c>
      <c r="T1274" t="s">
        <v>45</v>
      </c>
      <c r="V1274" t="s">
        <v>574</v>
      </c>
      <c r="W1274" t="s">
        <v>45</v>
      </c>
      <c r="X1274" t="s">
        <v>45</v>
      </c>
      <c r="Y1274" t="s">
        <v>45</v>
      </c>
      <c r="Z1274" t="s">
        <v>45</v>
      </c>
      <c r="AF1274">
        <v>2</v>
      </c>
      <c r="AH1274" t="s">
        <v>75</v>
      </c>
      <c r="AI1274">
        <v>1</v>
      </c>
      <c r="AJ1274" s="15"/>
      <c r="AL1274" s="16"/>
      <c r="AR1274" s="18" t="str">
        <f>IFERROR(VLOOKUP(K1274,[1]POP!$F:$J,1,0),M1274)</f>
        <v>MADA</v>
      </c>
      <c r="AS1274" s="18" t="str">
        <f t="shared" si="96"/>
        <v>MADA</v>
      </c>
      <c r="AT1274" s="19">
        <f t="shared" si="99"/>
        <v>2</v>
      </c>
      <c r="AU1274" s="19">
        <f t="shared" ca="1" si="98"/>
        <v>2</v>
      </c>
    </row>
    <row r="1275" spans="1:47" x14ac:dyDescent="0.3">
      <c r="A1275" t="s">
        <v>1846</v>
      </c>
      <c r="B1275" t="str">
        <f t="shared" si="95"/>
        <v>S32_2026</v>
      </c>
      <c r="C1275" t="str">
        <f t="shared" si="97"/>
        <v>S32_2026</v>
      </c>
      <c r="F1275">
        <v>8</v>
      </c>
      <c r="G1275" t="s">
        <v>55</v>
      </c>
      <c r="I1275" t="s">
        <v>1847</v>
      </c>
      <c r="J1275" t="s">
        <v>401</v>
      </c>
      <c r="K1275" t="s">
        <v>401</v>
      </c>
      <c r="L1275" t="s">
        <v>124</v>
      </c>
      <c r="M1275" t="s">
        <v>124</v>
      </c>
      <c r="N1275" t="s">
        <v>45</v>
      </c>
      <c r="O1275" t="s">
        <v>45</v>
      </c>
      <c r="P1275">
        <v>1</v>
      </c>
      <c r="Q1275" s="7">
        <v>46241</v>
      </c>
      <c r="R1275" s="7">
        <v>46241</v>
      </c>
      <c r="S1275" s="7">
        <v>46241</v>
      </c>
      <c r="T1275" t="s">
        <v>45</v>
      </c>
      <c r="V1275" t="s">
        <v>574</v>
      </c>
      <c r="W1275" t="s">
        <v>45</v>
      </c>
      <c r="X1275" t="s">
        <v>45</v>
      </c>
      <c r="Y1275" t="s">
        <v>45</v>
      </c>
      <c r="Z1275" t="s">
        <v>45</v>
      </c>
      <c r="AF1275">
        <v>2</v>
      </c>
      <c r="AH1275" t="s">
        <v>75</v>
      </c>
      <c r="AI1275">
        <v>1</v>
      </c>
      <c r="AJ1275" s="15"/>
      <c r="AL1275" s="16"/>
      <c r="AR1275" s="18" t="str">
        <f>IFERROR(VLOOKUP(K1275,[1]POP!$F:$J,1,0),M1275)</f>
        <v>MADA</v>
      </c>
      <c r="AS1275" s="18" t="str">
        <f t="shared" si="96"/>
        <v>MADA</v>
      </c>
      <c r="AT1275" s="19">
        <f t="shared" si="99"/>
        <v>2</v>
      </c>
      <c r="AU1275" s="19">
        <f t="shared" ca="1" si="98"/>
        <v>2</v>
      </c>
    </row>
    <row r="1276" spans="1:47" x14ac:dyDescent="0.3">
      <c r="A1276" t="s">
        <v>1848</v>
      </c>
      <c r="B1276" t="str">
        <f t="shared" si="95"/>
        <v>S32_2026</v>
      </c>
      <c r="C1276" t="str">
        <f t="shared" si="97"/>
        <v>S32_2026</v>
      </c>
      <c r="F1276">
        <v>8</v>
      </c>
      <c r="G1276" t="s">
        <v>40</v>
      </c>
      <c r="I1276" t="s">
        <v>1849</v>
      </c>
      <c r="J1276" t="s">
        <v>1850</v>
      </c>
      <c r="K1276" t="s">
        <v>401</v>
      </c>
      <c r="L1276" t="s">
        <v>124</v>
      </c>
      <c r="M1276" t="s">
        <v>124</v>
      </c>
      <c r="N1276" t="s">
        <v>45</v>
      </c>
      <c r="O1276" t="s">
        <v>45</v>
      </c>
      <c r="P1276">
        <v>1</v>
      </c>
      <c r="Q1276" s="7">
        <v>46241</v>
      </c>
      <c r="R1276" s="7">
        <v>46242</v>
      </c>
      <c r="S1276" s="7">
        <v>46242</v>
      </c>
      <c r="T1276" t="s">
        <v>45</v>
      </c>
      <c r="V1276" t="s">
        <v>574</v>
      </c>
      <c r="W1276" t="s">
        <v>45</v>
      </c>
      <c r="X1276" t="s">
        <v>45</v>
      </c>
      <c r="Y1276" t="s">
        <v>45</v>
      </c>
      <c r="Z1276" t="s">
        <v>45</v>
      </c>
      <c r="AF1276">
        <v>2</v>
      </c>
      <c r="AH1276" t="s">
        <v>75</v>
      </c>
      <c r="AI1276">
        <v>1</v>
      </c>
      <c r="AJ1276" s="15"/>
      <c r="AL1276" s="16"/>
      <c r="AR1276" s="18" t="str">
        <f>IFERROR(VLOOKUP(K1276,[1]POP!$F:$J,1,0),M1276)</f>
        <v>MADA</v>
      </c>
      <c r="AS1276" s="18" t="str">
        <f t="shared" si="96"/>
        <v>MADA</v>
      </c>
      <c r="AT1276" s="19">
        <f t="shared" si="99"/>
        <v>2</v>
      </c>
      <c r="AU1276" s="19">
        <f t="shared" ca="1" si="98"/>
        <v>2</v>
      </c>
    </row>
    <row r="1277" spans="1:47" x14ac:dyDescent="0.3">
      <c r="A1277" t="s">
        <v>1851</v>
      </c>
      <c r="B1277" t="str">
        <f t="shared" si="95"/>
        <v>S32_2026</v>
      </c>
      <c r="C1277" t="str">
        <f t="shared" si="97"/>
        <v>S32_2026</v>
      </c>
      <c r="F1277">
        <v>30</v>
      </c>
      <c r="G1277" t="s">
        <v>40</v>
      </c>
      <c r="I1277" t="s">
        <v>1844</v>
      </c>
      <c r="J1277" t="s">
        <v>401</v>
      </c>
      <c r="K1277" t="s">
        <v>401</v>
      </c>
      <c r="L1277" t="s">
        <v>124</v>
      </c>
      <c r="M1277" t="s">
        <v>124</v>
      </c>
      <c r="N1277" t="s">
        <v>45</v>
      </c>
      <c r="O1277" t="s">
        <v>45</v>
      </c>
      <c r="P1277">
        <v>2</v>
      </c>
      <c r="Q1277" s="7">
        <v>46241</v>
      </c>
      <c r="R1277" s="7">
        <v>46241</v>
      </c>
      <c r="S1277" s="7">
        <v>46241</v>
      </c>
      <c r="T1277" t="s">
        <v>45</v>
      </c>
      <c r="V1277" t="s">
        <v>574</v>
      </c>
      <c r="W1277" t="s">
        <v>45</v>
      </c>
      <c r="X1277" t="s">
        <v>45</v>
      </c>
      <c r="Y1277" t="s">
        <v>45</v>
      </c>
      <c r="Z1277" t="s">
        <v>45</v>
      </c>
      <c r="AF1277">
        <v>2</v>
      </c>
      <c r="AH1277" t="s">
        <v>75</v>
      </c>
      <c r="AI1277">
        <v>1</v>
      </c>
      <c r="AJ1277" s="15"/>
      <c r="AL1277" s="16"/>
      <c r="AR1277" s="18" t="str">
        <f>IFERROR(VLOOKUP(K1277,[1]POP!$F:$J,1,0),M1277)</f>
        <v>MADA</v>
      </c>
      <c r="AS1277" s="18" t="str">
        <f t="shared" si="96"/>
        <v>MADA</v>
      </c>
      <c r="AT1277" s="19">
        <f t="shared" si="99"/>
        <v>2</v>
      </c>
      <c r="AU1277" s="19">
        <f t="shared" ca="1" si="98"/>
        <v>2</v>
      </c>
    </row>
    <row r="1278" spans="1:47" x14ac:dyDescent="0.3">
      <c r="A1278" t="s">
        <v>1852</v>
      </c>
      <c r="B1278" t="str">
        <f t="shared" si="95"/>
        <v>S32_2026</v>
      </c>
      <c r="C1278" t="str">
        <f t="shared" si="97"/>
        <v>S32_2026</v>
      </c>
      <c r="F1278">
        <v>7</v>
      </c>
      <c r="G1278" t="s">
        <v>40</v>
      </c>
      <c r="I1278" t="s">
        <v>985</v>
      </c>
      <c r="J1278" t="s">
        <v>985</v>
      </c>
      <c r="K1278" t="s">
        <v>985</v>
      </c>
      <c r="L1278" t="s">
        <v>124</v>
      </c>
      <c r="M1278" t="s">
        <v>124</v>
      </c>
      <c r="N1278" t="s">
        <v>45</v>
      </c>
      <c r="O1278" t="s">
        <v>45</v>
      </c>
      <c r="P1278">
        <v>3</v>
      </c>
      <c r="Q1278" s="7">
        <v>46241</v>
      </c>
      <c r="R1278" s="7">
        <v>46242</v>
      </c>
      <c r="S1278" s="7">
        <v>46242</v>
      </c>
      <c r="T1278" t="s">
        <v>45</v>
      </c>
      <c r="V1278" t="s">
        <v>986</v>
      </c>
      <c r="W1278" t="s">
        <v>45</v>
      </c>
      <c r="X1278" t="s">
        <v>45</v>
      </c>
      <c r="Y1278" t="s">
        <v>45</v>
      </c>
      <c r="Z1278" t="s">
        <v>45</v>
      </c>
      <c r="AF1278">
        <v>2</v>
      </c>
      <c r="AH1278" t="s">
        <v>75</v>
      </c>
      <c r="AI1278">
        <v>1</v>
      </c>
      <c r="AJ1278" s="15"/>
      <c r="AL1278" s="16"/>
      <c r="AR1278" s="18" t="str">
        <f>IFERROR(VLOOKUP(K1278,[1]POP!$F:$J,1,0),M1278)</f>
        <v>MADA</v>
      </c>
      <c r="AS1278" s="18" t="str">
        <f t="shared" si="96"/>
        <v>MADA</v>
      </c>
      <c r="AT1278" s="19">
        <f t="shared" si="99"/>
        <v>2</v>
      </c>
      <c r="AU1278" s="19">
        <f t="shared" ca="1" si="98"/>
        <v>2</v>
      </c>
    </row>
    <row r="1279" spans="1:47" x14ac:dyDescent="0.3">
      <c r="A1279" t="s">
        <v>1853</v>
      </c>
      <c r="B1279" t="str">
        <f t="shared" si="95"/>
        <v>S32_2026</v>
      </c>
      <c r="C1279" t="str">
        <f t="shared" si="97"/>
        <v>S32_2026</v>
      </c>
      <c r="F1279">
        <v>17</v>
      </c>
      <c r="G1279" t="s">
        <v>40</v>
      </c>
      <c r="I1279" t="s">
        <v>985</v>
      </c>
      <c r="J1279" t="s">
        <v>985</v>
      </c>
      <c r="K1279" t="s">
        <v>985</v>
      </c>
      <c r="L1279" t="s">
        <v>124</v>
      </c>
      <c r="M1279" t="s">
        <v>124</v>
      </c>
      <c r="N1279" t="s">
        <v>45</v>
      </c>
      <c r="O1279" t="s">
        <v>45</v>
      </c>
      <c r="P1279">
        <v>3</v>
      </c>
      <c r="Q1279" s="7">
        <v>46241</v>
      </c>
      <c r="R1279" s="7">
        <v>46242</v>
      </c>
      <c r="S1279" s="7">
        <v>46242</v>
      </c>
      <c r="T1279" t="s">
        <v>45</v>
      </c>
      <c r="V1279" t="s">
        <v>986</v>
      </c>
      <c r="W1279" t="s">
        <v>45</v>
      </c>
      <c r="X1279" t="s">
        <v>45</v>
      </c>
      <c r="Y1279" t="s">
        <v>45</v>
      </c>
      <c r="Z1279" t="s">
        <v>45</v>
      </c>
      <c r="AF1279">
        <v>2</v>
      </c>
      <c r="AH1279" t="s">
        <v>75</v>
      </c>
      <c r="AI1279">
        <v>1</v>
      </c>
      <c r="AJ1279" s="15"/>
      <c r="AL1279" s="16"/>
      <c r="AR1279" s="18" t="str">
        <f>IFERROR(VLOOKUP(K1279,[1]POP!$F:$J,1,0),M1279)</f>
        <v>MADA</v>
      </c>
      <c r="AS1279" s="18" t="str">
        <f t="shared" si="96"/>
        <v>MADA</v>
      </c>
      <c r="AT1279" s="19">
        <f t="shared" si="99"/>
        <v>2</v>
      </c>
      <c r="AU1279" s="19">
        <f t="shared" ca="1" si="98"/>
        <v>2</v>
      </c>
    </row>
    <row r="1280" spans="1:47" x14ac:dyDescent="0.3">
      <c r="A1280" t="s">
        <v>1854</v>
      </c>
      <c r="B1280" t="str">
        <f t="shared" si="95"/>
        <v>S33_2026</v>
      </c>
      <c r="C1280" t="str">
        <f t="shared" si="97"/>
        <v>S33_2026</v>
      </c>
      <c r="F1280">
        <v>10</v>
      </c>
      <c r="G1280" t="s">
        <v>55</v>
      </c>
      <c r="I1280" t="s">
        <v>985</v>
      </c>
      <c r="J1280" t="s">
        <v>985</v>
      </c>
      <c r="K1280" t="s">
        <v>985</v>
      </c>
      <c r="L1280" t="s">
        <v>124</v>
      </c>
      <c r="M1280" t="s">
        <v>124</v>
      </c>
      <c r="N1280" t="s">
        <v>45</v>
      </c>
      <c r="O1280" t="s">
        <v>45</v>
      </c>
      <c r="P1280">
        <v>2</v>
      </c>
      <c r="Q1280" s="7">
        <v>46244</v>
      </c>
      <c r="R1280" s="7">
        <v>46245</v>
      </c>
      <c r="S1280" s="7">
        <v>46245</v>
      </c>
      <c r="T1280" t="s">
        <v>45</v>
      </c>
      <c r="V1280" t="s">
        <v>986</v>
      </c>
      <c r="W1280" t="s">
        <v>45</v>
      </c>
      <c r="X1280" t="s">
        <v>45</v>
      </c>
      <c r="Y1280" t="s">
        <v>45</v>
      </c>
      <c r="Z1280" t="s">
        <v>45</v>
      </c>
      <c r="AF1280">
        <v>2</v>
      </c>
      <c r="AH1280" t="s">
        <v>75</v>
      </c>
      <c r="AI1280">
        <v>1</v>
      </c>
      <c r="AJ1280" s="15"/>
      <c r="AL1280" s="16"/>
      <c r="AR1280" s="18" t="str">
        <f>IFERROR(VLOOKUP(K1280,[1]POP!$F:$J,1,0),M1280)</f>
        <v>MADA</v>
      </c>
      <c r="AS1280" s="18" t="str">
        <f t="shared" si="96"/>
        <v>MADA</v>
      </c>
      <c r="AT1280" s="19">
        <f t="shared" si="99"/>
        <v>2</v>
      </c>
      <c r="AU1280" s="19">
        <f t="shared" ca="1" si="98"/>
        <v>2</v>
      </c>
    </row>
    <row r="1281" spans="1:47" x14ac:dyDescent="0.3">
      <c r="A1281" t="s">
        <v>1855</v>
      </c>
      <c r="B1281" t="str">
        <f t="shared" si="95"/>
        <v>S33_2026</v>
      </c>
      <c r="C1281" t="str">
        <f t="shared" si="97"/>
        <v>S33_2026</v>
      </c>
      <c r="F1281">
        <v>13</v>
      </c>
      <c r="G1281" t="s">
        <v>55</v>
      </c>
      <c r="I1281" t="s">
        <v>985</v>
      </c>
      <c r="J1281" t="s">
        <v>985</v>
      </c>
      <c r="K1281" t="s">
        <v>985</v>
      </c>
      <c r="L1281" t="s">
        <v>124</v>
      </c>
      <c r="M1281" t="s">
        <v>124</v>
      </c>
      <c r="N1281" t="s">
        <v>45</v>
      </c>
      <c r="O1281" t="s">
        <v>45</v>
      </c>
      <c r="P1281">
        <v>2</v>
      </c>
      <c r="Q1281" s="7">
        <v>46244</v>
      </c>
      <c r="R1281" s="7">
        <v>46245</v>
      </c>
      <c r="S1281" s="7">
        <v>46245</v>
      </c>
      <c r="T1281" t="s">
        <v>45</v>
      </c>
      <c r="V1281" t="s">
        <v>986</v>
      </c>
      <c r="W1281" t="s">
        <v>45</v>
      </c>
      <c r="X1281" t="s">
        <v>45</v>
      </c>
      <c r="Y1281" t="s">
        <v>45</v>
      </c>
      <c r="Z1281" t="s">
        <v>45</v>
      </c>
      <c r="AF1281">
        <v>2</v>
      </c>
      <c r="AH1281" t="s">
        <v>75</v>
      </c>
      <c r="AI1281">
        <v>1</v>
      </c>
      <c r="AJ1281" s="15"/>
      <c r="AL1281" s="16"/>
      <c r="AR1281" s="18" t="str">
        <f>IFERROR(VLOOKUP(K1281,[1]POP!$F:$J,1,0),M1281)</f>
        <v>MADA</v>
      </c>
      <c r="AS1281" s="18" t="str">
        <f t="shared" si="96"/>
        <v>MADA</v>
      </c>
      <c r="AT1281" s="19">
        <f t="shared" si="99"/>
        <v>2</v>
      </c>
      <c r="AU1281" s="19">
        <f t="shared" ca="1" si="98"/>
        <v>2</v>
      </c>
    </row>
    <row r="1282" spans="1:47" x14ac:dyDescent="0.3">
      <c r="A1282" t="s">
        <v>1856</v>
      </c>
      <c r="B1282" t="str">
        <f t="shared" ref="B1282:B1345" si="100">"S"&amp;(IF(_xlfn.ISOWEEKNUM(S1282)&gt;9,_xlfn.ISOWEEKNUM(S1282),_xlfn.CONCAT("0",_xlfn.ISOWEEKNUM(S1282))))&amp;"_"&amp;(YEAR(S1282+26-(_xlfn.ISOWEEKNUM(S1282))))</f>
        <v>S33_2026</v>
      </c>
      <c r="C1282" t="str">
        <f t="shared" si="97"/>
        <v>S33_2026</v>
      </c>
      <c r="E1282">
        <v>676885554</v>
      </c>
      <c r="F1282">
        <v>7</v>
      </c>
      <c r="G1282" t="s">
        <v>55</v>
      </c>
      <c r="H1282" t="s">
        <v>85</v>
      </c>
      <c r="I1282" t="s">
        <v>793</v>
      </c>
      <c r="J1282" t="s">
        <v>793</v>
      </c>
      <c r="K1282" t="s">
        <v>116</v>
      </c>
      <c r="L1282" t="s">
        <v>793</v>
      </c>
      <c r="M1282" t="s">
        <v>116</v>
      </c>
      <c r="N1282" t="s">
        <v>45</v>
      </c>
      <c r="O1282" t="s">
        <v>45</v>
      </c>
      <c r="P1282">
        <v>2</v>
      </c>
      <c r="Q1282" s="7">
        <v>46246</v>
      </c>
      <c r="R1282" s="7">
        <v>46246</v>
      </c>
      <c r="S1282" s="7">
        <v>46247</v>
      </c>
      <c r="T1282" t="s">
        <v>45</v>
      </c>
      <c r="V1282" t="s">
        <v>794</v>
      </c>
      <c r="W1282" t="s">
        <v>45</v>
      </c>
      <c r="X1282" t="s">
        <v>45</v>
      </c>
      <c r="Y1282" t="s">
        <v>45</v>
      </c>
      <c r="Z1282" t="s">
        <v>74</v>
      </c>
      <c r="AB1282" t="s">
        <v>48</v>
      </c>
      <c r="AC1282" t="s">
        <v>74</v>
      </c>
      <c r="AF1282">
        <v>2</v>
      </c>
      <c r="AH1282" t="s">
        <v>75</v>
      </c>
      <c r="AI1282">
        <v>1</v>
      </c>
      <c r="AJ1282" s="15"/>
      <c r="AL1282" s="16"/>
      <c r="AR1282" s="18" t="str">
        <f>IFERROR(VLOOKUP(K1282,[1]POP!$F:$J,1,0),M1282)</f>
        <v>MAKARY</v>
      </c>
      <c r="AS1282" s="18" t="str">
        <f t="shared" ref="AS1282:AS1345" si="101">IF(AR1282=K1282,J1282,L1282)</f>
        <v>BODO</v>
      </c>
      <c r="AT1282" s="19">
        <f t="shared" si="99"/>
        <v>2</v>
      </c>
      <c r="AU1282" s="19">
        <f t="shared" ca="1" si="98"/>
        <v>1</v>
      </c>
    </row>
    <row r="1283" spans="1:47" x14ac:dyDescent="0.3">
      <c r="A1283" t="s">
        <v>1857</v>
      </c>
      <c r="B1283" t="str">
        <f t="shared" si="100"/>
        <v>S29_2026</v>
      </c>
      <c r="C1283" t="str">
        <f t="shared" ref="C1283:C1346" si="102">"S"&amp;(IF(_xlfn.ISOWEEKNUM(Q1283)&gt;9,_xlfn.ISOWEEKNUM(Q1283),_xlfn.CONCAT("0",_xlfn.ISOWEEKNUM(Q1283))))&amp;"_"&amp;(YEAR(Q1283+26-(_xlfn.ISOWEEKNUM(Q1283))))</f>
        <v>S29_2026</v>
      </c>
      <c r="E1283">
        <v>679797958</v>
      </c>
      <c r="F1283">
        <v>25</v>
      </c>
      <c r="G1283" t="s">
        <v>55</v>
      </c>
      <c r="H1283" t="s">
        <v>70</v>
      </c>
      <c r="I1283" t="s">
        <v>368</v>
      </c>
      <c r="J1283" t="s">
        <v>140</v>
      </c>
      <c r="K1283" t="s">
        <v>116</v>
      </c>
      <c r="L1283" t="s">
        <v>140</v>
      </c>
      <c r="M1283" t="s">
        <v>116</v>
      </c>
      <c r="N1283" t="s">
        <v>45</v>
      </c>
      <c r="O1283" t="s">
        <v>45</v>
      </c>
      <c r="P1283">
        <v>1</v>
      </c>
      <c r="Q1283" s="7">
        <v>46218</v>
      </c>
      <c r="R1283" s="7">
        <v>46219</v>
      </c>
      <c r="S1283" s="7">
        <v>46219</v>
      </c>
      <c r="T1283" t="s">
        <v>45</v>
      </c>
      <c r="V1283" t="s">
        <v>141</v>
      </c>
      <c r="W1283" t="s">
        <v>45</v>
      </c>
      <c r="X1283" t="s">
        <v>74</v>
      </c>
      <c r="Y1283" t="s">
        <v>45</v>
      </c>
      <c r="Z1283" t="s">
        <v>45</v>
      </c>
      <c r="AB1283" t="s">
        <v>48</v>
      </c>
      <c r="AE1283" s="7">
        <v>46221</v>
      </c>
      <c r="AF1283">
        <v>2</v>
      </c>
      <c r="AH1283" t="s">
        <v>75</v>
      </c>
      <c r="AI1283">
        <v>1</v>
      </c>
      <c r="AJ1283" s="15"/>
      <c r="AK1283" t="s">
        <v>74</v>
      </c>
      <c r="AL1283" s="16"/>
      <c r="AR1283" s="18" t="str">
        <f>IFERROR(VLOOKUP(K1283,[1]POP!$F:$J,1,0),M1283)</f>
        <v>MAKARY</v>
      </c>
      <c r="AS1283" s="18" t="str">
        <f t="shared" si="101"/>
        <v>BIAMO</v>
      </c>
      <c r="AT1283" s="19">
        <f t="shared" si="99"/>
        <v>2</v>
      </c>
      <c r="AU1283" s="19">
        <f t="shared" ref="AU1283:AU1346" ca="1" si="103">IF((TODAY() - R1283)&lt;=21,1,2)</f>
        <v>2</v>
      </c>
    </row>
    <row r="1284" spans="1:47" x14ac:dyDescent="0.3">
      <c r="A1284" t="s">
        <v>1858</v>
      </c>
      <c r="B1284" t="str">
        <f t="shared" si="100"/>
        <v>S31_2026</v>
      </c>
      <c r="C1284" t="str">
        <f t="shared" si="102"/>
        <v>S31_2026</v>
      </c>
      <c r="E1284">
        <v>655079712</v>
      </c>
      <c r="F1284">
        <v>3</v>
      </c>
      <c r="G1284" t="s">
        <v>40</v>
      </c>
      <c r="H1284" t="s">
        <v>85</v>
      </c>
      <c r="I1284" t="s">
        <v>1859</v>
      </c>
      <c r="J1284" t="s">
        <v>140</v>
      </c>
      <c r="K1284" t="s">
        <v>116</v>
      </c>
      <c r="L1284" t="s">
        <v>140</v>
      </c>
      <c r="M1284" t="s">
        <v>116</v>
      </c>
      <c r="N1284" t="s">
        <v>45</v>
      </c>
      <c r="O1284" t="s">
        <v>45</v>
      </c>
      <c r="P1284">
        <v>1</v>
      </c>
      <c r="Q1284" s="7">
        <v>46232</v>
      </c>
      <c r="R1284" s="7">
        <v>46232</v>
      </c>
      <c r="S1284" s="7">
        <v>46232</v>
      </c>
      <c r="T1284" t="s">
        <v>45</v>
      </c>
      <c r="V1284" t="s">
        <v>141</v>
      </c>
      <c r="W1284" t="s">
        <v>45</v>
      </c>
      <c r="X1284" t="s">
        <v>74</v>
      </c>
      <c r="Y1284" t="s">
        <v>74</v>
      </c>
      <c r="Z1284" t="s">
        <v>74</v>
      </c>
      <c r="AB1284" t="s">
        <v>48</v>
      </c>
      <c r="AE1284" s="7">
        <v>46237</v>
      </c>
      <c r="AF1284">
        <v>2</v>
      </c>
      <c r="AH1284" t="s">
        <v>75</v>
      </c>
      <c r="AI1284">
        <v>1</v>
      </c>
      <c r="AJ1284" s="15"/>
      <c r="AK1284" t="s">
        <v>74</v>
      </c>
      <c r="AL1284" s="16"/>
      <c r="AR1284" s="18" t="str">
        <f>IFERROR(VLOOKUP(K1284,[1]POP!$F:$J,1,0),M1284)</f>
        <v>MAKARY</v>
      </c>
      <c r="AS1284" s="18" t="str">
        <f t="shared" si="101"/>
        <v>BIAMO</v>
      </c>
      <c r="AT1284" s="19">
        <f t="shared" ref="AT1284:AT1347" si="104">IF($AI:$AI=2,3,IF($AI:$AI=3,3,IF($AI:$AI=4,3,IF($AI:$AI=1,2,0))))</f>
        <v>2</v>
      </c>
      <c r="AU1284" s="19">
        <f t="shared" ca="1" si="103"/>
        <v>2</v>
      </c>
    </row>
    <row r="1285" spans="1:47" x14ac:dyDescent="0.3">
      <c r="A1285" t="s">
        <v>1860</v>
      </c>
      <c r="B1285" t="str">
        <f t="shared" si="100"/>
        <v>S31_2026</v>
      </c>
      <c r="C1285" t="str">
        <f t="shared" si="102"/>
        <v>S31_2026</v>
      </c>
      <c r="E1285">
        <v>655079712</v>
      </c>
      <c r="F1285">
        <v>30</v>
      </c>
      <c r="G1285" t="s">
        <v>40</v>
      </c>
      <c r="H1285" t="s">
        <v>1861</v>
      </c>
      <c r="I1285" t="s">
        <v>1859</v>
      </c>
      <c r="J1285" t="s">
        <v>140</v>
      </c>
      <c r="K1285" t="s">
        <v>116</v>
      </c>
      <c r="L1285" t="s">
        <v>140</v>
      </c>
      <c r="M1285" t="s">
        <v>116</v>
      </c>
      <c r="N1285" t="s">
        <v>45</v>
      </c>
      <c r="O1285" t="s">
        <v>45</v>
      </c>
      <c r="P1285">
        <v>1</v>
      </c>
      <c r="Q1285" s="7">
        <v>46234</v>
      </c>
      <c r="R1285" s="7">
        <v>46235</v>
      </c>
      <c r="S1285" s="7">
        <v>46235</v>
      </c>
      <c r="T1285" t="s">
        <v>45</v>
      </c>
      <c r="V1285" t="s">
        <v>141</v>
      </c>
      <c r="W1285" t="s">
        <v>45</v>
      </c>
      <c r="X1285" t="s">
        <v>74</v>
      </c>
      <c r="Y1285" t="s">
        <v>45</v>
      </c>
      <c r="Z1285" t="s">
        <v>45</v>
      </c>
      <c r="AB1285" t="s">
        <v>48</v>
      </c>
      <c r="AF1285">
        <v>2</v>
      </c>
      <c r="AH1285" t="s">
        <v>75</v>
      </c>
      <c r="AI1285">
        <v>1</v>
      </c>
      <c r="AJ1285" s="15"/>
      <c r="AK1285" t="s">
        <v>74</v>
      </c>
      <c r="AL1285" s="16"/>
      <c r="AR1285" s="18" t="str">
        <f>IFERROR(VLOOKUP(K1285,[1]POP!$F:$J,1,0),M1285)</f>
        <v>MAKARY</v>
      </c>
      <c r="AS1285" s="18" t="str">
        <f t="shared" si="101"/>
        <v>BIAMO</v>
      </c>
      <c r="AT1285" s="19">
        <f t="shared" si="104"/>
        <v>2</v>
      </c>
      <c r="AU1285" s="19">
        <f t="shared" ca="1" si="103"/>
        <v>2</v>
      </c>
    </row>
    <row r="1286" spans="1:47" x14ac:dyDescent="0.3">
      <c r="A1286" t="s">
        <v>1862</v>
      </c>
      <c r="B1286" t="str">
        <f t="shared" si="100"/>
        <v>S31_2026</v>
      </c>
      <c r="C1286" t="str">
        <f t="shared" si="102"/>
        <v>S31_2026</v>
      </c>
      <c r="E1286">
        <v>679797958</v>
      </c>
      <c r="F1286">
        <v>15</v>
      </c>
      <c r="G1286" t="s">
        <v>40</v>
      </c>
      <c r="H1286" t="s">
        <v>56</v>
      </c>
      <c r="I1286" t="s">
        <v>368</v>
      </c>
      <c r="J1286" t="s">
        <v>140</v>
      </c>
      <c r="K1286" t="s">
        <v>116</v>
      </c>
      <c r="L1286" t="s">
        <v>140</v>
      </c>
      <c r="M1286" t="s">
        <v>116</v>
      </c>
      <c r="N1286" t="s">
        <v>45</v>
      </c>
      <c r="O1286" t="s">
        <v>45</v>
      </c>
      <c r="P1286">
        <v>2</v>
      </c>
      <c r="Q1286" s="7">
        <v>46235</v>
      </c>
      <c r="R1286" s="7">
        <v>46235</v>
      </c>
      <c r="S1286" s="7">
        <v>46235</v>
      </c>
      <c r="T1286" t="s">
        <v>45</v>
      </c>
      <c r="V1286" t="s">
        <v>141</v>
      </c>
      <c r="W1286" t="s">
        <v>45</v>
      </c>
      <c r="X1286" t="s">
        <v>74</v>
      </c>
      <c r="Y1286" t="s">
        <v>45</v>
      </c>
      <c r="Z1286" t="s">
        <v>45</v>
      </c>
      <c r="AB1286" t="s">
        <v>48</v>
      </c>
      <c r="AF1286">
        <v>3</v>
      </c>
      <c r="AH1286" t="s">
        <v>75</v>
      </c>
      <c r="AI1286">
        <v>2</v>
      </c>
      <c r="AJ1286" s="15"/>
      <c r="AK1286" t="s">
        <v>74</v>
      </c>
      <c r="AL1286" s="16"/>
      <c r="AR1286" s="18" t="str">
        <f>IFERROR(VLOOKUP(K1286,[1]POP!$F:$J,1,0),M1286)</f>
        <v>MAKARY</v>
      </c>
      <c r="AS1286" s="18" t="str">
        <f t="shared" si="101"/>
        <v>BIAMO</v>
      </c>
      <c r="AT1286" s="19">
        <f t="shared" si="104"/>
        <v>3</v>
      </c>
      <c r="AU1286" s="19">
        <f t="shared" ca="1" si="103"/>
        <v>2</v>
      </c>
    </row>
    <row r="1287" spans="1:47" x14ac:dyDescent="0.3">
      <c r="A1287" t="s">
        <v>1863</v>
      </c>
      <c r="B1287" t="str">
        <f t="shared" si="100"/>
        <v>S31_2026</v>
      </c>
      <c r="C1287" t="str">
        <f t="shared" si="102"/>
        <v>S31_2026</v>
      </c>
      <c r="E1287">
        <v>679797958</v>
      </c>
      <c r="F1287">
        <v>28</v>
      </c>
      <c r="G1287" t="s">
        <v>40</v>
      </c>
      <c r="H1287" t="s">
        <v>1861</v>
      </c>
      <c r="I1287" t="s">
        <v>368</v>
      </c>
      <c r="J1287" t="s">
        <v>140</v>
      </c>
      <c r="K1287" t="s">
        <v>116</v>
      </c>
      <c r="L1287" t="s">
        <v>140</v>
      </c>
      <c r="M1287" t="s">
        <v>116</v>
      </c>
      <c r="N1287" t="s">
        <v>45</v>
      </c>
      <c r="O1287" t="s">
        <v>45</v>
      </c>
      <c r="P1287">
        <v>2</v>
      </c>
      <c r="Q1287" s="7">
        <v>46235</v>
      </c>
      <c r="R1287" s="7">
        <v>46235</v>
      </c>
      <c r="S1287" s="7">
        <v>46235</v>
      </c>
      <c r="T1287" t="s">
        <v>45</v>
      </c>
      <c r="V1287" t="s">
        <v>141</v>
      </c>
      <c r="W1287" t="s">
        <v>45</v>
      </c>
      <c r="X1287" t="s">
        <v>74</v>
      </c>
      <c r="Y1287" t="s">
        <v>45</v>
      </c>
      <c r="Z1287" t="s">
        <v>45</v>
      </c>
      <c r="AB1287" t="s">
        <v>48</v>
      </c>
      <c r="AE1287" s="7">
        <v>46239</v>
      </c>
      <c r="AF1287">
        <v>2</v>
      </c>
      <c r="AH1287" t="s">
        <v>75</v>
      </c>
      <c r="AI1287">
        <v>1</v>
      </c>
      <c r="AJ1287" s="15"/>
      <c r="AK1287" t="s">
        <v>74</v>
      </c>
      <c r="AL1287" s="16"/>
      <c r="AR1287" s="18" t="str">
        <f>IFERROR(VLOOKUP(K1287,[1]POP!$F:$J,1,0),M1287)</f>
        <v>MAKARY</v>
      </c>
      <c r="AS1287" s="18" t="str">
        <f t="shared" si="101"/>
        <v>BIAMO</v>
      </c>
      <c r="AT1287" s="19">
        <f t="shared" si="104"/>
        <v>2</v>
      </c>
      <c r="AU1287" s="19">
        <f t="shared" ca="1" si="103"/>
        <v>2</v>
      </c>
    </row>
    <row r="1288" spans="1:47" x14ac:dyDescent="0.3">
      <c r="A1288" t="s">
        <v>1864</v>
      </c>
      <c r="B1288" t="str">
        <f t="shared" si="100"/>
        <v>S31_2026</v>
      </c>
      <c r="C1288" t="str">
        <f t="shared" si="102"/>
        <v>S31_2026</v>
      </c>
      <c r="E1288">
        <v>679797958</v>
      </c>
      <c r="F1288">
        <v>1</v>
      </c>
      <c r="G1288" t="s">
        <v>55</v>
      </c>
      <c r="H1288" t="s">
        <v>85</v>
      </c>
      <c r="I1288" t="s">
        <v>368</v>
      </c>
      <c r="J1288" t="s">
        <v>140</v>
      </c>
      <c r="K1288" t="s">
        <v>116</v>
      </c>
      <c r="L1288" t="s">
        <v>140</v>
      </c>
      <c r="M1288" t="s">
        <v>116</v>
      </c>
      <c r="N1288" t="s">
        <v>45</v>
      </c>
      <c r="O1288" t="s">
        <v>45</v>
      </c>
      <c r="P1288">
        <v>1</v>
      </c>
      <c r="Q1288" s="7">
        <v>46235</v>
      </c>
      <c r="R1288" s="7">
        <v>46235</v>
      </c>
      <c r="S1288" s="7">
        <v>46235</v>
      </c>
      <c r="T1288" t="s">
        <v>45</v>
      </c>
      <c r="V1288" t="s">
        <v>141</v>
      </c>
      <c r="W1288" t="s">
        <v>45</v>
      </c>
      <c r="X1288" t="s">
        <v>74</v>
      </c>
      <c r="Y1288" t="s">
        <v>74</v>
      </c>
      <c r="Z1288" t="s">
        <v>45</v>
      </c>
      <c r="AB1288" t="s">
        <v>48</v>
      </c>
      <c r="AE1288" s="7">
        <v>46239</v>
      </c>
      <c r="AF1288">
        <v>2</v>
      </c>
      <c r="AH1288" t="s">
        <v>75</v>
      </c>
      <c r="AI1288">
        <v>1</v>
      </c>
      <c r="AJ1288" s="15"/>
      <c r="AK1288" t="s">
        <v>74</v>
      </c>
      <c r="AL1288" s="16"/>
      <c r="AR1288" s="18" t="str">
        <f>IFERROR(VLOOKUP(K1288,[1]POP!$F:$J,1,0),M1288)</f>
        <v>MAKARY</v>
      </c>
      <c r="AS1288" s="18" t="str">
        <f t="shared" si="101"/>
        <v>BIAMO</v>
      </c>
      <c r="AT1288" s="19">
        <f t="shared" si="104"/>
        <v>2</v>
      </c>
      <c r="AU1288" s="19">
        <f t="shared" ca="1" si="103"/>
        <v>2</v>
      </c>
    </row>
    <row r="1289" spans="1:47" x14ac:dyDescent="0.3">
      <c r="A1289" t="s">
        <v>1865</v>
      </c>
      <c r="B1289" t="str">
        <f t="shared" si="100"/>
        <v>S31_2026</v>
      </c>
      <c r="C1289" t="str">
        <f t="shared" si="102"/>
        <v>S31_2026</v>
      </c>
      <c r="E1289">
        <v>676549947</v>
      </c>
      <c r="F1289">
        <v>42</v>
      </c>
      <c r="G1289" t="s">
        <v>40</v>
      </c>
      <c r="H1289" t="s">
        <v>1861</v>
      </c>
      <c r="I1289" t="s">
        <v>368</v>
      </c>
      <c r="J1289" t="s">
        <v>140</v>
      </c>
      <c r="K1289" t="s">
        <v>116</v>
      </c>
      <c r="L1289" t="s">
        <v>140</v>
      </c>
      <c r="M1289" t="s">
        <v>116</v>
      </c>
      <c r="N1289" t="s">
        <v>45</v>
      </c>
      <c r="O1289" t="s">
        <v>45</v>
      </c>
      <c r="P1289">
        <v>2</v>
      </c>
      <c r="Q1289" s="7">
        <v>46236</v>
      </c>
      <c r="R1289" s="7">
        <v>46236</v>
      </c>
      <c r="S1289" s="7">
        <v>46236</v>
      </c>
      <c r="T1289" t="s">
        <v>45</v>
      </c>
      <c r="V1289" t="s">
        <v>141</v>
      </c>
      <c r="W1289" t="s">
        <v>45</v>
      </c>
      <c r="X1289" t="s">
        <v>74</v>
      </c>
      <c r="Y1289" t="s">
        <v>45</v>
      </c>
      <c r="Z1289" t="s">
        <v>45</v>
      </c>
      <c r="AB1289" t="s">
        <v>48</v>
      </c>
      <c r="AE1289" s="7">
        <v>46239</v>
      </c>
      <c r="AF1289">
        <v>2</v>
      </c>
      <c r="AH1289" t="s">
        <v>75</v>
      </c>
      <c r="AI1289">
        <v>1</v>
      </c>
      <c r="AJ1289" s="15"/>
      <c r="AK1289" t="s">
        <v>74</v>
      </c>
      <c r="AL1289" s="16"/>
      <c r="AR1289" s="18" t="str">
        <f>IFERROR(VLOOKUP(K1289,[1]POP!$F:$J,1,0),M1289)</f>
        <v>MAKARY</v>
      </c>
      <c r="AS1289" s="18" t="str">
        <f t="shared" si="101"/>
        <v>BIAMO</v>
      </c>
      <c r="AT1289" s="19">
        <f t="shared" si="104"/>
        <v>2</v>
      </c>
      <c r="AU1289" s="19">
        <f t="shared" ca="1" si="103"/>
        <v>2</v>
      </c>
    </row>
    <row r="1290" spans="1:47" x14ac:dyDescent="0.3">
      <c r="A1290" t="s">
        <v>1866</v>
      </c>
      <c r="B1290" t="str">
        <f t="shared" si="100"/>
        <v>S31_2026</v>
      </c>
      <c r="C1290" t="str">
        <f t="shared" si="102"/>
        <v>S31_2026</v>
      </c>
      <c r="E1290">
        <v>676549947</v>
      </c>
      <c r="F1290">
        <v>22</v>
      </c>
      <c r="G1290" t="s">
        <v>40</v>
      </c>
      <c r="H1290" t="s">
        <v>1861</v>
      </c>
      <c r="I1290" t="s">
        <v>368</v>
      </c>
      <c r="J1290" t="s">
        <v>140</v>
      </c>
      <c r="K1290" t="s">
        <v>116</v>
      </c>
      <c r="L1290" t="s">
        <v>140</v>
      </c>
      <c r="M1290" t="s">
        <v>116</v>
      </c>
      <c r="N1290" t="s">
        <v>45</v>
      </c>
      <c r="O1290" t="s">
        <v>45</v>
      </c>
      <c r="P1290">
        <v>2</v>
      </c>
      <c r="Q1290" s="7">
        <v>46236</v>
      </c>
      <c r="R1290" s="7">
        <v>46236</v>
      </c>
      <c r="S1290" s="7">
        <v>46236</v>
      </c>
      <c r="T1290" t="s">
        <v>45</v>
      </c>
      <c r="V1290" t="s">
        <v>141</v>
      </c>
      <c r="W1290" t="s">
        <v>45</v>
      </c>
      <c r="X1290" t="s">
        <v>74</v>
      </c>
      <c r="Y1290" t="s">
        <v>45</v>
      </c>
      <c r="Z1290" t="s">
        <v>45</v>
      </c>
      <c r="AB1290" t="s">
        <v>48</v>
      </c>
      <c r="AE1290" s="7">
        <v>46239</v>
      </c>
      <c r="AF1290">
        <v>2</v>
      </c>
      <c r="AH1290" t="s">
        <v>75</v>
      </c>
      <c r="AI1290">
        <v>1</v>
      </c>
      <c r="AJ1290" s="15"/>
      <c r="AK1290" t="s">
        <v>74</v>
      </c>
      <c r="AL1290" s="16"/>
      <c r="AR1290" s="18" t="str">
        <f>IFERROR(VLOOKUP(K1290,[1]POP!$F:$J,1,0),M1290)</f>
        <v>MAKARY</v>
      </c>
      <c r="AS1290" s="18" t="str">
        <f t="shared" si="101"/>
        <v>BIAMO</v>
      </c>
      <c r="AT1290" s="19">
        <f t="shared" si="104"/>
        <v>2</v>
      </c>
      <c r="AU1290" s="19">
        <f t="shared" ca="1" si="103"/>
        <v>2</v>
      </c>
    </row>
    <row r="1291" spans="1:47" x14ac:dyDescent="0.3">
      <c r="A1291" t="s">
        <v>1867</v>
      </c>
      <c r="B1291" t="str">
        <f t="shared" si="100"/>
        <v>S32_2026</v>
      </c>
      <c r="C1291" t="str">
        <f t="shared" si="102"/>
        <v>S32_2026</v>
      </c>
      <c r="E1291" t="s">
        <v>1868</v>
      </c>
      <c r="F1291">
        <v>4</v>
      </c>
      <c r="G1291" t="s">
        <v>40</v>
      </c>
      <c r="H1291" t="s">
        <v>85</v>
      </c>
      <c r="I1291" t="s">
        <v>1859</v>
      </c>
      <c r="J1291" t="s">
        <v>140</v>
      </c>
      <c r="K1291" t="s">
        <v>116</v>
      </c>
      <c r="L1291" t="s">
        <v>140</v>
      </c>
      <c r="M1291" t="s">
        <v>116</v>
      </c>
      <c r="N1291" t="s">
        <v>45</v>
      </c>
      <c r="O1291" t="s">
        <v>45</v>
      </c>
      <c r="P1291">
        <v>2</v>
      </c>
      <c r="Q1291" s="7">
        <v>46238</v>
      </c>
      <c r="R1291" s="7">
        <v>46239</v>
      </c>
      <c r="S1291" s="7">
        <v>46239</v>
      </c>
      <c r="T1291" t="s">
        <v>45</v>
      </c>
      <c r="V1291" t="s">
        <v>141</v>
      </c>
      <c r="W1291" t="s">
        <v>45</v>
      </c>
      <c r="X1291" t="s">
        <v>74</v>
      </c>
      <c r="Y1291" t="s">
        <v>45</v>
      </c>
      <c r="Z1291" t="s">
        <v>45</v>
      </c>
      <c r="AB1291" t="s">
        <v>48</v>
      </c>
      <c r="AE1291" s="7">
        <v>46241</v>
      </c>
      <c r="AF1291">
        <v>2</v>
      </c>
      <c r="AH1291" t="s">
        <v>75</v>
      </c>
      <c r="AI1291">
        <v>1</v>
      </c>
      <c r="AJ1291" s="15"/>
      <c r="AK1291" t="s">
        <v>74</v>
      </c>
      <c r="AL1291" s="16"/>
      <c r="AR1291" s="18" t="str">
        <f>IFERROR(VLOOKUP(K1291,[1]POP!$F:$J,1,0),M1291)</f>
        <v>MAKARY</v>
      </c>
      <c r="AS1291" s="18" t="str">
        <f t="shared" si="101"/>
        <v>BIAMO</v>
      </c>
      <c r="AT1291" s="19">
        <f t="shared" si="104"/>
        <v>2</v>
      </c>
      <c r="AU1291" s="19">
        <f t="shared" ca="1" si="103"/>
        <v>2</v>
      </c>
    </row>
    <row r="1292" spans="1:47" x14ac:dyDescent="0.3">
      <c r="A1292" t="s">
        <v>1869</v>
      </c>
      <c r="B1292" t="str">
        <f t="shared" si="100"/>
        <v>S33_2026</v>
      </c>
      <c r="C1292" t="str">
        <f t="shared" si="102"/>
        <v>S33_2026</v>
      </c>
      <c r="E1292" t="s">
        <v>1870</v>
      </c>
      <c r="F1292">
        <v>3</v>
      </c>
      <c r="G1292" t="s">
        <v>40</v>
      </c>
      <c r="H1292" t="s">
        <v>85</v>
      </c>
      <c r="I1292" t="s">
        <v>368</v>
      </c>
      <c r="J1292" t="s">
        <v>140</v>
      </c>
      <c r="K1292" t="s">
        <v>116</v>
      </c>
      <c r="L1292" t="s">
        <v>140</v>
      </c>
      <c r="M1292" t="s">
        <v>116</v>
      </c>
      <c r="N1292" t="s">
        <v>45</v>
      </c>
      <c r="O1292" t="s">
        <v>45</v>
      </c>
      <c r="P1292">
        <v>2</v>
      </c>
      <c r="Q1292" s="7">
        <v>46244</v>
      </c>
      <c r="R1292" s="7">
        <v>46244</v>
      </c>
      <c r="S1292" s="7">
        <v>46244</v>
      </c>
      <c r="T1292" t="s">
        <v>45</v>
      </c>
      <c r="V1292" t="s">
        <v>141</v>
      </c>
      <c r="W1292" t="s">
        <v>45</v>
      </c>
      <c r="X1292" t="s">
        <v>74</v>
      </c>
      <c r="Y1292" t="s">
        <v>45</v>
      </c>
      <c r="Z1292" t="s">
        <v>45</v>
      </c>
      <c r="AB1292" t="s">
        <v>48</v>
      </c>
      <c r="AF1292">
        <v>2</v>
      </c>
      <c r="AH1292" t="s">
        <v>75</v>
      </c>
      <c r="AI1292">
        <v>1</v>
      </c>
      <c r="AJ1292" s="15"/>
      <c r="AK1292" t="s">
        <v>74</v>
      </c>
      <c r="AL1292" s="16"/>
      <c r="AR1292" s="18" t="str">
        <f>IFERROR(VLOOKUP(K1292,[1]POP!$F:$J,1,0),M1292)</f>
        <v>MAKARY</v>
      </c>
      <c r="AS1292" s="18" t="str">
        <f t="shared" si="101"/>
        <v>BIAMO</v>
      </c>
      <c r="AT1292" s="19">
        <f t="shared" si="104"/>
        <v>2</v>
      </c>
      <c r="AU1292" s="19">
        <f t="shared" ca="1" si="103"/>
        <v>2</v>
      </c>
    </row>
    <row r="1293" spans="1:47" x14ac:dyDescent="0.3">
      <c r="A1293" t="s">
        <v>1871</v>
      </c>
      <c r="B1293" t="str">
        <f t="shared" si="100"/>
        <v>S33_2026</v>
      </c>
      <c r="C1293" t="str">
        <f t="shared" si="102"/>
        <v>S33_2026</v>
      </c>
      <c r="E1293" t="s">
        <v>1868</v>
      </c>
      <c r="F1293">
        <v>10</v>
      </c>
      <c r="G1293" t="s">
        <v>55</v>
      </c>
      <c r="H1293" t="s">
        <v>706</v>
      </c>
      <c r="I1293" t="s">
        <v>1859</v>
      </c>
      <c r="J1293" t="s">
        <v>140</v>
      </c>
      <c r="K1293" t="s">
        <v>116</v>
      </c>
      <c r="L1293" t="s">
        <v>140</v>
      </c>
      <c r="M1293" t="s">
        <v>116</v>
      </c>
      <c r="N1293" t="s">
        <v>45</v>
      </c>
      <c r="O1293" t="s">
        <v>45</v>
      </c>
      <c r="P1293">
        <v>3</v>
      </c>
      <c r="Q1293" s="7">
        <v>46244</v>
      </c>
      <c r="R1293" s="7">
        <v>46245</v>
      </c>
      <c r="S1293" s="7">
        <v>46245</v>
      </c>
      <c r="T1293" t="s">
        <v>45</v>
      </c>
      <c r="V1293" t="s">
        <v>141</v>
      </c>
      <c r="W1293" t="s">
        <v>45</v>
      </c>
      <c r="X1293" t="s">
        <v>74</v>
      </c>
      <c r="Y1293" t="s">
        <v>45</v>
      </c>
      <c r="Z1293" t="s">
        <v>45</v>
      </c>
      <c r="AB1293" t="s">
        <v>48</v>
      </c>
      <c r="AF1293">
        <v>2</v>
      </c>
      <c r="AH1293" t="s">
        <v>75</v>
      </c>
      <c r="AI1293">
        <v>1</v>
      </c>
      <c r="AJ1293" s="15"/>
      <c r="AK1293" t="s">
        <v>74</v>
      </c>
      <c r="AL1293" s="16"/>
      <c r="AR1293" s="18" t="str">
        <f>IFERROR(VLOOKUP(K1293,[1]POP!$F:$J,1,0),M1293)</f>
        <v>MAKARY</v>
      </c>
      <c r="AS1293" s="18" t="str">
        <f t="shared" si="101"/>
        <v>BIAMO</v>
      </c>
      <c r="AT1293" s="19">
        <f t="shared" si="104"/>
        <v>2</v>
      </c>
      <c r="AU1293" s="19">
        <f t="shared" ca="1" si="103"/>
        <v>2</v>
      </c>
    </row>
    <row r="1294" spans="1:47" x14ac:dyDescent="0.3">
      <c r="A1294" t="s">
        <v>1872</v>
      </c>
      <c r="B1294" t="str">
        <f t="shared" si="100"/>
        <v>S33_2026</v>
      </c>
      <c r="C1294" t="str">
        <f t="shared" si="102"/>
        <v>S33_2026</v>
      </c>
      <c r="E1294" t="s">
        <v>1868</v>
      </c>
      <c r="F1294">
        <v>11</v>
      </c>
      <c r="G1294" t="s">
        <v>40</v>
      </c>
      <c r="H1294" t="s">
        <v>829</v>
      </c>
      <c r="I1294" t="s">
        <v>1859</v>
      </c>
      <c r="J1294" t="s">
        <v>140</v>
      </c>
      <c r="K1294" t="s">
        <v>116</v>
      </c>
      <c r="L1294" t="s">
        <v>140</v>
      </c>
      <c r="M1294" t="s">
        <v>116</v>
      </c>
      <c r="N1294" t="s">
        <v>45</v>
      </c>
      <c r="O1294" t="s">
        <v>45</v>
      </c>
      <c r="P1294">
        <v>3</v>
      </c>
      <c r="Q1294" s="7">
        <v>46245</v>
      </c>
      <c r="R1294" s="7">
        <v>46245</v>
      </c>
      <c r="S1294" s="7">
        <v>46245</v>
      </c>
      <c r="T1294" t="s">
        <v>45</v>
      </c>
      <c r="V1294" t="s">
        <v>141</v>
      </c>
      <c r="W1294" t="s">
        <v>45</v>
      </c>
      <c r="X1294" t="s">
        <v>74</v>
      </c>
      <c r="Y1294" t="s">
        <v>45</v>
      </c>
      <c r="Z1294" t="s">
        <v>45</v>
      </c>
      <c r="AB1294" t="s">
        <v>48</v>
      </c>
      <c r="AF1294">
        <v>2</v>
      </c>
      <c r="AH1294" t="s">
        <v>75</v>
      </c>
      <c r="AI1294">
        <v>1</v>
      </c>
      <c r="AJ1294" s="15"/>
      <c r="AK1294" t="s">
        <v>74</v>
      </c>
      <c r="AL1294" s="16"/>
      <c r="AR1294" s="18" t="str">
        <f>IFERROR(VLOOKUP(K1294,[1]POP!$F:$J,1,0),M1294)</f>
        <v>MAKARY</v>
      </c>
      <c r="AS1294" s="18" t="str">
        <f t="shared" si="101"/>
        <v>BIAMO</v>
      </c>
      <c r="AT1294" s="19">
        <f t="shared" si="104"/>
        <v>2</v>
      </c>
      <c r="AU1294" s="19">
        <f t="shared" ca="1" si="103"/>
        <v>2</v>
      </c>
    </row>
    <row r="1295" spans="1:47" x14ac:dyDescent="0.3">
      <c r="A1295" t="s">
        <v>1873</v>
      </c>
      <c r="B1295" t="str">
        <f t="shared" si="100"/>
        <v>S33_2026</v>
      </c>
      <c r="C1295" t="str">
        <f t="shared" si="102"/>
        <v>S32_2026</v>
      </c>
      <c r="E1295" t="s">
        <v>1560</v>
      </c>
      <c r="F1295">
        <v>1</v>
      </c>
      <c r="G1295" t="s">
        <v>40</v>
      </c>
      <c r="H1295" t="s">
        <v>111</v>
      </c>
      <c r="I1295" t="s">
        <v>1519</v>
      </c>
      <c r="J1295" t="s">
        <v>1520</v>
      </c>
      <c r="K1295" t="s">
        <v>116</v>
      </c>
      <c r="L1295" t="s">
        <v>115</v>
      </c>
      <c r="M1295" t="s">
        <v>115</v>
      </c>
      <c r="N1295" t="s">
        <v>117</v>
      </c>
      <c r="O1295" t="s">
        <v>117</v>
      </c>
      <c r="P1295">
        <v>3</v>
      </c>
      <c r="Q1295" s="7">
        <v>46243</v>
      </c>
      <c r="R1295" s="7">
        <v>46244</v>
      </c>
      <c r="S1295" s="7">
        <v>46245</v>
      </c>
      <c r="T1295" t="s">
        <v>117</v>
      </c>
      <c r="V1295" t="s">
        <v>118</v>
      </c>
      <c r="W1295" t="s">
        <v>117</v>
      </c>
      <c r="X1295" t="s">
        <v>117</v>
      </c>
      <c r="Y1295" t="s">
        <v>117</v>
      </c>
      <c r="Z1295" t="s">
        <v>117</v>
      </c>
      <c r="AC1295" t="s">
        <v>74</v>
      </c>
      <c r="AF1295">
        <v>2</v>
      </c>
      <c r="AH1295" t="s">
        <v>75</v>
      </c>
      <c r="AI1295">
        <v>1</v>
      </c>
      <c r="AJ1295" s="15"/>
      <c r="AK1295" t="s">
        <v>74</v>
      </c>
      <c r="AL1295" s="16"/>
      <c r="AR1295" s="18" t="str">
        <f>IFERROR(VLOOKUP(K1295,[1]POP!$F:$J,1,0),M1295)</f>
        <v>makary</v>
      </c>
      <c r="AS1295" s="18" t="str">
        <f t="shared" si="101"/>
        <v>AMCHILGA</v>
      </c>
      <c r="AT1295" s="19">
        <f t="shared" si="104"/>
        <v>2</v>
      </c>
      <c r="AU1295" s="19">
        <f t="shared" ca="1" si="103"/>
        <v>2</v>
      </c>
    </row>
    <row r="1296" spans="1:47" x14ac:dyDescent="0.3">
      <c r="A1296" t="s">
        <v>1874</v>
      </c>
      <c r="B1296" t="str">
        <f t="shared" si="100"/>
        <v>S33_2026</v>
      </c>
      <c r="C1296" t="str">
        <f t="shared" si="102"/>
        <v>S33_2026</v>
      </c>
      <c r="E1296" t="s">
        <v>1875</v>
      </c>
      <c r="F1296">
        <v>3</v>
      </c>
      <c r="G1296" t="s">
        <v>40</v>
      </c>
      <c r="H1296" t="s">
        <v>111</v>
      </c>
      <c r="I1296" t="s">
        <v>123</v>
      </c>
      <c r="J1296" t="s">
        <v>123</v>
      </c>
      <c r="K1296" t="s">
        <v>124</v>
      </c>
      <c r="L1296" t="s">
        <v>115</v>
      </c>
      <c r="M1296" t="s">
        <v>115</v>
      </c>
      <c r="N1296" t="s">
        <v>117</v>
      </c>
      <c r="O1296" t="s">
        <v>117</v>
      </c>
      <c r="P1296">
        <v>3</v>
      </c>
      <c r="Q1296" s="7">
        <v>46246</v>
      </c>
      <c r="R1296" s="7">
        <v>46247</v>
      </c>
      <c r="S1296" s="7">
        <v>46248</v>
      </c>
      <c r="T1296" t="s">
        <v>117</v>
      </c>
      <c r="V1296" t="s">
        <v>118</v>
      </c>
      <c r="W1296" t="s">
        <v>117</v>
      </c>
      <c r="X1296" t="s">
        <v>117</v>
      </c>
      <c r="Y1296" t="s">
        <v>117</v>
      </c>
      <c r="Z1296" t="s">
        <v>117</v>
      </c>
      <c r="AB1296" t="s">
        <v>48</v>
      </c>
      <c r="AC1296" t="s">
        <v>74</v>
      </c>
      <c r="AF1296">
        <v>2</v>
      </c>
      <c r="AH1296" t="s">
        <v>75</v>
      </c>
      <c r="AI1296">
        <v>1</v>
      </c>
      <c r="AJ1296" s="15"/>
      <c r="AK1296" t="s">
        <v>74</v>
      </c>
      <c r="AL1296" s="16"/>
      <c r="AR1296" s="18" t="str">
        <f>IFERROR(VLOOKUP(K1296,[1]POP!$F:$J,1,0),M1296)</f>
        <v>makary</v>
      </c>
      <c r="AS1296" s="18" t="str">
        <f t="shared" si="101"/>
        <v>makary</v>
      </c>
      <c r="AT1296" s="19">
        <f t="shared" si="104"/>
        <v>2</v>
      </c>
      <c r="AU1296" s="19">
        <f t="shared" ca="1" si="103"/>
        <v>1</v>
      </c>
    </row>
    <row r="1297" spans="1:47" x14ac:dyDescent="0.3">
      <c r="A1297" t="s">
        <v>1876</v>
      </c>
      <c r="B1297" t="str">
        <f t="shared" si="100"/>
        <v>S33_2026</v>
      </c>
      <c r="C1297" t="str">
        <f t="shared" si="102"/>
        <v>S33_2026</v>
      </c>
      <c r="E1297" t="s">
        <v>1870</v>
      </c>
      <c r="F1297">
        <v>19</v>
      </c>
      <c r="G1297" t="s">
        <v>55</v>
      </c>
      <c r="H1297" t="s">
        <v>706</v>
      </c>
      <c r="I1297" t="s">
        <v>368</v>
      </c>
      <c r="J1297" t="s">
        <v>140</v>
      </c>
      <c r="K1297" t="s">
        <v>116</v>
      </c>
      <c r="L1297" t="s">
        <v>140</v>
      </c>
      <c r="M1297" t="s">
        <v>116</v>
      </c>
      <c r="N1297" t="s">
        <v>45</v>
      </c>
      <c r="O1297" t="s">
        <v>45</v>
      </c>
      <c r="P1297">
        <v>3</v>
      </c>
      <c r="Q1297" s="7">
        <v>46247</v>
      </c>
      <c r="R1297" s="7">
        <v>46248</v>
      </c>
      <c r="S1297" s="7">
        <v>46248</v>
      </c>
      <c r="T1297" t="s">
        <v>45</v>
      </c>
      <c r="V1297" t="s">
        <v>141</v>
      </c>
      <c r="W1297" t="s">
        <v>45</v>
      </c>
      <c r="X1297" t="s">
        <v>74</v>
      </c>
      <c r="Y1297" t="s">
        <v>45</v>
      </c>
      <c r="Z1297" t="s">
        <v>45</v>
      </c>
      <c r="AB1297" t="s">
        <v>48</v>
      </c>
      <c r="AF1297">
        <v>2</v>
      </c>
      <c r="AH1297" t="s">
        <v>75</v>
      </c>
      <c r="AI1297">
        <v>1</v>
      </c>
      <c r="AJ1297" s="15"/>
      <c r="AK1297" t="s">
        <v>74</v>
      </c>
      <c r="AL1297" s="16"/>
      <c r="AR1297" s="18" t="str">
        <f>IFERROR(VLOOKUP(K1297,[1]POP!$F:$J,1,0),M1297)</f>
        <v>MAKARY</v>
      </c>
      <c r="AS1297" s="18" t="str">
        <f t="shared" si="101"/>
        <v>BIAMO</v>
      </c>
      <c r="AT1297" s="19">
        <f t="shared" si="104"/>
        <v>2</v>
      </c>
      <c r="AU1297" s="19">
        <f t="shared" ca="1" si="103"/>
        <v>1</v>
      </c>
    </row>
    <row r="1298" spans="1:47" x14ac:dyDescent="0.3">
      <c r="A1298" t="s">
        <v>1877</v>
      </c>
      <c r="B1298" t="str">
        <f t="shared" si="100"/>
        <v>S33_2026</v>
      </c>
      <c r="C1298" t="str">
        <f t="shared" si="102"/>
        <v>S33_2026</v>
      </c>
      <c r="E1298" t="s">
        <v>1870</v>
      </c>
      <c r="F1298">
        <v>11</v>
      </c>
      <c r="G1298" t="s">
        <v>55</v>
      </c>
      <c r="H1298" t="s">
        <v>706</v>
      </c>
      <c r="I1298" t="s">
        <v>368</v>
      </c>
      <c r="J1298" t="s">
        <v>140</v>
      </c>
      <c r="K1298" t="s">
        <v>116</v>
      </c>
      <c r="L1298" t="s">
        <v>140</v>
      </c>
      <c r="M1298" t="s">
        <v>116</v>
      </c>
      <c r="N1298" t="s">
        <v>45</v>
      </c>
      <c r="O1298" t="s">
        <v>45</v>
      </c>
      <c r="P1298">
        <v>3</v>
      </c>
      <c r="Q1298" s="7">
        <v>46247</v>
      </c>
      <c r="R1298" s="7">
        <v>46248</v>
      </c>
      <c r="S1298" s="7">
        <v>46248</v>
      </c>
      <c r="T1298" t="s">
        <v>45</v>
      </c>
      <c r="V1298" t="s">
        <v>141</v>
      </c>
      <c r="W1298" t="s">
        <v>45</v>
      </c>
      <c r="X1298" t="s">
        <v>74</v>
      </c>
      <c r="Y1298" t="s">
        <v>45</v>
      </c>
      <c r="Z1298" t="s">
        <v>45</v>
      </c>
      <c r="AB1298" t="s">
        <v>48</v>
      </c>
      <c r="AF1298">
        <v>2</v>
      </c>
      <c r="AH1298" t="s">
        <v>75</v>
      </c>
      <c r="AI1298">
        <v>1</v>
      </c>
      <c r="AJ1298" s="15"/>
      <c r="AK1298" t="s">
        <v>74</v>
      </c>
      <c r="AL1298" s="16"/>
      <c r="AR1298" s="18" t="str">
        <f>IFERROR(VLOOKUP(K1298,[1]POP!$F:$J,1,0),M1298)</f>
        <v>MAKARY</v>
      </c>
      <c r="AS1298" s="18" t="str">
        <f t="shared" si="101"/>
        <v>BIAMO</v>
      </c>
      <c r="AT1298" s="19">
        <f t="shared" si="104"/>
        <v>2</v>
      </c>
      <c r="AU1298" s="19">
        <f t="shared" ca="1" si="103"/>
        <v>1</v>
      </c>
    </row>
    <row r="1299" spans="1:47" x14ac:dyDescent="0.3">
      <c r="A1299" t="s">
        <v>1878</v>
      </c>
      <c r="B1299" t="str">
        <f t="shared" si="100"/>
        <v>S33_2026</v>
      </c>
      <c r="C1299" t="str">
        <f t="shared" si="102"/>
        <v>S33_2026</v>
      </c>
      <c r="E1299" t="s">
        <v>1870</v>
      </c>
      <c r="F1299">
        <v>13</v>
      </c>
      <c r="G1299" t="s">
        <v>40</v>
      </c>
      <c r="H1299" t="s">
        <v>829</v>
      </c>
      <c r="I1299" t="s">
        <v>368</v>
      </c>
      <c r="J1299" t="s">
        <v>140</v>
      </c>
      <c r="K1299" t="s">
        <v>116</v>
      </c>
      <c r="L1299" t="s">
        <v>140</v>
      </c>
      <c r="M1299" t="s">
        <v>116</v>
      </c>
      <c r="N1299" t="s">
        <v>45</v>
      </c>
      <c r="O1299" t="s">
        <v>45</v>
      </c>
      <c r="P1299">
        <v>2</v>
      </c>
      <c r="Q1299" s="7">
        <v>46247</v>
      </c>
      <c r="R1299" s="7">
        <v>46248</v>
      </c>
      <c r="S1299" s="7">
        <v>46248</v>
      </c>
      <c r="T1299" t="s">
        <v>45</v>
      </c>
      <c r="V1299" t="s">
        <v>141</v>
      </c>
      <c r="W1299" t="s">
        <v>45</v>
      </c>
      <c r="X1299" t="s">
        <v>74</v>
      </c>
      <c r="Y1299" t="s">
        <v>45</v>
      </c>
      <c r="Z1299" t="s">
        <v>45</v>
      </c>
      <c r="AB1299" t="s">
        <v>48</v>
      </c>
      <c r="AF1299">
        <v>2</v>
      </c>
      <c r="AH1299" t="s">
        <v>75</v>
      </c>
      <c r="AI1299">
        <v>1</v>
      </c>
      <c r="AJ1299" s="15"/>
      <c r="AK1299" t="s">
        <v>74</v>
      </c>
      <c r="AL1299" s="16"/>
      <c r="AR1299" s="18" t="str">
        <f>IFERROR(VLOOKUP(K1299,[1]POP!$F:$J,1,0),M1299)</f>
        <v>MAKARY</v>
      </c>
      <c r="AS1299" s="18" t="str">
        <f t="shared" si="101"/>
        <v>BIAMO</v>
      </c>
      <c r="AT1299" s="19">
        <f t="shared" si="104"/>
        <v>2</v>
      </c>
      <c r="AU1299" s="19">
        <f t="shared" ca="1" si="103"/>
        <v>1</v>
      </c>
    </row>
    <row r="1300" spans="1:47" x14ac:dyDescent="0.3">
      <c r="A1300" t="s">
        <v>1879</v>
      </c>
      <c r="B1300" t="str">
        <f t="shared" si="100"/>
        <v>S33_2026</v>
      </c>
      <c r="C1300" t="str">
        <f t="shared" si="102"/>
        <v>S33_2026</v>
      </c>
      <c r="E1300" t="s">
        <v>1870</v>
      </c>
      <c r="F1300">
        <v>8</v>
      </c>
      <c r="G1300" t="s">
        <v>55</v>
      </c>
      <c r="H1300" t="s">
        <v>85</v>
      </c>
      <c r="I1300" t="s">
        <v>368</v>
      </c>
      <c r="J1300" t="s">
        <v>140</v>
      </c>
      <c r="K1300" t="s">
        <v>116</v>
      </c>
      <c r="L1300" t="s">
        <v>140</v>
      </c>
      <c r="M1300" t="s">
        <v>116</v>
      </c>
      <c r="N1300" t="s">
        <v>45</v>
      </c>
      <c r="O1300" t="s">
        <v>45</v>
      </c>
      <c r="P1300">
        <v>3</v>
      </c>
      <c r="Q1300" s="7">
        <v>46247</v>
      </c>
      <c r="R1300" s="7">
        <v>46248</v>
      </c>
      <c r="S1300" s="7">
        <v>46248</v>
      </c>
      <c r="T1300" t="s">
        <v>45</v>
      </c>
      <c r="V1300" t="s">
        <v>141</v>
      </c>
      <c r="W1300" t="s">
        <v>45</v>
      </c>
      <c r="X1300" t="s">
        <v>74</v>
      </c>
      <c r="Y1300" t="s">
        <v>45</v>
      </c>
      <c r="Z1300" t="s">
        <v>45</v>
      </c>
      <c r="AB1300" t="s">
        <v>48</v>
      </c>
      <c r="AF1300">
        <v>2</v>
      </c>
      <c r="AH1300" t="s">
        <v>75</v>
      </c>
      <c r="AI1300">
        <v>1</v>
      </c>
      <c r="AJ1300" s="15"/>
      <c r="AK1300" t="s">
        <v>74</v>
      </c>
      <c r="AL1300" s="16"/>
      <c r="AR1300" s="18" t="str">
        <f>IFERROR(VLOOKUP(K1300,[1]POP!$F:$J,1,0),M1300)</f>
        <v>MAKARY</v>
      </c>
      <c r="AS1300" s="18" t="str">
        <f t="shared" si="101"/>
        <v>BIAMO</v>
      </c>
      <c r="AT1300" s="19">
        <f t="shared" si="104"/>
        <v>2</v>
      </c>
      <c r="AU1300" s="19">
        <f t="shared" ca="1" si="103"/>
        <v>1</v>
      </c>
    </row>
    <row r="1301" spans="1:47" x14ac:dyDescent="0.3">
      <c r="A1301" t="s">
        <v>1880</v>
      </c>
      <c r="B1301" t="str">
        <f t="shared" si="100"/>
        <v>S33_2026</v>
      </c>
      <c r="C1301" t="str">
        <f t="shared" si="102"/>
        <v>S33_2026</v>
      </c>
      <c r="E1301" t="s">
        <v>1881</v>
      </c>
      <c r="F1301">
        <v>7</v>
      </c>
      <c r="G1301" t="s">
        <v>40</v>
      </c>
      <c r="H1301" t="s">
        <v>85</v>
      </c>
      <c r="I1301" t="s">
        <v>139</v>
      </c>
      <c r="J1301" t="s">
        <v>140</v>
      </c>
      <c r="K1301" t="s">
        <v>116</v>
      </c>
      <c r="L1301" t="s">
        <v>140</v>
      </c>
      <c r="M1301" t="s">
        <v>116</v>
      </c>
      <c r="N1301" t="s">
        <v>45</v>
      </c>
      <c r="O1301" t="s">
        <v>45</v>
      </c>
      <c r="P1301">
        <v>3</v>
      </c>
      <c r="Q1301" s="7">
        <v>46247</v>
      </c>
      <c r="R1301" s="7">
        <v>46248</v>
      </c>
      <c r="S1301" s="7">
        <v>46248</v>
      </c>
      <c r="T1301" t="s">
        <v>45</v>
      </c>
      <c r="V1301" t="s">
        <v>141</v>
      </c>
      <c r="W1301" t="s">
        <v>45</v>
      </c>
      <c r="X1301" t="s">
        <v>74</v>
      </c>
      <c r="Y1301" t="s">
        <v>45</v>
      </c>
      <c r="Z1301" t="s">
        <v>45</v>
      </c>
      <c r="AB1301" t="s">
        <v>48</v>
      </c>
      <c r="AF1301">
        <v>2</v>
      </c>
      <c r="AH1301" t="s">
        <v>75</v>
      </c>
      <c r="AI1301">
        <v>1</v>
      </c>
      <c r="AJ1301" s="15"/>
      <c r="AK1301" t="s">
        <v>74</v>
      </c>
      <c r="AL1301" s="16"/>
      <c r="AR1301" s="18" t="str">
        <f>IFERROR(VLOOKUP(K1301,[1]POP!$F:$J,1,0),M1301)</f>
        <v>MAKARY</v>
      </c>
      <c r="AS1301" s="18" t="str">
        <f t="shared" si="101"/>
        <v>BIAMO</v>
      </c>
      <c r="AT1301" s="19">
        <f t="shared" si="104"/>
        <v>2</v>
      </c>
      <c r="AU1301" s="19">
        <f t="shared" ca="1" si="103"/>
        <v>1</v>
      </c>
    </row>
    <row r="1302" spans="1:47" x14ac:dyDescent="0.3">
      <c r="A1302" t="s">
        <v>1882</v>
      </c>
      <c r="B1302" t="str">
        <f t="shared" si="100"/>
        <v>S33_2026</v>
      </c>
      <c r="C1302" t="str">
        <f t="shared" si="102"/>
        <v>S33_2026</v>
      </c>
      <c r="E1302" t="s">
        <v>1881</v>
      </c>
      <c r="F1302">
        <v>3</v>
      </c>
      <c r="G1302" t="s">
        <v>55</v>
      </c>
      <c r="H1302" t="s">
        <v>85</v>
      </c>
      <c r="I1302" t="s">
        <v>139</v>
      </c>
      <c r="J1302" t="s">
        <v>140</v>
      </c>
      <c r="K1302" t="s">
        <v>116</v>
      </c>
      <c r="L1302" t="s">
        <v>140</v>
      </c>
      <c r="M1302" t="s">
        <v>116</v>
      </c>
      <c r="N1302" t="s">
        <v>45</v>
      </c>
      <c r="O1302" t="s">
        <v>45</v>
      </c>
      <c r="P1302">
        <v>3</v>
      </c>
      <c r="Q1302" s="7">
        <v>46249</v>
      </c>
      <c r="R1302" s="7">
        <v>46249</v>
      </c>
      <c r="S1302" s="7">
        <v>46249</v>
      </c>
      <c r="T1302" t="s">
        <v>45</v>
      </c>
      <c r="V1302" t="s">
        <v>141</v>
      </c>
      <c r="W1302" t="s">
        <v>45</v>
      </c>
      <c r="X1302" t="s">
        <v>74</v>
      </c>
      <c r="Y1302" t="s">
        <v>45</v>
      </c>
      <c r="Z1302" t="s">
        <v>45</v>
      </c>
      <c r="AB1302" t="s">
        <v>48</v>
      </c>
      <c r="AF1302">
        <v>2</v>
      </c>
      <c r="AH1302" t="s">
        <v>75</v>
      </c>
      <c r="AI1302">
        <v>1</v>
      </c>
      <c r="AJ1302" s="15"/>
      <c r="AK1302" t="s">
        <v>74</v>
      </c>
      <c r="AL1302" s="16"/>
      <c r="AR1302" s="18" t="str">
        <f>IFERROR(VLOOKUP(K1302,[1]POP!$F:$J,1,0),M1302)</f>
        <v>MAKARY</v>
      </c>
      <c r="AS1302" s="18" t="str">
        <f t="shared" si="101"/>
        <v>BIAMO</v>
      </c>
      <c r="AT1302" s="19">
        <f t="shared" si="104"/>
        <v>2</v>
      </c>
      <c r="AU1302" s="19">
        <f t="shared" ca="1" si="103"/>
        <v>1</v>
      </c>
    </row>
    <row r="1303" spans="1:47" x14ac:dyDescent="0.3">
      <c r="A1303" t="s">
        <v>1883</v>
      </c>
      <c r="B1303" t="str">
        <f t="shared" si="100"/>
        <v>S33_2026</v>
      </c>
      <c r="C1303" t="str">
        <f t="shared" si="102"/>
        <v>S33_2026</v>
      </c>
      <c r="E1303" t="s">
        <v>1870</v>
      </c>
      <c r="F1303">
        <v>3</v>
      </c>
      <c r="G1303" t="s">
        <v>40</v>
      </c>
      <c r="H1303" t="s">
        <v>85</v>
      </c>
      <c r="I1303" t="s">
        <v>368</v>
      </c>
      <c r="J1303" t="s">
        <v>140</v>
      </c>
      <c r="K1303" t="s">
        <v>116</v>
      </c>
      <c r="L1303" t="s">
        <v>140</v>
      </c>
      <c r="M1303" t="s">
        <v>116</v>
      </c>
      <c r="N1303" t="s">
        <v>45</v>
      </c>
      <c r="O1303" t="s">
        <v>45</v>
      </c>
      <c r="P1303">
        <v>3</v>
      </c>
      <c r="Q1303" s="7">
        <v>46249</v>
      </c>
      <c r="R1303" s="7">
        <v>46249</v>
      </c>
      <c r="S1303" s="7">
        <v>46249</v>
      </c>
      <c r="T1303" t="s">
        <v>45</v>
      </c>
      <c r="V1303" t="s">
        <v>141</v>
      </c>
      <c r="W1303" t="s">
        <v>45</v>
      </c>
      <c r="X1303" t="s">
        <v>74</v>
      </c>
      <c r="Y1303" t="s">
        <v>45</v>
      </c>
      <c r="Z1303" t="s">
        <v>45</v>
      </c>
      <c r="AF1303">
        <v>2</v>
      </c>
      <c r="AH1303" t="s">
        <v>75</v>
      </c>
      <c r="AI1303">
        <v>1</v>
      </c>
      <c r="AJ1303" s="15"/>
      <c r="AK1303" t="s">
        <v>74</v>
      </c>
      <c r="AL1303" s="16"/>
      <c r="AR1303" s="18" t="str">
        <f>IFERROR(VLOOKUP(K1303,[1]POP!$F:$J,1,0),M1303)</f>
        <v>MAKARY</v>
      </c>
      <c r="AS1303" s="18" t="str">
        <f t="shared" si="101"/>
        <v>BIAMO</v>
      </c>
      <c r="AT1303" s="19">
        <f t="shared" si="104"/>
        <v>2</v>
      </c>
      <c r="AU1303" s="19">
        <f t="shared" ca="1" si="103"/>
        <v>1</v>
      </c>
    </row>
    <row r="1304" spans="1:47" x14ac:dyDescent="0.3">
      <c r="A1304" t="s">
        <v>1884</v>
      </c>
      <c r="B1304" t="str">
        <f t="shared" si="100"/>
        <v>S33_2026</v>
      </c>
      <c r="C1304" t="str">
        <f t="shared" si="102"/>
        <v>S33_2026</v>
      </c>
      <c r="E1304" t="s">
        <v>1870</v>
      </c>
      <c r="F1304">
        <v>30</v>
      </c>
      <c r="G1304" t="s">
        <v>55</v>
      </c>
      <c r="H1304" t="s">
        <v>70</v>
      </c>
      <c r="I1304" t="s">
        <v>368</v>
      </c>
      <c r="J1304" t="s">
        <v>140</v>
      </c>
      <c r="K1304" t="s">
        <v>116</v>
      </c>
      <c r="L1304" t="s">
        <v>140</v>
      </c>
      <c r="M1304" t="s">
        <v>116</v>
      </c>
      <c r="N1304" t="s">
        <v>45</v>
      </c>
      <c r="O1304" t="s">
        <v>45</v>
      </c>
      <c r="P1304">
        <v>3</v>
      </c>
      <c r="Q1304" s="7">
        <v>46249</v>
      </c>
      <c r="R1304" s="7">
        <v>46249</v>
      </c>
      <c r="S1304" s="7">
        <v>46249</v>
      </c>
      <c r="T1304" t="s">
        <v>45</v>
      </c>
      <c r="V1304" t="s">
        <v>141</v>
      </c>
      <c r="W1304" t="s">
        <v>45</v>
      </c>
      <c r="X1304" t="s">
        <v>74</v>
      </c>
      <c r="Y1304" t="s">
        <v>45</v>
      </c>
      <c r="Z1304" t="s">
        <v>45</v>
      </c>
      <c r="AB1304" t="s">
        <v>48</v>
      </c>
      <c r="AF1304">
        <v>2</v>
      </c>
      <c r="AH1304" t="s">
        <v>75</v>
      </c>
      <c r="AI1304">
        <v>1</v>
      </c>
      <c r="AJ1304" s="15"/>
      <c r="AK1304" t="s">
        <v>74</v>
      </c>
      <c r="AL1304" s="16"/>
      <c r="AR1304" s="18" t="str">
        <f>IFERROR(VLOOKUP(K1304,[1]POP!$F:$J,1,0),M1304)</f>
        <v>MAKARY</v>
      </c>
      <c r="AS1304" s="18" t="str">
        <f t="shared" si="101"/>
        <v>BIAMO</v>
      </c>
      <c r="AT1304" s="19">
        <f t="shared" si="104"/>
        <v>2</v>
      </c>
      <c r="AU1304" s="19">
        <f t="shared" ca="1" si="103"/>
        <v>1</v>
      </c>
    </row>
    <row r="1305" spans="1:47" x14ac:dyDescent="0.3">
      <c r="A1305" t="s">
        <v>1885</v>
      </c>
      <c r="B1305" t="str">
        <f t="shared" si="100"/>
        <v>S33_2026</v>
      </c>
      <c r="C1305" t="str">
        <f t="shared" si="102"/>
        <v>S33_2026</v>
      </c>
      <c r="E1305" t="s">
        <v>1881</v>
      </c>
      <c r="F1305">
        <v>30</v>
      </c>
      <c r="G1305" t="s">
        <v>40</v>
      </c>
      <c r="H1305" t="s">
        <v>1861</v>
      </c>
      <c r="I1305" t="s">
        <v>139</v>
      </c>
      <c r="J1305" t="s">
        <v>140</v>
      </c>
      <c r="K1305" t="s">
        <v>116</v>
      </c>
      <c r="L1305" t="s">
        <v>140</v>
      </c>
      <c r="M1305" t="s">
        <v>116</v>
      </c>
      <c r="N1305" t="s">
        <v>45</v>
      </c>
      <c r="O1305" t="s">
        <v>45</v>
      </c>
      <c r="P1305">
        <v>3</v>
      </c>
      <c r="Q1305" s="7">
        <v>46249</v>
      </c>
      <c r="R1305" s="7">
        <v>46250</v>
      </c>
      <c r="S1305" s="7">
        <v>46250</v>
      </c>
      <c r="AF1305">
        <v>3</v>
      </c>
      <c r="AH1305" t="s">
        <v>75</v>
      </c>
      <c r="AI1305">
        <v>2</v>
      </c>
      <c r="AJ1305" s="15"/>
      <c r="AL1305" s="16"/>
      <c r="AR1305" s="18" t="str">
        <f>IFERROR(VLOOKUP(K1305,[1]POP!$F:$J,1,0),M1305)</f>
        <v>MAKARY</v>
      </c>
      <c r="AS1305" s="18" t="str">
        <f t="shared" si="101"/>
        <v>BIAMO</v>
      </c>
      <c r="AT1305" s="19">
        <f t="shared" si="104"/>
        <v>3</v>
      </c>
      <c r="AU1305" s="19">
        <f t="shared" ca="1" si="103"/>
        <v>1</v>
      </c>
    </row>
    <row r="1306" spans="1:47" x14ac:dyDescent="0.3">
      <c r="A1306" t="s">
        <v>1886</v>
      </c>
      <c r="B1306" t="str">
        <f t="shared" si="100"/>
        <v>S33_2026</v>
      </c>
      <c r="C1306" t="str">
        <f t="shared" si="102"/>
        <v>S33_2026</v>
      </c>
      <c r="E1306" t="s">
        <v>1870</v>
      </c>
      <c r="F1306">
        <v>10</v>
      </c>
      <c r="G1306" t="s">
        <v>55</v>
      </c>
      <c r="H1306" t="s">
        <v>56</v>
      </c>
      <c r="I1306" t="s">
        <v>368</v>
      </c>
      <c r="J1306" t="s">
        <v>140</v>
      </c>
      <c r="K1306" t="s">
        <v>116</v>
      </c>
      <c r="L1306" t="s">
        <v>140</v>
      </c>
      <c r="M1306" t="s">
        <v>116</v>
      </c>
      <c r="N1306" t="s">
        <v>45</v>
      </c>
      <c r="O1306" t="s">
        <v>45</v>
      </c>
      <c r="P1306">
        <v>3</v>
      </c>
      <c r="Q1306" s="7">
        <v>46250</v>
      </c>
      <c r="R1306" s="7">
        <v>46250</v>
      </c>
      <c r="S1306" s="7">
        <v>46250</v>
      </c>
      <c r="T1306" t="s">
        <v>45</v>
      </c>
      <c r="V1306" t="s">
        <v>141</v>
      </c>
      <c r="W1306" t="s">
        <v>45</v>
      </c>
      <c r="X1306" t="s">
        <v>74</v>
      </c>
      <c r="Y1306" t="s">
        <v>45</v>
      </c>
      <c r="Z1306" t="s">
        <v>45</v>
      </c>
      <c r="AF1306">
        <v>2</v>
      </c>
      <c r="AH1306" t="s">
        <v>75</v>
      </c>
      <c r="AI1306">
        <v>1</v>
      </c>
      <c r="AJ1306" s="15"/>
      <c r="AK1306" t="s">
        <v>74</v>
      </c>
      <c r="AL1306" s="16"/>
      <c r="AR1306" s="18" t="str">
        <f>IFERROR(VLOOKUP(K1306,[1]POP!$F:$J,1,0),M1306)</f>
        <v>MAKARY</v>
      </c>
      <c r="AS1306" s="18" t="str">
        <f t="shared" si="101"/>
        <v>BIAMO</v>
      </c>
      <c r="AT1306" s="19">
        <f t="shared" si="104"/>
        <v>2</v>
      </c>
      <c r="AU1306" s="19">
        <f t="shared" ca="1" si="103"/>
        <v>1</v>
      </c>
    </row>
    <row r="1307" spans="1:47" x14ac:dyDescent="0.3">
      <c r="A1307" t="s">
        <v>1887</v>
      </c>
      <c r="B1307" t="str">
        <f t="shared" si="100"/>
        <v>S33_2026</v>
      </c>
      <c r="C1307" t="str">
        <f t="shared" si="102"/>
        <v>S33_2026</v>
      </c>
      <c r="E1307" t="s">
        <v>1870</v>
      </c>
      <c r="F1307">
        <v>4</v>
      </c>
      <c r="G1307" t="s">
        <v>55</v>
      </c>
      <c r="H1307" t="s">
        <v>85</v>
      </c>
      <c r="I1307" t="s">
        <v>368</v>
      </c>
      <c r="J1307" t="s">
        <v>140</v>
      </c>
      <c r="K1307" t="s">
        <v>116</v>
      </c>
      <c r="L1307" t="s">
        <v>140</v>
      </c>
      <c r="M1307" t="s">
        <v>116</v>
      </c>
      <c r="N1307" t="s">
        <v>45</v>
      </c>
      <c r="O1307" t="s">
        <v>45</v>
      </c>
      <c r="P1307">
        <v>3</v>
      </c>
      <c r="Q1307" s="7">
        <v>46250</v>
      </c>
      <c r="R1307" s="7">
        <v>46250</v>
      </c>
      <c r="S1307" s="7">
        <v>46250</v>
      </c>
      <c r="T1307" t="s">
        <v>45</v>
      </c>
      <c r="V1307" t="s">
        <v>141</v>
      </c>
      <c r="W1307" t="s">
        <v>45</v>
      </c>
      <c r="X1307" t="s">
        <v>74</v>
      </c>
      <c r="Y1307" t="s">
        <v>45</v>
      </c>
      <c r="Z1307" t="s">
        <v>45</v>
      </c>
      <c r="AF1307">
        <v>2</v>
      </c>
      <c r="AH1307" t="s">
        <v>75</v>
      </c>
      <c r="AI1307">
        <v>1</v>
      </c>
      <c r="AJ1307" s="15"/>
      <c r="AK1307" t="s">
        <v>74</v>
      </c>
      <c r="AL1307" s="16"/>
      <c r="AR1307" s="18" t="str">
        <f>IFERROR(VLOOKUP(K1307,[1]POP!$F:$J,1,0),M1307)</f>
        <v>MAKARY</v>
      </c>
      <c r="AS1307" s="18" t="str">
        <f t="shared" si="101"/>
        <v>BIAMO</v>
      </c>
      <c r="AT1307" s="19">
        <f t="shared" si="104"/>
        <v>2</v>
      </c>
      <c r="AU1307" s="19">
        <f t="shared" ca="1" si="103"/>
        <v>1</v>
      </c>
    </row>
    <row r="1308" spans="1:47" x14ac:dyDescent="0.3">
      <c r="A1308" t="s">
        <v>1888</v>
      </c>
      <c r="B1308" t="str">
        <f t="shared" si="100"/>
        <v>S33_2026</v>
      </c>
      <c r="C1308" t="str">
        <f t="shared" si="102"/>
        <v>S33_2026</v>
      </c>
      <c r="E1308" t="s">
        <v>1870</v>
      </c>
      <c r="F1308">
        <v>72</v>
      </c>
      <c r="G1308" t="s">
        <v>55</v>
      </c>
      <c r="H1308" t="s">
        <v>70</v>
      </c>
      <c r="I1308" t="s">
        <v>1859</v>
      </c>
      <c r="J1308" t="s">
        <v>140</v>
      </c>
      <c r="K1308" t="s">
        <v>116</v>
      </c>
      <c r="L1308" t="s">
        <v>140</v>
      </c>
      <c r="M1308" t="s">
        <v>116</v>
      </c>
      <c r="N1308" t="s">
        <v>45</v>
      </c>
      <c r="O1308" t="s">
        <v>45</v>
      </c>
      <c r="P1308">
        <v>3</v>
      </c>
      <c r="Q1308" s="7">
        <v>46250</v>
      </c>
      <c r="R1308" s="7">
        <v>46250</v>
      </c>
      <c r="S1308" s="7">
        <v>46250</v>
      </c>
      <c r="T1308" t="s">
        <v>45</v>
      </c>
      <c r="V1308" t="s">
        <v>141</v>
      </c>
      <c r="W1308" t="s">
        <v>45</v>
      </c>
      <c r="X1308" t="s">
        <v>74</v>
      </c>
      <c r="Y1308" t="s">
        <v>45</v>
      </c>
      <c r="Z1308" t="s">
        <v>45</v>
      </c>
      <c r="AF1308">
        <v>2</v>
      </c>
      <c r="AH1308" t="s">
        <v>75</v>
      </c>
      <c r="AI1308">
        <v>1</v>
      </c>
      <c r="AJ1308" s="15"/>
      <c r="AK1308" t="s">
        <v>45</v>
      </c>
      <c r="AL1308" s="16"/>
      <c r="AR1308" s="18" t="str">
        <f>IFERROR(VLOOKUP(K1308,[1]POP!$F:$J,1,0),M1308)</f>
        <v>MAKARY</v>
      </c>
      <c r="AS1308" s="18" t="str">
        <f t="shared" si="101"/>
        <v>BIAMO</v>
      </c>
      <c r="AT1308" s="19">
        <f t="shared" si="104"/>
        <v>2</v>
      </c>
      <c r="AU1308" s="19">
        <f t="shared" ca="1" si="103"/>
        <v>1</v>
      </c>
    </row>
    <row r="1309" spans="1:47" x14ac:dyDescent="0.3">
      <c r="A1309" t="s">
        <v>1889</v>
      </c>
      <c r="B1309" t="str">
        <f t="shared" si="100"/>
        <v>S33_2026</v>
      </c>
      <c r="C1309" t="str">
        <f t="shared" si="102"/>
        <v>S33_2026</v>
      </c>
      <c r="E1309" t="s">
        <v>1868</v>
      </c>
      <c r="F1309">
        <v>25</v>
      </c>
      <c r="G1309" t="s">
        <v>40</v>
      </c>
      <c r="H1309" t="s">
        <v>1861</v>
      </c>
      <c r="I1309" t="s">
        <v>1859</v>
      </c>
      <c r="J1309" t="s">
        <v>140</v>
      </c>
      <c r="K1309" t="s">
        <v>116</v>
      </c>
      <c r="L1309" t="s">
        <v>140</v>
      </c>
      <c r="M1309" t="s">
        <v>116</v>
      </c>
      <c r="N1309" t="s">
        <v>45</v>
      </c>
      <c r="O1309" t="s">
        <v>45</v>
      </c>
      <c r="P1309">
        <v>3</v>
      </c>
      <c r="Q1309" s="7">
        <v>46250</v>
      </c>
      <c r="R1309" s="7">
        <v>46250</v>
      </c>
      <c r="S1309" s="7">
        <v>46250</v>
      </c>
      <c r="T1309" t="s">
        <v>45</v>
      </c>
      <c r="V1309" t="s">
        <v>141</v>
      </c>
      <c r="W1309" t="s">
        <v>45</v>
      </c>
      <c r="X1309" t="s">
        <v>74</v>
      </c>
      <c r="Y1309" t="s">
        <v>45</v>
      </c>
      <c r="Z1309" t="s">
        <v>45</v>
      </c>
      <c r="AF1309">
        <v>2</v>
      </c>
      <c r="AH1309" t="s">
        <v>75</v>
      </c>
      <c r="AI1309">
        <v>1</v>
      </c>
      <c r="AJ1309" s="15"/>
      <c r="AK1309" t="s">
        <v>45</v>
      </c>
      <c r="AL1309" s="16"/>
      <c r="AR1309" s="18" t="str">
        <f>IFERROR(VLOOKUP(K1309,[1]POP!$F:$J,1,0),M1309)</f>
        <v>MAKARY</v>
      </c>
      <c r="AS1309" s="18" t="str">
        <f t="shared" si="101"/>
        <v>BIAMO</v>
      </c>
      <c r="AT1309" s="19">
        <f t="shared" si="104"/>
        <v>2</v>
      </c>
      <c r="AU1309" s="19">
        <f t="shared" ca="1" si="103"/>
        <v>1</v>
      </c>
    </row>
    <row r="1310" spans="1:47" x14ac:dyDescent="0.3">
      <c r="A1310" t="s">
        <v>1890</v>
      </c>
      <c r="B1310" t="str">
        <f t="shared" si="100"/>
        <v>S33_2026</v>
      </c>
      <c r="C1310" t="str">
        <f t="shared" si="102"/>
        <v>S33_2026</v>
      </c>
      <c r="E1310" t="s">
        <v>1881</v>
      </c>
      <c r="F1310">
        <v>25</v>
      </c>
      <c r="G1310" t="s">
        <v>40</v>
      </c>
      <c r="H1310" t="s">
        <v>1861</v>
      </c>
      <c r="I1310" t="s">
        <v>139</v>
      </c>
      <c r="J1310" t="s">
        <v>140</v>
      </c>
      <c r="K1310" t="s">
        <v>116</v>
      </c>
      <c r="L1310" t="s">
        <v>140</v>
      </c>
      <c r="M1310" t="s">
        <v>116</v>
      </c>
      <c r="N1310" t="s">
        <v>45</v>
      </c>
      <c r="O1310" t="s">
        <v>45</v>
      </c>
      <c r="P1310">
        <v>3</v>
      </c>
      <c r="Q1310" s="7">
        <v>46250</v>
      </c>
      <c r="R1310" s="7">
        <v>46250</v>
      </c>
      <c r="S1310" s="7">
        <v>46250</v>
      </c>
      <c r="T1310" t="s">
        <v>45</v>
      </c>
      <c r="V1310" t="s">
        <v>141</v>
      </c>
      <c r="W1310" t="s">
        <v>45</v>
      </c>
      <c r="X1310" t="s">
        <v>74</v>
      </c>
      <c r="Y1310" t="s">
        <v>45</v>
      </c>
      <c r="Z1310" t="s">
        <v>45</v>
      </c>
      <c r="AF1310">
        <v>2</v>
      </c>
      <c r="AH1310" t="s">
        <v>75</v>
      </c>
      <c r="AI1310">
        <v>1</v>
      </c>
      <c r="AJ1310" s="15"/>
      <c r="AK1310" t="s">
        <v>45</v>
      </c>
      <c r="AL1310" s="16"/>
      <c r="AR1310" s="18" t="str">
        <f>IFERROR(VLOOKUP(K1310,[1]POP!$F:$J,1,0),M1310)</f>
        <v>MAKARY</v>
      </c>
      <c r="AS1310" s="18" t="str">
        <f t="shared" si="101"/>
        <v>BIAMO</v>
      </c>
      <c r="AT1310" s="19">
        <f t="shared" si="104"/>
        <v>2</v>
      </c>
      <c r="AU1310" s="19">
        <f t="shared" ca="1" si="103"/>
        <v>1</v>
      </c>
    </row>
    <row r="1311" spans="1:47" x14ac:dyDescent="0.3">
      <c r="A1311" t="s">
        <v>1891</v>
      </c>
      <c r="B1311" t="str">
        <f t="shared" si="100"/>
        <v>S33_2026</v>
      </c>
      <c r="C1311" t="str">
        <f t="shared" si="102"/>
        <v>S33_2026</v>
      </c>
      <c r="E1311" t="s">
        <v>1870</v>
      </c>
      <c r="F1311">
        <v>42</v>
      </c>
      <c r="G1311" t="s">
        <v>55</v>
      </c>
      <c r="H1311" t="s">
        <v>70</v>
      </c>
      <c r="I1311" t="s">
        <v>368</v>
      </c>
      <c r="J1311" t="s">
        <v>140</v>
      </c>
      <c r="K1311" t="s">
        <v>116</v>
      </c>
      <c r="L1311" t="s">
        <v>140</v>
      </c>
      <c r="M1311" t="s">
        <v>116</v>
      </c>
      <c r="N1311" t="s">
        <v>45</v>
      </c>
      <c r="O1311" t="s">
        <v>45</v>
      </c>
      <c r="P1311">
        <v>3</v>
      </c>
      <c r="Q1311" s="7">
        <v>46250</v>
      </c>
      <c r="R1311" s="7">
        <v>46250</v>
      </c>
      <c r="S1311" s="7">
        <v>46250</v>
      </c>
      <c r="T1311" t="s">
        <v>45</v>
      </c>
      <c r="V1311" t="s">
        <v>141</v>
      </c>
      <c r="W1311" t="s">
        <v>45</v>
      </c>
      <c r="X1311" t="s">
        <v>74</v>
      </c>
      <c r="Y1311" t="s">
        <v>45</v>
      </c>
      <c r="Z1311" t="s">
        <v>45</v>
      </c>
      <c r="AF1311">
        <v>2</v>
      </c>
      <c r="AH1311" t="s">
        <v>75</v>
      </c>
      <c r="AI1311">
        <v>1</v>
      </c>
      <c r="AJ1311" s="15"/>
      <c r="AK1311" t="s">
        <v>74</v>
      </c>
      <c r="AL1311" s="16"/>
      <c r="AR1311" s="18" t="str">
        <f>IFERROR(VLOOKUP(K1311,[1]POP!$F:$J,1,0),M1311)</f>
        <v>MAKARY</v>
      </c>
      <c r="AS1311" s="18" t="str">
        <f t="shared" si="101"/>
        <v>BIAMO</v>
      </c>
      <c r="AT1311" s="19">
        <f t="shared" si="104"/>
        <v>2</v>
      </c>
      <c r="AU1311" s="19">
        <f t="shared" ca="1" si="103"/>
        <v>1</v>
      </c>
    </row>
    <row r="1312" spans="1:47" x14ac:dyDescent="0.3">
      <c r="A1312" t="s">
        <v>1892</v>
      </c>
      <c r="B1312" t="str">
        <f t="shared" si="100"/>
        <v>S33_2026</v>
      </c>
      <c r="C1312" t="str">
        <f t="shared" si="102"/>
        <v>S33_2026</v>
      </c>
      <c r="E1312" t="s">
        <v>1893</v>
      </c>
      <c r="F1312">
        <v>47</v>
      </c>
      <c r="G1312" t="s">
        <v>40</v>
      </c>
      <c r="H1312" t="s">
        <v>682</v>
      </c>
      <c r="I1312" t="s">
        <v>1894</v>
      </c>
      <c r="J1312" t="s">
        <v>1513</v>
      </c>
      <c r="K1312" t="s">
        <v>658</v>
      </c>
      <c r="L1312" t="s">
        <v>659</v>
      </c>
      <c r="M1312" t="s">
        <v>116</v>
      </c>
      <c r="N1312" t="s">
        <v>663</v>
      </c>
      <c r="O1312" t="s">
        <v>663</v>
      </c>
      <c r="P1312">
        <v>1</v>
      </c>
      <c r="Q1312" s="7">
        <v>46249</v>
      </c>
      <c r="R1312" s="7">
        <v>46250</v>
      </c>
      <c r="S1312" s="7">
        <v>46250</v>
      </c>
      <c r="T1312" t="s">
        <v>663</v>
      </c>
      <c r="V1312" t="s">
        <v>662</v>
      </c>
      <c r="W1312" t="s">
        <v>663</v>
      </c>
      <c r="X1312" t="s">
        <v>663</v>
      </c>
      <c r="Y1312" t="s">
        <v>663</v>
      </c>
      <c r="Z1312" t="s">
        <v>663</v>
      </c>
      <c r="AB1312" t="s">
        <v>1509</v>
      </c>
      <c r="AF1312">
        <v>2</v>
      </c>
      <c r="AH1312" t="s">
        <v>75</v>
      </c>
      <c r="AI1312">
        <v>1</v>
      </c>
      <c r="AJ1312" s="15"/>
      <c r="AK1312" t="s">
        <v>74</v>
      </c>
      <c r="AL1312" s="16"/>
      <c r="AR1312" s="18" t="str">
        <f>IFERROR(VLOOKUP(K1312,[1]POP!$F:$J,1,0),M1312)</f>
        <v>MAKARY</v>
      </c>
      <c r="AS1312" s="18" t="str">
        <f t="shared" si="101"/>
        <v>Amchilga</v>
      </c>
      <c r="AT1312" s="19">
        <f t="shared" si="104"/>
        <v>2</v>
      </c>
      <c r="AU1312" s="19">
        <f t="shared" ca="1" si="103"/>
        <v>1</v>
      </c>
    </row>
    <row r="1313" spans="1:47" x14ac:dyDescent="0.3">
      <c r="A1313" t="s">
        <v>1895</v>
      </c>
      <c r="B1313" t="str">
        <f t="shared" si="100"/>
        <v>S34_2026</v>
      </c>
      <c r="C1313" t="str">
        <f t="shared" si="102"/>
        <v>S34_2026</v>
      </c>
      <c r="E1313" t="s">
        <v>1896</v>
      </c>
      <c r="F1313">
        <v>14</v>
      </c>
      <c r="G1313" t="s">
        <v>55</v>
      </c>
      <c r="H1313" t="s">
        <v>673</v>
      </c>
      <c r="I1313" t="s">
        <v>1897</v>
      </c>
      <c r="J1313" t="s">
        <v>1513</v>
      </c>
      <c r="K1313" t="s">
        <v>658</v>
      </c>
      <c r="L1313" t="s">
        <v>659</v>
      </c>
      <c r="M1313" t="s">
        <v>116</v>
      </c>
      <c r="N1313" t="s">
        <v>663</v>
      </c>
      <c r="O1313" t="s">
        <v>663</v>
      </c>
      <c r="P1313">
        <v>1</v>
      </c>
      <c r="Q1313" s="7">
        <v>46251</v>
      </c>
      <c r="R1313" s="7">
        <v>46251</v>
      </c>
      <c r="S1313" s="7">
        <v>46251</v>
      </c>
      <c r="T1313" t="s">
        <v>117</v>
      </c>
      <c r="V1313" t="s">
        <v>662</v>
      </c>
      <c r="W1313" t="s">
        <v>117</v>
      </c>
      <c r="X1313" t="s">
        <v>663</v>
      </c>
      <c r="Y1313" t="s">
        <v>663</v>
      </c>
      <c r="Z1313" t="s">
        <v>663</v>
      </c>
      <c r="AB1313" t="s">
        <v>1509</v>
      </c>
      <c r="AF1313">
        <v>2</v>
      </c>
      <c r="AH1313" t="s">
        <v>75</v>
      </c>
      <c r="AI1313">
        <v>1</v>
      </c>
      <c r="AJ1313" s="15"/>
      <c r="AK1313" t="s">
        <v>74</v>
      </c>
      <c r="AL1313" s="16"/>
      <c r="AR1313" s="18" t="str">
        <f>IFERROR(VLOOKUP(K1313,[1]POP!$F:$J,1,0),M1313)</f>
        <v>MAKARY</v>
      </c>
      <c r="AS1313" s="18" t="str">
        <f t="shared" si="101"/>
        <v>Amchilga</v>
      </c>
      <c r="AT1313" s="19">
        <f t="shared" si="104"/>
        <v>2</v>
      </c>
      <c r="AU1313" s="19">
        <f t="shared" ca="1" si="103"/>
        <v>1</v>
      </c>
    </row>
    <row r="1314" spans="1:47" x14ac:dyDescent="0.3">
      <c r="A1314" t="s">
        <v>1898</v>
      </c>
      <c r="B1314" t="str">
        <f t="shared" si="100"/>
        <v>S33_2026</v>
      </c>
      <c r="C1314" t="str">
        <f t="shared" si="102"/>
        <v>S33_2026</v>
      </c>
      <c r="E1314">
        <v>679855882</v>
      </c>
      <c r="F1314">
        <v>25</v>
      </c>
      <c r="G1314" t="s">
        <v>40</v>
      </c>
      <c r="H1314" t="s">
        <v>1899</v>
      </c>
      <c r="I1314" t="s">
        <v>560</v>
      </c>
      <c r="J1314" t="s">
        <v>1900</v>
      </c>
      <c r="K1314" t="s">
        <v>1901</v>
      </c>
      <c r="L1314" t="s">
        <v>560</v>
      </c>
      <c r="M1314" t="s">
        <v>460</v>
      </c>
      <c r="N1314" t="s">
        <v>45</v>
      </c>
      <c r="O1314" t="s">
        <v>45</v>
      </c>
      <c r="P1314">
        <v>1</v>
      </c>
      <c r="Q1314" s="7">
        <v>46247</v>
      </c>
      <c r="R1314" s="7">
        <v>46247</v>
      </c>
      <c r="S1314" s="7">
        <v>46247</v>
      </c>
      <c r="T1314" t="s">
        <v>45</v>
      </c>
      <c r="V1314" t="s">
        <v>1902</v>
      </c>
      <c r="W1314" t="s">
        <v>45</v>
      </c>
      <c r="X1314" t="s">
        <v>45</v>
      </c>
      <c r="Y1314" t="s">
        <v>45</v>
      </c>
      <c r="Z1314" t="s">
        <v>45</v>
      </c>
      <c r="AA1314" s="7">
        <v>46247</v>
      </c>
      <c r="AB1314" t="s">
        <v>48</v>
      </c>
      <c r="AC1314" t="s">
        <v>74</v>
      </c>
      <c r="AF1314">
        <v>2</v>
      </c>
      <c r="AH1314" t="s">
        <v>75</v>
      </c>
      <c r="AI1314">
        <v>1</v>
      </c>
      <c r="AJ1314" s="15"/>
      <c r="AK1314" t="s">
        <v>86</v>
      </c>
      <c r="AL1314" s="16"/>
      <c r="AR1314" s="18" t="str">
        <f>IFERROR(VLOOKUP(K1314,[1]POP!$F:$J,1,0),M1314)</f>
        <v>KOUSSERI</v>
      </c>
      <c r="AS1314" s="18" t="str">
        <f t="shared" si="101"/>
        <v>MADANA</v>
      </c>
      <c r="AT1314" s="19">
        <f t="shared" si="104"/>
        <v>2</v>
      </c>
      <c r="AU1314" s="19">
        <f t="shared" ca="1" si="103"/>
        <v>1</v>
      </c>
    </row>
    <row r="1315" spans="1:47" x14ac:dyDescent="0.3">
      <c r="A1315" t="s">
        <v>1903</v>
      </c>
      <c r="B1315" t="str">
        <f t="shared" si="100"/>
        <v>S33_2026</v>
      </c>
      <c r="C1315" t="str">
        <f t="shared" si="102"/>
        <v>S33_2026</v>
      </c>
      <c r="E1315">
        <v>693323259</v>
      </c>
      <c r="F1315">
        <v>36</v>
      </c>
      <c r="G1315" t="s">
        <v>40</v>
      </c>
      <c r="H1315" t="s">
        <v>1899</v>
      </c>
      <c r="I1315" t="s">
        <v>1900</v>
      </c>
      <c r="J1315" t="s">
        <v>1900</v>
      </c>
      <c r="K1315" t="s">
        <v>1901</v>
      </c>
      <c r="L1315" t="s">
        <v>560</v>
      </c>
      <c r="M1315" t="s">
        <v>460</v>
      </c>
      <c r="N1315" t="s">
        <v>45</v>
      </c>
      <c r="O1315" t="s">
        <v>45</v>
      </c>
      <c r="P1315">
        <v>1</v>
      </c>
      <c r="Q1315" s="7">
        <v>46247</v>
      </c>
      <c r="R1315" s="7">
        <v>46247</v>
      </c>
      <c r="S1315" s="7">
        <v>46247</v>
      </c>
      <c r="T1315" t="s">
        <v>45</v>
      </c>
      <c r="V1315" t="s">
        <v>1902</v>
      </c>
      <c r="W1315" t="s">
        <v>45</v>
      </c>
      <c r="X1315" t="s">
        <v>45</v>
      </c>
      <c r="Y1315" t="s">
        <v>45</v>
      </c>
      <c r="Z1315" t="s">
        <v>45</v>
      </c>
      <c r="AA1315" s="7">
        <v>46247</v>
      </c>
      <c r="AB1315" t="s">
        <v>48</v>
      </c>
      <c r="AC1315" t="s">
        <v>74</v>
      </c>
      <c r="AF1315">
        <v>2</v>
      </c>
      <c r="AH1315" t="s">
        <v>75</v>
      </c>
      <c r="AI1315">
        <v>1</v>
      </c>
      <c r="AJ1315" s="15"/>
      <c r="AK1315" t="s">
        <v>1904</v>
      </c>
      <c r="AL1315" s="16"/>
      <c r="AR1315" s="18" t="str">
        <f>IFERROR(VLOOKUP(K1315,[1]POP!$F:$J,1,0),M1315)</f>
        <v>KOUSSERI</v>
      </c>
      <c r="AS1315" s="18" t="str">
        <f t="shared" si="101"/>
        <v>MADANA</v>
      </c>
      <c r="AT1315" s="19">
        <f t="shared" si="104"/>
        <v>2</v>
      </c>
      <c r="AU1315" s="19">
        <f t="shared" ca="1" si="103"/>
        <v>1</v>
      </c>
    </row>
    <row r="1316" spans="1:47" x14ac:dyDescent="0.3">
      <c r="A1316" t="s">
        <v>1905</v>
      </c>
      <c r="B1316" t="str">
        <f t="shared" si="100"/>
        <v>S33_2026</v>
      </c>
      <c r="C1316" t="str">
        <f t="shared" si="102"/>
        <v>S33_2026</v>
      </c>
      <c r="E1316">
        <v>699787294</v>
      </c>
      <c r="F1316">
        <v>9</v>
      </c>
      <c r="G1316" t="s">
        <v>55</v>
      </c>
      <c r="H1316" t="s">
        <v>85</v>
      </c>
      <c r="I1316" t="s">
        <v>560</v>
      </c>
      <c r="J1316" t="s">
        <v>560</v>
      </c>
      <c r="K1316" t="s">
        <v>460</v>
      </c>
      <c r="L1316" t="s">
        <v>459</v>
      </c>
      <c r="M1316" t="s">
        <v>460</v>
      </c>
      <c r="N1316" t="s">
        <v>45</v>
      </c>
      <c r="O1316" t="s">
        <v>45</v>
      </c>
      <c r="P1316">
        <v>3</v>
      </c>
      <c r="Q1316" s="7">
        <v>46246</v>
      </c>
      <c r="R1316" s="7">
        <v>46246</v>
      </c>
      <c r="S1316" s="7">
        <v>46247</v>
      </c>
      <c r="T1316" t="s">
        <v>117</v>
      </c>
      <c r="V1316" t="s">
        <v>462</v>
      </c>
      <c r="W1316" t="s">
        <v>45</v>
      </c>
      <c r="X1316" t="s">
        <v>45</v>
      </c>
      <c r="Y1316" t="s">
        <v>45</v>
      </c>
      <c r="Z1316" t="s">
        <v>45</v>
      </c>
      <c r="AA1316" s="7">
        <v>46246</v>
      </c>
      <c r="AB1316" t="s">
        <v>48</v>
      </c>
      <c r="AC1316" t="s">
        <v>74</v>
      </c>
      <c r="AF1316">
        <v>2</v>
      </c>
      <c r="AH1316" t="s">
        <v>75</v>
      </c>
      <c r="AI1316">
        <v>1</v>
      </c>
      <c r="AJ1316" s="15"/>
      <c r="AL1316" s="16"/>
      <c r="AR1316" s="18" t="str">
        <f>IFERROR(VLOOKUP(K1316,[1]POP!$F:$J,1,0),M1316)</f>
        <v>KOUSSERI</v>
      </c>
      <c r="AS1316" s="18" t="str">
        <f t="shared" si="101"/>
        <v>MADANA</v>
      </c>
      <c r="AT1316" s="19">
        <f t="shared" si="104"/>
        <v>2</v>
      </c>
      <c r="AU1316" s="19">
        <f t="shared" ca="1" si="103"/>
        <v>1</v>
      </c>
    </row>
    <row r="1317" spans="1:47" x14ac:dyDescent="0.3">
      <c r="A1317" t="s">
        <v>1906</v>
      </c>
      <c r="B1317" t="str">
        <f t="shared" si="100"/>
        <v>S33_2026</v>
      </c>
      <c r="C1317" t="str">
        <f t="shared" si="102"/>
        <v>S33_2026</v>
      </c>
      <c r="E1317">
        <v>699787294</v>
      </c>
      <c r="F1317">
        <v>1</v>
      </c>
      <c r="G1317" t="s">
        <v>40</v>
      </c>
      <c r="H1317" t="s">
        <v>85</v>
      </c>
      <c r="I1317" t="s">
        <v>560</v>
      </c>
      <c r="J1317" t="s">
        <v>560</v>
      </c>
      <c r="K1317" t="s">
        <v>460</v>
      </c>
      <c r="L1317" t="s">
        <v>459</v>
      </c>
      <c r="M1317" t="s">
        <v>460</v>
      </c>
      <c r="N1317" t="s">
        <v>45</v>
      </c>
      <c r="O1317" t="s">
        <v>45</v>
      </c>
      <c r="P1317">
        <v>3</v>
      </c>
      <c r="Q1317" s="7">
        <v>46246</v>
      </c>
      <c r="R1317" s="7">
        <v>46246</v>
      </c>
      <c r="S1317" s="7">
        <v>46247</v>
      </c>
      <c r="T1317" t="s">
        <v>117</v>
      </c>
      <c r="V1317" t="s">
        <v>462</v>
      </c>
      <c r="W1317" t="s">
        <v>45</v>
      </c>
      <c r="X1317" t="s">
        <v>45</v>
      </c>
      <c r="Y1317" t="s">
        <v>45</v>
      </c>
      <c r="Z1317" t="s">
        <v>45</v>
      </c>
      <c r="AA1317" s="7">
        <v>46246</v>
      </c>
      <c r="AB1317" t="s">
        <v>48</v>
      </c>
      <c r="AC1317" t="s">
        <v>74</v>
      </c>
      <c r="AF1317">
        <v>2</v>
      </c>
      <c r="AH1317" t="s">
        <v>75</v>
      </c>
      <c r="AI1317">
        <v>1</v>
      </c>
      <c r="AJ1317" s="15"/>
      <c r="AL1317" s="16"/>
      <c r="AR1317" s="18" t="str">
        <f>IFERROR(VLOOKUP(K1317,[1]POP!$F:$J,1,0),M1317)</f>
        <v>KOUSSERI</v>
      </c>
      <c r="AS1317" s="18" t="str">
        <f t="shared" si="101"/>
        <v>MADANA</v>
      </c>
      <c r="AT1317" s="19">
        <f t="shared" si="104"/>
        <v>2</v>
      </c>
      <c r="AU1317" s="19">
        <f t="shared" ca="1" si="103"/>
        <v>1</v>
      </c>
    </row>
    <row r="1318" spans="1:47" x14ac:dyDescent="0.3">
      <c r="A1318" t="s">
        <v>1907</v>
      </c>
      <c r="B1318" t="str">
        <f t="shared" si="100"/>
        <v>S33_2026</v>
      </c>
      <c r="C1318" t="str">
        <f t="shared" si="102"/>
        <v>S33_2026</v>
      </c>
      <c r="E1318">
        <v>699787294</v>
      </c>
      <c r="F1318">
        <v>11</v>
      </c>
      <c r="G1318" t="s">
        <v>40</v>
      </c>
      <c r="H1318" t="s">
        <v>85</v>
      </c>
      <c r="I1318" t="s">
        <v>560</v>
      </c>
      <c r="J1318" t="s">
        <v>560</v>
      </c>
      <c r="K1318" t="s">
        <v>460</v>
      </c>
      <c r="L1318" t="s">
        <v>459</v>
      </c>
      <c r="M1318" t="s">
        <v>460</v>
      </c>
      <c r="N1318" t="s">
        <v>45</v>
      </c>
      <c r="O1318" t="s">
        <v>45</v>
      </c>
      <c r="P1318">
        <v>2</v>
      </c>
      <c r="Q1318" s="7">
        <v>46246</v>
      </c>
      <c r="R1318" s="7">
        <v>46246</v>
      </c>
      <c r="S1318" s="7">
        <v>46247</v>
      </c>
      <c r="T1318" t="s">
        <v>46</v>
      </c>
      <c r="V1318" t="s">
        <v>462</v>
      </c>
      <c r="W1318" t="s">
        <v>45</v>
      </c>
      <c r="X1318" t="s">
        <v>45</v>
      </c>
      <c r="Y1318" t="s">
        <v>45</v>
      </c>
      <c r="Z1318" t="s">
        <v>45</v>
      </c>
      <c r="AA1318" s="7">
        <v>46246</v>
      </c>
      <c r="AB1318" t="s">
        <v>48</v>
      </c>
      <c r="AC1318" t="s">
        <v>74</v>
      </c>
      <c r="AF1318">
        <v>2</v>
      </c>
      <c r="AH1318" t="s">
        <v>75</v>
      </c>
      <c r="AI1318">
        <v>1</v>
      </c>
      <c r="AJ1318" s="15"/>
      <c r="AL1318" s="16"/>
      <c r="AR1318" s="18" t="str">
        <f>IFERROR(VLOOKUP(K1318,[1]POP!$F:$J,1,0),M1318)</f>
        <v>KOUSSERI</v>
      </c>
      <c r="AS1318" s="18" t="str">
        <f t="shared" si="101"/>
        <v>MADANA</v>
      </c>
      <c r="AT1318" s="19">
        <f t="shared" si="104"/>
        <v>2</v>
      </c>
      <c r="AU1318" s="19">
        <f t="shared" ca="1" si="103"/>
        <v>1</v>
      </c>
    </row>
    <row r="1319" spans="1:47" x14ac:dyDescent="0.3">
      <c r="A1319" t="s">
        <v>1908</v>
      </c>
      <c r="B1319" t="str">
        <f t="shared" si="100"/>
        <v>S33_2026</v>
      </c>
      <c r="C1319" t="str">
        <f t="shared" si="102"/>
        <v>S33_2026</v>
      </c>
      <c r="E1319">
        <v>673309090</v>
      </c>
      <c r="F1319">
        <v>19</v>
      </c>
      <c r="G1319" t="s">
        <v>40</v>
      </c>
      <c r="H1319" t="s">
        <v>77</v>
      </c>
      <c r="I1319" t="s">
        <v>1909</v>
      </c>
      <c r="J1319" t="s">
        <v>913</v>
      </c>
      <c r="K1319" t="s">
        <v>460</v>
      </c>
      <c r="L1319" t="s">
        <v>459</v>
      </c>
      <c r="M1319" t="s">
        <v>460</v>
      </c>
      <c r="N1319" t="s">
        <v>45</v>
      </c>
      <c r="O1319" t="s">
        <v>45</v>
      </c>
      <c r="P1319">
        <v>2</v>
      </c>
      <c r="Q1319" s="7">
        <v>46246</v>
      </c>
      <c r="R1319" s="7">
        <v>46247</v>
      </c>
      <c r="S1319" s="7">
        <v>46247</v>
      </c>
      <c r="T1319" t="s">
        <v>117</v>
      </c>
      <c r="V1319" t="s">
        <v>462</v>
      </c>
      <c r="W1319" t="s">
        <v>45</v>
      </c>
      <c r="X1319" t="s">
        <v>45</v>
      </c>
      <c r="Y1319" t="s">
        <v>45</v>
      </c>
      <c r="Z1319" t="s">
        <v>45</v>
      </c>
      <c r="AA1319" s="7">
        <v>46247</v>
      </c>
      <c r="AB1319" t="s">
        <v>48</v>
      </c>
      <c r="AC1319" t="s">
        <v>1910</v>
      </c>
      <c r="AF1319">
        <v>2</v>
      </c>
      <c r="AH1319" t="s">
        <v>75</v>
      </c>
      <c r="AI1319">
        <v>1</v>
      </c>
      <c r="AJ1319" s="15"/>
      <c r="AL1319" s="16"/>
      <c r="AR1319" s="18" t="str">
        <f>IFERROR(VLOOKUP(K1319,[1]POP!$F:$J,1,0),M1319)</f>
        <v>KOUSSERI</v>
      </c>
      <c r="AS1319" s="18" t="str">
        <f t="shared" si="101"/>
        <v>AMCHEDIRE</v>
      </c>
      <c r="AT1319" s="19">
        <f t="shared" si="104"/>
        <v>2</v>
      </c>
      <c r="AU1319" s="19">
        <f t="shared" ca="1" si="103"/>
        <v>1</v>
      </c>
    </row>
    <row r="1320" spans="1:47" x14ac:dyDescent="0.3">
      <c r="A1320" t="s">
        <v>1911</v>
      </c>
      <c r="B1320" t="str">
        <f t="shared" si="100"/>
        <v>S34_2026</v>
      </c>
      <c r="C1320" t="str">
        <f t="shared" si="102"/>
        <v>S33_2026</v>
      </c>
      <c r="F1320">
        <v>66</v>
      </c>
      <c r="G1320" t="s">
        <v>40</v>
      </c>
      <c r="H1320" t="s">
        <v>1912</v>
      </c>
      <c r="I1320" t="s">
        <v>1913</v>
      </c>
      <c r="J1320" t="s">
        <v>1914</v>
      </c>
      <c r="K1320" t="s">
        <v>1915</v>
      </c>
      <c r="L1320" t="s">
        <v>1914</v>
      </c>
      <c r="M1320" t="s">
        <v>1915</v>
      </c>
      <c r="N1320" t="s">
        <v>46</v>
      </c>
      <c r="O1320" t="s">
        <v>46</v>
      </c>
      <c r="P1320">
        <v>3</v>
      </c>
      <c r="Q1320" s="7">
        <v>46249</v>
      </c>
      <c r="R1320" s="7">
        <v>46249</v>
      </c>
      <c r="S1320" s="7">
        <v>46251</v>
      </c>
      <c r="T1320" t="s">
        <v>46</v>
      </c>
      <c r="V1320" t="s">
        <v>1916</v>
      </c>
      <c r="W1320" t="s">
        <v>74</v>
      </c>
      <c r="X1320" t="s">
        <v>45</v>
      </c>
      <c r="Y1320" t="s">
        <v>46</v>
      </c>
      <c r="Z1320" t="s">
        <v>74</v>
      </c>
      <c r="AF1320">
        <v>2</v>
      </c>
      <c r="AH1320" t="s">
        <v>75</v>
      </c>
      <c r="AI1320">
        <v>1</v>
      </c>
      <c r="AJ1320" s="15"/>
      <c r="AK1320" t="s">
        <v>74</v>
      </c>
      <c r="AL1320" s="16"/>
      <c r="AR1320" s="18" t="str">
        <f>IFERROR(VLOOKUP(K1320,[1]POP!$F:$J,1,0),M1320)</f>
        <v>Gazawa</v>
      </c>
      <c r="AS1320" s="18" t="str">
        <f t="shared" si="101"/>
        <v>Massakal</v>
      </c>
      <c r="AT1320" s="19">
        <f t="shared" si="104"/>
        <v>2</v>
      </c>
      <c r="AU1320" s="19">
        <f t="shared" ca="1" si="103"/>
        <v>1</v>
      </c>
    </row>
    <row r="1321" spans="1:47" x14ac:dyDescent="0.3">
      <c r="A1321" t="s">
        <v>1917</v>
      </c>
      <c r="B1321" t="str">
        <f t="shared" si="100"/>
        <v>S34_2026</v>
      </c>
      <c r="C1321" t="str">
        <f t="shared" si="102"/>
        <v>S33_2026</v>
      </c>
      <c r="F1321">
        <v>10</v>
      </c>
      <c r="G1321" t="s">
        <v>40</v>
      </c>
      <c r="H1321" t="s">
        <v>1918</v>
      </c>
      <c r="I1321" t="s">
        <v>1913</v>
      </c>
      <c r="J1321" t="s">
        <v>1914</v>
      </c>
      <c r="K1321" t="s">
        <v>1915</v>
      </c>
      <c r="L1321" t="s">
        <v>1914</v>
      </c>
      <c r="M1321" t="s">
        <v>1915</v>
      </c>
      <c r="N1321" t="s">
        <v>46</v>
      </c>
      <c r="O1321" t="s">
        <v>46</v>
      </c>
      <c r="P1321">
        <v>3</v>
      </c>
      <c r="Q1321" s="7">
        <v>46250</v>
      </c>
      <c r="R1321" s="7">
        <v>46250</v>
      </c>
      <c r="S1321" s="7">
        <v>46251</v>
      </c>
      <c r="T1321" t="s">
        <v>46</v>
      </c>
      <c r="V1321" t="s">
        <v>1916</v>
      </c>
      <c r="W1321" t="s">
        <v>74</v>
      </c>
      <c r="X1321" t="s">
        <v>45</v>
      </c>
      <c r="Y1321" t="s">
        <v>46</v>
      </c>
      <c r="Z1321" t="s">
        <v>74</v>
      </c>
      <c r="AA1321" s="7">
        <v>46251</v>
      </c>
      <c r="AB1321" t="s">
        <v>48</v>
      </c>
      <c r="AC1321" t="s">
        <v>45</v>
      </c>
      <c r="AD1321" t="s">
        <v>62</v>
      </c>
      <c r="AF1321">
        <v>2</v>
      </c>
      <c r="AH1321" t="s">
        <v>75</v>
      </c>
      <c r="AI1321">
        <v>1</v>
      </c>
      <c r="AJ1321" s="15"/>
      <c r="AK1321" t="s">
        <v>74</v>
      </c>
      <c r="AL1321" s="16"/>
      <c r="AR1321" s="18" t="str">
        <f>IFERROR(VLOOKUP(K1321,[1]POP!$F:$J,1,0),M1321)</f>
        <v>Gazawa</v>
      </c>
      <c r="AS1321" s="18" t="str">
        <f t="shared" si="101"/>
        <v>Massakal</v>
      </c>
      <c r="AT1321" s="19">
        <f t="shared" si="104"/>
        <v>2</v>
      </c>
      <c r="AU1321" s="19">
        <f t="shared" ca="1" si="103"/>
        <v>1</v>
      </c>
    </row>
    <row r="1322" spans="1:47" x14ac:dyDescent="0.3">
      <c r="A1322" t="s">
        <v>1919</v>
      </c>
      <c r="B1322" t="str">
        <f t="shared" si="100"/>
        <v>S34_2026</v>
      </c>
      <c r="C1322" t="str">
        <f t="shared" si="102"/>
        <v>S33_2026</v>
      </c>
      <c r="F1322">
        <v>3</v>
      </c>
      <c r="G1322" t="s">
        <v>55</v>
      </c>
      <c r="H1322" t="s">
        <v>1920</v>
      </c>
      <c r="I1322" t="s">
        <v>1913</v>
      </c>
      <c r="J1322" t="s">
        <v>1914</v>
      </c>
      <c r="K1322" t="s">
        <v>1915</v>
      </c>
      <c r="L1322" t="s">
        <v>1914</v>
      </c>
      <c r="M1322" t="s">
        <v>1915</v>
      </c>
      <c r="N1322" t="s">
        <v>46</v>
      </c>
      <c r="O1322" t="s">
        <v>46</v>
      </c>
      <c r="P1322">
        <v>3</v>
      </c>
      <c r="Q1322" s="7">
        <v>46247</v>
      </c>
      <c r="R1322" s="7">
        <v>46248</v>
      </c>
      <c r="S1322" s="7">
        <v>46251</v>
      </c>
      <c r="T1322" t="s">
        <v>46</v>
      </c>
      <c r="V1322" t="s">
        <v>1921</v>
      </c>
      <c r="W1322" t="s">
        <v>46</v>
      </c>
      <c r="Y1322" t="s">
        <v>1922</v>
      </c>
      <c r="Z1322" t="s">
        <v>46</v>
      </c>
      <c r="AF1322">
        <v>2</v>
      </c>
      <c r="AH1322" t="s">
        <v>75</v>
      </c>
      <c r="AI1322">
        <v>1</v>
      </c>
      <c r="AJ1322" s="15"/>
      <c r="AK1322" t="s">
        <v>1922</v>
      </c>
      <c r="AL1322" s="16"/>
      <c r="AR1322" s="18" t="str">
        <f>IFERROR(VLOOKUP(K1322,[1]POP!$F:$J,1,0),M1322)</f>
        <v>Gazawa</v>
      </c>
      <c r="AS1322" s="18" t="str">
        <f t="shared" si="101"/>
        <v>Massakal</v>
      </c>
      <c r="AT1322" s="19">
        <f t="shared" si="104"/>
        <v>2</v>
      </c>
      <c r="AU1322" s="19">
        <f t="shared" ca="1" si="103"/>
        <v>1</v>
      </c>
    </row>
    <row r="1323" spans="1:47" x14ac:dyDescent="0.3">
      <c r="A1323" t="s">
        <v>1923</v>
      </c>
      <c r="B1323" t="str">
        <f t="shared" si="100"/>
        <v>S34_2026</v>
      </c>
      <c r="C1323" t="str">
        <f t="shared" si="102"/>
        <v>S33_2026</v>
      </c>
      <c r="F1323">
        <v>40</v>
      </c>
      <c r="G1323" t="s">
        <v>40</v>
      </c>
      <c r="H1323" t="s">
        <v>1924</v>
      </c>
      <c r="I1323" t="s">
        <v>1913</v>
      </c>
      <c r="J1323" t="s">
        <v>1914</v>
      </c>
      <c r="K1323" t="s">
        <v>1915</v>
      </c>
      <c r="L1323" t="s">
        <v>1914</v>
      </c>
      <c r="M1323" t="s">
        <v>1915</v>
      </c>
      <c r="N1323" t="s">
        <v>46</v>
      </c>
      <c r="O1323" t="s">
        <v>46</v>
      </c>
      <c r="P1323">
        <v>1</v>
      </c>
      <c r="Q1323" s="7">
        <v>46250</v>
      </c>
      <c r="R1323" s="7">
        <v>46251</v>
      </c>
      <c r="S1323" s="7">
        <v>46251</v>
      </c>
      <c r="T1323" t="s">
        <v>150</v>
      </c>
      <c r="W1323" t="s">
        <v>46</v>
      </c>
      <c r="Y1323" t="s">
        <v>1922</v>
      </c>
      <c r="Z1323" t="s">
        <v>46</v>
      </c>
      <c r="AF1323">
        <v>2</v>
      </c>
      <c r="AH1323" t="s">
        <v>75</v>
      </c>
      <c r="AI1323">
        <v>1</v>
      </c>
      <c r="AJ1323" s="15"/>
      <c r="AK1323" t="s">
        <v>1922</v>
      </c>
      <c r="AL1323" s="16"/>
      <c r="AR1323" s="18" t="str">
        <f>IFERROR(VLOOKUP(K1323,[1]POP!$F:$J,1,0),M1323)</f>
        <v>Gazawa</v>
      </c>
      <c r="AS1323" s="18" t="str">
        <f t="shared" si="101"/>
        <v>Massakal</v>
      </c>
      <c r="AT1323" s="19">
        <f t="shared" si="104"/>
        <v>2</v>
      </c>
      <c r="AU1323" s="19">
        <f t="shared" ca="1" si="103"/>
        <v>1</v>
      </c>
    </row>
    <row r="1324" spans="1:47" x14ac:dyDescent="0.3">
      <c r="A1324" t="s">
        <v>1925</v>
      </c>
      <c r="B1324" t="str">
        <f t="shared" si="100"/>
        <v>S34_2026</v>
      </c>
      <c r="C1324" t="str">
        <f t="shared" si="102"/>
        <v>S33_2026</v>
      </c>
      <c r="E1324">
        <v>698259534</v>
      </c>
      <c r="F1324">
        <v>45</v>
      </c>
      <c r="G1324" t="s">
        <v>55</v>
      </c>
      <c r="H1324" t="s">
        <v>1926</v>
      </c>
      <c r="I1324" t="s">
        <v>1913</v>
      </c>
      <c r="J1324" t="s">
        <v>1914</v>
      </c>
      <c r="K1324" t="s">
        <v>1915</v>
      </c>
      <c r="L1324" t="s">
        <v>1914</v>
      </c>
      <c r="M1324" t="s">
        <v>1915</v>
      </c>
      <c r="N1324" t="s">
        <v>46</v>
      </c>
      <c r="O1324" t="s">
        <v>46</v>
      </c>
      <c r="P1324">
        <v>1</v>
      </c>
      <c r="Q1324" s="7">
        <v>46247</v>
      </c>
      <c r="R1324" s="7">
        <v>46251</v>
      </c>
      <c r="S1324" s="7">
        <v>46251</v>
      </c>
      <c r="T1324" t="s">
        <v>150</v>
      </c>
      <c r="W1324" t="s">
        <v>46</v>
      </c>
      <c r="Y1324" t="s">
        <v>1922</v>
      </c>
      <c r="Z1324" t="s">
        <v>46</v>
      </c>
      <c r="AF1324">
        <v>2</v>
      </c>
      <c r="AH1324" t="s">
        <v>75</v>
      </c>
      <c r="AI1324">
        <v>1</v>
      </c>
      <c r="AJ1324" s="15"/>
      <c r="AK1324" t="s">
        <v>1922</v>
      </c>
      <c r="AL1324" s="16"/>
      <c r="AR1324" s="18" t="str">
        <f>IFERROR(VLOOKUP(K1324,[1]POP!$F:$J,1,0),M1324)</f>
        <v>Gazawa</v>
      </c>
      <c r="AS1324" s="18" t="str">
        <f t="shared" si="101"/>
        <v>Massakal</v>
      </c>
      <c r="AT1324" s="19">
        <f t="shared" si="104"/>
        <v>2</v>
      </c>
      <c r="AU1324" s="19">
        <f t="shared" ca="1" si="103"/>
        <v>1</v>
      </c>
    </row>
    <row r="1325" spans="1:47" x14ac:dyDescent="0.3">
      <c r="A1325" t="s">
        <v>1927</v>
      </c>
      <c r="B1325" t="str">
        <f t="shared" si="100"/>
        <v>S34_2026</v>
      </c>
      <c r="C1325" t="str">
        <f t="shared" si="102"/>
        <v>S33_2026</v>
      </c>
      <c r="F1325">
        <v>21</v>
      </c>
      <c r="G1325" t="s">
        <v>40</v>
      </c>
      <c r="H1325" t="s">
        <v>1918</v>
      </c>
      <c r="I1325" t="s">
        <v>1913</v>
      </c>
      <c r="J1325" t="s">
        <v>1914</v>
      </c>
      <c r="K1325" t="s">
        <v>1915</v>
      </c>
      <c r="L1325" t="s">
        <v>1914</v>
      </c>
      <c r="M1325" t="s">
        <v>1915</v>
      </c>
      <c r="N1325" t="s">
        <v>46</v>
      </c>
      <c r="O1325" t="s">
        <v>46</v>
      </c>
      <c r="P1325">
        <v>3</v>
      </c>
      <c r="Q1325" s="7">
        <v>46247</v>
      </c>
      <c r="R1325" s="7">
        <v>46248</v>
      </c>
      <c r="S1325" s="7">
        <v>46251</v>
      </c>
      <c r="T1325" t="s">
        <v>46</v>
      </c>
      <c r="V1325" t="s">
        <v>1921</v>
      </c>
      <c r="W1325" t="s">
        <v>46</v>
      </c>
      <c r="Y1325" t="s">
        <v>1922</v>
      </c>
      <c r="Z1325" t="s">
        <v>46</v>
      </c>
      <c r="AF1325">
        <v>2</v>
      </c>
      <c r="AH1325" t="s">
        <v>75</v>
      </c>
      <c r="AI1325">
        <v>1</v>
      </c>
      <c r="AJ1325" s="15"/>
      <c r="AK1325" t="s">
        <v>1922</v>
      </c>
      <c r="AL1325" s="16"/>
      <c r="AR1325" s="18" t="str">
        <f>IFERROR(VLOOKUP(K1325,[1]POP!$F:$J,1,0),M1325)</f>
        <v>Gazawa</v>
      </c>
      <c r="AS1325" s="18" t="str">
        <f t="shared" si="101"/>
        <v>Massakal</v>
      </c>
      <c r="AT1325" s="19">
        <f t="shared" si="104"/>
        <v>2</v>
      </c>
      <c r="AU1325" s="19">
        <f t="shared" ca="1" si="103"/>
        <v>1</v>
      </c>
    </row>
    <row r="1326" spans="1:47" x14ac:dyDescent="0.3">
      <c r="A1326" t="s">
        <v>1928</v>
      </c>
      <c r="B1326" t="str">
        <f t="shared" si="100"/>
        <v>S34_2026</v>
      </c>
      <c r="C1326" t="str">
        <f t="shared" si="102"/>
        <v>S33_2026</v>
      </c>
      <c r="F1326">
        <v>36</v>
      </c>
      <c r="G1326" t="s">
        <v>40</v>
      </c>
      <c r="H1326" t="s">
        <v>1924</v>
      </c>
      <c r="I1326" t="s">
        <v>1913</v>
      </c>
      <c r="J1326" t="s">
        <v>1914</v>
      </c>
      <c r="K1326" t="s">
        <v>1915</v>
      </c>
      <c r="L1326" t="s">
        <v>1914</v>
      </c>
      <c r="M1326" t="s">
        <v>1915</v>
      </c>
      <c r="N1326" t="s">
        <v>46</v>
      </c>
      <c r="O1326" t="s">
        <v>46</v>
      </c>
      <c r="P1326">
        <v>1</v>
      </c>
      <c r="Q1326" s="7">
        <v>46250</v>
      </c>
      <c r="R1326" s="7">
        <v>46251</v>
      </c>
      <c r="S1326" s="7">
        <v>46251</v>
      </c>
      <c r="T1326" t="s">
        <v>150</v>
      </c>
      <c r="W1326" t="s">
        <v>46</v>
      </c>
      <c r="Y1326" t="s">
        <v>1922</v>
      </c>
      <c r="Z1326" t="s">
        <v>46</v>
      </c>
      <c r="AF1326">
        <v>2</v>
      </c>
      <c r="AH1326" t="s">
        <v>75</v>
      </c>
      <c r="AI1326">
        <v>1</v>
      </c>
      <c r="AJ1326" s="15"/>
      <c r="AK1326" t="s">
        <v>1922</v>
      </c>
      <c r="AL1326" s="16"/>
      <c r="AR1326" s="18" t="str">
        <f>IFERROR(VLOOKUP(K1326,[1]POP!$F:$J,1,0),M1326)</f>
        <v>Gazawa</v>
      </c>
      <c r="AS1326" s="18" t="str">
        <f t="shared" si="101"/>
        <v>Massakal</v>
      </c>
      <c r="AT1326" s="19">
        <f t="shared" si="104"/>
        <v>2</v>
      </c>
      <c r="AU1326" s="19">
        <f t="shared" ca="1" si="103"/>
        <v>1</v>
      </c>
    </row>
    <row r="1327" spans="1:47" x14ac:dyDescent="0.3">
      <c r="A1327" t="s">
        <v>1929</v>
      </c>
      <c r="B1327" t="str">
        <f t="shared" si="100"/>
        <v>S34_2026</v>
      </c>
      <c r="C1327" t="str">
        <f t="shared" si="102"/>
        <v>S33_2026</v>
      </c>
      <c r="F1327">
        <v>2</v>
      </c>
      <c r="G1327" t="s">
        <v>40</v>
      </c>
      <c r="H1327" t="s">
        <v>1920</v>
      </c>
      <c r="I1327" t="s">
        <v>1913</v>
      </c>
      <c r="J1327" t="s">
        <v>1914</v>
      </c>
      <c r="K1327" t="s">
        <v>1915</v>
      </c>
      <c r="L1327" t="s">
        <v>1914</v>
      </c>
      <c r="M1327" t="s">
        <v>1915</v>
      </c>
      <c r="N1327" t="s">
        <v>46</v>
      </c>
      <c r="O1327" t="s">
        <v>46</v>
      </c>
      <c r="P1327">
        <v>1</v>
      </c>
      <c r="Q1327" s="7">
        <v>46250</v>
      </c>
      <c r="R1327" s="7">
        <v>46251</v>
      </c>
      <c r="S1327" s="7">
        <v>46251</v>
      </c>
      <c r="T1327" t="s">
        <v>150</v>
      </c>
      <c r="W1327" t="s">
        <v>46</v>
      </c>
      <c r="Y1327" t="s">
        <v>1922</v>
      </c>
      <c r="Z1327" t="s">
        <v>46</v>
      </c>
      <c r="AF1327">
        <v>2</v>
      </c>
      <c r="AH1327" t="s">
        <v>75</v>
      </c>
      <c r="AI1327">
        <v>1</v>
      </c>
      <c r="AJ1327" s="15"/>
      <c r="AK1327" t="s">
        <v>1922</v>
      </c>
      <c r="AL1327" s="16"/>
      <c r="AR1327" s="18" t="str">
        <f>IFERROR(VLOOKUP(K1327,[1]POP!$F:$J,1,0),M1327)</f>
        <v>Gazawa</v>
      </c>
      <c r="AS1327" s="18" t="str">
        <f t="shared" si="101"/>
        <v>Massakal</v>
      </c>
      <c r="AT1327" s="19">
        <f t="shared" si="104"/>
        <v>2</v>
      </c>
      <c r="AU1327" s="19">
        <f t="shared" ca="1" si="103"/>
        <v>1</v>
      </c>
    </row>
    <row r="1328" spans="1:47" x14ac:dyDescent="0.3">
      <c r="A1328" t="s">
        <v>1930</v>
      </c>
      <c r="B1328" t="str">
        <f t="shared" si="100"/>
        <v>S34_2026</v>
      </c>
      <c r="C1328" t="str">
        <f t="shared" si="102"/>
        <v>S33_2026</v>
      </c>
      <c r="F1328">
        <v>10</v>
      </c>
      <c r="G1328" t="s">
        <v>40</v>
      </c>
      <c r="H1328" t="s">
        <v>1918</v>
      </c>
      <c r="I1328" t="s">
        <v>1913</v>
      </c>
      <c r="J1328" t="s">
        <v>1914</v>
      </c>
      <c r="K1328" t="s">
        <v>1915</v>
      </c>
      <c r="L1328" t="s">
        <v>1914</v>
      </c>
      <c r="M1328" t="s">
        <v>1915</v>
      </c>
      <c r="N1328" t="s">
        <v>46</v>
      </c>
      <c r="O1328" t="s">
        <v>46</v>
      </c>
      <c r="P1328">
        <v>1</v>
      </c>
      <c r="Q1328" s="7">
        <v>46250</v>
      </c>
      <c r="R1328" s="7">
        <v>46251</v>
      </c>
      <c r="S1328" s="7">
        <v>46251</v>
      </c>
      <c r="T1328" t="s">
        <v>150</v>
      </c>
      <c r="W1328" t="s">
        <v>46</v>
      </c>
      <c r="Y1328" t="s">
        <v>1922</v>
      </c>
      <c r="Z1328" t="s">
        <v>46</v>
      </c>
      <c r="AF1328">
        <v>2</v>
      </c>
      <c r="AH1328" t="s">
        <v>75</v>
      </c>
      <c r="AI1328">
        <v>1</v>
      </c>
      <c r="AJ1328" s="15"/>
      <c r="AK1328" t="s">
        <v>1922</v>
      </c>
      <c r="AL1328" s="16"/>
      <c r="AR1328" s="18" t="str">
        <f>IFERROR(VLOOKUP(K1328,[1]POP!$F:$J,1,0),M1328)</f>
        <v>Gazawa</v>
      </c>
      <c r="AS1328" s="18" t="str">
        <f t="shared" si="101"/>
        <v>Massakal</v>
      </c>
      <c r="AT1328" s="19">
        <f t="shared" si="104"/>
        <v>2</v>
      </c>
      <c r="AU1328" s="19">
        <f t="shared" ca="1" si="103"/>
        <v>1</v>
      </c>
    </row>
    <row r="1329" spans="1:47" x14ac:dyDescent="0.3">
      <c r="A1329" t="s">
        <v>1931</v>
      </c>
      <c r="B1329" t="str">
        <f t="shared" si="100"/>
        <v>S34_2026</v>
      </c>
      <c r="C1329" t="str">
        <f t="shared" si="102"/>
        <v>S33_2026</v>
      </c>
      <c r="F1329">
        <v>11</v>
      </c>
      <c r="G1329" t="s">
        <v>55</v>
      </c>
      <c r="H1329" t="s">
        <v>1920</v>
      </c>
      <c r="I1329" t="s">
        <v>1913</v>
      </c>
      <c r="J1329" t="s">
        <v>1914</v>
      </c>
      <c r="K1329" t="s">
        <v>1915</v>
      </c>
      <c r="L1329" t="s">
        <v>1914</v>
      </c>
      <c r="M1329" t="s">
        <v>1915</v>
      </c>
      <c r="N1329" t="s">
        <v>46</v>
      </c>
      <c r="O1329" t="s">
        <v>46</v>
      </c>
      <c r="P1329">
        <v>1</v>
      </c>
      <c r="Q1329" s="7">
        <v>46250</v>
      </c>
      <c r="R1329" s="7">
        <v>46251</v>
      </c>
      <c r="S1329" s="7">
        <v>46251</v>
      </c>
      <c r="T1329" t="s">
        <v>150</v>
      </c>
      <c r="W1329" t="s">
        <v>46</v>
      </c>
      <c r="Y1329" t="s">
        <v>1922</v>
      </c>
      <c r="Z1329" t="s">
        <v>46</v>
      </c>
      <c r="AF1329">
        <v>2</v>
      </c>
      <c r="AH1329" t="s">
        <v>75</v>
      </c>
      <c r="AI1329">
        <v>1</v>
      </c>
      <c r="AJ1329" s="15"/>
      <c r="AK1329" t="s">
        <v>1922</v>
      </c>
      <c r="AL1329" s="16"/>
      <c r="AR1329" s="18" t="str">
        <f>IFERROR(VLOOKUP(K1329,[1]POP!$F:$J,1,0),M1329)</f>
        <v>Gazawa</v>
      </c>
      <c r="AS1329" s="18" t="str">
        <f t="shared" si="101"/>
        <v>Massakal</v>
      </c>
      <c r="AT1329" s="19">
        <f t="shared" si="104"/>
        <v>2</v>
      </c>
      <c r="AU1329" s="19">
        <f t="shared" ca="1" si="103"/>
        <v>1</v>
      </c>
    </row>
    <row r="1330" spans="1:47" x14ac:dyDescent="0.3">
      <c r="A1330" t="s">
        <v>1932</v>
      </c>
      <c r="B1330" t="str">
        <f t="shared" si="100"/>
        <v>S34_2026</v>
      </c>
      <c r="C1330" t="str">
        <f t="shared" si="102"/>
        <v>S33_2026</v>
      </c>
      <c r="F1330">
        <v>2</v>
      </c>
      <c r="G1330" t="s">
        <v>55</v>
      </c>
      <c r="H1330" t="s">
        <v>1920</v>
      </c>
      <c r="I1330" t="s">
        <v>1913</v>
      </c>
      <c r="J1330" t="s">
        <v>1914</v>
      </c>
      <c r="K1330" t="s">
        <v>1915</v>
      </c>
      <c r="L1330" t="s">
        <v>1914</v>
      </c>
      <c r="M1330" t="s">
        <v>1915</v>
      </c>
      <c r="N1330" t="s">
        <v>46</v>
      </c>
      <c r="O1330" t="s">
        <v>46</v>
      </c>
      <c r="P1330">
        <v>1</v>
      </c>
      <c r="Q1330" s="7">
        <v>46250</v>
      </c>
      <c r="R1330" s="7">
        <v>46251</v>
      </c>
      <c r="S1330" s="7">
        <v>46251</v>
      </c>
      <c r="T1330" t="s">
        <v>150</v>
      </c>
      <c r="W1330" t="s">
        <v>46</v>
      </c>
      <c r="Y1330" t="s">
        <v>1922</v>
      </c>
      <c r="Z1330" t="s">
        <v>46</v>
      </c>
      <c r="AF1330">
        <v>2</v>
      </c>
      <c r="AH1330" t="s">
        <v>75</v>
      </c>
      <c r="AI1330">
        <v>1</v>
      </c>
      <c r="AJ1330" s="15"/>
      <c r="AK1330" t="s">
        <v>1922</v>
      </c>
      <c r="AL1330" s="16"/>
      <c r="AR1330" s="18" t="str">
        <f>IFERROR(VLOOKUP(K1330,[1]POP!$F:$J,1,0),M1330)</f>
        <v>Gazawa</v>
      </c>
      <c r="AS1330" s="18" t="str">
        <f t="shared" si="101"/>
        <v>Massakal</v>
      </c>
      <c r="AT1330" s="19">
        <f t="shared" si="104"/>
        <v>2</v>
      </c>
      <c r="AU1330" s="19">
        <f t="shared" ca="1" si="103"/>
        <v>1</v>
      </c>
    </row>
    <row r="1331" spans="1:47" x14ac:dyDescent="0.3">
      <c r="A1331" t="s">
        <v>1933</v>
      </c>
      <c r="B1331" t="str">
        <f t="shared" si="100"/>
        <v>S34_2026</v>
      </c>
      <c r="C1331" t="str">
        <f t="shared" si="102"/>
        <v>S33_2026</v>
      </c>
      <c r="F1331">
        <v>9</v>
      </c>
      <c r="G1331" t="s">
        <v>40</v>
      </c>
      <c r="H1331" t="s">
        <v>1918</v>
      </c>
      <c r="I1331" t="s">
        <v>1913</v>
      </c>
      <c r="J1331" t="s">
        <v>1914</v>
      </c>
      <c r="K1331" t="s">
        <v>1915</v>
      </c>
      <c r="L1331" t="s">
        <v>1914</v>
      </c>
      <c r="M1331" t="s">
        <v>1915</v>
      </c>
      <c r="N1331" t="s">
        <v>46</v>
      </c>
      <c r="O1331" t="s">
        <v>46</v>
      </c>
      <c r="P1331">
        <v>3</v>
      </c>
      <c r="Q1331" s="7">
        <v>46247</v>
      </c>
      <c r="R1331" s="7">
        <v>46248</v>
      </c>
      <c r="S1331" s="7">
        <v>46251</v>
      </c>
      <c r="T1331" t="s">
        <v>46</v>
      </c>
      <c r="V1331" t="s">
        <v>1921</v>
      </c>
      <c r="W1331" t="s">
        <v>46</v>
      </c>
      <c r="Y1331" t="s">
        <v>1922</v>
      </c>
      <c r="Z1331" t="s">
        <v>46</v>
      </c>
      <c r="AF1331">
        <v>2</v>
      </c>
      <c r="AH1331" t="s">
        <v>75</v>
      </c>
      <c r="AI1331">
        <v>1</v>
      </c>
      <c r="AJ1331" s="15"/>
      <c r="AK1331" t="s">
        <v>1922</v>
      </c>
      <c r="AL1331" s="16"/>
      <c r="AR1331" s="18" t="str">
        <f>IFERROR(VLOOKUP(K1331,[1]POP!$F:$J,1,0),M1331)</f>
        <v>Gazawa</v>
      </c>
      <c r="AS1331" s="18" t="str">
        <f t="shared" si="101"/>
        <v>Massakal</v>
      </c>
      <c r="AT1331" s="19">
        <f t="shared" si="104"/>
        <v>2</v>
      </c>
      <c r="AU1331" s="19">
        <f t="shared" ca="1" si="103"/>
        <v>1</v>
      </c>
    </row>
    <row r="1332" spans="1:47" x14ac:dyDescent="0.3">
      <c r="A1332" t="s">
        <v>1934</v>
      </c>
      <c r="B1332" t="str">
        <f t="shared" si="100"/>
        <v>S34_2026</v>
      </c>
      <c r="C1332" t="str">
        <f t="shared" si="102"/>
        <v>S33_2026</v>
      </c>
      <c r="F1332">
        <v>18</v>
      </c>
      <c r="G1332" t="s">
        <v>55</v>
      </c>
      <c r="H1332" t="s">
        <v>1918</v>
      </c>
      <c r="I1332" t="s">
        <v>1913</v>
      </c>
      <c r="J1332" t="s">
        <v>1914</v>
      </c>
      <c r="K1332" t="s">
        <v>1915</v>
      </c>
      <c r="L1332" t="s">
        <v>1914</v>
      </c>
      <c r="M1332" t="s">
        <v>1915</v>
      </c>
      <c r="N1332" t="s">
        <v>46</v>
      </c>
      <c r="O1332" t="s">
        <v>46</v>
      </c>
      <c r="P1332">
        <v>1</v>
      </c>
      <c r="Q1332" s="7">
        <v>46250</v>
      </c>
      <c r="R1332" s="7">
        <v>46251</v>
      </c>
      <c r="S1332" s="7">
        <v>46251</v>
      </c>
      <c r="T1332" t="s">
        <v>150</v>
      </c>
      <c r="W1332" t="s">
        <v>46</v>
      </c>
      <c r="Y1332" t="s">
        <v>1922</v>
      </c>
      <c r="Z1332" t="s">
        <v>46</v>
      </c>
      <c r="AF1332">
        <v>2</v>
      </c>
      <c r="AH1332" t="s">
        <v>75</v>
      </c>
      <c r="AI1332">
        <v>1</v>
      </c>
      <c r="AJ1332" s="15"/>
      <c r="AK1332" t="s">
        <v>1922</v>
      </c>
      <c r="AL1332" s="16"/>
      <c r="AR1332" s="18" t="str">
        <f>IFERROR(VLOOKUP(K1332,[1]POP!$F:$J,1,0),M1332)</f>
        <v>Gazawa</v>
      </c>
      <c r="AS1332" s="18" t="str">
        <f t="shared" si="101"/>
        <v>Massakal</v>
      </c>
      <c r="AT1332" s="19">
        <f t="shared" si="104"/>
        <v>2</v>
      </c>
      <c r="AU1332" s="19">
        <f t="shared" ca="1" si="103"/>
        <v>1</v>
      </c>
    </row>
    <row r="1333" spans="1:47" x14ac:dyDescent="0.3">
      <c r="A1333" t="s">
        <v>1935</v>
      </c>
      <c r="B1333" t="str">
        <f t="shared" si="100"/>
        <v>S34_2026</v>
      </c>
      <c r="C1333" t="str">
        <f t="shared" si="102"/>
        <v>S33_2026</v>
      </c>
      <c r="F1333">
        <v>16</v>
      </c>
      <c r="G1333" t="s">
        <v>40</v>
      </c>
      <c r="H1333" t="s">
        <v>1918</v>
      </c>
      <c r="I1333" t="s">
        <v>1913</v>
      </c>
      <c r="J1333" t="s">
        <v>1914</v>
      </c>
      <c r="K1333" t="s">
        <v>1915</v>
      </c>
      <c r="L1333" t="s">
        <v>1914</v>
      </c>
      <c r="M1333" t="s">
        <v>1915</v>
      </c>
      <c r="N1333" t="s">
        <v>46</v>
      </c>
      <c r="O1333" t="s">
        <v>46</v>
      </c>
      <c r="P1333">
        <v>1</v>
      </c>
      <c r="Q1333" s="7">
        <v>46250</v>
      </c>
      <c r="R1333" s="7">
        <v>46251</v>
      </c>
      <c r="S1333" s="7">
        <v>46251</v>
      </c>
      <c r="T1333" t="s">
        <v>150</v>
      </c>
      <c r="W1333" t="s">
        <v>46</v>
      </c>
      <c r="Y1333" t="s">
        <v>1922</v>
      </c>
      <c r="Z1333" t="s">
        <v>46</v>
      </c>
      <c r="AF1333">
        <v>2</v>
      </c>
      <c r="AH1333" t="s">
        <v>75</v>
      </c>
      <c r="AI1333">
        <v>1</v>
      </c>
      <c r="AJ1333" s="15"/>
      <c r="AK1333" t="s">
        <v>1922</v>
      </c>
      <c r="AL1333" s="16"/>
      <c r="AR1333" s="18" t="str">
        <f>IFERROR(VLOOKUP(K1333,[1]POP!$F:$J,1,0),M1333)</f>
        <v>Gazawa</v>
      </c>
      <c r="AS1333" s="18" t="str">
        <f t="shared" si="101"/>
        <v>Massakal</v>
      </c>
      <c r="AT1333" s="19">
        <f t="shared" si="104"/>
        <v>2</v>
      </c>
      <c r="AU1333" s="19">
        <f t="shared" ca="1" si="103"/>
        <v>1</v>
      </c>
    </row>
    <row r="1334" spans="1:47" x14ac:dyDescent="0.3">
      <c r="A1334" t="s">
        <v>1936</v>
      </c>
      <c r="B1334" t="str">
        <f t="shared" si="100"/>
        <v>S34_2026</v>
      </c>
      <c r="C1334" t="str">
        <f t="shared" si="102"/>
        <v>S33_2026</v>
      </c>
      <c r="F1334">
        <v>5</v>
      </c>
      <c r="G1334" t="s">
        <v>55</v>
      </c>
      <c r="H1334" t="s">
        <v>1920</v>
      </c>
      <c r="I1334" t="s">
        <v>1913</v>
      </c>
      <c r="J1334" t="s">
        <v>1914</v>
      </c>
      <c r="K1334" t="s">
        <v>1915</v>
      </c>
      <c r="L1334" t="s">
        <v>1914</v>
      </c>
      <c r="M1334" t="s">
        <v>1915</v>
      </c>
      <c r="N1334" t="s">
        <v>46</v>
      </c>
      <c r="O1334" t="s">
        <v>46</v>
      </c>
      <c r="P1334">
        <v>1</v>
      </c>
      <c r="Q1334" s="7">
        <v>46250</v>
      </c>
      <c r="R1334" s="7">
        <v>46251</v>
      </c>
      <c r="S1334" s="7">
        <v>46251</v>
      </c>
      <c r="T1334" t="s">
        <v>150</v>
      </c>
      <c r="W1334" t="s">
        <v>46</v>
      </c>
      <c r="Y1334" t="s">
        <v>1922</v>
      </c>
      <c r="Z1334" t="s">
        <v>46</v>
      </c>
      <c r="AF1334">
        <v>2</v>
      </c>
      <c r="AH1334" t="s">
        <v>75</v>
      </c>
      <c r="AI1334">
        <v>1</v>
      </c>
      <c r="AJ1334" s="15"/>
      <c r="AK1334" t="s">
        <v>1922</v>
      </c>
      <c r="AL1334" s="16"/>
      <c r="AR1334" s="18" t="str">
        <f>IFERROR(VLOOKUP(K1334,[1]POP!$F:$J,1,0),M1334)</f>
        <v>Gazawa</v>
      </c>
      <c r="AS1334" s="18" t="str">
        <f t="shared" si="101"/>
        <v>Massakal</v>
      </c>
      <c r="AT1334" s="19">
        <f t="shared" si="104"/>
        <v>2</v>
      </c>
      <c r="AU1334" s="19">
        <f t="shared" ca="1" si="103"/>
        <v>1</v>
      </c>
    </row>
    <row r="1335" spans="1:47" x14ac:dyDescent="0.3">
      <c r="A1335" t="s">
        <v>1937</v>
      </c>
      <c r="B1335" t="str">
        <f t="shared" si="100"/>
        <v>S34_2026</v>
      </c>
      <c r="C1335" t="str">
        <f t="shared" si="102"/>
        <v>S33_2026</v>
      </c>
      <c r="F1335">
        <v>1</v>
      </c>
      <c r="G1335" t="s">
        <v>40</v>
      </c>
      <c r="H1335" t="s">
        <v>1920</v>
      </c>
      <c r="I1335" t="s">
        <v>1913</v>
      </c>
      <c r="J1335" t="s">
        <v>1914</v>
      </c>
      <c r="K1335" t="s">
        <v>1915</v>
      </c>
      <c r="L1335" t="s">
        <v>1914</v>
      </c>
      <c r="M1335" t="s">
        <v>1915</v>
      </c>
      <c r="N1335" t="s">
        <v>46</v>
      </c>
      <c r="O1335" t="s">
        <v>46</v>
      </c>
      <c r="P1335">
        <v>1</v>
      </c>
      <c r="Q1335" s="7">
        <v>46250</v>
      </c>
      <c r="R1335" s="7">
        <v>46251</v>
      </c>
      <c r="S1335" s="7">
        <v>46251</v>
      </c>
      <c r="T1335" t="s">
        <v>150</v>
      </c>
      <c r="W1335" t="s">
        <v>46</v>
      </c>
      <c r="Y1335" t="s">
        <v>1922</v>
      </c>
      <c r="Z1335" t="s">
        <v>46</v>
      </c>
      <c r="AF1335">
        <v>2</v>
      </c>
      <c r="AH1335" t="s">
        <v>75</v>
      </c>
      <c r="AI1335">
        <v>1</v>
      </c>
      <c r="AJ1335" s="15"/>
      <c r="AK1335" t="s">
        <v>1922</v>
      </c>
      <c r="AL1335" s="16"/>
      <c r="AR1335" s="18" t="str">
        <f>IFERROR(VLOOKUP(K1335,[1]POP!$F:$J,1,0),M1335)</f>
        <v>Gazawa</v>
      </c>
      <c r="AS1335" s="18" t="str">
        <f t="shared" si="101"/>
        <v>Massakal</v>
      </c>
      <c r="AT1335" s="19">
        <f t="shared" si="104"/>
        <v>2</v>
      </c>
      <c r="AU1335" s="19">
        <f t="shared" ca="1" si="103"/>
        <v>1</v>
      </c>
    </row>
    <row r="1336" spans="1:47" x14ac:dyDescent="0.3">
      <c r="A1336" t="s">
        <v>1938</v>
      </c>
      <c r="B1336" t="str">
        <f t="shared" si="100"/>
        <v>S31_2026</v>
      </c>
      <c r="C1336" t="str">
        <f t="shared" si="102"/>
        <v>S31_2026</v>
      </c>
      <c r="E1336" t="s">
        <v>143</v>
      </c>
      <c r="F1336">
        <v>35</v>
      </c>
      <c r="G1336" t="s">
        <v>40</v>
      </c>
      <c r="H1336" t="s">
        <v>77</v>
      </c>
      <c r="I1336" t="s">
        <v>147</v>
      </c>
      <c r="J1336" t="s">
        <v>147</v>
      </c>
      <c r="K1336" t="s">
        <v>147</v>
      </c>
      <c r="L1336" t="s">
        <v>752</v>
      </c>
      <c r="M1336" t="s">
        <v>146</v>
      </c>
      <c r="N1336" t="s">
        <v>45</v>
      </c>
      <c r="O1336" t="s">
        <v>45</v>
      </c>
      <c r="P1336">
        <v>3</v>
      </c>
      <c r="Q1336" s="7">
        <v>46230</v>
      </c>
      <c r="R1336" s="7">
        <v>46231</v>
      </c>
      <c r="S1336" s="7">
        <v>46232</v>
      </c>
      <c r="T1336" t="s">
        <v>45</v>
      </c>
      <c r="V1336" t="s">
        <v>753</v>
      </c>
      <c r="W1336" t="s">
        <v>45</v>
      </c>
      <c r="X1336" t="s">
        <v>45</v>
      </c>
      <c r="Y1336" t="s">
        <v>45</v>
      </c>
      <c r="Z1336" t="s">
        <v>45</v>
      </c>
      <c r="AB1336" t="s">
        <v>48</v>
      </c>
      <c r="AC1336" t="s">
        <v>74</v>
      </c>
      <c r="AE1336" s="7">
        <v>46235</v>
      </c>
      <c r="AF1336">
        <v>2</v>
      </c>
      <c r="AH1336" t="s">
        <v>75</v>
      </c>
      <c r="AI1336">
        <v>1</v>
      </c>
      <c r="AJ1336" s="15"/>
      <c r="AK1336" t="s">
        <v>74</v>
      </c>
      <c r="AL1336" s="16"/>
      <c r="AR1336" s="18" t="str">
        <f>IFERROR(VLOOKUP(K1336,[1]POP!$F:$J,1,0),M1336)</f>
        <v>KOLOFATA</v>
      </c>
      <c r="AS1336" s="18" t="str">
        <f t="shared" si="101"/>
        <v>LIMANI</v>
      </c>
      <c r="AT1336" s="19">
        <f t="shared" si="104"/>
        <v>2</v>
      </c>
      <c r="AU1336" s="19">
        <f t="shared" ca="1" si="103"/>
        <v>2</v>
      </c>
    </row>
    <row r="1337" spans="1:47" x14ac:dyDescent="0.3">
      <c r="A1337" t="s">
        <v>1939</v>
      </c>
      <c r="B1337" t="str">
        <f t="shared" si="100"/>
        <v>S31_2026</v>
      </c>
      <c r="C1337" t="str">
        <f t="shared" si="102"/>
        <v>S31_2026</v>
      </c>
      <c r="E1337" t="s">
        <v>143</v>
      </c>
      <c r="F1337">
        <v>30</v>
      </c>
      <c r="G1337" t="s">
        <v>55</v>
      </c>
      <c r="H1337" t="s">
        <v>70</v>
      </c>
      <c r="I1337" t="s">
        <v>147</v>
      </c>
      <c r="J1337" t="s">
        <v>147</v>
      </c>
      <c r="K1337" t="s">
        <v>147</v>
      </c>
      <c r="L1337" t="s">
        <v>752</v>
      </c>
      <c r="M1337" t="s">
        <v>146</v>
      </c>
      <c r="N1337" t="s">
        <v>45</v>
      </c>
      <c r="O1337" t="s">
        <v>45</v>
      </c>
      <c r="P1337">
        <v>3</v>
      </c>
      <c r="Q1337" s="7">
        <v>46231</v>
      </c>
      <c r="R1337" s="7">
        <v>46232</v>
      </c>
      <c r="S1337" s="7">
        <v>46232</v>
      </c>
      <c r="T1337" t="s">
        <v>45</v>
      </c>
      <c r="V1337" t="s">
        <v>753</v>
      </c>
      <c r="W1337" t="s">
        <v>45</v>
      </c>
      <c r="X1337" t="s">
        <v>45</v>
      </c>
      <c r="Y1337" t="s">
        <v>45</v>
      </c>
      <c r="Z1337" t="s">
        <v>45</v>
      </c>
      <c r="AB1337" t="s">
        <v>48</v>
      </c>
      <c r="AC1337" t="s">
        <v>74</v>
      </c>
      <c r="AE1337" s="7">
        <v>46235</v>
      </c>
      <c r="AF1337">
        <v>2</v>
      </c>
      <c r="AH1337" t="s">
        <v>75</v>
      </c>
      <c r="AI1337">
        <v>1</v>
      </c>
      <c r="AJ1337" s="15"/>
      <c r="AK1337" t="s">
        <v>74</v>
      </c>
      <c r="AL1337" s="16"/>
      <c r="AR1337" s="18" t="str">
        <f>IFERROR(VLOOKUP(K1337,[1]POP!$F:$J,1,0),M1337)</f>
        <v>KOLOFATA</v>
      </c>
      <c r="AS1337" s="18" t="str">
        <f t="shared" si="101"/>
        <v>LIMANI</v>
      </c>
      <c r="AT1337" s="19">
        <f t="shared" si="104"/>
        <v>2</v>
      </c>
      <c r="AU1337" s="19">
        <f t="shared" ca="1" si="103"/>
        <v>2</v>
      </c>
    </row>
    <row r="1338" spans="1:47" x14ac:dyDescent="0.3">
      <c r="A1338" t="s">
        <v>1940</v>
      </c>
      <c r="B1338" t="str">
        <f t="shared" si="100"/>
        <v>S31_2026</v>
      </c>
      <c r="C1338" t="str">
        <f t="shared" si="102"/>
        <v>S30_2023</v>
      </c>
      <c r="E1338" t="s">
        <v>143</v>
      </c>
      <c r="F1338">
        <v>30</v>
      </c>
      <c r="G1338" t="s">
        <v>40</v>
      </c>
      <c r="H1338" t="s">
        <v>77</v>
      </c>
      <c r="I1338" t="s">
        <v>147</v>
      </c>
      <c r="J1338" t="s">
        <v>147</v>
      </c>
      <c r="K1338" t="s">
        <v>147</v>
      </c>
      <c r="L1338" t="s">
        <v>752</v>
      </c>
      <c r="M1338" t="s">
        <v>146</v>
      </c>
      <c r="N1338" t="s">
        <v>45</v>
      </c>
      <c r="O1338" t="s">
        <v>45</v>
      </c>
      <c r="P1338">
        <v>2</v>
      </c>
      <c r="Q1338" s="7">
        <v>45135</v>
      </c>
      <c r="R1338" s="7">
        <v>46232</v>
      </c>
      <c r="S1338" s="7">
        <v>46232</v>
      </c>
      <c r="T1338" t="s">
        <v>45</v>
      </c>
      <c r="V1338" t="s">
        <v>753</v>
      </c>
      <c r="W1338" t="s">
        <v>45</v>
      </c>
      <c r="X1338" t="s">
        <v>45</v>
      </c>
      <c r="Y1338" t="s">
        <v>45</v>
      </c>
      <c r="Z1338" t="s">
        <v>45</v>
      </c>
      <c r="AB1338" t="s">
        <v>48</v>
      </c>
      <c r="AC1338" t="s">
        <v>74</v>
      </c>
      <c r="AE1338" s="7">
        <v>46248</v>
      </c>
      <c r="AF1338">
        <v>2</v>
      </c>
      <c r="AH1338" t="s">
        <v>75</v>
      </c>
      <c r="AI1338">
        <v>1</v>
      </c>
      <c r="AJ1338" s="15"/>
      <c r="AK1338" t="s">
        <v>74</v>
      </c>
      <c r="AL1338" s="16"/>
      <c r="AR1338" s="18" t="str">
        <f>IFERROR(VLOOKUP(K1338,[1]POP!$F:$J,1,0),M1338)</f>
        <v>KOLOFATA</v>
      </c>
      <c r="AS1338" s="18" t="str">
        <f t="shared" si="101"/>
        <v>LIMANI</v>
      </c>
      <c r="AT1338" s="19">
        <f t="shared" si="104"/>
        <v>2</v>
      </c>
      <c r="AU1338" s="19">
        <f t="shared" ca="1" si="103"/>
        <v>2</v>
      </c>
    </row>
    <row r="1339" spans="1:47" x14ac:dyDescent="0.3">
      <c r="A1339" t="s">
        <v>1941</v>
      </c>
      <c r="B1339" t="str">
        <f t="shared" si="100"/>
        <v>S31_2026</v>
      </c>
      <c r="C1339" t="str">
        <f t="shared" si="102"/>
        <v>S31_2026</v>
      </c>
      <c r="E1339" t="s">
        <v>143</v>
      </c>
      <c r="F1339">
        <v>2</v>
      </c>
      <c r="G1339" t="s">
        <v>55</v>
      </c>
      <c r="H1339" t="s">
        <v>85</v>
      </c>
      <c r="I1339" t="s">
        <v>147</v>
      </c>
      <c r="J1339" t="s">
        <v>147</v>
      </c>
      <c r="K1339" t="s">
        <v>147</v>
      </c>
      <c r="L1339" t="s">
        <v>752</v>
      </c>
      <c r="M1339" t="s">
        <v>146</v>
      </c>
      <c r="N1339" t="s">
        <v>45</v>
      </c>
      <c r="O1339" t="s">
        <v>45</v>
      </c>
      <c r="P1339">
        <v>3</v>
      </c>
      <c r="Q1339" s="7">
        <v>46232</v>
      </c>
      <c r="R1339" s="7">
        <v>46233</v>
      </c>
      <c r="S1339" s="7">
        <v>46233</v>
      </c>
      <c r="T1339" t="s">
        <v>45</v>
      </c>
      <c r="V1339" t="s">
        <v>753</v>
      </c>
      <c r="W1339" t="s">
        <v>45</v>
      </c>
      <c r="X1339" t="s">
        <v>45</v>
      </c>
      <c r="Y1339" t="s">
        <v>45</v>
      </c>
      <c r="Z1339" t="s">
        <v>45</v>
      </c>
      <c r="AB1339" t="s">
        <v>48</v>
      </c>
      <c r="AC1339" t="s">
        <v>74</v>
      </c>
      <c r="AE1339" s="7">
        <v>46235</v>
      </c>
      <c r="AF1339">
        <v>2</v>
      </c>
      <c r="AH1339" t="s">
        <v>75</v>
      </c>
      <c r="AI1339">
        <v>1</v>
      </c>
      <c r="AJ1339" s="15"/>
      <c r="AK1339" t="s">
        <v>74</v>
      </c>
      <c r="AL1339" s="16"/>
      <c r="AR1339" s="18" t="str">
        <f>IFERROR(VLOOKUP(K1339,[1]POP!$F:$J,1,0),M1339)</f>
        <v>KOLOFATA</v>
      </c>
      <c r="AS1339" s="18" t="str">
        <f t="shared" si="101"/>
        <v>LIMANI</v>
      </c>
      <c r="AT1339" s="19">
        <f t="shared" si="104"/>
        <v>2</v>
      </c>
      <c r="AU1339" s="19">
        <f t="shared" ca="1" si="103"/>
        <v>2</v>
      </c>
    </row>
    <row r="1340" spans="1:47" x14ac:dyDescent="0.3">
      <c r="A1340" t="s">
        <v>1942</v>
      </c>
      <c r="B1340" t="str">
        <f t="shared" si="100"/>
        <v>S31_2026</v>
      </c>
      <c r="C1340" t="str">
        <f t="shared" si="102"/>
        <v>S31_2026</v>
      </c>
      <c r="E1340" t="s">
        <v>143</v>
      </c>
      <c r="F1340">
        <v>45</v>
      </c>
      <c r="G1340" t="s">
        <v>40</v>
      </c>
      <c r="H1340" t="s">
        <v>77</v>
      </c>
      <c r="I1340" t="s">
        <v>752</v>
      </c>
      <c r="J1340" t="s">
        <v>752</v>
      </c>
      <c r="K1340" t="s">
        <v>752</v>
      </c>
      <c r="L1340" t="s">
        <v>752</v>
      </c>
      <c r="M1340" t="s">
        <v>146</v>
      </c>
      <c r="N1340" t="s">
        <v>45</v>
      </c>
      <c r="O1340" t="s">
        <v>45</v>
      </c>
      <c r="P1340">
        <v>1</v>
      </c>
      <c r="Q1340" s="7">
        <v>46233</v>
      </c>
      <c r="R1340" s="7">
        <v>46234</v>
      </c>
      <c r="S1340" s="7">
        <v>46234</v>
      </c>
      <c r="T1340" t="s">
        <v>45</v>
      </c>
      <c r="V1340" t="s">
        <v>753</v>
      </c>
      <c r="W1340" t="s">
        <v>45</v>
      </c>
      <c r="X1340" t="s">
        <v>45</v>
      </c>
      <c r="Y1340" t="s">
        <v>45</v>
      </c>
      <c r="Z1340" t="s">
        <v>45</v>
      </c>
      <c r="AB1340" t="s">
        <v>48</v>
      </c>
      <c r="AC1340" t="s">
        <v>74</v>
      </c>
      <c r="AE1340" s="7">
        <v>46236</v>
      </c>
      <c r="AF1340">
        <v>2</v>
      </c>
      <c r="AH1340" t="s">
        <v>75</v>
      </c>
      <c r="AI1340">
        <v>1</v>
      </c>
      <c r="AJ1340" s="15"/>
      <c r="AK1340" t="s">
        <v>74</v>
      </c>
      <c r="AL1340" s="16"/>
      <c r="AR1340" s="18" t="str">
        <f>IFERROR(VLOOKUP(K1340,[1]POP!$F:$J,1,0),M1340)</f>
        <v>KOLOFATA</v>
      </c>
      <c r="AS1340" s="18" t="str">
        <f t="shared" si="101"/>
        <v>LIMANI</v>
      </c>
      <c r="AT1340" s="19">
        <f t="shared" si="104"/>
        <v>2</v>
      </c>
      <c r="AU1340" s="19">
        <f t="shared" ca="1" si="103"/>
        <v>2</v>
      </c>
    </row>
    <row r="1341" spans="1:47" x14ac:dyDescent="0.3">
      <c r="A1341" t="s">
        <v>1943</v>
      </c>
      <c r="B1341" t="str">
        <f t="shared" si="100"/>
        <v>S32_2026</v>
      </c>
      <c r="C1341" t="str">
        <f t="shared" si="102"/>
        <v>S32_2026</v>
      </c>
      <c r="E1341" t="s">
        <v>143</v>
      </c>
      <c r="F1341">
        <v>9</v>
      </c>
      <c r="G1341" t="s">
        <v>40</v>
      </c>
      <c r="H1341" t="s">
        <v>85</v>
      </c>
      <c r="I1341" t="s">
        <v>147</v>
      </c>
      <c r="J1341" t="s">
        <v>147</v>
      </c>
      <c r="K1341" t="s">
        <v>147</v>
      </c>
      <c r="L1341" t="s">
        <v>752</v>
      </c>
      <c r="M1341" t="s">
        <v>146</v>
      </c>
      <c r="N1341" t="s">
        <v>45</v>
      </c>
      <c r="O1341" t="s">
        <v>45</v>
      </c>
      <c r="P1341">
        <v>3</v>
      </c>
      <c r="Q1341" s="7">
        <v>46242</v>
      </c>
      <c r="R1341" s="7">
        <v>46243</v>
      </c>
      <c r="S1341" s="7">
        <v>46243</v>
      </c>
      <c r="T1341" t="s">
        <v>45</v>
      </c>
      <c r="V1341" t="s">
        <v>753</v>
      </c>
      <c r="W1341" t="s">
        <v>45</v>
      </c>
      <c r="X1341" t="s">
        <v>45</v>
      </c>
      <c r="Y1341" t="s">
        <v>45</v>
      </c>
      <c r="Z1341" t="s">
        <v>45</v>
      </c>
      <c r="AB1341" t="s">
        <v>48</v>
      </c>
      <c r="AC1341" t="s">
        <v>74</v>
      </c>
      <c r="AE1341" s="7">
        <v>46236</v>
      </c>
      <c r="AF1341">
        <v>2</v>
      </c>
      <c r="AH1341" t="s">
        <v>75</v>
      </c>
      <c r="AI1341">
        <v>1</v>
      </c>
      <c r="AJ1341" s="15"/>
      <c r="AK1341" t="s">
        <v>74</v>
      </c>
      <c r="AL1341" s="16"/>
      <c r="AR1341" s="18" t="str">
        <f>IFERROR(VLOOKUP(K1341,[1]POP!$F:$J,1,0),M1341)</f>
        <v>KOLOFATA</v>
      </c>
      <c r="AS1341" s="18" t="str">
        <f t="shared" si="101"/>
        <v>LIMANI</v>
      </c>
      <c r="AT1341" s="19">
        <f t="shared" si="104"/>
        <v>2</v>
      </c>
      <c r="AU1341" s="19">
        <f t="shared" ca="1" si="103"/>
        <v>2</v>
      </c>
    </row>
    <row r="1342" spans="1:47" x14ac:dyDescent="0.3">
      <c r="A1342" t="s">
        <v>1944</v>
      </c>
      <c r="B1342" t="str">
        <f t="shared" si="100"/>
        <v>S33_2026</v>
      </c>
      <c r="C1342" t="str">
        <f t="shared" si="102"/>
        <v>S33_2026</v>
      </c>
      <c r="E1342" t="s">
        <v>143</v>
      </c>
      <c r="F1342">
        <v>19</v>
      </c>
      <c r="G1342" t="s">
        <v>40</v>
      </c>
      <c r="H1342" t="s">
        <v>77</v>
      </c>
      <c r="I1342" t="s">
        <v>147</v>
      </c>
      <c r="J1342" t="s">
        <v>147</v>
      </c>
      <c r="K1342" t="s">
        <v>147</v>
      </c>
      <c r="L1342" t="s">
        <v>752</v>
      </c>
      <c r="M1342" t="s">
        <v>146</v>
      </c>
      <c r="N1342" t="s">
        <v>45</v>
      </c>
      <c r="O1342" t="s">
        <v>45</v>
      </c>
      <c r="P1342">
        <v>2</v>
      </c>
      <c r="Q1342" s="7">
        <v>46245</v>
      </c>
      <c r="R1342" s="7">
        <v>46246</v>
      </c>
      <c r="S1342" s="7">
        <v>46246</v>
      </c>
      <c r="T1342" t="s">
        <v>45</v>
      </c>
      <c r="V1342" t="s">
        <v>753</v>
      </c>
      <c r="W1342" t="s">
        <v>45</v>
      </c>
      <c r="X1342" t="s">
        <v>45</v>
      </c>
      <c r="Y1342" t="s">
        <v>45</v>
      </c>
      <c r="Z1342" t="s">
        <v>45</v>
      </c>
      <c r="AB1342" t="s">
        <v>48</v>
      </c>
      <c r="AC1342" t="s">
        <v>74</v>
      </c>
      <c r="AE1342" s="7">
        <v>46245</v>
      </c>
      <c r="AF1342">
        <v>2</v>
      </c>
      <c r="AH1342" t="s">
        <v>75</v>
      </c>
      <c r="AI1342">
        <v>1</v>
      </c>
      <c r="AJ1342" s="15"/>
      <c r="AK1342" t="s">
        <v>74</v>
      </c>
      <c r="AL1342" s="16"/>
      <c r="AR1342" s="18" t="str">
        <f>IFERROR(VLOOKUP(K1342,[1]POP!$F:$J,1,0),M1342)</f>
        <v>KOLOFATA</v>
      </c>
      <c r="AS1342" s="18" t="str">
        <f t="shared" si="101"/>
        <v>LIMANI</v>
      </c>
      <c r="AT1342" s="19">
        <f t="shared" si="104"/>
        <v>2</v>
      </c>
      <c r="AU1342" s="19">
        <f t="shared" ca="1" si="103"/>
        <v>1</v>
      </c>
    </row>
    <row r="1343" spans="1:47" x14ac:dyDescent="0.3">
      <c r="A1343" t="s">
        <v>1945</v>
      </c>
      <c r="B1343" t="str">
        <f t="shared" si="100"/>
        <v>S33_2026</v>
      </c>
      <c r="C1343" t="str">
        <f t="shared" si="102"/>
        <v>S33_2026</v>
      </c>
      <c r="F1343">
        <v>11</v>
      </c>
      <c r="G1343" t="s">
        <v>55</v>
      </c>
      <c r="H1343" t="s">
        <v>85</v>
      </c>
      <c r="I1343" t="s">
        <v>355</v>
      </c>
      <c r="J1343" t="s">
        <v>355</v>
      </c>
      <c r="K1343" t="s">
        <v>72</v>
      </c>
      <c r="L1343" t="s">
        <v>72</v>
      </c>
      <c r="M1343" t="s">
        <v>72</v>
      </c>
      <c r="N1343" t="s">
        <v>45</v>
      </c>
      <c r="O1343" t="s">
        <v>45</v>
      </c>
      <c r="P1343">
        <v>2</v>
      </c>
      <c r="Q1343" s="7">
        <v>46249</v>
      </c>
      <c r="R1343" s="7">
        <v>46249</v>
      </c>
      <c r="S1343" s="7">
        <v>46249</v>
      </c>
      <c r="T1343" t="s">
        <v>45</v>
      </c>
      <c r="V1343" t="s">
        <v>343</v>
      </c>
      <c r="W1343" t="s">
        <v>45</v>
      </c>
      <c r="X1343" t="s">
        <v>45</v>
      </c>
      <c r="Y1343" t="s">
        <v>45</v>
      </c>
      <c r="Z1343" t="s">
        <v>45</v>
      </c>
      <c r="AA1343" s="7">
        <v>46249</v>
      </c>
      <c r="AB1343" t="s">
        <v>48</v>
      </c>
      <c r="AE1343" s="7">
        <v>46255</v>
      </c>
      <c r="AF1343">
        <v>2</v>
      </c>
      <c r="AH1343" t="s">
        <v>75</v>
      </c>
      <c r="AI1343">
        <v>1</v>
      </c>
      <c r="AJ1343" s="15"/>
      <c r="AK1343" t="s">
        <v>86</v>
      </c>
      <c r="AL1343" s="16"/>
      <c r="AR1343" s="18" t="str">
        <f>IFERROR(VLOOKUP(K1343,[1]POP!$F:$J,1,0),M1343)</f>
        <v>FOTOKOL</v>
      </c>
      <c r="AS1343" s="18" t="str">
        <f t="shared" si="101"/>
        <v>MAKAMBARA</v>
      </c>
      <c r="AT1343" s="19">
        <f t="shared" si="104"/>
        <v>2</v>
      </c>
      <c r="AU1343" s="19">
        <f t="shared" ca="1" si="103"/>
        <v>1</v>
      </c>
    </row>
    <row r="1344" spans="1:47" x14ac:dyDescent="0.3">
      <c r="A1344" t="s">
        <v>1946</v>
      </c>
      <c r="B1344" t="str">
        <f t="shared" si="100"/>
        <v>S34_2026</v>
      </c>
      <c r="C1344" t="str">
        <f t="shared" si="102"/>
        <v>S34_2026</v>
      </c>
      <c r="F1344">
        <v>10</v>
      </c>
      <c r="G1344" t="s">
        <v>55</v>
      </c>
      <c r="H1344" t="s">
        <v>85</v>
      </c>
      <c r="I1344" t="s">
        <v>1628</v>
      </c>
      <c r="J1344" t="s">
        <v>624</v>
      </c>
      <c r="K1344" t="s">
        <v>72</v>
      </c>
      <c r="L1344" t="s">
        <v>72</v>
      </c>
      <c r="M1344" t="s">
        <v>72</v>
      </c>
      <c r="N1344" t="s">
        <v>45</v>
      </c>
      <c r="O1344" t="s">
        <v>45</v>
      </c>
      <c r="P1344">
        <v>2</v>
      </c>
      <c r="Q1344" s="7">
        <v>46251</v>
      </c>
      <c r="R1344" s="7">
        <v>46251</v>
      </c>
      <c r="S1344" s="7">
        <v>46251</v>
      </c>
      <c r="T1344" t="s">
        <v>45</v>
      </c>
      <c r="V1344" t="s">
        <v>343</v>
      </c>
      <c r="W1344" t="s">
        <v>45</v>
      </c>
      <c r="X1344" t="s">
        <v>45</v>
      </c>
      <c r="Y1344" t="s">
        <v>45</v>
      </c>
      <c r="Z1344" t="s">
        <v>45</v>
      </c>
      <c r="AA1344" s="7">
        <v>46251</v>
      </c>
      <c r="AB1344" t="s">
        <v>48</v>
      </c>
      <c r="AE1344" s="7">
        <v>46255</v>
      </c>
      <c r="AF1344">
        <v>2</v>
      </c>
      <c r="AH1344" t="s">
        <v>75</v>
      </c>
      <c r="AI1344">
        <v>1</v>
      </c>
      <c r="AJ1344" s="15"/>
      <c r="AK1344" t="s">
        <v>86</v>
      </c>
      <c r="AL1344" s="16"/>
      <c r="AR1344" s="18" t="str">
        <f>IFERROR(VLOOKUP(K1344,[1]POP!$F:$J,1,0),M1344)</f>
        <v>FOTOKOL</v>
      </c>
      <c r="AS1344" s="18" t="str">
        <f t="shared" si="101"/>
        <v>BELGUEDE</v>
      </c>
      <c r="AT1344" s="19">
        <f t="shared" si="104"/>
        <v>2</v>
      </c>
      <c r="AU1344" s="19">
        <f t="shared" ca="1" si="103"/>
        <v>1</v>
      </c>
    </row>
    <row r="1345" spans="1:47" x14ac:dyDescent="0.3">
      <c r="A1345" t="s">
        <v>1947</v>
      </c>
      <c r="B1345" t="str">
        <f t="shared" si="100"/>
        <v>S34_2026</v>
      </c>
      <c r="C1345" t="str">
        <f t="shared" si="102"/>
        <v>S34_2026</v>
      </c>
      <c r="F1345">
        <v>29</v>
      </c>
      <c r="G1345" t="s">
        <v>55</v>
      </c>
      <c r="H1345" t="s">
        <v>164</v>
      </c>
      <c r="I1345" t="s">
        <v>1948</v>
      </c>
      <c r="J1345" t="s">
        <v>72</v>
      </c>
      <c r="K1345" t="s">
        <v>72</v>
      </c>
      <c r="L1345" t="s">
        <v>72</v>
      </c>
      <c r="M1345" t="s">
        <v>72</v>
      </c>
      <c r="N1345" t="s">
        <v>45</v>
      </c>
      <c r="O1345" t="s">
        <v>45</v>
      </c>
      <c r="P1345">
        <v>2</v>
      </c>
      <c r="Q1345" s="7">
        <v>46251</v>
      </c>
      <c r="R1345" s="7">
        <v>46251</v>
      </c>
      <c r="S1345" s="7">
        <v>46251</v>
      </c>
      <c r="T1345" t="s">
        <v>45</v>
      </c>
      <c r="V1345" t="s">
        <v>343</v>
      </c>
      <c r="W1345" t="s">
        <v>45</v>
      </c>
      <c r="X1345" t="s">
        <v>45</v>
      </c>
      <c r="Y1345" t="s">
        <v>45</v>
      </c>
      <c r="Z1345" t="s">
        <v>45</v>
      </c>
      <c r="AA1345" s="7">
        <v>46251</v>
      </c>
      <c r="AB1345" t="s">
        <v>48</v>
      </c>
      <c r="AE1345" s="7">
        <v>46254</v>
      </c>
      <c r="AF1345">
        <v>2</v>
      </c>
      <c r="AH1345" t="s">
        <v>75</v>
      </c>
      <c r="AI1345">
        <v>1</v>
      </c>
      <c r="AJ1345" s="15"/>
      <c r="AK1345" t="s">
        <v>86</v>
      </c>
      <c r="AL1345" s="16"/>
      <c r="AR1345" s="18" t="str">
        <f>IFERROR(VLOOKUP(K1345,[1]POP!$F:$J,1,0),M1345)</f>
        <v>FOTOKOL</v>
      </c>
      <c r="AS1345" s="18" t="str">
        <f t="shared" si="101"/>
        <v>FOTOKOL</v>
      </c>
      <c r="AT1345" s="19">
        <f t="shared" si="104"/>
        <v>2</v>
      </c>
      <c r="AU1345" s="19">
        <f t="shared" ca="1" si="103"/>
        <v>1</v>
      </c>
    </row>
    <row r="1346" spans="1:47" x14ac:dyDescent="0.3">
      <c r="A1346" t="s">
        <v>1949</v>
      </c>
      <c r="B1346" t="str">
        <f t="shared" ref="B1346:B1409" si="105">"S"&amp;(IF(_xlfn.ISOWEEKNUM(S1346)&gt;9,_xlfn.ISOWEEKNUM(S1346),_xlfn.CONCAT("0",_xlfn.ISOWEEKNUM(S1346))))&amp;"_"&amp;(YEAR(S1346+26-(_xlfn.ISOWEEKNUM(S1346))))</f>
        <v>S33_2026</v>
      </c>
      <c r="C1346" t="str">
        <f t="shared" si="102"/>
        <v>S33_2026</v>
      </c>
      <c r="E1346">
        <v>690683824</v>
      </c>
      <c r="F1346">
        <v>28</v>
      </c>
      <c r="G1346" t="s">
        <v>55</v>
      </c>
      <c r="H1346" t="s">
        <v>1950</v>
      </c>
      <c r="I1346" t="s">
        <v>553</v>
      </c>
      <c r="J1346" t="s">
        <v>459</v>
      </c>
      <c r="K1346" t="s">
        <v>460</v>
      </c>
      <c r="L1346" t="s">
        <v>459</v>
      </c>
      <c r="M1346" t="s">
        <v>460</v>
      </c>
      <c r="N1346" t="s">
        <v>45</v>
      </c>
      <c r="O1346" t="s">
        <v>45</v>
      </c>
      <c r="P1346">
        <v>2</v>
      </c>
      <c r="Q1346" s="7">
        <v>46248</v>
      </c>
      <c r="R1346" s="7">
        <v>46249</v>
      </c>
      <c r="S1346" s="7">
        <v>46249</v>
      </c>
      <c r="T1346" t="s">
        <v>45</v>
      </c>
      <c r="V1346" t="s">
        <v>464</v>
      </c>
      <c r="W1346" t="s">
        <v>45</v>
      </c>
      <c r="X1346" t="s">
        <v>45</v>
      </c>
      <c r="Y1346" t="s">
        <v>45</v>
      </c>
      <c r="Z1346" t="s">
        <v>45</v>
      </c>
      <c r="AA1346" s="7">
        <v>46249</v>
      </c>
      <c r="AB1346" t="s">
        <v>48</v>
      </c>
      <c r="AC1346" t="s">
        <v>74</v>
      </c>
      <c r="AF1346">
        <v>2</v>
      </c>
      <c r="AH1346" t="s">
        <v>75</v>
      </c>
      <c r="AI1346">
        <v>1</v>
      </c>
      <c r="AJ1346" s="15"/>
      <c r="AK1346" t="s">
        <v>45</v>
      </c>
      <c r="AL1346" s="16"/>
      <c r="AR1346" s="18" t="str">
        <f>IFERROR(VLOOKUP(K1346,[1]POP!$F:$J,1,0),M1346)</f>
        <v>KOUSSERI</v>
      </c>
      <c r="AS1346" s="18" t="str">
        <f t="shared" ref="AS1346:AS1409" si="106">IF(AR1346=K1346,J1346,L1346)</f>
        <v>PAGUI</v>
      </c>
      <c r="AT1346" s="19">
        <f t="shared" si="104"/>
        <v>2</v>
      </c>
      <c r="AU1346" s="19">
        <f t="shared" ca="1" si="103"/>
        <v>1</v>
      </c>
    </row>
    <row r="1347" spans="1:47" x14ac:dyDescent="0.3">
      <c r="A1347" t="s">
        <v>1951</v>
      </c>
      <c r="B1347" t="str">
        <f t="shared" si="105"/>
        <v>S33_2026</v>
      </c>
      <c r="C1347" t="str">
        <f t="shared" ref="C1347:C1410" si="107">"S"&amp;(IF(_xlfn.ISOWEEKNUM(Q1347)&gt;9,_xlfn.ISOWEEKNUM(Q1347),_xlfn.CONCAT("0",_xlfn.ISOWEEKNUM(Q1347))))&amp;"_"&amp;(YEAR(Q1347+26-(_xlfn.ISOWEEKNUM(Q1347))))</f>
        <v>S33_2026</v>
      </c>
      <c r="E1347" t="s">
        <v>143</v>
      </c>
      <c r="F1347">
        <v>1.5</v>
      </c>
      <c r="G1347" t="s">
        <v>55</v>
      </c>
      <c r="H1347" t="s">
        <v>111</v>
      </c>
      <c r="I1347" t="s">
        <v>1952</v>
      </c>
      <c r="J1347" t="s">
        <v>146</v>
      </c>
      <c r="K1347" t="s">
        <v>146</v>
      </c>
      <c r="L1347" t="s">
        <v>146</v>
      </c>
      <c r="M1347" t="s">
        <v>146</v>
      </c>
      <c r="N1347" t="s">
        <v>45</v>
      </c>
      <c r="O1347" t="s">
        <v>45</v>
      </c>
      <c r="P1347">
        <v>3</v>
      </c>
      <c r="Q1347" s="7">
        <v>46246</v>
      </c>
      <c r="R1347" s="7">
        <v>46246</v>
      </c>
      <c r="S1347" s="7">
        <v>46246</v>
      </c>
      <c r="T1347" t="s">
        <v>45</v>
      </c>
      <c r="V1347" t="s">
        <v>742</v>
      </c>
      <c r="W1347" t="s">
        <v>45</v>
      </c>
      <c r="X1347" t="s">
        <v>45</v>
      </c>
      <c r="Y1347" t="s">
        <v>45</v>
      </c>
      <c r="Z1347" t="s">
        <v>45</v>
      </c>
      <c r="AF1347">
        <v>2</v>
      </c>
      <c r="AH1347" t="s">
        <v>75</v>
      </c>
      <c r="AI1347">
        <v>1</v>
      </c>
      <c r="AJ1347" s="15"/>
      <c r="AL1347" s="16"/>
      <c r="AR1347" s="18" t="str">
        <f>IFERROR(VLOOKUP(K1347,[1]POP!$F:$J,1,0),M1347)</f>
        <v>KOLOFATA</v>
      </c>
      <c r="AS1347" s="18" t="str">
        <f t="shared" si="106"/>
        <v>KOLOFATA</v>
      </c>
      <c r="AT1347" s="19">
        <f t="shared" si="104"/>
        <v>2</v>
      </c>
      <c r="AU1347" s="19">
        <f t="shared" ref="AU1347:AU1410" ca="1" si="108">IF((TODAY() - R1347)&lt;=21,1,2)</f>
        <v>1</v>
      </c>
    </row>
    <row r="1348" spans="1:47" x14ac:dyDescent="0.3">
      <c r="A1348" t="s">
        <v>1953</v>
      </c>
      <c r="B1348" t="str">
        <f t="shared" si="105"/>
        <v>S33_2026</v>
      </c>
      <c r="C1348" t="str">
        <f t="shared" si="107"/>
        <v>S33_2026</v>
      </c>
      <c r="E1348" t="s">
        <v>143</v>
      </c>
      <c r="F1348">
        <v>3</v>
      </c>
      <c r="G1348" t="s">
        <v>55</v>
      </c>
      <c r="H1348" t="s">
        <v>111</v>
      </c>
      <c r="I1348" t="s">
        <v>1954</v>
      </c>
      <c r="J1348" t="s">
        <v>146</v>
      </c>
      <c r="K1348" t="s">
        <v>146</v>
      </c>
      <c r="L1348" t="s">
        <v>146</v>
      </c>
      <c r="M1348" t="s">
        <v>146</v>
      </c>
      <c r="N1348" t="s">
        <v>45</v>
      </c>
      <c r="O1348" t="s">
        <v>45</v>
      </c>
      <c r="P1348">
        <v>3</v>
      </c>
      <c r="Q1348" s="7">
        <v>46246</v>
      </c>
      <c r="R1348" s="7">
        <v>46246</v>
      </c>
      <c r="S1348" s="7">
        <v>46246</v>
      </c>
      <c r="T1348" t="s">
        <v>45</v>
      </c>
      <c r="V1348" t="s">
        <v>742</v>
      </c>
      <c r="W1348" t="s">
        <v>45</v>
      </c>
      <c r="X1348" t="s">
        <v>45</v>
      </c>
      <c r="Y1348" t="s">
        <v>45</v>
      </c>
      <c r="Z1348" t="s">
        <v>45</v>
      </c>
      <c r="AF1348">
        <v>2</v>
      </c>
      <c r="AH1348" t="s">
        <v>75</v>
      </c>
      <c r="AI1348">
        <v>1</v>
      </c>
      <c r="AJ1348" s="15"/>
      <c r="AL1348" s="16"/>
      <c r="AR1348" s="18" t="str">
        <f>IFERROR(VLOOKUP(K1348,[1]POP!$F:$J,1,0),M1348)</f>
        <v>KOLOFATA</v>
      </c>
      <c r="AS1348" s="18" t="str">
        <f t="shared" si="106"/>
        <v>KOLOFATA</v>
      </c>
      <c r="AT1348" s="19">
        <f t="shared" ref="AT1348:AT1411" si="109">IF($AI:$AI=2,3,IF($AI:$AI=3,3,IF($AI:$AI=4,3,IF($AI:$AI=1,2,0))))</f>
        <v>2</v>
      </c>
      <c r="AU1348" s="19">
        <f t="shared" ca="1" si="108"/>
        <v>1</v>
      </c>
    </row>
    <row r="1349" spans="1:47" x14ac:dyDescent="0.3">
      <c r="A1349" t="s">
        <v>1955</v>
      </c>
      <c r="B1349" t="str">
        <f t="shared" si="105"/>
        <v>S33_2026</v>
      </c>
      <c r="C1349" t="str">
        <f t="shared" si="107"/>
        <v>S33_2026</v>
      </c>
      <c r="E1349" t="s">
        <v>143</v>
      </c>
      <c r="F1349">
        <v>30</v>
      </c>
      <c r="G1349" t="s">
        <v>55</v>
      </c>
      <c r="H1349" t="s">
        <v>111</v>
      </c>
      <c r="I1349" t="s">
        <v>1956</v>
      </c>
      <c r="J1349" t="s">
        <v>146</v>
      </c>
      <c r="K1349" t="s">
        <v>146</v>
      </c>
      <c r="L1349" t="s">
        <v>146</v>
      </c>
      <c r="M1349" t="s">
        <v>146</v>
      </c>
      <c r="N1349" t="s">
        <v>45</v>
      </c>
      <c r="O1349" t="s">
        <v>45</v>
      </c>
      <c r="P1349">
        <v>3</v>
      </c>
      <c r="Q1349" s="7">
        <v>46246</v>
      </c>
      <c r="R1349" s="7">
        <v>46246</v>
      </c>
      <c r="S1349" s="7">
        <v>46246</v>
      </c>
      <c r="T1349" t="s">
        <v>45</v>
      </c>
      <c r="V1349" t="s">
        <v>742</v>
      </c>
      <c r="W1349" t="s">
        <v>45</v>
      </c>
      <c r="X1349" t="s">
        <v>45</v>
      </c>
      <c r="Y1349" t="s">
        <v>45</v>
      </c>
      <c r="Z1349" t="s">
        <v>45</v>
      </c>
      <c r="AF1349">
        <v>2</v>
      </c>
      <c r="AH1349" t="s">
        <v>75</v>
      </c>
      <c r="AI1349">
        <v>1</v>
      </c>
      <c r="AJ1349" s="15"/>
      <c r="AL1349" s="16"/>
      <c r="AR1349" s="18" t="str">
        <f>IFERROR(VLOOKUP(K1349,[1]POP!$F:$J,1,0),M1349)</f>
        <v>KOLOFATA</v>
      </c>
      <c r="AS1349" s="18" t="str">
        <f t="shared" si="106"/>
        <v>KOLOFATA</v>
      </c>
      <c r="AT1349" s="19">
        <f t="shared" si="109"/>
        <v>2</v>
      </c>
      <c r="AU1349" s="19">
        <f t="shared" ca="1" si="108"/>
        <v>1</v>
      </c>
    </row>
    <row r="1350" spans="1:47" x14ac:dyDescent="0.3">
      <c r="A1350" t="s">
        <v>1957</v>
      </c>
      <c r="B1350" t="str">
        <f t="shared" si="105"/>
        <v>S33_2026</v>
      </c>
      <c r="C1350" t="str">
        <f t="shared" si="107"/>
        <v>S33_2026</v>
      </c>
      <c r="E1350" t="s">
        <v>143</v>
      </c>
      <c r="F1350">
        <v>50</v>
      </c>
      <c r="G1350" t="s">
        <v>55</v>
      </c>
      <c r="H1350" t="s">
        <v>457</v>
      </c>
      <c r="I1350" t="s">
        <v>1958</v>
      </c>
      <c r="J1350" t="s">
        <v>146</v>
      </c>
      <c r="K1350" t="s">
        <v>146</v>
      </c>
      <c r="L1350" t="s">
        <v>146</v>
      </c>
      <c r="M1350" t="s">
        <v>146</v>
      </c>
      <c r="N1350" t="s">
        <v>45</v>
      </c>
      <c r="O1350" t="s">
        <v>45</v>
      </c>
      <c r="P1350">
        <v>3</v>
      </c>
      <c r="Q1350" s="7">
        <v>46246</v>
      </c>
      <c r="R1350" s="7">
        <v>46246</v>
      </c>
      <c r="S1350" s="7">
        <v>46246</v>
      </c>
      <c r="T1350" t="s">
        <v>45</v>
      </c>
      <c r="V1350" t="s">
        <v>742</v>
      </c>
      <c r="W1350" t="s">
        <v>45</v>
      </c>
      <c r="X1350" t="s">
        <v>45</v>
      </c>
      <c r="Y1350" t="s">
        <v>45</v>
      </c>
      <c r="Z1350" t="s">
        <v>45</v>
      </c>
      <c r="AF1350">
        <v>2</v>
      </c>
      <c r="AH1350" t="s">
        <v>75</v>
      </c>
      <c r="AI1350">
        <v>1</v>
      </c>
      <c r="AJ1350" s="15"/>
      <c r="AL1350" s="16"/>
      <c r="AR1350" s="18" t="str">
        <f>IFERROR(VLOOKUP(K1350,[1]POP!$F:$J,1,0),M1350)</f>
        <v>KOLOFATA</v>
      </c>
      <c r="AS1350" s="18" t="str">
        <f t="shared" si="106"/>
        <v>KOLOFATA</v>
      </c>
      <c r="AT1350" s="19">
        <f t="shared" si="109"/>
        <v>2</v>
      </c>
      <c r="AU1350" s="19">
        <f t="shared" ca="1" si="108"/>
        <v>1</v>
      </c>
    </row>
    <row r="1351" spans="1:47" x14ac:dyDescent="0.3">
      <c r="A1351" t="s">
        <v>1959</v>
      </c>
      <c r="B1351" t="str">
        <f t="shared" si="105"/>
        <v>S33_2026</v>
      </c>
      <c r="C1351" t="str">
        <f t="shared" si="107"/>
        <v>S33_2026</v>
      </c>
      <c r="E1351" t="s">
        <v>143</v>
      </c>
      <c r="F1351">
        <v>13</v>
      </c>
      <c r="G1351" t="s">
        <v>40</v>
      </c>
      <c r="H1351" t="s">
        <v>1960</v>
      </c>
      <c r="I1351" t="s">
        <v>1952</v>
      </c>
      <c r="J1351" t="s">
        <v>146</v>
      </c>
      <c r="K1351" t="s">
        <v>146</v>
      </c>
      <c r="L1351" t="s">
        <v>146</v>
      </c>
      <c r="M1351" t="s">
        <v>146</v>
      </c>
      <c r="N1351" t="s">
        <v>45</v>
      </c>
      <c r="O1351" t="s">
        <v>45</v>
      </c>
      <c r="P1351">
        <v>3</v>
      </c>
      <c r="Q1351" s="7">
        <v>46246</v>
      </c>
      <c r="R1351" s="7">
        <v>46246</v>
      </c>
      <c r="S1351" s="7">
        <v>46246</v>
      </c>
      <c r="T1351" t="s">
        <v>45</v>
      </c>
      <c r="V1351" t="s">
        <v>742</v>
      </c>
      <c r="W1351" t="s">
        <v>45</v>
      </c>
      <c r="X1351" t="s">
        <v>45</v>
      </c>
      <c r="Y1351" t="s">
        <v>45</v>
      </c>
      <c r="Z1351" t="s">
        <v>45</v>
      </c>
      <c r="AF1351">
        <v>2</v>
      </c>
      <c r="AH1351" t="s">
        <v>75</v>
      </c>
      <c r="AI1351">
        <v>1</v>
      </c>
      <c r="AJ1351" s="15"/>
      <c r="AL1351" s="16"/>
      <c r="AR1351" s="18" t="str">
        <f>IFERROR(VLOOKUP(K1351,[1]POP!$F:$J,1,0),M1351)</f>
        <v>KOLOFATA</v>
      </c>
      <c r="AS1351" s="18" t="str">
        <f t="shared" si="106"/>
        <v>KOLOFATA</v>
      </c>
      <c r="AT1351" s="19">
        <f t="shared" si="109"/>
        <v>2</v>
      </c>
      <c r="AU1351" s="19">
        <f t="shared" ca="1" si="108"/>
        <v>1</v>
      </c>
    </row>
    <row r="1352" spans="1:47" x14ac:dyDescent="0.3">
      <c r="A1352" t="s">
        <v>1961</v>
      </c>
      <c r="B1352" t="str">
        <f t="shared" si="105"/>
        <v>S33_2026</v>
      </c>
      <c r="C1352" t="str">
        <f t="shared" si="107"/>
        <v>S33_2026</v>
      </c>
      <c r="E1352" t="s">
        <v>143</v>
      </c>
      <c r="F1352">
        <v>20</v>
      </c>
      <c r="G1352" t="s">
        <v>40</v>
      </c>
      <c r="H1352" t="s">
        <v>1924</v>
      </c>
      <c r="I1352" t="s">
        <v>1952</v>
      </c>
      <c r="J1352" t="s">
        <v>146</v>
      </c>
      <c r="K1352" t="s">
        <v>146</v>
      </c>
      <c r="L1352" t="s">
        <v>146</v>
      </c>
      <c r="M1352" t="s">
        <v>146</v>
      </c>
      <c r="N1352" t="s">
        <v>45</v>
      </c>
      <c r="O1352" t="s">
        <v>45</v>
      </c>
      <c r="P1352">
        <v>3</v>
      </c>
      <c r="Q1352" s="7">
        <v>46246</v>
      </c>
      <c r="R1352" s="7">
        <v>46246</v>
      </c>
      <c r="S1352" s="7">
        <v>46246</v>
      </c>
      <c r="T1352" t="s">
        <v>45</v>
      </c>
      <c r="V1352" t="s">
        <v>742</v>
      </c>
      <c r="W1352" t="s">
        <v>45</v>
      </c>
      <c r="X1352" t="s">
        <v>45</v>
      </c>
      <c r="Y1352" t="s">
        <v>45</v>
      </c>
      <c r="Z1352" t="s">
        <v>45</v>
      </c>
      <c r="AF1352">
        <v>2</v>
      </c>
      <c r="AH1352" t="s">
        <v>75</v>
      </c>
      <c r="AI1352">
        <v>1</v>
      </c>
      <c r="AJ1352" s="15"/>
      <c r="AL1352" s="16"/>
      <c r="AR1352" s="18" t="str">
        <f>IFERROR(VLOOKUP(K1352,[1]POP!$F:$J,1,0),M1352)</f>
        <v>KOLOFATA</v>
      </c>
      <c r="AS1352" s="18" t="str">
        <f t="shared" si="106"/>
        <v>KOLOFATA</v>
      </c>
      <c r="AT1352" s="19">
        <f t="shared" si="109"/>
        <v>2</v>
      </c>
      <c r="AU1352" s="19">
        <f t="shared" ca="1" si="108"/>
        <v>1</v>
      </c>
    </row>
    <row r="1353" spans="1:47" x14ac:dyDescent="0.3">
      <c r="A1353" t="s">
        <v>1962</v>
      </c>
      <c r="B1353" t="str">
        <f t="shared" si="105"/>
        <v>S33_2026</v>
      </c>
      <c r="C1353" t="str">
        <f t="shared" si="107"/>
        <v>S33_2026</v>
      </c>
      <c r="E1353" t="s">
        <v>143</v>
      </c>
      <c r="F1353">
        <v>10</v>
      </c>
      <c r="G1353" t="s">
        <v>40</v>
      </c>
      <c r="H1353" t="s">
        <v>111</v>
      </c>
      <c r="I1353" t="s">
        <v>1956</v>
      </c>
      <c r="J1353" t="s">
        <v>146</v>
      </c>
      <c r="K1353" t="s">
        <v>146</v>
      </c>
      <c r="L1353" t="s">
        <v>146</v>
      </c>
      <c r="M1353" t="s">
        <v>146</v>
      </c>
      <c r="N1353" t="s">
        <v>45</v>
      </c>
      <c r="O1353" t="s">
        <v>45</v>
      </c>
      <c r="P1353">
        <v>3</v>
      </c>
      <c r="Q1353" s="7">
        <v>46246</v>
      </c>
      <c r="R1353" s="7">
        <v>46246</v>
      </c>
      <c r="S1353" s="7">
        <v>46246</v>
      </c>
      <c r="T1353" t="s">
        <v>45</v>
      </c>
      <c r="V1353" t="s">
        <v>742</v>
      </c>
      <c r="W1353" t="s">
        <v>45</v>
      </c>
      <c r="X1353" t="s">
        <v>45</v>
      </c>
      <c r="Y1353" t="s">
        <v>45</v>
      </c>
      <c r="Z1353" t="s">
        <v>45</v>
      </c>
      <c r="AF1353">
        <v>2</v>
      </c>
      <c r="AH1353" t="s">
        <v>75</v>
      </c>
      <c r="AI1353">
        <v>1</v>
      </c>
      <c r="AJ1353" s="15"/>
      <c r="AL1353" s="16"/>
      <c r="AR1353" s="18" t="str">
        <f>IFERROR(VLOOKUP(K1353,[1]POP!$F:$J,1,0),M1353)</f>
        <v>KOLOFATA</v>
      </c>
      <c r="AS1353" s="18" t="str">
        <f t="shared" si="106"/>
        <v>KOLOFATA</v>
      </c>
      <c r="AT1353" s="19">
        <f t="shared" si="109"/>
        <v>2</v>
      </c>
      <c r="AU1353" s="19">
        <f t="shared" ca="1" si="108"/>
        <v>1</v>
      </c>
    </row>
    <row r="1354" spans="1:47" x14ac:dyDescent="0.3">
      <c r="A1354" t="s">
        <v>1963</v>
      </c>
      <c r="B1354" t="str">
        <f t="shared" si="105"/>
        <v>S33_2026</v>
      </c>
      <c r="C1354" t="str">
        <f t="shared" si="107"/>
        <v>S33_2026</v>
      </c>
      <c r="E1354" t="s">
        <v>143</v>
      </c>
      <c r="F1354">
        <v>10</v>
      </c>
      <c r="G1354" t="s">
        <v>55</v>
      </c>
      <c r="H1354" t="s">
        <v>111</v>
      </c>
      <c r="I1354" t="s">
        <v>1964</v>
      </c>
      <c r="J1354" t="s">
        <v>146</v>
      </c>
      <c r="K1354" t="s">
        <v>146</v>
      </c>
      <c r="L1354" t="s">
        <v>146</v>
      </c>
      <c r="M1354" t="s">
        <v>146</v>
      </c>
      <c r="N1354" t="s">
        <v>45</v>
      </c>
      <c r="O1354" t="s">
        <v>45</v>
      </c>
      <c r="P1354">
        <v>3</v>
      </c>
      <c r="Q1354" s="7">
        <v>46246</v>
      </c>
      <c r="R1354" s="7">
        <v>46246</v>
      </c>
      <c r="S1354" s="7">
        <v>46246</v>
      </c>
      <c r="T1354" t="s">
        <v>45</v>
      </c>
      <c r="V1354" t="s">
        <v>742</v>
      </c>
      <c r="W1354" t="s">
        <v>45</v>
      </c>
      <c r="X1354" t="s">
        <v>45</v>
      </c>
      <c r="Y1354" t="s">
        <v>45</v>
      </c>
      <c r="Z1354" t="s">
        <v>45</v>
      </c>
      <c r="AF1354">
        <v>2</v>
      </c>
      <c r="AH1354" t="s">
        <v>75</v>
      </c>
      <c r="AI1354">
        <v>1</v>
      </c>
      <c r="AJ1354" s="15"/>
      <c r="AL1354" s="16"/>
      <c r="AR1354" s="18" t="str">
        <f>IFERROR(VLOOKUP(K1354,[1]POP!$F:$J,1,0),M1354)</f>
        <v>KOLOFATA</v>
      </c>
      <c r="AS1354" s="18" t="str">
        <f t="shared" si="106"/>
        <v>KOLOFATA</v>
      </c>
      <c r="AT1354" s="19">
        <f t="shared" si="109"/>
        <v>2</v>
      </c>
      <c r="AU1354" s="19">
        <f t="shared" ca="1" si="108"/>
        <v>1</v>
      </c>
    </row>
    <row r="1355" spans="1:47" x14ac:dyDescent="0.3">
      <c r="A1355" t="s">
        <v>1965</v>
      </c>
      <c r="B1355" t="str">
        <f t="shared" si="105"/>
        <v>S33_2026</v>
      </c>
      <c r="C1355" t="str">
        <f t="shared" si="107"/>
        <v>S33_2026</v>
      </c>
      <c r="E1355" t="s">
        <v>143</v>
      </c>
      <c r="F1355">
        <v>9</v>
      </c>
      <c r="G1355" t="s">
        <v>55</v>
      </c>
      <c r="H1355" t="s">
        <v>111</v>
      </c>
      <c r="I1355" t="s">
        <v>1966</v>
      </c>
      <c r="J1355" t="s">
        <v>146</v>
      </c>
      <c r="K1355" t="s">
        <v>146</v>
      </c>
      <c r="L1355" t="s">
        <v>146</v>
      </c>
      <c r="M1355" t="s">
        <v>146</v>
      </c>
      <c r="N1355" t="s">
        <v>45</v>
      </c>
      <c r="O1355" t="s">
        <v>45</v>
      </c>
      <c r="P1355">
        <v>3</v>
      </c>
      <c r="Q1355" s="7">
        <v>46246</v>
      </c>
      <c r="R1355" s="7">
        <v>46246</v>
      </c>
      <c r="S1355" s="7">
        <v>46246</v>
      </c>
      <c r="T1355" t="s">
        <v>45</v>
      </c>
      <c r="V1355" t="s">
        <v>742</v>
      </c>
      <c r="W1355" t="s">
        <v>45</v>
      </c>
      <c r="X1355" t="s">
        <v>45</v>
      </c>
      <c r="Y1355" t="s">
        <v>45</v>
      </c>
      <c r="Z1355" t="s">
        <v>45</v>
      </c>
      <c r="AF1355">
        <v>2</v>
      </c>
      <c r="AH1355" t="s">
        <v>75</v>
      </c>
      <c r="AI1355">
        <v>1</v>
      </c>
      <c r="AJ1355" s="15"/>
      <c r="AL1355" s="16"/>
      <c r="AR1355" s="18" t="str">
        <f>IFERROR(VLOOKUP(K1355,[1]POP!$F:$J,1,0),M1355)</f>
        <v>KOLOFATA</v>
      </c>
      <c r="AS1355" s="18" t="str">
        <f t="shared" si="106"/>
        <v>KOLOFATA</v>
      </c>
      <c r="AT1355" s="19">
        <f t="shared" si="109"/>
        <v>2</v>
      </c>
      <c r="AU1355" s="19">
        <f t="shared" ca="1" si="108"/>
        <v>1</v>
      </c>
    </row>
    <row r="1356" spans="1:47" x14ac:dyDescent="0.3">
      <c r="A1356" t="s">
        <v>1967</v>
      </c>
      <c r="B1356" t="str">
        <f t="shared" si="105"/>
        <v>S33_2026</v>
      </c>
      <c r="C1356" t="str">
        <f t="shared" si="107"/>
        <v>S33_2026</v>
      </c>
      <c r="E1356" t="s">
        <v>143</v>
      </c>
      <c r="F1356">
        <v>1</v>
      </c>
      <c r="G1356" t="s">
        <v>40</v>
      </c>
      <c r="H1356" t="s">
        <v>111</v>
      </c>
      <c r="I1356" t="s">
        <v>1968</v>
      </c>
      <c r="J1356" t="s">
        <v>146</v>
      </c>
      <c r="K1356" t="s">
        <v>146</v>
      </c>
      <c r="L1356" t="s">
        <v>146</v>
      </c>
      <c r="M1356" t="s">
        <v>146</v>
      </c>
      <c r="N1356" t="s">
        <v>45</v>
      </c>
      <c r="O1356" t="s">
        <v>45</v>
      </c>
      <c r="P1356">
        <v>3</v>
      </c>
      <c r="Q1356" s="7">
        <v>46246</v>
      </c>
      <c r="R1356" s="7">
        <v>46246</v>
      </c>
      <c r="S1356" s="7">
        <v>46246</v>
      </c>
      <c r="T1356" t="s">
        <v>45</v>
      </c>
      <c r="V1356" t="s">
        <v>742</v>
      </c>
      <c r="W1356" t="s">
        <v>45</v>
      </c>
      <c r="X1356" t="s">
        <v>45</v>
      </c>
      <c r="Y1356" t="s">
        <v>45</v>
      </c>
      <c r="Z1356" t="s">
        <v>45</v>
      </c>
      <c r="AF1356">
        <v>2</v>
      </c>
      <c r="AH1356" t="s">
        <v>75</v>
      </c>
      <c r="AI1356">
        <v>1</v>
      </c>
      <c r="AJ1356" s="15"/>
      <c r="AL1356" s="16"/>
      <c r="AR1356" s="18" t="str">
        <f>IFERROR(VLOOKUP(K1356,[1]POP!$F:$J,1,0),M1356)</f>
        <v>KOLOFATA</v>
      </c>
      <c r="AS1356" s="18" t="str">
        <f t="shared" si="106"/>
        <v>KOLOFATA</v>
      </c>
      <c r="AT1356" s="19">
        <f t="shared" si="109"/>
        <v>2</v>
      </c>
      <c r="AU1356" s="19">
        <f t="shared" ca="1" si="108"/>
        <v>1</v>
      </c>
    </row>
    <row r="1357" spans="1:47" x14ac:dyDescent="0.3">
      <c r="A1357" t="s">
        <v>1969</v>
      </c>
      <c r="B1357" t="str">
        <f t="shared" si="105"/>
        <v>S33_2026</v>
      </c>
      <c r="C1357" t="str">
        <f t="shared" si="107"/>
        <v>S33_2026</v>
      </c>
      <c r="E1357" t="s">
        <v>143</v>
      </c>
      <c r="F1357">
        <v>20</v>
      </c>
      <c r="G1357" t="s">
        <v>40</v>
      </c>
      <c r="H1357" t="s">
        <v>111</v>
      </c>
      <c r="I1357" t="s">
        <v>1970</v>
      </c>
      <c r="J1357" t="s">
        <v>146</v>
      </c>
      <c r="K1357" t="s">
        <v>146</v>
      </c>
      <c r="L1357" t="s">
        <v>146</v>
      </c>
      <c r="M1357" t="s">
        <v>146</v>
      </c>
      <c r="N1357" t="s">
        <v>45</v>
      </c>
      <c r="O1357" t="s">
        <v>45</v>
      </c>
      <c r="P1357">
        <v>3</v>
      </c>
      <c r="Q1357" s="7">
        <v>46247</v>
      </c>
      <c r="R1357" s="7">
        <v>46247</v>
      </c>
      <c r="S1357" s="7">
        <v>46247</v>
      </c>
      <c r="T1357" t="s">
        <v>45</v>
      </c>
      <c r="V1357" t="s">
        <v>742</v>
      </c>
      <c r="W1357" t="s">
        <v>45</v>
      </c>
      <c r="X1357" t="s">
        <v>45</v>
      </c>
      <c r="Y1357" t="s">
        <v>45</v>
      </c>
      <c r="Z1357" t="s">
        <v>45</v>
      </c>
      <c r="AE1357" s="7">
        <v>46241</v>
      </c>
      <c r="AF1357">
        <v>2</v>
      </c>
      <c r="AH1357" t="s">
        <v>75</v>
      </c>
      <c r="AI1357">
        <v>1</v>
      </c>
      <c r="AJ1357" s="15"/>
      <c r="AL1357" s="16"/>
      <c r="AR1357" s="18" t="str">
        <f>IFERROR(VLOOKUP(K1357,[1]POP!$F:$J,1,0),M1357)</f>
        <v>KOLOFATA</v>
      </c>
      <c r="AS1357" s="18" t="str">
        <f t="shared" si="106"/>
        <v>KOLOFATA</v>
      </c>
      <c r="AT1357" s="19">
        <f t="shared" si="109"/>
        <v>2</v>
      </c>
      <c r="AU1357" s="19">
        <f t="shared" ca="1" si="108"/>
        <v>1</v>
      </c>
    </row>
    <row r="1358" spans="1:47" x14ac:dyDescent="0.3">
      <c r="A1358" t="s">
        <v>1971</v>
      </c>
      <c r="B1358" t="str">
        <f t="shared" si="105"/>
        <v>S33_2026</v>
      </c>
      <c r="C1358" t="str">
        <f t="shared" si="107"/>
        <v>S33_2026</v>
      </c>
      <c r="E1358" t="s">
        <v>143</v>
      </c>
      <c r="F1358">
        <v>40</v>
      </c>
      <c r="G1358" t="s">
        <v>40</v>
      </c>
      <c r="H1358" t="s">
        <v>457</v>
      </c>
      <c r="I1358" t="s">
        <v>1972</v>
      </c>
      <c r="J1358" t="s">
        <v>146</v>
      </c>
      <c r="K1358" t="s">
        <v>146</v>
      </c>
      <c r="L1358" t="s">
        <v>146</v>
      </c>
      <c r="M1358" t="s">
        <v>146</v>
      </c>
      <c r="N1358" t="s">
        <v>45</v>
      </c>
      <c r="O1358" t="s">
        <v>45</v>
      </c>
      <c r="P1358">
        <v>3</v>
      </c>
      <c r="Q1358" s="7">
        <v>46247</v>
      </c>
      <c r="R1358" s="7">
        <v>46247</v>
      </c>
      <c r="S1358" s="7">
        <v>46247</v>
      </c>
      <c r="T1358" t="s">
        <v>45</v>
      </c>
      <c r="V1358" t="s">
        <v>742</v>
      </c>
      <c r="W1358" t="s">
        <v>45</v>
      </c>
      <c r="X1358" t="s">
        <v>45</v>
      </c>
      <c r="Y1358" t="s">
        <v>45</v>
      </c>
      <c r="Z1358" t="s">
        <v>45</v>
      </c>
      <c r="AF1358">
        <v>2</v>
      </c>
      <c r="AH1358" t="s">
        <v>75</v>
      </c>
      <c r="AI1358">
        <v>1</v>
      </c>
      <c r="AJ1358" s="15"/>
      <c r="AL1358" s="16"/>
      <c r="AR1358" s="18" t="str">
        <f>IFERROR(VLOOKUP(K1358,[1]POP!$F:$J,1,0),M1358)</f>
        <v>KOLOFATA</v>
      </c>
      <c r="AS1358" s="18" t="str">
        <f t="shared" si="106"/>
        <v>KOLOFATA</v>
      </c>
      <c r="AT1358" s="19">
        <f t="shared" si="109"/>
        <v>2</v>
      </c>
      <c r="AU1358" s="19">
        <f t="shared" ca="1" si="108"/>
        <v>1</v>
      </c>
    </row>
    <row r="1359" spans="1:47" x14ac:dyDescent="0.3">
      <c r="A1359" t="s">
        <v>1973</v>
      </c>
      <c r="B1359" t="str">
        <f t="shared" si="105"/>
        <v>S33_2026</v>
      </c>
      <c r="C1359" t="str">
        <f t="shared" si="107"/>
        <v>S33_2026</v>
      </c>
      <c r="E1359" t="s">
        <v>143</v>
      </c>
      <c r="F1359">
        <v>1</v>
      </c>
      <c r="G1359" t="s">
        <v>40</v>
      </c>
      <c r="H1359" t="s">
        <v>111</v>
      </c>
      <c r="I1359" t="s">
        <v>1974</v>
      </c>
      <c r="J1359" t="s">
        <v>146</v>
      </c>
      <c r="K1359" t="s">
        <v>146</v>
      </c>
      <c r="L1359" t="s">
        <v>146</v>
      </c>
      <c r="M1359" t="s">
        <v>146</v>
      </c>
      <c r="N1359" t="s">
        <v>45</v>
      </c>
      <c r="O1359" t="s">
        <v>45</v>
      </c>
      <c r="P1359">
        <v>3</v>
      </c>
      <c r="Q1359" s="7">
        <v>46247</v>
      </c>
      <c r="R1359" s="7">
        <v>46247</v>
      </c>
      <c r="S1359" s="7">
        <v>46247</v>
      </c>
      <c r="T1359" t="s">
        <v>45</v>
      </c>
      <c r="V1359" t="s">
        <v>742</v>
      </c>
      <c r="W1359" t="s">
        <v>45</v>
      </c>
      <c r="X1359" t="s">
        <v>45</v>
      </c>
      <c r="Y1359" t="s">
        <v>45</v>
      </c>
      <c r="Z1359" t="s">
        <v>45</v>
      </c>
      <c r="AF1359">
        <v>2</v>
      </c>
      <c r="AH1359" t="s">
        <v>75</v>
      </c>
      <c r="AI1359">
        <v>1</v>
      </c>
      <c r="AJ1359" s="15"/>
      <c r="AL1359" s="16"/>
      <c r="AR1359" s="18" t="str">
        <f>IFERROR(VLOOKUP(K1359,[1]POP!$F:$J,1,0),M1359)</f>
        <v>KOLOFATA</v>
      </c>
      <c r="AS1359" s="18" t="str">
        <f t="shared" si="106"/>
        <v>KOLOFATA</v>
      </c>
      <c r="AT1359" s="19">
        <f t="shared" si="109"/>
        <v>2</v>
      </c>
      <c r="AU1359" s="19">
        <f t="shared" ca="1" si="108"/>
        <v>1</v>
      </c>
    </row>
    <row r="1360" spans="1:47" x14ac:dyDescent="0.3">
      <c r="A1360" t="s">
        <v>1975</v>
      </c>
      <c r="B1360" t="str">
        <f t="shared" si="105"/>
        <v>S33_2026</v>
      </c>
      <c r="C1360" t="str">
        <f t="shared" si="107"/>
        <v>S33_2026</v>
      </c>
      <c r="E1360" t="s">
        <v>143</v>
      </c>
      <c r="F1360">
        <v>20</v>
      </c>
      <c r="G1360" t="s">
        <v>40</v>
      </c>
      <c r="H1360" t="s">
        <v>111</v>
      </c>
      <c r="I1360" t="s">
        <v>1972</v>
      </c>
      <c r="J1360" t="s">
        <v>146</v>
      </c>
      <c r="K1360" t="s">
        <v>146</v>
      </c>
      <c r="L1360" t="s">
        <v>146</v>
      </c>
      <c r="M1360" t="s">
        <v>146</v>
      </c>
      <c r="N1360" t="s">
        <v>45</v>
      </c>
      <c r="O1360" t="s">
        <v>45</v>
      </c>
      <c r="P1360">
        <v>3</v>
      </c>
      <c r="Q1360" s="7">
        <v>46247</v>
      </c>
      <c r="R1360" s="7">
        <v>46247</v>
      </c>
      <c r="S1360" s="7">
        <v>46247</v>
      </c>
      <c r="T1360" t="s">
        <v>45</v>
      </c>
      <c r="V1360" t="s">
        <v>742</v>
      </c>
      <c r="W1360" t="s">
        <v>45</v>
      </c>
      <c r="X1360" t="s">
        <v>45</v>
      </c>
      <c r="Y1360" t="s">
        <v>45</v>
      </c>
      <c r="Z1360" t="s">
        <v>45</v>
      </c>
      <c r="AF1360">
        <v>2</v>
      </c>
      <c r="AH1360" t="s">
        <v>75</v>
      </c>
      <c r="AI1360">
        <v>1</v>
      </c>
      <c r="AJ1360" s="15"/>
      <c r="AL1360" s="16"/>
      <c r="AR1360" s="18" t="str">
        <f>IFERROR(VLOOKUP(K1360,[1]POP!$F:$J,1,0),M1360)</f>
        <v>KOLOFATA</v>
      </c>
      <c r="AS1360" s="18" t="str">
        <f t="shared" si="106"/>
        <v>KOLOFATA</v>
      </c>
      <c r="AT1360" s="19">
        <f t="shared" si="109"/>
        <v>2</v>
      </c>
      <c r="AU1360" s="19">
        <f t="shared" ca="1" si="108"/>
        <v>1</v>
      </c>
    </row>
    <row r="1361" spans="1:47" x14ac:dyDescent="0.3">
      <c r="A1361" t="s">
        <v>1976</v>
      </c>
      <c r="B1361" t="str">
        <f t="shared" si="105"/>
        <v>S33_2026</v>
      </c>
      <c r="C1361" t="str">
        <f t="shared" si="107"/>
        <v>S33_2026</v>
      </c>
      <c r="E1361" t="s">
        <v>143</v>
      </c>
      <c r="F1361">
        <v>8</v>
      </c>
      <c r="G1361" t="s">
        <v>55</v>
      </c>
      <c r="H1361" t="s">
        <v>111</v>
      </c>
      <c r="I1361" t="s">
        <v>1956</v>
      </c>
      <c r="J1361" t="s">
        <v>146</v>
      </c>
      <c r="K1361" t="s">
        <v>146</v>
      </c>
      <c r="L1361" t="s">
        <v>146</v>
      </c>
      <c r="M1361" t="s">
        <v>146</v>
      </c>
      <c r="N1361" t="s">
        <v>45</v>
      </c>
      <c r="O1361" t="s">
        <v>45</v>
      </c>
      <c r="P1361">
        <v>3</v>
      </c>
      <c r="Q1361" s="7">
        <v>46247</v>
      </c>
      <c r="R1361" s="7">
        <v>46247</v>
      </c>
      <c r="S1361" s="7">
        <v>46247</v>
      </c>
      <c r="T1361" t="s">
        <v>45</v>
      </c>
      <c r="V1361" t="s">
        <v>742</v>
      </c>
      <c r="W1361" t="s">
        <v>45</v>
      </c>
      <c r="X1361" t="s">
        <v>45</v>
      </c>
      <c r="Y1361" t="s">
        <v>45</v>
      </c>
      <c r="Z1361" t="s">
        <v>45</v>
      </c>
      <c r="AF1361">
        <v>2</v>
      </c>
      <c r="AH1361" t="s">
        <v>75</v>
      </c>
      <c r="AI1361">
        <v>1</v>
      </c>
      <c r="AJ1361" s="15"/>
      <c r="AL1361" s="16"/>
      <c r="AR1361" s="18" t="str">
        <f>IFERROR(VLOOKUP(K1361,[1]POP!$F:$J,1,0),M1361)</f>
        <v>KOLOFATA</v>
      </c>
      <c r="AS1361" s="18" t="str">
        <f t="shared" si="106"/>
        <v>KOLOFATA</v>
      </c>
      <c r="AT1361" s="19">
        <f t="shared" si="109"/>
        <v>2</v>
      </c>
      <c r="AU1361" s="19">
        <f t="shared" ca="1" si="108"/>
        <v>1</v>
      </c>
    </row>
    <row r="1362" spans="1:47" x14ac:dyDescent="0.3">
      <c r="A1362" t="s">
        <v>1977</v>
      </c>
      <c r="B1362" t="str">
        <f t="shared" si="105"/>
        <v>S33_2026</v>
      </c>
      <c r="C1362" t="str">
        <f t="shared" si="107"/>
        <v>S33_2026</v>
      </c>
      <c r="E1362" t="s">
        <v>143</v>
      </c>
      <c r="F1362">
        <v>25</v>
      </c>
      <c r="G1362" t="s">
        <v>40</v>
      </c>
      <c r="H1362" t="s">
        <v>1924</v>
      </c>
      <c r="I1362" t="s">
        <v>1956</v>
      </c>
      <c r="J1362" t="s">
        <v>146</v>
      </c>
      <c r="K1362" t="s">
        <v>146</v>
      </c>
      <c r="L1362" t="s">
        <v>146</v>
      </c>
      <c r="M1362" t="s">
        <v>146</v>
      </c>
      <c r="N1362" t="s">
        <v>45</v>
      </c>
      <c r="O1362" t="s">
        <v>45</v>
      </c>
      <c r="P1362">
        <v>3</v>
      </c>
      <c r="Q1362" s="7">
        <v>46247</v>
      </c>
      <c r="R1362" s="7">
        <v>46247</v>
      </c>
      <c r="S1362" s="7">
        <v>46247</v>
      </c>
      <c r="T1362" t="s">
        <v>45</v>
      </c>
      <c r="V1362" t="s">
        <v>742</v>
      </c>
      <c r="W1362" t="s">
        <v>45</v>
      </c>
      <c r="X1362" t="s">
        <v>45</v>
      </c>
      <c r="Y1362" t="s">
        <v>45</v>
      </c>
      <c r="Z1362" t="s">
        <v>45</v>
      </c>
      <c r="AF1362">
        <v>2</v>
      </c>
      <c r="AH1362" t="s">
        <v>75</v>
      </c>
      <c r="AI1362">
        <v>1</v>
      </c>
      <c r="AJ1362" s="15"/>
      <c r="AL1362" s="16"/>
      <c r="AR1362" s="18" t="str">
        <f>IFERROR(VLOOKUP(K1362,[1]POP!$F:$J,1,0),M1362)</f>
        <v>KOLOFATA</v>
      </c>
      <c r="AS1362" s="18" t="str">
        <f t="shared" si="106"/>
        <v>KOLOFATA</v>
      </c>
      <c r="AT1362" s="19">
        <f t="shared" si="109"/>
        <v>2</v>
      </c>
      <c r="AU1362" s="19">
        <f t="shared" ca="1" si="108"/>
        <v>1</v>
      </c>
    </row>
    <row r="1363" spans="1:47" x14ac:dyDescent="0.3">
      <c r="A1363" t="s">
        <v>1978</v>
      </c>
      <c r="B1363" t="str">
        <f t="shared" si="105"/>
        <v>S33_2026</v>
      </c>
      <c r="C1363" t="str">
        <f t="shared" si="107"/>
        <v>S33_2026</v>
      </c>
      <c r="E1363" t="s">
        <v>143</v>
      </c>
      <c r="F1363">
        <v>30</v>
      </c>
      <c r="G1363" t="s">
        <v>40</v>
      </c>
      <c r="H1363" t="s">
        <v>1924</v>
      </c>
      <c r="I1363" t="s">
        <v>1966</v>
      </c>
      <c r="J1363" t="s">
        <v>146</v>
      </c>
      <c r="K1363" t="s">
        <v>146</v>
      </c>
      <c r="L1363" t="s">
        <v>146</v>
      </c>
      <c r="M1363" t="s">
        <v>146</v>
      </c>
      <c r="N1363" t="s">
        <v>45</v>
      </c>
      <c r="O1363" t="s">
        <v>45</v>
      </c>
      <c r="P1363">
        <v>3</v>
      </c>
      <c r="Q1363" s="7">
        <v>46247</v>
      </c>
      <c r="R1363" s="7">
        <v>46247</v>
      </c>
      <c r="S1363" s="7">
        <v>46247</v>
      </c>
      <c r="T1363" t="s">
        <v>45</v>
      </c>
      <c r="V1363" t="s">
        <v>742</v>
      </c>
      <c r="W1363" t="s">
        <v>45</v>
      </c>
      <c r="X1363" t="s">
        <v>45</v>
      </c>
      <c r="Y1363" t="s">
        <v>45</v>
      </c>
      <c r="Z1363" t="s">
        <v>45</v>
      </c>
      <c r="AF1363">
        <v>2</v>
      </c>
      <c r="AH1363" t="s">
        <v>75</v>
      </c>
      <c r="AI1363">
        <v>1</v>
      </c>
      <c r="AJ1363" s="15"/>
      <c r="AL1363" s="16"/>
      <c r="AR1363" s="18" t="str">
        <f>IFERROR(VLOOKUP(K1363,[1]POP!$F:$J,1,0),M1363)</f>
        <v>KOLOFATA</v>
      </c>
      <c r="AS1363" s="18" t="str">
        <f t="shared" si="106"/>
        <v>KOLOFATA</v>
      </c>
      <c r="AT1363" s="19">
        <f t="shared" si="109"/>
        <v>2</v>
      </c>
      <c r="AU1363" s="19">
        <f t="shared" ca="1" si="108"/>
        <v>1</v>
      </c>
    </row>
    <row r="1364" spans="1:47" x14ac:dyDescent="0.3">
      <c r="A1364" t="s">
        <v>1979</v>
      </c>
      <c r="B1364" t="str">
        <f t="shared" si="105"/>
        <v>S33_2026</v>
      </c>
      <c r="C1364" t="str">
        <f t="shared" si="107"/>
        <v>S33_2026</v>
      </c>
      <c r="E1364" t="s">
        <v>143</v>
      </c>
      <c r="F1364">
        <v>5</v>
      </c>
      <c r="G1364" t="s">
        <v>55</v>
      </c>
      <c r="H1364" t="s">
        <v>111</v>
      </c>
      <c r="I1364" t="s">
        <v>1966</v>
      </c>
      <c r="J1364" t="s">
        <v>146</v>
      </c>
      <c r="K1364" t="s">
        <v>146</v>
      </c>
      <c r="L1364" t="s">
        <v>146</v>
      </c>
      <c r="M1364" t="s">
        <v>146</v>
      </c>
      <c r="N1364" t="s">
        <v>45</v>
      </c>
      <c r="O1364" t="s">
        <v>45</v>
      </c>
      <c r="P1364">
        <v>3</v>
      </c>
      <c r="Q1364" s="7">
        <v>46248</v>
      </c>
      <c r="R1364" s="7">
        <v>46248</v>
      </c>
      <c r="S1364" s="7">
        <v>46248</v>
      </c>
      <c r="T1364" t="s">
        <v>45</v>
      </c>
      <c r="V1364" t="s">
        <v>742</v>
      </c>
      <c r="W1364" t="s">
        <v>45</v>
      </c>
      <c r="X1364" t="s">
        <v>45</v>
      </c>
      <c r="Y1364" t="s">
        <v>45</v>
      </c>
      <c r="Z1364" t="s">
        <v>45</v>
      </c>
      <c r="AF1364">
        <v>2</v>
      </c>
      <c r="AH1364" t="s">
        <v>75</v>
      </c>
      <c r="AI1364">
        <v>1</v>
      </c>
      <c r="AJ1364" s="15"/>
      <c r="AL1364" s="16"/>
      <c r="AR1364" s="18" t="str">
        <f>IFERROR(VLOOKUP(K1364,[1]POP!$F:$J,1,0),M1364)</f>
        <v>KOLOFATA</v>
      </c>
      <c r="AS1364" s="18" t="str">
        <f t="shared" si="106"/>
        <v>KOLOFATA</v>
      </c>
      <c r="AT1364" s="19">
        <f t="shared" si="109"/>
        <v>2</v>
      </c>
      <c r="AU1364" s="19">
        <f t="shared" ca="1" si="108"/>
        <v>1</v>
      </c>
    </row>
    <row r="1365" spans="1:47" x14ac:dyDescent="0.3">
      <c r="A1365" t="s">
        <v>1980</v>
      </c>
      <c r="B1365" t="str">
        <f t="shared" si="105"/>
        <v>S33_2026</v>
      </c>
      <c r="C1365" t="str">
        <f t="shared" si="107"/>
        <v>S33_2026</v>
      </c>
      <c r="E1365" t="s">
        <v>143</v>
      </c>
      <c r="F1365">
        <v>4</v>
      </c>
      <c r="G1365" t="s">
        <v>55</v>
      </c>
      <c r="H1365" t="s">
        <v>111</v>
      </c>
      <c r="I1365" t="s">
        <v>1952</v>
      </c>
      <c r="J1365" t="s">
        <v>146</v>
      </c>
      <c r="K1365" t="s">
        <v>146</v>
      </c>
      <c r="L1365" t="s">
        <v>146</v>
      </c>
      <c r="M1365" t="s">
        <v>146</v>
      </c>
      <c r="N1365" t="s">
        <v>45</v>
      </c>
      <c r="O1365" t="s">
        <v>45</v>
      </c>
      <c r="P1365">
        <v>3</v>
      </c>
      <c r="Q1365" s="7">
        <v>46248</v>
      </c>
      <c r="R1365" s="7">
        <v>46248</v>
      </c>
      <c r="S1365" s="7">
        <v>46248</v>
      </c>
      <c r="T1365" t="s">
        <v>45</v>
      </c>
      <c r="V1365" t="s">
        <v>742</v>
      </c>
      <c r="W1365" t="s">
        <v>45</v>
      </c>
      <c r="X1365" t="s">
        <v>45</v>
      </c>
      <c r="Y1365" t="s">
        <v>45</v>
      </c>
      <c r="Z1365" t="s">
        <v>45</v>
      </c>
      <c r="AF1365">
        <v>2</v>
      </c>
      <c r="AH1365" t="s">
        <v>75</v>
      </c>
      <c r="AI1365">
        <v>1</v>
      </c>
      <c r="AJ1365" s="15"/>
      <c r="AL1365" s="16"/>
      <c r="AR1365" s="18" t="str">
        <f>IFERROR(VLOOKUP(K1365,[1]POP!$F:$J,1,0),M1365)</f>
        <v>KOLOFATA</v>
      </c>
      <c r="AS1365" s="18" t="str">
        <f t="shared" si="106"/>
        <v>KOLOFATA</v>
      </c>
      <c r="AT1365" s="19">
        <f t="shared" si="109"/>
        <v>2</v>
      </c>
      <c r="AU1365" s="19">
        <f t="shared" ca="1" si="108"/>
        <v>1</v>
      </c>
    </row>
    <row r="1366" spans="1:47" x14ac:dyDescent="0.3">
      <c r="A1366" t="s">
        <v>1981</v>
      </c>
      <c r="B1366" t="str">
        <f t="shared" si="105"/>
        <v>S33_2026</v>
      </c>
      <c r="C1366" t="str">
        <f t="shared" si="107"/>
        <v>S33_2026</v>
      </c>
      <c r="E1366" t="s">
        <v>143</v>
      </c>
      <c r="F1366">
        <v>10</v>
      </c>
      <c r="G1366" t="s">
        <v>40</v>
      </c>
      <c r="H1366" t="s">
        <v>111</v>
      </c>
      <c r="I1366" t="s">
        <v>1952</v>
      </c>
      <c r="J1366" t="s">
        <v>146</v>
      </c>
      <c r="K1366" t="s">
        <v>146</v>
      </c>
      <c r="L1366" t="s">
        <v>146</v>
      </c>
      <c r="M1366" t="s">
        <v>146</v>
      </c>
      <c r="N1366" t="s">
        <v>45</v>
      </c>
      <c r="O1366" t="s">
        <v>45</v>
      </c>
      <c r="P1366">
        <v>3</v>
      </c>
      <c r="Q1366" s="7">
        <v>46248</v>
      </c>
      <c r="R1366" s="7">
        <v>46248</v>
      </c>
      <c r="S1366" s="7">
        <v>46248</v>
      </c>
      <c r="T1366" t="s">
        <v>45</v>
      </c>
      <c r="V1366" t="s">
        <v>742</v>
      </c>
      <c r="W1366" t="s">
        <v>45</v>
      </c>
      <c r="X1366" t="s">
        <v>45</v>
      </c>
      <c r="Y1366" t="s">
        <v>45</v>
      </c>
      <c r="Z1366" t="s">
        <v>45</v>
      </c>
      <c r="AF1366">
        <v>2</v>
      </c>
      <c r="AH1366" t="s">
        <v>75</v>
      </c>
      <c r="AI1366">
        <v>1</v>
      </c>
      <c r="AJ1366" s="15"/>
      <c r="AL1366" s="16"/>
      <c r="AR1366" s="18" t="str">
        <f>IFERROR(VLOOKUP(K1366,[1]POP!$F:$J,1,0),M1366)</f>
        <v>KOLOFATA</v>
      </c>
      <c r="AS1366" s="18" t="str">
        <f t="shared" si="106"/>
        <v>KOLOFATA</v>
      </c>
      <c r="AT1366" s="19">
        <f t="shared" si="109"/>
        <v>2</v>
      </c>
      <c r="AU1366" s="19">
        <f t="shared" ca="1" si="108"/>
        <v>1</v>
      </c>
    </row>
    <row r="1367" spans="1:47" x14ac:dyDescent="0.3">
      <c r="A1367" t="s">
        <v>1982</v>
      </c>
      <c r="B1367" t="str">
        <f t="shared" si="105"/>
        <v>S33_2026</v>
      </c>
      <c r="C1367" t="str">
        <f t="shared" si="107"/>
        <v>S33_2026</v>
      </c>
      <c r="E1367" t="s">
        <v>143</v>
      </c>
      <c r="F1367">
        <v>2</v>
      </c>
      <c r="G1367" t="s">
        <v>55</v>
      </c>
      <c r="H1367" t="s">
        <v>111</v>
      </c>
      <c r="I1367" t="s">
        <v>1952</v>
      </c>
      <c r="J1367" t="s">
        <v>146</v>
      </c>
      <c r="K1367" t="s">
        <v>146</v>
      </c>
      <c r="L1367" t="s">
        <v>146</v>
      </c>
      <c r="M1367" t="s">
        <v>146</v>
      </c>
      <c r="N1367" t="s">
        <v>45</v>
      </c>
      <c r="O1367" t="s">
        <v>45</v>
      </c>
      <c r="P1367">
        <v>3</v>
      </c>
      <c r="Q1367" s="7">
        <v>46248</v>
      </c>
      <c r="R1367" s="7">
        <v>46248</v>
      </c>
      <c r="S1367" s="7">
        <v>46248</v>
      </c>
      <c r="T1367" t="s">
        <v>45</v>
      </c>
      <c r="V1367" t="s">
        <v>742</v>
      </c>
      <c r="W1367" t="s">
        <v>45</v>
      </c>
      <c r="X1367" t="s">
        <v>45</v>
      </c>
      <c r="Y1367" t="s">
        <v>45</v>
      </c>
      <c r="Z1367" t="s">
        <v>45</v>
      </c>
      <c r="AF1367">
        <v>2</v>
      </c>
      <c r="AH1367" t="s">
        <v>75</v>
      </c>
      <c r="AI1367">
        <v>1</v>
      </c>
      <c r="AJ1367" s="15"/>
      <c r="AL1367" s="16"/>
      <c r="AR1367" s="18" t="str">
        <f>IFERROR(VLOOKUP(K1367,[1]POP!$F:$J,1,0),M1367)</f>
        <v>KOLOFATA</v>
      </c>
      <c r="AS1367" s="18" t="str">
        <f t="shared" si="106"/>
        <v>KOLOFATA</v>
      </c>
      <c r="AT1367" s="19">
        <f t="shared" si="109"/>
        <v>2</v>
      </c>
      <c r="AU1367" s="19">
        <f t="shared" ca="1" si="108"/>
        <v>1</v>
      </c>
    </row>
    <row r="1368" spans="1:47" x14ac:dyDescent="0.3">
      <c r="A1368" t="s">
        <v>1983</v>
      </c>
      <c r="B1368" t="str">
        <f t="shared" si="105"/>
        <v>S33_2026</v>
      </c>
      <c r="C1368" t="str">
        <f t="shared" si="107"/>
        <v>S33_2026</v>
      </c>
      <c r="E1368" t="s">
        <v>143</v>
      </c>
      <c r="F1368">
        <v>0.66666666666666663</v>
      </c>
      <c r="G1368" t="s">
        <v>55</v>
      </c>
      <c r="H1368" t="s">
        <v>111</v>
      </c>
      <c r="I1368" t="s">
        <v>1966</v>
      </c>
      <c r="J1368" t="s">
        <v>146</v>
      </c>
      <c r="K1368" t="s">
        <v>146</v>
      </c>
      <c r="L1368" t="s">
        <v>146</v>
      </c>
      <c r="M1368" t="s">
        <v>146</v>
      </c>
      <c r="N1368" t="s">
        <v>45</v>
      </c>
      <c r="O1368" t="s">
        <v>45</v>
      </c>
      <c r="P1368">
        <v>3</v>
      </c>
      <c r="Q1368" s="7">
        <v>46248</v>
      </c>
      <c r="R1368" s="7">
        <v>46248</v>
      </c>
      <c r="S1368" s="7">
        <v>46248</v>
      </c>
      <c r="T1368" t="s">
        <v>45</v>
      </c>
      <c r="V1368" t="s">
        <v>742</v>
      </c>
      <c r="W1368" t="s">
        <v>45</v>
      </c>
      <c r="X1368" t="s">
        <v>45</v>
      </c>
      <c r="Y1368" t="s">
        <v>45</v>
      </c>
      <c r="Z1368" t="s">
        <v>45</v>
      </c>
      <c r="AF1368">
        <v>2</v>
      </c>
      <c r="AH1368" t="s">
        <v>75</v>
      </c>
      <c r="AI1368">
        <v>1</v>
      </c>
      <c r="AJ1368" s="15"/>
      <c r="AL1368" s="16"/>
      <c r="AR1368" s="18" t="str">
        <f>IFERROR(VLOOKUP(K1368,[1]POP!$F:$J,1,0),M1368)</f>
        <v>KOLOFATA</v>
      </c>
      <c r="AS1368" s="18" t="str">
        <f t="shared" si="106"/>
        <v>KOLOFATA</v>
      </c>
      <c r="AT1368" s="19">
        <f t="shared" si="109"/>
        <v>2</v>
      </c>
      <c r="AU1368" s="19">
        <f t="shared" ca="1" si="108"/>
        <v>1</v>
      </c>
    </row>
    <row r="1369" spans="1:47" x14ac:dyDescent="0.3">
      <c r="A1369" t="s">
        <v>1984</v>
      </c>
      <c r="B1369" t="str">
        <f t="shared" si="105"/>
        <v>S33_2026</v>
      </c>
      <c r="C1369" t="str">
        <f t="shared" si="107"/>
        <v>S33_2026</v>
      </c>
      <c r="E1369" t="s">
        <v>143</v>
      </c>
      <c r="F1369">
        <v>30</v>
      </c>
      <c r="G1369" t="s">
        <v>40</v>
      </c>
      <c r="H1369" t="s">
        <v>457</v>
      </c>
      <c r="I1369" t="s">
        <v>1966</v>
      </c>
      <c r="J1369" t="s">
        <v>146</v>
      </c>
      <c r="K1369" t="s">
        <v>146</v>
      </c>
      <c r="L1369" t="s">
        <v>146</v>
      </c>
      <c r="M1369" t="s">
        <v>146</v>
      </c>
      <c r="N1369" t="s">
        <v>45</v>
      </c>
      <c r="O1369" t="s">
        <v>45</v>
      </c>
      <c r="P1369">
        <v>3</v>
      </c>
      <c r="Q1369" s="7">
        <v>46248</v>
      </c>
      <c r="R1369" s="7">
        <v>46248</v>
      </c>
      <c r="S1369" s="7">
        <v>46248</v>
      </c>
      <c r="T1369" t="s">
        <v>45</v>
      </c>
      <c r="V1369" t="s">
        <v>742</v>
      </c>
      <c r="W1369" t="s">
        <v>45</v>
      </c>
      <c r="X1369" t="s">
        <v>45</v>
      </c>
      <c r="Y1369" t="s">
        <v>45</v>
      </c>
      <c r="Z1369" t="s">
        <v>45</v>
      </c>
      <c r="AF1369">
        <v>2</v>
      </c>
      <c r="AH1369" t="s">
        <v>75</v>
      </c>
      <c r="AI1369">
        <v>1</v>
      </c>
      <c r="AJ1369" s="15"/>
      <c r="AL1369" s="16"/>
      <c r="AR1369" s="18" t="str">
        <f>IFERROR(VLOOKUP(K1369,[1]POP!$F:$J,1,0),M1369)</f>
        <v>KOLOFATA</v>
      </c>
      <c r="AS1369" s="18" t="str">
        <f t="shared" si="106"/>
        <v>KOLOFATA</v>
      </c>
      <c r="AT1369" s="19">
        <f t="shared" si="109"/>
        <v>2</v>
      </c>
      <c r="AU1369" s="19">
        <f t="shared" ca="1" si="108"/>
        <v>1</v>
      </c>
    </row>
    <row r="1370" spans="1:47" x14ac:dyDescent="0.3">
      <c r="A1370" t="s">
        <v>1985</v>
      </c>
      <c r="B1370" t="str">
        <f t="shared" si="105"/>
        <v>S33_2026</v>
      </c>
      <c r="C1370" t="str">
        <f t="shared" si="107"/>
        <v>S33_2026</v>
      </c>
      <c r="E1370" t="s">
        <v>143</v>
      </c>
      <c r="F1370">
        <v>0.58333333333333337</v>
      </c>
      <c r="G1370" t="s">
        <v>40</v>
      </c>
      <c r="H1370" t="s">
        <v>111</v>
      </c>
      <c r="I1370" t="s">
        <v>1952</v>
      </c>
      <c r="J1370" t="s">
        <v>146</v>
      </c>
      <c r="K1370" t="s">
        <v>146</v>
      </c>
      <c r="L1370" t="s">
        <v>146</v>
      </c>
      <c r="M1370" t="s">
        <v>146</v>
      </c>
      <c r="N1370" t="s">
        <v>45</v>
      </c>
      <c r="O1370" t="s">
        <v>45</v>
      </c>
      <c r="P1370">
        <v>3</v>
      </c>
      <c r="Q1370" s="7">
        <v>46248</v>
      </c>
      <c r="R1370" s="7">
        <v>46248</v>
      </c>
      <c r="S1370" s="7">
        <v>46248</v>
      </c>
      <c r="T1370" t="s">
        <v>45</v>
      </c>
      <c r="V1370" t="s">
        <v>742</v>
      </c>
      <c r="W1370" t="s">
        <v>45</v>
      </c>
      <c r="X1370" t="s">
        <v>45</v>
      </c>
      <c r="Y1370" t="s">
        <v>45</v>
      </c>
      <c r="Z1370" t="s">
        <v>45</v>
      </c>
      <c r="AF1370">
        <v>2</v>
      </c>
      <c r="AH1370" t="s">
        <v>75</v>
      </c>
      <c r="AI1370">
        <v>1</v>
      </c>
      <c r="AJ1370" s="15"/>
      <c r="AL1370" s="16"/>
      <c r="AR1370" s="18" t="str">
        <f>IFERROR(VLOOKUP(K1370,[1]POP!$F:$J,1,0),M1370)</f>
        <v>KOLOFATA</v>
      </c>
      <c r="AS1370" s="18" t="str">
        <f t="shared" si="106"/>
        <v>KOLOFATA</v>
      </c>
      <c r="AT1370" s="19">
        <f t="shared" si="109"/>
        <v>2</v>
      </c>
      <c r="AU1370" s="19">
        <f t="shared" ca="1" si="108"/>
        <v>1</v>
      </c>
    </row>
    <row r="1371" spans="1:47" x14ac:dyDescent="0.3">
      <c r="A1371" t="s">
        <v>1986</v>
      </c>
      <c r="B1371" t="str">
        <f t="shared" si="105"/>
        <v>S33_2026</v>
      </c>
      <c r="C1371" t="str">
        <f t="shared" si="107"/>
        <v>S33_2026</v>
      </c>
      <c r="E1371" t="s">
        <v>143</v>
      </c>
      <c r="F1371">
        <v>3</v>
      </c>
      <c r="G1371" t="s">
        <v>40</v>
      </c>
      <c r="H1371" t="s">
        <v>111</v>
      </c>
      <c r="I1371" t="s">
        <v>1952</v>
      </c>
      <c r="J1371" t="s">
        <v>146</v>
      </c>
      <c r="K1371" t="s">
        <v>146</v>
      </c>
      <c r="L1371" t="s">
        <v>146</v>
      </c>
      <c r="M1371" t="s">
        <v>146</v>
      </c>
      <c r="N1371" t="s">
        <v>45</v>
      </c>
      <c r="O1371" t="s">
        <v>45</v>
      </c>
      <c r="P1371">
        <v>3</v>
      </c>
      <c r="Q1371" s="7">
        <v>46248</v>
      </c>
      <c r="R1371" s="7">
        <v>46248</v>
      </c>
      <c r="S1371" s="7">
        <v>46248</v>
      </c>
      <c r="T1371" t="s">
        <v>45</v>
      </c>
      <c r="V1371" t="s">
        <v>742</v>
      </c>
      <c r="W1371" t="s">
        <v>45</v>
      </c>
      <c r="X1371" t="s">
        <v>45</v>
      </c>
      <c r="Y1371" t="s">
        <v>45</v>
      </c>
      <c r="Z1371" t="s">
        <v>45</v>
      </c>
      <c r="AF1371">
        <v>2</v>
      </c>
      <c r="AH1371" t="s">
        <v>75</v>
      </c>
      <c r="AI1371">
        <v>1</v>
      </c>
      <c r="AJ1371" s="15"/>
      <c r="AL1371" s="16"/>
      <c r="AR1371" s="18" t="str">
        <f>IFERROR(VLOOKUP(K1371,[1]POP!$F:$J,1,0),M1371)</f>
        <v>KOLOFATA</v>
      </c>
      <c r="AS1371" s="18" t="str">
        <f t="shared" si="106"/>
        <v>KOLOFATA</v>
      </c>
      <c r="AT1371" s="19">
        <f t="shared" si="109"/>
        <v>2</v>
      </c>
      <c r="AU1371" s="19">
        <f t="shared" ca="1" si="108"/>
        <v>1</v>
      </c>
    </row>
    <row r="1372" spans="1:47" x14ac:dyDescent="0.3">
      <c r="A1372" t="s">
        <v>1987</v>
      </c>
      <c r="B1372" t="str">
        <f t="shared" si="105"/>
        <v>S33_2026</v>
      </c>
      <c r="C1372" t="str">
        <f t="shared" si="107"/>
        <v>S33_2026</v>
      </c>
      <c r="E1372" t="s">
        <v>143</v>
      </c>
      <c r="F1372">
        <v>40</v>
      </c>
      <c r="G1372" t="s">
        <v>40</v>
      </c>
      <c r="H1372" t="s">
        <v>1924</v>
      </c>
      <c r="I1372" t="s">
        <v>1952</v>
      </c>
      <c r="J1372" t="s">
        <v>146</v>
      </c>
      <c r="K1372" t="s">
        <v>146</v>
      </c>
      <c r="L1372" t="s">
        <v>146</v>
      </c>
      <c r="M1372" t="s">
        <v>146</v>
      </c>
      <c r="N1372" t="s">
        <v>45</v>
      </c>
      <c r="O1372" t="s">
        <v>45</v>
      </c>
      <c r="P1372">
        <v>3</v>
      </c>
      <c r="Q1372" s="7">
        <v>46248</v>
      </c>
      <c r="R1372" s="7">
        <v>46248</v>
      </c>
      <c r="S1372" s="7">
        <v>46248</v>
      </c>
      <c r="T1372" t="s">
        <v>45</v>
      </c>
      <c r="V1372" t="s">
        <v>742</v>
      </c>
      <c r="W1372" t="s">
        <v>45</v>
      </c>
      <c r="X1372" t="s">
        <v>45</v>
      </c>
      <c r="Y1372" t="s">
        <v>45</v>
      </c>
      <c r="Z1372" t="s">
        <v>45</v>
      </c>
      <c r="AF1372">
        <v>2</v>
      </c>
      <c r="AH1372" t="s">
        <v>75</v>
      </c>
      <c r="AI1372">
        <v>1</v>
      </c>
      <c r="AJ1372" s="15"/>
      <c r="AL1372" s="16"/>
      <c r="AR1372" s="18" t="str">
        <f>IFERROR(VLOOKUP(K1372,[1]POP!$F:$J,1,0),M1372)</f>
        <v>KOLOFATA</v>
      </c>
      <c r="AS1372" s="18" t="str">
        <f t="shared" si="106"/>
        <v>KOLOFATA</v>
      </c>
      <c r="AT1372" s="19">
        <f t="shared" si="109"/>
        <v>2</v>
      </c>
      <c r="AU1372" s="19">
        <f t="shared" ca="1" si="108"/>
        <v>1</v>
      </c>
    </row>
    <row r="1373" spans="1:47" x14ac:dyDescent="0.3">
      <c r="A1373" t="s">
        <v>1988</v>
      </c>
      <c r="B1373" t="str">
        <f t="shared" si="105"/>
        <v>S33_2026</v>
      </c>
      <c r="C1373" t="str">
        <f t="shared" si="107"/>
        <v>S33_2026</v>
      </c>
      <c r="E1373" t="s">
        <v>143</v>
      </c>
      <c r="F1373">
        <v>32</v>
      </c>
      <c r="G1373" t="s">
        <v>40</v>
      </c>
      <c r="H1373" t="s">
        <v>1924</v>
      </c>
      <c r="I1373" t="s">
        <v>1952</v>
      </c>
      <c r="J1373" t="s">
        <v>146</v>
      </c>
      <c r="K1373" t="s">
        <v>146</v>
      </c>
      <c r="L1373" t="s">
        <v>146</v>
      </c>
      <c r="M1373" t="s">
        <v>146</v>
      </c>
      <c r="N1373" t="s">
        <v>45</v>
      </c>
      <c r="O1373" t="s">
        <v>45</v>
      </c>
      <c r="P1373">
        <v>3</v>
      </c>
      <c r="Q1373" s="7">
        <v>46248</v>
      </c>
      <c r="R1373" s="7">
        <v>46248</v>
      </c>
      <c r="S1373" s="7">
        <v>46248</v>
      </c>
      <c r="T1373" t="s">
        <v>45</v>
      </c>
      <c r="V1373" t="s">
        <v>742</v>
      </c>
      <c r="W1373" t="s">
        <v>45</v>
      </c>
      <c r="X1373" t="s">
        <v>45</v>
      </c>
      <c r="Y1373" t="s">
        <v>45</v>
      </c>
      <c r="Z1373" t="s">
        <v>45</v>
      </c>
      <c r="AF1373">
        <v>2</v>
      </c>
      <c r="AH1373" t="s">
        <v>75</v>
      </c>
      <c r="AI1373">
        <v>1</v>
      </c>
      <c r="AJ1373" s="15"/>
      <c r="AL1373" s="16"/>
      <c r="AR1373" s="18" t="str">
        <f>IFERROR(VLOOKUP(K1373,[1]POP!$F:$J,1,0),M1373)</f>
        <v>KOLOFATA</v>
      </c>
      <c r="AS1373" s="18" t="str">
        <f t="shared" si="106"/>
        <v>KOLOFATA</v>
      </c>
      <c r="AT1373" s="19">
        <f t="shared" si="109"/>
        <v>2</v>
      </c>
      <c r="AU1373" s="19">
        <f t="shared" ca="1" si="108"/>
        <v>1</v>
      </c>
    </row>
    <row r="1374" spans="1:47" x14ac:dyDescent="0.3">
      <c r="A1374" t="s">
        <v>1989</v>
      </c>
      <c r="B1374" t="str">
        <f t="shared" si="105"/>
        <v>S33_2026</v>
      </c>
      <c r="C1374" t="str">
        <f t="shared" si="107"/>
        <v>S33_2026</v>
      </c>
      <c r="E1374" t="s">
        <v>143</v>
      </c>
      <c r="F1374">
        <v>15</v>
      </c>
      <c r="G1374" t="s">
        <v>55</v>
      </c>
      <c r="H1374" t="s">
        <v>111</v>
      </c>
      <c r="I1374" t="s">
        <v>1952</v>
      </c>
      <c r="J1374" t="s">
        <v>146</v>
      </c>
      <c r="K1374" t="s">
        <v>146</v>
      </c>
      <c r="L1374" t="s">
        <v>146</v>
      </c>
      <c r="M1374" t="s">
        <v>146</v>
      </c>
      <c r="N1374" t="s">
        <v>45</v>
      </c>
      <c r="O1374" t="s">
        <v>45</v>
      </c>
      <c r="P1374">
        <v>3</v>
      </c>
      <c r="Q1374" s="7">
        <v>46249</v>
      </c>
      <c r="R1374" s="7">
        <v>46249</v>
      </c>
      <c r="S1374" s="7">
        <v>46249</v>
      </c>
      <c r="T1374" t="s">
        <v>45</v>
      </c>
      <c r="V1374" t="s">
        <v>742</v>
      </c>
      <c r="W1374" t="s">
        <v>45</v>
      </c>
      <c r="X1374" t="s">
        <v>45</v>
      </c>
      <c r="Y1374" t="s">
        <v>45</v>
      </c>
      <c r="Z1374" t="s">
        <v>45</v>
      </c>
      <c r="AF1374">
        <v>2</v>
      </c>
      <c r="AH1374" t="s">
        <v>75</v>
      </c>
      <c r="AI1374">
        <v>1</v>
      </c>
      <c r="AJ1374" s="15"/>
      <c r="AL1374" s="16"/>
      <c r="AR1374" s="18" t="str">
        <f>IFERROR(VLOOKUP(K1374,[1]POP!$F:$J,1,0),M1374)</f>
        <v>KOLOFATA</v>
      </c>
      <c r="AS1374" s="18" t="str">
        <f t="shared" si="106"/>
        <v>KOLOFATA</v>
      </c>
      <c r="AT1374" s="19">
        <f t="shared" si="109"/>
        <v>2</v>
      </c>
      <c r="AU1374" s="19">
        <f t="shared" ca="1" si="108"/>
        <v>1</v>
      </c>
    </row>
    <row r="1375" spans="1:47" x14ac:dyDescent="0.3">
      <c r="A1375" t="s">
        <v>1990</v>
      </c>
      <c r="B1375" t="str">
        <f t="shared" si="105"/>
        <v>S33_2026</v>
      </c>
      <c r="C1375" t="str">
        <f t="shared" si="107"/>
        <v>S33_2026</v>
      </c>
      <c r="E1375" t="s">
        <v>143</v>
      </c>
      <c r="F1375">
        <v>30</v>
      </c>
      <c r="G1375" t="s">
        <v>55</v>
      </c>
      <c r="H1375" t="s">
        <v>457</v>
      </c>
      <c r="I1375" t="s">
        <v>1952</v>
      </c>
      <c r="J1375" t="s">
        <v>146</v>
      </c>
      <c r="K1375" t="s">
        <v>146</v>
      </c>
      <c r="L1375" t="s">
        <v>146</v>
      </c>
      <c r="M1375" t="s">
        <v>146</v>
      </c>
      <c r="N1375" t="s">
        <v>45</v>
      </c>
      <c r="O1375" t="s">
        <v>45</v>
      </c>
      <c r="P1375">
        <v>3</v>
      </c>
      <c r="Q1375" s="7">
        <v>46249</v>
      </c>
      <c r="R1375" s="7">
        <v>46249</v>
      </c>
      <c r="S1375" s="7">
        <v>46249</v>
      </c>
      <c r="T1375" t="s">
        <v>45</v>
      </c>
      <c r="V1375" t="s">
        <v>742</v>
      </c>
      <c r="W1375" t="s">
        <v>45</v>
      </c>
      <c r="X1375" t="s">
        <v>45</v>
      </c>
      <c r="Y1375" t="s">
        <v>45</v>
      </c>
      <c r="Z1375" t="s">
        <v>45</v>
      </c>
      <c r="AF1375">
        <v>2</v>
      </c>
      <c r="AH1375" t="s">
        <v>75</v>
      </c>
      <c r="AI1375">
        <v>1</v>
      </c>
      <c r="AJ1375" s="15"/>
      <c r="AL1375" s="16"/>
      <c r="AR1375" s="18" t="str">
        <f>IFERROR(VLOOKUP(K1375,[1]POP!$F:$J,1,0),M1375)</f>
        <v>KOLOFATA</v>
      </c>
      <c r="AS1375" s="18" t="str">
        <f t="shared" si="106"/>
        <v>KOLOFATA</v>
      </c>
      <c r="AT1375" s="19">
        <f t="shared" si="109"/>
        <v>2</v>
      </c>
      <c r="AU1375" s="19">
        <f t="shared" ca="1" si="108"/>
        <v>1</v>
      </c>
    </row>
    <row r="1376" spans="1:47" x14ac:dyDescent="0.3">
      <c r="A1376" t="s">
        <v>1991</v>
      </c>
      <c r="B1376" t="str">
        <f t="shared" si="105"/>
        <v>S33_2026</v>
      </c>
      <c r="C1376" t="str">
        <f t="shared" si="107"/>
        <v>S33_2026</v>
      </c>
      <c r="E1376" t="s">
        <v>143</v>
      </c>
      <c r="F1376">
        <v>7</v>
      </c>
      <c r="G1376" t="s">
        <v>40</v>
      </c>
      <c r="H1376" t="s">
        <v>111</v>
      </c>
      <c r="I1376" t="s">
        <v>1968</v>
      </c>
      <c r="J1376" t="s">
        <v>146</v>
      </c>
      <c r="K1376" t="s">
        <v>146</v>
      </c>
      <c r="L1376" t="s">
        <v>146</v>
      </c>
      <c r="M1376" t="s">
        <v>146</v>
      </c>
      <c r="N1376" t="s">
        <v>45</v>
      </c>
      <c r="O1376" t="s">
        <v>45</v>
      </c>
      <c r="P1376">
        <v>3</v>
      </c>
      <c r="Q1376" s="7">
        <v>46249</v>
      </c>
      <c r="R1376" s="7">
        <v>46249</v>
      </c>
      <c r="S1376" s="7">
        <v>46249</v>
      </c>
      <c r="T1376" t="s">
        <v>45</v>
      </c>
      <c r="V1376" t="s">
        <v>742</v>
      </c>
      <c r="W1376" t="s">
        <v>45</v>
      </c>
      <c r="X1376" t="s">
        <v>45</v>
      </c>
      <c r="Y1376" t="s">
        <v>45</v>
      </c>
      <c r="Z1376" t="s">
        <v>45</v>
      </c>
      <c r="AF1376">
        <v>2</v>
      </c>
      <c r="AH1376" t="s">
        <v>75</v>
      </c>
      <c r="AI1376">
        <v>1</v>
      </c>
      <c r="AJ1376" s="15"/>
      <c r="AL1376" s="16"/>
      <c r="AR1376" s="18" t="str">
        <f>IFERROR(VLOOKUP(K1376,[1]POP!$F:$J,1,0),M1376)</f>
        <v>KOLOFATA</v>
      </c>
      <c r="AS1376" s="18" t="str">
        <f t="shared" si="106"/>
        <v>KOLOFATA</v>
      </c>
      <c r="AT1376" s="19">
        <f t="shared" si="109"/>
        <v>2</v>
      </c>
      <c r="AU1376" s="19">
        <f t="shared" ca="1" si="108"/>
        <v>1</v>
      </c>
    </row>
    <row r="1377" spans="1:47" x14ac:dyDescent="0.3">
      <c r="A1377" t="s">
        <v>1992</v>
      </c>
      <c r="B1377" t="str">
        <f t="shared" si="105"/>
        <v>S33_2026</v>
      </c>
      <c r="C1377" t="str">
        <f t="shared" si="107"/>
        <v>S33_2026</v>
      </c>
      <c r="E1377" t="s">
        <v>143</v>
      </c>
      <c r="F1377">
        <v>9</v>
      </c>
      <c r="G1377" t="s">
        <v>55</v>
      </c>
      <c r="H1377" t="s">
        <v>111</v>
      </c>
      <c r="I1377" t="s">
        <v>1993</v>
      </c>
      <c r="J1377" t="s">
        <v>146</v>
      </c>
      <c r="K1377" t="s">
        <v>146</v>
      </c>
      <c r="L1377" t="s">
        <v>146</v>
      </c>
      <c r="M1377" t="s">
        <v>146</v>
      </c>
      <c r="N1377" t="s">
        <v>45</v>
      </c>
      <c r="O1377" t="s">
        <v>45</v>
      </c>
      <c r="P1377">
        <v>3</v>
      </c>
      <c r="Q1377" s="7">
        <v>46249</v>
      </c>
      <c r="R1377" s="7">
        <v>46249</v>
      </c>
      <c r="S1377" s="7">
        <v>46249</v>
      </c>
      <c r="T1377" t="s">
        <v>45</v>
      </c>
      <c r="V1377" t="s">
        <v>742</v>
      </c>
      <c r="W1377" t="s">
        <v>45</v>
      </c>
      <c r="X1377" t="s">
        <v>45</v>
      </c>
      <c r="Y1377" t="s">
        <v>45</v>
      </c>
      <c r="Z1377" t="s">
        <v>45</v>
      </c>
      <c r="AF1377">
        <v>3</v>
      </c>
      <c r="AH1377" t="s">
        <v>75</v>
      </c>
      <c r="AI1377">
        <v>2</v>
      </c>
      <c r="AJ1377" s="15"/>
      <c r="AL1377" s="16"/>
      <c r="AR1377" s="18" t="str">
        <f>IFERROR(VLOOKUP(K1377,[1]POP!$F:$J,1,0),M1377)</f>
        <v>KOLOFATA</v>
      </c>
      <c r="AS1377" s="18" t="str">
        <f t="shared" si="106"/>
        <v>KOLOFATA</v>
      </c>
      <c r="AT1377" s="19">
        <f t="shared" si="109"/>
        <v>3</v>
      </c>
      <c r="AU1377" s="19">
        <f t="shared" ca="1" si="108"/>
        <v>1</v>
      </c>
    </row>
    <row r="1378" spans="1:47" x14ac:dyDescent="0.3">
      <c r="A1378" t="s">
        <v>1994</v>
      </c>
      <c r="B1378" t="str">
        <f t="shared" si="105"/>
        <v>S33_2026</v>
      </c>
      <c r="C1378" t="str">
        <f t="shared" si="107"/>
        <v>S33_2026</v>
      </c>
      <c r="E1378" t="s">
        <v>143</v>
      </c>
      <c r="F1378">
        <v>0.66666666666666663</v>
      </c>
      <c r="G1378" t="s">
        <v>40</v>
      </c>
      <c r="H1378" t="s">
        <v>111</v>
      </c>
      <c r="I1378" t="s">
        <v>1995</v>
      </c>
      <c r="J1378" t="s">
        <v>146</v>
      </c>
      <c r="K1378" t="s">
        <v>146</v>
      </c>
      <c r="L1378" t="s">
        <v>146</v>
      </c>
      <c r="M1378" t="s">
        <v>146</v>
      </c>
      <c r="N1378" t="s">
        <v>45</v>
      </c>
      <c r="O1378" t="s">
        <v>45</v>
      </c>
      <c r="P1378">
        <v>3</v>
      </c>
      <c r="Q1378" s="7">
        <v>46249</v>
      </c>
      <c r="R1378" s="7">
        <v>46249</v>
      </c>
      <c r="S1378" s="7">
        <v>46249</v>
      </c>
      <c r="T1378" t="s">
        <v>45</v>
      </c>
      <c r="V1378" t="s">
        <v>742</v>
      </c>
      <c r="W1378" t="s">
        <v>45</v>
      </c>
      <c r="X1378" t="s">
        <v>45</v>
      </c>
      <c r="Y1378" t="s">
        <v>45</v>
      </c>
      <c r="Z1378" t="s">
        <v>45</v>
      </c>
      <c r="AF1378">
        <v>2</v>
      </c>
      <c r="AH1378" t="s">
        <v>75</v>
      </c>
      <c r="AI1378">
        <v>1</v>
      </c>
      <c r="AJ1378" s="15"/>
      <c r="AL1378" s="16"/>
      <c r="AR1378" s="18" t="str">
        <f>IFERROR(VLOOKUP(K1378,[1]POP!$F:$J,1,0),M1378)</f>
        <v>KOLOFATA</v>
      </c>
      <c r="AS1378" s="18" t="str">
        <f t="shared" si="106"/>
        <v>KOLOFATA</v>
      </c>
      <c r="AT1378" s="19">
        <f t="shared" si="109"/>
        <v>2</v>
      </c>
      <c r="AU1378" s="19">
        <f t="shared" ca="1" si="108"/>
        <v>1</v>
      </c>
    </row>
    <row r="1379" spans="1:47" x14ac:dyDescent="0.3">
      <c r="A1379" t="s">
        <v>1996</v>
      </c>
      <c r="B1379" t="str">
        <f t="shared" si="105"/>
        <v>S33_2026</v>
      </c>
      <c r="C1379" t="str">
        <f t="shared" si="107"/>
        <v>S33_2026</v>
      </c>
      <c r="E1379" t="s">
        <v>143</v>
      </c>
      <c r="F1379">
        <v>60</v>
      </c>
      <c r="G1379" t="s">
        <v>40</v>
      </c>
      <c r="H1379" t="s">
        <v>1924</v>
      </c>
      <c r="I1379" t="s">
        <v>1997</v>
      </c>
      <c r="J1379" t="s">
        <v>146</v>
      </c>
      <c r="K1379" t="s">
        <v>146</v>
      </c>
      <c r="L1379" t="s">
        <v>146</v>
      </c>
      <c r="M1379" t="s">
        <v>146</v>
      </c>
      <c r="N1379" t="s">
        <v>45</v>
      </c>
      <c r="O1379" t="s">
        <v>45</v>
      </c>
      <c r="P1379">
        <v>3</v>
      </c>
      <c r="Q1379" s="7">
        <v>46249</v>
      </c>
      <c r="R1379" s="7">
        <v>46249</v>
      </c>
      <c r="S1379" s="7">
        <v>46249</v>
      </c>
      <c r="T1379" t="s">
        <v>45</v>
      </c>
      <c r="V1379" t="s">
        <v>742</v>
      </c>
      <c r="W1379" t="s">
        <v>45</v>
      </c>
      <c r="X1379" t="s">
        <v>45</v>
      </c>
      <c r="Y1379" t="s">
        <v>45</v>
      </c>
      <c r="Z1379" t="s">
        <v>45</v>
      </c>
      <c r="AF1379">
        <v>2</v>
      </c>
      <c r="AH1379" t="s">
        <v>75</v>
      </c>
      <c r="AI1379">
        <v>1</v>
      </c>
      <c r="AJ1379" s="15"/>
      <c r="AL1379" s="16"/>
      <c r="AR1379" s="18" t="str">
        <f>IFERROR(VLOOKUP(K1379,[1]POP!$F:$J,1,0),M1379)</f>
        <v>KOLOFATA</v>
      </c>
      <c r="AS1379" s="18" t="str">
        <f t="shared" si="106"/>
        <v>KOLOFATA</v>
      </c>
      <c r="AT1379" s="19">
        <f t="shared" si="109"/>
        <v>2</v>
      </c>
      <c r="AU1379" s="19">
        <f t="shared" ca="1" si="108"/>
        <v>1</v>
      </c>
    </row>
    <row r="1380" spans="1:47" x14ac:dyDescent="0.3">
      <c r="A1380" t="s">
        <v>1998</v>
      </c>
      <c r="B1380" t="str">
        <f t="shared" si="105"/>
        <v>S33_2026</v>
      </c>
      <c r="C1380" t="str">
        <f t="shared" si="107"/>
        <v>S33_2026</v>
      </c>
      <c r="E1380" t="s">
        <v>143</v>
      </c>
      <c r="F1380">
        <v>5</v>
      </c>
      <c r="G1380" t="s">
        <v>40</v>
      </c>
      <c r="H1380" t="s">
        <v>111</v>
      </c>
      <c r="I1380" t="s">
        <v>1952</v>
      </c>
      <c r="J1380" t="s">
        <v>146</v>
      </c>
      <c r="K1380" t="s">
        <v>146</v>
      </c>
      <c r="L1380" t="s">
        <v>146</v>
      </c>
      <c r="M1380" t="s">
        <v>146</v>
      </c>
      <c r="N1380" t="s">
        <v>45</v>
      </c>
      <c r="O1380" t="s">
        <v>45</v>
      </c>
      <c r="P1380">
        <v>3</v>
      </c>
      <c r="Q1380" s="7">
        <v>46249</v>
      </c>
      <c r="R1380" s="7">
        <v>46249</v>
      </c>
      <c r="S1380" s="7">
        <v>46249</v>
      </c>
      <c r="T1380" t="s">
        <v>45</v>
      </c>
      <c r="V1380" t="s">
        <v>742</v>
      </c>
      <c r="W1380" t="s">
        <v>45</v>
      </c>
      <c r="X1380" t="s">
        <v>45</v>
      </c>
      <c r="Y1380" t="s">
        <v>45</v>
      </c>
      <c r="Z1380" t="s">
        <v>45</v>
      </c>
      <c r="AF1380">
        <v>2</v>
      </c>
      <c r="AH1380" t="s">
        <v>75</v>
      </c>
      <c r="AI1380">
        <v>1</v>
      </c>
      <c r="AJ1380" s="15"/>
      <c r="AL1380" s="16"/>
      <c r="AR1380" s="18" t="str">
        <f>IFERROR(VLOOKUP(K1380,[1]POP!$F:$J,1,0),M1380)</f>
        <v>KOLOFATA</v>
      </c>
      <c r="AS1380" s="18" t="str">
        <f t="shared" si="106"/>
        <v>KOLOFATA</v>
      </c>
      <c r="AT1380" s="19">
        <f t="shared" si="109"/>
        <v>2</v>
      </c>
      <c r="AU1380" s="19">
        <f t="shared" ca="1" si="108"/>
        <v>1</v>
      </c>
    </row>
    <row r="1381" spans="1:47" x14ac:dyDescent="0.3">
      <c r="A1381" t="s">
        <v>1999</v>
      </c>
      <c r="B1381" t="str">
        <f t="shared" si="105"/>
        <v>S33_2026</v>
      </c>
      <c r="C1381" t="str">
        <f t="shared" si="107"/>
        <v>S33_2026</v>
      </c>
      <c r="E1381" t="s">
        <v>143</v>
      </c>
      <c r="F1381">
        <v>10</v>
      </c>
      <c r="G1381" t="s">
        <v>55</v>
      </c>
      <c r="H1381" t="s">
        <v>111</v>
      </c>
      <c r="I1381" t="s">
        <v>1952</v>
      </c>
      <c r="J1381" t="s">
        <v>146</v>
      </c>
      <c r="K1381" t="s">
        <v>146</v>
      </c>
      <c r="L1381" t="s">
        <v>146</v>
      </c>
      <c r="M1381" t="s">
        <v>146</v>
      </c>
      <c r="N1381" t="s">
        <v>45</v>
      </c>
      <c r="O1381" t="s">
        <v>45</v>
      </c>
      <c r="P1381">
        <v>3</v>
      </c>
      <c r="Q1381" s="7">
        <v>46249</v>
      </c>
      <c r="R1381" s="7">
        <v>46249</v>
      </c>
      <c r="S1381" s="7">
        <v>46249</v>
      </c>
      <c r="T1381" t="s">
        <v>45</v>
      </c>
      <c r="V1381" t="s">
        <v>742</v>
      </c>
      <c r="W1381" t="s">
        <v>45</v>
      </c>
      <c r="X1381" t="s">
        <v>45</v>
      </c>
      <c r="Y1381" t="s">
        <v>45</v>
      </c>
      <c r="Z1381" t="s">
        <v>45</v>
      </c>
      <c r="AF1381">
        <v>2</v>
      </c>
      <c r="AH1381" t="s">
        <v>75</v>
      </c>
      <c r="AI1381">
        <v>1</v>
      </c>
      <c r="AJ1381" s="15"/>
      <c r="AL1381" s="16"/>
      <c r="AR1381" s="18" t="str">
        <f>IFERROR(VLOOKUP(K1381,[1]POP!$F:$J,1,0),M1381)</f>
        <v>KOLOFATA</v>
      </c>
      <c r="AS1381" s="18" t="str">
        <f t="shared" si="106"/>
        <v>KOLOFATA</v>
      </c>
      <c r="AT1381" s="19">
        <f t="shared" si="109"/>
        <v>2</v>
      </c>
      <c r="AU1381" s="19">
        <f t="shared" ca="1" si="108"/>
        <v>1</v>
      </c>
    </row>
    <row r="1382" spans="1:47" x14ac:dyDescent="0.3">
      <c r="A1382" t="s">
        <v>2000</v>
      </c>
      <c r="B1382" t="str">
        <f t="shared" si="105"/>
        <v>S33_2026</v>
      </c>
      <c r="C1382" t="str">
        <f t="shared" si="107"/>
        <v>S33_2026</v>
      </c>
      <c r="E1382" t="s">
        <v>143</v>
      </c>
      <c r="F1382">
        <v>40</v>
      </c>
      <c r="G1382" t="s">
        <v>40</v>
      </c>
      <c r="H1382" t="s">
        <v>1924</v>
      </c>
      <c r="I1382" t="s">
        <v>2001</v>
      </c>
      <c r="J1382" t="s">
        <v>146</v>
      </c>
      <c r="K1382" t="s">
        <v>146</v>
      </c>
      <c r="L1382" t="s">
        <v>146</v>
      </c>
      <c r="M1382" t="s">
        <v>146</v>
      </c>
      <c r="N1382" t="s">
        <v>45</v>
      </c>
      <c r="O1382" t="s">
        <v>45</v>
      </c>
      <c r="P1382">
        <v>3</v>
      </c>
      <c r="Q1382" s="7">
        <v>46249</v>
      </c>
      <c r="R1382" s="7">
        <v>46249</v>
      </c>
      <c r="S1382" s="7">
        <v>46249</v>
      </c>
      <c r="T1382" t="s">
        <v>45</v>
      </c>
      <c r="V1382" t="s">
        <v>742</v>
      </c>
      <c r="W1382" t="s">
        <v>45</v>
      </c>
      <c r="X1382" t="s">
        <v>45</v>
      </c>
      <c r="Y1382" t="s">
        <v>45</v>
      </c>
      <c r="Z1382" t="s">
        <v>45</v>
      </c>
      <c r="AF1382">
        <v>2</v>
      </c>
      <c r="AH1382" t="s">
        <v>75</v>
      </c>
      <c r="AI1382">
        <v>1</v>
      </c>
      <c r="AJ1382" s="15"/>
      <c r="AL1382" s="16"/>
      <c r="AR1382" s="18" t="str">
        <f>IFERROR(VLOOKUP(K1382,[1]POP!$F:$J,1,0),M1382)</f>
        <v>KOLOFATA</v>
      </c>
      <c r="AS1382" s="18" t="str">
        <f t="shared" si="106"/>
        <v>KOLOFATA</v>
      </c>
      <c r="AT1382" s="19">
        <f t="shared" si="109"/>
        <v>2</v>
      </c>
      <c r="AU1382" s="19">
        <f t="shared" ca="1" si="108"/>
        <v>1</v>
      </c>
    </row>
    <row r="1383" spans="1:47" x14ac:dyDescent="0.3">
      <c r="A1383" t="s">
        <v>2002</v>
      </c>
      <c r="B1383" t="str">
        <f t="shared" si="105"/>
        <v>S33_2026</v>
      </c>
      <c r="C1383" t="str">
        <f t="shared" si="107"/>
        <v>S33_2026</v>
      </c>
      <c r="E1383" t="s">
        <v>143</v>
      </c>
      <c r="F1383">
        <v>7</v>
      </c>
      <c r="G1383" t="s">
        <v>40</v>
      </c>
      <c r="H1383" t="s">
        <v>111</v>
      </c>
      <c r="I1383" t="s">
        <v>1952</v>
      </c>
      <c r="J1383" t="s">
        <v>146</v>
      </c>
      <c r="K1383" t="s">
        <v>146</v>
      </c>
      <c r="L1383" t="s">
        <v>146</v>
      </c>
      <c r="M1383" t="s">
        <v>146</v>
      </c>
      <c r="N1383" t="s">
        <v>45</v>
      </c>
      <c r="O1383" t="s">
        <v>45</v>
      </c>
      <c r="P1383">
        <v>3</v>
      </c>
      <c r="Q1383" s="7">
        <v>46250</v>
      </c>
      <c r="R1383" s="7">
        <v>46250</v>
      </c>
      <c r="S1383" s="7">
        <v>46250</v>
      </c>
      <c r="T1383" t="s">
        <v>45</v>
      </c>
      <c r="V1383" t="s">
        <v>742</v>
      </c>
      <c r="W1383" t="s">
        <v>45</v>
      </c>
      <c r="X1383" t="s">
        <v>45</v>
      </c>
      <c r="Y1383" t="s">
        <v>45</v>
      </c>
      <c r="Z1383" t="s">
        <v>45</v>
      </c>
      <c r="AF1383">
        <v>2</v>
      </c>
      <c r="AH1383" t="s">
        <v>75</v>
      </c>
      <c r="AI1383">
        <v>1</v>
      </c>
      <c r="AJ1383" s="15"/>
      <c r="AL1383" s="16"/>
      <c r="AR1383" s="18" t="str">
        <f>IFERROR(VLOOKUP(K1383,[1]POP!$F:$J,1,0),M1383)</f>
        <v>KOLOFATA</v>
      </c>
      <c r="AS1383" s="18" t="str">
        <f t="shared" si="106"/>
        <v>KOLOFATA</v>
      </c>
      <c r="AT1383" s="19">
        <f t="shared" si="109"/>
        <v>2</v>
      </c>
      <c r="AU1383" s="19">
        <f t="shared" ca="1" si="108"/>
        <v>1</v>
      </c>
    </row>
    <row r="1384" spans="1:47" x14ac:dyDescent="0.3">
      <c r="A1384" t="s">
        <v>2003</v>
      </c>
      <c r="B1384" t="str">
        <f t="shared" si="105"/>
        <v>S33_2026</v>
      </c>
      <c r="C1384" t="str">
        <f t="shared" si="107"/>
        <v>S33_2026</v>
      </c>
      <c r="E1384" t="s">
        <v>143</v>
      </c>
      <c r="F1384">
        <v>2</v>
      </c>
      <c r="G1384" t="s">
        <v>55</v>
      </c>
      <c r="H1384" t="s">
        <v>111</v>
      </c>
      <c r="I1384" t="s">
        <v>1956</v>
      </c>
      <c r="J1384" t="s">
        <v>146</v>
      </c>
      <c r="K1384" t="s">
        <v>146</v>
      </c>
      <c r="L1384" t="s">
        <v>146</v>
      </c>
      <c r="M1384" t="s">
        <v>146</v>
      </c>
      <c r="N1384" t="s">
        <v>45</v>
      </c>
      <c r="O1384" t="s">
        <v>45</v>
      </c>
      <c r="P1384">
        <v>3</v>
      </c>
      <c r="Q1384" s="7">
        <v>46250</v>
      </c>
      <c r="R1384" s="7">
        <v>46250</v>
      </c>
      <c r="S1384" s="7">
        <v>46250</v>
      </c>
      <c r="T1384" t="s">
        <v>45</v>
      </c>
      <c r="V1384" t="s">
        <v>742</v>
      </c>
      <c r="W1384" t="s">
        <v>45</v>
      </c>
      <c r="X1384" t="s">
        <v>45</v>
      </c>
      <c r="Y1384" t="s">
        <v>45</v>
      </c>
      <c r="Z1384" t="s">
        <v>45</v>
      </c>
      <c r="AF1384">
        <v>2</v>
      </c>
      <c r="AH1384" t="s">
        <v>75</v>
      </c>
      <c r="AI1384">
        <v>1</v>
      </c>
      <c r="AJ1384" s="15"/>
      <c r="AL1384" s="16"/>
      <c r="AR1384" s="18" t="str">
        <f>IFERROR(VLOOKUP(K1384,[1]POP!$F:$J,1,0),M1384)</f>
        <v>KOLOFATA</v>
      </c>
      <c r="AS1384" s="18" t="str">
        <f t="shared" si="106"/>
        <v>KOLOFATA</v>
      </c>
      <c r="AT1384" s="19">
        <f t="shared" si="109"/>
        <v>2</v>
      </c>
      <c r="AU1384" s="19">
        <f t="shared" ca="1" si="108"/>
        <v>1</v>
      </c>
    </row>
    <row r="1385" spans="1:47" x14ac:dyDescent="0.3">
      <c r="A1385" t="s">
        <v>2004</v>
      </c>
      <c r="B1385" t="str">
        <f t="shared" si="105"/>
        <v>S33_2026</v>
      </c>
      <c r="C1385" t="str">
        <f t="shared" si="107"/>
        <v>S33_2026</v>
      </c>
      <c r="E1385" t="s">
        <v>143</v>
      </c>
      <c r="F1385">
        <v>4</v>
      </c>
      <c r="G1385" t="s">
        <v>40</v>
      </c>
      <c r="H1385" t="s">
        <v>111</v>
      </c>
      <c r="I1385" t="s">
        <v>1952</v>
      </c>
      <c r="J1385" t="s">
        <v>146</v>
      </c>
      <c r="K1385" t="s">
        <v>146</v>
      </c>
      <c r="L1385" t="s">
        <v>146</v>
      </c>
      <c r="M1385" t="s">
        <v>146</v>
      </c>
      <c r="N1385" t="s">
        <v>45</v>
      </c>
      <c r="O1385" t="s">
        <v>45</v>
      </c>
      <c r="P1385">
        <v>3</v>
      </c>
      <c r="Q1385" s="7">
        <v>46250</v>
      </c>
      <c r="R1385" s="7">
        <v>46250</v>
      </c>
      <c r="S1385" s="7">
        <v>46250</v>
      </c>
      <c r="T1385" t="s">
        <v>45</v>
      </c>
      <c r="V1385" t="s">
        <v>742</v>
      </c>
      <c r="W1385" t="s">
        <v>45</v>
      </c>
      <c r="X1385" t="s">
        <v>45</v>
      </c>
      <c r="Y1385" t="s">
        <v>45</v>
      </c>
      <c r="Z1385" t="s">
        <v>45</v>
      </c>
      <c r="AF1385">
        <v>2</v>
      </c>
      <c r="AH1385" t="s">
        <v>75</v>
      </c>
      <c r="AI1385">
        <v>1</v>
      </c>
      <c r="AJ1385" s="15"/>
      <c r="AL1385" s="16"/>
      <c r="AR1385" s="18" t="str">
        <f>IFERROR(VLOOKUP(K1385,[1]POP!$F:$J,1,0),M1385)</f>
        <v>KOLOFATA</v>
      </c>
      <c r="AS1385" s="18" t="str">
        <f t="shared" si="106"/>
        <v>KOLOFATA</v>
      </c>
      <c r="AT1385" s="19">
        <f t="shared" si="109"/>
        <v>2</v>
      </c>
      <c r="AU1385" s="19">
        <f t="shared" ca="1" si="108"/>
        <v>1</v>
      </c>
    </row>
    <row r="1386" spans="1:47" x14ac:dyDescent="0.3">
      <c r="A1386" t="s">
        <v>2005</v>
      </c>
      <c r="B1386" t="str">
        <f t="shared" si="105"/>
        <v>S33_2026</v>
      </c>
      <c r="C1386" t="str">
        <f t="shared" si="107"/>
        <v>S33_2026</v>
      </c>
      <c r="E1386" t="s">
        <v>143</v>
      </c>
      <c r="F1386">
        <v>7</v>
      </c>
      <c r="G1386" t="s">
        <v>55</v>
      </c>
      <c r="H1386" t="s">
        <v>111</v>
      </c>
      <c r="I1386" t="s">
        <v>1954</v>
      </c>
      <c r="J1386" t="s">
        <v>146</v>
      </c>
      <c r="K1386" t="s">
        <v>146</v>
      </c>
      <c r="L1386" t="s">
        <v>146</v>
      </c>
      <c r="M1386" t="s">
        <v>146</v>
      </c>
      <c r="N1386" t="s">
        <v>45</v>
      </c>
      <c r="O1386" t="s">
        <v>45</v>
      </c>
      <c r="P1386">
        <v>3</v>
      </c>
      <c r="Q1386" s="7">
        <v>46250</v>
      </c>
      <c r="R1386" s="7">
        <v>46250</v>
      </c>
      <c r="S1386" s="7">
        <v>46250</v>
      </c>
      <c r="T1386" t="s">
        <v>45</v>
      </c>
      <c r="V1386" t="s">
        <v>742</v>
      </c>
      <c r="W1386" t="s">
        <v>45</v>
      </c>
      <c r="X1386" t="s">
        <v>45</v>
      </c>
      <c r="Y1386" t="s">
        <v>45</v>
      </c>
      <c r="Z1386" t="s">
        <v>45</v>
      </c>
      <c r="AE1386" s="7">
        <v>46257</v>
      </c>
      <c r="AF1386">
        <v>2</v>
      </c>
      <c r="AH1386" t="s">
        <v>75</v>
      </c>
      <c r="AI1386">
        <v>1</v>
      </c>
      <c r="AJ1386" s="15"/>
      <c r="AL1386" s="16"/>
      <c r="AR1386" s="18" t="str">
        <f>IFERROR(VLOOKUP(K1386,[1]POP!$F:$J,1,0),M1386)</f>
        <v>KOLOFATA</v>
      </c>
      <c r="AS1386" s="18" t="str">
        <f t="shared" si="106"/>
        <v>KOLOFATA</v>
      </c>
      <c r="AT1386" s="19">
        <f t="shared" si="109"/>
        <v>2</v>
      </c>
      <c r="AU1386" s="19">
        <f t="shared" ca="1" si="108"/>
        <v>1</v>
      </c>
    </row>
    <row r="1387" spans="1:47" x14ac:dyDescent="0.3">
      <c r="A1387" t="s">
        <v>2006</v>
      </c>
      <c r="B1387" t="str">
        <f t="shared" si="105"/>
        <v>S33_2026</v>
      </c>
      <c r="C1387" t="str">
        <f t="shared" si="107"/>
        <v>S33_2026</v>
      </c>
      <c r="E1387" t="s">
        <v>143</v>
      </c>
      <c r="F1387">
        <v>1</v>
      </c>
      <c r="G1387" t="s">
        <v>55</v>
      </c>
      <c r="H1387" t="s">
        <v>111</v>
      </c>
      <c r="I1387" t="s">
        <v>1997</v>
      </c>
      <c r="J1387" t="s">
        <v>146</v>
      </c>
      <c r="K1387" t="s">
        <v>146</v>
      </c>
      <c r="L1387" t="s">
        <v>146</v>
      </c>
      <c r="M1387" t="s">
        <v>146</v>
      </c>
      <c r="N1387" t="s">
        <v>45</v>
      </c>
      <c r="O1387" t="s">
        <v>45</v>
      </c>
      <c r="P1387">
        <v>3</v>
      </c>
      <c r="Q1387" s="7">
        <v>46250</v>
      </c>
      <c r="R1387" s="7">
        <v>46250</v>
      </c>
      <c r="S1387" s="7">
        <v>46250</v>
      </c>
      <c r="T1387" t="s">
        <v>45</v>
      </c>
      <c r="V1387" t="s">
        <v>742</v>
      </c>
      <c r="W1387" t="s">
        <v>45</v>
      </c>
      <c r="X1387" t="s">
        <v>45</v>
      </c>
      <c r="Y1387" t="s">
        <v>45</v>
      </c>
      <c r="Z1387" t="s">
        <v>45</v>
      </c>
      <c r="AF1387">
        <v>2</v>
      </c>
      <c r="AH1387" t="s">
        <v>75</v>
      </c>
      <c r="AI1387">
        <v>1</v>
      </c>
      <c r="AJ1387" s="15"/>
      <c r="AL1387" s="16"/>
      <c r="AR1387" s="18" t="str">
        <f>IFERROR(VLOOKUP(K1387,[1]POP!$F:$J,1,0),M1387)</f>
        <v>KOLOFATA</v>
      </c>
      <c r="AS1387" s="18" t="str">
        <f t="shared" si="106"/>
        <v>KOLOFATA</v>
      </c>
      <c r="AT1387" s="19">
        <f t="shared" si="109"/>
        <v>2</v>
      </c>
      <c r="AU1387" s="19">
        <f t="shared" ca="1" si="108"/>
        <v>1</v>
      </c>
    </row>
    <row r="1388" spans="1:47" x14ac:dyDescent="0.3">
      <c r="A1388" t="s">
        <v>2007</v>
      </c>
      <c r="B1388" t="str">
        <f t="shared" si="105"/>
        <v>S33_2026</v>
      </c>
      <c r="C1388" t="str">
        <f t="shared" si="107"/>
        <v>S33_2026</v>
      </c>
      <c r="E1388" t="s">
        <v>143</v>
      </c>
      <c r="F1388">
        <v>1.5</v>
      </c>
      <c r="G1388" t="s">
        <v>40</v>
      </c>
      <c r="H1388" t="s">
        <v>1924</v>
      </c>
      <c r="I1388" t="s">
        <v>2008</v>
      </c>
      <c r="J1388" t="s">
        <v>146</v>
      </c>
      <c r="K1388" t="s">
        <v>146</v>
      </c>
      <c r="L1388" t="s">
        <v>146</v>
      </c>
      <c r="M1388" t="s">
        <v>146</v>
      </c>
      <c r="N1388" t="s">
        <v>45</v>
      </c>
      <c r="O1388" t="s">
        <v>45</v>
      </c>
      <c r="P1388">
        <v>3</v>
      </c>
      <c r="Q1388" s="7">
        <v>46250</v>
      </c>
      <c r="R1388" s="7">
        <v>46250</v>
      </c>
      <c r="S1388" s="7">
        <v>46250</v>
      </c>
      <c r="T1388" t="s">
        <v>45</v>
      </c>
      <c r="V1388" t="s">
        <v>742</v>
      </c>
      <c r="W1388" t="s">
        <v>45</v>
      </c>
      <c r="X1388" t="s">
        <v>45</v>
      </c>
      <c r="Y1388" t="s">
        <v>45</v>
      </c>
      <c r="Z1388" t="s">
        <v>45</v>
      </c>
      <c r="AF1388">
        <v>2</v>
      </c>
      <c r="AH1388" t="s">
        <v>75</v>
      </c>
      <c r="AI1388">
        <v>1</v>
      </c>
      <c r="AJ1388" s="15"/>
      <c r="AL1388" s="16"/>
      <c r="AR1388" s="18" t="str">
        <f>IFERROR(VLOOKUP(K1388,[1]POP!$F:$J,1,0),M1388)</f>
        <v>KOLOFATA</v>
      </c>
      <c r="AS1388" s="18" t="str">
        <f t="shared" si="106"/>
        <v>KOLOFATA</v>
      </c>
      <c r="AT1388" s="19">
        <f t="shared" si="109"/>
        <v>2</v>
      </c>
      <c r="AU1388" s="19">
        <f t="shared" ca="1" si="108"/>
        <v>1</v>
      </c>
    </row>
    <row r="1389" spans="1:47" x14ac:dyDescent="0.3">
      <c r="A1389" t="s">
        <v>2009</v>
      </c>
      <c r="B1389" t="str">
        <f t="shared" si="105"/>
        <v>S33_2026</v>
      </c>
      <c r="C1389" t="str">
        <f t="shared" si="107"/>
        <v>S33_2026</v>
      </c>
      <c r="E1389" t="s">
        <v>143</v>
      </c>
      <c r="F1389">
        <v>1.5</v>
      </c>
      <c r="G1389" t="s">
        <v>40</v>
      </c>
      <c r="H1389" t="s">
        <v>111</v>
      </c>
      <c r="I1389" t="s">
        <v>2010</v>
      </c>
      <c r="J1389" t="s">
        <v>146</v>
      </c>
      <c r="K1389" t="s">
        <v>146</v>
      </c>
      <c r="L1389" t="s">
        <v>146</v>
      </c>
      <c r="M1389" t="s">
        <v>146</v>
      </c>
      <c r="N1389" t="s">
        <v>45</v>
      </c>
      <c r="O1389" t="s">
        <v>45</v>
      </c>
      <c r="P1389">
        <v>3</v>
      </c>
      <c r="Q1389" s="7">
        <v>46250</v>
      </c>
      <c r="R1389" s="7">
        <v>46250</v>
      </c>
      <c r="S1389" s="7">
        <v>46250</v>
      </c>
      <c r="T1389" t="s">
        <v>45</v>
      </c>
      <c r="V1389" t="s">
        <v>742</v>
      </c>
      <c r="W1389" t="s">
        <v>45</v>
      </c>
      <c r="X1389" t="s">
        <v>45</v>
      </c>
      <c r="Y1389" t="s">
        <v>45</v>
      </c>
      <c r="Z1389" t="s">
        <v>45</v>
      </c>
      <c r="AF1389">
        <v>2</v>
      </c>
      <c r="AH1389" t="s">
        <v>75</v>
      </c>
      <c r="AI1389">
        <v>1</v>
      </c>
      <c r="AJ1389" s="15"/>
      <c r="AL1389" s="16"/>
      <c r="AR1389" s="18" t="str">
        <f>IFERROR(VLOOKUP(K1389,[1]POP!$F:$J,1,0),M1389)</f>
        <v>KOLOFATA</v>
      </c>
      <c r="AS1389" s="18" t="str">
        <f t="shared" si="106"/>
        <v>KOLOFATA</v>
      </c>
      <c r="AT1389" s="19">
        <f t="shared" si="109"/>
        <v>2</v>
      </c>
      <c r="AU1389" s="19">
        <f t="shared" ca="1" si="108"/>
        <v>1</v>
      </c>
    </row>
    <row r="1390" spans="1:47" x14ac:dyDescent="0.3">
      <c r="A1390" t="s">
        <v>2011</v>
      </c>
      <c r="B1390" t="str">
        <f t="shared" si="105"/>
        <v>S33_2026</v>
      </c>
      <c r="C1390" t="str">
        <f t="shared" si="107"/>
        <v>S33_2026</v>
      </c>
      <c r="E1390" t="s">
        <v>143</v>
      </c>
      <c r="F1390">
        <v>20</v>
      </c>
      <c r="G1390" t="s">
        <v>40</v>
      </c>
      <c r="H1390" t="s">
        <v>1924</v>
      </c>
      <c r="I1390" t="s">
        <v>1952</v>
      </c>
      <c r="J1390" t="s">
        <v>146</v>
      </c>
      <c r="K1390" t="s">
        <v>146</v>
      </c>
      <c r="L1390" t="s">
        <v>146</v>
      </c>
      <c r="M1390" t="s">
        <v>146</v>
      </c>
      <c r="N1390" t="s">
        <v>45</v>
      </c>
      <c r="O1390" t="s">
        <v>45</v>
      </c>
      <c r="P1390">
        <v>3</v>
      </c>
      <c r="Q1390" s="7">
        <v>46250</v>
      </c>
      <c r="R1390" s="7">
        <v>46250</v>
      </c>
      <c r="S1390" s="7">
        <v>46250</v>
      </c>
      <c r="T1390" t="s">
        <v>45</v>
      </c>
      <c r="V1390" t="s">
        <v>742</v>
      </c>
      <c r="W1390" t="s">
        <v>45</v>
      </c>
      <c r="X1390" t="s">
        <v>45</v>
      </c>
      <c r="Y1390" t="s">
        <v>45</v>
      </c>
      <c r="Z1390" t="s">
        <v>45</v>
      </c>
      <c r="AF1390">
        <v>2</v>
      </c>
      <c r="AH1390" t="s">
        <v>75</v>
      </c>
      <c r="AI1390">
        <v>1</v>
      </c>
      <c r="AJ1390" s="15"/>
      <c r="AL1390" s="16"/>
      <c r="AR1390" s="18" t="str">
        <f>IFERROR(VLOOKUP(K1390,[1]POP!$F:$J,1,0),M1390)</f>
        <v>KOLOFATA</v>
      </c>
      <c r="AS1390" s="18" t="str">
        <f t="shared" si="106"/>
        <v>KOLOFATA</v>
      </c>
      <c r="AT1390" s="19">
        <f t="shared" si="109"/>
        <v>2</v>
      </c>
      <c r="AU1390" s="19">
        <f t="shared" ca="1" si="108"/>
        <v>1</v>
      </c>
    </row>
    <row r="1391" spans="1:47" x14ac:dyDescent="0.3">
      <c r="A1391" t="s">
        <v>2012</v>
      </c>
      <c r="B1391" t="str">
        <f t="shared" si="105"/>
        <v>S33_2026</v>
      </c>
      <c r="C1391" t="str">
        <f t="shared" si="107"/>
        <v>S33_2026</v>
      </c>
      <c r="E1391" t="s">
        <v>143</v>
      </c>
      <c r="F1391">
        <v>7</v>
      </c>
      <c r="G1391" t="s">
        <v>40</v>
      </c>
      <c r="H1391" t="s">
        <v>111</v>
      </c>
      <c r="I1391" t="s">
        <v>2013</v>
      </c>
      <c r="J1391" t="s">
        <v>146</v>
      </c>
      <c r="K1391" t="s">
        <v>146</v>
      </c>
      <c r="L1391" t="s">
        <v>146</v>
      </c>
      <c r="M1391" t="s">
        <v>146</v>
      </c>
      <c r="N1391" t="s">
        <v>45</v>
      </c>
      <c r="O1391" t="s">
        <v>45</v>
      </c>
      <c r="P1391">
        <v>3</v>
      </c>
      <c r="Q1391" s="7">
        <v>46250</v>
      </c>
      <c r="R1391" s="7">
        <v>46250</v>
      </c>
      <c r="S1391" s="7">
        <v>46250</v>
      </c>
      <c r="T1391" t="s">
        <v>45</v>
      </c>
      <c r="V1391" t="s">
        <v>742</v>
      </c>
      <c r="W1391" t="s">
        <v>45</v>
      </c>
      <c r="X1391" t="s">
        <v>45</v>
      </c>
      <c r="Y1391" t="s">
        <v>45</v>
      </c>
      <c r="Z1391" t="s">
        <v>45</v>
      </c>
      <c r="AF1391">
        <v>2</v>
      </c>
      <c r="AH1391" t="s">
        <v>75</v>
      </c>
      <c r="AI1391">
        <v>1</v>
      </c>
      <c r="AJ1391" s="15"/>
      <c r="AL1391" s="16"/>
      <c r="AR1391" s="18" t="str">
        <f>IFERROR(VLOOKUP(K1391,[1]POP!$F:$J,1,0),M1391)</f>
        <v>KOLOFATA</v>
      </c>
      <c r="AS1391" s="18" t="str">
        <f t="shared" si="106"/>
        <v>KOLOFATA</v>
      </c>
      <c r="AT1391" s="19">
        <f t="shared" si="109"/>
        <v>2</v>
      </c>
      <c r="AU1391" s="19">
        <f t="shared" ca="1" si="108"/>
        <v>1</v>
      </c>
    </row>
    <row r="1392" spans="1:47" x14ac:dyDescent="0.3">
      <c r="A1392" t="s">
        <v>2014</v>
      </c>
      <c r="B1392" t="str">
        <f t="shared" si="105"/>
        <v>S34_2026</v>
      </c>
      <c r="C1392" t="str">
        <f t="shared" si="107"/>
        <v>S33_2026</v>
      </c>
      <c r="F1392">
        <v>6</v>
      </c>
      <c r="G1392" t="s">
        <v>55</v>
      </c>
      <c r="I1392" t="s">
        <v>2015</v>
      </c>
      <c r="J1392" t="s">
        <v>1685</v>
      </c>
      <c r="K1392" t="s">
        <v>1008</v>
      </c>
      <c r="L1392" t="s">
        <v>1008</v>
      </c>
      <c r="M1392" t="s">
        <v>124</v>
      </c>
      <c r="N1392" t="s">
        <v>45</v>
      </c>
      <c r="O1392" t="s">
        <v>45</v>
      </c>
      <c r="P1392">
        <v>3</v>
      </c>
      <c r="Q1392" s="7">
        <v>46250</v>
      </c>
      <c r="R1392" s="7">
        <v>46251</v>
      </c>
      <c r="S1392" s="7">
        <v>46251</v>
      </c>
      <c r="T1392" t="s">
        <v>45</v>
      </c>
      <c r="V1392" t="s">
        <v>1009</v>
      </c>
      <c r="W1392" t="s">
        <v>45</v>
      </c>
      <c r="X1392" t="s">
        <v>45</v>
      </c>
      <c r="Y1392" t="s">
        <v>45</v>
      </c>
      <c r="Z1392" t="s">
        <v>45</v>
      </c>
      <c r="AF1392">
        <v>2</v>
      </c>
      <c r="AH1392" t="s">
        <v>75</v>
      </c>
      <c r="AI1392">
        <v>1</v>
      </c>
      <c r="AJ1392" s="15"/>
      <c r="AL1392" s="16"/>
      <c r="AR1392" s="18" t="str">
        <f>IFERROR(VLOOKUP(K1392,[1]POP!$F:$J,1,0),M1392)</f>
        <v>MADA</v>
      </c>
      <c r="AS1392" s="18" t="str">
        <f t="shared" si="106"/>
        <v>BLANGOUA</v>
      </c>
      <c r="AT1392" s="19">
        <f t="shared" si="109"/>
        <v>2</v>
      </c>
      <c r="AU1392" s="19">
        <f t="shared" ca="1" si="108"/>
        <v>1</v>
      </c>
    </row>
    <row r="1393" spans="1:47" x14ac:dyDescent="0.3">
      <c r="A1393" t="s">
        <v>2016</v>
      </c>
      <c r="B1393" t="str">
        <f t="shared" si="105"/>
        <v>S34_2026</v>
      </c>
      <c r="C1393" t="str">
        <f t="shared" si="107"/>
        <v>S33_2026</v>
      </c>
      <c r="F1393">
        <v>4</v>
      </c>
      <c r="G1393" t="s">
        <v>55</v>
      </c>
      <c r="I1393" t="s">
        <v>2015</v>
      </c>
      <c r="J1393" t="s">
        <v>1685</v>
      </c>
      <c r="K1393" t="s">
        <v>1008</v>
      </c>
      <c r="L1393" t="s">
        <v>1008</v>
      </c>
      <c r="M1393" t="s">
        <v>124</v>
      </c>
      <c r="N1393" t="s">
        <v>45</v>
      </c>
      <c r="O1393" t="s">
        <v>45</v>
      </c>
      <c r="P1393">
        <v>3</v>
      </c>
      <c r="Q1393" s="7">
        <v>46250</v>
      </c>
      <c r="R1393" s="7">
        <v>46251</v>
      </c>
      <c r="S1393" s="7">
        <v>46251</v>
      </c>
      <c r="T1393" t="s">
        <v>45</v>
      </c>
      <c r="V1393" t="s">
        <v>1009</v>
      </c>
      <c r="W1393" t="s">
        <v>45</v>
      </c>
      <c r="X1393" t="s">
        <v>45</v>
      </c>
      <c r="Y1393" t="s">
        <v>45</v>
      </c>
      <c r="Z1393" t="s">
        <v>45</v>
      </c>
      <c r="AF1393">
        <v>2</v>
      </c>
      <c r="AH1393" t="s">
        <v>75</v>
      </c>
      <c r="AI1393">
        <v>1</v>
      </c>
      <c r="AJ1393" s="15"/>
      <c r="AL1393" s="16"/>
      <c r="AR1393" s="18" t="str">
        <f>IFERROR(VLOOKUP(K1393,[1]POP!$F:$J,1,0),M1393)</f>
        <v>MADA</v>
      </c>
      <c r="AS1393" s="18" t="str">
        <f t="shared" si="106"/>
        <v>BLANGOUA</v>
      </c>
      <c r="AT1393" s="19">
        <f t="shared" si="109"/>
        <v>2</v>
      </c>
      <c r="AU1393" s="19">
        <f t="shared" ca="1" si="108"/>
        <v>1</v>
      </c>
    </row>
    <row r="1394" spans="1:47" x14ac:dyDescent="0.3">
      <c r="A1394" t="s">
        <v>2017</v>
      </c>
      <c r="B1394" t="str">
        <f t="shared" si="105"/>
        <v>S34_2026</v>
      </c>
      <c r="C1394" t="str">
        <f t="shared" si="107"/>
        <v>S34_2026</v>
      </c>
      <c r="F1394">
        <v>11</v>
      </c>
      <c r="G1394" t="s">
        <v>55</v>
      </c>
      <c r="H1394" t="s">
        <v>56</v>
      </c>
      <c r="I1394" t="s">
        <v>560</v>
      </c>
      <c r="J1394" t="s">
        <v>560</v>
      </c>
      <c r="K1394" t="s">
        <v>460</v>
      </c>
      <c r="L1394" t="s">
        <v>560</v>
      </c>
      <c r="M1394" t="s">
        <v>460</v>
      </c>
      <c r="N1394" t="s">
        <v>45</v>
      </c>
      <c r="O1394" t="s">
        <v>45</v>
      </c>
      <c r="P1394">
        <v>1</v>
      </c>
      <c r="Q1394" s="7">
        <v>46251</v>
      </c>
      <c r="R1394" s="7">
        <v>46251</v>
      </c>
      <c r="S1394" s="7">
        <v>46251</v>
      </c>
      <c r="T1394" t="s">
        <v>45</v>
      </c>
      <c r="V1394" t="s">
        <v>1079</v>
      </c>
      <c r="W1394" t="s">
        <v>45</v>
      </c>
      <c r="X1394" t="s">
        <v>45</v>
      </c>
      <c r="Y1394" t="s">
        <v>45</v>
      </c>
      <c r="Z1394" t="s">
        <v>45</v>
      </c>
      <c r="AA1394" s="7">
        <v>46252</v>
      </c>
      <c r="AB1394" t="s">
        <v>48</v>
      </c>
      <c r="AC1394" t="s">
        <v>74</v>
      </c>
      <c r="AF1394">
        <v>2</v>
      </c>
      <c r="AH1394" t="s">
        <v>75</v>
      </c>
      <c r="AI1394">
        <v>1</v>
      </c>
      <c r="AJ1394" s="15"/>
      <c r="AK1394" t="s">
        <v>86</v>
      </c>
      <c r="AL1394" s="16"/>
      <c r="AR1394" s="18" t="str">
        <f>IFERROR(VLOOKUP(K1394,[1]POP!$F:$J,1,0),M1394)</f>
        <v>KOUSSERI</v>
      </c>
      <c r="AS1394" s="18" t="str">
        <f t="shared" si="106"/>
        <v>MADANA</v>
      </c>
      <c r="AT1394" s="19">
        <f t="shared" si="109"/>
        <v>2</v>
      </c>
      <c r="AU1394" s="19">
        <f t="shared" ca="1" si="108"/>
        <v>1</v>
      </c>
    </row>
    <row r="1395" spans="1:47" x14ac:dyDescent="0.3">
      <c r="A1395" t="s">
        <v>2018</v>
      </c>
      <c r="B1395" t="str">
        <f t="shared" si="105"/>
        <v>S34_2026</v>
      </c>
      <c r="C1395" t="str">
        <f t="shared" si="107"/>
        <v>S34_2026</v>
      </c>
      <c r="E1395">
        <v>677767758</v>
      </c>
      <c r="F1395">
        <v>46</v>
      </c>
      <c r="G1395" t="s">
        <v>55</v>
      </c>
      <c r="H1395" t="s">
        <v>1117</v>
      </c>
      <c r="I1395" t="s">
        <v>2019</v>
      </c>
      <c r="J1395" t="s">
        <v>635</v>
      </c>
      <c r="K1395" t="s">
        <v>460</v>
      </c>
      <c r="L1395" t="s">
        <v>459</v>
      </c>
      <c r="M1395" t="s">
        <v>460</v>
      </c>
      <c r="N1395" t="s">
        <v>45</v>
      </c>
      <c r="O1395" t="s">
        <v>74</v>
      </c>
      <c r="P1395">
        <v>3</v>
      </c>
      <c r="Q1395" s="7">
        <v>46251</v>
      </c>
      <c r="R1395" s="7">
        <v>46251</v>
      </c>
      <c r="S1395" s="7">
        <v>46252</v>
      </c>
      <c r="T1395" t="s">
        <v>117</v>
      </c>
      <c r="V1395" t="s">
        <v>462</v>
      </c>
      <c r="W1395" t="s">
        <v>45</v>
      </c>
      <c r="X1395" t="s">
        <v>45</v>
      </c>
      <c r="Y1395" t="s">
        <v>45</v>
      </c>
      <c r="Z1395" t="s">
        <v>45</v>
      </c>
      <c r="AA1395" s="7">
        <v>46251</v>
      </c>
      <c r="AB1395" t="s">
        <v>48</v>
      </c>
      <c r="AC1395" t="s">
        <v>74</v>
      </c>
      <c r="AF1395">
        <v>2</v>
      </c>
      <c r="AH1395" t="s">
        <v>75</v>
      </c>
      <c r="AI1395">
        <v>1</v>
      </c>
      <c r="AJ1395" s="15"/>
      <c r="AK1395" t="s">
        <v>45</v>
      </c>
      <c r="AL1395" s="16"/>
      <c r="AR1395" s="18" t="str">
        <f>IFERROR(VLOOKUP(K1395,[1]POP!$F:$J,1,0),M1395)</f>
        <v>KOUSSERI</v>
      </c>
      <c r="AS1395" s="18" t="str">
        <f t="shared" si="106"/>
        <v>HILE-HAOUSSA</v>
      </c>
      <c r="AT1395" s="19">
        <f t="shared" si="109"/>
        <v>2</v>
      </c>
      <c r="AU1395" s="19">
        <f t="shared" ca="1" si="108"/>
        <v>1</v>
      </c>
    </row>
    <row r="1396" spans="1:47" x14ac:dyDescent="0.3">
      <c r="A1396" t="s">
        <v>2020</v>
      </c>
      <c r="B1396" t="str">
        <f t="shared" si="105"/>
        <v>S34_2026</v>
      </c>
      <c r="C1396" t="str">
        <f t="shared" si="107"/>
        <v>S34_2026</v>
      </c>
      <c r="E1396" t="s">
        <v>1868</v>
      </c>
      <c r="F1396">
        <v>2</v>
      </c>
      <c r="G1396" t="s">
        <v>40</v>
      </c>
      <c r="H1396" t="s">
        <v>85</v>
      </c>
      <c r="I1396" t="s">
        <v>1859</v>
      </c>
      <c r="J1396" t="s">
        <v>140</v>
      </c>
      <c r="K1396" t="s">
        <v>116</v>
      </c>
      <c r="L1396" t="s">
        <v>140</v>
      </c>
      <c r="M1396" t="s">
        <v>116</v>
      </c>
      <c r="N1396" t="s">
        <v>45</v>
      </c>
      <c r="O1396" t="s">
        <v>45</v>
      </c>
      <c r="P1396">
        <v>3</v>
      </c>
      <c r="Q1396" s="7">
        <v>46251</v>
      </c>
      <c r="R1396" s="7">
        <v>46251</v>
      </c>
      <c r="S1396" s="7">
        <v>46251</v>
      </c>
      <c r="T1396" t="s">
        <v>45</v>
      </c>
      <c r="V1396" t="s">
        <v>141</v>
      </c>
      <c r="W1396" t="s">
        <v>45</v>
      </c>
      <c r="X1396" t="s">
        <v>74</v>
      </c>
      <c r="Y1396" t="s">
        <v>45</v>
      </c>
      <c r="Z1396" t="s">
        <v>45</v>
      </c>
      <c r="AF1396">
        <v>2</v>
      </c>
      <c r="AH1396" t="s">
        <v>75</v>
      </c>
      <c r="AI1396">
        <v>1</v>
      </c>
      <c r="AJ1396" s="15"/>
      <c r="AK1396" t="s">
        <v>45</v>
      </c>
      <c r="AL1396" s="16"/>
      <c r="AR1396" s="18" t="str">
        <f>IFERROR(VLOOKUP(K1396,[1]POP!$F:$J,1,0),M1396)</f>
        <v>MAKARY</v>
      </c>
      <c r="AS1396" s="18" t="str">
        <f t="shared" si="106"/>
        <v>BIAMO</v>
      </c>
      <c r="AT1396" s="19">
        <f t="shared" si="109"/>
        <v>2</v>
      </c>
      <c r="AU1396" s="19">
        <f t="shared" ca="1" si="108"/>
        <v>1</v>
      </c>
    </row>
    <row r="1397" spans="1:47" x14ac:dyDescent="0.3">
      <c r="A1397" t="s">
        <v>2021</v>
      </c>
      <c r="B1397" t="str">
        <f t="shared" si="105"/>
        <v>S34_2026</v>
      </c>
      <c r="C1397" t="str">
        <f t="shared" si="107"/>
        <v>S34_2026</v>
      </c>
      <c r="E1397" t="s">
        <v>2022</v>
      </c>
      <c r="F1397">
        <v>22</v>
      </c>
      <c r="G1397" t="s">
        <v>40</v>
      </c>
      <c r="H1397" t="s">
        <v>1861</v>
      </c>
      <c r="I1397" t="s">
        <v>1859</v>
      </c>
      <c r="J1397" t="s">
        <v>140</v>
      </c>
      <c r="K1397" t="s">
        <v>116</v>
      </c>
      <c r="L1397" t="s">
        <v>140</v>
      </c>
      <c r="M1397" t="s">
        <v>116</v>
      </c>
      <c r="N1397" t="s">
        <v>45</v>
      </c>
      <c r="O1397" t="s">
        <v>45</v>
      </c>
      <c r="P1397">
        <v>3</v>
      </c>
      <c r="Q1397" s="7">
        <v>46251</v>
      </c>
      <c r="R1397" s="7">
        <v>46251</v>
      </c>
      <c r="S1397" s="7">
        <v>46251</v>
      </c>
      <c r="T1397" t="s">
        <v>45</v>
      </c>
      <c r="V1397" t="s">
        <v>141</v>
      </c>
      <c r="W1397" t="s">
        <v>45</v>
      </c>
      <c r="X1397" t="s">
        <v>74</v>
      </c>
      <c r="Y1397" t="s">
        <v>45</v>
      </c>
      <c r="Z1397" t="s">
        <v>45</v>
      </c>
      <c r="AF1397">
        <v>2</v>
      </c>
      <c r="AH1397" t="s">
        <v>75</v>
      </c>
      <c r="AI1397">
        <v>1</v>
      </c>
      <c r="AJ1397" s="15"/>
      <c r="AK1397" t="s">
        <v>45</v>
      </c>
      <c r="AL1397" s="16"/>
      <c r="AR1397" s="18" t="str">
        <f>IFERROR(VLOOKUP(K1397,[1]POP!$F:$J,1,0),M1397)</f>
        <v>MAKARY</v>
      </c>
      <c r="AS1397" s="18" t="str">
        <f t="shared" si="106"/>
        <v>BIAMO</v>
      </c>
      <c r="AT1397" s="19">
        <f t="shared" si="109"/>
        <v>2</v>
      </c>
      <c r="AU1397" s="19">
        <f t="shared" ca="1" si="108"/>
        <v>1</v>
      </c>
    </row>
    <row r="1398" spans="1:47" x14ac:dyDescent="0.3">
      <c r="A1398" t="s">
        <v>2023</v>
      </c>
      <c r="B1398" t="str">
        <f t="shared" si="105"/>
        <v>S34_2026</v>
      </c>
      <c r="C1398" t="str">
        <f t="shared" si="107"/>
        <v>S34_2026</v>
      </c>
      <c r="E1398" t="s">
        <v>1881</v>
      </c>
      <c r="F1398">
        <v>18</v>
      </c>
      <c r="G1398" t="s">
        <v>55</v>
      </c>
      <c r="H1398" t="s">
        <v>56</v>
      </c>
      <c r="I1398" t="s">
        <v>139</v>
      </c>
      <c r="J1398" t="s">
        <v>140</v>
      </c>
      <c r="K1398" t="s">
        <v>116</v>
      </c>
      <c r="L1398" t="s">
        <v>140</v>
      </c>
      <c r="M1398" t="s">
        <v>116</v>
      </c>
      <c r="N1398" t="s">
        <v>45</v>
      </c>
      <c r="O1398" t="s">
        <v>45</v>
      </c>
      <c r="P1398">
        <v>3</v>
      </c>
      <c r="Q1398" s="7">
        <v>46251</v>
      </c>
      <c r="R1398" s="7">
        <v>46251</v>
      </c>
      <c r="S1398" s="7">
        <v>46251</v>
      </c>
      <c r="T1398" t="s">
        <v>45</v>
      </c>
      <c r="V1398" t="s">
        <v>141</v>
      </c>
      <c r="W1398" t="s">
        <v>45</v>
      </c>
      <c r="X1398" t="s">
        <v>74</v>
      </c>
      <c r="Y1398" t="s">
        <v>45</v>
      </c>
      <c r="Z1398" t="s">
        <v>45</v>
      </c>
      <c r="AF1398">
        <v>2</v>
      </c>
      <c r="AH1398" t="s">
        <v>75</v>
      </c>
      <c r="AI1398">
        <v>1</v>
      </c>
      <c r="AJ1398" s="15"/>
      <c r="AK1398" t="s">
        <v>45</v>
      </c>
      <c r="AL1398" s="16"/>
      <c r="AR1398" s="18" t="str">
        <f>IFERROR(VLOOKUP(K1398,[1]POP!$F:$J,1,0),M1398)</f>
        <v>MAKARY</v>
      </c>
      <c r="AS1398" s="18" t="str">
        <f t="shared" si="106"/>
        <v>BIAMO</v>
      </c>
      <c r="AT1398" s="19">
        <f t="shared" si="109"/>
        <v>2</v>
      </c>
      <c r="AU1398" s="19">
        <f t="shared" ca="1" si="108"/>
        <v>1</v>
      </c>
    </row>
    <row r="1399" spans="1:47" x14ac:dyDescent="0.3">
      <c r="A1399" t="s">
        <v>2024</v>
      </c>
      <c r="B1399" t="str">
        <f t="shared" si="105"/>
        <v>S34_2026</v>
      </c>
      <c r="C1399" t="str">
        <f t="shared" si="107"/>
        <v>S34_2026</v>
      </c>
      <c r="E1399" t="s">
        <v>1870</v>
      </c>
      <c r="F1399">
        <v>41</v>
      </c>
      <c r="G1399" t="s">
        <v>40</v>
      </c>
      <c r="H1399" t="s">
        <v>1861</v>
      </c>
      <c r="I1399" t="s">
        <v>368</v>
      </c>
      <c r="J1399" t="s">
        <v>140</v>
      </c>
      <c r="K1399" t="s">
        <v>116</v>
      </c>
      <c r="L1399" t="s">
        <v>140</v>
      </c>
      <c r="M1399" t="s">
        <v>116</v>
      </c>
      <c r="N1399" t="s">
        <v>45</v>
      </c>
      <c r="O1399" t="s">
        <v>45</v>
      </c>
      <c r="P1399">
        <v>3</v>
      </c>
      <c r="Q1399" s="7">
        <v>46251</v>
      </c>
      <c r="R1399" s="7">
        <v>46251</v>
      </c>
      <c r="S1399" s="7">
        <v>46251</v>
      </c>
      <c r="T1399" t="s">
        <v>45</v>
      </c>
      <c r="V1399" t="s">
        <v>141</v>
      </c>
      <c r="W1399" t="s">
        <v>45</v>
      </c>
      <c r="X1399" t="s">
        <v>74</v>
      </c>
      <c r="Y1399" t="s">
        <v>45</v>
      </c>
      <c r="Z1399" t="s">
        <v>45</v>
      </c>
      <c r="AF1399">
        <v>2</v>
      </c>
      <c r="AH1399" t="s">
        <v>75</v>
      </c>
      <c r="AI1399">
        <v>1</v>
      </c>
      <c r="AJ1399" s="15"/>
      <c r="AK1399" t="s">
        <v>45</v>
      </c>
      <c r="AL1399" s="16"/>
      <c r="AR1399" s="18" t="str">
        <f>IFERROR(VLOOKUP(K1399,[1]POP!$F:$J,1,0),M1399)</f>
        <v>MAKARY</v>
      </c>
      <c r="AS1399" s="18" t="str">
        <f t="shared" si="106"/>
        <v>BIAMO</v>
      </c>
      <c r="AT1399" s="19">
        <f t="shared" si="109"/>
        <v>2</v>
      </c>
      <c r="AU1399" s="19">
        <f t="shared" ca="1" si="108"/>
        <v>1</v>
      </c>
    </row>
    <row r="1400" spans="1:47" x14ac:dyDescent="0.3">
      <c r="A1400" t="s">
        <v>2025</v>
      </c>
      <c r="B1400" t="str">
        <f t="shared" si="105"/>
        <v>S34_2026</v>
      </c>
      <c r="C1400" t="str">
        <f t="shared" si="107"/>
        <v>S34_2026</v>
      </c>
      <c r="E1400" t="s">
        <v>1868</v>
      </c>
      <c r="F1400">
        <v>2</v>
      </c>
      <c r="G1400" t="s">
        <v>55</v>
      </c>
      <c r="H1400" t="s">
        <v>85</v>
      </c>
      <c r="I1400" t="s">
        <v>1859</v>
      </c>
      <c r="J1400" t="s">
        <v>140</v>
      </c>
      <c r="K1400" t="s">
        <v>116</v>
      </c>
      <c r="L1400" t="s">
        <v>140</v>
      </c>
      <c r="M1400" t="s">
        <v>116</v>
      </c>
      <c r="N1400" t="s">
        <v>45</v>
      </c>
      <c r="O1400" t="s">
        <v>45</v>
      </c>
      <c r="P1400">
        <v>3</v>
      </c>
      <c r="Q1400" s="7">
        <v>46251</v>
      </c>
      <c r="R1400" s="7">
        <v>46251</v>
      </c>
      <c r="S1400" s="7">
        <v>46251</v>
      </c>
      <c r="T1400" t="s">
        <v>45</v>
      </c>
      <c r="V1400" t="s">
        <v>141</v>
      </c>
      <c r="W1400" t="s">
        <v>45</v>
      </c>
      <c r="X1400" t="s">
        <v>74</v>
      </c>
      <c r="Y1400" t="s">
        <v>45</v>
      </c>
      <c r="Z1400" t="s">
        <v>45</v>
      </c>
      <c r="AF1400">
        <v>2</v>
      </c>
      <c r="AH1400" t="s">
        <v>75</v>
      </c>
      <c r="AI1400">
        <v>1</v>
      </c>
      <c r="AJ1400" s="15"/>
      <c r="AK1400" t="s">
        <v>45</v>
      </c>
      <c r="AL1400" s="16"/>
      <c r="AR1400" s="18" t="str">
        <f>IFERROR(VLOOKUP(K1400,[1]POP!$F:$J,1,0),M1400)</f>
        <v>MAKARY</v>
      </c>
      <c r="AS1400" s="18" t="str">
        <f t="shared" si="106"/>
        <v>BIAMO</v>
      </c>
      <c r="AT1400" s="19">
        <f t="shared" si="109"/>
        <v>2</v>
      </c>
      <c r="AU1400" s="19">
        <f t="shared" ca="1" si="108"/>
        <v>1</v>
      </c>
    </row>
    <row r="1401" spans="1:47" x14ac:dyDescent="0.3">
      <c r="A1401" t="s">
        <v>2026</v>
      </c>
      <c r="B1401" t="str">
        <f t="shared" si="105"/>
        <v>S34_2026</v>
      </c>
      <c r="C1401" t="str">
        <f t="shared" si="107"/>
        <v>S34_2026</v>
      </c>
      <c r="E1401" t="s">
        <v>1870</v>
      </c>
      <c r="F1401">
        <v>35</v>
      </c>
      <c r="G1401" t="s">
        <v>55</v>
      </c>
      <c r="H1401" t="s">
        <v>70</v>
      </c>
      <c r="I1401" t="s">
        <v>368</v>
      </c>
      <c r="J1401" t="s">
        <v>140</v>
      </c>
      <c r="K1401" t="s">
        <v>116</v>
      </c>
      <c r="L1401" t="s">
        <v>140</v>
      </c>
      <c r="M1401" t="s">
        <v>116</v>
      </c>
      <c r="N1401" t="s">
        <v>45</v>
      </c>
      <c r="O1401" t="s">
        <v>45</v>
      </c>
      <c r="P1401">
        <v>3</v>
      </c>
      <c r="Q1401" s="7">
        <v>46251</v>
      </c>
      <c r="R1401" s="7">
        <v>46252</v>
      </c>
      <c r="S1401" s="7">
        <v>46252</v>
      </c>
      <c r="T1401" t="s">
        <v>45</v>
      </c>
      <c r="V1401" t="s">
        <v>141</v>
      </c>
      <c r="W1401" t="s">
        <v>45</v>
      </c>
      <c r="X1401" t="s">
        <v>74</v>
      </c>
      <c r="Y1401" t="s">
        <v>45</v>
      </c>
      <c r="Z1401" t="s">
        <v>45</v>
      </c>
      <c r="AF1401">
        <v>2</v>
      </c>
      <c r="AH1401" t="s">
        <v>75</v>
      </c>
      <c r="AI1401">
        <v>1</v>
      </c>
      <c r="AJ1401" s="15"/>
      <c r="AK1401" t="s">
        <v>45</v>
      </c>
      <c r="AL1401" s="16"/>
      <c r="AR1401" s="18" t="str">
        <f>IFERROR(VLOOKUP(K1401,[1]POP!$F:$J,1,0),M1401)</f>
        <v>MAKARY</v>
      </c>
      <c r="AS1401" s="18" t="str">
        <f t="shared" si="106"/>
        <v>BIAMO</v>
      </c>
      <c r="AT1401" s="19">
        <f t="shared" si="109"/>
        <v>2</v>
      </c>
      <c r="AU1401" s="19">
        <f t="shared" ca="1" si="108"/>
        <v>1</v>
      </c>
    </row>
    <row r="1402" spans="1:47" x14ac:dyDescent="0.3">
      <c r="A1402" t="s">
        <v>2027</v>
      </c>
      <c r="B1402" t="str">
        <f t="shared" si="105"/>
        <v>S34_2026</v>
      </c>
      <c r="C1402" t="str">
        <f t="shared" si="107"/>
        <v>S34_2026</v>
      </c>
      <c r="E1402" t="s">
        <v>1870</v>
      </c>
      <c r="F1402">
        <v>2</v>
      </c>
      <c r="G1402" t="s">
        <v>55</v>
      </c>
      <c r="H1402" t="s">
        <v>85</v>
      </c>
      <c r="I1402" t="s">
        <v>368</v>
      </c>
      <c r="J1402" t="s">
        <v>140</v>
      </c>
      <c r="K1402" t="s">
        <v>116</v>
      </c>
      <c r="L1402" t="s">
        <v>140</v>
      </c>
      <c r="M1402" t="s">
        <v>116</v>
      </c>
      <c r="N1402" t="s">
        <v>45</v>
      </c>
      <c r="O1402" t="s">
        <v>45</v>
      </c>
      <c r="P1402">
        <v>3</v>
      </c>
      <c r="Q1402" s="7">
        <v>46251</v>
      </c>
      <c r="R1402" s="7">
        <v>46252</v>
      </c>
      <c r="S1402" s="7">
        <v>46252</v>
      </c>
      <c r="T1402" t="s">
        <v>45</v>
      </c>
      <c r="V1402" t="s">
        <v>141</v>
      </c>
      <c r="W1402" t="s">
        <v>45</v>
      </c>
      <c r="X1402" t="s">
        <v>74</v>
      </c>
      <c r="Y1402" t="s">
        <v>45</v>
      </c>
      <c r="Z1402" t="s">
        <v>45</v>
      </c>
      <c r="AF1402">
        <v>2</v>
      </c>
      <c r="AH1402" t="s">
        <v>75</v>
      </c>
      <c r="AI1402">
        <v>1</v>
      </c>
      <c r="AJ1402" s="15"/>
      <c r="AK1402" t="s">
        <v>45</v>
      </c>
      <c r="AL1402" s="16"/>
      <c r="AR1402" s="18" t="str">
        <f>IFERROR(VLOOKUP(K1402,[1]POP!$F:$J,1,0),M1402)</f>
        <v>MAKARY</v>
      </c>
      <c r="AS1402" s="18" t="str">
        <f t="shared" si="106"/>
        <v>BIAMO</v>
      </c>
      <c r="AT1402" s="19">
        <f t="shared" si="109"/>
        <v>2</v>
      </c>
      <c r="AU1402" s="19">
        <f t="shared" ca="1" si="108"/>
        <v>1</v>
      </c>
    </row>
    <row r="1403" spans="1:47" x14ac:dyDescent="0.3">
      <c r="A1403" t="s">
        <v>2028</v>
      </c>
      <c r="B1403" t="str">
        <f t="shared" si="105"/>
        <v>S34_2026</v>
      </c>
      <c r="C1403" t="str">
        <f t="shared" si="107"/>
        <v>S34_2026</v>
      </c>
      <c r="E1403" t="s">
        <v>1868</v>
      </c>
      <c r="F1403">
        <v>18</v>
      </c>
      <c r="G1403" t="s">
        <v>55</v>
      </c>
      <c r="H1403" t="s">
        <v>70</v>
      </c>
      <c r="I1403" t="s">
        <v>1859</v>
      </c>
      <c r="J1403" t="s">
        <v>140</v>
      </c>
      <c r="K1403" t="s">
        <v>116</v>
      </c>
      <c r="L1403" t="s">
        <v>140</v>
      </c>
      <c r="M1403" t="s">
        <v>116</v>
      </c>
      <c r="N1403" t="s">
        <v>45</v>
      </c>
      <c r="O1403" t="s">
        <v>45</v>
      </c>
      <c r="P1403">
        <v>2</v>
      </c>
      <c r="Q1403" s="7">
        <v>46251</v>
      </c>
      <c r="R1403" s="7">
        <v>46252</v>
      </c>
      <c r="S1403" s="7">
        <v>46252</v>
      </c>
      <c r="T1403" t="s">
        <v>45</v>
      </c>
      <c r="V1403" t="s">
        <v>141</v>
      </c>
      <c r="W1403" t="s">
        <v>45</v>
      </c>
      <c r="X1403" t="s">
        <v>74</v>
      </c>
      <c r="Y1403" t="s">
        <v>45</v>
      </c>
      <c r="Z1403" t="s">
        <v>45</v>
      </c>
      <c r="AF1403">
        <v>2</v>
      </c>
      <c r="AH1403" t="s">
        <v>75</v>
      </c>
      <c r="AI1403">
        <v>1</v>
      </c>
      <c r="AJ1403" s="15"/>
      <c r="AK1403" t="s">
        <v>45</v>
      </c>
      <c r="AL1403" s="16"/>
      <c r="AR1403" s="18" t="str">
        <f>IFERROR(VLOOKUP(K1403,[1]POP!$F:$J,1,0),M1403)</f>
        <v>MAKARY</v>
      </c>
      <c r="AS1403" s="18" t="str">
        <f t="shared" si="106"/>
        <v>BIAMO</v>
      </c>
      <c r="AT1403" s="19">
        <f t="shared" si="109"/>
        <v>2</v>
      </c>
      <c r="AU1403" s="19">
        <f t="shared" ca="1" si="108"/>
        <v>1</v>
      </c>
    </row>
    <row r="1404" spans="1:47" x14ac:dyDescent="0.3">
      <c r="A1404" t="s">
        <v>2029</v>
      </c>
      <c r="B1404" t="str">
        <f t="shared" si="105"/>
        <v>S34_2026</v>
      </c>
      <c r="C1404" t="str">
        <f t="shared" si="107"/>
        <v>S34_2026</v>
      </c>
      <c r="E1404" t="s">
        <v>1881</v>
      </c>
      <c r="F1404">
        <v>35</v>
      </c>
      <c r="G1404" t="s">
        <v>55</v>
      </c>
      <c r="H1404" t="s">
        <v>70</v>
      </c>
      <c r="I1404" t="s">
        <v>139</v>
      </c>
      <c r="J1404" t="s">
        <v>140</v>
      </c>
      <c r="K1404" t="s">
        <v>116</v>
      </c>
      <c r="L1404" t="s">
        <v>140</v>
      </c>
      <c r="M1404" t="s">
        <v>116</v>
      </c>
      <c r="N1404" t="s">
        <v>45</v>
      </c>
      <c r="O1404" t="s">
        <v>45</v>
      </c>
      <c r="P1404">
        <v>2</v>
      </c>
      <c r="Q1404" s="7">
        <v>46252</v>
      </c>
      <c r="R1404" s="7">
        <v>46252</v>
      </c>
      <c r="S1404" s="7">
        <v>46252</v>
      </c>
      <c r="T1404" t="s">
        <v>45</v>
      </c>
      <c r="V1404" t="s">
        <v>141</v>
      </c>
      <c r="W1404" t="s">
        <v>45</v>
      </c>
      <c r="X1404" t="s">
        <v>74</v>
      </c>
      <c r="Y1404" t="s">
        <v>45</v>
      </c>
      <c r="Z1404" t="s">
        <v>45</v>
      </c>
      <c r="AF1404">
        <v>2</v>
      </c>
      <c r="AH1404" t="s">
        <v>75</v>
      </c>
      <c r="AI1404">
        <v>1</v>
      </c>
      <c r="AJ1404" s="15"/>
      <c r="AK1404" t="s">
        <v>45</v>
      </c>
      <c r="AL1404" s="16"/>
      <c r="AR1404" s="18" t="str">
        <f>IFERROR(VLOOKUP(K1404,[1]POP!$F:$J,1,0),M1404)</f>
        <v>MAKARY</v>
      </c>
      <c r="AS1404" s="18" t="str">
        <f t="shared" si="106"/>
        <v>BIAMO</v>
      </c>
      <c r="AT1404" s="19">
        <f t="shared" si="109"/>
        <v>2</v>
      </c>
      <c r="AU1404" s="19">
        <f t="shared" ca="1" si="108"/>
        <v>1</v>
      </c>
    </row>
    <row r="1405" spans="1:47" x14ac:dyDescent="0.3">
      <c r="A1405" t="s">
        <v>2030</v>
      </c>
      <c r="B1405" t="str">
        <f t="shared" si="105"/>
        <v>S34_2026</v>
      </c>
      <c r="C1405" t="str">
        <f t="shared" si="107"/>
        <v>S34_2026</v>
      </c>
      <c r="E1405" t="s">
        <v>1881</v>
      </c>
      <c r="F1405">
        <v>23</v>
      </c>
      <c r="G1405" t="s">
        <v>40</v>
      </c>
      <c r="H1405" t="s">
        <v>1861</v>
      </c>
      <c r="I1405" t="s">
        <v>139</v>
      </c>
      <c r="J1405" t="s">
        <v>140</v>
      </c>
      <c r="K1405" t="s">
        <v>116</v>
      </c>
      <c r="L1405" t="s">
        <v>140</v>
      </c>
      <c r="M1405" t="s">
        <v>116</v>
      </c>
      <c r="N1405" t="s">
        <v>45</v>
      </c>
      <c r="O1405" t="s">
        <v>45</v>
      </c>
      <c r="P1405">
        <v>2</v>
      </c>
      <c r="Q1405" s="7">
        <v>46252</v>
      </c>
      <c r="R1405" s="7">
        <v>46252</v>
      </c>
      <c r="S1405" s="7">
        <v>46252</v>
      </c>
      <c r="T1405" t="s">
        <v>45</v>
      </c>
      <c r="V1405" t="s">
        <v>141</v>
      </c>
      <c r="W1405" t="s">
        <v>45</v>
      </c>
      <c r="X1405" t="s">
        <v>74</v>
      </c>
      <c r="Y1405" t="s">
        <v>45</v>
      </c>
      <c r="Z1405" t="s">
        <v>45</v>
      </c>
      <c r="AF1405">
        <v>2</v>
      </c>
      <c r="AH1405" t="s">
        <v>75</v>
      </c>
      <c r="AI1405">
        <v>1</v>
      </c>
      <c r="AJ1405" s="15"/>
      <c r="AK1405" t="s">
        <v>45</v>
      </c>
      <c r="AL1405" s="16"/>
      <c r="AR1405" s="18" t="str">
        <f>IFERROR(VLOOKUP(K1405,[1]POP!$F:$J,1,0),M1405)</f>
        <v>MAKARY</v>
      </c>
      <c r="AS1405" s="18" t="str">
        <f t="shared" si="106"/>
        <v>BIAMO</v>
      </c>
      <c r="AT1405" s="19">
        <f t="shared" si="109"/>
        <v>2</v>
      </c>
      <c r="AU1405" s="19">
        <f t="shared" ca="1" si="108"/>
        <v>1</v>
      </c>
    </row>
    <row r="1406" spans="1:47" x14ac:dyDescent="0.3">
      <c r="A1406" t="s">
        <v>2031</v>
      </c>
      <c r="B1406" t="str">
        <f t="shared" si="105"/>
        <v>S34_2026</v>
      </c>
      <c r="C1406" t="str">
        <f t="shared" si="107"/>
        <v>S33_2026</v>
      </c>
      <c r="E1406" t="s">
        <v>1474</v>
      </c>
      <c r="F1406">
        <v>3</v>
      </c>
      <c r="G1406" t="s">
        <v>55</v>
      </c>
      <c r="H1406" t="s">
        <v>111</v>
      </c>
      <c r="I1406" t="s">
        <v>2032</v>
      </c>
      <c r="J1406" t="s">
        <v>124</v>
      </c>
      <c r="K1406" t="s">
        <v>124</v>
      </c>
      <c r="L1406" t="s">
        <v>115</v>
      </c>
      <c r="M1406" t="s">
        <v>115</v>
      </c>
      <c r="N1406" t="s">
        <v>117</v>
      </c>
      <c r="O1406" t="s">
        <v>117</v>
      </c>
      <c r="P1406">
        <v>3</v>
      </c>
      <c r="Q1406" s="7">
        <v>46247</v>
      </c>
      <c r="R1406" s="7">
        <v>46251</v>
      </c>
      <c r="S1406" s="7">
        <v>46252</v>
      </c>
      <c r="T1406" t="s">
        <v>117</v>
      </c>
      <c r="V1406" t="s">
        <v>118</v>
      </c>
      <c r="W1406" t="s">
        <v>117</v>
      </c>
      <c r="X1406" t="s">
        <v>117</v>
      </c>
      <c r="Y1406" t="s">
        <v>117</v>
      </c>
      <c r="Z1406" t="s">
        <v>117</v>
      </c>
      <c r="AB1406" t="s">
        <v>48</v>
      </c>
      <c r="AC1406" t="s">
        <v>74</v>
      </c>
      <c r="AF1406">
        <v>2</v>
      </c>
      <c r="AH1406" t="s">
        <v>75</v>
      </c>
      <c r="AI1406">
        <v>1</v>
      </c>
      <c r="AJ1406" s="15"/>
      <c r="AK1406" t="s">
        <v>74</v>
      </c>
      <c r="AL1406" s="16"/>
      <c r="AR1406" s="18" t="str">
        <f>IFERROR(VLOOKUP(K1406,[1]POP!$F:$J,1,0),M1406)</f>
        <v>makary</v>
      </c>
      <c r="AS1406" s="18" t="str">
        <f t="shared" si="106"/>
        <v>makary</v>
      </c>
      <c r="AT1406" s="19">
        <f t="shared" si="109"/>
        <v>2</v>
      </c>
      <c r="AU1406" s="19">
        <f t="shared" ca="1" si="108"/>
        <v>1</v>
      </c>
    </row>
    <row r="1407" spans="1:47" x14ac:dyDescent="0.3">
      <c r="A1407" t="s">
        <v>2033</v>
      </c>
      <c r="B1407" t="str">
        <f t="shared" si="105"/>
        <v>S33_2026</v>
      </c>
      <c r="C1407" t="str">
        <f t="shared" si="107"/>
        <v>S33_2026</v>
      </c>
      <c r="F1407">
        <v>7</v>
      </c>
      <c r="G1407" t="s">
        <v>40</v>
      </c>
      <c r="H1407" t="s">
        <v>56</v>
      </c>
      <c r="I1407" t="s">
        <v>2034</v>
      </c>
      <c r="J1407" t="s">
        <v>2035</v>
      </c>
      <c r="K1407" t="s">
        <v>1758</v>
      </c>
      <c r="L1407" t="s">
        <v>2035</v>
      </c>
      <c r="M1407" t="s">
        <v>1758</v>
      </c>
      <c r="N1407" t="s">
        <v>45</v>
      </c>
      <c r="O1407" t="s">
        <v>45</v>
      </c>
      <c r="P1407">
        <v>3</v>
      </c>
      <c r="Q1407" s="7">
        <v>46248</v>
      </c>
      <c r="R1407" s="7">
        <v>46248</v>
      </c>
      <c r="S1407" s="7">
        <v>46248</v>
      </c>
      <c r="T1407" t="s">
        <v>45</v>
      </c>
      <c r="V1407" t="s">
        <v>2036</v>
      </c>
      <c r="W1407" t="s">
        <v>45</v>
      </c>
      <c r="X1407" t="s">
        <v>45</v>
      </c>
      <c r="Y1407" t="s">
        <v>45</v>
      </c>
      <c r="Z1407" t="s">
        <v>45</v>
      </c>
      <c r="AF1407">
        <v>3</v>
      </c>
      <c r="AH1407" t="s">
        <v>75</v>
      </c>
      <c r="AI1407">
        <v>2</v>
      </c>
      <c r="AJ1407" s="15"/>
      <c r="AL1407" s="16"/>
      <c r="AR1407" s="18" t="str">
        <f>IFERROR(VLOOKUP(K1407,[1]POP!$F:$J,1,0),M1407)</f>
        <v>MAROUA 2</v>
      </c>
      <c r="AS1407" s="18" t="str">
        <f t="shared" si="106"/>
        <v>LOPERE 1</v>
      </c>
      <c r="AT1407" s="19">
        <f t="shared" si="109"/>
        <v>3</v>
      </c>
      <c r="AU1407" s="19">
        <f t="shared" ca="1" si="108"/>
        <v>1</v>
      </c>
    </row>
    <row r="1408" spans="1:47" x14ac:dyDescent="0.3">
      <c r="A1408" t="s">
        <v>2037</v>
      </c>
      <c r="B1408" t="str">
        <f t="shared" si="105"/>
        <v>S33_2026</v>
      </c>
      <c r="C1408" t="str">
        <f t="shared" si="107"/>
        <v>S33_2026</v>
      </c>
      <c r="F1408">
        <v>16</v>
      </c>
      <c r="G1408" t="s">
        <v>40</v>
      </c>
      <c r="H1408" t="s">
        <v>56</v>
      </c>
      <c r="I1408" t="s">
        <v>2034</v>
      </c>
      <c r="J1408" t="s">
        <v>2035</v>
      </c>
      <c r="K1408" t="s">
        <v>1758</v>
      </c>
      <c r="L1408" t="s">
        <v>2035</v>
      </c>
      <c r="M1408" t="s">
        <v>1758</v>
      </c>
      <c r="N1408" t="s">
        <v>45</v>
      </c>
      <c r="O1408" t="s">
        <v>45</v>
      </c>
      <c r="P1408">
        <v>3</v>
      </c>
      <c r="Q1408" s="7">
        <v>46248</v>
      </c>
      <c r="R1408" s="7">
        <v>46248</v>
      </c>
      <c r="S1408" s="7">
        <v>46248</v>
      </c>
      <c r="T1408" t="s">
        <v>45</v>
      </c>
      <c r="V1408" t="s">
        <v>2036</v>
      </c>
      <c r="W1408" t="s">
        <v>45</v>
      </c>
      <c r="X1408" t="s">
        <v>45</v>
      </c>
      <c r="Y1408" t="s">
        <v>45</v>
      </c>
      <c r="Z1408" t="s">
        <v>45</v>
      </c>
      <c r="AA1408" s="7">
        <v>46248</v>
      </c>
      <c r="AB1408" t="s">
        <v>48</v>
      </c>
      <c r="AE1408" s="7">
        <v>46250</v>
      </c>
      <c r="AF1408">
        <v>2</v>
      </c>
      <c r="AH1408" t="s">
        <v>75</v>
      </c>
      <c r="AI1408">
        <v>1</v>
      </c>
      <c r="AJ1408" s="15"/>
      <c r="AK1408" t="s">
        <v>86</v>
      </c>
      <c r="AL1408" s="16"/>
      <c r="AR1408" s="18" t="str">
        <f>IFERROR(VLOOKUP(K1408,[1]POP!$F:$J,1,0),M1408)</f>
        <v>MAROUA 2</v>
      </c>
      <c r="AS1408" s="18" t="str">
        <f t="shared" si="106"/>
        <v>LOPERE 1</v>
      </c>
      <c r="AT1408" s="19">
        <f t="shared" si="109"/>
        <v>2</v>
      </c>
      <c r="AU1408" s="19">
        <f t="shared" ca="1" si="108"/>
        <v>1</v>
      </c>
    </row>
    <row r="1409" spans="1:47" x14ac:dyDescent="0.3">
      <c r="A1409" t="s">
        <v>2038</v>
      </c>
      <c r="B1409" t="str">
        <f t="shared" si="105"/>
        <v>S33_2026</v>
      </c>
      <c r="C1409" t="str">
        <f t="shared" si="107"/>
        <v>S33_2026</v>
      </c>
      <c r="F1409">
        <v>20</v>
      </c>
      <c r="G1409" t="s">
        <v>40</v>
      </c>
      <c r="H1409" t="s">
        <v>56</v>
      </c>
      <c r="I1409" t="s">
        <v>2034</v>
      </c>
      <c r="J1409" t="s">
        <v>2035</v>
      </c>
      <c r="K1409" t="s">
        <v>1758</v>
      </c>
      <c r="L1409" t="s">
        <v>2035</v>
      </c>
      <c r="M1409" t="s">
        <v>1758</v>
      </c>
      <c r="N1409" t="s">
        <v>45</v>
      </c>
      <c r="O1409" t="s">
        <v>45</v>
      </c>
      <c r="P1409">
        <v>3</v>
      </c>
      <c r="Q1409" s="7">
        <v>46245</v>
      </c>
      <c r="R1409" s="7">
        <v>46248</v>
      </c>
      <c r="S1409" s="7">
        <v>46248</v>
      </c>
      <c r="T1409" t="s">
        <v>45</v>
      </c>
      <c r="V1409" t="s">
        <v>2036</v>
      </c>
      <c r="W1409" t="s">
        <v>45</v>
      </c>
      <c r="X1409" t="s">
        <v>45</v>
      </c>
      <c r="Y1409" t="s">
        <v>45</v>
      </c>
      <c r="Z1409" t="s">
        <v>45</v>
      </c>
      <c r="AA1409" s="7">
        <v>46248</v>
      </c>
      <c r="AB1409" t="s">
        <v>48</v>
      </c>
      <c r="AE1409" s="7">
        <v>46250</v>
      </c>
      <c r="AF1409">
        <v>2</v>
      </c>
      <c r="AH1409" t="s">
        <v>75</v>
      </c>
      <c r="AI1409">
        <v>1</v>
      </c>
      <c r="AJ1409" s="15"/>
      <c r="AK1409" t="s">
        <v>86</v>
      </c>
      <c r="AL1409" s="16"/>
      <c r="AR1409" s="18" t="str">
        <f>IFERROR(VLOOKUP(K1409,[1]POP!$F:$J,1,0),M1409)</f>
        <v>MAROUA 2</v>
      </c>
      <c r="AS1409" s="18" t="str">
        <f t="shared" si="106"/>
        <v>LOPERE 1</v>
      </c>
      <c r="AT1409" s="19">
        <f t="shared" si="109"/>
        <v>2</v>
      </c>
      <c r="AU1409" s="19">
        <f t="shared" ca="1" si="108"/>
        <v>1</v>
      </c>
    </row>
    <row r="1410" spans="1:47" x14ac:dyDescent="0.3">
      <c r="A1410" t="s">
        <v>2039</v>
      </c>
      <c r="B1410" t="str">
        <f t="shared" ref="B1410:B1473" si="110">"S"&amp;(IF(_xlfn.ISOWEEKNUM(S1410)&gt;9,_xlfn.ISOWEEKNUM(S1410),_xlfn.CONCAT("0",_xlfn.ISOWEEKNUM(S1410))))&amp;"_"&amp;(YEAR(S1410+26-(_xlfn.ISOWEEKNUM(S1410))))</f>
        <v>S34_2026</v>
      </c>
      <c r="C1410" t="str">
        <f t="shared" si="107"/>
        <v>S34_2026</v>
      </c>
      <c r="F1410">
        <v>33</v>
      </c>
      <c r="G1410" t="s">
        <v>40</v>
      </c>
      <c r="H1410" t="s">
        <v>77</v>
      </c>
      <c r="I1410" t="s">
        <v>1757</v>
      </c>
      <c r="J1410" t="s">
        <v>1757</v>
      </c>
      <c r="K1410" t="s">
        <v>1758</v>
      </c>
      <c r="L1410" t="s">
        <v>2036</v>
      </c>
      <c r="M1410" t="s">
        <v>1758</v>
      </c>
      <c r="N1410" t="s">
        <v>45</v>
      </c>
      <c r="O1410" t="s">
        <v>45</v>
      </c>
      <c r="P1410">
        <v>3</v>
      </c>
      <c r="Q1410" s="7">
        <v>46251</v>
      </c>
      <c r="R1410" s="7">
        <v>46251</v>
      </c>
      <c r="S1410" s="7">
        <v>46251</v>
      </c>
      <c r="T1410" t="s">
        <v>45</v>
      </c>
      <c r="V1410" t="s">
        <v>2036</v>
      </c>
      <c r="W1410" t="s">
        <v>45</v>
      </c>
      <c r="X1410" t="s">
        <v>45</v>
      </c>
      <c r="Y1410" t="s">
        <v>45</v>
      </c>
      <c r="Z1410" t="s">
        <v>45</v>
      </c>
      <c r="AA1410" s="7">
        <v>46251</v>
      </c>
      <c r="AB1410" t="s">
        <v>48</v>
      </c>
      <c r="AE1410" s="7">
        <v>46252</v>
      </c>
      <c r="AF1410">
        <v>2</v>
      </c>
      <c r="AH1410" t="s">
        <v>75</v>
      </c>
      <c r="AI1410">
        <v>1</v>
      </c>
      <c r="AJ1410" s="15"/>
      <c r="AK1410" t="s">
        <v>86</v>
      </c>
      <c r="AL1410" s="16"/>
      <c r="AR1410" s="18" t="str">
        <f>IFERROR(VLOOKUP(K1410,[1]POP!$F:$J,1,0),M1410)</f>
        <v>MAROUA 2</v>
      </c>
      <c r="AS1410" s="18" t="str">
        <f t="shared" ref="AS1410:AS1473" si="111">IF(AR1410=K1410,J1410,L1410)</f>
        <v>DOUALARE</v>
      </c>
      <c r="AT1410" s="19">
        <f t="shared" si="109"/>
        <v>2</v>
      </c>
      <c r="AU1410" s="19">
        <f t="shared" ca="1" si="108"/>
        <v>1</v>
      </c>
    </row>
    <row r="1411" spans="1:47" x14ac:dyDescent="0.3">
      <c r="A1411" t="s">
        <v>2040</v>
      </c>
      <c r="B1411" t="str">
        <f t="shared" si="110"/>
        <v>S34_2026</v>
      </c>
      <c r="C1411" t="str">
        <f t="shared" ref="C1411:C1474" si="112">"S"&amp;(IF(_xlfn.ISOWEEKNUM(Q1411)&gt;9,_xlfn.ISOWEEKNUM(Q1411),_xlfn.CONCAT("0",_xlfn.ISOWEEKNUM(Q1411))))&amp;"_"&amp;(YEAR(Q1411+26-(_xlfn.ISOWEEKNUM(Q1411))))</f>
        <v>S34_2026</v>
      </c>
      <c r="F1411">
        <v>7</v>
      </c>
      <c r="G1411" t="s">
        <v>40</v>
      </c>
      <c r="H1411" t="s">
        <v>56</v>
      </c>
      <c r="I1411" t="s">
        <v>2041</v>
      </c>
      <c r="J1411" t="s">
        <v>2035</v>
      </c>
      <c r="K1411" t="s">
        <v>1758</v>
      </c>
      <c r="L1411" t="s">
        <v>2042</v>
      </c>
      <c r="M1411" t="s">
        <v>1758</v>
      </c>
      <c r="N1411" t="s">
        <v>45</v>
      </c>
      <c r="O1411" t="s">
        <v>45</v>
      </c>
      <c r="P1411">
        <v>3</v>
      </c>
      <c r="Q1411" s="7">
        <v>46251</v>
      </c>
      <c r="R1411" s="7">
        <v>46251</v>
      </c>
      <c r="S1411" s="7">
        <v>46251</v>
      </c>
      <c r="T1411" t="s">
        <v>45</v>
      </c>
      <c r="V1411" t="s">
        <v>2036</v>
      </c>
      <c r="W1411" t="s">
        <v>45</v>
      </c>
      <c r="X1411" t="s">
        <v>45</v>
      </c>
      <c r="Y1411" t="s">
        <v>45</v>
      </c>
      <c r="Z1411" t="s">
        <v>45</v>
      </c>
      <c r="AA1411" s="7">
        <v>46251</v>
      </c>
      <c r="AB1411" t="s">
        <v>48</v>
      </c>
      <c r="AE1411" s="7">
        <v>46252</v>
      </c>
      <c r="AF1411">
        <v>2</v>
      </c>
      <c r="AH1411" t="s">
        <v>75</v>
      </c>
      <c r="AI1411">
        <v>1</v>
      </c>
      <c r="AJ1411" s="15"/>
      <c r="AK1411" t="s">
        <v>86</v>
      </c>
      <c r="AL1411" s="16"/>
      <c r="AR1411" s="18" t="str">
        <f>IFERROR(VLOOKUP(K1411,[1]POP!$F:$J,1,0),M1411)</f>
        <v>MAROUA 2</v>
      </c>
      <c r="AS1411" s="18" t="str">
        <f t="shared" si="111"/>
        <v>LOPERE 1</v>
      </c>
      <c r="AT1411" s="19">
        <f t="shared" si="109"/>
        <v>2</v>
      </c>
      <c r="AU1411" s="19">
        <f t="shared" ref="AU1411:AU1474" ca="1" si="113">IF((TODAY() - R1411)&lt;=21,1,2)</f>
        <v>1</v>
      </c>
    </row>
    <row r="1412" spans="1:47" x14ac:dyDescent="0.3">
      <c r="A1412" t="s">
        <v>2043</v>
      </c>
      <c r="B1412" t="str">
        <f t="shared" si="110"/>
        <v>S33_2026</v>
      </c>
      <c r="C1412" t="str">
        <f t="shared" si="112"/>
        <v>S33_2026</v>
      </c>
      <c r="E1412">
        <v>694827740</v>
      </c>
      <c r="F1412">
        <v>4</v>
      </c>
      <c r="G1412" t="s">
        <v>40</v>
      </c>
      <c r="H1412" t="s">
        <v>85</v>
      </c>
      <c r="I1412" t="s">
        <v>2034</v>
      </c>
      <c r="J1412" t="s">
        <v>1757</v>
      </c>
      <c r="K1412" t="s">
        <v>1758</v>
      </c>
      <c r="L1412" t="s">
        <v>2044</v>
      </c>
      <c r="M1412" t="s">
        <v>1758</v>
      </c>
      <c r="N1412" t="s">
        <v>45</v>
      </c>
      <c r="O1412" t="s">
        <v>45</v>
      </c>
      <c r="P1412">
        <v>3</v>
      </c>
      <c r="Q1412" s="7">
        <v>46249</v>
      </c>
      <c r="R1412" s="7">
        <v>46250</v>
      </c>
      <c r="S1412" s="7">
        <v>46250</v>
      </c>
      <c r="T1412" t="s">
        <v>45</v>
      </c>
      <c r="V1412" t="s">
        <v>2045</v>
      </c>
      <c r="W1412" t="s">
        <v>45</v>
      </c>
      <c r="X1412" t="s">
        <v>74</v>
      </c>
      <c r="Y1412" t="s">
        <v>45</v>
      </c>
      <c r="Z1412" t="s">
        <v>74</v>
      </c>
      <c r="AA1412" s="7">
        <v>46250</v>
      </c>
      <c r="AB1412" t="s">
        <v>48</v>
      </c>
      <c r="AF1412">
        <v>2</v>
      </c>
      <c r="AH1412" t="s">
        <v>75</v>
      </c>
      <c r="AI1412">
        <v>1</v>
      </c>
      <c r="AJ1412" s="15"/>
      <c r="AK1412" t="s">
        <v>74</v>
      </c>
      <c r="AL1412" s="16"/>
      <c r="AR1412" s="18" t="str">
        <f>IFERROR(VLOOKUP(K1412,[1]POP!$F:$J,1,0),M1412)</f>
        <v>MAROUA 2</v>
      </c>
      <c r="AS1412" s="18" t="str">
        <f t="shared" si="111"/>
        <v>DOUALARE</v>
      </c>
      <c r="AT1412" s="19">
        <f t="shared" ref="AT1412:AT1475" si="114">IF($AI:$AI=2,3,IF($AI:$AI=3,3,IF($AI:$AI=4,3,IF($AI:$AI=1,2,0))))</f>
        <v>2</v>
      </c>
      <c r="AU1412" s="19">
        <f t="shared" ca="1" si="113"/>
        <v>1</v>
      </c>
    </row>
    <row r="1413" spans="1:47" x14ac:dyDescent="0.3">
      <c r="A1413" t="s">
        <v>2046</v>
      </c>
      <c r="B1413" t="str">
        <f t="shared" si="110"/>
        <v>S32_2026</v>
      </c>
      <c r="C1413" t="str">
        <f t="shared" si="112"/>
        <v>S32_2026</v>
      </c>
      <c r="E1413">
        <v>697499104</v>
      </c>
      <c r="F1413">
        <v>39</v>
      </c>
      <c r="G1413" t="s">
        <v>40</v>
      </c>
      <c r="H1413" t="s">
        <v>77</v>
      </c>
      <c r="I1413" t="s">
        <v>2047</v>
      </c>
      <c r="J1413" t="s">
        <v>2047</v>
      </c>
      <c r="K1413" t="s">
        <v>454</v>
      </c>
      <c r="L1413" t="s">
        <v>2047</v>
      </c>
      <c r="M1413" t="s">
        <v>454</v>
      </c>
      <c r="N1413" t="s">
        <v>45</v>
      </c>
      <c r="O1413" t="s">
        <v>74</v>
      </c>
      <c r="P1413">
        <v>1</v>
      </c>
      <c r="Q1413" s="7">
        <v>46243</v>
      </c>
      <c r="R1413" s="7">
        <v>46243</v>
      </c>
      <c r="S1413" s="7">
        <v>46243</v>
      </c>
      <c r="T1413" t="s">
        <v>45</v>
      </c>
      <c r="V1413" t="s">
        <v>1759</v>
      </c>
      <c r="W1413" t="s">
        <v>45</v>
      </c>
      <c r="X1413" t="s">
        <v>45</v>
      </c>
      <c r="Y1413" t="s">
        <v>45</v>
      </c>
      <c r="Z1413" t="s">
        <v>45</v>
      </c>
      <c r="AA1413" s="7">
        <v>46243</v>
      </c>
      <c r="AB1413" t="s">
        <v>62</v>
      </c>
      <c r="AC1413" t="s">
        <v>45</v>
      </c>
      <c r="AD1413" t="s">
        <v>62</v>
      </c>
      <c r="AE1413" s="7">
        <v>46247</v>
      </c>
      <c r="AF1413">
        <v>2</v>
      </c>
      <c r="AH1413" t="s">
        <v>75</v>
      </c>
      <c r="AI1413">
        <v>1</v>
      </c>
      <c r="AJ1413" s="15"/>
      <c r="AL1413" s="16"/>
      <c r="AR1413" s="18" t="str">
        <f>IFERROR(VLOOKUP(K1413,[1]POP!$F:$J,1,0),M1413)</f>
        <v>MAROUA 3</v>
      </c>
      <c r="AS1413" s="18" t="str">
        <f t="shared" si="111"/>
        <v>KODEK</v>
      </c>
      <c r="AT1413" s="19">
        <f t="shared" si="114"/>
        <v>2</v>
      </c>
      <c r="AU1413" s="19">
        <f t="shared" ca="1" si="113"/>
        <v>2</v>
      </c>
    </row>
    <row r="1414" spans="1:47" x14ac:dyDescent="0.3">
      <c r="A1414" t="s">
        <v>2048</v>
      </c>
      <c r="B1414" t="str">
        <f t="shared" si="110"/>
        <v>S33_2026</v>
      </c>
      <c r="C1414" t="str">
        <f t="shared" si="112"/>
        <v>S33_2026</v>
      </c>
      <c r="F1414">
        <v>36</v>
      </c>
      <c r="G1414" t="s">
        <v>55</v>
      </c>
      <c r="H1414" t="s">
        <v>2049</v>
      </c>
      <c r="I1414" t="s">
        <v>2050</v>
      </c>
      <c r="J1414" t="s">
        <v>2036</v>
      </c>
      <c r="K1414" t="s">
        <v>2051</v>
      </c>
      <c r="L1414" t="s">
        <v>2035</v>
      </c>
      <c r="M1414" t="s">
        <v>1758</v>
      </c>
      <c r="N1414" t="s">
        <v>45</v>
      </c>
      <c r="O1414" t="s">
        <v>74</v>
      </c>
      <c r="P1414">
        <v>1</v>
      </c>
      <c r="Q1414" s="7">
        <v>46247</v>
      </c>
      <c r="R1414" s="7">
        <v>46247</v>
      </c>
      <c r="S1414" s="7">
        <v>46247</v>
      </c>
      <c r="T1414" t="s">
        <v>45</v>
      </c>
      <c r="V1414" t="s">
        <v>1759</v>
      </c>
      <c r="W1414" t="s">
        <v>45</v>
      </c>
      <c r="X1414" t="s">
        <v>45</v>
      </c>
      <c r="Y1414" t="s">
        <v>45</v>
      </c>
      <c r="Z1414" t="s">
        <v>45</v>
      </c>
      <c r="AA1414" s="7">
        <v>46247</v>
      </c>
      <c r="AB1414" t="s">
        <v>48</v>
      </c>
      <c r="AC1414" t="s">
        <v>45</v>
      </c>
      <c r="AD1414" t="s">
        <v>48</v>
      </c>
      <c r="AE1414" s="7">
        <v>46251</v>
      </c>
      <c r="AF1414">
        <v>2</v>
      </c>
      <c r="AH1414" t="s">
        <v>75</v>
      </c>
      <c r="AI1414">
        <v>1</v>
      </c>
      <c r="AJ1414" s="15"/>
      <c r="AL1414" s="16"/>
      <c r="AR1414" s="18" t="str">
        <f>IFERROR(VLOOKUP(K1414,[1]POP!$F:$J,1,0),M1414)</f>
        <v>MAROUA 2</v>
      </c>
      <c r="AS1414" s="18" t="str">
        <f t="shared" si="111"/>
        <v>LOPERE 1</v>
      </c>
      <c r="AT1414" s="19">
        <f t="shared" si="114"/>
        <v>2</v>
      </c>
      <c r="AU1414" s="19">
        <f t="shared" ca="1" si="113"/>
        <v>1</v>
      </c>
    </row>
    <row r="1415" spans="1:47" x14ac:dyDescent="0.3">
      <c r="A1415" t="s">
        <v>2052</v>
      </c>
      <c r="B1415" t="str">
        <f t="shared" si="110"/>
        <v>S34_2026</v>
      </c>
      <c r="C1415" t="str">
        <f t="shared" si="112"/>
        <v>S34_2026</v>
      </c>
      <c r="E1415">
        <v>691419843</v>
      </c>
      <c r="F1415">
        <v>3</v>
      </c>
      <c r="G1415" t="s">
        <v>55</v>
      </c>
      <c r="H1415" t="s">
        <v>85</v>
      </c>
      <c r="I1415" t="s">
        <v>2053</v>
      </c>
      <c r="J1415" t="s">
        <v>2036</v>
      </c>
      <c r="L1415" t="s">
        <v>2035</v>
      </c>
      <c r="M1415" t="s">
        <v>1758</v>
      </c>
      <c r="N1415" t="s">
        <v>45</v>
      </c>
      <c r="O1415" t="s">
        <v>74</v>
      </c>
      <c r="P1415">
        <v>1</v>
      </c>
      <c r="Q1415" s="7">
        <v>46251</v>
      </c>
      <c r="R1415" s="7">
        <v>46251</v>
      </c>
      <c r="S1415" s="7">
        <v>46251</v>
      </c>
      <c r="T1415" t="s">
        <v>45</v>
      </c>
      <c r="V1415" t="s">
        <v>1759</v>
      </c>
      <c r="W1415" t="s">
        <v>45</v>
      </c>
      <c r="X1415" t="s">
        <v>45</v>
      </c>
      <c r="Y1415" t="s">
        <v>45</v>
      </c>
      <c r="Z1415" t="s">
        <v>45</v>
      </c>
      <c r="AA1415" s="7">
        <v>46252</v>
      </c>
      <c r="AB1415" t="s">
        <v>62</v>
      </c>
      <c r="AC1415" t="s">
        <v>45</v>
      </c>
      <c r="AD1415" t="s">
        <v>1122</v>
      </c>
      <c r="AE1415" s="7">
        <v>46255</v>
      </c>
      <c r="AF1415">
        <v>2</v>
      </c>
      <c r="AH1415" t="s">
        <v>75</v>
      </c>
      <c r="AI1415">
        <v>1</v>
      </c>
      <c r="AJ1415" s="15"/>
      <c r="AL1415" s="16"/>
      <c r="AR1415" s="18" t="str">
        <f>IFERROR(VLOOKUP(K1415,[1]POP!$F:$J,1,0),M1415)</f>
        <v>MAROUA 2</v>
      </c>
      <c r="AS1415" s="18" t="str">
        <f t="shared" si="111"/>
        <v>LOPERE 1</v>
      </c>
      <c r="AT1415" s="19">
        <f t="shared" si="114"/>
        <v>2</v>
      </c>
      <c r="AU1415" s="19">
        <f t="shared" ca="1" si="113"/>
        <v>1</v>
      </c>
    </row>
    <row r="1416" spans="1:47" x14ac:dyDescent="0.3">
      <c r="A1416" t="s">
        <v>2054</v>
      </c>
      <c r="B1416" t="str">
        <f t="shared" si="110"/>
        <v>S34_2026</v>
      </c>
      <c r="C1416" t="str">
        <f t="shared" si="112"/>
        <v>S34_2026</v>
      </c>
      <c r="F1416">
        <v>7</v>
      </c>
      <c r="G1416" t="s">
        <v>40</v>
      </c>
      <c r="H1416" t="s">
        <v>56</v>
      </c>
      <c r="I1416" t="s">
        <v>2041</v>
      </c>
      <c r="J1416" t="s">
        <v>2035</v>
      </c>
      <c r="K1416" t="s">
        <v>1758</v>
      </c>
      <c r="L1416" t="s">
        <v>2042</v>
      </c>
      <c r="M1416" t="s">
        <v>1758</v>
      </c>
      <c r="N1416" t="s">
        <v>45</v>
      </c>
      <c r="O1416" t="s">
        <v>45</v>
      </c>
      <c r="P1416">
        <v>3</v>
      </c>
      <c r="Q1416" s="7">
        <v>46251</v>
      </c>
      <c r="R1416" s="7">
        <v>46251</v>
      </c>
      <c r="S1416" s="7">
        <v>46251</v>
      </c>
      <c r="T1416" t="s">
        <v>45</v>
      </c>
      <c r="V1416" t="s">
        <v>2036</v>
      </c>
      <c r="W1416" t="s">
        <v>45</v>
      </c>
      <c r="X1416" t="s">
        <v>45</v>
      </c>
      <c r="Y1416" t="s">
        <v>45</v>
      </c>
      <c r="Z1416" t="s">
        <v>45</v>
      </c>
      <c r="AA1416" s="7">
        <v>46251</v>
      </c>
      <c r="AB1416" t="s">
        <v>48</v>
      </c>
      <c r="AE1416" s="7">
        <v>46252</v>
      </c>
      <c r="AF1416">
        <v>2</v>
      </c>
      <c r="AH1416" t="s">
        <v>75</v>
      </c>
      <c r="AI1416">
        <v>1</v>
      </c>
      <c r="AJ1416" s="15"/>
      <c r="AK1416" t="s">
        <v>86</v>
      </c>
      <c r="AL1416" s="16"/>
      <c r="AR1416" s="18" t="str">
        <f>IFERROR(VLOOKUP(K1416,[1]POP!$F:$J,1,0),M1416)</f>
        <v>MAROUA 2</v>
      </c>
      <c r="AS1416" s="18" t="str">
        <f t="shared" si="111"/>
        <v>LOPERE 1</v>
      </c>
      <c r="AT1416" s="19">
        <f t="shared" si="114"/>
        <v>2</v>
      </c>
      <c r="AU1416" s="19">
        <f t="shared" ca="1" si="113"/>
        <v>1</v>
      </c>
    </row>
    <row r="1417" spans="1:47" x14ac:dyDescent="0.3">
      <c r="A1417" t="s">
        <v>2055</v>
      </c>
      <c r="B1417" t="str">
        <f t="shared" si="110"/>
        <v>S33_2026</v>
      </c>
      <c r="C1417" t="str">
        <f t="shared" si="112"/>
        <v>S33_2026</v>
      </c>
      <c r="E1417">
        <v>698174110</v>
      </c>
      <c r="F1417">
        <v>33</v>
      </c>
      <c r="G1417" t="s">
        <v>55</v>
      </c>
      <c r="H1417" t="s">
        <v>1117</v>
      </c>
      <c r="I1417" t="s">
        <v>2050</v>
      </c>
      <c r="J1417" t="s">
        <v>2042</v>
      </c>
      <c r="K1417" t="s">
        <v>1758</v>
      </c>
      <c r="L1417" t="s">
        <v>2042</v>
      </c>
      <c r="M1417" t="s">
        <v>1758</v>
      </c>
      <c r="N1417" t="s">
        <v>45</v>
      </c>
      <c r="O1417" t="s">
        <v>45</v>
      </c>
      <c r="P1417">
        <v>3</v>
      </c>
      <c r="Q1417" s="7">
        <v>46247</v>
      </c>
      <c r="R1417" s="7">
        <v>46247</v>
      </c>
      <c r="S1417" s="7">
        <v>46247</v>
      </c>
      <c r="T1417" t="s">
        <v>45</v>
      </c>
      <c r="V1417" t="s">
        <v>1759</v>
      </c>
      <c r="W1417" t="s">
        <v>45</v>
      </c>
      <c r="X1417" t="s">
        <v>45</v>
      </c>
      <c r="Y1417" t="s">
        <v>45</v>
      </c>
      <c r="Z1417" t="s">
        <v>45</v>
      </c>
      <c r="AA1417" s="7">
        <v>46247</v>
      </c>
      <c r="AB1417" t="s">
        <v>48</v>
      </c>
      <c r="AC1417" t="s">
        <v>45</v>
      </c>
      <c r="AD1417" t="s">
        <v>48</v>
      </c>
      <c r="AF1417">
        <v>2</v>
      </c>
      <c r="AH1417" t="s">
        <v>75</v>
      </c>
      <c r="AI1417">
        <v>1</v>
      </c>
      <c r="AJ1417" s="15"/>
      <c r="AK1417" t="s">
        <v>86</v>
      </c>
      <c r="AL1417" s="16"/>
      <c r="AR1417" s="18" t="str">
        <f>IFERROR(VLOOKUP(K1417,[1]POP!$F:$J,1,0),M1417)</f>
        <v>MAROUA 2</v>
      </c>
      <c r="AS1417" s="18" t="str">
        <f t="shared" si="111"/>
        <v>LOPERE 2</v>
      </c>
      <c r="AT1417" s="19">
        <f t="shared" si="114"/>
        <v>2</v>
      </c>
      <c r="AU1417" s="19">
        <f t="shared" ca="1" si="113"/>
        <v>1</v>
      </c>
    </row>
    <row r="1418" spans="1:47" x14ac:dyDescent="0.3">
      <c r="A1418" t="s">
        <v>2056</v>
      </c>
      <c r="B1418" t="str">
        <f t="shared" si="110"/>
        <v>S32_2026</v>
      </c>
      <c r="C1418" t="str">
        <f t="shared" si="112"/>
        <v>S32_2026</v>
      </c>
      <c r="E1418">
        <v>697426975</v>
      </c>
      <c r="F1418">
        <v>10</v>
      </c>
      <c r="G1418" t="s">
        <v>55</v>
      </c>
      <c r="H1418" t="s">
        <v>56</v>
      </c>
      <c r="I1418" t="s">
        <v>1757</v>
      </c>
      <c r="J1418" t="s">
        <v>1757</v>
      </c>
      <c r="K1418" t="s">
        <v>1758</v>
      </c>
      <c r="L1418" t="s">
        <v>1757</v>
      </c>
      <c r="M1418" t="s">
        <v>1758</v>
      </c>
      <c r="N1418" t="s">
        <v>45</v>
      </c>
      <c r="O1418" t="s">
        <v>45</v>
      </c>
      <c r="P1418">
        <v>3</v>
      </c>
      <c r="Q1418" s="7">
        <v>46242</v>
      </c>
      <c r="R1418" s="7">
        <v>46242</v>
      </c>
      <c r="S1418" s="7">
        <v>46242</v>
      </c>
      <c r="T1418" t="s">
        <v>45</v>
      </c>
      <c r="V1418" t="s">
        <v>1759</v>
      </c>
      <c r="W1418" t="s">
        <v>45</v>
      </c>
      <c r="X1418" t="s">
        <v>45</v>
      </c>
      <c r="Y1418" t="s">
        <v>45</v>
      </c>
      <c r="Z1418" t="s">
        <v>45</v>
      </c>
      <c r="AA1418" s="7">
        <v>46242</v>
      </c>
      <c r="AB1418" t="s">
        <v>48</v>
      </c>
      <c r="AF1418">
        <v>2</v>
      </c>
      <c r="AH1418" t="s">
        <v>75</v>
      </c>
      <c r="AI1418">
        <v>1</v>
      </c>
      <c r="AJ1418" s="15"/>
      <c r="AK1418" t="s">
        <v>86</v>
      </c>
      <c r="AL1418" s="16"/>
      <c r="AR1418" s="18" t="str">
        <f>IFERROR(VLOOKUP(K1418,[1]POP!$F:$J,1,0),M1418)</f>
        <v>MAROUA 2</v>
      </c>
      <c r="AS1418" s="18" t="str">
        <f t="shared" si="111"/>
        <v>DOUALARE</v>
      </c>
      <c r="AT1418" s="19">
        <f t="shared" si="114"/>
        <v>2</v>
      </c>
      <c r="AU1418" s="19">
        <f t="shared" ca="1" si="113"/>
        <v>2</v>
      </c>
    </row>
    <row r="1419" spans="1:47" x14ac:dyDescent="0.3">
      <c r="A1419" t="s">
        <v>2057</v>
      </c>
      <c r="B1419" t="str">
        <f t="shared" si="110"/>
        <v>S33_2026</v>
      </c>
      <c r="C1419" t="str">
        <f t="shared" si="112"/>
        <v>S33_2026</v>
      </c>
      <c r="E1419">
        <v>693799235</v>
      </c>
      <c r="F1419">
        <v>36</v>
      </c>
      <c r="G1419" t="s">
        <v>40</v>
      </c>
      <c r="H1419" t="s">
        <v>77</v>
      </c>
      <c r="I1419" t="s">
        <v>2034</v>
      </c>
      <c r="J1419" t="s">
        <v>2058</v>
      </c>
      <c r="K1419" t="s">
        <v>1758</v>
      </c>
      <c r="L1419" t="s">
        <v>1757</v>
      </c>
      <c r="M1419" t="s">
        <v>1758</v>
      </c>
      <c r="N1419" t="s">
        <v>45</v>
      </c>
      <c r="O1419" t="s">
        <v>45</v>
      </c>
      <c r="P1419">
        <v>2</v>
      </c>
      <c r="Q1419" s="7">
        <v>46249</v>
      </c>
      <c r="R1419" s="7">
        <v>46249</v>
      </c>
      <c r="S1419" s="7">
        <v>46249</v>
      </c>
      <c r="T1419" t="s">
        <v>45</v>
      </c>
      <c r="V1419" t="s">
        <v>2059</v>
      </c>
      <c r="W1419" t="s">
        <v>45</v>
      </c>
      <c r="X1419" t="s">
        <v>45</v>
      </c>
      <c r="Y1419" t="s">
        <v>74</v>
      </c>
      <c r="Z1419" t="s">
        <v>74</v>
      </c>
      <c r="AA1419" s="7">
        <v>46249</v>
      </c>
      <c r="AB1419" t="s">
        <v>48</v>
      </c>
      <c r="AE1419" s="7">
        <v>46250</v>
      </c>
      <c r="AF1419">
        <v>2</v>
      </c>
      <c r="AH1419" t="s">
        <v>75</v>
      </c>
      <c r="AI1419">
        <v>1</v>
      </c>
      <c r="AJ1419" s="15"/>
      <c r="AK1419" t="s">
        <v>74</v>
      </c>
      <c r="AL1419" s="16"/>
      <c r="AR1419" s="18" t="str">
        <f>IFERROR(VLOOKUP(K1419,[1]POP!$F:$J,1,0),M1419)</f>
        <v>MAROUA 2</v>
      </c>
      <c r="AS1419" s="18" t="str">
        <f t="shared" si="111"/>
        <v xml:space="preserve">DOUALARE </v>
      </c>
      <c r="AT1419" s="19">
        <f t="shared" si="114"/>
        <v>2</v>
      </c>
      <c r="AU1419" s="19">
        <f t="shared" ca="1" si="113"/>
        <v>1</v>
      </c>
    </row>
    <row r="1420" spans="1:47" x14ac:dyDescent="0.3">
      <c r="A1420" t="s">
        <v>2060</v>
      </c>
      <c r="B1420" t="str">
        <f t="shared" si="110"/>
        <v>S33_2026</v>
      </c>
      <c r="C1420" t="str">
        <f t="shared" si="112"/>
        <v>S33_2026</v>
      </c>
      <c r="E1420">
        <v>658926298</v>
      </c>
      <c r="F1420">
        <v>15</v>
      </c>
      <c r="G1420" t="s">
        <v>40</v>
      </c>
      <c r="H1420" t="s">
        <v>56</v>
      </c>
      <c r="I1420" t="s">
        <v>2034</v>
      </c>
      <c r="J1420" t="s">
        <v>2058</v>
      </c>
      <c r="K1420" t="s">
        <v>1758</v>
      </c>
      <c r="L1420" t="s">
        <v>1757</v>
      </c>
      <c r="M1420" t="s">
        <v>1758</v>
      </c>
      <c r="N1420" t="s">
        <v>45</v>
      </c>
      <c r="O1420" t="s">
        <v>45</v>
      </c>
      <c r="P1420">
        <v>3</v>
      </c>
      <c r="Q1420" s="7">
        <v>46249</v>
      </c>
      <c r="R1420" s="7">
        <v>46249</v>
      </c>
      <c r="S1420" s="7">
        <v>46249</v>
      </c>
      <c r="T1420" t="s">
        <v>45</v>
      </c>
      <c r="V1420" t="s">
        <v>2061</v>
      </c>
      <c r="W1420" t="s">
        <v>45</v>
      </c>
      <c r="X1420" t="s">
        <v>45</v>
      </c>
      <c r="Y1420" t="s">
        <v>45</v>
      </c>
      <c r="Z1420" t="s">
        <v>74</v>
      </c>
      <c r="AA1420" s="7">
        <v>46249</v>
      </c>
      <c r="AB1420" t="s">
        <v>48</v>
      </c>
      <c r="AE1420" s="7">
        <v>46251</v>
      </c>
      <c r="AF1420">
        <v>2</v>
      </c>
      <c r="AH1420" t="s">
        <v>75</v>
      </c>
      <c r="AI1420">
        <v>1</v>
      </c>
      <c r="AJ1420" s="15"/>
      <c r="AK1420" t="s">
        <v>74</v>
      </c>
      <c r="AL1420" s="16"/>
      <c r="AR1420" s="18" t="str">
        <f>IFERROR(VLOOKUP(K1420,[1]POP!$F:$J,1,0),M1420)</f>
        <v>MAROUA 2</v>
      </c>
      <c r="AS1420" s="18" t="str">
        <f t="shared" si="111"/>
        <v xml:space="preserve">DOUALARE </v>
      </c>
      <c r="AT1420" s="19">
        <f t="shared" si="114"/>
        <v>2</v>
      </c>
      <c r="AU1420" s="19">
        <f t="shared" ca="1" si="113"/>
        <v>1</v>
      </c>
    </row>
    <row r="1421" spans="1:47" x14ac:dyDescent="0.3">
      <c r="A1421" t="s">
        <v>2062</v>
      </c>
      <c r="B1421" t="str">
        <f t="shared" si="110"/>
        <v>S33_2026</v>
      </c>
      <c r="C1421" t="str">
        <f t="shared" si="112"/>
        <v>S33_2026</v>
      </c>
      <c r="E1421">
        <v>640597278</v>
      </c>
      <c r="F1421">
        <v>35</v>
      </c>
      <c r="G1421" t="s">
        <v>40</v>
      </c>
      <c r="H1421" t="s">
        <v>77</v>
      </c>
      <c r="I1421" t="s">
        <v>2034</v>
      </c>
      <c r="J1421" t="s">
        <v>2058</v>
      </c>
      <c r="K1421" t="s">
        <v>1758</v>
      </c>
      <c r="L1421" t="s">
        <v>1757</v>
      </c>
      <c r="M1421" t="s">
        <v>1758</v>
      </c>
      <c r="N1421" t="s">
        <v>45</v>
      </c>
      <c r="O1421" t="s">
        <v>45</v>
      </c>
      <c r="P1421">
        <v>2</v>
      </c>
      <c r="Q1421" s="7">
        <v>46249</v>
      </c>
      <c r="R1421" s="7">
        <v>46249</v>
      </c>
      <c r="S1421" s="7">
        <v>46249</v>
      </c>
      <c r="T1421" t="s">
        <v>45</v>
      </c>
      <c r="V1421" t="s">
        <v>2059</v>
      </c>
      <c r="W1421" t="s">
        <v>45</v>
      </c>
      <c r="X1421" t="s">
        <v>45</v>
      </c>
      <c r="Y1421" t="s">
        <v>74</v>
      </c>
      <c r="Z1421" t="s">
        <v>74</v>
      </c>
      <c r="AA1421" s="7">
        <v>46249</v>
      </c>
      <c r="AB1421" t="s">
        <v>48</v>
      </c>
      <c r="AE1421" s="7">
        <v>46250</v>
      </c>
      <c r="AF1421">
        <v>2</v>
      </c>
      <c r="AH1421" t="s">
        <v>75</v>
      </c>
      <c r="AI1421">
        <v>1</v>
      </c>
      <c r="AJ1421" s="15"/>
      <c r="AK1421" t="s">
        <v>74</v>
      </c>
      <c r="AL1421" s="16"/>
      <c r="AR1421" s="18" t="str">
        <f>IFERROR(VLOOKUP(K1421,[1]POP!$F:$J,1,0),M1421)</f>
        <v>MAROUA 2</v>
      </c>
      <c r="AS1421" s="18" t="str">
        <f t="shared" si="111"/>
        <v xml:space="preserve">DOUALARE </v>
      </c>
      <c r="AT1421" s="19">
        <f t="shared" si="114"/>
        <v>2</v>
      </c>
      <c r="AU1421" s="19">
        <f t="shared" ca="1" si="113"/>
        <v>1</v>
      </c>
    </row>
    <row r="1422" spans="1:47" x14ac:dyDescent="0.3">
      <c r="A1422" t="s">
        <v>2063</v>
      </c>
      <c r="B1422" t="str">
        <f t="shared" si="110"/>
        <v>S34_2026</v>
      </c>
      <c r="C1422" t="str">
        <f t="shared" si="112"/>
        <v>S34_2026</v>
      </c>
      <c r="E1422">
        <v>688208664</v>
      </c>
      <c r="F1422">
        <v>15</v>
      </c>
      <c r="G1422" t="s">
        <v>40</v>
      </c>
      <c r="H1422" t="s">
        <v>56</v>
      </c>
      <c r="I1422" t="s">
        <v>2064</v>
      </c>
      <c r="J1422" t="s">
        <v>2058</v>
      </c>
      <c r="K1422" t="s">
        <v>1758</v>
      </c>
      <c r="L1422" t="s">
        <v>1757</v>
      </c>
      <c r="M1422" t="s">
        <v>1758</v>
      </c>
      <c r="N1422" t="s">
        <v>45</v>
      </c>
      <c r="O1422" t="s">
        <v>45</v>
      </c>
      <c r="P1422">
        <v>3</v>
      </c>
      <c r="Q1422" s="7">
        <v>46252</v>
      </c>
      <c r="R1422" s="7">
        <v>46252</v>
      </c>
      <c r="S1422" s="7">
        <v>46252</v>
      </c>
      <c r="T1422" t="s">
        <v>74</v>
      </c>
      <c r="V1422" t="s">
        <v>2059</v>
      </c>
      <c r="W1422" t="s">
        <v>74</v>
      </c>
      <c r="X1422" t="s">
        <v>74</v>
      </c>
      <c r="Y1422" t="s">
        <v>74</v>
      </c>
      <c r="Z1422" t="s">
        <v>74</v>
      </c>
      <c r="AF1422">
        <v>3</v>
      </c>
      <c r="AH1422" t="s">
        <v>75</v>
      </c>
      <c r="AI1422">
        <v>3</v>
      </c>
      <c r="AJ1422" s="15"/>
      <c r="AL1422" s="16"/>
      <c r="AR1422" s="18" t="str">
        <f>IFERROR(VLOOKUP(K1422,[1]POP!$F:$J,1,0),M1422)</f>
        <v>MAROUA 2</v>
      </c>
      <c r="AS1422" s="18" t="str">
        <f t="shared" si="111"/>
        <v xml:space="preserve">DOUALARE </v>
      </c>
      <c r="AT1422" s="19">
        <f t="shared" si="114"/>
        <v>3</v>
      </c>
      <c r="AU1422" s="19">
        <f t="shared" ca="1" si="113"/>
        <v>1</v>
      </c>
    </row>
    <row r="1423" spans="1:47" x14ac:dyDescent="0.3">
      <c r="A1423" t="s">
        <v>2065</v>
      </c>
      <c r="B1423" t="str">
        <f t="shared" si="110"/>
        <v>S34_2026</v>
      </c>
      <c r="C1423" t="str">
        <f t="shared" si="112"/>
        <v>S34_2026</v>
      </c>
      <c r="E1423">
        <v>688208664</v>
      </c>
      <c r="F1423">
        <v>10</v>
      </c>
      <c r="G1423" t="s">
        <v>40</v>
      </c>
      <c r="H1423" t="s">
        <v>56</v>
      </c>
      <c r="I1423" t="s">
        <v>2064</v>
      </c>
      <c r="J1423" t="s">
        <v>2058</v>
      </c>
      <c r="K1423" t="s">
        <v>1758</v>
      </c>
      <c r="L1423" t="s">
        <v>1757</v>
      </c>
      <c r="M1423" t="s">
        <v>1758</v>
      </c>
      <c r="N1423" t="s">
        <v>45</v>
      </c>
      <c r="O1423" t="s">
        <v>45</v>
      </c>
      <c r="P1423">
        <v>3</v>
      </c>
      <c r="Q1423" s="7">
        <v>46252</v>
      </c>
      <c r="R1423" s="7">
        <v>46252</v>
      </c>
      <c r="S1423" s="7">
        <v>46252</v>
      </c>
      <c r="T1423" t="s">
        <v>74</v>
      </c>
      <c r="V1423" t="s">
        <v>2059</v>
      </c>
      <c r="W1423" t="s">
        <v>74</v>
      </c>
      <c r="X1423" t="s">
        <v>74</v>
      </c>
      <c r="Y1423" t="s">
        <v>74</v>
      </c>
      <c r="Z1423" t="s">
        <v>74</v>
      </c>
      <c r="AF1423">
        <v>3</v>
      </c>
      <c r="AH1423" t="s">
        <v>75</v>
      </c>
      <c r="AI1423">
        <v>3</v>
      </c>
      <c r="AJ1423" s="15"/>
      <c r="AL1423" s="16"/>
      <c r="AR1423" s="18" t="str">
        <f>IFERROR(VLOOKUP(K1423,[1]POP!$F:$J,1,0),M1423)</f>
        <v>MAROUA 2</v>
      </c>
      <c r="AS1423" s="18" t="str">
        <f t="shared" si="111"/>
        <v xml:space="preserve">DOUALARE </v>
      </c>
      <c r="AT1423" s="19">
        <f t="shared" si="114"/>
        <v>3</v>
      </c>
      <c r="AU1423" s="19">
        <f t="shared" ca="1" si="113"/>
        <v>1</v>
      </c>
    </row>
    <row r="1424" spans="1:47" x14ac:dyDescent="0.3">
      <c r="A1424" t="s">
        <v>2066</v>
      </c>
      <c r="B1424" t="str">
        <f t="shared" si="110"/>
        <v>S34_2026</v>
      </c>
      <c r="C1424" t="str">
        <f t="shared" si="112"/>
        <v>S34_2026</v>
      </c>
      <c r="E1424">
        <v>686621467</v>
      </c>
      <c r="F1424">
        <v>27</v>
      </c>
      <c r="G1424" t="s">
        <v>40</v>
      </c>
      <c r="H1424" t="s">
        <v>77</v>
      </c>
      <c r="I1424" t="s">
        <v>2067</v>
      </c>
      <c r="J1424" t="s">
        <v>2058</v>
      </c>
      <c r="K1424" t="s">
        <v>1758</v>
      </c>
      <c r="L1424" t="s">
        <v>1757</v>
      </c>
      <c r="M1424" t="s">
        <v>1758</v>
      </c>
      <c r="N1424" t="s">
        <v>45</v>
      </c>
      <c r="O1424" t="s">
        <v>45</v>
      </c>
      <c r="P1424">
        <v>2</v>
      </c>
      <c r="Q1424" s="7">
        <v>46252</v>
      </c>
      <c r="R1424" s="7">
        <v>46252</v>
      </c>
      <c r="S1424" s="7">
        <v>46252</v>
      </c>
      <c r="T1424" t="s">
        <v>45</v>
      </c>
      <c r="V1424" t="s">
        <v>2059</v>
      </c>
      <c r="W1424" t="s">
        <v>45</v>
      </c>
      <c r="X1424" t="s">
        <v>45</v>
      </c>
      <c r="Y1424" t="s">
        <v>74</v>
      </c>
      <c r="Z1424" t="s">
        <v>74</v>
      </c>
      <c r="AA1424" s="7">
        <v>46252</v>
      </c>
      <c r="AB1424" t="s">
        <v>48</v>
      </c>
      <c r="AE1424" s="7">
        <v>46253</v>
      </c>
      <c r="AF1424">
        <v>2</v>
      </c>
      <c r="AH1424" t="s">
        <v>75</v>
      </c>
      <c r="AI1424">
        <v>1</v>
      </c>
      <c r="AJ1424" s="15"/>
      <c r="AK1424" t="s">
        <v>74</v>
      </c>
      <c r="AL1424" s="16"/>
      <c r="AR1424" s="18" t="str">
        <f>IFERROR(VLOOKUP(K1424,[1]POP!$F:$J,1,0),M1424)</f>
        <v>MAROUA 2</v>
      </c>
      <c r="AS1424" s="18" t="str">
        <f t="shared" si="111"/>
        <v xml:space="preserve">DOUALARE </v>
      </c>
      <c r="AT1424" s="19">
        <f t="shared" si="114"/>
        <v>2</v>
      </c>
      <c r="AU1424" s="19">
        <f t="shared" ca="1" si="113"/>
        <v>1</v>
      </c>
    </row>
    <row r="1425" spans="1:47" x14ac:dyDescent="0.3">
      <c r="A1425" t="s">
        <v>2068</v>
      </c>
      <c r="B1425" t="str">
        <f t="shared" si="110"/>
        <v>S34_2026</v>
      </c>
      <c r="C1425" t="str">
        <f t="shared" si="112"/>
        <v>S34_2026</v>
      </c>
      <c r="E1425">
        <v>686621467</v>
      </c>
      <c r="F1425">
        <v>7</v>
      </c>
      <c r="G1425" t="s">
        <v>40</v>
      </c>
      <c r="I1425" t="s">
        <v>2067</v>
      </c>
      <c r="J1425" t="s">
        <v>2058</v>
      </c>
      <c r="K1425" t="s">
        <v>1758</v>
      </c>
      <c r="L1425" t="s">
        <v>1757</v>
      </c>
      <c r="M1425" t="s">
        <v>1758</v>
      </c>
      <c r="N1425" t="s">
        <v>45</v>
      </c>
      <c r="O1425" t="s">
        <v>45</v>
      </c>
      <c r="P1425">
        <v>2</v>
      </c>
      <c r="Q1425" s="7">
        <v>46252</v>
      </c>
      <c r="R1425" s="7">
        <v>46252</v>
      </c>
      <c r="S1425" s="7">
        <v>46252</v>
      </c>
      <c r="T1425" t="s">
        <v>45</v>
      </c>
      <c r="V1425" t="s">
        <v>2059</v>
      </c>
      <c r="W1425" t="s">
        <v>45</v>
      </c>
      <c r="X1425" t="s">
        <v>45</v>
      </c>
      <c r="Y1425" t="s">
        <v>74</v>
      </c>
      <c r="Z1425" t="s">
        <v>74</v>
      </c>
      <c r="AA1425" s="7">
        <v>46252</v>
      </c>
      <c r="AB1425" t="s">
        <v>48</v>
      </c>
      <c r="AE1425" s="7">
        <v>46253</v>
      </c>
      <c r="AF1425">
        <v>2</v>
      </c>
      <c r="AH1425" t="s">
        <v>75</v>
      </c>
      <c r="AI1425">
        <v>1</v>
      </c>
      <c r="AJ1425" s="15"/>
      <c r="AK1425" t="s">
        <v>74</v>
      </c>
      <c r="AL1425" s="16"/>
      <c r="AR1425" s="18" t="str">
        <f>IFERROR(VLOOKUP(K1425,[1]POP!$F:$J,1,0),M1425)</f>
        <v>MAROUA 2</v>
      </c>
      <c r="AS1425" s="18" t="str">
        <f t="shared" si="111"/>
        <v xml:space="preserve">DOUALARE </v>
      </c>
      <c r="AT1425" s="19">
        <f t="shared" si="114"/>
        <v>2</v>
      </c>
      <c r="AU1425" s="19">
        <f t="shared" ca="1" si="113"/>
        <v>1</v>
      </c>
    </row>
    <row r="1426" spans="1:47" x14ac:dyDescent="0.3">
      <c r="A1426" t="s">
        <v>2069</v>
      </c>
      <c r="B1426" t="str">
        <f t="shared" si="110"/>
        <v>S34_2026</v>
      </c>
      <c r="C1426" t="str">
        <f t="shared" si="112"/>
        <v>S34_2026</v>
      </c>
      <c r="E1426">
        <v>686621467</v>
      </c>
      <c r="F1426">
        <v>15</v>
      </c>
      <c r="G1426" t="s">
        <v>55</v>
      </c>
      <c r="I1426" t="s">
        <v>2067</v>
      </c>
      <c r="J1426" t="s">
        <v>2058</v>
      </c>
      <c r="K1426" t="s">
        <v>1758</v>
      </c>
      <c r="L1426" t="s">
        <v>1757</v>
      </c>
      <c r="M1426" t="s">
        <v>1758</v>
      </c>
      <c r="N1426" t="s">
        <v>45</v>
      </c>
      <c r="O1426" t="s">
        <v>45</v>
      </c>
      <c r="P1426">
        <v>3</v>
      </c>
      <c r="Q1426" s="7">
        <v>46252</v>
      </c>
      <c r="R1426" s="7">
        <v>46252</v>
      </c>
      <c r="S1426" s="7">
        <v>46252</v>
      </c>
      <c r="T1426" t="s">
        <v>45</v>
      </c>
      <c r="V1426" t="s">
        <v>2059</v>
      </c>
      <c r="W1426" t="s">
        <v>45</v>
      </c>
      <c r="X1426" t="s">
        <v>45</v>
      </c>
      <c r="Y1426" t="s">
        <v>45</v>
      </c>
      <c r="Z1426" t="s">
        <v>74</v>
      </c>
      <c r="AA1426" s="7">
        <v>46252</v>
      </c>
      <c r="AB1426" t="s">
        <v>48</v>
      </c>
      <c r="AE1426" s="7">
        <v>46253</v>
      </c>
      <c r="AF1426">
        <v>2</v>
      </c>
      <c r="AH1426" t="s">
        <v>75</v>
      </c>
      <c r="AI1426">
        <v>1</v>
      </c>
      <c r="AJ1426" s="15"/>
      <c r="AK1426" t="s">
        <v>74</v>
      </c>
      <c r="AL1426" s="16"/>
      <c r="AR1426" s="18" t="str">
        <f>IFERROR(VLOOKUP(K1426,[1]POP!$F:$J,1,0),M1426)</f>
        <v>MAROUA 2</v>
      </c>
      <c r="AS1426" s="18" t="str">
        <f t="shared" si="111"/>
        <v xml:space="preserve">DOUALARE </v>
      </c>
      <c r="AT1426" s="19">
        <f t="shared" si="114"/>
        <v>2</v>
      </c>
      <c r="AU1426" s="19">
        <f t="shared" ca="1" si="113"/>
        <v>1</v>
      </c>
    </row>
    <row r="1427" spans="1:47" x14ac:dyDescent="0.3">
      <c r="A1427" t="s">
        <v>2070</v>
      </c>
      <c r="B1427" t="str">
        <f t="shared" si="110"/>
        <v>S34_2026</v>
      </c>
      <c r="C1427" t="str">
        <f t="shared" si="112"/>
        <v>S34_2026</v>
      </c>
      <c r="E1427">
        <v>686621467</v>
      </c>
      <c r="F1427">
        <v>9</v>
      </c>
      <c r="G1427" t="s">
        <v>40</v>
      </c>
      <c r="I1427" t="s">
        <v>2067</v>
      </c>
      <c r="J1427" t="s">
        <v>2058</v>
      </c>
      <c r="K1427" t="s">
        <v>1758</v>
      </c>
      <c r="L1427" t="s">
        <v>1757</v>
      </c>
      <c r="M1427" t="s">
        <v>1758</v>
      </c>
      <c r="N1427" t="s">
        <v>45</v>
      </c>
      <c r="O1427" t="s">
        <v>45</v>
      </c>
      <c r="P1427">
        <v>2</v>
      </c>
      <c r="Q1427" s="7">
        <v>46252</v>
      </c>
      <c r="R1427" s="7">
        <v>46252</v>
      </c>
      <c r="S1427" s="7">
        <v>46252</v>
      </c>
      <c r="T1427" t="s">
        <v>45</v>
      </c>
      <c r="V1427" t="s">
        <v>2059</v>
      </c>
      <c r="W1427" t="s">
        <v>45</v>
      </c>
      <c r="X1427" t="s">
        <v>45</v>
      </c>
      <c r="Y1427" t="s">
        <v>74</v>
      </c>
      <c r="Z1427" t="s">
        <v>74</v>
      </c>
      <c r="AA1427" s="7">
        <v>46252</v>
      </c>
      <c r="AB1427" t="s">
        <v>48</v>
      </c>
      <c r="AE1427" s="7">
        <v>46253</v>
      </c>
      <c r="AF1427">
        <v>2</v>
      </c>
      <c r="AH1427" t="s">
        <v>75</v>
      </c>
      <c r="AI1427">
        <v>1</v>
      </c>
      <c r="AJ1427" s="15"/>
      <c r="AK1427" t="s">
        <v>74</v>
      </c>
      <c r="AL1427" s="16"/>
      <c r="AR1427" s="18" t="str">
        <f>IFERROR(VLOOKUP(K1427,[1]POP!$F:$J,1,0),M1427)</f>
        <v>MAROUA 2</v>
      </c>
      <c r="AS1427" s="18" t="str">
        <f t="shared" si="111"/>
        <v xml:space="preserve">DOUALARE </v>
      </c>
      <c r="AT1427" s="19">
        <f t="shared" si="114"/>
        <v>2</v>
      </c>
      <c r="AU1427" s="19">
        <f t="shared" ca="1" si="113"/>
        <v>1</v>
      </c>
    </row>
    <row r="1428" spans="1:47" x14ac:dyDescent="0.3">
      <c r="A1428" t="s">
        <v>2071</v>
      </c>
      <c r="B1428" t="str">
        <f t="shared" si="110"/>
        <v>S34_2026</v>
      </c>
      <c r="C1428" t="str">
        <f t="shared" si="112"/>
        <v>S34_2026</v>
      </c>
      <c r="E1428">
        <v>658536116</v>
      </c>
      <c r="F1428">
        <v>13</v>
      </c>
      <c r="G1428" t="s">
        <v>40</v>
      </c>
      <c r="I1428" t="s">
        <v>2072</v>
      </c>
      <c r="J1428" t="s">
        <v>2058</v>
      </c>
      <c r="K1428" t="s">
        <v>1758</v>
      </c>
      <c r="L1428" t="s">
        <v>1757</v>
      </c>
      <c r="M1428" t="s">
        <v>1758</v>
      </c>
      <c r="N1428" t="s">
        <v>45</v>
      </c>
      <c r="O1428" t="s">
        <v>45</v>
      </c>
      <c r="P1428">
        <v>2</v>
      </c>
      <c r="Q1428" s="7">
        <v>46252</v>
      </c>
      <c r="R1428" s="7">
        <v>46252</v>
      </c>
      <c r="S1428" s="7">
        <v>46252</v>
      </c>
      <c r="T1428" t="s">
        <v>45</v>
      </c>
      <c r="V1428" t="s">
        <v>2059</v>
      </c>
      <c r="W1428" t="s">
        <v>45</v>
      </c>
      <c r="X1428" t="s">
        <v>45</v>
      </c>
      <c r="Y1428" t="s">
        <v>74</v>
      </c>
      <c r="Z1428" t="s">
        <v>74</v>
      </c>
      <c r="AA1428" s="7">
        <v>46252</v>
      </c>
      <c r="AB1428" t="s">
        <v>48</v>
      </c>
      <c r="AE1428" s="7">
        <v>46253</v>
      </c>
      <c r="AF1428">
        <v>2</v>
      </c>
      <c r="AH1428" t="s">
        <v>75</v>
      </c>
      <c r="AI1428">
        <v>1</v>
      </c>
      <c r="AJ1428" s="15"/>
      <c r="AK1428" t="s">
        <v>74</v>
      </c>
      <c r="AL1428" s="16"/>
      <c r="AR1428" s="18" t="str">
        <f>IFERROR(VLOOKUP(K1428,[1]POP!$F:$J,1,0),M1428)</f>
        <v>MAROUA 2</v>
      </c>
      <c r="AS1428" s="18" t="str">
        <f t="shared" si="111"/>
        <v xml:space="preserve">DOUALARE </v>
      </c>
      <c r="AT1428" s="19">
        <f t="shared" si="114"/>
        <v>2</v>
      </c>
      <c r="AU1428" s="19">
        <f t="shared" ca="1" si="113"/>
        <v>1</v>
      </c>
    </row>
    <row r="1429" spans="1:47" x14ac:dyDescent="0.3">
      <c r="A1429" t="s">
        <v>2073</v>
      </c>
      <c r="B1429" t="str">
        <f t="shared" si="110"/>
        <v>S34_2026</v>
      </c>
      <c r="C1429" t="str">
        <f t="shared" si="112"/>
        <v>S34_2026</v>
      </c>
      <c r="E1429">
        <v>688208664</v>
      </c>
      <c r="F1429">
        <v>2</v>
      </c>
      <c r="G1429" t="s">
        <v>55</v>
      </c>
      <c r="H1429" t="s">
        <v>376</v>
      </c>
      <c r="I1429" t="s">
        <v>2034</v>
      </c>
      <c r="J1429" t="s">
        <v>2058</v>
      </c>
      <c r="K1429" t="s">
        <v>1758</v>
      </c>
      <c r="L1429" t="s">
        <v>1757</v>
      </c>
      <c r="M1429" t="s">
        <v>1758</v>
      </c>
      <c r="N1429" t="s">
        <v>45</v>
      </c>
      <c r="O1429" t="s">
        <v>45</v>
      </c>
      <c r="P1429">
        <v>2</v>
      </c>
      <c r="Q1429" s="7">
        <v>46252</v>
      </c>
      <c r="R1429" s="7">
        <v>46252</v>
      </c>
      <c r="S1429" s="7">
        <v>46252</v>
      </c>
      <c r="T1429" t="s">
        <v>45</v>
      </c>
      <c r="V1429" t="s">
        <v>2059</v>
      </c>
      <c r="W1429" t="s">
        <v>45</v>
      </c>
      <c r="X1429" t="s">
        <v>45</v>
      </c>
      <c r="Y1429" t="s">
        <v>45</v>
      </c>
      <c r="Z1429" t="s">
        <v>74</v>
      </c>
      <c r="AA1429" s="7">
        <v>46252</v>
      </c>
      <c r="AB1429" t="s">
        <v>48</v>
      </c>
      <c r="AE1429" s="7">
        <v>46253</v>
      </c>
      <c r="AF1429">
        <v>2</v>
      </c>
      <c r="AH1429" t="s">
        <v>75</v>
      </c>
      <c r="AI1429">
        <v>1</v>
      </c>
      <c r="AJ1429" s="15"/>
      <c r="AK1429" t="s">
        <v>74</v>
      </c>
      <c r="AL1429" s="16"/>
      <c r="AR1429" s="18" t="str">
        <f>IFERROR(VLOOKUP(K1429,[1]POP!$F:$J,1,0),M1429)</f>
        <v>MAROUA 2</v>
      </c>
      <c r="AS1429" s="18" t="str">
        <f t="shared" si="111"/>
        <v xml:space="preserve">DOUALARE </v>
      </c>
      <c r="AT1429" s="19">
        <f t="shared" si="114"/>
        <v>2</v>
      </c>
      <c r="AU1429" s="19">
        <f t="shared" ca="1" si="113"/>
        <v>1</v>
      </c>
    </row>
    <row r="1430" spans="1:47" x14ac:dyDescent="0.3">
      <c r="A1430" t="s">
        <v>2074</v>
      </c>
      <c r="B1430" t="str">
        <f t="shared" si="110"/>
        <v>S34_2026</v>
      </c>
      <c r="C1430" t="str">
        <f t="shared" si="112"/>
        <v>S34_2026</v>
      </c>
      <c r="E1430">
        <v>691541957</v>
      </c>
      <c r="F1430">
        <v>3</v>
      </c>
      <c r="G1430" t="s">
        <v>40</v>
      </c>
      <c r="I1430" t="s">
        <v>2064</v>
      </c>
      <c r="J1430" t="s">
        <v>2058</v>
      </c>
      <c r="K1430" t="s">
        <v>1758</v>
      </c>
      <c r="L1430" t="s">
        <v>1757</v>
      </c>
      <c r="M1430" t="s">
        <v>1758</v>
      </c>
      <c r="N1430" t="s">
        <v>45</v>
      </c>
      <c r="O1430" t="s">
        <v>45</v>
      </c>
      <c r="P1430">
        <v>1</v>
      </c>
      <c r="Q1430" s="7">
        <v>46252</v>
      </c>
      <c r="R1430" s="7">
        <v>46252</v>
      </c>
      <c r="S1430" s="7">
        <v>46252</v>
      </c>
      <c r="T1430" t="s">
        <v>45</v>
      </c>
      <c r="V1430" t="s">
        <v>2059</v>
      </c>
      <c r="W1430" t="s">
        <v>45</v>
      </c>
      <c r="X1430" t="s">
        <v>45</v>
      </c>
      <c r="Y1430" t="s">
        <v>74</v>
      </c>
      <c r="Z1430" t="s">
        <v>74</v>
      </c>
      <c r="AA1430" s="7">
        <v>46252</v>
      </c>
      <c r="AB1430" t="s">
        <v>48</v>
      </c>
      <c r="AE1430" s="7">
        <v>46253</v>
      </c>
      <c r="AF1430">
        <v>2</v>
      </c>
      <c r="AH1430" t="s">
        <v>75</v>
      </c>
      <c r="AI1430">
        <v>1</v>
      </c>
      <c r="AJ1430" s="15"/>
      <c r="AK1430" t="s">
        <v>74</v>
      </c>
      <c r="AL1430" s="16"/>
      <c r="AR1430" s="18" t="str">
        <f>IFERROR(VLOOKUP(K1430,[1]POP!$F:$J,1,0),M1430)</f>
        <v>MAROUA 2</v>
      </c>
      <c r="AS1430" s="18" t="str">
        <f t="shared" si="111"/>
        <v xml:space="preserve">DOUALARE </v>
      </c>
      <c r="AT1430" s="19">
        <f t="shared" si="114"/>
        <v>2</v>
      </c>
      <c r="AU1430" s="19">
        <f t="shared" ca="1" si="113"/>
        <v>1</v>
      </c>
    </row>
    <row r="1431" spans="1:47" x14ac:dyDescent="0.3">
      <c r="A1431" t="s">
        <v>2075</v>
      </c>
      <c r="B1431" t="str">
        <f t="shared" si="110"/>
        <v>S34_2026</v>
      </c>
      <c r="C1431" t="str">
        <f t="shared" si="112"/>
        <v>S34_2026</v>
      </c>
      <c r="E1431">
        <v>691572521</v>
      </c>
      <c r="F1431">
        <v>27</v>
      </c>
      <c r="G1431" t="s">
        <v>40</v>
      </c>
      <c r="H1431" t="s">
        <v>77</v>
      </c>
      <c r="I1431" t="s">
        <v>2067</v>
      </c>
      <c r="J1431" t="s">
        <v>2058</v>
      </c>
      <c r="K1431" t="s">
        <v>1758</v>
      </c>
      <c r="L1431" t="s">
        <v>1757</v>
      </c>
      <c r="M1431" t="s">
        <v>1758</v>
      </c>
      <c r="N1431" t="s">
        <v>45</v>
      </c>
      <c r="O1431" t="s">
        <v>45</v>
      </c>
      <c r="P1431">
        <v>3</v>
      </c>
      <c r="Q1431" s="7">
        <v>46253</v>
      </c>
      <c r="R1431" s="7">
        <v>46253</v>
      </c>
      <c r="S1431" s="7">
        <v>46253</v>
      </c>
      <c r="T1431" t="s">
        <v>45</v>
      </c>
      <c r="V1431" t="s">
        <v>2059</v>
      </c>
      <c r="W1431" t="s">
        <v>45</v>
      </c>
      <c r="X1431" t="s">
        <v>45</v>
      </c>
      <c r="Y1431" t="s">
        <v>45</v>
      </c>
      <c r="Z1431" t="s">
        <v>74</v>
      </c>
      <c r="AA1431" s="7">
        <v>46253</v>
      </c>
      <c r="AB1431" t="s">
        <v>48</v>
      </c>
      <c r="AE1431" s="7">
        <v>46254</v>
      </c>
      <c r="AF1431">
        <v>2</v>
      </c>
      <c r="AH1431" t="s">
        <v>75</v>
      </c>
      <c r="AI1431">
        <v>1</v>
      </c>
      <c r="AJ1431" s="15"/>
      <c r="AK1431" t="s">
        <v>74</v>
      </c>
      <c r="AL1431" s="16"/>
      <c r="AR1431" s="18" t="str">
        <f>IFERROR(VLOOKUP(K1431,[1]POP!$F:$J,1,0),M1431)</f>
        <v>MAROUA 2</v>
      </c>
      <c r="AS1431" s="18" t="str">
        <f t="shared" si="111"/>
        <v xml:space="preserve">DOUALARE </v>
      </c>
      <c r="AT1431" s="19">
        <f t="shared" si="114"/>
        <v>2</v>
      </c>
      <c r="AU1431" s="19">
        <f t="shared" ca="1" si="113"/>
        <v>1</v>
      </c>
    </row>
    <row r="1432" spans="1:47" x14ac:dyDescent="0.3">
      <c r="A1432" t="s">
        <v>2076</v>
      </c>
      <c r="B1432" t="str">
        <f t="shared" si="110"/>
        <v>S33_2026</v>
      </c>
      <c r="C1432" t="str">
        <f t="shared" si="112"/>
        <v>S33_2026</v>
      </c>
      <c r="E1432">
        <v>696451877</v>
      </c>
      <c r="F1432">
        <v>7</v>
      </c>
      <c r="G1432" t="s">
        <v>40</v>
      </c>
      <c r="H1432" t="s">
        <v>1918</v>
      </c>
      <c r="I1432" t="s">
        <v>2077</v>
      </c>
      <c r="J1432" t="s">
        <v>2078</v>
      </c>
      <c r="K1432" t="s">
        <v>2079</v>
      </c>
      <c r="L1432" t="s">
        <v>2080</v>
      </c>
      <c r="M1432" t="s">
        <v>2079</v>
      </c>
      <c r="N1432" t="s">
        <v>45</v>
      </c>
      <c r="O1432" t="s">
        <v>45</v>
      </c>
      <c r="P1432">
        <v>2</v>
      </c>
      <c r="Q1432" s="7">
        <v>46250</v>
      </c>
      <c r="R1432" s="7">
        <v>46250</v>
      </c>
      <c r="S1432" s="7">
        <v>46250</v>
      </c>
      <c r="T1432" t="s">
        <v>45</v>
      </c>
      <c r="V1432" t="s">
        <v>2081</v>
      </c>
      <c r="W1432" t="s">
        <v>45</v>
      </c>
      <c r="X1432" t="s">
        <v>45</v>
      </c>
      <c r="Y1432" t="s">
        <v>45</v>
      </c>
      <c r="Z1432" t="s">
        <v>45</v>
      </c>
      <c r="AB1432" t="s">
        <v>48</v>
      </c>
      <c r="AC1432" t="s">
        <v>74</v>
      </c>
      <c r="AD1432" t="s">
        <v>74</v>
      </c>
      <c r="AE1432" s="7">
        <v>46251</v>
      </c>
      <c r="AF1432">
        <v>2</v>
      </c>
      <c r="AH1432" t="s">
        <v>75</v>
      </c>
      <c r="AI1432">
        <v>1</v>
      </c>
      <c r="AJ1432" s="15"/>
      <c r="AK1432" t="s">
        <v>86</v>
      </c>
      <c r="AL1432" s="16"/>
      <c r="AR1432" s="18" t="str">
        <f>IFERROR(VLOOKUP(K1432,[1]POP!$F:$J,1,0),M1432)</f>
        <v>Maroua 2</v>
      </c>
      <c r="AS1432" s="18" t="str">
        <f t="shared" si="111"/>
        <v>lopéré</v>
      </c>
      <c r="AT1432" s="19">
        <f t="shared" si="114"/>
        <v>2</v>
      </c>
      <c r="AU1432" s="19">
        <f t="shared" ca="1" si="113"/>
        <v>1</v>
      </c>
    </row>
    <row r="1433" spans="1:47" x14ac:dyDescent="0.3">
      <c r="A1433" t="s">
        <v>2082</v>
      </c>
      <c r="B1433" t="str">
        <f t="shared" si="110"/>
        <v>S34_2026</v>
      </c>
      <c r="C1433" t="str">
        <f t="shared" si="112"/>
        <v>S34_2026</v>
      </c>
      <c r="E1433">
        <v>693150293</v>
      </c>
      <c r="F1433">
        <v>12</v>
      </c>
      <c r="G1433" t="s">
        <v>40</v>
      </c>
      <c r="H1433" t="s">
        <v>1918</v>
      </c>
      <c r="I1433" t="s">
        <v>2077</v>
      </c>
      <c r="J1433" t="s">
        <v>2078</v>
      </c>
      <c r="K1433" t="s">
        <v>2079</v>
      </c>
      <c r="L1433" t="s">
        <v>2080</v>
      </c>
      <c r="M1433" t="s">
        <v>2079</v>
      </c>
      <c r="N1433" t="s">
        <v>45</v>
      </c>
      <c r="O1433" t="s">
        <v>45</v>
      </c>
      <c r="P1433">
        <v>2</v>
      </c>
      <c r="Q1433" s="7">
        <v>46252</v>
      </c>
      <c r="R1433" s="7">
        <v>46252</v>
      </c>
      <c r="S1433" s="7">
        <v>46252</v>
      </c>
      <c r="T1433" t="s">
        <v>45</v>
      </c>
      <c r="V1433" t="s">
        <v>2081</v>
      </c>
      <c r="W1433" t="s">
        <v>45</v>
      </c>
      <c r="X1433" t="s">
        <v>45</v>
      </c>
      <c r="Y1433" t="s">
        <v>45</v>
      </c>
      <c r="Z1433" t="s">
        <v>45</v>
      </c>
      <c r="AB1433" t="s">
        <v>48</v>
      </c>
      <c r="AC1433" t="s">
        <v>74</v>
      </c>
      <c r="AD1433" t="s">
        <v>74</v>
      </c>
      <c r="AE1433" s="7">
        <v>46251</v>
      </c>
      <c r="AF1433">
        <v>2</v>
      </c>
      <c r="AH1433" t="s">
        <v>75</v>
      </c>
      <c r="AI1433">
        <v>1</v>
      </c>
      <c r="AJ1433" s="15"/>
      <c r="AK1433" t="s">
        <v>86</v>
      </c>
      <c r="AL1433" s="16"/>
      <c r="AR1433" s="18" t="str">
        <f>IFERROR(VLOOKUP(K1433,[1]POP!$F:$J,1,0),M1433)</f>
        <v>Maroua 2</v>
      </c>
      <c r="AS1433" s="18" t="str">
        <f t="shared" si="111"/>
        <v>lopéré</v>
      </c>
      <c r="AT1433" s="19">
        <f t="shared" si="114"/>
        <v>2</v>
      </c>
      <c r="AU1433" s="19">
        <f t="shared" ca="1" si="113"/>
        <v>1</v>
      </c>
    </row>
    <row r="1434" spans="1:47" x14ac:dyDescent="0.3">
      <c r="A1434" t="s">
        <v>2083</v>
      </c>
      <c r="B1434" t="str">
        <f t="shared" si="110"/>
        <v>S34_2026</v>
      </c>
      <c r="C1434" t="str">
        <f t="shared" si="112"/>
        <v>S34_2026</v>
      </c>
      <c r="F1434">
        <v>27</v>
      </c>
      <c r="G1434" t="s">
        <v>40</v>
      </c>
      <c r="H1434" t="s">
        <v>77</v>
      </c>
      <c r="I1434" t="s">
        <v>2036</v>
      </c>
      <c r="J1434" t="s">
        <v>2036</v>
      </c>
      <c r="K1434" t="s">
        <v>1758</v>
      </c>
      <c r="L1434" t="s">
        <v>2036</v>
      </c>
      <c r="M1434" t="s">
        <v>1758</v>
      </c>
      <c r="N1434" t="s">
        <v>45</v>
      </c>
      <c r="O1434" t="s">
        <v>45</v>
      </c>
      <c r="P1434">
        <v>3</v>
      </c>
      <c r="Q1434" s="7">
        <v>46252</v>
      </c>
      <c r="R1434" s="7">
        <v>46252</v>
      </c>
      <c r="S1434" s="7">
        <v>46252</v>
      </c>
      <c r="T1434" t="s">
        <v>45</v>
      </c>
      <c r="V1434" t="s">
        <v>2036</v>
      </c>
      <c r="W1434" t="s">
        <v>45</v>
      </c>
      <c r="X1434" t="s">
        <v>45</v>
      </c>
      <c r="Y1434" t="s">
        <v>45</v>
      </c>
      <c r="Z1434" t="s">
        <v>45</v>
      </c>
      <c r="AA1434" s="7">
        <v>46252</v>
      </c>
      <c r="AB1434" t="s">
        <v>48</v>
      </c>
      <c r="AE1434" s="7">
        <v>46253</v>
      </c>
      <c r="AF1434">
        <v>2</v>
      </c>
      <c r="AH1434" t="s">
        <v>75</v>
      </c>
      <c r="AI1434">
        <v>1</v>
      </c>
      <c r="AJ1434" s="15"/>
      <c r="AK1434" t="s">
        <v>86</v>
      </c>
      <c r="AL1434" s="16"/>
      <c r="AR1434" s="18" t="str">
        <f>IFERROR(VLOOKUP(K1434,[1]POP!$F:$J,1,0),M1434)</f>
        <v>MAROUA 2</v>
      </c>
      <c r="AS1434" s="18" t="str">
        <f t="shared" si="111"/>
        <v>BAMARE</v>
      </c>
      <c r="AT1434" s="19">
        <f t="shared" si="114"/>
        <v>2</v>
      </c>
      <c r="AU1434" s="19">
        <f t="shared" ca="1" si="113"/>
        <v>1</v>
      </c>
    </row>
    <row r="1435" spans="1:47" x14ac:dyDescent="0.3">
      <c r="A1435" t="s">
        <v>2084</v>
      </c>
      <c r="B1435" t="str">
        <f t="shared" si="110"/>
        <v>S30_2026</v>
      </c>
      <c r="C1435" t="str">
        <f t="shared" si="112"/>
        <v>S30_2026</v>
      </c>
      <c r="E1435">
        <v>698691174</v>
      </c>
      <c r="F1435">
        <v>35</v>
      </c>
      <c r="G1435" t="s">
        <v>40</v>
      </c>
      <c r="H1435" t="s">
        <v>77</v>
      </c>
      <c r="I1435" t="s">
        <v>854</v>
      </c>
      <c r="J1435" t="s">
        <v>2036</v>
      </c>
      <c r="K1435" t="s">
        <v>2085</v>
      </c>
      <c r="L1435" t="s">
        <v>2036</v>
      </c>
      <c r="M1435" t="s">
        <v>2079</v>
      </c>
      <c r="N1435" t="s">
        <v>45</v>
      </c>
      <c r="O1435" t="s">
        <v>74</v>
      </c>
      <c r="P1435">
        <v>2</v>
      </c>
      <c r="Q1435" s="7">
        <v>46223</v>
      </c>
      <c r="R1435" s="7">
        <v>46223</v>
      </c>
      <c r="S1435" s="7">
        <v>46223</v>
      </c>
      <c r="T1435" t="s">
        <v>45</v>
      </c>
      <c r="V1435" t="s">
        <v>1759</v>
      </c>
      <c r="W1435" t="s">
        <v>45</v>
      </c>
      <c r="X1435" t="s">
        <v>45</v>
      </c>
      <c r="Y1435" t="s">
        <v>45</v>
      </c>
      <c r="Z1435" t="s">
        <v>45</v>
      </c>
      <c r="AA1435" s="7">
        <v>46223</v>
      </c>
      <c r="AB1435" t="s">
        <v>48</v>
      </c>
      <c r="AC1435" t="s">
        <v>45</v>
      </c>
      <c r="AD1435" t="s">
        <v>48</v>
      </c>
      <c r="AE1435" s="7">
        <v>46231</v>
      </c>
      <c r="AF1435">
        <v>2</v>
      </c>
      <c r="AH1435" t="s">
        <v>75</v>
      </c>
      <c r="AI1435">
        <v>1</v>
      </c>
      <c r="AJ1435" s="15"/>
      <c r="AL1435" s="16"/>
      <c r="AR1435" s="18" t="str">
        <f>IFERROR(VLOOKUP(K1435,[1]POP!$F:$J,1,0),M1435)</f>
        <v>Maroua 2</v>
      </c>
      <c r="AS1435" s="18" t="str">
        <f t="shared" si="111"/>
        <v>BAMARE</v>
      </c>
      <c r="AT1435" s="19">
        <f t="shared" si="114"/>
        <v>2</v>
      </c>
      <c r="AU1435" s="19">
        <f t="shared" ca="1" si="113"/>
        <v>2</v>
      </c>
    </row>
    <row r="1436" spans="1:47" x14ac:dyDescent="0.3">
      <c r="A1436" t="s">
        <v>2086</v>
      </c>
      <c r="B1436" t="str">
        <f t="shared" si="110"/>
        <v>S30_2026</v>
      </c>
      <c r="C1436" t="str">
        <f t="shared" si="112"/>
        <v>S30_2026</v>
      </c>
      <c r="F1436">
        <v>35</v>
      </c>
      <c r="G1436" t="s">
        <v>40</v>
      </c>
      <c r="H1436" t="s">
        <v>77</v>
      </c>
      <c r="I1436" t="s">
        <v>2087</v>
      </c>
      <c r="J1436" t="s">
        <v>2036</v>
      </c>
      <c r="K1436" t="s">
        <v>2085</v>
      </c>
      <c r="L1436" t="s">
        <v>2036</v>
      </c>
      <c r="M1436" t="s">
        <v>2079</v>
      </c>
      <c r="N1436" t="s">
        <v>45</v>
      </c>
      <c r="O1436" t="s">
        <v>74</v>
      </c>
      <c r="P1436">
        <v>2</v>
      </c>
      <c r="Q1436" s="7">
        <v>46223</v>
      </c>
      <c r="R1436" s="7">
        <v>46223</v>
      </c>
      <c r="S1436" s="7">
        <v>46223</v>
      </c>
      <c r="T1436" t="s">
        <v>45</v>
      </c>
      <c r="V1436" t="s">
        <v>1759</v>
      </c>
      <c r="W1436" t="s">
        <v>45</v>
      </c>
      <c r="X1436" t="s">
        <v>45</v>
      </c>
      <c r="Y1436" t="s">
        <v>45</v>
      </c>
      <c r="Z1436" t="s">
        <v>45</v>
      </c>
      <c r="AA1436" s="7">
        <v>46224</v>
      </c>
      <c r="AB1436" t="s">
        <v>62</v>
      </c>
      <c r="AC1436" t="s">
        <v>45</v>
      </c>
      <c r="AD1436" t="s">
        <v>62</v>
      </c>
      <c r="AE1436" s="7">
        <v>46227</v>
      </c>
      <c r="AF1436">
        <v>2</v>
      </c>
      <c r="AH1436" t="s">
        <v>75</v>
      </c>
      <c r="AI1436">
        <v>1</v>
      </c>
      <c r="AJ1436" s="15"/>
      <c r="AL1436" s="16"/>
      <c r="AR1436" s="18" t="str">
        <f>IFERROR(VLOOKUP(K1436,[1]POP!$F:$J,1,0),M1436)</f>
        <v>Maroua 2</v>
      </c>
      <c r="AS1436" s="18" t="str">
        <f t="shared" si="111"/>
        <v>BAMARE</v>
      </c>
      <c r="AT1436" s="19">
        <f t="shared" si="114"/>
        <v>2</v>
      </c>
      <c r="AU1436" s="19">
        <f t="shared" ca="1" si="113"/>
        <v>2</v>
      </c>
    </row>
    <row r="1437" spans="1:47" x14ac:dyDescent="0.3">
      <c r="A1437" t="s">
        <v>2088</v>
      </c>
      <c r="B1437" t="str">
        <f t="shared" si="110"/>
        <v>S32_2026</v>
      </c>
      <c r="C1437" t="str">
        <f t="shared" si="112"/>
        <v>S32_2026</v>
      </c>
      <c r="E1437">
        <v>641110514</v>
      </c>
      <c r="F1437">
        <v>2</v>
      </c>
      <c r="G1437" t="s">
        <v>40</v>
      </c>
      <c r="H1437" t="s">
        <v>85</v>
      </c>
      <c r="I1437" t="s">
        <v>2050</v>
      </c>
      <c r="J1437" t="s">
        <v>2036</v>
      </c>
      <c r="K1437" t="s">
        <v>2079</v>
      </c>
      <c r="L1437" t="s">
        <v>2036</v>
      </c>
      <c r="M1437" t="s">
        <v>2079</v>
      </c>
      <c r="N1437" t="s">
        <v>45</v>
      </c>
      <c r="O1437" t="s">
        <v>74</v>
      </c>
      <c r="P1437">
        <v>1</v>
      </c>
      <c r="Q1437" s="7">
        <v>46242</v>
      </c>
      <c r="R1437" s="7">
        <v>46242</v>
      </c>
      <c r="S1437" s="7">
        <v>46242</v>
      </c>
      <c r="T1437" t="s">
        <v>45</v>
      </c>
      <c r="V1437" t="s">
        <v>1759</v>
      </c>
      <c r="W1437" t="s">
        <v>45</v>
      </c>
      <c r="X1437" t="s">
        <v>45</v>
      </c>
      <c r="Y1437" t="s">
        <v>45</v>
      </c>
      <c r="Z1437" t="s">
        <v>45</v>
      </c>
      <c r="AA1437" s="7">
        <v>46242</v>
      </c>
      <c r="AB1437" t="s">
        <v>48</v>
      </c>
      <c r="AC1437" t="s">
        <v>45</v>
      </c>
      <c r="AD1437" t="s">
        <v>48</v>
      </c>
      <c r="AE1437" s="7">
        <v>46245</v>
      </c>
      <c r="AF1437">
        <v>2</v>
      </c>
      <c r="AH1437" t="s">
        <v>75</v>
      </c>
      <c r="AI1437">
        <v>1</v>
      </c>
      <c r="AJ1437" s="15"/>
      <c r="AL1437" s="16"/>
      <c r="AR1437" s="18" t="str">
        <f>IFERROR(VLOOKUP(K1437,[1]POP!$F:$J,1,0),M1437)</f>
        <v>Maroua 2</v>
      </c>
      <c r="AS1437" s="18" t="str">
        <f t="shared" si="111"/>
        <v>BAMARE</v>
      </c>
      <c r="AT1437" s="19">
        <f t="shared" si="114"/>
        <v>2</v>
      </c>
      <c r="AU1437" s="19">
        <f t="shared" ca="1" si="113"/>
        <v>2</v>
      </c>
    </row>
    <row r="1438" spans="1:47" x14ac:dyDescent="0.3">
      <c r="A1438" t="s">
        <v>2089</v>
      </c>
      <c r="B1438" t="str">
        <f t="shared" si="110"/>
        <v>S32_2026</v>
      </c>
      <c r="C1438" t="str">
        <f t="shared" si="112"/>
        <v>S32_2026</v>
      </c>
      <c r="E1438">
        <v>641110514</v>
      </c>
      <c r="F1438">
        <v>7</v>
      </c>
      <c r="G1438" t="s">
        <v>55</v>
      </c>
      <c r="H1438" t="s">
        <v>85</v>
      </c>
      <c r="I1438" t="s">
        <v>2050</v>
      </c>
      <c r="J1438" t="s">
        <v>2036</v>
      </c>
      <c r="K1438" t="s">
        <v>2079</v>
      </c>
      <c r="L1438" t="s">
        <v>2036</v>
      </c>
      <c r="M1438" t="s">
        <v>2079</v>
      </c>
      <c r="N1438" t="s">
        <v>45</v>
      </c>
      <c r="O1438" t="s">
        <v>74</v>
      </c>
      <c r="P1438">
        <v>1</v>
      </c>
      <c r="Q1438" s="7">
        <v>46242</v>
      </c>
      <c r="R1438" s="7">
        <v>46242</v>
      </c>
      <c r="S1438" s="7">
        <v>46242</v>
      </c>
      <c r="T1438" t="s">
        <v>45</v>
      </c>
      <c r="V1438" t="s">
        <v>1759</v>
      </c>
      <c r="W1438" t="s">
        <v>45</v>
      </c>
      <c r="X1438" t="s">
        <v>45</v>
      </c>
      <c r="Y1438" t="s">
        <v>45</v>
      </c>
      <c r="Z1438" t="s">
        <v>45</v>
      </c>
      <c r="AA1438" s="7">
        <v>46242</v>
      </c>
      <c r="AB1438" t="s">
        <v>48</v>
      </c>
      <c r="AC1438" t="s">
        <v>45</v>
      </c>
      <c r="AD1438" t="s">
        <v>48</v>
      </c>
      <c r="AE1438" s="7">
        <v>46246</v>
      </c>
      <c r="AF1438">
        <v>2</v>
      </c>
      <c r="AH1438" t="s">
        <v>75</v>
      </c>
      <c r="AI1438">
        <v>1</v>
      </c>
      <c r="AJ1438" s="15"/>
      <c r="AL1438" s="16"/>
      <c r="AR1438" s="18" t="str">
        <f>IFERROR(VLOOKUP(K1438,[1]POP!$F:$J,1,0),M1438)</f>
        <v>Maroua 2</v>
      </c>
      <c r="AS1438" s="18" t="str">
        <f t="shared" si="111"/>
        <v>BAMARE</v>
      </c>
      <c r="AT1438" s="19">
        <f t="shared" si="114"/>
        <v>2</v>
      </c>
      <c r="AU1438" s="19">
        <f t="shared" ca="1" si="113"/>
        <v>2</v>
      </c>
    </row>
    <row r="1439" spans="1:47" x14ac:dyDescent="0.3">
      <c r="A1439" t="s">
        <v>2090</v>
      </c>
      <c r="B1439" t="str">
        <f t="shared" si="110"/>
        <v>S32_2026</v>
      </c>
      <c r="C1439" t="str">
        <f t="shared" si="112"/>
        <v>S32_2026</v>
      </c>
      <c r="E1439">
        <v>697499104</v>
      </c>
      <c r="F1439">
        <v>39</v>
      </c>
      <c r="G1439" t="s">
        <v>40</v>
      </c>
      <c r="H1439" t="s">
        <v>77</v>
      </c>
      <c r="I1439" t="s">
        <v>2047</v>
      </c>
      <c r="J1439" t="s">
        <v>2047</v>
      </c>
      <c r="K1439" t="s">
        <v>2079</v>
      </c>
      <c r="L1439" t="s">
        <v>2047</v>
      </c>
      <c r="M1439" t="s">
        <v>2079</v>
      </c>
      <c r="N1439" t="s">
        <v>45</v>
      </c>
      <c r="O1439" t="s">
        <v>74</v>
      </c>
      <c r="P1439">
        <v>1</v>
      </c>
      <c r="Q1439" s="7">
        <v>46243</v>
      </c>
      <c r="R1439" s="7">
        <v>46243</v>
      </c>
      <c r="S1439" s="7">
        <v>46243</v>
      </c>
      <c r="T1439" t="s">
        <v>45</v>
      </c>
      <c r="V1439" t="s">
        <v>1759</v>
      </c>
      <c r="W1439" t="s">
        <v>45</v>
      </c>
      <c r="X1439" t="s">
        <v>45</v>
      </c>
      <c r="Y1439" t="s">
        <v>45</v>
      </c>
      <c r="Z1439" t="s">
        <v>45</v>
      </c>
      <c r="AA1439" s="7">
        <v>46243</v>
      </c>
      <c r="AB1439" t="s">
        <v>62</v>
      </c>
      <c r="AC1439" t="s">
        <v>45</v>
      </c>
      <c r="AD1439" t="s">
        <v>62</v>
      </c>
      <c r="AE1439" s="7">
        <v>46247</v>
      </c>
      <c r="AF1439">
        <v>2</v>
      </c>
      <c r="AH1439" t="s">
        <v>75</v>
      </c>
      <c r="AI1439">
        <v>1</v>
      </c>
      <c r="AJ1439" s="15"/>
      <c r="AL1439" s="16"/>
      <c r="AR1439" s="18" t="str">
        <f>IFERROR(VLOOKUP(K1439,[1]POP!$F:$J,1,0),M1439)</f>
        <v>Maroua 2</v>
      </c>
      <c r="AS1439" s="18" t="str">
        <f t="shared" si="111"/>
        <v>KODEK</v>
      </c>
      <c r="AT1439" s="19">
        <f t="shared" si="114"/>
        <v>2</v>
      </c>
      <c r="AU1439" s="19">
        <f t="shared" ca="1" si="113"/>
        <v>2</v>
      </c>
    </row>
    <row r="1440" spans="1:47" x14ac:dyDescent="0.3">
      <c r="A1440" t="s">
        <v>2091</v>
      </c>
      <c r="B1440" t="str">
        <f t="shared" si="110"/>
        <v>S33_2026</v>
      </c>
      <c r="C1440" t="str">
        <f t="shared" si="112"/>
        <v>S33_2026</v>
      </c>
      <c r="E1440">
        <v>699434821</v>
      </c>
      <c r="F1440">
        <v>59</v>
      </c>
      <c r="G1440" t="s">
        <v>55</v>
      </c>
      <c r="H1440" t="s">
        <v>1117</v>
      </c>
      <c r="I1440" t="s">
        <v>2092</v>
      </c>
      <c r="J1440" t="s">
        <v>2044</v>
      </c>
      <c r="K1440" t="s">
        <v>2079</v>
      </c>
      <c r="L1440" t="s">
        <v>2044</v>
      </c>
      <c r="M1440" t="s">
        <v>2079</v>
      </c>
      <c r="N1440" t="s">
        <v>45</v>
      </c>
      <c r="O1440" t="s">
        <v>74</v>
      </c>
      <c r="P1440">
        <v>1</v>
      </c>
      <c r="Q1440" s="7">
        <v>46248</v>
      </c>
      <c r="R1440" s="7">
        <v>46248</v>
      </c>
      <c r="S1440" s="7">
        <v>46248</v>
      </c>
      <c r="T1440" t="s">
        <v>45</v>
      </c>
      <c r="V1440" t="s">
        <v>1759</v>
      </c>
      <c r="W1440" t="s">
        <v>45</v>
      </c>
      <c r="X1440" t="s">
        <v>45</v>
      </c>
      <c r="Y1440" t="s">
        <v>45</v>
      </c>
      <c r="Z1440" t="s">
        <v>45</v>
      </c>
      <c r="AA1440" s="7">
        <v>46248</v>
      </c>
      <c r="AB1440" t="s">
        <v>62</v>
      </c>
      <c r="AC1440" t="s">
        <v>45</v>
      </c>
      <c r="AD1440" t="s">
        <v>48</v>
      </c>
      <c r="AE1440" s="7">
        <v>46251</v>
      </c>
      <c r="AF1440">
        <v>2</v>
      </c>
      <c r="AH1440" t="s">
        <v>75</v>
      </c>
      <c r="AI1440">
        <v>1</v>
      </c>
      <c r="AJ1440" s="15"/>
      <c r="AL1440" s="16"/>
      <c r="AR1440" s="18" t="str">
        <f>IFERROR(VLOOKUP(K1440,[1]POP!$F:$J,1,0),M1440)</f>
        <v>Maroua 2</v>
      </c>
      <c r="AS1440" s="18" t="str">
        <f t="shared" si="111"/>
        <v>ZOKOK</v>
      </c>
      <c r="AT1440" s="19">
        <f t="shared" si="114"/>
        <v>2</v>
      </c>
      <c r="AU1440" s="19">
        <f t="shared" ca="1" si="113"/>
        <v>1</v>
      </c>
    </row>
    <row r="1441" spans="1:47" x14ac:dyDescent="0.3">
      <c r="A1441" t="s">
        <v>2093</v>
      </c>
      <c r="B1441" t="str">
        <f t="shared" si="110"/>
        <v>S34_2026</v>
      </c>
      <c r="C1441" t="str">
        <f t="shared" si="112"/>
        <v>S34_2026</v>
      </c>
      <c r="E1441">
        <v>696451877</v>
      </c>
      <c r="F1441">
        <v>7</v>
      </c>
      <c r="G1441" t="s">
        <v>40</v>
      </c>
      <c r="H1441" t="s">
        <v>85</v>
      </c>
      <c r="I1441" t="s">
        <v>2094</v>
      </c>
      <c r="J1441" t="s">
        <v>2044</v>
      </c>
      <c r="K1441" t="s">
        <v>2079</v>
      </c>
      <c r="L1441" t="s">
        <v>2044</v>
      </c>
      <c r="M1441" t="s">
        <v>2079</v>
      </c>
      <c r="N1441" t="s">
        <v>45</v>
      </c>
      <c r="O1441" t="s">
        <v>74</v>
      </c>
      <c r="P1441">
        <v>1</v>
      </c>
      <c r="Q1441" s="7">
        <v>46251</v>
      </c>
      <c r="R1441" s="7">
        <v>46251</v>
      </c>
      <c r="S1441" s="7">
        <v>46251</v>
      </c>
      <c r="T1441" t="s">
        <v>45</v>
      </c>
      <c r="V1441" t="s">
        <v>1759</v>
      </c>
      <c r="W1441" t="s">
        <v>45</v>
      </c>
      <c r="X1441" t="s">
        <v>45</v>
      </c>
      <c r="Y1441" t="s">
        <v>45</v>
      </c>
      <c r="Z1441" t="s">
        <v>45</v>
      </c>
      <c r="AA1441" s="7">
        <v>46251</v>
      </c>
      <c r="AB1441" t="s">
        <v>48</v>
      </c>
      <c r="AC1441" t="s">
        <v>45</v>
      </c>
      <c r="AD1441" t="s">
        <v>1122</v>
      </c>
      <c r="AE1441" s="7">
        <v>46253</v>
      </c>
      <c r="AF1441">
        <v>2</v>
      </c>
      <c r="AH1441" t="s">
        <v>75</v>
      </c>
      <c r="AI1441">
        <v>1</v>
      </c>
      <c r="AJ1441" s="15"/>
      <c r="AL1441" s="16"/>
      <c r="AR1441" s="18" t="str">
        <f>IFERROR(VLOOKUP(K1441,[1]POP!$F:$J,1,0),M1441)</f>
        <v>Maroua 2</v>
      </c>
      <c r="AS1441" s="18" t="str">
        <f t="shared" si="111"/>
        <v>ZOKOK</v>
      </c>
      <c r="AT1441" s="19">
        <f t="shared" si="114"/>
        <v>2</v>
      </c>
      <c r="AU1441" s="19">
        <f t="shared" ca="1" si="113"/>
        <v>1</v>
      </c>
    </row>
    <row r="1442" spans="1:47" x14ac:dyDescent="0.3">
      <c r="A1442" t="s">
        <v>2095</v>
      </c>
      <c r="B1442" t="str">
        <f t="shared" si="110"/>
        <v>S34_2026</v>
      </c>
      <c r="C1442" t="str">
        <f t="shared" si="112"/>
        <v>S34_2026</v>
      </c>
      <c r="E1442">
        <v>691419843</v>
      </c>
      <c r="F1442">
        <v>3</v>
      </c>
      <c r="G1442" t="s">
        <v>55</v>
      </c>
      <c r="H1442" t="s">
        <v>85</v>
      </c>
      <c r="I1442" t="s">
        <v>2053</v>
      </c>
      <c r="J1442" t="s">
        <v>2044</v>
      </c>
      <c r="K1442" t="s">
        <v>2079</v>
      </c>
      <c r="L1442" t="s">
        <v>2044</v>
      </c>
      <c r="M1442" t="s">
        <v>2079</v>
      </c>
      <c r="N1442" t="s">
        <v>45</v>
      </c>
      <c r="O1442" t="s">
        <v>74</v>
      </c>
      <c r="P1442">
        <v>1</v>
      </c>
      <c r="Q1442" s="7">
        <v>46251</v>
      </c>
      <c r="R1442" s="7">
        <v>46251</v>
      </c>
      <c r="S1442" s="7">
        <v>46251</v>
      </c>
      <c r="T1442" t="s">
        <v>45</v>
      </c>
      <c r="V1442" t="s">
        <v>1759</v>
      </c>
      <c r="W1442" t="s">
        <v>45</v>
      </c>
      <c r="X1442" t="s">
        <v>45</v>
      </c>
      <c r="Y1442" t="s">
        <v>45</v>
      </c>
      <c r="Z1442" t="s">
        <v>45</v>
      </c>
      <c r="AA1442" s="7">
        <v>46252</v>
      </c>
      <c r="AB1442" t="s">
        <v>62</v>
      </c>
      <c r="AC1442" t="s">
        <v>45</v>
      </c>
      <c r="AD1442" t="s">
        <v>1122</v>
      </c>
      <c r="AE1442" s="7">
        <v>46255</v>
      </c>
      <c r="AF1442">
        <v>2</v>
      </c>
      <c r="AH1442" t="s">
        <v>75</v>
      </c>
      <c r="AI1442">
        <v>1</v>
      </c>
      <c r="AJ1442" s="15"/>
      <c r="AL1442" s="16"/>
      <c r="AR1442" s="18" t="str">
        <f>IFERROR(VLOOKUP(K1442,[1]POP!$F:$J,1,0),M1442)</f>
        <v>Maroua 2</v>
      </c>
      <c r="AS1442" s="18" t="str">
        <f t="shared" si="111"/>
        <v>ZOKOK</v>
      </c>
      <c r="AT1442" s="19">
        <f t="shared" si="114"/>
        <v>2</v>
      </c>
      <c r="AU1442" s="19">
        <f t="shared" ca="1" si="113"/>
        <v>1</v>
      </c>
    </row>
    <row r="1443" spans="1:47" x14ac:dyDescent="0.3">
      <c r="A1443" t="s">
        <v>2096</v>
      </c>
      <c r="B1443" t="str">
        <f t="shared" si="110"/>
        <v>S34_2026</v>
      </c>
      <c r="C1443" t="str">
        <f t="shared" si="112"/>
        <v>S34_2026</v>
      </c>
      <c r="E1443">
        <v>695915810</v>
      </c>
      <c r="F1443">
        <v>30</v>
      </c>
      <c r="G1443" t="s">
        <v>40</v>
      </c>
      <c r="H1443" t="s">
        <v>77</v>
      </c>
      <c r="I1443" t="s">
        <v>1757</v>
      </c>
      <c r="J1443" t="s">
        <v>2044</v>
      </c>
      <c r="K1443" t="s">
        <v>2079</v>
      </c>
      <c r="L1443" t="s">
        <v>2044</v>
      </c>
      <c r="M1443" t="s">
        <v>2079</v>
      </c>
      <c r="N1443" t="s">
        <v>45</v>
      </c>
      <c r="O1443" t="s">
        <v>45</v>
      </c>
      <c r="P1443">
        <v>1</v>
      </c>
      <c r="Q1443" s="7">
        <v>46251</v>
      </c>
      <c r="R1443" s="7">
        <v>46251</v>
      </c>
      <c r="S1443" s="7">
        <v>46251</v>
      </c>
      <c r="T1443" t="s">
        <v>45</v>
      </c>
      <c r="V1443" t="s">
        <v>1759</v>
      </c>
      <c r="W1443" t="s">
        <v>45</v>
      </c>
      <c r="X1443" t="s">
        <v>45</v>
      </c>
      <c r="Y1443" t="s">
        <v>45</v>
      </c>
      <c r="Z1443" t="s">
        <v>45</v>
      </c>
      <c r="AA1443" s="7">
        <v>46252</v>
      </c>
      <c r="AB1443" t="s">
        <v>62</v>
      </c>
      <c r="AC1443" t="s">
        <v>45</v>
      </c>
      <c r="AD1443" t="s">
        <v>1122</v>
      </c>
      <c r="AE1443" s="7">
        <v>46254</v>
      </c>
      <c r="AF1443">
        <v>2</v>
      </c>
      <c r="AH1443" t="s">
        <v>75</v>
      </c>
      <c r="AI1443">
        <v>1</v>
      </c>
      <c r="AJ1443" s="15"/>
      <c r="AL1443" s="16"/>
      <c r="AR1443" s="18" t="str">
        <f>IFERROR(VLOOKUP(K1443,[1]POP!$F:$J,1,0),M1443)</f>
        <v>Maroua 2</v>
      </c>
      <c r="AS1443" s="18" t="str">
        <f t="shared" si="111"/>
        <v>ZOKOK</v>
      </c>
      <c r="AT1443" s="19">
        <f t="shared" si="114"/>
        <v>2</v>
      </c>
      <c r="AU1443" s="19">
        <f t="shared" ca="1" si="113"/>
        <v>1</v>
      </c>
    </row>
    <row r="1444" spans="1:47" x14ac:dyDescent="0.3">
      <c r="A1444" t="s">
        <v>2097</v>
      </c>
      <c r="B1444" t="str">
        <f t="shared" si="110"/>
        <v>S34_2026</v>
      </c>
      <c r="C1444" t="str">
        <f t="shared" si="112"/>
        <v>S34_2026</v>
      </c>
      <c r="E1444">
        <v>696451877</v>
      </c>
      <c r="F1444">
        <v>29</v>
      </c>
      <c r="G1444" t="s">
        <v>55</v>
      </c>
      <c r="H1444" t="s">
        <v>2098</v>
      </c>
      <c r="I1444" t="s">
        <v>2094</v>
      </c>
      <c r="J1444" t="s">
        <v>2044</v>
      </c>
      <c r="K1444" t="s">
        <v>2079</v>
      </c>
      <c r="L1444" t="s">
        <v>2044</v>
      </c>
      <c r="M1444" t="s">
        <v>2079</v>
      </c>
      <c r="N1444" t="s">
        <v>45</v>
      </c>
      <c r="O1444" t="s">
        <v>74</v>
      </c>
      <c r="P1444">
        <v>1</v>
      </c>
      <c r="Q1444" s="7">
        <v>46251</v>
      </c>
      <c r="R1444" s="7">
        <v>46251</v>
      </c>
      <c r="S1444" s="7">
        <v>46251</v>
      </c>
      <c r="T1444" t="s">
        <v>45</v>
      </c>
      <c r="V1444" t="s">
        <v>1759</v>
      </c>
      <c r="W1444" t="s">
        <v>45</v>
      </c>
      <c r="X1444" t="s">
        <v>45</v>
      </c>
      <c r="Y1444" t="s">
        <v>45</v>
      </c>
      <c r="Z1444" t="s">
        <v>45</v>
      </c>
      <c r="AA1444" s="7">
        <v>46252</v>
      </c>
      <c r="AB1444" t="s">
        <v>62</v>
      </c>
      <c r="AC1444" t="s">
        <v>45</v>
      </c>
      <c r="AD1444" t="s">
        <v>62</v>
      </c>
      <c r="AE1444" s="7">
        <v>46254</v>
      </c>
      <c r="AF1444">
        <v>2</v>
      </c>
      <c r="AH1444" t="s">
        <v>75</v>
      </c>
      <c r="AI1444">
        <v>1</v>
      </c>
      <c r="AJ1444" s="15"/>
      <c r="AL1444" s="16"/>
      <c r="AR1444" s="18" t="str">
        <f>IFERROR(VLOOKUP(K1444,[1]POP!$F:$J,1,0),M1444)</f>
        <v>Maroua 2</v>
      </c>
      <c r="AS1444" s="18" t="str">
        <f t="shared" si="111"/>
        <v>ZOKOK</v>
      </c>
      <c r="AT1444" s="19">
        <f t="shared" si="114"/>
        <v>2</v>
      </c>
      <c r="AU1444" s="19">
        <f t="shared" ca="1" si="113"/>
        <v>1</v>
      </c>
    </row>
    <row r="1445" spans="1:47" x14ac:dyDescent="0.3">
      <c r="A1445" t="s">
        <v>2099</v>
      </c>
      <c r="B1445" t="str">
        <f t="shared" si="110"/>
        <v>S33_2026</v>
      </c>
      <c r="C1445" t="str">
        <f t="shared" si="112"/>
        <v>S33_2026</v>
      </c>
      <c r="E1445">
        <v>694373932</v>
      </c>
      <c r="F1445">
        <v>45</v>
      </c>
      <c r="G1445" t="s">
        <v>55</v>
      </c>
      <c r="H1445" t="s">
        <v>680</v>
      </c>
      <c r="I1445" t="s">
        <v>2100</v>
      </c>
      <c r="J1445" t="s">
        <v>2100</v>
      </c>
      <c r="K1445" t="s">
        <v>2101</v>
      </c>
      <c r="L1445" t="s">
        <v>2102</v>
      </c>
      <c r="M1445" t="s">
        <v>454</v>
      </c>
      <c r="N1445" t="s">
        <v>45</v>
      </c>
      <c r="O1445" t="s">
        <v>45</v>
      </c>
      <c r="P1445">
        <v>2</v>
      </c>
      <c r="Q1445" s="7">
        <v>46247</v>
      </c>
      <c r="R1445" s="7">
        <v>46249</v>
      </c>
      <c r="S1445" s="7">
        <v>46250</v>
      </c>
      <c r="T1445" t="s">
        <v>45</v>
      </c>
      <c r="V1445" t="s">
        <v>2103</v>
      </c>
      <c r="W1445" t="s">
        <v>117</v>
      </c>
      <c r="X1445" t="s">
        <v>117</v>
      </c>
      <c r="Y1445" t="s">
        <v>117</v>
      </c>
      <c r="Z1445" t="s">
        <v>45</v>
      </c>
      <c r="AA1445" s="7">
        <v>46190</v>
      </c>
      <c r="AB1445" t="s">
        <v>48</v>
      </c>
      <c r="AE1445" s="7">
        <v>46254</v>
      </c>
      <c r="AF1445">
        <v>2</v>
      </c>
      <c r="AH1445" t="s">
        <v>75</v>
      </c>
      <c r="AI1445">
        <v>1</v>
      </c>
      <c r="AJ1445" s="15"/>
      <c r="AK1445" t="s">
        <v>668</v>
      </c>
      <c r="AL1445" s="16"/>
      <c r="AR1445" s="18" t="str">
        <f>IFERROR(VLOOKUP(K1445,[1]POP!$F:$J,1,0),M1445)</f>
        <v>MAROUA 3</v>
      </c>
      <c r="AS1445" s="18" t="str">
        <f t="shared" si="111"/>
        <v>kodek</v>
      </c>
      <c r="AT1445" s="19">
        <f t="shared" si="114"/>
        <v>2</v>
      </c>
      <c r="AU1445" s="19">
        <f t="shared" ca="1" si="113"/>
        <v>1</v>
      </c>
    </row>
    <row r="1446" spans="1:47" x14ac:dyDescent="0.3">
      <c r="A1446" t="s">
        <v>2104</v>
      </c>
      <c r="B1446" t="str">
        <f t="shared" si="110"/>
        <v>S33_2026</v>
      </c>
      <c r="C1446" t="str">
        <f t="shared" si="112"/>
        <v>S33_2026</v>
      </c>
      <c r="E1446">
        <v>699369311</v>
      </c>
      <c r="F1446">
        <v>28</v>
      </c>
      <c r="G1446" t="s">
        <v>40</v>
      </c>
      <c r="H1446" t="s">
        <v>77</v>
      </c>
      <c r="I1446" t="s">
        <v>2050</v>
      </c>
      <c r="J1446" t="s">
        <v>1757</v>
      </c>
      <c r="K1446" t="s">
        <v>2105</v>
      </c>
      <c r="L1446" t="s">
        <v>2106</v>
      </c>
      <c r="M1446" t="s">
        <v>454</v>
      </c>
      <c r="N1446" t="s">
        <v>45</v>
      </c>
      <c r="O1446" t="s">
        <v>45</v>
      </c>
      <c r="P1446">
        <v>3</v>
      </c>
      <c r="Q1446" s="7">
        <v>46244</v>
      </c>
      <c r="R1446" s="7">
        <v>46245</v>
      </c>
      <c r="S1446" s="7">
        <v>46245</v>
      </c>
      <c r="T1446" t="s">
        <v>45</v>
      </c>
      <c r="V1446" t="s">
        <v>2107</v>
      </c>
      <c r="W1446" t="s">
        <v>117</v>
      </c>
      <c r="X1446" t="s">
        <v>117</v>
      </c>
      <c r="Y1446" t="s">
        <v>117</v>
      </c>
      <c r="Z1446" t="s">
        <v>74</v>
      </c>
      <c r="AA1446" s="7">
        <v>46245</v>
      </c>
      <c r="AB1446" t="s">
        <v>48</v>
      </c>
      <c r="AC1446" t="s">
        <v>45</v>
      </c>
      <c r="AD1446" t="s">
        <v>48</v>
      </c>
      <c r="AE1446" s="7">
        <v>46980</v>
      </c>
      <c r="AF1446">
        <v>2</v>
      </c>
      <c r="AH1446" t="s">
        <v>75</v>
      </c>
      <c r="AI1446">
        <v>1</v>
      </c>
      <c r="AJ1446" s="15"/>
      <c r="AK1446" t="s">
        <v>668</v>
      </c>
      <c r="AL1446" s="16"/>
      <c r="AR1446" s="18" t="str">
        <f>IFERROR(VLOOKUP(K1446,[1]POP!$F:$J,1,0),M1446)</f>
        <v>MAROUA 3</v>
      </c>
      <c r="AS1446" s="18" t="str">
        <f t="shared" si="111"/>
        <v>DJARENGOL KODEK</v>
      </c>
      <c r="AT1446" s="19">
        <f t="shared" si="114"/>
        <v>2</v>
      </c>
      <c r="AU1446" s="19">
        <f t="shared" ca="1" si="113"/>
        <v>2</v>
      </c>
    </row>
    <row r="1447" spans="1:47" x14ac:dyDescent="0.3">
      <c r="A1447" t="s">
        <v>2108</v>
      </c>
      <c r="B1447" t="str">
        <f t="shared" si="110"/>
        <v>S33_2026</v>
      </c>
      <c r="C1447" t="str">
        <f t="shared" si="112"/>
        <v>S33_2026</v>
      </c>
      <c r="E1447">
        <v>696093432</v>
      </c>
      <c r="F1447">
        <v>11</v>
      </c>
      <c r="G1447" t="s">
        <v>55</v>
      </c>
      <c r="H1447" t="s">
        <v>56</v>
      </c>
      <c r="I1447" t="s">
        <v>2050</v>
      </c>
      <c r="J1447" t="s">
        <v>1757</v>
      </c>
      <c r="K1447" t="s">
        <v>2105</v>
      </c>
      <c r="L1447" t="s">
        <v>2106</v>
      </c>
      <c r="M1447" t="s">
        <v>454</v>
      </c>
      <c r="N1447" t="s">
        <v>45</v>
      </c>
      <c r="O1447" t="s">
        <v>45</v>
      </c>
      <c r="P1447">
        <v>3</v>
      </c>
      <c r="Q1447" s="7">
        <v>46246</v>
      </c>
      <c r="R1447" s="7">
        <v>46247</v>
      </c>
      <c r="S1447" s="7">
        <v>46248</v>
      </c>
      <c r="T1447" t="s">
        <v>45</v>
      </c>
      <c r="V1447" t="s">
        <v>2107</v>
      </c>
      <c r="W1447" t="s">
        <v>117</v>
      </c>
      <c r="X1447" t="s">
        <v>117</v>
      </c>
      <c r="Y1447" t="s">
        <v>117</v>
      </c>
      <c r="Z1447" t="s">
        <v>74</v>
      </c>
      <c r="AB1447" t="s">
        <v>48</v>
      </c>
      <c r="AC1447" t="s">
        <v>45</v>
      </c>
      <c r="AD1447" t="s">
        <v>48</v>
      </c>
      <c r="AE1447" s="7">
        <v>46980</v>
      </c>
      <c r="AF1447">
        <v>2</v>
      </c>
      <c r="AH1447" t="s">
        <v>75</v>
      </c>
      <c r="AI1447">
        <v>1</v>
      </c>
      <c r="AJ1447" s="15"/>
      <c r="AK1447" t="s">
        <v>668</v>
      </c>
      <c r="AL1447" s="16"/>
      <c r="AR1447" s="18" t="str">
        <f>IFERROR(VLOOKUP(K1447,[1]POP!$F:$J,1,0),M1447)</f>
        <v>MAROUA 3</v>
      </c>
      <c r="AS1447" s="18" t="str">
        <f t="shared" si="111"/>
        <v>DJARENGOL KODEK</v>
      </c>
      <c r="AT1447" s="19">
        <f t="shared" si="114"/>
        <v>2</v>
      </c>
      <c r="AU1447" s="19">
        <f t="shared" ca="1" si="113"/>
        <v>1</v>
      </c>
    </row>
    <row r="1448" spans="1:47" x14ac:dyDescent="0.3">
      <c r="A1448" t="s">
        <v>2109</v>
      </c>
      <c r="B1448" t="str">
        <f t="shared" si="110"/>
        <v>S33_2026</v>
      </c>
      <c r="C1448" t="str">
        <f t="shared" si="112"/>
        <v>S33_2026</v>
      </c>
      <c r="F1448">
        <v>32</v>
      </c>
      <c r="G1448" t="s">
        <v>55</v>
      </c>
      <c r="H1448" t="s">
        <v>70</v>
      </c>
      <c r="I1448" t="s">
        <v>2110</v>
      </c>
      <c r="J1448" t="s">
        <v>2111</v>
      </c>
      <c r="K1448" t="s">
        <v>2112</v>
      </c>
      <c r="L1448" t="s">
        <v>2106</v>
      </c>
      <c r="M1448" t="s">
        <v>454</v>
      </c>
      <c r="N1448" t="s">
        <v>45</v>
      </c>
      <c r="O1448" t="s">
        <v>45</v>
      </c>
      <c r="P1448">
        <v>2</v>
      </c>
      <c r="Q1448" s="7">
        <v>46248</v>
      </c>
      <c r="R1448" s="7">
        <v>46248</v>
      </c>
      <c r="S1448" s="7">
        <v>46249</v>
      </c>
      <c r="T1448" t="s">
        <v>45</v>
      </c>
      <c r="V1448" t="s">
        <v>2107</v>
      </c>
      <c r="W1448" t="s">
        <v>117</v>
      </c>
      <c r="X1448" t="s">
        <v>117</v>
      </c>
      <c r="Y1448" t="s">
        <v>117</v>
      </c>
      <c r="Z1448" t="s">
        <v>74</v>
      </c>
      <c r="AB1448" t="s">
        <v>48</v>
      </c>
      <c r="AE1448" s="7">
        <v>46982</v>
      </c>
      <c r="AF1448">
        <v>2</v>
      </c>
      <c r="AH1448" t="s">
        <v>75</v>
      </c>
      <c r="AI1448">
        <v>1</v>
      </c>
      <c r="AJ1448" s="15"/>
      <c r="AK1448" t="s">
        <v>668</v>
      </c>
      <c r="AL1448" s="16"/>
      <c r="AR1448" s="18" t="str">
        <f>IFERROR(VLOOKUP(K1448,[1]POP!$F:$J,1,0),M1448)</f>
        <v>MAROUA 3</v>
      </c>
      <c r="AS1448" s="18" t="str">
        <f t="shared" si="111"/>
        <v>DJARENGOL KODEK</v>
      </c>
      <c r="AT1448" s="19">
        <f t="shared" si="114"/>
        <v>2</v>
      </c>
      <c r="AU1448" s="19">
        <f t="shared" ca="1" si="113"/>
        <v>1</v>
      </c>
    </row>
    <row r="1449" spans="1:47" x14ac:dyDescent="0.3">
      <c r="A1449" t="s">
        <v>2113</v>
      </c>
      <c r="B1449" t="str">
        <f t="shared" si="110"/>
        <v>S34_2026</v>
      </c>
      <c r="C1449" t="str">
        <f t="shared" si="112"/>
        <v>S34_2026</v>
      </c>
      <c r="E1449">
        <v>640496296</v>
      </c>
      <c r="F1449">
        <v>34</v>
      </c>
      <c r="G1449" t="s">
        <v>55</v>
      </c>
      <c r="H1449" t="s">
        <v>1117</v>
      </c>
      <c r="I1449" t="s">
        <v>2114</v>
      </c>
      <c r="J1449" t="s">
        <v>2115</v>
      </c>
      <c r="K1449" t="s">
        <v>2112</v>
      </c>
      <c r="L1449" t="s">
        <v>2106</v>
      </c>
      <c r="M1449" t="s">
        <v>454</v>
      </c>
      <c r="N1449" t="s">
        <v>45</v>
      </c>
      <c r="O1449" t="s">
        <v>45</v>
      </c>
      <c r="P1449">
        <v>3</v>
      </c>
      <c r="Q1449" s="7">
        <v>46252</v>
      </c>
      <c r="R1449" s="7">
        <v>46252</v>
      </c>
      <c r="S1449" s="7">
        <v>46252</v>
      </c>
      <c r="T1449" t="s">
        <v>45</v>
      </c>
      <c r="V1449" t="s">
        <v>2107</v>
      </c>
      <c r="W1449" t="s">
        <v>117</v>
      </c>
      <c r="X1449" t="s">
        <v>117</v>
      </c>
      <c r="Y1449" t="s">
        <v>117</v>
      </c>
      <c r="Z1449" t="s">
        <v>74</v>
      </c>
      <c r="AB1449" t="s">
        <v>48</v>
      </c>
      <c r="AC1449" t="s">
        <v>45</v>
      </c>
      <c r="AD1449" t="s">
        <v>62</v>
      </c>
      <c r="AE1449" s="7">
        <v>46254</v>
      </c>
      <c r="AH1449" t="s">
        <v>75</v>
      </c>
      <c r="AI1449">
        <v>0</v>
      </c>
      <c r="AJ1449" s="15"/>
      <c r="AL1449" s="16"/>
      <c r="AR1449" s="18" t="str">
        <f>IFERROR(VLOOKUP(K1449,[1]POP!$F:$J,1,0),M1449)</f>
        <v>MAROUA 3</v>
      </c>
      <c r="AS1449" s="18" t="str">
        <f t="shared" si="111"/>
        <v>DJARENGOL KODEK</v>
      </c>
      <c r="AT1449" s="19">
        <f t="shared" si="114"/>
        <v>0</v>
      </c>
      <c r="AU1449" s="19">
        <f t="shared" ca="1" si="113"/>
        <v>1</v>
      </c>
    </row>
    <row r="1450" spans="1:47" x14ac:dyDescent="0.3">
      <c r="A1450" t="s">
        <v>2116</v>
      </c>
      <c r="B1450" t="str">
        <f t="shared" si="110"/>
        <v>S34_2026</v>
      </c>
      <c r="C1450" t="str">
        <f t="shared" si="112"/>
        <v>S34_2026</v>
      </c>
      <c r="F1450">
        <v>26</v>
      </c>
      <c r="G1450" t="s">
        <v>40</v>
      </c>
      <c r="H1450" t="s">
        <v>77</v>
      </c>
      <c r="I1450" t="s">
        <v>2117</v>
      </c>
      <c r="J1450" t="s">
        <v>2118</v>
      </c>
      <c r="K1450" t="s">
        <v>2112</v>
      </c>
      <c r="L1450" t="s">
        <v>2106</v>
      </c>
      <c r="M1450" t="s">
        <v>454</v>
      </c>
      <c r="N1450" t="s">
        <v>45</v>
      </c>
      <c r="O1450" t="s">
        <v>45</v>
      </c>
      <c r="P1450">
        <v>3</v>
      </c>
      <c r="Q1450" s="7">
        <v>46252</v>
      </c>
      <c r="R1450" s="7">
        <v>46252</v>
      </c>
      <c r="S1450" s="7">
        <v>46252</v>
      </c>
      <c r="T1450" t="s">
        <v>45</v>
      </c>
      <c r="V1450" t="s">
        <v>2107</v>
      </c>
      <c r="W1450" t="s">
        <v>117</v>
      </c>
      <c r="X1450" t="s">
        <v>117</v>
      </c>
      <c r="Y1450" t="s">
        <v>117</v>
      </c>
      <c r="Z1450" t="s">
        <v>74</v>
      </c>
      <c r="AB1450" t="s">
        <v>48</v>
      </c>
      <c r="AC1450" t="s">
        <v>45</v>
      </c>
      <c r="AD1450" t="s">
        <v>62</v>
      </c>
      <c r="AE1450" s="7">
        <v>46254</v>
      </c>
      <c r="AH1450" t="s">
        <v>75</v>
      </c>
      <c r="AI1450">
        <v>0</v>
      </c>
      <c r="AJ1450" s="15"/>
      <c r="AL1450" s="16"/>
      <c r="AR1450" s="18" t="str">
        <f>IFERROR(VLOOKUP(K1450,[1]POP!$F:$J,1,0),M1450)</f>
        <v>MAROUA 3</v>
      </c>
      <c r="AS1450" s="18" t="str">
        <f t="shared" si="111"/>
        <v>DJARENGOL KODEK</v>
      </c>
      <c r="AT1450" s="19">
        <f t="shared" si="114"/>
        <v>0</v>
      </c>
      <c r="AU1450" s="19">
        <f t="shared" ca="1" si="113"/>
        <v>1</v>
      </c>
    </row>
    <row r="1451" spans="1:47" x14ac:dyDescent="0.3">
      <c r="A1451" t="s">
        <v>2119</v>
      </c>
      <c r="B1451" t="str">
        <f t="shared" si="110"/>
        <v>S34_2026</v>
      </c>
      <c r="C1451" t="str">
        <f t="shared" si="112"/>
        <v>S34_2026</v>
      </c>
      <c r="F1451">
        <v>28</v>
      </c>
      <c r="G1451" t="s">
        <v>40</v>
      </c>
      <c r="H1451" t="s">
        <v>77</v>
      </c>
      <c r="I1451" t="s">
        <v>2114</v>
      </c>
      <c r="J1451" t="s">
        <v>2115</v>
      </c>
      <c r="K1451" t="s">
        <v>2112</v>
      </c>
      <c r="L1451" t="s">
        <v>2106</v>
      </c>
      <c r="M1451" t="s">
        <v>454</v>
      </c>
      <c r="N1451" t="s">
        <v>45</v>
      </c>
      <c r="O1451" t="s">
        <v>45</v>
      </c>
      <c r="P1451">
        <v>2</v>
      </c>
      <c r="Q1451" s="7">
        <v>46252</v>
      </c>
      <c r="R1451" s="7">
        <v>46252</v>
      </c>
      <c r="S1451" s="7">
        <v>46252</v>
      </c>
      <c r="T1451" t="s">
        <v>45</v>
      </c>
      <c r="V1451" t="s">
        <v>2107</v>
      </c>
      <c r="W1451" t="s">
        <v>117</v>
      </c>
      <c r="X1451" t="s">
        <v>117</v>
      </c>
      <c r="Y1451" t="s">
        <v>117</v>
      </c>
      <c r="Z1451" t="s">
        <v>74</v>
      </c>
      <c r="AB1451" t="s">
        <v>48</v>
      </c>
      <c r="AH1451" t="s">
        <v>75</v>
      </c>
      <c r="AI1451">
        <v>0</v>
      </c>
      <c r="AJ1451" s="15"/>
      <c r="AL1451" s="16"/>
      <c r="AR1451" s="18" t="str">
        <f>IFERROR(VLOOKUP(K1451,[1]POP!$F:$J,1,0),M1451)</f>
        <v>MAROUA 3</v>
      </c>
      <c r="AS1451" s="18" t="str">
        <f t="shared" si="111"/>
        <v>DJARENGOL KODEK</v>
      </c>
      <c r="AT1451" s="19">
        <f t="shared" si="114"/>
        <v>0</v>
      </c>
      <c r="AU1451" s="19">
        <f t="shared" ca="1" si="113"/>
        <v>1</v>
      </c>
    </row>
    <row r="1452" spans="1:47" x14ac:dyDescent="0.3">
      <c r="A1452" t="s">
        <v>2120</v>
      </c>
      <c r="B1452" t="str">
        <f t="shared" si="110"/>
        <v>S34_2026</v>
      </c>
      <c r="C1452" t="str">
        <f t="shared" si="112"/>
        <v>S34_2026</v>
      </c>
      <c r="F1452">
        <v>23</v>
      </c>
      <c r="G1452" t="s">
        <v>40</v>
      </c>
      <c r="H1452" t="s">
        <v>77</v>
      </c>
      <c r="I1452" t="s">
        <v>2114</v>
      </c>
      <c r="J1452" t="s">
        <v>2115</v>
      </c>
      <c r="K1452" t="s">
        <v>2112</v>
      </c>
      <c r="L1452" t="s">
        <v>2106</v>
      </c>
      <c r="M1452" t="s">
        <v>454</v>
      </c>
      <c r="N1452" t="s">
        <v>45</v>
      </c>
      <c r="O1452" t="s">
        <v>45</v>
      </c>
      <c r="P1452">
        <v>3</v>
      </c>
      <c r="Q1452" s="7">
        <v>46253</v>
      </c>
      <c r="R1452" s="7">
        <v>46253</v>
      </c>
      <c r="S1452" s="7">
        <v>46253</v>
      </c>
      <c r="T1452" t="s">
        <v>45</v>
      </c>
      <c r="V1452" t="s">
        <v>2107</v>
      </c>
      <c r="W1452" t="s">
        <v>117</v>
      </c>
      <c r="X1452" t="s">
        <v>117</v>
      </c>
      <c r="Y1452" t="s">
        <v>117</v>
      </c>
      <c r="Z1452" t="s">
        <v>74</v>
      </c>
      <c r="AB1452" t="s">
        <v>48</v>
      </c>
      <c r="AE1452" s="7">
        <v>46255</v>
      </c>
      <c r="AH1452" t="s">
        <v>75</v>
      </c>
      <c r="AI1452">
        <v>0</v>
      </c>
      <c r="AJ1452" s="15"/>
      <c r="AL1452" s="16"/>
      <c r="AR1452" s="18" t="str">
        <f>IFERROR(VLOOKUP(K1452,[1]POP!$F:$J,1,0),M1452)</f>
        <v>MAROUA 3</v>
      </c>
      <c r="AS1452" s="18" t="str">
        <f t="shared" si="111"/>
        <v>DJARENGOL KODEK</v>
      </c>
      <c r="AT1452" s="19">
        <f t="shared" si="114"/>
        <v>0</v>
      </c>
      <c r="AU1452" s="19">
        <f t="shared" ca="1" si="113"/>
        <v>1</v>
      </c>
    </row>
    <row r="1453" spans="1:47" x14ac:dyDescent="0.3">
      <c r="A1453" t="s">
        <v>2121</v>
      </c>
      <c r="B1453" t="str">
        <f t="shared" si="110"/>
        <v>S33_2026</v>
      </c>
      <c r="C1453" t="str">
        <f t="shared" si="112"/>
        <v>S33_2026</v>
      </c>
      <c r="F1453">
        <v>2</v>
      </c>
      <c r="G1453" t="s">
        <v>40</v>
      </c>
      <c r="H1453" t="s">
        <v>85</v>
      </c>
      <c r="I1453" t="s">
        <v>2122</v>
      </c>
      <c r="J1453" t="s">
        <v>1067</v>
      </c>
      <c r="K1453" t="s">
        <v>1068</v>
      </c>
      <c r="L1453" t="s">
        <v>1067</v>
      </c>
      <c r="M1453" t="s">
        <v>1068</v>
      </c>
      <c r="N1453" t="s">
        <v>45</v>
      </c>
      <c r="O1453" t="s">
        <v>45</v>
      </c>
      <c r="P1453">
        <v>2</v>
      </c>
      <c r="Q1453" s="7">
        <v>46249</v>
      </c>
      <c r="R1453" s="7">
        <v>46249</v>
      </c>
      <c r="S1453" s="7">
        <v>46249</v>
      </c>
      <c r="T1453" t="s">
        <v>45</v>
      </c>
      <c r="V1453" t="s">
        <v>1331</v>
      </c>
      <c r="W1453" t="s">
        <v>45</v>
      </c>
      <c r="X1453" t="s">
        <v>45</v>
      </c>
      <c r="Y1453" t="s">
        <v>45</v>
      </c>
      <c r="Z1453" t="s">
        <v>45</v>
      </c>
      <c r="AC1453" t="s">
        <v>74</v>
      </c>
      <c r="AE1453" s="7">
        <v>46253</v>
      </c>
      <c r="AF1453">
        <v>2</v>
      </c>
      <c r="AH1453" t="s">
        <v>75</v>
      </c>
      <c r="AI1453">
        <v>1</v>
      </c>
      <c r="AJ1453" s="15"/>
      <c r="AK1453" t="s">
        <v>74</v>
      </c>
      <c r="AL1453" s="16"/>
      <c r="AR1453" s="18" t="str">
        <f>IFERROR(VLOOKUP(K1453,[1]POP!$F:$J,1,0),M1453)</f>
        <v>MOKOLO</v>
      </c>
      <c r="AS1453" s="18" t="str">
        <f t="shared" si="111"/>
        <v>MINAWAO</v>
      </c>
      <c r="AT1453" s="19">
        <f t="shared" si="114"/>
        <v>2</v>
      </c>
      <c r="AU1453" s="19">
        <f t="shared" ca="1" si="113"/>
        <v>1</v>
      </c>
    </row>
    <row r="1454" spans="1:47" x14ac:dyDescent="0.3">
      <c r="A1454" t="s">
        <v>2123</v>
      </c>
      <c r="B1454" t="str">
        <f t="shared" si="110"/>
        <v>S33_2026</v>
      </c>
      <c r="C1454" t="str">
        <f t="shared" si="112"/>
        <v>S33_2026</v>
      </c>
      <c r="F1454">
        <v>21</v>
      </c>
      <c r="G1454" t="s">
        <v>40</v>
      </c>
      <c r="H1454" t="s">
        <v>85</v>
      </c>
      <c r="I1454" t="s">
        <v>2124</v>
      </c>
      <c r="J1454" t="s">
        <v>1067</v>
      </c>
      <c r="K1454" t="s">
        <v>1068</v>
      </c>
      <c r="L1454" t="s">
        <v>1067</v>
      </c>
      <c r="M1454" t="s">
        <v>1068</v>
      </c>
      <c r="N1454" t="s">
        <v>45</v>
      </c>
      <c r="O1454" t="s">
        <v>45</v>
      </c>
      <c r="P1454">
        <v>2</v>
      </c>
      <c r="Q1454" s="7">
        <v>46250</v>
      </c>
      <c r="R1454" s="7">
        <v>46249</v>
      </c>
      <c r="S1454" s="7">
        <v>46249</v>
      </c>
      <c r="T1454" t="s">
        <v>45</v>
      </c>
      <c r="V1454" t="s">
        <v>1331</v>
      </c>
      <c r="W1454" t="s">
        <v>45</v>
      </c>
      <c r="X1454" t="s">
        <v>45</v>
      </c>
      <c r="Y1454" t="s">
        <v>45</v>
      </c>
      <c r="Z1454" t="s">
        <v>45</v>
      </c>
      <c r="AA1454" s="7">
        <v>46251</v>
      </c>
      <c r="AC1454" t="s">
        <v>45</v>
      </c>
      <c r="AD1454" t="s">
        <v>1122</v>
      </c>
      <c r="AE1454" s="7">
        <v>46260</v>
      </c>
      <c r="AF1454">
        <v>2</v>
      </c>
      <c r="AH1454" t="s">
        <v>75</v>
      </c>
      <c r="AI1454">
        <v>1</v>
      </c>
      <c r="AJ1454" s="15"/>
      <c r="AK1454" t="s">
        <v>74</v>
      </c>
      <c r="AL1454" s="16"/>
      <c r="AR1454" s="18" t="str">
        <f>IFERROR(VLOOKUP(K1454,[1]POP!$F:$J,1,0),M1454)</f>
        <v>MOKOLO</v>
      </c>
      <c r="AS1454" s="18" t="str">
        <f t="shared" si="111"/>
        <v>MINAWAO</v>
      </c>
      <c r="AT1454" s="19">
        <f t="shared" si="114"/>
        <v>2</v>
      </c>
      <c r="AU1454" s="19">
        <f t="shared" ca="1" si="113"/>
        <v>1</v>
      </c>
    </row>
    <row r="1455" spans="1:47" x14ac:dyDescent="0.3">
      <c r="A1455" t="s">
        <v>2125</v>
      </c>
      <c r="B1455" t="str">
        <f t="shared" si="110"/>
        <v>S33_2026</v>
      </c>
      <c r="C1455" t="str">
        <f t="shared" si="112"/>
        <v>S33_2026</v>
      </c>
      <c r="F1455">
        <v>87</v>
      </c>
      <c r="G1455" t="s">
        <v>55</v>
      </c>
      <c r="H1455" t="s">
        <v>70</v>
      </c>
      <c r="I1455" t="s">
        <v>2126</v>
      </c>
      <c r="J1455" t="s">
        <v>1067</v>
      </c>
      <c r="K1455" t="s">
        <v>1068</v>
      </c>
      <c r="L1455" t="s">
        <v>1067</v>
      </c>
      <c r="M1455" t="s">
        <v>1068</v>
      </c>
      <c r="N1455" t="s">
        <v>45</v>
      </c>
      <c r="O1455" t="s">
        <v>45</v>
      </c>
      <c r="P1455">
        <v>3</v>
      </c>
      <c r="Q1455" s="7">
        <v>46250</v>
      </c>
      <c r="R1455" s="7">
        <v>46250</v>
      </c>
      <c r="S1455" s="7">
        <v>46250</v>
      </c>
      <c r="T1455" t="s">
        <v>45</v>
      </c>
      <c r="V1455" t="s">
        <v>1331</v>
      </c>
      <c r="W1455" t="s">
        <v>45</v>
      </c>
      <c r="X1455" t="s">
        <v>45</v>
      </c>
      <c r="Y1455" t="s">
        <v>45</v>
      </c>
      <c r="Z1455" t="s">
        <v>45</v>
      </c>
      <c r="AC1455" t="s">
        <v>74</v>
      </c>
      <c r="AE1455" s="7">
        <v>46255</v>
      </c>
      <c r="AF1455">
        <v>2</v>
      </c>
      <c r="AH1455" t="s">
        <v>75</v>
      </c>
      <c r="AI1455">
        <v>1</v>
      </c>
      <c r="AJ1455" s="15"/>
      <c r="AK1455" t="s">
        <v>74</v>
      </c>
      <c r="AL1455" s="16"/>
      <c r="AR1455" s="18" t="str">
        <f>IFERROR(VLOOKUP(K1455,[1]POP!$F:$J,1,0),M1455)</f>
        <v>MOKOLO</v>
      </c>
      <c r="AS1455" s="18" t="str">
        <f t="shared" si="111"/>
        <v>MINAWAO</v>
      </c>
      <c r="AT1455" s="19">
        <f t="shared" si="114"/>
        <v>2</v>
      </c>
      <c r="AU1455" s="19">
        <f t="shared" ca="1" si="113"/>
        <v>1</v>
      </c>
    </row>
    <row r="1456" spans="1:47" x14ac:dyDescent="0.3">
      <c r="A1456" t="s">
        <v>2127</v>
      </c>
      <c r="B1456" t="str">
        <f t="shared" si="110"/>
        <v>S33_2026</v>
      </c>
      <c r="C1456" t="str">
        <f t="shared" si="112"/>
        <v>S33_2026</v>
      </c>
      <c r="F1456">
        <v>1</v>
      </c>
      <c r="G1456" t="s">
        <v>55</v>
      </c>
      <c r="H1456" t="s">
        <v>85</v>
      </c>
      <c r="I1456" t="s">
        <v>2128</v>
      </c>
      <c r="J1456" t="s">
        <v>1067</v>
      </c>
      <c r="K1456" t="s">
        <v>1068</v>
      </c>
      <c r="L1456" t="s">
        <v>1067</v>
      </c>
      <c r="M1456" t="s">
        <v>1068</v>
      </c>
      <c r="N1456" t="s">
        <v>45</v>
      </c>
      <c r="O1456" t="s">
        <v>45</v>
      </c>
      <c r="P1456">
        <v>2</v>
      </c>
      <c r="Q1456" s="7">
        <v>46250</v>
      </c>
      <c r="R1456" s="7">
        <v>46250</v>
      </c>
      <c r="S1456" s="7">
        <v>46250</v>
      </c>
      <c r="T1456" t="s">
        <v>45</v>
      </c>
      <c r="V1456" t="s">
        <v>1331</v>
      </c>
      <c r="W1456" t="s">
        <v>45</v>
      </c>
      <c r="X1456" t="s">
        <v>45</v>
      </c>
      <c r="Y1456" t="s">
        <v>45</v>
      </c>
      <c r="Z1456" t="s">
        <v>45</v>
      </c>
      <c r="AC1456" t="s">
        <v>74</v>
      </c>
      <c r="AE1456" s="7">
        <v>46250</v>
      </c>
      <c r="AF1456">
        <v>3</v>
      </c>
      <c r="AH1456" t="s">
        <v>75</v>
      </c>
      <c r="AI1456">
        <v>2</v>
      </c>
      <c r="AJ1456" s="15"/>
      <c r="AK1456" t="s">
        <v>74</v>
      </c>
      <c r="AL1456" s="16"/>
      <c r="AR1456" s="18" t="str">
        <f>IFERROR(VLOOKUP(K1456,[1]POP!$F:$J,1,0),M1456)</f>
        <v>MOKOLO</v>
      </c>
      <c r="AS1456" s="18" t="str">
        <f t="shared" si="111"/>
        <v>MINAWAO</v>
      </c>
      <c r="AT1456" s="19">
        <f t="shared" si="114"/>
        <v>3</v>
      </c>
      <c r="AU1456" s="19">
        <f t="shared" ca="1" si="113"/>
        <v>1</v>
      </c>
    </row>
    <row r="1457" spans="1:47" x14ac:dyDescent="0.3">
      <c r="A1457" t="s">
        <v>2129</v>
      </c>
      <c r="B1457" t="str">
        <f t="shared" si="110"/>
        <v>S34_2026</v>
      </c>
      <c r="C1457" t="str">
        <f t="shared" si="112"/>
        <v>S34_2026</v>
      </c>
      <c r="F1457">
        <v>3</v>
      </c>
      <c r="G1457" t="s">
        <v>40</v>
      </c>
      <c r="H1457" t="s">
        <v>85</v>
      </c>
      <c r="I1457" t="s">
        <v>2130</v>
      </c>
      <c r="J1457" t="s">
        <v>1067</v>
      </c>
      <c r="K1457" t="s">
        <v>1068</v>
      </c>
      <c r="L1457" t="s">
        <v>1067</v>
      </c>
      <c r="M1457" t="s">
        <v>1068</v>
      </c>
      <c r="N1457" t="s">
        <v>45</v>
      </c>
      <c r="O1457" t="s">
        <v>45</v>
      </c>
      <c r="P1457">
        <v>3</v>
      </c>
      <c r="Q1457" s="7">
        <v>46251</v>
      </c>
      <c r="R1457" s="7">
        <v>46251</v>
      </c>
      <c r="S1457" s="7">
        <v>46251</v>
      </c>
      <c r="T1457" t="s">
        <v>45</v>
      </c>
      <c r="V1457" t="s">
        <v>1331</v>
      </c>
      <c r="W1457" t="s">
        <v>45</v>
      </c>
      <c r="X1457" t="s">
        <v>74</v>
      </c>
      <c r="Y1457" t="s">
        <v>45</v>
      </c>
      <c r="Z1457" t="s">
        <v>45</v>
      </c>
      <c r="AA1457" s="7">
        <v>46251</v>
      </c>
      <c r="AC1457" t="s">
        <v>45</v>
      </c>
      <c r="AD1457" t="s">
        <v>62</v>
      </c>
      <c r="AE1457" s="7">
        <v>46256</v>
      </c>
      <c r="AF1457">
        <v>2</v>
      </c>
      <c r="AH1457" t="s">
        <v>75</v>
      </c>
      <c r="AI1457">
        <v>1</v>
      </c>
      <c r="AJ1457" s="15"/>
      <c r="AK1457" t="s">
        <v>74</v>
      </c>
      <c r="AL1457" s="16"/>
      <c r="AR1457" s="18" t="str">
        <f>IFERROR(VLOOKUP(K1457,[1]POP!$F:$J,1,0),M1457)</f>
        <v>MOKOLO</v>
      </c>
      <c r="AS1457" s="18" t="str">
        <f t="shared" si="111"/>
        <v>MINAWAO</v>
      </c>
      <c r="AT1457" s="19">
        <f t="shared" si="114"/>
        <v>2</v>
      </c>
      <c r="AU1457" s="19">
        <f t="shared" ca="1" si="113"/>
        <v>1</v>
      </c>
    </row>
    <row r="1458" spans="1:47" x14ac:dyDescent="0.3">
      <c r="A1458" t="s">
        <v>2131</v>
      </c>
      <c r="B1458" t="str">
        <f t="shared" si="110"/>
        <v>S34_2026</v>
      </c>
      <c r="C1458" t="str">
        <f t="shared" si="112"/>
        <v>S34_2026</v>
      </c>
      <c r="F1458">
        <v>3</v>
      </c>
      <c r="G1458" t="s">
        <v>40</v>
      </c>
      <c r="H1458" t="s">
        <v>85</v>
      </c>
      <c r="I1458" t="s">
        <v>2132</v>
      </c>
      <c r="J1458" t="s">
        <v>1067</v>
      </c>
      <c r="K1458" t="s">
        <v>1068</v>
      </c>
      <c r="L1458" t="s">
        <v>1067</v>
      </c>
      <c r="M1458" t="s">
        <v>1068</v>
      </c>
      <c r="N1458" t="s">
        <v>45</v>
      </c>
      <c r="O1458" t="s">
        <v>45</v>
      </c>
      <c r="P1458">
        <v>2</v>
      </c>
      <c r="Q1458" s="7">
        <v>46251</v>
      </c>
      <c r="R1458" s="7">
        <v>46251</v>
      </c>
      <c r="S1458" s="7">
        <v>46251</v>
      </c>
      <c r="T1458" t="s">
        <v>45</v>
      </c>
      <c r="V1458" t="s">
        <v>1331</v>
      </c>
      <c r="W1458" t="s">
        <v>45</v>
      </c>
      <c r="X1458" t="s">
        <v>45</v>
      </c>
      <c r="Y1458" t="s">
        <v>45</v>
      </c>
      <c r="Z1458" t="s">
        <v>45</v>
      </c>
      <c r="AA1458" s="7">
        <v>46251</v>
      </c>
      <c r="AC1458" t="s">
        <v>45</v>
      </c>
      <c r="AD1458" t="s">
        <v>1122</v>
      </c>
      <c r="AE1458" s="7">
        <v>46254</v>
      </c>
      <c r="AF1458">
        <v>2</v>
      </c>
      <c r="AH1458" t="s">
        <v>75</v>
      </c>
      <c r="AI1458">
        <v>1</v>
      </c>
      <c r="AJ1458" s="15"/>
      <c r="AK1458" t="s">
        <v>74</v>
      </c>
      <c r="AL1458" s="16"/>
      <c r="AR1458" s="18" t="str">
        <f>IFERROR(VLOOKUP(K1458,[1]POP!$F:$J,1,0),M1458)</f>
        <v>MOKOLO</v>
      </c>
      <c r="AS1458" s="18" t="str">
        <f t="shared" si="111"/>
        <v>MINAWAO</v>
      </c>
      <c r="AT1458" s="19">
        <f t="shared" si="114"/>
        <v>2</v>
      </c>
      <c r="AU1458" s="19">
        <f t="shared" ca="1" si="113"/>
        <v>1</v>
      </c>
    </row>
    <row r="1459" spans="1:47" x14ac:dyDescent="0.3">
      <c r="A1459" t="s">
        <v>2133</v>
      </c>
      <c r="B1459" t="str">
        <f t="shared" si="110"/>
        <v>S34_2026</v>
      </c>
      <c r="C1459" t="str">
        <f t="shared" si="112"/>
        <v>S34_2026</v>
      </c>
      <c r="F1459">
        <v>2</v>
      </c>
      <c r="G1459" t="s">
        <v>40</v>
      </c>
      <c r="H1459" t="s">
        <v>85</v>
      </c>
      <c r="I1459" t="s">
        <v>2134</v>
      </c>
      <c r="J1459" t="s">
        <v>1067</v>
      </c>
      <c r="K1459" t="s">
        <v>1068</v>
      </c>
      <c r="L1459" t="s">
        <v>1067</v>
      </c>
      <c r="M1459" t="s">
        <v>1068</v>
      </c>
      <c r="N1459" t="s">
        <v>45</v>
      </c>
      <c r="O1459" t="s">
        <v>45</v>
      </c>
      <c r="P1459">
        <v>3</v>
      </c>
      <c r="Q1459" s="7">
        <v>46251</v>
      </c>
      <c r="R1459" s="7">
        <v>46251</v>
      </c>
      <c r="S1459" s="7">
        <v>46251</v>
      </c>
      <c r="T1459" t="s">
        <v>45</v>
      </c>
      <c r="V1459" t="s">
        <v>1331</v>
      </c>
      <c r="W1459" t="s">
        <v>45</v>
      </c>
      <c r="X1459" t="s">
        <v>45</v>
      </c>
      <c r="Y1459" t="s">
        <v>45</v>
      </c>
      <c r="Z1459" t="s">
        <v>45</v>
      </c>
      <c r="AC1459" t="s">
        <v>74</v>
      </c>
      <c r="AE1459" s="7">
        <v>46255</v>
      </c>
      <c r="AF1459">
        <v>2</v>
      </c>
      <c r="AH1459" t="s">
        <v>75</v>
      </c>
      <c r="AI1459">
        <v>1</v>
      </c>
      <c r="AJ1459" s="15"/>
      <c r="AK1459" t="s">
        <v>74</v>
      </c>
      <c r="AL1459" s="16"/>
      <c r="AR1459" s="18" t="str">
        <f>IFERROR(VLOOKUP(K1459,[1]POP!$F:$J,1,0),M1459)</f>
        <v>MOKOLO</v>
      </c>
      <c r="AS1459" s="18" t="str">
        <f t="shared" si="111"/>
        <v>MINAWAO</v>
      </c>
      <c r="AT1459" s="19">
        <f t="shared" si="114"/>
        <v>2</v>
      </c>
      <c r="AU1459" s="19">
        <f t="shared" ca="1" si="113"/>
        <v>1</v>
      </c>
    </row>
    <row r="1460" spans="1:47" x14ac:dyDescent="0.3">
      <c r="A1460" t="s">
        <v>2135</v>
      </c>
      <c r="B1460" t="str">
        <f t="shared" si="110"/>
        <v>S34_2026</v>
      </c>
      <c r="C1460" t="str">
        <f t="shared" si="112"/>
        <v>S34_2026</v>
      </c>
      <c r="F1460">
        <v>80</v>
      </c>
      <c r="G1460" t="s">
        <v>40</v>
      </c>
      <c r="H1460" t="s">
        <v>77</v>
      </c>
      <c r="I1460" t="s">
        <v>1138</v>
      </c>
      <c r="J1460" t="s">
        <v>1067</v>
      </c>
      <c r="K1460" t="s">
        <v>1068</v>
      </c>
      <c r="L1460" t="s">
        <v>1067</v>
      </c>
      <c r="M1460" t="s">
        <v>1068</v>
      </c>
      <c r="N1460" t="s">
        <v>45</v>
      </c>
      <c r="O1460" t="s">
        <v>45</v>
      </c>
      <c r="P1460">
        <v>3</v>
      </c>
      <c r="Q1460" s="7">
        <v>46251</v>
      </c>
      <c r="R1460" s="7">
        <v>46251</v>
      </c>
      <c r="S1460" s="7">
        <v>46251</v>
      </c>
      <c r="T1460" t="s">
        <v>45</v>
      </c>
      <c r="V1460" t="s">
        <v>1331</v>
      </c>
      <c r="W1460" t="s">
        <v>45</v>
      </c>
      <c r="X1460" t="s">
        <v>45</v>
      </c>
      <c r="Y1460" t="s">
        <v>45</v>
      </c>
      <c r="Z1460" t="s">
        <v>45</v>
      </c>
      <c r="AC1460" t="s">
        <v>74</v>
      </c>
      <c r="AE1460" s="7">
        <v>46258</v>
      </c>
      <c r="AF1460">
        <v>2</v>
      </c>
      <c r="AH1460" t="s">
        <v>75</v>
      </c>
      <c r="AI1460">
        <v>1</v>
      </c>
      <c r="AJ1460" s="15"/>
      <c r="AK1460" t="s">
        <v>74</v>
      </c>
      <c r="AL1460" s="16"/>
      <c r="AR1460" s="18" t="str">
        <f>IFERROR(VLOOKUP(K1460,[1]POP!$F:$J,1,0),M1460)</f>
        <v>MOKOLO</v>
      </c>
      <c r="AS1460" s="18" t="str">
        <f t="shared" si="111"/>
        <v>MINAWAO</v>
      </c>
      <c r="AT1460" s="19">
        <f t="shared" si="114"/>
        <v>2</v>
      </c>
      <c r="AU1460" s="19">
        <f t="shared" ca="1" si="113"/>
        <v>1</v>
      </c>
    </row>
    <row r="1461" spans="1:47" x14ac:dyDescent="0.3">
      <c r="A1461" t="s">
        <v>2136</v>
      </c>
      <c r="B1461" t="str">
        <f t="shared" si="110"/>
        <v>S34_2026</v>
      </c>
      <c r="C1461" t="str">
        <f t="shared" si="112"/>
        <v>S34_2026</v>
      </c>
      <c r="F1461">
        <v>1.5</v>
      </c>
      <c r="G1461" t="s">
        <v>55</v>
      </c>
      <c r="H1461" t="s">
        <v>85</v>
      </c>
      <c r="I1461" t="s">
        <v>2137</v>
      </c>
      <c r="J1461" t="s">
        <v>1067</v>
      </c>
      <c r="K1461" t="s">
        <v>1068</v>
      </c>
      <c r="L1461" t="s">
        <v>1067</v>
      </c>
      <c r="M1461" t="s">
        <v>1068</v>
      </c>
      <c r="N1461" t="s">
        <v>45</v>
      </c>
      <c r="O1461" t="s">
        <v>45</v>
      </c>
      <c r="P1461">
        <v>3</v>
      </c>
      <c r="Q1461" s="7">
        <v>46251</v>
      </c>
      <c r="R1461" s="7">
        <v>46251</v>
      </c>
      <c r="S1461" s="7">
        <v>46251</v>
      </c>
      <c r="T1461" t="s">
        <v>45</v>
      </c>
      <c r="V1461" t="s">
        <v>1331</v>
      </c>
      <c r="W1461" t="s">
        <v>45</v>
      </c>
      <c r="X1461" t="s">
        <v>45</v>
      </c>
      <c r="Y1461" t="s">
        <v>45</v>
      </c>
      <c r="Z1461" t="s">
        <v>45</v>
      </c>
      <c r="AC1461" t="s">
        <v>74</v>
      </c>
      <c r="AE1461" s="7">
        <v>46258</v>
      </c>
      <c r="AF1461">
        <v>2</v>
      </c>
      <c r="AH1461" t="s">
        <v>75</v>
      </c>
      <c r="AI1461">
        <v>1</v>
      </c>
      <c r="AJ1461" s="15"/>
      <c r="AK1461" t="s">
        <v>74</v>
      </c>
      <c r="AL1461" s="16"/>
      <c r="AR1461" s="18" t="str">
        <f>IFERROR(VLOOKUP(K1461,[1]POP!$F:$J,1,0),M1461)</f>
        <v>MOKOLO</v>
      </c>
      <c r="AS1461" s="18" t="str">
        <f t="shared" si="111"/>
        <v>MINAWAO</v>
      </c>
      <c r="AT1461" s="19">
        <f t="shared" si="114"/>
        <v>2</v>
      </c>
      <c r="AU1461" s="19">
        <f t="shared" ca="1" si="113"/>
        <v>1</v>
      </c>
    </row>
    <row r="1462" spans="1:47" x14ac:dyDescent="0.3">
      <c r="A1462" t="s">
        <v>2138</v>
      </c>
      <c r="B1462" t="str">
        <f t="shared" si="110"/>
        <v>S34_2026</v>
      </c>
      <c r="C1462" t="str">
        <f t="shared" si="112"/>
        <v>S34_2026</v>
      </c>
      <c r="F1462">
        <v>50</v>
      </c>
      <c r="G1462" t="s">
        <v>40</v>
      </c>
      <c r="H1462" t="s">
        <v>77</v>
      </c>
      <c r="I1462" t="s">
        <v>2139</v>
      </c>
      <c r="J1462" t="s">
        <v>1067</v>
      </c>
      <c r="K1462" t="s">
        <v>1068</v>
      </c>
      <c r="L1462" t="s">
        <v>1067</v>
      </c>
      <c r="M1462" t="s">
        <v>1068</v>
      </c>
      <c r="N1462" t="s">
        <v>45</v>
      </c>
      <c r="O1462" t="s">
        <v>45</v>
      </c>
      <c r="P1462">
        <v>2</v>
      </c>
      <c r="Q1462" s="7">
        <v>46252</v>
      </c>
      <c r="R1462" s="7">
        <v>46252</v>
      </c>
      <c r="S1462" s="7">
        <v>46252</v>
      </c>
      <c r="T1462" t="s">
        <v>45</v>
      </c>
      <c r="V1462" t="s">
        <v>1331</v>
      </c>
      <c r="W1462" t="s">
        <v>45</v>
      </c>
      <c r="X1462" t="s">
        <v>45</v>
      </c>
      <c r="Y1462" t="s">
        <v>45</v>
      </c>
      <c r="Z1462" t="s">
        <v>45</v>
      </c>
      <c r="AC1462" t="s">
        <v>74</v>
      </c>
      <c r="AE1462" s="7">
        <v>46254</v>
      </c>
      <c r="AF1462">
        <v>2</v>
      </c>
      <c r="AH1462" t="s">
        <v>75</v>
      </c>
      <c r="AI1462">
        <v>1</v>
      </c>
      <c r="AJ1462" s="15"/>
      <c r="AK1462" t="s">
        <v>45</v>
      </c>
      <c r="AL1462" s="16"/>
      <c r="AR1462" s="18" t="str">
        <f>IFERROR(VLOOKUP(K1462,[1]POP!$F:$J,1,0),M1462)</f>
        <v>MOKOLO</v>
      </c>
      <c r="AS1462" s="18" t="str">
        <f t="shared" si="111"/>
        <v>MINAWAO</v>
      </c>
      <c r="AT1462" s="19">
        <f t="shared" si="114"/>
        <v>2</v>
      </c>
      <c r="AU1462" s="19">
        <f t="shared" ca="1" si="113"/>
        <v>1</v>
      </c>
    </row>
    <row r="1463" spans="1:47" x14ac:dyDescent="0.3">
      <c r="A1463" t="s">
        <v>2140</v>
      </c>
      <c r="B1463" t="str">
        <f t="shared" si="110"/>
        <v>S34_2026</v>
      </c>
      <c r="C1463" t="str">
        <f t="shared" si="112"/>
        <v>S34_2026</v>
      </c>
      <c r="F1463">
        <v>2</v>
      </c>
      <c r="G1463" t="s">
        <v>40</v>
      </c>
      <c r="H1463" t="s">
        <v>85</v>
      </c>
      <c r="I1463" t="s">
        <v>1766</v>
      </c>
      <c r="J1463" t="s">
        <v>1067</v>
      </c>
      <c r="K1463" t="s">
        <v>1068</v>
      </c>
      <c r="L1463" t="s">
        <v>1067</v>
      </c>
      <c r="M1463" t="s">
        <v>1068</v>
      </c>
      <c r="N1463" t="s">
        <v>45</v>
      </c>
      <c r="O1463" t="s">
        <v>45</v>
      </c>
      <c r="P1463">
        <v>3</v>
      </c>
      <c r="Q1463" s="7">
        <v>46252</v>
      </c>
      <c r="R1463" s="7">
        <v>46252</v>
      </c>
      <c r="S1463" s="7">
        <v>46252</v>
      </c>
      <c r="T1463" t="s">
        <v>45</v>
      </c>
      <c r="V1463" t="s">
        <v>1331</v>
      </c>
      <c r="W1463" t="s">
        <v>45</v>
      </c>
      <c r="X1463" t="s">
        <v>45</v>
      </c>
      <c r="Y1463" t="s">
        <v>45</v>
      </c>
      <c r="Z1463" t="s">
        <v>45</v>
      </c>
      <c r="AC1463" t="s">
        <v>74</v>
      </c>
      <c r="AE1463" s="7">
        <v>46258</v>
      </c>
      <c r="AF1463">
        <v>2</v>
      </c>
      <c r="AH1463" t="s">
        <v>75</v>
      </c>
      <c r="AI1463">
        <v>1</v>
      </c>
      <c r="AJ1463" s="15"/>
      <c r="AK1463" t="s">
        <v>74</v>
      </c>
      <c r="AL1463" s="16"/>
      <c r="AR1463" s="18" t="str">
        <f>IFERROR(VLOOKUP(K1463,[1]POP!$F:$J,1,0),M1463)</f>
        <v>MOKOLO</v>
      </c>
      <c r="AS1463" s="18" t="str">
        <f t="shared" si="111"/>
        <v>MINAWAO</v>
      </c>
      <c r="AT1463" s="19">
        <f t="shared" si="114"/>
        <v>2</v>
      </c>
      <c r="AU1463" s="19">
        <f t="shared" ca="1" si="113"/>
        <v>1</v>
      </c>
    </row>
    <row r="1464" spans="1:47" x14ac:dyDescent="0.3">
      <c r="A1464" t="s">
        <v>2141</v>
      </c>
      <c r="B1464" t="str">
        <f t="shared" si="110"/>
        <v>S34_2026</v>
      </c>
      <c r="C1464" t="str">
        <f t="shared" si="112"/>
        <v>S34_2026</v>
      </c>
      <c r="F1464">
        <v>45</v>
      </c>
      <c r="G1464" t="s">
        <v>40</v>
      </c>
      <c r="H1464" t="s">
        <v>77</v>
      </c>
      <c r="I1464" t="s">
        <v>1766</v>
      </c>
      <c r="J1464" t="s">
        <v>1067</v>
      </c>
      <c r="K1464" t="s">
        <v>1068</v>
      </c>
      <c r="L1464" t="s">
        <v>1067</v>
      </c>
      <c r="M1464" t="s">
        <v>1068</v>
      </c>
      <c r="N1464" t="s">
        <v>45</v>
      </c>
      <c r="O1464" t="s">
        <v>45</v>
      </c>
      <c r="P1464">
        <v>2</v>
      </c>
      <c r="Q1464" s="7">
        <v>46252</v>
      </c>
      <c r="R1464" s="7">
        <v>46252</v>
      </c>
      <c r="S1464" s="7">
        <v>46252</v>
      </c>
      <c r="T1464" t="s">
        <v>45</v>
      </c>
      <c r="V1464" t="s">
        <v>1331</v>
      </c>
      <c r="W1464" t="s">
        <v>45</v>
      </c>
      <c r="X1464" t="s">
        <v>45</v>
      </c>
      <c r="Y1464" t="s">
        <v>45</v>
      </c>
      <c r="Z1464" t="s">
        <v>45</v>
      </c>
      <c r="AC1464" t="s">
        <v>74</v>
      </c>
      <c r="AE1464" s="7">
        <v>46255</v>
      </c>
      <c r="AF1464">
        <v>2</v>
      </c>
      <c r="AH1464" t="s">
        <v>75</v>
      </c>
      <c r="AI1464">
        <v>1</v>
      </c>
      <c r="AJ1464" s="15"/>
      <c r="AK1464" t="s">
        <v>45</v>
      </c>
      <c r="AL1464" s="16"/>
      <c r="AR1464" s="18" t="str">
        <f>IFERROR(VLOOKUP(K1464,[1]POP!$F:$J,1,0),M1464)</f>
        <v>MOKOLO</v>
      </c>
      <c r="AS1464" s="18" t="str">
        <f t="shared" si="111"/>
        <v>MINAWAO</v>
      </c>
      <c r="AT1464" s="19">
        <f t="shared" si="114"/>
        <v>2</v>
      </c>
      <c r="AU1464" s="19">
        <f t="shared" ca="1" si="113"/>
        <v>1</v>
      </c>
    </row>
    <row r="1465" spans="1:47" x14ac:dyDescent="0.3">
      <c r="A1465" t="s">
        <v>2142</v>
      </c>
      <c r="B1465" t="str">
        <f t="shared" si="110"/>
        <v>S34_2026</v>
      </c>
      <c r="C1465" t="str">
        <f t="shared" si="112"/>
        <v>S34_2026</v>
      </c>
      <c r="F1465">
        <v>30</v>
      </c>
      <c r="G1465" t="s">
        <v>40</v>
      </c>
      <c r="H1465" t="s">
        <v>77</v>
      </c>
      <c r="I1465" t="s">
        <v>2143</v>
      </c>
      <c r="J1465" t="s">
        <v>1067</v>
      </c>
      <c r="K1465" t="s">
        <v>1068</v>
      </c>
      <c r="L1465" t="s">
        <v>1067</v>
      </c>
      <c r="M1465" t="s">
        <v>1068</v>
      </c>
      <c r="N1465" t="s">
        <v>45</v>
      </c>
      <c r="O1465" t="s">
        <v>45</v>
      </c>
      <c r="P1465">
        <v>3</v>
      </c>
      <c r="Q1465" s="7">
        <v>46252</v>
      </c>
      <c r="R1465" s="7">
        <v>46252</v>
      </c>
      <c r="S1465" s="7">
        <v>46252</v>
      </c>
      <c r="T1465" t="s">
        <v>45</v>
      </c>
      <c r="V1465" t="s">
        <v>1331</v>
      </c>
      <c r="W1465" t="s">
        <v>45</v>
      </c>
      <c r="X1465" t="s">
        <v>74</v>
      </c>
      <c r="Y1465" t="s">
        <v>45</v>
      </c>
      <c r="Z1465" t="s">
        <v>45</v>
      </c>
      <c r="AC1465" t="s">
        <v>74</v>
      </c>
      <c r="AE1465" s="7">
        <v>46254</v>
      </c>
      <c r="AF1465">
        <v>2</v>
      </c>
      <c r="AH1465" t="s">
        <v>75</v>
      </c>
      <c r="AI1465">
        <v>1</v>
      </c>
      <c r="AJ1465" s="15"/>
      <c r="AK1465" t="s">
        <v>74</v>
      </c>
      <c r="AL1465" s="16"/>
      <c r="AR1465" s="18" t="str">
        <f>IFERROR(VLOOKUP(K1465,[1]POP!$F:$J,1,0),M1465)</f>
        <v>MOKOLO</v>
      </c>
      <c r="AS1465" s="18" t="str">
        <f t="shared" si="111"/>
        <v>MINAWAO</v>
      </c>
      <c r="AT1465" s="19">
        <f t="shared" si="114"/>
        <v>2</v>
      </c>
      <c r="AU1465" s="19">
        <f t="shared" ca="1" si="113"/>
        <v>1</v>
      </c>
    </row>
    <row r="1466" spans="1:47" x14ac:dyDescent="0.3">
      <c r="A1466" t="s">
        <v>2144</v>
      </c>
      <c r="B1466" t="str">
        <f t="shared" si="110"/>
        <v>S34_2026</v>
      </c>
      <c r="C1466" t="str">
        <f t="shared" si="112"/>
        <v>S34_2026</v>
      </c>
      <c r="F1466">
        <v>14</v>
      </c>
      <c r="G1466" t="s">
        <v>55</v>
      </c>
      <c r="H1466" t="s">
        <v>85</v>
      </c>
      <c r="I1466" t="s">
        <v>2145</v>
      </c>
      <c r="J1466" t="s">
        <v>1067</v>
      </c>
      <c r="K1466" t="s">
        <v>1068</v>
      </c>
      <c r="L1466" t="s">
        <v>1067</v>
      </c>
      <c r="M1466" t="s">
        <v>1068</v>
      </c>
      <c r="N1466" t="s">
        <v>45</v>
      </c>
      <c r="O1466" t="s">
        <v>45</v>
      </c>
      <c r="P1466">
        <v>3</v>
      </c>
      <c r="Q1466" s="7">
        <v>46253</v>
      </c>
      <c r="R1466" s="7">
        <v>46253</v>
      </c>
      <c r="S1466" s="7">
        <v>46253</v>
      </c>
      <c r="T1466" t="s">
        <v>45</v>
      </c>
      <c r="V1466" t="s">
        <v>1331</v>
      </c>
      <c r="W1466" t="s">
        <v>45</v>
      </c>
      <c r="X1466" t="s">
        <v>45</v>
      </c>
      <c r="Y1466" t="s">
        <v>45</v>
      </c>
      <c r="Z1466" t="s">
        <v>45</v>
      </c>
      <c r="AC1466" t="s">
        <v>74</v>
      </c>
      <c r="AE1466" s="7">
        <v>46257</v>
      </c>
      <c r="AF1466">
        <v>2</v>
      </c>
      <c r="AH1466" t="s">
        <v>75</v>
      </c>
      <c r="AI1466">
        <v>1</v>
      </c>
      <c r="AJ1466" s="15"/>
      <c r="AK1466" t="s">
        <v>45</v>
      </c>
      <c r="AL1466" s="16"/>
      <c r="AR1466" s="18" t="str">
        <f>IFERROR(VLOOKUP(K1466,[1]POP!$F:$J,1,0),M1466)</f>
        <v>MOKOLO</v>
      </c>
      <c r="AS1466" s="18" t="str">
        <f t="shared" si="111"/>
        <v>MINAWAO</v>
      </c>
      <c r="AT1466" s="19">
        <f t="shared" si="114"/>
        <v>2</v>
      </c>
      <c r="AU1466" s="19">
        <f t="shared" ca="1" si="113"/>
        <v>1</v>
      </c>
    </row>
    <row r="1467" spans="1:47" x14ac:dyDescent="0.3">
      <c r="A1467" t="s">
        <v>2146</v>
      </c>
      <c r="B1467" t="str">
        <f t="shared" si="110"/>
        <v>S34_2026</v>
      </c>
      <c r="C1467" t="str">
        <f t="shared" si="112"/>
        <v>S34_2026</v>
      </c>
      <c r="F1467">
        <v>5</v>
      </c>
      <c r="G1467" t="s">
        <v>40</v>
      </c>
      <c r="H1467" t="s">
        <v>85</v>
      </c>
      <c r="I1467" t="s">
        <v>2147</v>
      </c>
      <c r="J1467" t="s">
        <v>1067</v>
      </c>
      <c r="K1467" t="s">
        <v>1068</v>
      </c>
      <c r="L1467" t="s">
        <v>1067</v>
      </c>
      <c r="M1467" t="s">
        <v>1068</v>
      </c>
      <c r="N1467" t="s">
        <v>45</v>
      </c>
      <c r="O1467" t="s">
        <v>45</v>
      </c>
      <c r="P1467">
        <v>3</v>
      </c>
      <c r="Q1467" s="7">
        <v>46253</v>
      </c>
      <c r="R1467" s="7">
        <v>46253</v>
      </c>
      <c r="S1467" s="7">
        <v>46253</v>
      </c>
      <c r="T1467" t="s">
        <v>45</v>
      </c>
      <c r="V1467" t="s">
        <v>1331</v>
      </c>
      <c r="W1467" t="s">
        <v>45</v>
      </c>
      <c r="X1467" t="s">
        <v>45</v>
      </c>
      <c r="Y1467" t="s">
        <v>45</v>
      </c>
      <c r="Z1467" t="s">
        <v>45</v>
      </c>
      <c r="AC1467" t="s">
        <v>74</v>
      </c>
      <c r="AE1467" s="7">
        <v>46257</v>
      </c>
      <c r="AF1467">
        <v>2</v>
      </c>
      <c r="AH1467" t="s">
        <v>75</v>
      </c>
      <c r="AI1467">
        <v>1</v>
      </c>
      <c r="AJ1467" s="15"/>
      <c r="AK1467" t="s">
        <v>74</v>
      </c>
      <c r="AL1467" s="16"/>
      <c r="AR1467" s="18" t="str">
        <f>IFERROR(VLOOKUP(K1467,[1]POP!$F:$J,1,0),M1467)</f>
        <v>MOKOLO</v>
      </c>
      <c r="AS1467" s="18" t="str">
        <f t="shared" si="111"/>
        <v>MINAWAO</v>
      </c>
      <c r="AT1467" s="19">
        <f t="shared" si="114"/>
        <v>2</v>
      </c>
      <c r="AU1467" s="19">
        <f t="shared" ca="1" si="113"/>
        <v>1</v>
      </c>
    </row>
    <row r="1468" spans="1:47" x14ac:dyDescent="0.3">
      <c r="A1468" t="s">
        <v>2148</v>
      </c>
      <c r="B1468" t="str">
        <f t="shared" si="110"/>
        <v>S34_2026</v>
      </c>
      <c r="C1468" t="str">
        <f t="shared" si="112"/>
        <v>S34_2026</v>
      </c>
      <c r="F1468">
        <v>65</v>
      </c>
      <c r="G1468" t="s">
        <v>55</v>
      </c>
      <c r="H1468" t="s">
        <v>70</v>
      </c>
      <c r="I1468" t="s">
        <v>1323</v>
      </c>
      <c r="J1468" t="s">
        <v>1067</v>
      </c>
      <c r="K1468" t="s">
        <v>1068</v>
      </c>
      <c r="L1468" t="s">
        <v>1067</v>
      </c>
      <c r="M1468" t="s">
        <v>1068</v>
      </c>
      <c r="N1468" t="s">
        <v>45</v>
      </c>
      <c r="O1468" t="s">
        <v>45</v>
      </c>
      <c r="P1468">
        <v>3</v>
      </c>
      <c r="Q1468" s="7">
        <v>46253</v>
      </c>
      <c r="R1468" s="7">
        <v>46253</v>
      </c>
      <c r="S1468" s="7">
        <v>46253</v>
      </c>
      <c r="T1468" t="s">
        <v>45</v>
      </c>
      <c r="V1468" t="s">
        <v>1331</v>
      </c>
      <c r="W1468" t="s">
        <v>45</v>
      </c>
      <c r="X1468" t="s">
        <v>45</v>
      </c>
      <c r="Y1468" t="s">
        <v>45</v>
      </c>
      <c r="Z1468" t="s">
        <v>45</v>
      </c>
      <c r="AC1468" t="s">
        <v>74</v>
      </c>
      <c r="AE1468" s="7">
        <v>46257</v>
      </c>
      <c r="AF1468">
        <v>2</v>
      </c>
      <c r="AH1468" t="s">
        <v>75</v>
      </c>
      <c r="AI1468">
        <v>1</v>
      </c>
      <c r="AJ1468" s="15"/>
      <c r="AK1468" t="s">
        <v>74</v>
      </c>
      <c r="AL1468" s="16"/>
      <c r="AR1468" s="18" t="str">
        <f>IFERROR(VLOOKUP(K1468,[1]POP!$F:$J,1,0),M1468)</f>
        <v>MOKOLO</v>
      </c>
      <c r="AS1468" s="18" t="str">
        <f t="shared" si="111"/>
        <v>MINAWAO</v>
      </c>
      <c r="AT1468" s="19">
        <f t="shared" si="114"/>
        <v>2</v>
      </c>
      <c r="AU1468" s="19">
        <f t="shared" ca="1" si="113"/>
        <v>1</v>
      </c>
    </row>
    <row r="1469" spans="1:47" x14ac:dyDescent="0.3">
      <c r="A1469" t="s">
        <v>2149</v>
      </c>
      <c r="B1469" t="str">
        <f t="shared" si="110"/>
        <v>S34_2026</v>
      </c>
      <c r="C1469" t="str">
        <f t="shared" si="112"/>
        <v>S34_2026</v>
      </c>
      <c r="F1469">
        <v>0.66666000000000003</v>
      </c>
      <c r="G1469" t="s">
        <v>55</v>
      </c>
      <c r="H1469" t="s">
        <v>85</v>
      </c>
      <c r="I1469" t="s">
        <v>2150</v>
      </c>
      <c r="J1469" t="s">
        <v>1067</v>
      </c>
      <c r="K1469" t="s">
        <v>1068</v>
      </c>
      <c r="L1469" t="s">
        <v>1067</v>
      </c>
      <c r="M1469" t="s">
        <v>1068</v>
      </c>
      <c r="N1469" t="s">
        <v>45</v>
      </c>
      <c r="O1469" t="s">
        <v>45</v>
      </c>
      <c r="P1469">
        <v>3</v>
      </c>
      <c r="Q1469" s="7">
        <v>46253</v>
      </c>
      <c r="R1469" s="7">
        <v>46253</v>
      </c>
      <c r="S1469" s="7">
        <v>46253</v>
      </c>
      <c r="T1469" t="s">
        <v>45</v>
      </c>
      <c r="V1469" t="s">
        <v>1331</v>
      </c>
      <c r="W1469" t="s">
        <v>45</v>
      </c>
      <c r="X1469" t="s">
        <v>45</v>
      </c>
      <c r="Y1469" t="s">
        <v>45</v>
      </c>
      <c r="Z1469" t="s">
        <v>45</v>
      </c>
      <c r="AC1469" t="s">
        <v>74</v>
      </c>
      <c r="AE1469" s="7">
        <v>46257</v>
      </c>
      <c r="AF1469">
        <v>2</v>
      </c>
      <c r="AH1469" t="s">
        <v>75</v>
      </c>
      <c r="AI1469">
        <v>1</v>
      </c>
      <c r="AJ1469" s="15"/>
      <c r="AK1469" t="s">
        <v>74</v>
      </c>
      <c r="AL1469" s="16"/>
      <c r="AR1469" s="18" t="str">
        <f>IFERROR(VLOOKUP(K1469,[1]POP!$F:$J,1,0),M1469)</f>
        <v>MOKOLO</v>
      </c>
      <c r="AS1469" s="18" t="str">
        <f t="shared" si="111"/>
        <v>MINAWAO</v>
      </c>
      <c r="AT1469" s="19">
        <f t="shared" si="114"/>
        <v>2</v>
      </c>
      <c r="AU1469" s="19">
        <f t="shared" ca="1" si="113"/>
        <v>1</v>
      </c>
    </row>
    <row r="1470" spans="1:47" x14ac:dyDescent="0.3">
      <c r="A1470" t="s">
        <v>2151</v>
      </c>
      <c r="B1470" t="str">
        <f t="shared" si="110"/>
        <v>S32_2026</v>
      </c>
      <c r="C1470" t="str">
        <f t="shared" si="112"/>
        <v>S32_2026</v>
      </c>
      <c r="F1470">
        <v>50</v>
      </c>
      <c r="G1470" t="s">
        <v>40</v>
      </c>
      <c r="H1470" t="s">
        <v>77</v>
      </c>
      <c r="I1470" t="s">
        <v>902</v>
      </c>
      <c r="J1470" t="s">
        <v>902</v>
      </c>
      <c r="K1470" t="s">
        <v>746</v>
      </c>
      <c r="L1470" t="s">
        <v>746</v>
      </c>
      <c r="M1470" t="s">
        <v>746</v>
      </c>
      <c r="N1470" t="s">
        <v>45</v>
      </c>
      <c r="O1470" t="s">
        <v>45</v>
      </c>
      <c r="P1470">
        <v>3</v>
      </c>
      <c r="Q1470" s="7">
        <v>46239</v>
      </c>
      <c r="R1470" s="7">
        <v>46239</v>
      </c>
      <c r="S1470" s="7">
        <v>46239</v>
      </c>
      <c r="T1470" t="s">
        <v>45</v>
      </c>
      <c r="V1470" t="s">
        <v>852</v>
      </c>
      <c r="W1470" t="s">
        <v>45</v>
      </c>
      <c r="X1470" t="s">
        <v>45</v>
      </c>
      <c r="Y1470" t="s">
        <v>45</v>
      </c>
      <c r="Z1470" t="s">
        <v>45</v>
      </c>
      <c r="AA1470" s="7">
        <v>46239</v>
      </c>
      <c r="AB1470" t="s">
        <v>48</v>
      </c>
      <c r="AC1470" t="s">
        <v>74</v>
      </c>
      <c r="AE1470" s="7">
        <v>46245</v>
      </c>
      <c r="AF1470">
        <v>2</v>
      </c>
      <c r="AH1470" t="s">
        <v>75</v>
      </c>
      <c r="AI1470">
        <v>1</v>
      </c>
      <c r="AJ1470" s="15"/>
      <c r="AK1470" t="s">
        <v>74</v>
      </c>
      <c r="AL1470" s="16"/>
      <c r="AR1470" s="18" t="str">
        <f>IFERROR(VLOOKUP(K1470,[1]POP!$F:$J,1,0),M1470)</f>
        <v>MORA</v>
      </c>
      <c r="AS1470" s="18" t="str">
        <f t="shared" si="111"/>
        <v>KOURGUI</v>
      </c>
      <c r="AT1470" s="19">
        <f t="shared" si="114"/>
        <v>2</v>
      </c>
      <c r="AU1470" s="19">
        <f t="shared" ca="1" si="113"/>
        <v>2</v>
      </c>
    </row>
    <row r="1471" spans="1:47" x14ac:dyDescent="0.3">
      <c r="A1471" t="s">
        <v>2152</v>
      </c>
      <c r="B1471" t="str">
        <f t="shared" si="110"/>
        <v>S32_2026</v>
      </c>
      <c r="C1471" t="str">
        <f t="shared" si="112"/>
        <v>S32_2026</v>
      </c>
      <c r="F1471">
        <v>42</v>
      </c>
      <c r="G1471" t="s">
        <v>40</v>
      </c>
      <c r="H1471" t="s">
        <v>77</v>
      </c>
      <c r="I1471" t="s">
        <v>752</v>
      </c>
      <c r="J1471" t="s">
        <v>752</v>
      </c>
      <c r="K1471" t="s">
        <v>746</v>
      </c>
      <c r="L1471" t="s">
        <v>746</v>
      </c>
      <c r="M1471" t="s">
        <v>746</v>
      </c>
      <c r="N1471" t="s">
        <v>45</v>
      </c>
      <c r="O1471" t="s">
        <v>45</v>
      </c>
      <c r="P1471">
        <v>3</v>
      </c>
      <c r="Q1471" s="7">
        <v>46239</v>
      </c>
      <c r="R1471" s="7">
        <v>46239</v>
      </c>
      <c r="S1471" s="7">
        <v>46239</v>
      </c>
      <c r="T1471" t="s">
        <v>45</v>
      </c>
      <c r="V1471" t="s">
        <v>852</v>
      </c>
      <c r="W1471" t="s">
        <v>45</v>
      </c>
      <c r="X1471" t="s">
        <v>45</v>
      </c>
      <c r="Y1471" t="s">
        <v>45</v>
      </c>
      <c r="Z1471" t="s">
        <v>45</v>
      </c>
      <c r="AA1471" s="7">
        <v>46239</v>
      </c>
      <c r="AB1471" t="s">
        <v>48</v>
      </c>
      <c r="AC1471" t="s">
        <v>74</v>
      </c>
      <c r="AE1471" s="7">
        <v>46247</v>
      </c>
      <c r="AF1471">
        <v>2</v>
      </c>
      <c r="AH1471" t="s">
        <v>75</v>
      </c>
      <c r="AI1471">
        <v>1</v>
      </c>
      <c r="AJ1471" s="15"/>
      <c r="AK1471" t="s">
        <v>74</v>
      </c>
      <c r="AL1471" s="16"/>
      <c r="AR1471" s="18" t="str">
        <f>IFERROR(VLOOKUP(K1471,[1]POP!$F:$J,1,0),M1471)</f>
        <v>MORA</v>
      </c>
      <c r="AS1471" s="18" t="str">
        <f t="shared" si="111"/>
        <v>LIMANI</v>
      </c>
      <c r="AT1471" s="19">
        <f t="shared" si="114"/>
        <v>2</v>
      </c>
      <c r="AU1471" s="19">
        <f t="shared" ca="1" si="113"/>
        <v>2</v>
      </c>
    </row>
    <row r="1472" spans="1:47" x14ac:dyDescent="0.3">
      <c r="A1472" t="s">
        <v>2153</v>
      </c>
      <c r="B1472" t="str">
        <f t="shared" si="110"/>
        <v>S32_2026</v>
      </c>
      <c r="C1472" t="str">
        <f t="shared" si="112"/>
        <v>S32_2026</v>
      </c>
      <c r="F1472">
        <v>12</v>
      </c>
      <c r="G1472" t="s">
        <v>55</v>
      </c>
      <c r="H1472" t="s">
        <v>56</v>
      </c>
      <c r="I1472" t="s">
        <v>2154</v>
      </c>
      <c r="J1472" t="s">
        <v>2155</v>
      </c>
      <c r="K1472" t="s">
        <v>746</v>
      </c>
      <c r="L1472" t="s">
        <v>746</v>
      </c>
      <c r="M1472" t="s">
        <v>746</v>
      </c>
      <c r="N1472" t="s">
        <v>45</v>
      </c>
      <c r="O1472" t="s">
        <v>45</v>
      </c>
      <c r="P1472">
        <v>3</v>
      </c>
      <c r="Q1472" s="7">
        <v>46240</v>
      </c>
      <c r="R1472" s="7">
        <v>46240</v>
      </c>
      <c r="S1472" s="7">
        <v>46240</v>
      </c>
      <c r="T1472" t="s">
        <v>45</v>
      </c>
      <c r="V1472" t="s">
        <v>852</v>
      </c>
      <c r="W1472" t="s">
        <v>45</v>
      </c>
      <c r="X1472" t="s">
        <v>45</v>
      </c>
      <c r="Y1472" t="s">
        <v>45</v>
      </c>
      <c r="Z1472" t="s">
        <v>45</v>
      </c>
      <c r="AA1472" s="7">
        <v>46240</v>
      </c>
      <c r="AB1472" t="s">
        <v>48</v>
      </c>
      <c r="AC1472" t="s">
        <v>74</v>
      </c>
      <c r="AE1472" s="7">
        <v>46247</v>
      </c>
      <c r="AF1472">
        <v>2</v>
      </c>
      <c r="AH1472" t="s">
        <v>75</v>
      </c>
      <c r="AI1472">
        <v>1</v>
      </c>
      <c r="AJ1472" s="15"/>
      <c r="AK1472" t="s">
        <v>74</v>
      </c>
      <c r="AL1472" s="16"/>
      <c r="AR1472" s="18" t="str">
        <f>IFERROR(VLOOKUP(K1472,[1]POP!$F:$J,1,0),M1472)</f>
        <v>MORA</v>
      </c>
      <c r="AS1472" s="18" t="str">
        <f t="shared" si="111"/>
        <v>BOUNDERI</v>
      </c>
      <c r="AT1472" s="19">
        <f t="shared" si="114"/>
        <v>2</v>
      </c>
      <c r="AU1472" s="19">
        <f t="shared" ca="1" si="113"/>
        <v>2</v>
      </c>
    </row>
    <row r="1473" spans="1:47" x14ac:dyDescent="0.3">
      <c r="A1473" t="s">
        <v>2156</v>
      </c>
      <c r="B1473" t="str">
        <f t="shared" si="110"/>
        <v>S32_2026</v>
      </c>
      <c r="C1473" t="str">
        <f t="shared" si="112"/>
        <v>S32_2026</v>
      </c>
      <c r="F1473">
        <v>16</v>
      </c>
      <c r="G1473" t="s">
        <v>55</v>
      </c>
      <c r="H1473" t="s">
        <v>56</v>
      </c>
      <c r="I1473" t="s">
        <v>2157</v>
      </c>
      <c r="J1473" t="s">
        <v>746</v>
      </c>
      <c r="K1473" t="s">
        <v>746</v>
      </c>
      <c r="L1473" t="s">
        <v>746</v>
      </c>
      <c r="M1473" t="s">
        <v>746</v>
      </c>
      <c r="N1473" t="s">
        <v>45</v>
      </c>
      <c r="O1473" t="s">
        <v>45</v>
      </c>
      <c r="P1473">
        <v>3</v>
      </c>
      <c r="Q1473" s="7">
        <v>46240</v>
      </c>
      <c r="R1473" s="7">
        <v>46240</v>
      </c>
      <c r="S1473" s="7">
        <v>46240</v>
      </c>
      <c r="T1473" t="s">
        <v>45</v>
      </c>
      <c r="V1473" t="s">
        <v>852</v>
      </c>
      <c r="W1473" t="s">
        <v>45</v>
      </c>
      <c r="X1473" t="s">
        <v>45</v>
      </c>
      <c r="Y1473" t="s">
        <v>45</v>
      </c>
      <c r="Z1473" t="s">
        <v>45</v>
      </c>
      <c r="AA1473" s="7">
        <v>46240</v>
      </c>
      <c r="AB1473" t="s">
        <v>48</v>
      </c>
      <c r="AC1473" t="s">
        <v>74</v>
      </c>
      <c r="AE1473" s="7">
        <v>46247</v>
      </c>
      <c r="AF1473">
        <v>2</v>
      </c>
      <c r="AH1473" t="s">
        <v>75</v>
      </c>
      <c r="AI1473">
        <v>1</v>
      </c>
      <c r="AJ1473" s="15"/>
      <c r="AK1473" t="s">
        <v>74</v>
      </c>
      <c r="AL1473" s="16"/>
      <c r="AR1473" s="18" t="str">
        <f>IFERROR(VLOOKUP(K1473,[1]POP!$F:$J,1,0),M1473)</f>
        <v>MORA</v>
      </c>
      <c r="AS1473" s="18" t="str">
        <f t="shared" si="111"/>
        <v>MORA</v>
      </c>
      <c r="AT1473" s="19">
        <f t="shared" si="114"/>
        <v>2</v>
      </c>
      <c r="AU1473" s="19">
        <f t="shared" ca="1" si="113"/>
        <v>2</v>
      </c>
    </row>
    <row r="1474" spans="1:47" x14ac:dyDescent="0.3">
      <c r="A1474" t="s">
        <v>2158</v>
      </c>
      <c r="B1474" t="str">
        <f t="shared" ref="B1474:B1537" si="115">"S"&amp;(IF(_xlfn.ISOWEEKNUM(S1474)&gt;9,_xlfn.ISOWEEKNUM(S1474),_xlfn.CONCAT("0",_xlfn.ISOWEEKNUM(S1474))))&amp;"_"&amp;(YEAR(S1474+26-(_xlfn.ISOWEEKNUM(S1474))))</f>
        <v>S32_2026</v>
      </c>
      <c r="C1474" t="str">
        <f t="shared" si="112"/>
        <v>S32_2026</v>
      </c>
      <c r="F1474">
        <v>26</v>
      </c>
      <c r="G1474" t="s">
        <v>40</v>
      </c>
      <c r="H1474" t="s">
        <v>77</v>
      </c>
      <c r="I1474" t="s">
        <v>2157</v>
      </c>
      <c r="J1474" t="s">
        <v>746</v>
      </c>
      <c r="K1474" t="s">
        <v>746</v>
      </c>
      <c r="L1474" t="s">
        <v>746</v>
      </c>
      <c r="M1474" t="s">
        <v>746</v>
      </c>
      <c r="N1474" t="s">
        <v>45</v>
      </c>
      <c r="O1474" t="s">
        <v>45</v>
      </c>
      <c r="P1474">
        <v>3</v>
      </c>
      <c r="Q1474" s="7">
        <v>46242</v>
      </c>
      <c r="R1474" s="7">
        <v>46242</v>
      </c>
      <c r="S1474" s="7">
        <v>46242</v>
      </c>
      <c r="T1474" t="s">
        <v>45</v>
      </c>
      <c r="V1474" t="s">
        <v>852</v>
      </c>
      <c r="W1474" t="s">
        <v>45</v>
      </c>
      <c r="X1474" t="s">
        <v>45</v>
      </c>
      <c r="Y1474" t="s">
        <v>45</v>
      </c>
      <c r="Z1474" t="s">
        <v>45</v>
      </c>
      <c r="AA1474" s="7">
        <v>46242</v>
      </c>
      <c r="AB1474" t="s">
        <v>48</v>
      </c>
      <c r="AC1474" t="s">
        <v>74</v>
      </c>
      <c r="AE1474" s="7">
        <v>46247</v>
      </c>
      <c r="AF1474">
        <v>2</v>
      </c>
      <c r="AH1474" t="s">
        <v>75</v>
      </c>
      <c r="AI1474">
        <v>1</v>
      </c>
      <c r="AJ1474" s="15"/>
      <c r="AK1474" t="s">
        <v>74</v>
      </c>
      <c r="AL1474" s="16"/>
      <c r="AR1474" s="18" t="str">
        <f>IFERROR(VLOOKUP(K1474,[1]POP!$F:$J,1,0),M1474)</f>
        <v>MORA</v>
      </c>
      <c r="AS1474" s="18" t="str">
        <f t="shared" ref="AS1474:AS1537" si="116">IF(AR1474=K1474,J1474,L1474)</f>
        <v>MORA</v>
      </c>
      <c r="AT1474" s="19">
        <f t="shared" si="114"/>
        <v>2</v>
      </c>
      <c r="AU1474" s="19">
        <f t="shared" ca="1" si="113"/>
        <v>2</v>
      </c>
    </row>
    <row r="1475" spans="1:47" x14ac:dyDescent="0.3">
      <c r="A1475" t="s">
        <v>2159</v>
      </c>
      <c r="B1475" t="str">
        <f t="shared" si="115"/>
        <v>S32_2026</v>
      </c>
      <c r="C1475" t="str">
        <f t="shared" ref="C1475:C1538" si="117">"S"&amp;(IF(_xlfn.ISOWEEKNUM(Q1475)&gt;9,_xlfn.ISOWEEKNUM(Q1475),_xlfn.CONCAT("0",_xlfn.ISOWEEKNUM(Q1475))))&amp;"_"&amp;(YEAR(Q1475+26-(_xlfn.ISOWEEKNUM(Q1475))))</f>
        <v>S32_2026</v>
      </c>
      <c r="F1475">
        <v>8</v>
      </c>
      <c r="G1475" t="s">
        <v>1387</v>
      </c>
      <c r="H1475" t="s">
        <v>655</v>
      </c>
      <c r="I1475" t="s">
        <v>1388</v>
      </c>
      <c r="J1475" t="s">
        <v>1389</v>
      </c>
      <c r="K1475" t="s">
        <v>746</v>
      </c>
      <c r="L1475" t="s">
        <v>1389</v>
      </c>
      <c r="M1475" t="s">
        <v>746</v>
      </c>
      <c r="N1475" t="s">
        <v>45</v>
      </c>
      <c r="O1475" t="s">
        <v>45</v>
      </c>
      <c r="P1475">
        <v>2</v>
      </c>
      <c r="Q1475" s="7">
        <v>46243</v>
      </c>
      <c r="R1475" s="7">
        <v>46243</v>
      </c>
      <c r="S1475" s="7">
        <v>46242</v>
      </c>
      <c r="T1475" t="s">
        <v>45</v>
      </c>
      <c r="V1475" t="s">
        <v>1390</v>
      </c>
      <c r="W1475" t="s">
        <v>45</v>
      </c>
      <c r="X1475" t="s">
        <v>45</v>
      </c>
      <c r="Y1475" t="s">
        <v>45</v>
      </c>
      <c r="Z1475" t="s">
        <v>45</v>
      </c>
      <c r="AE1475" s="7">
        <v>46244</v>
      </c>
      <c r="AF1475">
        <v>2</v>
      </c>
      <c r="AH1475" t="s">
        <v>75</v>
      </c>
      <c r="AI1475">
        <v>1</v>
      </c>
      <c r="AJ1475" s="15"/>
      <c r="AL1475" s="16"/>
      <c r="AR1475" s="18" t="str">
        <f>IFERROR(VLOOKUP(K1475,[1]POP!$F:$J,1,0),M1475)</f>
        <v>MORA</v>
      </c>
      <c r="AS1475" s="18" t="str">
        <f t="shared" si="116"/>
        <v xml:space="preserve">bounderi </v>
      </c>
      <c r="AT1475" s="19">
        <f t="shared" si="114"/>
        <v>2</v>
      </c>
      <c r="AU1475" s="19">
        <f t="shared" ref="AU1475:AU1538" ca="1" si="118">IF((TODAY() - R1475)&lt;=21,1,2)</f>
        <v>2</v>
      </c>
    </row>
    <row r="1476" spans="1:47" x14ac:dyDescent="0.3">
      <c r="A1476" t="s">
        <v>2160</v>
      </c>
      <c r="B1476" t="str">
        <f t="shared" si="115"/>
        <v>S32_2026</v>
      </c>
      <c r="C1476" t="str">
        <f t="shared" si="117"/>
        <v>S32_2026</v>
      </c>
      <c r="F1476">
        <v>32</v>
      </c>
      <c r="G1476" t="s">
        <v>1392</v>
      </c>
      <c r="H1476" t="s">
        <v>682</v>
      </c>
      <c r="I1476" t="s">
        <v>1388</v>
      </c>
      <c r="J1476" t="s">
        <v>1389</v>
      </c>
      <c r="K1476" t="s">
        <v>746</v>
      </c>
      <c r="L1476" t="s">
        <v>1389</v>
      </c>
      <c r="M1476" t="s">
        <v>746</v>
      </c>
      <c r="N1476" t="s">
        <v>45</v>
      </c>
      <c r="O1476" t="s">
        <v>45</v>
      </c>
      <c r="P1476">
        <v>3</v>
      </c>
      <c r="Q1476" s="7">
        <v>46243</v>
      </c>
      <c r="R1476" s="7">
        <v>46243</v>
      </c>
      <c r="S1476" s="7">
        <v>46243</v>
      </c>
      <c r="T1476" t="s">
        <v>45</v>
      </c>
      <c r="V1476" t="s">
        <v>1390</v>
      </c>
      <c r="W1476" t="s">
        <v>45</v>
      </c>
      <c r="X1476" t="s">
        <v>45</v>
      </c>
      <c r="Y1476" t="s">
        <v>45</v>
      </c>
      <c r="Z1476" t="s">
        <v>45</v>
      </c>
      <c r="AE1476" s="7">
        <v>46245</v>
      </c>
      <c r="AF1476">
        <v>2</v>
      </c>
      <c r="AH1476" t="s">
        <v>75</v>
      </c>
      <c r="AI1476">
        <v>1</v>
      </c>
      <c r="AJ1476" s="15"/>
      <c r="AK1476" t="s">
        <v>1590</v>
      </c>
      <c r="AL1476" s="16"/>
      <c r="AR1476" s="18" t="str">
        <f>IFERROR(VLOOKUP(K1476,[1]POP!$F:$J,1,0),M1476)</f>
        <v>MORA</v>
      </c>
      <c r="AS1476" s="18" t="str">
        <f t="shared" si="116"/>
        <v xml:space="preserve">bounderi </v>
      </c>
      <c r="AT1476" s="19">
        <f t="shared" ref="AT1476:AT1539" si="119">IF($AI:$AI=2,3,IF($AI:$AI=3,3,IF($AI:$AI=4,3,IF($AI:$AI=1,2,0))))</f>
        <v>2</v>
      </c>
      <c r="AU1476" s="19">
        <f t="shared" ca="1" si="118"/>
        <v>2</v>
      </c>
    </row>
    <row r="1477" spans="1:47" x14ac:dyDescent="0.3">
      <c r="A1477" t="s">
        <v>2161</v>
      </c>
      <c r="B1477" t="str">
        <f t="shared" si="115"/>
        <v>S32_2026</v>
      </c>
      <c r="C1477" t="str">
        <f t="shared" si="117"/>
        <v>S32_2026</v>
      </c>
      <c r="F1477">
        <v>3</v>
      </c>
      <c r="G1477" t="s">
        <v>1392</v>
      </c>
      <c r="H1477" t="s">
        <v>655</v>
      </c>
      <c r="I1477" t="s">
        <v>1388</v>
      </c>
      <c r="J1477" t="s">
        <v>1389</v>
      </c>
      <c r="K1477" t="s">
        <v>746</v>
      </c>
      <c r="L1477" t="s">
        <v>1389</v>
      </c>
      <c r="M1477" t="s">
        <v>746</v>
      </c>
      <c r="N1477" t="s">
        <v>45</v>
      </c>
      <c r="O1477" t="s">
        <v>45</v>
      </c>
      <c r="P1477">
        <v>2</v>
      </c>
      <c r="Q1477" s="7">
        <v>46243</v>
      </c>
      <c r="R1477" s="7">
        <v>46243</v>
      </c>
      <c r="S1477" s="7">
        <v>46243</v>
      </c>
      <c r="T1477" t="s">
        <v>45</v>
      </c>
      <c r="V1477" t="s">
        <v>1390</v>
      </c>
      <c r="W1477" t="s">
        <v>45</v>
      </c>
      <c r="X1477" t="s">
        <v>45</v>
      </c>
      <c r="Y1477" t="s">
        <v>45</v>
      </c>
      <c r="Z1477" t="s">
        <v>45</v>
      </c>
      <c r="AE1477" s="7">
        <v>46245</v>
      </c>
      <c r="AF1477">
        <v>2</v>
      </c>
      <c r="AH1477" t="s">
        <v>75</v>
      </c>
      <c r="AI1477">
        <v>1</v>
      </c>
      <c r="AJ1477" s="15"/>
      <c r="AK1477" t="s">
        <v>1590</v>
      </c>
      <c r="AL1477" s="16"/>
      <c r="AR1477" s="18" t="str">
        <f>IFERROR(VLOOKUP(K1477,[1]POP!$F:$J,1,0),M1477)</f>
        <v>MORA</v>
      </c>
      <c r="AS1477" s="18" t="str">
        <f t="shared" si="116"/>
        <v xml:space="preserve">bounderi </v>
      </c>
      <c r="AT1477" s="19">
        <f t="shared" si="119"/>
        <v>2</v>
      </c>
      <c r="AU1477" s="19">
        <f t="shared" ca="1" si="118"/>
        <v>2</v>
      </c>
    </row>
    <row r="1478" spans="1:47" x14ac:dyDescent="0.3">
      <c r="A1478" t="s">
        <v>2162</v>
      </c>
      <c r="B1478" t="str">
        <f t="shared" si="115"/>
        <v>S32_2026</v>
      </c>
      <c r="C1478" t="str">
        <f t="shared" si="117"/>
        <v>S32_2026</v>
      </c>
      <c r="F1478">
        <v>3</v>
      </c>
      <c r="G1478" t="s">
        <v>1392</v>
      </c>
      <c r="H1478" t="s">
        <v>655</v>
      </c>
      <c r="I1478" t="s">
        <v>1394</v>
      </c>
      <c r="J1478" t="s">
        <v>1389</v>
      </c>
      <c r="K1478" t="s">
        <v>746</v>
      </c>
      <c r="L1478" t="s">
        <v>1389</v>
      </c>
      <c r="M1478" t="s">
        <v>746</v>
      </c>
      <c r="N1478" t="s">
        <v>45</v>
      </c>
      <c r="O1478" t="s">
        <v>45</v>
      </c>
      <c r="P1478">
        <v>3</v>
      </c>
      <c r="Q1478" s="7">
        <v>46243</v>
      </c>
      <c r="R1478" s="7">
        <v>46243</v>
      </c>
      <c r="S1478" s="7">
        <v>46243</v>
      </c>
      <c r="T1478" t="s">
        <v>45</v>
      </c>
      <c r="V1478" t="s">
        <v>1390</v>
      </c>
      <c r="W1478" t="s">
        <v>45</v>
      </c>
      <c r="X1478" t="s">
        <v>45</v>
      </c>
      <c r="Y1478" t="s">
        <v>45</v>
      </c>
      <c r="Z1478" t="s">
        <v>45</v>
      </c>
      <c r="AE1478" s="7">
        <v>46245</v>
      </c>
      <c r="AF1478">
        <v>2</v>
      </c>
      <c r="AH1478" t="s">
        <v>75</v>
      </c>
      <c r="AI1478">
        <v>1</v>
      </c>
      <c r="AJ1478" s="15"/>
      <c r="AK1478" t="s">
        <v>1590</v>
      </c>
      <c r="AL1478" s="16"/>
      <c r="AR1478" s="18" t="str">
        <f>IFERROR(VLOOKUP(K1478,[1]POP!$F:$J,1,0),M1478)</f>
        <v>MORA</v>
      </c>
      <c r="AS1478" s="18" t="str">
        <f t="shared" si="116"/>
        <v xml:space="preserve">bounderi </v>
      </c>
      <c r="AT1478" s="19">
        <f t="shared" si="119"/>
        <v>2</v>
      </c>
      <c r="AU1478" s="19">
        <f t="shared" ca="1" si="118"/>
        <v>2</v>
      </c>
    </row>
    <row r="1479" spans="1:47" x14ac:dyDescent="0.3">
      <c r="A1479" t="s">
        <v>2163</v>
      </c>
      <c r="B1479" t="str">
        <f t="shared" si="115"/>
        <v>S32_2026</v>
      </c>
      <c r="C1479" t="str">
        <f t="shared" si="117"/>
        <v>S32_2026</v>
      </c>
      <c r="F1479">
        <v>12</v>
      </c>
      <c r="G1479" t="s">
        <v>1387</v>
      </c>
      <c r="H1479" t="s">
        <v>655</v>
      </c>
      <c r="I1479" t="s">
        <v>1388</v>
      </c>
      <c r="J1479" t="s">
        <v>1389</v>
      </c>
      <c r="K1479" t="s">
        <v>746</v>
      </c>
      <c r="L1479" t="s">
        <v>1389</v>
      </c>
      <c r="M1479" t="s">
        <v>746</v>
      </c>
      <c r="N1479" t="s">
        <v>45</v>
      </c>
      <c r="O1479" t="s">
        <v>45</v>
      </c>
      <c r="P1479">
        <v>3</v>
      </c>
      <c r="Q1479" s="7">
        <v>46243</v>
      </c>
      <c r="R1479" s="7">
        <v>46243</v>
      </c>
      <c r="S1479" s="7">
        <v>46243</v>
      </c>
      <c r="T1479" t="s">
        <v>45</v>
      </c>
      <c r="V1479" t="s">
        <v>1390</v>
      </c>
      <c r="W1479" t="s">
        <v>45</v>
      </c>
      <c r="X1479" t="s">
        <v>45</v>
      </c>
      <c r="Y1479" t="s">
        <v>45</v>
      </c>
      <c r="Z1479" t="s">
        <v>45</v>
      </c>
      <c r="AE1479" s="7">
        <v>46245</v>
      </c>
      <c r="AF1479">
        <v>2</v>
      </c>
      <c r="AH1479" t="s">
        <v>75</v>
      </c>
      <c r="AI1479">
        <v>1</v>
      </c>
      <c r="AJ1479" s="15"/>
      <c r="AK1479" t="s">
        <v>1590</v>
      </c>
      <c r="AL1479" s="16"/>
      <c r="AR1479" s="18" t="str">
        <f>IFERROR(VLOOKUP(K1479,[1]POP!$F:$J,1,0),M1479)</f>
        <v>MORA</v>
      </c>
      <c r="AS1479" s="18" t="str">
        <f t="shared" si="116"/>
        <v xml:space="preserve">bounderi </v>
      </c>
      <c r="AT1479" s="19">
        <f t="shared" si="119"/>
        <v>2</v>
      </c>
      <c r="AU1479" s="19">
        <f t="shared" ca="1" si="118"/>
        <v>2</v>
      </c>
    </row>
    <row r="1480" spans="1:47" x14ac:dyDescent="0.3">
      <c r="A1480" t="s">
        <v>2164</v>
      </c>
      <c r="B1480" t="str">
        <f t="shared" si="115"/>
        <v>S32_2026</v>
      </c>
      <c r="C1480" t="str">
        <f t="shared" si="117"/>
        <v>S32_2026</v>
      </c>
      <c r="F1480">
        <v>7</v>
      </c>
      <c r="G1480" t="s">
        <v>1392</v>
      </c>
      <c r="H1480" t="s">
        <v>655</v>
      </c>
      <c r="I1480" t="s">
        <v>1388</v>
      </c>
      <c r="J1480" t="s">
        <v>1389</v>
      </c>
      <c r="K1480" t="s">
        <v>746</v>
      </c>
      <c r="L1480" t="s">
        <v>1389</v>
      </c>
      <c r="M1480" t="s">
        <v>746</v>
      </c>
      <c r="N1480" t="s">
        <v>45</v>
      </c>
      <c r="O1480" t="s">
        <v>45</v>
      </c>
      <c r="P1480">
        <v>2</v>
      </c>
      <c r="Q1480" s="7">
        <v>46243</v>
      </c>
      <c r="R1480" s="7">
        <v>46243</v>
      </c>
      <c r="S1480" s="7">
        <v>46243</v>
      </c>
      <c r="T1480" t="s">
        <v>45</v>
      </c>
      <c r="V1480" t="s">
        <v>1390</v>
      </c>
      <c r="W1480" t="s">
        <v>45</v>
      </c>
      <c r="X1480" t="s">
        <v>45</v>
      </c>
      <c r="Y1480" t="s">
        <v>45</v>
      </c>
      <c r="Z1480" t="s">
        <v>45</v>
      </c>
      <c r="AE1480" s="7">
        <v>46245</v>
      </c>
      <c r="AF1480">
        <v>2</v>
      </c>
      <c r="AH1480" t="s">
        <v>75</v>
      </c>
      <c r="AI1480">
        <v>1</v>
      </c>
      <c r="AJ1480" s="15"/>
      <c r="AK1480" t="s">
        <v>1590</v>
      </c>
      <c r="AL1480" s="16"/>
      <c r="AR1480" s="18" t="str">
        <f>IFERROR(VLOOKUP(K1480,[1]POP!$F:$J,1,0),M1480)</f>
        <v>MORA</v>
      </c>
      <c r="AS1480" s="18" t="str">
        <f t="shared" si="116"/>
        <v xml:space="preserve">bounderi </v>
      </c>
      <c r="AT1480" s="19">
        <f t="shared" si="119"/>
        <v>2</v>
      </c>
      <c r="AU1480" s="19">
        <f t="shared" ca="1" si="118"/>
        <v>2</v>
      </c>
    </row>
    <row r="1481" spans="1:47" x14ac:dyDescent="0.3">
      <c r="A1481" t="s">
        <v>2165</v>
      </c>
      <c r="B1481" t="str">
        <f t="shared" si="115"/>
        <v>S32_2026</v>
      </c>
      <c r="C1481" t="str">
        <f t="shared" si="117"/>
        <v>S32_2026</v>
      </c>
      <c r="F1481">
        <v>5</v>
      </c>
      <c r="G1481" t="s">
        <v>1392</v>
      </c>
      <c r="H1481" t="s">
        <v>655</v>
      </c>
      <c r="I1481" t="s">
        <v>1388</v>
      </c>
      <c r="J1481" t="s">
        <v>1389</v>
      </c>
      <c r="K1481" t="s">
        <v>746</v>
      </c>
      <c r="L1481" t="s">
        <v>1389</v>
      </c>
      <c r="M1481" t="s">
        <v>746</v>
      </c>
      <c r="N1481" t="s">
        <v>45</v>
      </c>
      <c r="O1481" t="s">
        <v>45</v>
      </c>
      <c r="P1481">
        <v>2</v>
      </c>
      <c r="Q1481" s="7">
        <v>46243</v>
      </c>
      <c r="R1481" s="7">
        <v>46243</v>
      </c>
      <c r="S1481" s="7">
        <v>46243</v>
      </c>
      <c r="T1481" t="s">
        <v>45</v>
      </c>
      <c r="V1481" t="s">
        <v>1390</v>
      </c>
      <c r="W1481" t="s">
        <v>45</v>
      </c>
      <c r="X1481" t="s">
        <v>45</v>
      </c>
      <c r="Y1481" t="s">
        <v>45</v>
      </c>
      <c r="Z1481" t="s">
        <v>45</v>
      </c>
      <c r="AE1481" s="7">
        <v>46245</v>
      </c>
      <c r="AF1481">
        <v>2</v>
      </c>
      <c r="AH1481" t="s">
        <v>75</v>
      </c>
      <c r="AI1481">
        <v>1</v>
      </c>
      <c r="AJ1481" s="15"/>
      <c r="AK1481" t="s">
        <v>1590</v>
      </c>
      <c r="AL1481" s="16"/>
      <c r="AR1481" s="18" t="str">
        <f>IFERROR(VLOOKUP(K1481,[1]POP!$F:$J,1,0),M1481)</f>
        <v>MORA</v>
      </c>
      <c r="AS1481" s="18" t="str">
        <f t="shared" si="116"/>
        <v xml:space="preserve">bounderi </v>
      </c>
      <c r="AT1481" s="19">
        <f t="shared" si="119"/>
        <v>2</v>
      </c>
      <c r="AU1481" s="19">
        <f t="shared" ca="1" si="118"/>
        <v>2</v>
      </c>
    </row>
    <row r="1482" spans="1:47" x14ac:dyDescent="0.3">
      <c r="A1482" t="s">
        <v>2166</v>
      </c>
      <c r="B1482" t="str">
        <f t="shared" si="115"/>
        <v>S33_2026</v>
      </c>
      <c r="C1482" t="str">
        <f t="shared" si="117"/>
        <v>S33_2026</v>
      </c>
      <c r="F1482">
        <v>6</v>
      </c>
      <c r="G1482" t="s">
        <v>1392</v>
      </c>
      <c r="H1482" t="s">
        <v>655</v>
      </c>
      <c r="I1482" t="s">
        <v>1388</v>
      </c>
      <c r="J1482" t="s">
        <v>1389</v>
      </c>
      <c r="K1482" t="s">
        <v>746</v>
      </c>
      <c r="L1482" t="s">
        <v>1389</v>
      </c>
      <c r="M1482" t="s">
        <v>746</v>
      </c>
      <c r="N1482" t="s">
        <v>45</v>
      </c>
      <c r="O1482" t="s">
        <v>45</v>
      </c>
      <c r="P1482">
        <v>2</v>
      </c>
      <c r="Q1482" s="7">
        <v>46244</v>
      </c>
      <c r="R1482" s="7">
        <v>46244</v>
      </c>
      <c r="S1482" s="7">
        <v>46244</v>
      </c>
      <c r="T1482" t="s">
        <v>45</v>
      </c>
      <c r="V1482" t="s">
        <v>1390</v>
      </c>
      <c r="W1482" t="s">
        <v>45</v>
      </c>
      <c r="X1482" t="s">
        <v>45</v>
      </c>
      <c r="Y1482" t="s">
        <v>45</v>
      </c>
      <c r="Z1482" t="s">
        <v>45</v>
      </c>
      <c r="AF1482">
        <v>2</v>
      </c>
      <c r="AH1482" t="s">
        <v>75</v>
      </c>
      <c r="AI1482">
        <v>1</v>
      </c>
      <c r="AJ1482" s="15"/>
      <c r="AK1482" t="s">
        <v>1590</v>
      </c>
      <c r="AL1482" s="16"/>
      <c r="AR1482" s="18" t="str">
        <f>IFERROR(VLOOKUP(K1482,[1]POP!$F:$J,1,0),M1482)</f>
        <v>MORA</v>
      </c>
      <c r="AS1482" s="18" t="str">
        <f t="shared" si="116"/>
        <v xml:space="preserve">bounderi </v>
      </c>
      <c r="AT1482" s="19">
        <f t="shared" si="119"/>
        <v>2</v>
      </c>
      <c r="AU1482" s="19">
        <f t="shared" ca="1" si="118"/>
        <v>2</v>
      </c>
    </row>
    <row r="1483" spans="1:47" x14ac:dyDescent="0.3">
      <c r="A1483" t="s">
        <v>2167</v>
      </c>
      <c r="B1483" t="str">
        <f t="shared" si="115"/>
        <v>S33_2026</v>
      </c>
      <c r="C1483" t="str">
        <f t="shared" si="117"/>
        <v>S33_2026</v>
      </c>
      <c r="F1483">
        <v>60</v>
      </c>
      <c r="G1483" t="s">
        <v>1387</v>
      </c>
      <c r="H1483" t="s">
        <v>680</v>
      </c>
      <c r="I1483" t="s">
        <v>1388</v>
      </c>
      <c r="J1483" t="s">
        <v>1389</v>
      </c>
      <c r="K1483" t="s">
        <v>746</v>
      </c>
      <c r="L1483" t="s">
        <v>1389</v>
      </c>
      <c r="M1483" t="s">
        <v>746</v>
      </c>
      <c r="N1483" t="s">
        <v>45</v>
      </c>
      <c r="O1483" t="s">
        <v>45</v>
      </c>
      <c r="P1483">
        <v>3</v>
      </c>
      <c r="Q1483" s="7">
        <v>46244</v>
      </c>
      <c r="R1483" s="7">
        <v>46244</v>
      </c>
      <c r="S1483" s="7">
        <v>46244</v>
      </c>
      <c r="T1483" t="s">
        <v>45</v>
      </c>
      <c r="V1483" t="s">
        <v>1390</v>
      </c>
      <c r="W1483" t="s">
        <v>45</v>
      </c>
      <c r="X1483" t="s">
        <v>45</v>
      </c>
      <c r="Y1483" t="s">
        <v>45</v>
      </c>
      <c r="Z1483" t="s">
        <v>45</v>
      </c>
      <c r="AE1483" s="7">
        <v>46247</v>
      </c>
      <c r="AF1483">
        <v>2</v>
      </c>
      <c r="AH1483" t="s">
        <v>75</v>
      </c>
      <c r="AI1483">
        <v>1</v>
      </c>
      <c r="AJ1483" s="15"/>
      <c r="AK1483" t="s">
        <v>1590</v>
      </c>
      <c r="AL1483" s="16"/>
      <c r="AR1483" s="18" t="str">
        <f>IFERROR(VLOOKUP(K1483,[1]POP!$F:$J,1,0),M1483)</f>
        <v>MORA</v>
      </c>
      <c r="AS1483" s="18" t="str">
        <f t="shared" si="116"/>
        <v xml:space="preserve">bounderi </v>
      </c>
      <c r="AT1483" s="19">
        <f t="shared" si="119"/>
        <v>2</v>
      </c>
      <c r="AU1483" s="19">
        <f t="shared" ca="1" si="118"/>
        <v>2</v>
      </c>
    </row>
    <row r="1484" spans="1:47" x14ac:dyDescent="0.3">
      <c r="A1484" t="s">
        <v>2168</v>
      </c>
      <c r="B1484" t="str">
        <f t="shared" si="115"/>
        <v>S33_2026</v>
      </c>
      <c r="C1484" t="str">
        <f t="shared" si="117"/>
        <v>S33_2026</v>
      </c>
      <c r="F1484">
        <v>24</v>
      </c>
      <c r="G1484" t="s">
        <v>1387</v>
      </c>
      <c r="H1484" t="s">
        <v>680</v>
      </c>
      <c r="I1484" t="s">
        <v>1388</v>
      </c>
      <c r="J1484" t="s">
        <v>1389</v>
      </c>
      <c r="K1484" t="s">
        <v>746</v>
      </c>
      <c r="L1484" t="s">
        <v>1389</v>
      </c>
      <c r="M1484" t="s">
        <v>746</v>
      </c>
      <c r="N1484" t="s">
        <v>45</v>
      </c>
      <c r="O1484" t="s">
        <v>45</v>
      </c>
      <c r="P1484">
        <v>1</v>
      </c>
      <c r="Q1484" s="7">
        <v>46244</v>
      </c>
      <c r="R1484" s="7">
        <v>46244</v>
      </c>
      <c r="S1484" s="7">
        <v>46244</v>
      </c>
      <c r="T1484" t="s">
        <v>45</v>
      </c>
      <c r="V1484" t="s">
        <v>1390</v>
      </c>
      <c r="W1484" t="s">
        <v>45</v>
      </c>
      <c r="X1484" t="s">
        <v>45</v>
      </c>
      <c r="Y1484" t="s">
        <v>45</v>
      </c>
      <c r="Z1484" t="s">
        <v>45</v>
      </c>
      <c r="AE1484" s="7">
        <v>46247</v>
      </c>
      <c r="AF1484">
        <v>2</v>
      </c>
      <c r="AH1484" t="s">
        <v>75</v>
      </c>
      <c r="AI1484">
        <v>1</v>
      </c>
      <c r="AJ1484" s="15"/>
      <c r="AK1484" t="s">
        <v>1590</v>
      </c>
      <c r="AL1484" s="16"/>
      <c r="AR1484" s="18" t="str">
        <f>IFERROR(VLOOKUP(K1484,[1]POP!$F:$J,1,0),M1484)</f>
        <v>MORA</v>
      </c>
      <c r="AS1484" s="18" t="str">
        <f t="shared" si="116"/>
        <v xml:space="preserve">bounderi </v>
      </c>
      <c r="AT1484" s="19">
        <f t="shared" si="119"/>
        <v>2</v>
      </c>
      <c r="AU1484" s="19">
        <f t="shared" ca="1" si="118"/>
        <v>2</v>
      </c>
    </row>
    <row r="1485" spans="1:47" x14ac:dyDescent="0.3">
      <c r="A1485" t="s">
        <v>2169</v>
      </c>
      <c r="B1485" t="str">
        <f t="shared" si="115"/>
        <v>S33_2026</v>
      </c>
      <c r="C1485" t="str">
        <f t="shared" si="117"/>
        <v>S33_2026</v>
      </c>
      <c r="F1485">
        <v>26</v>
      </c>
      <c r="G1485" t="s">
        <v>1392</v>
      </c>
      <c r="H1485" t="s">
        <v>682</v>
      </c>
      <c r="I1485" t="s">
        <v>1388</v>
      </c>
      <c r="J1485" t="s">
        <v>1389</v>
      </c>
      <c r="K1485" t="s">
        <v>746</v>
      </c>
      <c r="L1485" t="s">
        <v>1389</v>
      </c>
      <c r="M1485" t="s">
        <v>746</v>
      </c>
      <c r="N1485" t="s">
        <v>45</v>
      </c>
      <c r="O1485" t="s">
        <v>45</v>
      </c>
      <c r="P1485">
        <v>3</v>
      </c>
      <c r="Q1485" s="7">
        <v>46244</v>
      </c>
      <c r="R1485" s="7">
        <v>46244</v>
      </c>
      <c r="S1485" s="7">
        <v>46244</v>
      </c>
      <c r="T1485" t="s">
        <v>45</v>
      </c>
      <c r="V1485" t="s">
        <v>1390</v>
      </c>
      <c r="W1485" t="s">
        <v>45</v>
      </c>
      <c r="X1485" t="s">
        <v>45</v>
      </c>
      <c r="Y1485" t="s">
        <v>45</v>
      </c>
      <c r="Z1485" t="s">
        <v>45</v>
      </c>
      <c r="AE1485" s="7">
        <v>46247</v>
      </c>
      <c r="AF1485">
        <v>2</v>
      </c>
      <c r="AH1485" t="s">
        <v>75</v>
      </c>
      <c r="AI1485">
        <v>1</v>
      </c>
      <c r="AJ1485" s="15"/>
      <c r="AK1485" t="s">
        <v>1590</v>
      </c>
      <c r="AL1485" s="16"/>
      <c r="AR1485" s="18" t="str">
        <f>IFERROR(VLOOKUP(K1485,[1]POP!$F:$J,1,0),M1485)</f>
        <v>MORA</v>
      </c>
      <c r="AS1485" s="18" t="str">
        <f t="shared" si="116"/>
        <v xml:space="preserve">bounderi </v>
      </c>
      <c r="AT1485" s="19">
        <f t="shared" si="119"/>
        <v>2</v>
      </c>
      <c r="AU1485" s="19">
        <f t="shared" ca="1" si="118"/>
        <v>2</v>
      </c>
    </row>
    <row r="1486" spans="1:47" x14ac:dyDescent="0.3">
      <c r="A1486" t="s">
        <v>2170</v>
      </c>
      <c r="B1486" t="str">
        <f t="shared" si="115"/>
        <v>S32_2026</v>
      </c>
      <c r="C1486" t="str">
        <f t="shared" si="117"/>
        <v>S32_2026</v>
      </c>
      <c r="F1486">
        <v>47</v>
      </c>
      <c r="G1486" t="s">
        <v>55</v>
      </c>
      <c r="H1486" t="s">
        <v>70</v>
      </c>
      <c r="I1486" t="s">
        <v>2171</v>
      </c>
      <c r="J1486" t="s">
        <v>1355</v>
      </c>
      <c r="K1486" t="s">
        <v>746</v>
      </c>
      <c r="L1486" t="s">
        <v>1355</v>
      </c>
      <c r="M1486" t="s">
        <v>746</v>
      </c>
      <c r="N1486" t="s">
        <v>45</v>
      </c>
      <c r="O1486" t="s">
        <v>45</v>
      </c>
      <c r="P1486">
        <v>1</v>
      </c>
      <c r="Q1486" s="7">
        <v>46240</v>
      </c>
      <c r="R1486" s="7">
        <v>46240</v>
      </c>
      <c r="S1486" s="7">
        <v>46240</v>
      </c>
      <c r="T1486" t="s">
        <v>45</v>
      </c>
      <c r="V1486" t="s">
        <v>1356</v>
      </c>
      <c r="W1486" t="s">
        <v>45</v>
      </c>
      <c r="X1486" t="s">
        <v>45</v>
      </c>
      <c r="Y1486" t="s">
        <v>45</v>
      </c>
      <c r="AB1486" t="s">
        <v>48</v>
      </c>
      <c r="AC1486" t="s">
        <v>74</v>
      </c>
      <c r="AE1486" s="7">
        <v>46244</v>
      </c>
      <c r="AF1486">
        <v>2</v>
      </c>
      <c r="AH1486" t="s">
        <v>75</v>
      </c>
      <c r="AI1486">
        <v>1</v>
      </c>
      <c r="AJ1486" s="15"/>
      <c r="AK1486" t="s">
        <v>74</v>
      </c>
      <c r="AL1486" s="16"/>
      <c r="AR1486" s="18" t="str">
        <f>IFERROR(VLOOKUP(K1486,[1]POP!$F:$J,1,0),M1486)</f>
        <v>MORA</v>
      </c>
      <c r="AS1486" s="18" t="str">
        <f t="shared" si="116"/>
        <v>AISSA HARDE</v>
      </c>
      <c r="AT1486" s="19">
        <f t="shared" si="119"/>
        <v>2</v>
      </c>
      <c r="AU1486" s="19">
        <f t="shared" ca="1" si="118"/>
        <v>2</v>
      </c>
    </row>
    <row r="1487" spans="1:47" x14ac:dyDescent="0.3">
      <c r="A1487" t="s">
        <v>2172</v>
      </c>
      <c r="B1487" t="str">
        <f t="shared" si="115"/>
        <v>S32_2026</v>
      </c>
      <c r="C1487" t="str">
        <f t="shared" si="117"/>
        <v>S32_2026</v>
      </c>
      <c r="F1487">
        <v>9</v>
      </c>
      <c r="G1487" t="s">
        <v>40</v>
      </c>
      <c r="H1487" t="s">
        <v>56</v>
      </c>
      <c r="I1487" t="s">
        <v>2173</v>
      </c>
      <c r="J1487" t="s">
        <v>1355</v>
      </c>
      <c r="K1487" t="s">
        <v>746</v>
      </c>
      <c r="L1487" t="s">
        <v>1355</v>
      </c>
      <c r="M1487" t="s">
        <v>746</v>
      </c>
      <c r="N1487" t="s">
        <v>45</v>
      </c>
      <c r="O1487" t="s">
        <v>45</v>
      </c>
      <c r="P1487">
        <v>1</v>
      </c>
      <c r="Q1487" s="7">
        <v>46243</v>
      </c>
      <c r="R1487" s="7">
        <v>46243</v>
      </c>
      <c r="S1487" s="7">
        <v>46243</v>
      </c>
      <c r="T1487" t="s">
        <v>45</v>
      </c>
      <c r="V1487" t="s">
        <v>1356</v>
      </c>
      <c r="W1487" t="s">
        <v>45</v>
      </c>
      <c r="X1487" t="s">
        <v>45</v>
      </c>
      <c r="Y1487" t="s">
        <v>45</v>
      </c>
      <c r="AB1487" t="s">
        <v>48</v>
      </c>
      <c r="AC1487" t="s">
        <v>74</v>
      </c>
      <c r="AE1487" s="7">
        <v>46245</v>
      </c>
      <c r="AF1487">
        <v>2</v>
      </c>
      <c r="AH1487" t="s">
        <v>75</v>
      </c>
      <c r="AI1487">
        <v>1</v>
      </c>
      <c r="AJ1487" s="15"/>
      <c r="AL1487" s="16"/>
      <c r="AR1487" s="18" t="str">
        <f>IFERROR(VLOOKUP(K1487,[1]POP!$F:$J,1,0),M1487)</f>
        <v>MORA</v>
      </c>
      <c r="AS1487" s="18" t="str">
        <f t="shared" si="116"/>
        <v>AISSA HARDE</v>
      </c>
      <c r="AT1487" s="19">
        <f t="shared" si="119"/>
        <v>2</v>
      </c>
      <c r="AU1487" s="19">
        <f t="shared" ca="1" si="118"/>
        <v>2</v>
      </c>
    </row>
    <row r="1488" spans="1:47" x14ac:dyDescent="0.3">
      <c r="A1488" t="s">
        <v>2174</v>
      </c>
      <c r="B1488" t="str">
        <f t="shared" si="115"/>
        <v>S33_2026</v>
      </c>
      <c r="C1488" t="str">
        <f t="shared" si="117"/>
        <v>S33_2026</v>
      </c>
      <c r="F1488">
        <v>12</v>
      </c>
      <c r="G1488" t="s">
        <v>1387</v>
      </c>
      <c r="H1488" t="s">
        <v>655</v>
      </c>
      <c r="I1488" t="s">
        <v>1388</v>
      </c>
      <c r="J1488" t="s">
        <v>1389</v>
      </c>
      <c r="K1488" t="s">
        <v>746</v>
      </c>
      <c r="L1488" t="s">
        <v>1389</v>
      </c>
      <c r="M1488" t="s">
        <v>746</v>
      </c>
      <c r="N1488" t="s">
        <v>45</v>
      </c>
      <c r="O1488" t="s">
        <v>45</v>
      </c>
      <c r="P1488">
        <v>3</v>
      </c>
      <c r="Q1488" s="7">
        <v>46246</v>
      </c>
      <c r="R1488" s="7">
        <v>46246</v>
      </c>
      <c r="S1488" s="7">
        <v>46246</v>
      </c>
      <c r="T1488" t="s">
        <v>117</v>
      </c>
      <c r="V1488" t="s">
        <v>1390</v>
      </c>
      <c r="W1488" t="s">
        <v>117</v>
      </c>
      <c r="X1488" t="s">
        <v>117</v>
      </c>
      <c r="Y1488" t="s">
        <v>117</v>
      </c>
      <c r="Z1488" t="s">
        <v>117</v>
      </c>
      <c r="AE1488" s="7">
        <v>46248</v>
      </c>
      <c r="AF1488">
        <v>2</v>
      </c>
      <c r="AH1488" t="s">
        <v>75</v>
      </c>
      <c r="AI1488">
        <v>1</v>
      </c>
      <c r="AJ1488" s="15"/>
      <c r="AL1488" s="16"/>
      <c r="AR1488" s="18" t="str">
        <f>IFERROR(VLOOKUP(K1488,[1]POP!$F:$J,1,0),M1488)</f>
        <v>MORA</v>
      </c>
      <c r="AS1488" s="18" t="str">
        <f t="shared" si="116"/>
        <v xml:space="preserve">bounderi </v>
      </c>
      <c r="AT1488" s="19">
        <f t="shared" si="119"/>
        <v>2</v>
      </c>
      <c r="AU1488" s="19">
        <f t="shared" ca="1" si="118"/>
        <v>1</v>
      </c>
    </row>
    <row r="1489" spans="1:47" x14ac:dyDescent="0.3">
      <c r="A1489" t="s">
        <v>2175</v>
      </c>
      <c r="B1489" t="str">
        <f t="shared" si="115"/>
        <v>S33_2026</v>
      </c>
      <c r="C1489" t="str">
        <f t="shared" si="117"/>
        <v>S33_2026</v>
      </c>
      <c r="F1489">
        <v>30</v>
      </c>
      <c r="G1489" t="s">
        <v>1392</v>
      </c>
      <c r="H1489" t="s">
        <v>682</v>
      </c>
      <c r="I1489" t="s">
        <v>1388</v>
      </c>
      <c r="J1489" t="s">
        <v>1389</v>
      </c>
      <c r="K1489" t="s">
        <v>746</v>
      </c>
      <c r="L1489" t="s">
        <v>1389</v>
      </c>
      <c r="M1489" t="s">
        <v>746</v>
      </c>
      <c r="N1489" t="s">
        <v>45</v>
      </c>
      <c r="O1489" t="s">
        <v>45</v>
      </c>
      <c r="P1489">
        <v>3</v>
      </c>
      <c r="Q1489" s="7">
        <v>46246</v>
      </c>
      <c r="R1489" s="7">
        <v>46246</v>
      </c>
      <c r="S1489" s="7">
        <v>46246</v>
      </c>
      <c r="T1489" t="s">
        <v>117</v>
      </c>
      <c r="V1489" t="s">
        <v>1390</v>
      </c>
      <c r="W1489" t="s">
        <v>117</v>
      </c>
      <c r="X1489" t="s">
        <v>117</v>
      </c>
      <c r="Y1489" t="s">
        <v>117</v>
      </c>
      <c r="Z1489" t="s">
        <v>117</v>
      </c>
      <c r="AE1489" s="7">
        <v>46248</v>
      </c>
      <c r="AF1489">
        <v>2</v>
      </c>
      <c r="AH1489" t="s">
        <v>75</v>
      </c>
      <c r="AI1489">
        <v>1</v>
      </c>
      <c r="AJ1489" s="15"/>
      <c r="AL1489" s="16"/>
      <c r="AR1489" s="18" t="str">
        <f>IFERROR(VLOOKUP(K1489,[1]POP!$F:$J,1,0),M1489)</f>
        <v>MORA</v>
      </c>
      <c r="AS1489" s="18" t="str">
        <f t="shared" si="116"/>
        <v xml:space="preserve">bounderi </v>
      </c>
      <c r="AT1489" s="19">
        <f t="shared" si="119"/>
        <v>2</v>
      </c>
      <c r="AU1489" s="19">
        <f t="shared" ca="1" si="118"/>
        <v>1</v>
      </c>
    </row>
    <row r="1490" spans="1:47" x14ac:dyDescent="0.3">
      <c r="A1490" t="s">
        <v>2176</v>
      </c>
      <c r="B1490" t="str">
        <f t="shared" si="115"/>
        <v>S33_2026</v>
      </c>
      <c r="C1490" t="str">
        <f t="shared" si="117"/>
        <v>S33_2026</v>
      </c>
      <c r="F1490">
        <v>3</v>
      </c>
      <c r="G1490" t="s">
        <v>1392</v>
      </c>
      <c r="H1490" t="s">
        <v>655</v>
      </c>
      <c r="I1490" t="s">
        <v>1388</v>
      </c>
      <c r="J1490" t="s">
        <v>1389</v>
      </c>
      <c r="K1490" t="s">
        <v>746</v>
      </c>
      <c r="L1490" t="s">
        <v>1389</v>
      </c>
      <c r="M1490" t="s">
        <v>746</v>
      </c>
      <c r="N1490" t="s">
        <v>45</v>
      </c>
      <c r="O1490" t="s">
        <v>45</v>
      </c>
      <c r="P1490">
        <v>2</v>
      </c>
      <c r="Q1490" s="7">
        <v>46246</v>
      </c>
      <c r="R1490" s="7">
        <v>46246</v>
      </c>
      <c r="S1490" s="7">
        <v>46246</v>
      </c>
      <c r="T1490" t="s">
        <v>117</v>
      </c>
      <c r="V1490" t="s">
        <v>1390</v>
      </c>
      <c r="W1490" t="s">
        <v>117</v>
      </c>
      <c r="X1490" t="s">
        <v>117</v>
      </c>
      <c r="Y1490" t="s">
        <v>117</v>
      </c>
      <c r="Z1490" t="s">
        <v>117</v>
      </c>
      <c r="AE1490" s="7">
        <v>46248</v>
      </c>
      <c r="AF1490">
        <v>2</v>
      </c>
      <c r="AH1490" t="s">
        <v>75</v>
      </c>
      <c r="AI1490">
        <v>1</v>
      </c>
      <c r="AJ1490" s="15"/>
      <c r="AL1490" s="16"/>
      <c r="AR1490" s="18" t="str">
        <f>IFERROR(VLOOKUP(K1490,[1]POP!$F:$J,1,0),M1490)</f>
        <v>MORA</v>
      </c>
      <c r="AS1490" s="18" t="str">
        <f t="shared" si="116"/>
        <v xml:space="preserve">bounderi </v>
      </c>
      <c r="AT1490" s="19">
        <f t="shared" si="119"/>
        <v>2</v>
      </c>
      <c r="AU1490" s="19">
        <f t="shared" ca="1" si="118"/>
        <v>1</v>
      </c>
    </row>
    <row r="1491" spans="1:47" x14ac:dyDescent="0.3">
      <c r="A1491" t="s">
        <v>2177</v>
      </c>
      <c r="B1491" t="str">
        <f t="shared" si="115"/>
        <v>S33_2026</v>
      </c>
      <c r="C1491" t="str">
        <f t="shared" si="117"/>
        <v>S33_2026</v>
      </c>
      <c r="F1491">
        <v>30</v>
      </c>
      <c r="G1491" t="s">
        <v>1392</v>
      </c>
      <c r="H1491" t="s">
        <v>682</v>
      </c>
      <c r="I1491" t="s">
        <v>1394</v>
      </c>
      <c r="J1491" t="s">
        <v>1389</v>
      </c>
      <c r="K1491" t="s">
        <v>746</v>
      </c>
      <c r="L1491" t="s">
        <v>1389</v>
      </c>
      <c r="M1491" t="s">
        <v>746</v>
      </c>
      <c r="N1491" t="s">
        <v>45</v>
      </c>
      <c r="O1491" t="s">
        <v>45</v>
      </c>
      <c r="P1491">
        <v>3</v>
      </c>
      <c r="Q1491" s="7">
        <v>46248</v>
      </c>
      <c r="R1491" s="7">
        <v>46248</v>
      </c>
      <c r="S1491" s="7">
        <v>46248</v>
      </c>
      <c r="T1491" t="s">
        <v>117</v>
      </c>
      <c r="V1491" t="s">
        <v>1390</v>
      </c>
      <c r="W1491" t="s">
        <v>117</v>
      </c>
      <c r="X1491" t="s">
        <v>117</v>
      </c>
      <c r="Y1491" t="s">
        <v>117</v>
      </c>
      <c r="Z1491" t="s">
        <v>117</v>
      </c>
      <c r="AE1491" s="7">
        <v>46250</v>
      </c>
      <c r="AF1491">
        <v>2</v>
      </c>
      <c r="AH1491" t="s">
        <v>75</v>
      </c>
      <c r="AI1491">
        <v>1</v>
      </c>
      <c r="AJ1491" s="15"/>
      <c r="AL1491" s="16"/>
      <c r="AR1491" s="18" t="str">
        <f>IFERROR(VLOOKUP(K1491,[1]POP!$F:$J,1,0),M1491)</f>
        <v>MORA</v>
      </c>
      <c r="AS1491" s="18" t="str">
        <f t="shared" si="116"/>
        <v xml:space="preserve">bounderi </v>
      </c>
      <c r="AT1491" s="19">
        <f t="shared" si="119"/>
        <v>2</v>
      </c>
      <c r="AU1491" s="19">
        <f t="shared" ca="1" si="118"/>
        <v>1</v>
      </c>
    </row>
    <row r="1492" spans="1:47" x14ac:dyDescent="0.3">
      <c r="A1492" t="s">
        <v>2178</v>
      </c>
      <c r="B1492" t="str">
        <f t="shared" si="115"/>
        <v>S33_2026</v>
      </c>
      <c r="C1492" t="str">
        <f t="shared" si="117"/>
        <v>S33_2026</v>
      </c>
      <c r="F1492">
        <v>35</v>
      </c>
      <c r="G1492" t="s">
        <v>1392</v>
      </c>
      <c r="H1492" t="s">
        <v>682</v>
      </c>
      <c r="I1492" t="s">
        <v>1388</v>
      </c>
      <c r="J1492" t="s">
        <v>1389</v>
      </c>
      <c r="K1492" t="s">
        <v>746</v>
      </c>
      <c r="L1492" t="s">
        <v>1389</v>
      </c>
      <c r="M1492" t="s">
        <v>746</v>
      </c>
      <c r="N1492" t="s">
        <v>45</v>
      </c>
      <c r="O1492" t="s">
        <v>45</v>
      </c>
      <c r="P1492">
        <v>3</v>
      </c>
      <c r="Q1492" s="7">
        <v>46248</v>
      </c>
      <c r="R1492" s="7">
        <v>46248</v>
      </c>
      <c r="S1492" s="7">
        <v>46248</v>
      </c>
      <c r="T1492" t="s">
        <v>117</v>
      </c>
      <c r="V1492" t="s">
        <v>1390</v>
      </c>
      <c r="W1492" t="s">
        <v>117</v>
      </c>
      <c r="X1492" t="s">
        <v>117</v>
      </c>
      <c r="Y1492" t="s">
        <v>117</v>
      </c>
      <c r="Z1492" t="s">
        <v>117</v>
      </c>
      <c r="AE1492" s="7">
        <v>46250</v>
      </c>
      <c r="AF1492">
        <v>2</v>
      </c>
      <c r="AH1492" t="s">
        <v>75</v>
      </c>
      <c r="AI1492">
        <v>1</v>
      </c>
      <c r="AJ1492" s="15"/>
      <c r="AL1492" s="16"/>
      <c r="AR1492" s="18" t="str">
        <f>IFERROR(VLOOKUP(K1492,[1]POP!$F:$J,1,0),M1492)</f>
        <v>MORA</v>
      </c>
      <c r="AS1492" s="18" t="str">
        <f t="shared" si="116"/>
        <v xml:space="preserve">bounderi </v>
      </c>
      <c r="AT1492" s="19">
        <f t="shared" si="119"/>
        <v>2</v>
      </c>
      <c r="AU1492" s="19">
        <f t="shared" ca="1" si="118"/>
        <v>1</v>
      </c>
    </row>
    <row r="1493" spans="1:47" x14ac:dyDescent="0.3">
      <c r="A1493" t="s">
        <v>2179</v>
      </c>
      <c r="B1493" t="str">
        <f t="shared" si="115"/>
        <v>S33_2026</v>
      </c>
      <c r="C1493" t="str">
        <f t="shared" si="117"/>
        <v>S33_2026</v>
      </c>
      <c r="F1493">
        <v>30</v>
      </c>
      <c r="G1493" t="s">
        <v>1392</v>
      </c>
      <c r="H1493" t="s">
        <v>682</v>
      </c>
      <c r="I1493" t="s">
        <v>1388</v>
      </c>
      <c r="J1493" t="s">
        <v>1389</v>
      </c>
      <c r="K1493" t="s">
        <v>746</v>
      </c>
      <c r="L1493" t="s">
        <v>1389</v>
      </c>
      <c r="M1493" t="s">
        <v>746</v>
      </c>
      <c r="N1493" t="s">
        <v>45</v>
      </c>
      <c r="O1493" t="s">
        <v>45</v>
      </c>
      <c r="P1493">
        <v>3</v>
      </c>
      <c r="Q1493" s="7">
        <v>46249</v>
      </c>
      <c r="R1493" s="7">
        <v>46249</v>
      </c>
      <c r="S1493" s="7">
        <v>46249</v>
      </c>
      <c r="T1493" t="s">
        <v>117</v>
      </c>
      <c r="V1493" t="s">
        <v>1390</v>
      </c>
      <c r="W1493" t="s">
        <v>117</v>
      </c>
      <c r="X1493" t="s">
        <v>117</v>
      </c>
      <c r="Y1493" t="s">
        <v>117</v>
      </c>
      <c r="Z1493" t="s">
        <v>117</v>
      </c>
      <c r="AE1493" s="7">
        <v>46251</v>
      </c>
      <c r="AF1493">
        <v>2</v>
      </c>
      <c r="AH1493" t="s">
        <v>75</v>
      </c>
      <c r="AI1493">
        <v>1</v>
      </c>
      <c r="AJ1493" s="15"/>
      <c r="AL1493" s="16"/>
      <c r="AR1493" s="18" t="str">
        <f>IFERROR(VLOOKUP(K1493,[1]POP!$F:$J,1,0),M1493)</f>
        <v>MORA</v>
      </c>
      <c r="AS1493" s="18" t="str">
        <f t="shared" si="116"/>
        <v xml:space="preserve">bounderi </v>
      </c>
      <c r="AT1493" s="19">
        <f t="shared" si="119"/>
        <v>2</v>
      </c>
      <c r="AU1493" s="19">
        <f t="shared" ca="1" si="118"/>
        <v>1</v>
      </c>
    </row>
    <row r="1494" spans="1:47" x14ac:dyDescent="0.3">
      <c r="A1494" t="s">
        <v>2180</v>
      </c>
      <c r="B1494" t="str">
        <f t="shared" si="115"/>
        <v>S33_2026</v>
      </c>
      <c r="C1494" t="str">
        <f t="shared" si="117"/>
        <v>S33_2026</v>
      </c>
      <c r="E1494">
        <v>655053368</v>
      </c>
      <c r="F1494">
        <v>12</v>
      </c>
      <c r="G1494" t="s">
        <v>40</v>
      </c>
      <c r="H1494" t="s">
        <v>56</v>
      </c>
      <c r="I1494" t="s">
        <v>2181</v>
      </c>
      <c r="J1494" t="s">
        <v>902</v>
      </c>
      <c r="K1494" t="s">
        <v>746</v>
      </c>
      <c r="L1494" t="s">
        <v>902</v>
      </c>
      <c r="M1494" t="s">
        <v>746</v>
      </c>
      <c r="N1494" t="s">
        <v>45</v>
      </c>
      <c r="O1494" t="s">
        <v>45</v>
      </c>
      <c r="P1494">
        <v>3</v>
      </c>
      <c r="Q1494" s="7">
        <v>46249</v>
      </c>
      <c r="R1494" s="7">
        <v>46249</v>
      </c>
      <c r="S1494" s="7">
        <v>46249</v>
      </c>
      <c r="T1494" t="s">
        <v>45</v>
      </c>
      <c r="V1494" t="s">
        <v>903</v>
      </c>
      <c r="W1494" t="s">
        <v>45</v>
      </c>
      <c r="X1494" t="s">
        <v>45</v>
      </c>
      <c r="Y1494" t="s">
        <v>45</v>
      </c>
      <c r="Z1494" t="s">
        <v>45</v>
      </c>
      <c r="AA1494" s="7">
        <v>46249</v>
      </c>
      <c r="AB1494" t="s">
        <v>48</v>
      </c>
      <c r="AC1494" t="s">
        <v>45</v>
      </c>
      <c r="AD1494" t="s">
        <v>62</v>
      </c>
      <c r="AE1494" s="7">
        <v>46252</v>
      </c>
      <c r="AF1494">
        <v>2</v>
      </c>
      <c r="AH1494" t="s">
        <v>75</v>
      </c>
      <c r="AI1494">
        <v>1</v>
      </c>
      <c r="AJ1494" s="15"/>
      <c r="AK1494" t="s">
        <v>1610</v>
      </c>
      <c r="AL1494" s="16"/>
      <c r="AR1494" s="18" t="str">
        <f>IFERROR(VLOOKUP(K1494,[1]POP!$F:$J,1,0),M1494)</f>
        <v>MORA</v>
      </c>
      <c r="AS1494" s="18" t="str">
        <f t="shared" si="116"/>
        <v>KOURGUI</v>
      </c>
      <c r="AT1494" s="19">
        <f t="shared" si="119"/>
        <v>2</v>
      </c>
      <c r="AU1494" s="19">
        <f t="shared" ca="1" si="118"/>
        <v>1</v>
      </c>
    </row>
    <row r="1495" spans="1:47" x14ac:dyDescent="0.3">
      <c r="A1495" t="s">
        <v>2182</v>
      </c>
      <c r="B1495" t="str">
        <f t="shared" si="115"/>
        <v>S33_2026</v>
      </c>
      <c r="C1495" t="str">
        <f t="shared" si="117"/>
        <v>S33_2026</v>
      </c>
      <c r="F1495">
        <v>7</v>
      </c>
      <c r="G1495" t="s">
        <v>1392</v>
      </c>
      <c r="H1495" t="s">
        <v>655</v>
      </c>
      <c r="I1495" t="s">
        <v>1388</v>
      </c>
      <c r="J1495" t="s">
        <v>1389</v>
      </c>
      <c r="K1495" t="s">
        <v>1714</v>
      </c>
      <c r="L1495" t="s">
        <v>1389</v>
      </c>
      <c r="M1495" t="s">
        <v>746</v>
      </c>
      <c r="N1495" t="s">
        <v>117</v>
      </c>
      <c r="O1495" t="s">
        <v>117</v>
      </c>
      <c r="P1495">
        <v>2</v>
      </c>
      <c r="Q1495" s="7">
        <v>46250</v>
      </c>
      <c r="R1495" s="7">
        <v>46250</v>
      </c>
      <c r="S1495" s="7">
        <v>46250</v>
      </c>
      <c r="T1495" t="s">
        <v>117</v>
      </c>
      <c r="V1495" t="s">
        <v>1390</v>
      </c>
      <c r="W1495" t="s">
        <v>117</v>
      </c>
      <c r="X1495" t="s">
        <v>117</v>
      </c>
      <c r="Y1495" t="s">
        <v>117</v>
      </c>
      <c r="Z1495" t="s">
        <v>117</v>
      </c>
      <c r="AE1495" s="7">
        <v>46251</v>
      </c>
      <c r="AF1495">
        <v>2</v>
      </c>
      <c r="AH1495" t="s">
        <v>75</v>
      </c>
      <c r="AI1495">
        <v>1</v>
      </c>
      <c r="AJ1495" s="15"/>
      <c r="AK1495" t="s">
        <v>1610</v>
      </c>
      <c r="AL1495" s="16"/>
      <c r="AR1495" s="18" t="str">
        <f>IFERROR(VLOOKUP(K1495,[1]POP!$F:$J,1,0),M1495)</f>
        <v>MORA</v>
      </c>
      <c r="AS1495" s="18" t="str">
        <f t="shared" si="116"/>
        <v xml:space="preserve">bounderi </v>
      </c>
      <c r="AT1495" s="19">
        <f t="shared" si="119"/>
        <v>2</v>
      </c>
      <c r="AU1495" s="19">
        <f t="shared" ca="1" si="118"/>
        <v>1</v>
      </c>
    </row>
    <row r="1496" spans="1:47" x14ac:dyDescent="0.3">
      <c r="A1496" t="s">
        <v>2183</v>
      </c>
      <c r="B1496" t="str">
        <f t="shared" si="115"/>
        <v>S33_2026</v>
      </c>
      <c r="C1496" t="str">
        <f t="shared" si="117"/>
        <v>S33_2026</v>
      </c>
      <c r="E1496">
        <v>694632899</v>
      </c>
      <c r="F1496">
        <v>28</v>
      </c>
      <c r="G1496" t="s">
        <v>40</v>
      </c>
      <c r="H1496" t="s">
        <v>899</v>
      </c>
      <c r="I1496" t="s">
        <v>2181</v>
      </c>
      <c r="J1496" t="s">
        <v>902</v>
      </c>
      <c r="K1496" t="s">
        <v>746</v>
      </c>
      <c r="L1496" t="s">
        <v>902</v>
      </c>
      <c r="M1496" t="s">
        <v>746</v>
      </c>
      <c r="N1496" t="s">
        <v>45</v>
      </c>
      <c r="O1496" t="s">
        <v>45</v>
      </c>
      <c r="P1496">
        <v>3</v>
      </c>
      <c r="Q1496" s="7">
        <v>46249</v>
      </c>
      <c r="R1496" s="7">
        <v>46250</v>
      </c>
      <c r="S1496" s="7">
        <v>46250</v>
      </c>
      <c r="T1496" t="s">
        <v>45</v>
      </c>
      <c r="V1496" t="s">
        <v>903</v>
      </c>
      <c r="W1496" t="s">
        <v>45</v>
      </c>
      <c r="X1496" t="s">
        <v>45</v>
      </c>
      <c r="Y1496" t="s">
        <v>45</v>
      </c>
      <c r="Z1496" t="s">
        <v>45</v>
      </c>
      <c r="AA1496" s="7">
        <v>46250</v>
      </c>
      <c r="AB1496" t="s">
        <v>48</v>
      </c>
      <c r="AC1496" t="s">
        <v>45</v>
      </c>
      <c r="AD1496" t="s">
        <v>62</v>
      </c>
      <c r="AE1496" s="7">
        <v>46252</v>
      </c>
      <c r="AF1496">
        <v>2</v>
      </c>
      <c r="AH1496" t="s">
        <v>75</v>
      </c>
      <c r="AI1496">
        <v>1</v>
      </c>
      <c r="AJ1496" s="15"/>
      <c r="AK1496" t="s">
        <v>1610</v>
      </c>
      <c r="AL1496" s="16"/>
      <c r="AR1496" s="18" t="str">
        <f>IFERROR(VLOOKUP(K1496,[1]POP!$F:$J,1,0),M1496)</f>
        <v>MORA</v>
      </c>
      <c r="AS1496" s="18" t="str">
        <f t="shared" si="116"/>
        <v>KOURGUI</v>
      </c>
      <c r="AT1496" s="19">
        <f t="shared" si="119"/>
        <v>2</v>
      </c>
      <c r="AU1496" s="19">
        <f t="shared" ca="1" si="118"/>
        <v>1</v>
      </c>
    </row>
    <row r="1497" spans="1:47" x14ac:dyDescent="0.3">
      <c r="A1497" t="s">
        <v>2184</v>
      </c>
      <c r="B1497" t="str">
        <f t="shared" si="115"/>
        <v>S34_2026</v>
      </c>
      <c r="C1497" t="str">
        <f t="shared" si="117"/>
        <v>S33_2026</v>
      </c>
      <c r="F1497">
        <v>2</v>
      </c>
      <c r="G1497" t="s">
        <v>40</v>
      </c>
      <c r="H1497" t="s">
        <v>85</v>
      </c>
      <c r="I1497" t="s">
        <v>2185</v>
      </c>
      <c r="J1497" t="s">
        <v>902</v>
      </c>
      <c r="K1497" t="s">
        <v>746</v>
      </c>
      <c r="L1497" t="s">
        <v>902</v>
      </c>
      <c r="M1497" t="s">
        <v>746</v>
      </c>
      <c r="N1497" t="s">
        <v>45</v>
      </c>
      <c r="O1497" t="s">
        <v>45</v>
      </c>
      <c r="P1497">
        <v>3</v>
      </c>
      <c r="Q1497" s="7">
        <v>46250</v>
      </c>
      <c r="R1497" s="7">
        <v>46250</v>
      </c>
      <c r="S1497" s="7">
        <v>46251</v>
      </c>
      <c r="T1497" t="s">
        <v>45</v>
      </c>
      <c r="V1497" t="s">
        <v>903</v>
      </c>
      <c r="W1497" t="s">
        <v>45</v>
      </c>
      <c r="X1497" t="s">
        <v>45</v>
      </c>
      <c r="Y1497" t="s">
        <v>45</v>
      </c>
      <c r="Z1497" t="s">
        <v>45</v>
      </c>
      <c r="AA1497" s="7">
        <v>46250</v>
      </c>
      <c r="AB1497" t="s">
        <v>48</v>
      </c>
      <c r="AC1497" t="s">
        <v>45</v>
      </c>
      <c r="AD1497" t="s">
        <v>62</v>
      </c>
      <c r="AE1497" s="7">
        <v>46252</v>
      </c>
      <c r="AF1497">
        <v>2</v>
      </c>
      <c r="AH1497" t="s">
        <v>75</v>
      </c>
      <c r="AI1497">
        <v>1</v>
      </c>
      <c r="AJ1497" s="15"/>
      <c r="AK1497" t="s">
        <v>1610</v>
      </c>
      <c r="AL1497" s="16"/>
      <c r="AR1497" s="18" t="str">
        <f>IFERROR(VLOOKUP(K1497,[1]POP!$F:$J,1,0),M1497)</f>
        <v>MORA</v>
      </c>
      <c r="AS1497" s="18" t="str">
        <f t="shared" si="116"/>
        <v>KOURGUI</v>
      </c>
      <c r="AT1497" s="19">
        <f t="shared" si="119"/>
        <v>2</v>
      </c>
      <c r="AU1497" s="19">
        <f t="shared" ca="1" si="118"/>
        <v>1</v>
      </c>
    </row>
    <row r="1498" spans="1:47" x14ac:dyDescent="0.3">
      <c r="A1498" t="s">
        <v>2186</v>
      </c>
      <c r="B1498" t="str">
        <f t="shared" si="115"/>
        <v>S33_2026</v>
      </c>
      <c r="C1498" t="str">
        <f t="shared" si="117"/>
        <v>S33_2026</v>
      </c>
      <c r="F1498">
        <v>37</v>
      </c>
      <c r="G1498" t="s">
        <v>55</v>
      </c>
      <c r="H1498" t="s">
        <v>1376</v>
      </c>
      <c r="I1498" t="s">
        <v>902</v>
      </c>
      <c r="J1498" t="s">
        <v>902</v>
      </c>
      <c r="K1498" t="s">
        <v>746</v>
      </c>
      <c r="L1498" t="s">
        <v>746</v>
      </c>
      <c r="M1498" t="s">
        <v>746</v>
      </c>
      <c r="N1498" t="s">
        <v>1830</v>
      </c>
      <c r="O1498" t="s">
        <v>45</v>
      </c>
      <c r="P1498">
        <v>3</v>
      </c>
      <c r="Q1498" s="7">
        <v>46250</v>
      </c>
      <c r="R1498" s="7">
        <v>46250</v>
      </c>
      <c r="S1498" s="7">
        <v>46250</v>
      </c>
      <c r="T1498" t="s">
        <v>45</v>
      </c>
      <c r="V1498" t="s">
        <v>2187</v>
      </c>
      <c r="W1498" t="s">
        <v>1830</v>
      </c>
      <c r="X1498" t="s">
        <v>45</v>
      </c>
      <c r="Y1498" t="s">
        <v>45</v>
      </c>
      <c r="Z1498" t="s">
        <v>45</v>
      </c>
      <c r="AA1498" s="7">
        <v>46250</v>
      </c>
      <c r="AB1498" t="s">
        <v>48</v>
      </c>
      <c r="AC1498" t="s">
        <v>1720</v>
      </c>
      <c r="AH1498" t="s">
        <v>75</v>
      </c>
      <c r="AI1498">
        <v>0</v>
      </c>
      <c r="AJ1498" s="15"/>
      <c r="AK1498" t="s">
        <v>1720</v>
      </c>
      <c r="AL1498" s="16"/>
      <c r="AR1498" s="18" t="str">
        <f>IFERROR(VLOOKUP(K1498,[1]POP!$F:$J,1,0),M1498)</f>
        <v>MORA</v>
      </c>
      <c r="AS1498" s="18" t="str">
        <f t="shared" si="116"/>
        <v>KOURGUI</v>
      </c>
      <c r="AT1498" s="19">
        <f t="shared" si="119"/>
        <v>0</v>
      </c>
      <c r="AU1498" s="19">
        <f t="shared" ca="1" si="118"/>
        <v>1</v>
      </c>
    </row>
    <row r="1499" spans="1:47" x14ac:dyDescent="0.3">
      <c r="A1499" t="s">
        <v>2188</v>
      </c>
      <c r="B1499" t="str">
        <f t="shared" si="115"/>
        <v>S33_2026</v>
      </c>
      <c r="C1499" t="str">
        <f t="shared" si="117"/>
        <v>S33_2026</v>
      </c>
      <c r="F1499">
        <v>48</v>
      </c>
      <c r="G1499" t="s">
        <v>40</v>
      </c>
      <c r="H1499" t="s">
        <v>1821</v>
      </c>
      <c r="I1499" t="s">
        <v>2157</v>
      </c>
      <c r="J1499" t="s">
        <v>746</v>
      </c>
      <c r="K1499" t="s">
        <v>746</v>
      </c>
      <c r="L1499" t="s">
        <v>746</v>
      </c>
      <c r="M1499" t="s">
        <v>746</v>
      </c>
      <c r="N1499" t="s">
        <v>1830</v>
      </c>
      <c r="O1499" t="s">
        <v>45</v>
      </c>
      <c r="P1499">
        <v>3</v>
      </c>
      <c r="Q1499" s="7">
        <v>46250</v>
      </c>
      <c r="R1499" s="7">
        <v>46250</v>
      </c>
      <c r="S1499" s="7">
        <v>46250</v>
      </c>
      <c r="T1499" t="s">
        <v>45</v>
      </c>
      <c r="V1499" t="s">
        <v>2187</v>
      </c>
      <c r="W1499" t="s">
        <v>45</v>
      </c>
      <c r="X1499" t="s">
        <v>45</v>
      </c>
      <c r="Y1499" t="s">
        <v>45</v>
      </c>
      <c r="Z1499" t="s">
        <v>45</v>
      </c>
      <c r="AA1499" s="7">
        <v>46250</v>
      </c>
      <c r="AB1499" t="s">
        <v>48</v>
      </c>
      <c r="AC1499" t="s">
        <v>1720</v>
      </c>
      <c r="AE1499" s="7">
        <v>46253</v>
      </c>
      <c r="AF1499">
        <v>2</v>
      </c>
      <c r="AH1499" t="s">
        <v>75</v>
      </c>
      <c r="AI1499">
        <v>1</v>
      </c>
      <c r="AJ1499" s="15"/>
      <c r="AK1499" t="s">
        <v>1720</v>
      </c>
      <c r="AL1499" s="16"/>
      <c r="AR1499" s="18" t="str">
        <f>IFERROR(VLOOKUP(K1499,[1]POP!$F:$J,1,0),M1499)</f>
        <v>MORA</v>
      </c>
      <c r="AS1499" s="18" t="str">
        <f t="shared" si="116"/>
        <v>MORA</v>
      </c>
      <c r="AT1499" s="19">
        <f t="shared" si="119"/>
        <v>2</v>
      </c>
      <c r="AU1499" s="19">
        <f t="shared" ca="1" si="118"/>
        <v>1</v>
      </c>
    </row>
    <row r="1500" spans="1:47" x14ac:dyDescent="0.3">
      <c r="A1500" t="s">
        <v>2189</v>
      </c>
      <c r="B1500" t="str">
        <f t="shared" si="115"/>
        <v>S33_2026</v>
      </c>
      <c r="C1500" t="str">
        <f t="shared" si="117"/>
        <v>S33_2025</v>
      </c>
      <c r="F1500">
        <v>60</v>
      </c>
      <c r="G1500" t="s">
        <v>55</v>
      </c>
      <c r="H1500" t="s">
        <v>1376</v>
      </c>
      <c r="I1500" t="s">
        <v>2157</v>
      </c>
      <c r="J1500" t="s">
        <v>746</v>
      </c>
      <c r="K1500" t="s">
        <v>746</v>
      </c>
      <c r="L1500" t="s">
        <v>746</v>
      </c>
      <c r="M1500" t="s">
        <v>746</v>
      </c>
      <c r="N1500" t="s">
        <v>1830</v>
      </c>
      <c r="O1500" t="s">
        <v>45</v>
      </c>
      <c r="P1500">
        <v>3</v>
      </c>
      <c r="Q1500" s="7">
        <v>45885</v>
      </c>
      <c r="R1500" s="7">
        <v>46250</v>
      </c>
      <c r="S1500" s="7">
        <v>46250</v>
      </c>
      <c r="T1500" t="s">
        <v>45</v>
      </c>
      <c r="V1500" t="s">
        <v>2187</v>
      </c>
      <c r="W1500" t="s">
        <v>45</v>
      </c>
      <c r="X1500" t="s">
        <v>45</v>
      </c>
      <c r="Y1500" t="s">
        <v>45</v>
      </c>
      <c r="Z1500" t="s">
        <v>45</v>
      </c>
      <c r="AA1500" s="7">
        <v>46250</v>
      </c>
      <c r="AB1500" t="s">
        <v>48</v>
      </c>
      <c r="AC1500" t="s">
        <v>1720</v>
      </c>
      <c r="AH1500" t="s">
        <v>75</v>
      </c>
      <c r="AI1500">
        <v>0</v>
      </c>
      <c r="AJ1500" s="15"/>
      <c r="AK1500" t="s">
        <v>1720</v>
      </c>
      <c r="AL1500" s="16"/>
      <c r="AR1500" s="18" t="str">
        <f>IFERROR(VLOOKUP(K1500,[1]POP!$F:$J,1,0),M1500)</f>
        <v>MORA</v>
      </c>
      <c r="AS1500" s="18" t="str">
        <f t="shared" si="116"/>
        <v>MORA</v>
      </c>
      <c r="AT1500" s="19">
        <f t="shared" si="119"/>
        <v>0</v>
      </c>
      <c r="AU1500" s="19">
        <f t="shared" ca="1" si="118"/>
        <v>1</v>
      </c>
    </row>
    <row r="1501" spans="1:47" x14ac:dyDescent="0.3">
      <c r="A1501" t="s">
        <v>2190</v>
      </c>
      <c r="B1501" t="str">
        <f t="shared" si="115"/>
        <v>S33_2026</v>
      </c>
      <c r="C1501" t="str">
        <f t="shared" si="117"/>
        <v>S33_2025</v>
      </c>
      <c r="F1501">
        <v>12</v>
      </c>
      <c r="G1501" t="s">
        <v>55</v>
      </c>
      <c r="H1501" t="s">
        <v>56</v>
      </c>
      <c r="I1501" t="s">
        <v>2157</v>
      </c>
      <c r="J1501" t="s">
        <v>746</v>
      </c>
      <c r="K1501" t="s">
        <v>746</v>
      </c>
      <c r="L1501" t="s">
        <v>746</v>
      </c>
      <c r="M1501" t="s">
        <v>746</v>
      </c>
      <c r="N1501" t="s">
        <v>1830</v>
      </c>
      <c r="O1501" t="s">
        <v>45</v>
      </c>
      <c r="P1501">
        <v>3</v>
      </c>
      <c r="Q1501" s="7">
        <v>45885</v>
      </c>
      <c r="R1501" s="7">
        <v>46250</v>
      </c>
      <c r="S1501" s="7">
        <v>46250</v>
      </c>
      <c r="T1501" t="s">
        <v>45</v>
      </c>
      <c r="V1501" t="s">
        <v>2187</v>
      </c>
      <c r="W1501" t="s">
        <v>45</v>
      </c>
      <c r="X1501" t="s">
        <v>45</v>
      </c>
      <c r="Y1501" t="s">
        <v>45</v>
      </c>
      <c r="Z1501" t="s">
        <v>45</v>
      </c>
      <c r="AA1501" s="7">
        <v>45885</v>
      </c>
      <c r="AB1501" t="s">
        <v>48</v>
      </c>
      <c r="AC1501" t="s">
        <v>1720</v>
      </c>
      <c r="AE1501" s="7">
        <v>46253</v>
      </c>
      <c r="AF1501">
        <v>2</v>
      </c>
      <c r="AH1501" t="s">
        <v>75</v>
      </c>
      <c r="AI1501">
        <v>1</v>
      </c>
      <c r="AJ1501" s="15"/>
      <c r="AK1501" t="s">
        <v>1720</v>
      </c>
      <c r="AL1501" s="16"/>
      <c r="AR1501" s="18" t="str">
        <f>IFERROR(VLOOKUP(K1501,[1]POP!$F:$J,1,0),M1501)</f>
        <v>MORA</v>
      </c>
      <c r="AS1501" s="18" t="str">
        <f t="shared" si="116"/>
        <v>MORA</v>
      </c>
      <c r="AT1501" s="19">
        <f t="shared" si="119"/>
        <v>2</v>
      </c>
      <c r="AU1501" s="19">
        <f t="shared" ca="1" si="118"/>
        <v>1</v>
      </c>
    </row>
    <row r="1502" spans="1:47" x14ac:dyDescent="0.3">
      <c r="A1502" t="s">
        <v>2191</v>
      </c>
      <c r="B1502" t="str">
        <f t="shared" si="115"/>
        <v>S34_2026</v>
      </c>
      <c r="C1502" t="str">
        <f t="shared" si="117"/>
        <v>S34_2026</v>
      </c>
      <c r="F1502">
        <v>32</v>
      </c>
      <c r="G1502" t="s">
        <v>40</v>
      </c>
      <c r="H1502" t="s">
        <v>1821</v>
      </c>
      <c r="I1502" t="s">
        <v>1584</v>
      </c>
      <c r="J1502" t="s">
        <v>746</v>
      </c>
      <c r="K1502" t="s">
        <v>746</v>
      </c>
      <c r="L1502" t="s">
        <v>746</v>
      </c>
      <c r="M1502" t="s">
        <v>746</v>
      </c>
      <c r="N1502" t="s">
        <v>1830</v>
      </c>
      <c r="O1502" t="s">
        <v>45</v>
      </c>
      <c r="P1502">
        <v>3</v>
      </c>
      <c r="Q1502" s="7">
        <v>46251</v>
      </c>
      <c r="R1502" s="7">
        <v>46251</v>
      </c>
      <c r="S1502" s="7">
        <v>46251</v>
      </c>
      <c r="T1502" t="s">
        <v>45</v>
      </c>
      <c r="V1502" t="s">
        <v>2187</v>
      </c>
      <c r="W1502" t="s">
        <v>45</v>
      </c>
      <c r="X1502" t="s">
        <v>45</v>
      </c>
      <c r="Y1502" t="s">
        <v>45</v>
      </c>
      <c r="Z1502" t="s">
        <v>45</v>
      </c>
      <c r="AA1502" s="7">
        <v>46251</v>
      </c>
      <c r="AB1502" t="s">
        <v>48</v>
      </c>
      <c r="AC1502" t="s">
        <v>1720</v>
      </c>
      <c r="AD1502" t="s">
        <v>48</v>
      </c>
      <c r="AE1502" s="7">
        <v>46252</v>
      </c>
      <c r="AF1502">
        <v>2</v>
      </c>
      <c r="AH1502" t="s">
        <v>75</v>
      </c>
      <c r="AI1502">
        <v>1</v>
      </c>
      <c r="AJ1502" s="15"/>
      <c r="AK1502" t="s">
        <v>1720</v>
      </c>
      <c r="AL1502" s="16"/>
      <c r="AR1502" s="18" t="str">
        <f>IFERROR(VLOOKUP(K1502,[1]POP!$F:$J,1,0),M1502)</f>
        <v>MORA</v>
      </c>
      <c r="AS1502" s="18" t="str">
        <f t="shared" si="116"/>
        <v>MORA</v>
      </c>
      <c r="AT1502" s="19">
        <f t="shared" si="119"/>
        <v>2</v>
      </c>
      <c r="AU1502" s="19">
        <f t="shared" ca="1" si="118"/>
        <v>1</v>
      </c>
    </row>
    <row r="1503" spans="1:47" x14ac:dyDescent="0.3">
      <c r="A1503" t="s">
        <v>2192</v>
      </c>
      <c r="B1503" t="str">
        <f t="shared" si="115"/>
        <v>S34_2026</v>
      </c>
      <c r="C1503" t="str">
        <f t="shared" si="117"/>
        <v>S34_2026</v>
      </c>
      <c r="F1503">
        <v>26</v>
      </c>
      <c r="G1503" t="s">
        <v>55</v>
      </c>
      <c r="H1503" t="s">
        <v>2193</v>
      </c>
      <c r="I1503" t="s">
        <v>2194</v>
      </c>
      <c r="J1503" t="s">
        <v>902</v>
      </c>
      <c r="K1503" t="s">
        <v>746</v>
      </c>
      <c r="L1503" t="s">
        <v>902</v>
      </c>
      <c r="M1503" t="s">
        <v>746</v>
      </c>
      <c r="N1503" t="s">
        <v>45</v>
      </c>
      <c r="O1503" t="s">
        <v>45</v>
      </c>
      <c r="P1503">
        <v>2</v>
      </c>
      <c r="Q1503" s="7">
        <v>46251</v>
      </c>
      <c r="R1503" s="7">
        <v>46251</v>
      </c>
      <c r="S1503" s="7">
        <v>46252</v>
      </c>
      <c r="T1503" t="s">
        <v>45</v>
      </c>
      <c r="V1503" t="s">
        <v>903</v>
      </c>
      <c r="W1503" t="s">
        <v>45</v>
      </c>
      <c r="X1503" t="s">
        <v>45</v>
      </c>
      <c r="Y1503" t="s">
        <v>45</v>
      </c>
      <c r="Z1503" t="s">
        <v>45</v>
      </c>
      <c r="AA1503" s="7">
        <v>46251</v>
      </c>
      <c r="AB1503" t="s">
        <v>62</v>
      </c>
      <c r="AE1503" s="7">
        <v>46251</v>
      </c>
      <c r="AF1503">
        <v>2</v>
      </c>
      <c r="AH1503" t="s">
        <v>75</v>
      </c>
      <c r="AI1503">
        <v>1</v>
      </c>
      <c r="AJ1503" s="15"/>
      <c r="AL1503" s="16"/>
      <c r="AR1503" s="18" t="str">
        <f>IFERROR(VLOOKUP(K1503,[1]POP!$F:$J,1,0),M1503)</f>
        <v>MORA</v>
      </c>
      <c r="AS1503" s="18" t="str">
        <f t="shared" si="116"/>
        <v>KOURGUI</v>
      </c>
      <c r="AT1503" s="19">
        <f t="shared" si="119"/>
        <v>2</v>
      </c>
      <c r="AU1503" s="19">
        <f t="shared" ca="1" si="118"/>
        <v>1</v>
      </c>
    </row>
    <row r="1504" spans="1:47" x14ac:dyDescent="0.3">
      <c r="A1504" t="s">
        <v>2195</v>
      </c>
      <c r="B1504" t="str">
        <f t="shared" si="115"/>
        <v>S34_2026</v>
      </c>
      <c r="C1504" t="str">
        <f t="shared" si="117"/>
        <v>S34_2026</v>
      </c>
      <c r="F1504">
        <v>16</v>
      </c>
      <c r="G1504" t="s">
        <v>55</v>
      </c>
      <c r="H1504" t="s">
        <v>56</v>
      </c>
      <c r="I1504" t="s">
        <v>2196</v>
      </c>
      <c r="J1504" t="s">
        <v>902</v>
      </c>
      <c r="K1504" t="s">
        <v>746</v>
      </c>
      <c r="L1504" t="s">
        <v>902</v>
      </c>
      <c r="M1504" t="s">
        <v>746</v>
      </c>
      <c r="N1504" t="s">
        <v>45</v>
      </c>
      <c r="O1504" t="s">
        <v>45</v>
      </c>
      <c r="P1504">
        <v>3</v>
      </c>
      <c r="Q1504" s="7">
        <v>46251</v>
      </c>
      <c r="R1504" s="7">
        <v>46252</v>
      </c>
      <c r="S1504" s="7">
        <v>46252</v>
      </c>
      <c r="T1504" t="s">
        <v>45</v>
      </c>
      <c r="V1504" t="s">
        <v>903</v>
      </c>
      <c r="W1504" t="s">
        <v>45</v>
      </c>
      <c r="X1504" t="s">
        <v>45</v>
      </c>
      <c r="Y1504" t="s">
        <v>45</v>
      </c>
      <c r="Z1504" t="s">
        <v>45</v>
      </c>
      <c r="AA1504" s="7">
        <v>46252</v>
      </c>
      <c r="AB1504" t="s">
        <v>48</v>
      </c>
      <c r="AE1504" s="7">
        <v>46251</v>
      </c>
      <c r="AF1504">
        <v>2</v>
      </c>
      <c r="AH1504" t="s">
        <v>75</v>
      </c>
      <c r="AI1504">
        <v>1</v>
      </c>
      <c r="AJ1504" s="15"/>
      <c r="AL1504" s="16"/>
      <c r="AR1504" s="18" t="str">
        <f>IFERROR(VLOOKUP(K1504,[1]POP!$F:$J,1,0),M1504)</f>
        <v>MORA</v>
      </c>
      <c r="AS1504" s="18" t="str">
        <f t="shared" si="116"/>
        <v>KOURGUI</v>
      </c>
      <c r="AT1504" s="19">
        <f t="shared" si="119"/>
        <v>2</v>
      </c>
      <c r="AU1504" s="19">
        <f t="shared" ca="1" si="118"/>
        <v>1</v>
      </c>
    </row>
    <row r="1505" spans="1:47" x14ac:dyDescent="0.3">
      <c r="A1505" t="s">
        <v>2197</v>
      </c>
      <c r="B1505" t="str">
        <f t="shared" si="115"/>
        <v>S34_2026</v>
      </c>
      <c r="C1505" t="str">
        <f t="shared" si="117"/>
        <v>S34_2026</v>
      </c>
      <c r="F1505">
        <v>8</v>
      </c>
      <c r="G1505" t="s">
        <v>40</v>
      </c>
      <c r="H1505" t="s">
        <v>56</v>
      </c>
      <c r="I1505" t="s">
        <v>2181</v>
      </c>
      <c r="J1505" t="s">
        <v>902</v>
      </c>
      <c r="K1505" t="s">
        <v>746</v>
      </c>
      <c r="L1505" t="s">
        <v>902</v>
      </c>
      <c r="M1505" t="s">
        <v>746</v>
      </c>
      <c r="N1505" t="s">
        <v>45</v>
      </c>
      <c r="O1505" t="s">
        <v>45</v>
      </c>
      <c r="P1505">
        <v>3</v>
      </c>
      <c r="Q1505" s="7">
        <v>46251</v>
      </c>
      <c r="R1505" s="7">
        <v>46252</v>
      </c>
      <c r="S1505" s="7">
        <v>46252</v>
      </c>
      <c r="T1505" t="s">
        <v>45</v>
      </c>
      <c r="V1505" t="s">
        <v>903</v>
      </c>
      <c r="W1505" t="s">
        <v>45</v>
      </c>
      <c r="X1505" t="s">
        <v>45</v>
      </c>
      <c r="Y1505" t="s">
        <v>45</v>
      </c>
      <c r="Z1505" t="s">
        <v>45</v>
      </c>
      <c r="AA1505" s="7">
        <v>46252</v>
      </c>
      <c r="AE1505" s="7">
        <v>46253</v>
      </c>
      <c r="AF1505">
        <v>2</v>
      </c>
      <c r="AH1505" t="s">
        <v>75</v>
      </c>
      <c r="AI1505">
        <v>1</v>
      </c>
      <c r="AJ1505" s="15"/>
      <c r="AL1505" s="16"/>
      <c r="AR1505" s="18" t="str">
        <f>IFERROR(VLOOKUP(K1505,[1]POP!$F:$J,1,0),M1505)</f>
        <v>MORA</v>
      </c>
      <c r="AS1505" s="18" t="str">
        <f t="shared" si="116"/>
        <v>KOURGUI</v>
      </c>
      <c r="AT1505" s="19">
        <f t="shared" si="119"/>
        <v>2</v>
      </c>
      <c r="AU1505" s="19">
        <f t="shared" ca="1" si="118"/>
        <v>1</v>
      </c>
    </row>
    <row r="1506" spans="1:47" x14ac:dyDescent="0.3">
      <c r="A1506" t="s">
        <v>2198</v>
      </c>
      <c r="B1506" t="str">
        <f t="shared" si="115"/>
        <v>S34_2026</v>
      </c>
      <c r="C1506" t="str">
        <f t="shared" si="117"/>
        <v>S34_2026</v>
      </c>
      <c r="F1506">
        <v>5</v>
      </c>
      <c r="G1506" t="s">
        <v>55</v>
      </c>
      <c r="H1506" t="s">
        <v>85</v>
      </c>
      <c r="I1506" t="s">
        <v>2181</v>
      </c>
      <c r="J1506" t="s">
        <v>902</v>
      </c>
      <c r="K1506" t="s">
        <v>746</v>
      </c>
      <c r="L1506" t="s">
        <v>902</v>
      </c>
      <c r="M1506" t="s">
        <v>746</v>
      </c>
      <c r="N1506" t="s">
        <v>45</v>
      </c>
      <c r="O1506" t="s">
        <v>45</v>
      </c>
      <c r="P1506">
        <v>1</v>
      </c>
      <c r="Q1506" s="7">
        <v>46252</v>
      </c>
      <c r="R1506" s="7">
        <v>46252</v>
      </c>
      <c r="S1506" s="7">
        <v>46252</v>
      </c>
      <c r="T1506" t="s">
        <v>45</v>
      </c>
      <c r="V1506" t="s">
        <v>903</v>
      </c>
      <c r="W1506" t="s">
        <v>45</v>
      </c>
      <c r="X1506" t="s">
        <v>45</v>
      </c>
      <c r="Y1506" t="s">
        <v>74</v>
      </c>
      <c r="Z1506" t="s">
        <v>45</v>
      </c>
      <c r="AA1506" s="7">
        <v>46252</v>
      </c>
      <c r="AE1506" s="7">
        <v>46253</v>
      </c>
      <c r="AF1506">
        <v>2</v>
      </c>
      <c r="AH1506" t="s">
        <v>75</v>
      </c>
      <c r="AI1506">
        <v>1</v>
      </c>
      <c r="AJ1506" s="15"/>
      <c r="AL1506" s="16"/>
      <c r="AR1506" s="18" t="str">
        <f>IFERROR(VLOOKUP(K1506,[1]POP!$F:$J,1,0),M1506)</f>
        <v>MORA</v>
      </c>
      <c r="AS1506" s="18" t="str">
        <f t="shared" si="116"/>
        <v>KOURGUI</v>
      </c>
      <c r="AT1506" s="19">
        <f t="shared" si="119"/>
        <v>2</v>
      </c>
      <c r="AU1506" s="19">
        <f t="shared" ca="1" si="118"/>
        <v>1</v>
      </c>
    </row>
    <row r="1507" spans="1:47" x14ac:dyDescent="0.3">
      <c r="A1507" t="s">
        <v>2199</v>
      </c>
      <c r="B1507" t="str">
        <f t="shared" si="115"/>
        <v>S34_2026</v>
      </c>
      <c r="C1507" t="str">
        <f t="shared" si="117"/>
        <v>S34_2026</v>
      </c>
      <c r="F1507">
        <v>28</v>
      </c>
      <c r="G1507" t="s">
        <v>1387</v>
      </c>
      <c r="H1507" t="s">
        <v>680</v>
      </c>
      <c r="I1507" t="s">
        <v>1388</v>
      </c>
      <c r="J1507" t="s">
        <v>1389</v>
      </c>
      <c r="K1507" t="s">
        <v>746</v>
      </c>
      <c r="L1507" t="s">
        <v>1389</v>
      </c>
      <c r="M1507" t="s">
        <v>746</v>
      </c>
      <c r="N1507" t="s">
        <v>117</v>
      </c>
      <c r="O1507" t="s">
        <v>117</v>
      </c>
      <c r="P1507">
        <v>2</v>
      </c>
      <c r="Q1507" s="7">
        <v>46253</v>
      </c>
      <c r="R1507" s="7">
        <v>46253</v>
      </c>
      <c r="S1507" s="7">
        <v>46253</v>
      </c>
      <c r="T1507" t="s">
        <v>117</v>
      </c>
      <c r="V1507" t="s">
        <v>1390</v>
      </c>
      <c r="W1507" t="s">
        <v>117</v>
      </c>
      <c r="X1507" t="s">
        <v>117</v>
      </c>
      <c r="Y1507" t="s">
        <v>117</v>
      </c>
      <c r="Z1507" t="s">
        <v>117</v>
      </c>
      <c r="AE1507" s="7">
        <v>46255</v>
      </c>
      <c r="AF1507">
        <v>2</v>
      </c>
      <c r="AH1507" t="s">
        <v>75</v>
      </c>
      <c r="AI1507">
        <v>1</v>
      </c>
      <c r="AJ1507" s="15"/>
      <c r="AL1507" s="16"/>
      <c r="AR1507" s="18" t="str">
        <f>IFERROR(VLOOKUP(K1507,[1]POP!$F:$J,1,0),M1507)</f>
        <v>MORA</v>
      </c>
      <c r="AS1507" s="18" t="str">
        <f t="shared" si="116"/>
        <v xml:space="preserve">bounderi </v>
      </c>
      <c r="AT1507" s="19">
        <f t="shared" si="119"/>
        <v>2</v>
      </c>
      <c r="AU1507" s="19">
        <f t="shared" ca="1" si="118"/>
        <v>1</v>
      </c>
    </row>
    <row r="1508" spans="1:47" x14ac:dyDescent="0.3">
      <c r="A1508" t="s">
        <v>2200</v>
      </c>
      <c r="B1508" t="str">
        <f t="shared" si="115"/>
        <v>S34_2026</v>
      </c>
      <c r="C1508" t="str">
        <f t="shared" si="117"/>
        <v>S34_2026</v>
      </c>
      <c r="F1508">
        <v>35</v>
      </c>
      <c r="G1508" t="s">
        <v>1387</v>
      </c>
      <c r="H1508" t="s">
        <v>680</v>
      </c>
      <c r="I1508" t="s">
        <v>1388</v>
      </c>
      <c r="J1508" t="s">
        <v>1389</v>
      </c>
      <c r="K1508" t="s">
        <v>746</v>
      </c>
      <c r="L1508" t="s">
        <v>1389</v>
      </c>
      <c r="M1508" t="s">
        <v>746</v>
      </c>
      <c r="N1508" t="s">
        <v>117</v>
      </c>
      <c r="O1508" t="s">
        <v>117</v>
      </c>
      <c r="P1508">
        <v>3</v>
      </c>
      <c r="Q1508" s="7">
        <v>46253</v>
      </c>
      <c r="R1508" s="7">
        <v>46253</v>
      </c>
      <c r="S1508" s="7">
        <v>46253</v>
      </c>
      <c r="T1508" t="s">
        <v>117</v>
      </c>
      <c r="V1508" t="s">
        <v>2201</v>
      </c>
      <c r="W1508" t="s">
        <v>117</v>
      </c>
      <c r="X1508" t="s">
        <v>117</v>
      </c>
      <c r="Y1508" t="s">
        <v>117</v>
      </c>
      <c r="Z1508" t="s">
        <v>117</v>
      </c>
      <c r="AE1508" s="7">
        <v>46255</v>
      </c>
      <c r="AF1508">
        <v>2</v>
      </c>
      <c r="AH1508" t="s">
        <v>75</v>
      </c>
      <c r="AI1508">
        <v>1</v>
      </c>
      <c r="AJ1508" s="15"/>
      <c r="AL1508" s="16"/>
      <c r="AR1508" s="18" t="str">
        <f>IFERROR(VLOOKUP(K1508,[1]POP!$F:$J,1,0),M1508)</f>
        <v>MORA</v>
      </c>
      <c r="AS1508" s="18" t="str">
        <f t="shared" si="116"/>
        <v xml:space="preserve">bounderi </v>
      </c>
      <c r="AT1508" s="19">
        <f t="shared" si="119"/>
        <v>2</v>
      </c>
      <c r="AU1508" s="19">
        <f t="shared" ca="1" si="118"/>
        <v>1</v>
      </c>
    </row>
    <row r="1509" spans="1:47" x14ac:dyDescent="0.3">
      <c r="A1509" t="s">
        <v>2202</v>
      </c>
      <c r="B1509" t="str">
        <f t="shared" si="115"/>
        <v>S34_2026</v>
      </c>
      <c r="C1509" t="str">
        <f t="shared" si="117"/>
        <v>S34_2026</v>
      </c>
      <c r="F1509">
        <v>45</v>
      </c>
      <c r="G1509" t="s">
        <v>1387</v>
      </c>
      <c r="H1509" t="s">
        <v>680</v>
      </c>
      <c r="I1509" t="s">
        <v>1388</v>
      </c>
      <c r="J1509" t="s">
        <v>1389</v>
      </c>
      <c r="K1509" t="s">
        <v>746</v>
      </c>
      <c r="L1509" t="s">
        <v>1389</v>
      </c>
      <c r="M1509" t="s">
        <v>746</v>
      </c>
      <c r="N1509" t="s">
        <v>117</v>
      </c>
      <c r="O1509" t="s">
        <v>117</v>
      </c>
      <c r="P1509">
        <v>3</v>
      </c>
      <c r="Q1509" s="7">
        <v>46253</v>
      </c>
      <c r="R1509" s="7">
        <v>46253</v>
      </c>
      <c r="S1509" s="7">
        <v>46253</v>
      </c>
      <c r="T1509" t="s">
        <v>117</v>
      </c>
      <c r="V1509" t="s">
        <v>1390</v>
      </c>
      <c r="W1509" t="s">
        <v>117</v>
      </c>
      <c r="X1509" t="s">
        <v>117</v>
      </c>
      <c r="Y1509" t="s">
        <v>117</v>
      </c>
      <c r="Z1509" t="s">
        <v>117</v>
      </c>
      <c r="AE1509" s="7">
        <v>46255</v>
      </c>
      <c r="AF1509">
        <v>2</v>
      </c>
      <c r="AH1509" t="s">
        <v>75</v>
      </c>
      <c r="AI1509">
        <v>1</v>
      </c>
      <c r="AJ1509" s="15"/>
      <c r="AL1509" s="16"/>
      <c r="AR1509" s="18" t="str">
        <f>IFERROR(VLOOKUP(K1509,[1]POP!$F:$J,1,0),M1509)</f>
        <v>MORA</v>
      </c>
      <c r="AS1509" s="18" t="str">
        <f t="shared" si="116"/>
        <v xml:space="preserve">bounderi </v>
      </c>
      <c r="AT1509" s="19">
        <f t="shared" si="119"/>
        <v>2</v>
      </c>
      <c r="AU1509" s="19">
        <f t="shared" ca="1" si="118"/>
        <v>1</v>
      </c>
    </row>
    <row r="1510" spans="1:47" x14ac:dyDescent="0.3">
      <c r="A1510" t="s">
        <v>2203</v>
      </c>
      <c r="B1510" t="str">
        <f t="shared" si="115"/>
        <v>S34_2026</v>
      </c>
      <c r="C1510" t="str">
        <f t="shared" si="117"/>
        <v>S34_2026</v>
      </c>
      <c r="F1510">
        <v>60</v>
      </c>
      <c r="G1510" t="s">
        <v>1387</v>
      </c>
      <c r="H1510" t="s">
        <v>680</v>
      </c>
      <c r="I1510" t="s">
        <v>1388</v>
      </c>
      <c r="J1510" t="s">
        <v>1389</v>
      </c>
      <c r="K1510" t="s">
        <v>746</v>
      </c>
      <c r="L1510" t="s">
        <v>1389</v>
      </c>
      <c r="M1510" t="s">
        <v>746</v>
      </c>
      <c r="N1510" t="s">
        <v>117</v>
      </c>
      <c r="O1510" t="s">
        <v>117</v>
      </c>
      <c r="P1510">
        <v>3</v>
      </c>
      <c r="Q1510" s="7">
        <v>46253</v>
      </c>
      <c r="R1510" s="7">
        <v>46253</v>
      </c>
      <c r="S1510" s="7">
        <v>46253</v>
      </c>
      <c r="T1510" t="s">
        <v>117</v>
      </c>
      <c r="V1510" t="s">
        <v>1390</v>
      </c>
      <c r="W1510" t="s">
        <v>117</v>
      </c>
      <c r="X1510" t="s">
        <v>117</v>
      </c>
      <c r="Y1510" t="s">
        <v>117</v>
      </c>
      <c r="Z1510" t="s">
        <v>117</v>
      </c>
      <c r="AE1510" s="7">
        <v>46255</v>
      </c>
      <c r="AF1510">
        <v>2</v>
      </c>
      <c r="AH1510" t="s">
        <v>75</v>
      </c>
      <c r="AI1510">
        <v>1</v>
      </c>
      <c r="AJ1510" s="15"/>
      <c r="AL1510" s="16"/>
      <c r="AR1510" s="18" t="str">
        <f>IFERROR(VLOOKUP(K1510,[1]POP!$F:$J,1,0),M1510)</f>
        <v>MORA</v>
      </c>
      <c r="AS1510" s="18" t="str">
        <f t="shared" si="116"/>
        <v xml:space="preserve">bounderi </v>
      </c>
      <c r="AT1510" s="19">
        <f t="shared" si="119"/>
        <v>2</v>
      </c>
      <c r="AU1510" s="19">
        <f t="shared" ca="1" si="118"/>
        <v>1</v>
      </c>
    </row>
    <row r="1511" spans="1:47" x14ac:dyDescent="0.3">
      <c r="A1511" t="s">
        <v>2204</v>
      </c>
      <c r="B1511" t="str">
        <f t="shared" si="115"/>
        <v>S34_2026</v>
      </c>
      <c r="C1511" t="str">
        <f t="shared" si="117"/>
        <v>S34_2026</v>
      </c>
      <c r="F1511">
        <v>66</v>
      </c>
      <c r="G1511" t="s">
        <v>1387</v>
      </c>
      <c r="H1511" t="s">
        <v>680</v>
      </c>
      <c r="I1511" t="s">
        <v>1388</v>
      </c>
      <c r="J1511" t="s">
        <v>1389</v>
      </c>
      <c r="K1511" t="s">
        <v>746</v>
      </c>
      <c r="L1511" t="s">
        <v>1389</v>
      </c>
      <c r="M1511" t="s">
        <v>746</v>
      </c>
      <c r="N1511" t="s">
        <v>117</v>
      </c>
      <c r="O1511" t="s">
        <v>117</v>
      </c>
      <c r="P1511">
        <v>3</v>
      </c>
      <c r="Q1511" s="7">
        <v>46253</v>
      </c>
      <c r="R1511" s="7">
        <v>46253</v>
      </c>
      <c r="S1511" s="7">
        <v>46253</v>
      </c>
      <c r="T1511" t="s">
        <v>117</v>
      </c>
      <c r="V1511" t="s">
        <v>1390</v>
      </c>
      <c r="W1511" t="s">
        <v>117</v>
      </c>
      <c r="X1511" t="s">
        <v>117</v>
      </c>
      <c r="Y1511" t="s">
        <v>117</v>
      </c>
      <c r="Z1511" t="s">
        <v>117</v>
      </c>
      <c r="AE1511" s="7">
        <v>46255</v>
      </c>
      <c r="AF1511">
        <v>2</v>
      </c>
      <c r="AH1511" t="s">
        <v>75</v>
      </c>
      <c r="AI1511">
        <v>1</v>
      </c>
      <c r="AJ1511" s="15"/>
      <c r="AL1511" s="16"/>
      <c r="AR1511" s="18" t="str">
        <f>IFERROR(VLOOKUP(K1511,[1]POP!$F:$J,1,0),M1511)</f>
        <v>MORA</v>
      </c>
      <c r="AS1511" s="18" t="str">
        <f t="shared" si="116"/>
        <v xml:space="preserve">bounderi </v>
      </c>
      <c r="AT1511" s="19">
        <f t="shared" si="119"/>
        <v>2</v>
      </c>
      <c r="AU1511" s="19">
        <f t="shared" ca="1" si="118"/>
        <v>1</v>
      </c>
    </row>
    <row r="1512" spans="1:47" x14ac:dyDescent="0.3">
      <c r="A1512" t="s">
        <v>2205</v>
      </c>
      <c r="B1512" t="str">
        <f t="shared" si="115"/>
        <v>S34_2026</v>
      </c>
      <c r="C1512" t="str">
        <f t="shared" si="117"/>
        <v>S33_2026</v>
      </c>
      <c r="E1512">
        <v>698476814</v>
      </c>
      <c r="F1512">
        <v>22</v>
      </c>
      <c r="G1512" t="s">
        <v>40</v>
      </c>
      <c r="H1512" t="s">
        <v>1899</v>
      </c>
      <c r="I1512" t="s">
        <v>2206</v>
      </c>
      <c r="J1512" t="s">
        <v>2207</v>
      </c>
      <c r="K1512" t="s">
        <v>2208</v>
      </c>
      <c r="L1512" t="s">
        <v>2209</v>
      </c>
      <c r="M1512" t="s">
        <v>746</v>
      </c>
      <c r="N1512" t="s">
        <v>1830</v>
      </c>
      <c r="O1512" t="s">
        <v>1830</v>
      </c>
      <c r="P1512">
        <v>3</v>
      </c>
      <c r="Q1512" s="7">
        <v>46246</v>
      </c>
      <c r="R1512" s="7">
        <v>46247</v>
      </c>
      <c r="S1512" s="7">
        <v>46253</v>
      </c>
      <c r="T1512" t="s">
        <v>1830</v>
      </c>
      <c r="V1512" t="s">
        <v>2210</v>
      </c>
      <c r="W1512" t="s">
        <v>1830</v>
      </c>
      <c r="X1512" t="s">
        <v>663</v>
      </c>
      <c r="Y1512" t="s">
        <v>45</v>
      </c>
      <c r="Z1512" t="s">
        <v>1720</v>
      </c>
      <c r="AA1512" s="7">
        <v>46248</v>
      </c>
      <c r="AB1512" t="s">
        <v>48</v>
      </c>
      <c r="AC1512" t="s">
        <v>668</v>
      </c>
      <c r="AE1512" s="7">
        <v>46252</v>
      </c>
      <c r="AF1512">
        <v>2</v>
      </c>
      <c r="AH1512" t="s">
        <v>75</v>
      </c>
      <c r="AI1512">
        <v>1</v>
      </c>
      <c r="AJ1512" s="15"/>
      <c r="AL1512" s="16"/>
      <c r="AR1512" s="18" t="str">
        <f>IFERROR(VLOOKUP(K1512,[1]POP!$F:$J,1,0),M1512)</f>
        <v>MORA</v>
      </c>
      <c r="AS1512" s="18" t="str">
        <f t="shared" si="116"/>
        <v xml:space="preserve">GODIGONG </v>
      </c>
      <c r="AT1512" s="19">
        <f t="shared" si="119"/>
        <v>2</v>
      </c>
      <c r="AU1512" s="19">
        <f t="shared" ca="1" si="118"/>
        <v>1</v>
      </c>
    </row>
    <row r="1513" spans="1:47" x14ac:dyDescent="0.3">
      <c r="A1513" t="s">
        <v>2211</v>
      </c>
      <c r="B1513" t="str">
        <f t="shared" si="115"/>
        <v>S34_2026</v>
      </c>
      <c r="C1513" t="str">
        <f t="shared" si="117"/>
        <v>S33_2026</v>
      </c>
      <c r="F1513">
        <v>17</v>
      </c>
      <c r="G1513" t="s">
        <v>40</v>
      </c>
      <c r="H1513" t="s">
        <v>678</v>
      </c>
      <c r="I1513" t="s">
        <v>2206</v>
      </c>
      <c r="J1513" t="s">
        <v>2207</v>
      </c>
      <c r="K1513" t="s">
        <v>2208</v>
      </c>
      <c r="L1513" t="s">
        <v>2209</v>
      </c>
      <c r="M1513" t="s">
        <v>746</v>
      </c>
      <c r="N1513" t="s">
        <v>45</v>
      </c>
      <c r="O1513" t="s">
        <v>45</v>
      </c>
      <c r="P1513">
        <v>2</v>
      </c>
      <c r="Q1513" s="7">
        <v>46247</v>
      </c>
      <c r="R1513" s="7">
        <v>46248</v>
      </c>
      <c r="S1513" s="7">
        <v>46251</v>
      </c>
      <c r="T1513" t="s">
        <v>663</v>
      </c>
      <c r="V1513" t="s">
        <v>2210</v>
      </c>
      <c r="W1513" t="s">
        <v>45</v>
      </c>
      <c r="X1513" t="s">
        <v>663</v>
      </c>
      <c r="Y1513" t="s">
        <v>1830</v>
      </c>
      <c r="Z1513" t="s">
        <v>74</v>
      </c>
      <c r="AE1513" s="7">
        <v>46191</v>
      </c>
      <c r="AF1513">
        <v>2</v>
      </c>
      <c r="AH1513" t="s">
        <v>75</v>
      </c>
      <c r="AI1513">
        <v>1</v>
      </c>
      <c r="AJ1513" s="15"/>
      <c r="AL1513" s="16"/>
      <c r="AR1513" s="18" t="str">
        <f>IFERROR(VLOOKUP(K1513,[1]POP!$F:$J,1,0),M1513)</f>
        <v>MORA</v>
      </c>
      <c r="AS1513" s="18" t="str">
        <f t="shared" si="116"/>
        <v xml:space="preserve">GODIGONG </v>
      </c>
      <c r="AT1513" s="19">
        <f t="shared" si="119"/>
        <v>2</v>
      </c>
      <c r="AU1513" s="19">
        <f t="shared" ca="1" si="118"/>
        <v>1</v>
      </c>
    </row>
    <row r="1514" spans="1:47" x14ac:dyDescent="0.3">
      <c r="A1514" t="s">
        <v>2212</v>
      </c>
      <c r="B1514" t="str">
        <f t="shared" si="115"/>
        <v>S34_2026</v>
      </c>
      <c r="C1514" t="str">
        <f t="shared" si="117"/>
        <v>S34_2026</v>
      </c>
      <c r="F1514">
        <v>7</v>
      </c>
      <c r="G1514" t="s">
        <v>55</v>
      </c>
      <c r="H1514" t="s">
        <v>56</v>
      </c>
      <c r="I1514" t="s">
        <v>2206</v>
      </c>
      <c r="J1514" t="s">
        <v>2207</v>
      </c>
      <c r="K1514" t="s">
        <v>2208</v>
      </c>
      <c r="L1514" t="s">
        <v>2209</v>
      </c>
      <c r="M1514" t="s">
        <v>746</v>
      </c>
      <c r="N1514" t="s">
        <v>45</v>
      </c>
      <c r="O1514" t="s">
        <v>45</v>
      </c>
      <c r="P1514">
        <v>3</v>
      </c>
      <c r="Q1514" s="7">
        <v>46251</v>
      </c>
      <c r="R1514" s="7">
        <v>46252</v>
      </c>
      <c r="S1514" s="7">
        <v>46252</v>
      </c>
      <c r="T1514" t="s">
        <v>46</v>
      </c>
      <c r="V1514" t="s">
        <v>2210</v>
      </c>
      <c r="W1514" t="s">
        <v>1830</v>
      </c>
      <c r="X1514" t="s">
        <v>663</v>
      </c>
      <c r="Y1514" t="s">
        <v>45</v>
      </c>
      <c r="Z1514" t="s">
        <v>1830</v>
      </c>
      <c r="AE1514" s="7">
        <v>46253</v>
      </c>
      <c r="AF1514">
        <v>2</v>
      </c>
      <c r="AH1514" t="s">
        <v>75</v>
      </c>
      <c r="AI1514">
        <v>1</v>
      </c>
      <c r="AJ1514" s="15"/>
      <c r="AL1514" s="16"/>
      <c r="AR1514" s="18" t="str">
        <f>IFERROR(VLOOKUP(K1514,[1]POP!$F:$J,1,0),M1514)</f>
        <v>MORA</v>
      </c>
      <c r="AS1514" s="18" t="str">
        <f t="shared" si="116"/>
        <v xml:space="preserve">GODIGONG </v>
      </c>
      <c r="AT1514" s="19">
        <f t="shared" si="119"/>
        <v>2</v>
      </c>
      <c r="AU1514" s="19">
        <f t="shared" ca="1" si="118"/>
        <v>1</v>
      </c>
    </row>
    <row r="1515" spans="1:47" x14ac:dyDescent="0.3">
      <c r="A1515" t="s">
        <v>2213</v>
      </c>
      <c r="B1515" t="str">
        <f t="shared" si="115"/>
        <v>S34_2026</v>
      </c>
      <c r="C1515" t="str">
        <f t="shared" si="117"/>
        <v>S34_2026</v>
      </c>
      <c r="F1515">
        <v>2</v>
      </c>
      <c r="G1515" t="s">
        <v>55</v>
      </c>
      <c r="H1515" t="s">
        <v>1817</v>
      </c>
      <c r="I1515" t="s">
        <v>2157</v>
      </c>
      <c r="J1515" t="s">
        <v>746</v>
      </c>
      <c r="K1515" t="s">
        <v>746</v>
      </c>
      <c r="L1515" t="s">
        <v>746</v>
      </c>
      <c r="M1515" t="s">
        <v>746</v>
      </c>
      <c r="N1515" t="s">
        <v>45</v>
      </c>
      <c r="O1515" t="s">
        <v>45</v>
      </c>
      <c r="P1515">
        <v>3</v>
      </c>
      <c r="Q1515" s="7">
        <v>46253</v>
      </c>
      <c r="R1515" s="7">
        <v>46253</v>
      </c>
      <c r="S1515" s="7">
        <v>46253</v>
      </c>
      <c r="T1515" t="s">
        <v>45</v>
      </c>
      <c r="V1515" t="s">
        <v>2187</v>
      </c>
      <c r="W1515" t="s">
        <v>45</v>
      </c>
      <c r="X1515" t="s">
        <v>45</v>
      </c>
      <c r="Y1515" t="s">
        <v>45</v>
      </c>
      <c r="Z1515" t="s">
        <v>45</v>
      </c>
      <c r="AA1515" s="7">
        <v>46253</v>
      </c>
      <c r="AB1515" t="s">
        <v>48</v>
      </c>
      <c r="AC1515" t="s">
        <v>1720</v>
      </c>
      <c r="AH1515" t="s">
        <v>75</v>
      </c>
      <c r="AI1515">
        <v>0</v>
      </c>
      <c r="AJ1515" s="15"/>
      <c r="AK1515" t="s">
        <v>1720</v>
      </c>
      <c r="AL1515" s="16"/>
      <c r="AR1515" s="18" t="str">
        <f>IFERROR(VLOOKUP(K1515,[1]POP!$F:$J,1,0),M1515)</f>
        <v>MORA</v>
      </c>
      <c r="AS1515" s="18" t="str">
        <f t="shared" si="116"/>
        <v>MORA</v>
      </c>
      <c r="AT1515" s="19">
        <f t="shared" si="119"/>
        <v>0</v>
      </c>
      <c r="AU1515" s="19">
        <f t="shared" ca="1" si="118"/>
        <v>1</v>
      </c>
    </row>
    <row r="1516" spans="1:47" x14ac:dyDescent="0.3">
      <c r="A1516" t="s">
        <v>2214</v>
      </c>
      <c r="B1516" t="str">
        <f t="shared" si="115"/>
        <v>S34_2026</v>
      </c>
      <c r="C1516" t="str">
        <f t="shared" si="117"/>
        <v>S34_2026</v>
      </c>
      <c r="F1516">
        <v>1</v>
      </c>
      <c r="G1516" t="s">
        <v>55</v>
      </c>
      <c r="H1516" t="s">
        <v>1817</v>
      </c>
      <c r="I1516" t="s">
        <v>2157</v>
      </c>
      <c r="J1516" t="s">
        <v>746</v>
      </c>
      <c r="K1516" t="s">
        <v>746</v>
      </c>
      <c r="L1516" t="s">
        <v>746</v>
      </c>
      <c r="M1516" t="s">
        <v>746</v>
      </c>
      <c r="N1516" t="s">
        <v>45</v>
      </c>
      <c r="O1516" t="s">
        <v>45</v>
      </c>
      <c r="P1516">
        <v>3</v>
      </c>
      <c r="Q1516" s="7">
        <v>46253</v>
      </c>
      <c r="R1516" s="7">
        <v>46253</v>
      </c>
      <c r="S1516" s="7">
        <v>46253</v>
      </c>
      <c r="T1516" t="s">
        <v>45</v>
      </c>
      <c r="V1516" t="s">
        <v>2187</v>
      </c>
      <c r="W1516" t="s">
        <v>45</v>
      </c>
      <c r="X1516" t="s">
        <v>45</v>
      </c>
      <c r="Y1516" t="s">
        <v>45</v>
      </c>
      <c r="Z1516" t="s">
        <v>45</v>
      </c>
      <c r="AA1516" s="7">
        <v>46253</v>
      </c>
      <c r="AB1516" t="s">
        <v>48</v>
      </c>
      <c r="AC1516" t="s">
        <v>1720</v>
      </c>
      <c r="AH1516" t="s">
        <v>75</v>
      </c>
      <c r="AI1516">
        <v>0</v>
      </c>
      <c r="AJ1516" s="15"/>
      <c r="AK1516" t="s">
        <v>1720</v>
      </c>
      <c r="AL1516" s="16"/>
      <c r="AR1516" s="18" t="str">
        <f>IFERROR(VLOOKUP(K1516,[1]POP!$F:$J,1,0),M1516)</f>
        <v>MORA</v>
      </c>
      <c r="AS1516" s="18" t="str">
        <f t="shared" si="116"/>
        <v>MORA</v>
      </c>
      <c r="AT1516" s="19">
        <f t="shared" si="119"/>
        <v>0</v>
      </c>
      <c r="AU1516" s="19">
        <f t="shared" ca="1" si="118"/>
        <v>1</v>
      </c>
    </row>
    <row r="1517" spans="1:47" x14ac:dyDescent="0.3">
      <c r="A1517" t="s">
        <v>2215</v>
      </c>
      <c r="B1517" t="str">
        <f t="shared" si="115"/>
        <v>S34_2026</v>
      </c>
      <c r="C1517" t="str">
        <f t="shared" si="117"/>
        <v>S34_2026</v>
      </c>
      <c r="F1517">
        <v>4</v>
      </c>
      <c r="G1517" t="s">
        <v>55</v>
      </c>
      <c r="H1517" t="s">
        <v>85</v>
      </c>
      <c r="I1517" t="s">
        <v>2181</v>
      </c>
      <c r="J1517" t="s">
        <v>902</v>
      </c>
      <c r="K1517" t="s">
        <v>746</v>
      </c>
      <c r="L1517" t="s">
        <v>902</v>
      </c>
      <c r="M1517" t="s">
        <v>746</v>
      </c>
      <c r="N1517" t="s">
        <v>45</v>
      </c>
      <c r="O1517" t="s">
        <v>45</v>
      </c>
      <c r="P1517">
        <v>1</v>
      </c>
      <c r="Q1517" s="7">
        <v>46252</v>
      </c>
      <c r="R1517" s="7">
        <v>46252</v>
      </c>
      <c r="S1517" s="7">
        <v>46252</v>
      </c>
      <c r="T1517" t="s">
        <v>45</v>
      </c>
      <c r="V1517" t="s">
        <v>903</v>
      </c>
      <c r="W1517" t="s">
        <v>45</v>
      </c>
      <c r="X1517" t="s">
        <v>45</v>
      </c>
      <c r="Y1517" t="s">
        <v>74</v>
      </c>
      <c r="Z1517" t="s">
        <v>45</v>
      </c>
      <c r="AE1517" s="7">
        <v>46253</v>
      </c>
      <c r="AF1517">
        <v>2</v>
      </c>
      <c r="AH1517" t="s">
        <v>75</v>
      </c>
      <c r="AI1517">
        <v>1</v>
      </c>
      <c r="AJ1517" s="15"/>
      <c r="AK1517" t="s">
        <v>1610</v>
      </c>
      <c r="AL1517" s="16"/>
      <c r="AR1517" s="18" t="str">
        <f>IFERROR(VLOOKUP(K1517,[1]POP!$F:$J,1,0),M1517)</f>
        <v>MORA</v>
      </c>
      <c r="AS1517" s="18" t="str">
        <f t="shared" si="116"/>
        <v>KOURGUI</v>
      </c>
      <c r="AT1517" s="19">
        <f t="shared" si="119"/>
        <v>2</v>
      </c>
      <c r="AU1517" s="19">
        <f t="shared" ca="1" si="118"/>
        <v>1</v>
      </c>
    </row>
    <row r="1518" spans="1:47" x14ac:dyDescent="0.3">
      <c r="A1518" t="s">
        <v>2216</v>
      </c>
      <c r="B1518" t="str">
        <f t="shared" si="115"/>
        <v>S34_2026</v>
      </c>
      <c r="C1518" t="str">
        <f t="shared" si="117"/>
        <v>S34_2026</v>
      </c>
      <c r="F1518">
        <v>13</v>
      </c>
      <c r="G1518" t="s">
        <v>55</v>
      </c>
      <c r="H1518" t="s">
        <v>56</v>
      </c>
      <c r="I1518" t="s">
        <v>2196</v>
      </c>
      <c r="J1518" t="s">
        <v>902</v>
      </c>
      <c r="K1518" t="s">
        <v>746</v>
      </c>
      <c r="L1518" t="s">
        <v>902</v>
      </c>
      <c r="M1518" t="s">
        <v>746</v>
      </c>
      <c r="N1518" t="s">
        <v>45</v>
      </c>
      <c r="O1518" t="s">
        <v>45</v>
      </c>
      <c r="P1518">
        <v>3</v>
      </c>
      <c r="Q1518" s="7">
        <v>46253</v>
      </c>
      <c r="R1518" s="7">
        <v>46253</v>
      </c>
      <c r="S1518" s="7">
        <v>46253</v>
      </c>
      <c r="T1518" t="s">
        <v>45</v>
      </c>
      <c r="V1518" t="s">
        <v>903</v>
      </c>
      <c r="W1518" t="s">
        <v>45</v>
      </c>
      <c r="X1518" t="s">
        <v>45</v>
      </c>
      <c r="Y1518" t="s">
        <v>45</v>
      </c>
      <c r="Z1518" t="s">
        <v>45</v>
      </c>
      <c r="AE1518" s="7">
        <v>46257</v>
      </c>
      <c r="AF1518">
        <v>2</v>
      </c>
      <c r="AH1518" t="s">
        <v>75</v>
      </c>
      <c r="AI1518">
        <v>1</v>
      </c>
      <c r="AJ1518" s="15"/>
      <c r="AL1518" s="16"/>
      <c r="AR1518" s="18" t="str">
        <f>IFERROR(VLOOKUP(K1518,[1]POP!$F:$J,1,0),M1518)</f>
        <v>MORA</v>
      </c>
      <c r="AS1518" s="18" t="str">
        <f t="shared" si="116"/>
        <v>KOURGUI</v>
      </c>
      <c r="AT1518" s="19">
        <f t="shared" si="119"/>
        <v>2</v>
      </c>
      <c r="AU1518" s="19">
        <f t="shared" ca="1" si="118"/>
        <v>1</v>
      </c>
    </row>
    <row r="1519" spans="1:47" x14ac:dyDescent="0.3">
      <c r="A1519" t="s">
        <v>2217</v>
      </c>
      <c r="B1519" t="str">
        <f t="shared" si="115"/>
        <v>S33_2026</v>
      </c>
      <c r="C1519" t="str">
        <f t="shared" si="117"/>
        <v>S33_2026</v>
      </c>
      <c r="F1519">
        <v>30</v>
      </c>
      <c r="G1519" t="s">
        <v>40</v>
      </c>
      <c r="H1519" t="s">
        <v>1821</v>
      </c>
      <c r="I1519" t="s">
        <v>1408</v>
      </c>
      <c r="J1519" t="s">
        <v>1408</v>
      </c>
      <c r="K1519" t="s">
        <v>746</v>
      </c>
      <c r="L1519" t="s">
        <v>746</v>
      </c>
      <c r="M1519" t="s">
        <v>746</v>
      </c>
      <c r="N1519" t="s">
        <v>45</v>
      </c>
      <c r="O1519" t="s">
        <v>45</v>
      </c>
      <c r="P1519">
        <v>3</v>
      </c>
      <c r="Q1519" s="7">
        <v>46245</v>
      </c>
      <c r="R1519" s="7">
        <v>46245</v>
      </c>
      <c r="S1519" s="7">
        <v>46245</v>
      </c>
      <c r="T1519" t="s">
        <v>1830</v>
      </c>
      <c r="V1519" t="s">
        <v>2187</v>
      </c>
      <c r="W1519" t="s">
        <v>45</v>
      </c>
      <c r="X1519" t="s">
        <v>45</v>
      </c>
      <c r="Y1519" t="s">
        <v>45</v>
      </c>
      <c r="Z1519" t="s">
        <v>45</v>
      </c>
      <c r="AA1519" s="7">
        <v>46245</v>
      </c>
      <c r="AB1519" t="s">
        <v>48</v>
      </c>
      <c r="AC1519" t="s">
        <v>1720</v>
      </c>
      <c r="AE1519" s="7">
        <v>46247</v>
      </c>
      <c r="AF1519">
        <v>2</v>
      </c>
      <c r="AH1519" t="s">
        <v>75</v>
      </c>
      <c r="AI1519">
        <v>1</v>
      </c>
      <c r="AJ1519" s="15"/>
      <c r="AK1519" t="s">
        <v>1720</v>
      </c>
      <c r="AL1519" s="16"/>
      <c r="AR1519" s="18" t="str">
        <f>IFERROR(VLOOKUP(K1519,[1]POP!$F:$J,1,0),M1519)</f>
        <v>MORA</v>
      </c>
      <c r="AS1519" s="18" t="str">
        <f t="shared" si="116"/>
        <v>DOULO</v>
      </c>
      <c r="AT1519" s="19">
        <f t="shared" si="119"/>
        <v>2</v>
      </c>
      <c r="AU1519" s="19">
        <f t="shared" ca="1" si="118"/>
        <v>2</v>
      </c>
    </row>
    <row r="1520" spans="1:47" x14ac:dyDescent="0.3">
      <c r="A1520" t="s">
        <v>2218</v>
      </c>
      <c r="B1520" t="str">
        <f t="shared" si="115"/>
        <v>S33_2026</v>
      </c>
      <c r="C1520" t="str">
        <f t="shared" si="117"/>
        <v>S33_2026</v>
      </c>
      <c r="F1520">
        <v>33</v>
      </c>
      <c r="G1520" t="s">
        <v>55</v>
      </c>
      <c r="H1520" t="s">
        <v>1376</v>
      </c>
      <c r="I1520" t="s">
        <v>1408</v>
      </c>
      <c r="J1520" t="s">
        <v>1408</v>
      </c>
      <c r="K1520" t="s">
        <v>746</v>
      </c>
      <c r="L1520" t="s">
        <v>746</v>
      </c>
      <c r="M1520" t="s">
        <v>746</v>
      </c>
      <c r="N1520" t="s">
        <v>45</v>
      </c>
      <c r="O1520" t="s">
        <v>45</v>
      </c>
      <c r="P1520">
        <v>3</v>
      </c>
      <c r="Q1520" s="7">
        <v>46247</v>
      </c>
      <c r="R1520" s="7">
        <v>46247</v>
      </c>
      <c r="S1520" s="7">
        <v>46247</v>
      </c>
      <c r="T1520" t="s">
        <v>45</v>
      </c>
      <c r="V1520" t="s">
        <v>2187</v>
      </c>
      <c r="W1520" t="s">
        <v>45</v>
      </c>
      <c r="X1520" t="s">
        <v>45</v>
      </c>
      <c r="Y1520" t="s">
        <v>45</v>
      </c>
      <c r="Z1520" t="s">
        <v>45</v>
      </c>
      <c r="AA1520" s="7">
        <v>46247</v>
      </c>
      <c r="AB1520" t="s">
        <v>48</v>
      </c>
      <c r="AC1520" t="s">
        <v>1720</v>
      </c>
      <c r="AE1520" s="7">
        <v>46250</v>
      </c>
      <c r="AF1520">
        <v>2</v>
      </c>
      <c r="AH1520" t="s">
        <v>75</v>
      </c>
      <c r="AI1520">
        <v>1</v>
      </c>
      <c r="AJ1520" s="15"/>
      <c r="AK1520" t="s">
        <v>1720</v>
      </c>
      <c r="AL1520" s="16"/>
      <c r="AR1520" s="18" t="str">
        <f>IFERROR(VLOOKUP(K1520,[1]POP!$F:$J,1,0),M1520)</f>
        <v>MORA</v>
      </c>
      <c r="AS1520" s="18" t="str">
        <f t="shared" si="116"/>
        <v>DOULO</v>
      </c>
      <c r="AT1520" s="19">
        <f t="shared" si="119"/>
        <v>2</v>
      </c>
      <c r="AU1520" s="19">
        <f t="shared" ca="1" si="118"/>
        <v>1</v>
      </c>
    </row>
    <row r="1521" spans="1:47" x14ac:dyDescent="0.3">
      <c r="A1521" t="s">
        <v>2219</v>
      </c>
      <c r="B1521" t="str">
        <f t="shared" si="115"/>
        <v>S33_2026</v>
      </c>
      <c r="C1521" t="str">
        <f t="shared" si="117"/>
        <v>S33_2026</v>
      </c>
      <c r="F1521">
        <v>22</v>
      </c>
      <c r="G1521" t="s">
        <v>55</v>
      </c>
      <c r="H1521" t="s">
        <v>1376</v>
      </c>
      <c r="I1521" t="s">
        <v>1355</v>
      </c>
      <c r="J1521" t="s">
        <v>1355</v>
      </c>
      <c r="K1521" t="s">
        <v>746</v>
      </c>
      <c r="L1521" t="s">
        <v>746</v>
      </c>
      <c r="M1521" t="s">
        <v>746</v>
      </c>
      <c r="N1521" t="s">
        <v>45</v>
      </c>
      <c r="O1521" t="s">
        <v>45</v>
      </c>
      <c r="P1521">
        <v>3</v>
      </c>
      <c r="Q1521" s="7">
        <v>46247</v>
      </c>
      <c r="R1521" s="7">
        <v>46247</v>
      </c>
      <c r="S1521" s="7">
        <v>46247</v>
      </c>
      <c r="T1521" t="s">
        <v>45</v>
      </c>
      <c r="V1521" t="s">
        <v>2187</v>
      </c>
      <c r="W1521" t="s">
        <v>45</v>
      </c>
      <c r="X1521" t="s">
        <v>45</v>
      </c>
      <c r="Y1521" t="s">
        <v>45</v>
      </c>
      <c r="Z1521" t="s">
        <v>45</v>
      </c>
      <c r="AA1521" s="7">
        <v>46247</v>
      </c>
      <c r="AB1521" t="s">
        <v>48</v>
      </c>
      <c r="AC1521" t="s">
        <v>1720</v>
      </c>
      <c r="AE1521" s="7">
        <v>46250</v>
      </c>
      <c r="AF1521">
        <v>2</v>
      </c>
      <c r="AH1521" t="s">
        <v>75</v>
      </c>
      <c r="AI1521">
        <v>1</v>
      </c>
      <c r="AJ1521" s="15"/>
      <c r="AK1521" t="s">
        <v>1720</v>
      </c>
      <c r="AL1521" s="16"/>
      <c r="AR1521" s="18" t="str">
        <f>IFERROR(VLOOKUP(K1521,[1]POP!$F:$J,1,0),M1521)</f>
        <v>MORA</v>
      </c>
      <c r="AS1521" s="18" t="str">
        <f t="shared" si="116"/>
        <v>AISSA HARDE</v>
      </c>
      <c r="AT1521" s="19">
        <f t="shared" si="119"/>
        <v>2</v>
      </c>
      <c r="AU1521" s="19">
        <f t="shared" ca="1" si="118"/>
        <v>1</v>
      </c>
    </row>
    <row r="1522" spans="1:47" x14ac:dyDescent="0.3">
      <c r="A1522" t="s">
        <v>2220</v>
      </c>
      <c r="B1522" t="str">
        <f t="shared" si="115"/>
        <v>S33_2026</v>
      </c>
      <c r="C1522" t="str">
        <f t="shared" si="117"/>
        <v>S33_2026</v>
      </c>
      <c r="F1522">
        <v>1</v>
      </c>
      <c r="G1522" t="s">
        <v>55</v>
      </c>
      <c r="H1522" t="s">
        <v>1817</v>
      </c>
      <c r="I1522" t="s">
        <v>1408</v>
      </c>
      <c r="J1522" t="s">
        <v>1408</v>
      </c>
      <c r="K1522" t="s">
        <v>746</v>
      </c>
      <c r="L1522" t="s">
        <v>746</v>
      </c>
      <c r="M1522" t="s">
        <v>746</v>
      </c>
      <c r="N1522" t="s">
        <v>1830</v>
      </c>
      <c r="O1522" t="s">
        <v>45</v>
      </c>
      <c r="P1522">
        <v>3</v>
      </c>
      <c r="Q1522" s="7">
        <v>46248</v>
      </c>
      <c r="R1522" s="7">
        <v>46248</v>
      </c>
      <c r="S1522" s="7">
        <v>46248</v>
      </c>
      <c r="T1522" t="s">
        <v>45</v>
      </c>
      <c r="V1522" t="s">
        <v>2187</v>
      </c>
      <c r="W1522" t="s">
        <v>1830</v>
      </c>
      <c r="X1522" t="s">
        <v>45</v>
      </c>
      <c r="Y1522" t="s">
        <v>45</v>
      </c>
      <c r="Z1522" t="s">
        <v>45</v>
      </c>
      <c r="AA1522" s="7">
        <v>46248</v>
      </c>
      <c r="AB1522" t="s">
        <v>48</v>
      </c>
      <c r="AC1522" t="s">
        <v>1720</v>
      </c>
      <c r="AE1522" s="7">
        <v>46250</v>
      </c>
      <c r="AF1522">
        <v>2</v>
      </c>
      <c r="AH1522" t="s">
        <v>75</v>
      </c>
      <c r="AI1522">
        <v>1</v>
      </c>
      <c r="AJ1522" s="15"/>
      <c r="AK1522" t="s">
        <v>1720</v>
      </c>
      <c r="AL1522" s="16"/>
      <c r="AR1522" s="18" t="str">
        <f>IFERROR(VLOOKUP(K1522,[1]POP!$F:$J,1,0),M1522)</f>
        <v>MORA</v>
      </c>
      <c r="AS1522" s="18" t="str">
        <f t="shared" si="116"/>
        <v>DOULO</v>
      </c>
      <c r="AT1522" s="19">
        <f t="shared" si="119"/>
        <v>2</v>
      </c>
      <c r="AU1522" s="19">
        <f t="shared" ca="1" si="118"/>
        <v>1</v>
      </c>
    </row>
    <row r="1523" spans="1:47" x14ac:dyDescent="0.3">
      <c r="A1523" t="s">
        <v>2221</v>
      </c>
      <c r="B1523" t="str">
        <f t="shared" si="115"/>
        <v>S34_2026</v>
      </c>
      <c r="C1523" t="str">
        <f t="shared" si="117"/>
        <v>S34_2026</v>
      </c>
      <c r="F1523">
        <v>57</v>
      </c>
      <c r="G1523" t="s">
        <v>40</v>
      </c>
      <c r="H1523" t="s">
        <v>1912</v>
      </c>
      <c r="I1523" t="s">
        <v>2222</v>
      </c>
      <c r="J1523" t="s">
        <v>1914</v>
      </c>
      <c r="K1523" t="s">
        <v>1915</v>
      </c>
      <c r="L1523" t="s">
        <v>1914</v>
      </c>
      <c r="M1523" t="s">
        <v>1915</v>
      </c>
      <c r="N1523" t="s">
        <v>46</v>
      </c>
      <c r="O1523" t="s">
        <v>46</v>
      </c>
      <c r="P1523">
        <v>3</v>
      </c>
      <c r="Q1523" s="7">
        <v>46252</v>
      </c>
      <c r="R1523" s="7">
        <v>46252</v>
      </c>
      <c r="S1523" s="7">
        <v>46252</v>
      </c>
      <c r="T1523" t="s">
        <v>46</v>
      </c>
      <c r="V1523" t="s">
        <v>1916</v>
      </c>
      <c r="W1523" t="s">
        <v>46</v>
      </c>
      <c r="X1523" t="s">
        <v>46</v>
      </c>
      <c r="Y1523" t="s">
        <v>46</v>
      </c>
      <c r="Z1523" t="s">
        <v>46</v>
      </c>
      <c r="AA1523" s="7">
        <v>46252</v>
      </c>
      <c r="AB1523" t="s">
        <v>48</v>
      </c>
      <c r="AC1523" t="s">
        <v>45</v>
      </c>
      <c r="AD1523" t="s">
        <v>62</v>
      </c>
      <c r="AH1523" t="s">
        <v>75</v>
      </c>
      <c r="AI1523">
        <v>0</v>
      </c>
      <c r="AJ1523" s="15"/>
      <c r="AK1523" t="s">
        <v>1922</v>
      </c>
      <c r="AL1523" s="16"/>
      <c r="AR1523" s="18" t="str">
        <f>IFERROR(VLOOKUP(K1523,[1]POP!$F:$J,1,0),M1523)</f>
        <v>Gazawa</v>
      </c>
      <c r="AS1523" s="18" t="str">
        <f t="shared" si="116"/>
        <v>Massakal</v>
      </c>
      <c r="AT1523" s="19">
        <f t="shared" si="119"/>
        <v>0</v>
      </c>
      <c r="AU1523" s="19">
        <f t="shared" ca="1" si="118"/>
        <v>1</v>
      </c>
    </row>
    <row r="1524" spans="1:47" x14ac:dyDescent="0.3">
      <c r="A1524" t="s">
        <v>2223</v>
      </c>
      <c r="B1524" t="str">
        <f t="shared" si="115"/>
        <v>S34_2026</v>
      </c>
      <c r="C1524" t="str">
        <f t="shared" si="117"/>
        <v>S34_2026</v>
      </c>
      <c r="E1524">
        <v>699599459</v>
      </c>
      <c r="F1524">
        <v>32</v>
      </c>
      <c r="G1524" t="s">
        <v>40</v>
      </c>
      <c r="H1524" t="s">
        <v>1924</v>
      </c>
      <c r="I1524" t="s">
        <v>2222</v>
      </c>
      <c r="J1524" t="s">
        <v>1914</v>
      </c>
      <c r="K1524" t="s">
        <v>1915</v>
      </c>
      <c r="L1524" t="s">
        <v>1914</v>
      </c>
      <c r="M1524" t="s">
        <v>1915</v>
      </c>
      <c r="N1524" t="s">
        <v>46</v>
      </c>
      <c r="O1524" t="s">
        <v>46</v>
      </c>
      <c r="P1524">
        <v>3</v>
      </c>
      <c r="Q1524" s="7">
        <v>46252</v>
      </c>
      <c r="R1524" s="7">
        <v>46252</v>
      </c>
      <c r="S1524" s="7">
        <v>46252</v>
      </c>
      <c r="T1524" t="s">
        <v>46</v>
      </c>
      <c r="V1524" t="s">
        <v>1916</v>
      </c>
      <c r="W1524" t="s">
        <v>46</v>
      </c>
      <c r="X1524" t="s">
        <v>45</v>
      </c>
      <c r="Y1524" t="s">
        <v>46</v>
      </c>
      <c r="Z1524" t="s">
        <v>46</v>
      </c>
      <c r="AA1524" s="7">
        <v>46252</v>
      </c>
      <c r="AB1524" t="s">
        <v>48</v>
      </c>
      <c r="AC1524" t="s">
        <v>45</v>
      </c>
      <c r="AH1524" t="s">
        <v>75</v>
      </c>
      <c r="AI1524">
        <v>0</v>
      </c>
      <c r="AJ1524" s="15"/>
      <c r="AK1524" t="s">
        <v>1922</v>
      </c>
      <c r="AL1524" s="16"/>
      <c r="AR1524" s="18" t="str">
        <f>IFERROR(VLOOKUP(K1524,[1]POP!$F:$J,1,0),M1524)</f>
        <v>Gazawa</v>
      </c>
      <c r="AS1524" s="18" t="str">
        <f t="shared" si="116"/>
        <v>Massakal</v>
      </c>
      <c r="AT1524" s="19">
        <f t="shared" si="119"/>
        <v>0</v>
      </c>
      <c r="AU1524" s="19">
        <f t="shared" ca="1" si="118"/>
        <v>1</v>
      </c>
    </row>
    <row r="1525" spans="1:47" x14ac:dyDescent="0.3">
      <c r="A1525" t="s">
        <v>2224</v>
      </c>
      <c r="B1525" t="str">
        <f t="shared" si="115"/>
        <v>S34_2026</v>
      </c>
      <c r="C1525" t="str">
        <f t="shared" si="117"/>
        <v>S34_2026</v>
      </c>
      <c r="E1525">
        <v>693597658</v>
      </c>
      <c r="F1525">
        <v>70</v>
      </c>
      <c r="G1525" t="s">
        <v>40</v>
      </c>
      <c r="H1525" t="s">
        <v>1912</v>
      </c>
      <c r="I1525" t="s">
        <v>2222</v>
      </c>
      <c r="J1525" t="s">
        <v>1914</v>
      </c>
      <c r="K1525" t="s">
        <v>1915</v>
      </c>
      <c r="L1525" t="s">
        <v>1914</v>
      </c>
      <c r="M1525" t="s">
        <v>1915</v>
      </c>
      <c r="N1525" t="s">
        <v>46</v>
      </c>
      <c r="O1525" t="s">
        <v>46</v>
      </c>
      <c r="P1525">
        <v>3</v>
      </c>
      <c r="Q1525" s="7">
        <v>46253</v>
      </c>
      <c r="R1525" s="7">
        <v>46253</v>
      </c>
      <c r="S1525" s="7">
        <v>46253</v>
      </c>
      <c r="T1525" t="s">
        <v>46</v>
      </c>
      <c r="V1525" t="s">
        <v>1916</v>
      </c>
      <c r="W1525" t="s">
        <v>46</v>
      </c>
      <c r="X1525" t="s">
        <v>45</v>
      </c>
      <c r="Y1525" t="s">
        <v>46</v>
      </c>
      <c r="Z1525" t="s">
        <v>46</v>
      </c>
      <c r="AA1525" s="7">
        <v>46253</v>
      </c>
      <c r="AB1525" t="s">
        <v>48</v>
      </c>
      <c r="AC1525" t="s">
        <v>45</v>
      </c>
      <c r="AD1525" t="s">
        <v>2225</v>
      </c>
      <c r="AH1525" t="s">
        <v>75</v>
      </c>
      <c r="AI1525">
        <v>0</v>
      </c>
      <c r="AJ1525" s="15"/>
      <c r="AK1525" t="s">
        <v>74</v>
      </c>
      <c r="AL1525" s="16"/>
      <c r="AR1525" s="18" t="str">
        <f>IFERROR(VLOOKUP(K1525,[1]POP!$F:$J,1,0),M1525)</f>
        <v>Gazawa</v>
      </c>
      <c r="AS1525" s="18" t="str">
        <f t="shared" si="116"/>
        <v>Massakal</v>
      </c>
      <c r="AT1525" s="19">
        <f t="shared" si="119"/>
        <v>0</v>
      </c>
      <c r="AU1525" s="19">
        <f t="shared" ca="1" si="118"/>
        <v>1</v>
      </c>
    </row>
    <row r="1526" spans="1:47" x14ac:dyDescent="0.3">
      <c r="A1526" t="s">
        <v>2226</v>
      </c>
      <c r="B1526" t="str">
        <f t="shared" si="115"/>
        <v>S34_2026</v>
      </c>
      <c r="C1526" t="str">
        <f t="shared" si="117"/>
        <v>S34_2026</v>
      </c>
      <c r="E1526">
        <v>793534659</v>
      </c>
      <c r="F1526">
        <v>28</v>
      </c>
      <c r="G1526" t="s">
        <v>55</v>
      </c>
      <c r="H1526" t="s">
        <v>457</v>
      </c>
      <c r="I1526" t="s">
        <v>2222</v>
      </c>
      <c r="J1526" t="s">
        <v>1914</v>
      </c>
      <c r="K1526" t="s">
        <v>1915</v>
      </c>
      <c r="L1526" t="s">
        <v>1914</v>
      </c>
      <c r="M1526" t="s">
        <v>1915</v>
      </c>
      <c r="N1526" t="s">
        <v>46</v>
      </c>
      <c r="O1526" t="s">
        <v>46</v>
      </c>
      <c r="P1526">
        <v>3</v>
      </c>
      <c r="Q1526" s="7">
        <v>46253</v>
      </c>
      <c r="R1526" s="7">
        <v>46253</v>
      </c>
      <c r="S1526" s="7">
        <v>46253</v>
      </c>
      <c r="T1526" t="s">
        <v>46</v>
      </c>
      <c r="V1526" t="s">
        <v>1916</v>
      </c>
      <c r="W1526" t="s">
        <v>46</v>
      </c>
      <c r="X1526" t="s">
        <v>45</v>
      </c>
      <c r="Y1526" t="s">
        <v>46</v>
      </c>
      <c r="Z1526" t="s">
        <v>46</v>
      </c>
      <c r="AA1526" s="7">
        <v>46253</v>
      </c>
      <c r="AB1526" t="s">
        <v>48</v>
      </c>
      <c r="AC1526" t="s">
        <v>45</v>
      </c>
      <c r="AD1526" t="s">
        <v>62</v>
      </c>
      <c r="AH1526" t="s">
        <v>75</v>
      </c>
      <c r="AI1526">
        <v>0</v>
      </c>
      <c r="AJ1526" s="15"/>
      <c r="AK1526" t="s">
        <v>74</v>
      </c>
      <c r="AL1526" s="16"/>
      <c r="AR1526" s="18" t="str">
        <f>IFERROR(VLOOKUP(K1526,[1]POP!$F:$J,1,0),M1526)</f>
        <v>Gazawa</v>
      </c>
      <c r="AS1526" s="18" t="str">
        <f t="shared" si="116"/>
        <v>Massakal</v>
      </c>
      <c r="AT1526" s="19">
        <f t="shared" si="119"/>
        <v>0</v>
      </c>
      <c r="AU1526" s="19">
        <f t="shared" ca="1" si="118"/>
        <v>1</v>
      </c>
    </row>
    <row r="1527" spans="1:47" x14ac:dyDescent="0.3">
      <c r="A1527" t="s">
        <v>2227</v>
      </c>
      <c r="B1527" t="str">
        <f t="shared" si="115"/>
        <v>S34_2026</v>
      </c>
      <c r="C1527" t="str">
        <f t="shared" si="117"/>
        <v>S34_2026</v>
      </c>
      <c r="E1527">
        <v>699594659</v>
      </c>
      <c r="F1527">
        <v>4</v>
      </c>
      <c r="G1527" t="s">
        <v>55</v>
      </c>
      <c r="H1527" t="s">
        <v>1920</v>
      </c>
      <c r="I1527" t="s">
        <v>2222</v>
      </c>
      <c r="J1527" t="s">
        <v>1914</v>
      </c>
      <c r="K1527" t="s">
        <v>1915</v>
      </c>
      <c r="L1527" t="s">
        <v>1914</v>
      </c>
      <c r="M1527" t="s">
        <v>1915</v>
      </c>
      <c r="N1527" t="s">
        <v>46</v>
      </c>
      <c r="O1527" t="s">
        <v>46</v>
      </c>
      <c r="P1527">
        <v>3</v>
      </c>
      <c r="Q1527" s="7">
        <v>46253</v>
      </c>
      <c r="R1527" s="7">
        <v>46253</v>
      </c>
      <c r="S1527" s="7">
        <v>46253</v>
      </c>
      <c r="T1527" t="s">
        <v>46</v>
      </c>
      <c r="V1527" t="s">
        <v>1916</v>
      </c>
      <c r="W1527" t="s">
        <v>46</v>
      </c>
      <c r="X1527" t="s">
        <v>45</v>
      </c>
      <c r="Y1527" t="s">
        <v>46</v>
      </c>
      <c r="Z1527" t="s">
        <v>46</v>
      </c>
      <c r="AA1527" s="7">
        <v>46253</v>
      </c>
      <c r="AB1527" t="s">
        <v>48</v>
      </c>
      <c r="AC1527" t="s">
        <v>45</v>
      </c>
      <c r="AD1527" t="s">
        <v>62</v>
      </c>
      <c r="AH1527" t="s">
        <v>75</v>
      </c>
      <c r="AI1527">
        <v>0</v>
      </c>
      <c r="AJ1527" s="15"/>
      <c r="AK1527" t="s">
        <v>74</v>
      </c>
      <c r="AL1527" s="16"/>
      <c r="AR1527" s="18" t="str">
        <f>IFERROR(VLOOKUP(K1527,[1]POP!$F:$J,1,0),M1527)</f>
        <v>Gazawa</v>
      </c>
      <c r="AS1527" s="18" t="str">
        <f t="shared" si="116"/>
        <v>Massakal</v>
      </c>
      <c r="AT1527" s="19">
        <f t="shared" si="119"/>
        <v>0</v>
      </c>
      <c r="AU1527" s="19">
        <f t="shared" ca="1" si="118"/>
        <v>1</v>
      </c>
    </row>
    <row r="1528" spans="1:47" x14ac:dyDescent="0.3">
      <c r="A1528" t="s">
        <v>2228</v>
      </c>
      <c r="B1528" t="str">
        <f t="shared" si="115"/>
        <v>S34_2026</v>
      </c>
      <c r="C1528" t="str">
        <f t="shared" si="117"/>
        <v>S34_2026</v>
      </c>
      <c r="F1528">
        <v>20</v>
      </c>
      <c r="G1528" t="s">
        <v>55</v>
      </c>
      <c r="H1528" t="s">
        <v>457</v>
      </c>
      <c r="I1528" t="s">
        <v>2222</v>
      </c>
      <c r="J1528" t="s">
        <v>1914</v>
      </c>
      <c r="K1528" t="s">
        <v>1915</v>
      </c>
      <c r="L1528" t="s">
        <v>1914</v>
      </c>
      <c r="M1528" t="s">
        <v>1915</v>
      </c>
      <c r="N1528" t="s">
        <v>46</v>
      </c>
      <c r="O1528" t="s">
        <v>46</v>
      </c>
      <c r="P1528">
        <v>3</v>
      </c>
      <c r="Q1528" s="7">
        <v>46253</v>
      </c>
      <c r="R1528" s="7">
        <v>46253</v>
      </c>
      <c r="S1528" s="7">
        <v>46253</v>
      </c>
      <c r="T1528" t="s">
        <v>46</v>
      </c>
      <c r="V1528" t="s">
        <v>1916</v>
      </c>
      <c r="W1528" t="s">
        <v>46</v>
      </c>
      <c r="X1528" t="s">
        <v>45</v>
      </c>
      <c r="Y1528" t="s">
        <v>46</v>
      </c>
      <c r="Z1528" t="s">
        <v>46</v>
      </c>
      <c r="AA1528" s="7">
        <v>46253</v>
      </c>
      <c r="AB1528" t="s">
        <v>48</v>
      </c>
      <c r="AH1528" t="s">
        <v>75</v>
      </c>
      <c r="AI1528">
        <v>0</v>
      </c>
      <c r="AJ1528" s="15"/>
      <c r="AK1528" t="s">
        <v>74</v>
      </c>
      <c r="AL1528" s="16"/>
      <c r="AR1528" s="18" t="str">
        <f>IFERROR(VLOOKUP(K1528,[1]POP!$F:$J,1,0),M1528)</f>
        <v>Gazawa</v>
      </c>
      <c r="AS1528" s="18" t="str">
        <f t="shared" si="116"/>
        <v>Massakal</v>
      </c>
      <c r="AT1528" s="19">
        <f t="shared" si="119"/>
        <v>0</v>
      </c>
      <c r="AU1528" s="19">
        <f t="shared" ca="1" si="118"/>
        <v>1</v>
      </c>
    </row>
    <row r="1529" spans="1:47" x14ac:dyDescent="0.3">
      <c r="A1529" t="s">
        <v>2229</v>
      </c>
      <c r="B1529" t="str">
        <f t="shared" si="115"/>
        <v>S34_2026</v>
      </c>
      <c r="C1529" t="str">
        <f t="shared" si="117"/>
        <v>S34_2026</v>
      </c>
      <c r="F1529">
        <v>14</v>
      </c>
      <c r="G1529" t="s">
        <v>40</v>
      </c>
      <c r="H1529" t="s">
        <v>1918</v>
      </c>
      <c r="I1529" t="s">
        <v>2222</v>
      </c>
      <c r="J1529" t="s">
        <v>1914</v>
      </c>
      <c r="K1529" t="s">
        <v>1915</v>
      </c>
      <c r="L1529" t="s">
        <v>1914</v>
      </c>
      <c r="M1529" t="s">
        <v>1915</v>
      </c>
      <c r="N1529" t="s">
        <v>46</v>
      </c>
      <c r="O1529" t="s">
        <v>46</v>
      </c>
      <c r="P1529">
        <v>3</v>
      </c>
      <c r="Q1529" s="7">
        <v>46253</v>
      </c>
      <c r="R1529" s="7">
        <v>46253</v>
      </c>
      <c r="S1529" s="7">
        <v>46253</v>
      </c>
      <c r="T1529" t="s">
        <v>46</v>
      </c>
      <c r="V1529" t="s">
        <v>1916</v>
      </c>
      <c r="W1529" t="s">
        <v>46</v>
      </c>
      <c r="X1529" t="s">
        <v>45</v>
      </c>
      <c r="Y1529" t="s">
        <v>46</v>
      </c>
      <c r="Z1529" t="s">
        <v>46</v>
      </c>
      <c r="AH1529" t="s">
        <v>75</v>
      </c>
      <c r="AI1529">
        <v>0</v>
      </c>
      <c r="AJ1529" s="15"/>
      <c r="AK1529" t="s">
        <v>74</v>
      </c>
      <c r="AL1529" s="16"/>
      <c r="AR1529" s="18" t="str">
        <f>IFERROR(VLOOKUP(K1529,[1]POP!$F:$J,1,0),M1529)</f>
        <v>Gazawa</v>
      </c>
      <c r="AS1529" s="18" t="str">
        <f t="shared" si="116"/>
        <v>Massakal</v>
      </c>
      <c r="AT1529" s="19">
        <f t="shared" si="119"/>
        <v>0</v>
      </c>
      <c r="AU1529" s="19">
        <f t="shared" ca="1" si="118"/>
        <v>1</v>
      </c>
    </row>
    <row r="1530" spans="1:47" x14ac:dyDescent="0.3">
      <c r="A1530" t="s">
        <v>2230</v>
      </c>
      <c r="B1530" t="str">
        <f t="shared" si="115"/>
        <v>S34_2026</v>
      </c>
      <c r="C1530" t="str">
        <f t="shared" si="117"/>
        <v>S34_2026</v>
      </c>
      <c r="F1530">
        <v>50</v>
      </c>
      <c r="G1530" t="s">
        <v>40</v>
      </c>
      <c r="H1530" t="s">
        <v>1924</v>
      </c>
      <c r="I1530" t="s">
        <v>2222</v>
      </c>
      <c r="J1530" t="s">
        <v>1914</v>
      </c>
      <c r="K1530" t="s">
        <v>1915</v>
      </c>
      <c r="L1530" t="s">
        <v>1914</v>
      </c>
      <c r="M1530" t="s">
        <v>1915</v>
      </c>
      <c r="N1530" t="s">
        <v>46</v>
      </c>
      <c r="O1530" t="s">
        <v>46</v>
      </c>
      <c r="P1530">
        <v>3</v>
      </c>
      <c r="Q1530" s="7">
        <v>46253</v>
      </c>
      <c r="R1530" s="7">
        <v>46253</v>
      </c>
      <c r="S1530" s="7">
        <v>46253</v>
      </c>
      <c r="T1530" t="s">
        <v>46</v>
      </c>
      <c r="V1530" t="s">
        <v>1916</v>
      </c>
      <c r="W1530" t="s">
        <v>46</v>
      </c>
      <c r="X1530" t="s">
        <v>45</v>
      </c>
      <c r="Y1530" t="s">
        <v>46</v>
      </c>
      <c r="Z1530" t="s">
        <v>46</v>
      </c>
      <c r="AH1530" t="s">
        <v>75</v>
      </c>
      <c r="AI1530">
        <v>0</v>
      </c>
      <c r="AJ1530" s="15"/>
      <c r="AK1530" t="s">
        <v>74</v>
      </c>
      <c r="AL1530" s="16"/>
      <c r="AR1530" s="18" t="str">
        <f>IFERROR(VLOOKUP(K1530,[1]POP!$F:$J,1,0),M1530)</f>
        <v>Gazawa</v>
      </c>
      <c r="AS1530" s="18" t="str">
        <f t="shared" si="116"/>
        <v>Massakal</v>
      </c>
      <c r="AT1530" s="19">
        <f t="shared" si="119"/>
        <v>0</v>
      </c>
      <c r="AU1530" s="19">
        <f t="shared" ca="1" si="118"/>
        <v>1</v>
      </c>
    </row>
    <row r="1531" spans="1:47" x14ac:dyDescent="0.3">
      <c r="A1531" t="s">
        <v>2231</v>
      </c>
      <c r="B1531" t="str">
        <f t="shared" si="115"/>
        <v>S34_2026</v>
      </c>
      <c r="C1531" t="str">
        <f t="shared" si="117"/>
        <v>S34_2026</v>
      </c>
      <c r="F1531">
        <v>50</v>
      </c>
      <c r="G1531" t="s">
        <v>40</v>
      </c>
      <c r="H1531" t="s">
        <v>1924</v>
      </c>
      <c r="I1531" t="s">
        <v>2222</v>
      </c>
      <c r="J1531" t="s">
        <v>1914</v>
      </c>
      <c r="K1531" t="s">
        <v>1915</v>
      </c>
      <c r="L1531" t="s">
        <v>1914</v>
      </c>
      <c r="M1531" t="s">
        <v>1915</v>
      </c>
      <c r="N1531" t="s">
        <v>46</v>
      </c>
      <c r="O1531" t="s">
        <v>46</v>
      </c>
      <c r="P1531">
        <v>3</v>
      </c>
      <c r="Q1531" s="7">
        <v>46253</v>
      </c>
      <c r="R1531" s="7">
        <v>46253</v>
      </c>
      <c r="S1531" s="7">
        <v>46253</v>
      </c>
      <c r="T1531" t="s">
        <v>46</v>
      </c>
      <c r="V1531" t="s">
        <v>1916</v>
      </c>
      <c r="W1531" t="s">
        <v>46</v>
      </c>
      <c r="X1531" t="s">
        <v>45</v>
      </c>
      <c r="Y1531" t="s">
        <v>46</v>
      </c>
      <c r="Z1531" t="s">
        <v>46</v>
      </c>
      <c r="AH1531" t="s">
        <v>75</v>
      </c>
      <c r="AI1531">
        <v>0</v>
      </c>
      <c r="AJ1531" s="15"/>
      <c r="AK1531" t="s">
        <v>74</v>
      </c>
      <c r="AL1531" s="16"/>
      <c r="AR1531" s="18" t="str">
        <f>IFERROR(VLOOKUP(K1531,[1]POP!$F:$J,1,0),M1531)</f>
        <v>Gazawa</v>
      </c>
      <c r="AS1531" s="18" t="str">
        <f t="shared" si="116"/>
        <v>Massakal</v>
      </c>
      <c r="AT1531" s="19">
        <f t="shared" si="119"/>
        <v>0</v>
      </c>
      <c r="AU1531" s="19">
        <f t="shared" ca="1" si="118"/>
        <v>1</v>
      </c>
    </row>
    <row r="1532" spans="1:47" x14ac:dyDescent="0.3">
      <c r="A1532" t="s">
        <v>2232</v>
      </c>
      <c r="B1532" t="str">
        <f t="shared" si="115"/>
        <v>S34_2026</v>
      </c>
      <c r="C1532" t="str">
        <f t="shared" si="117"/>
        <v>S34_2026</v>
      </c>
      <c r="F1532">
        <v>16</v>
      </c>
      <c r="G1532" t="s">
        <v>40</v>
      </c>
      <c r="H1532" t="s">
        <v>1918</v>
      </c>
      <c r="I1532" t="s">
        <v>2222</v>
      </c>
      <c r="J1532" t="s">
        <v>1914</v>
      </c>
      <c r="K1532" t="s">
        <v>1915</v>
      </c>
      <c r="L1532" t="s">
        <v>1914</v>
      </c>
      <c r="M1532" t="s">
        <v>1915</v>
      </c>
      <c r="N1532" t="s">
        <v>46</v>
      </c>
      <c r="O1532" t="s">
        <v>46</v>
      </c>
      <c r="P1532">
        <v>3</v>
      </c>
      <c r="Q1532" s="7">
        <v>46253</v>
      </c>
      <c r="R1532" s="7">
        <v>46253</v>
      </c>
      <c r="S1532" s="7">
        <v>46253</v>
      </c>
      <c r="T1532" t="s">
        <v>46</v>
      </c>
      <c r="V1532" t="s">
        <v>1916</v>
      </c>
      <c r="W1532" t="s">
        <v>46</v>
      </c>
      <c r="X1532" t="s">
        <v>45</v>
      </c>
      <c r="Y1532" t="s">
        <v>46</v>
      </c>
      <c r="Z1532" t="s">
        <v>46</v>
      </c>
      <c r="AH1532" t="s">
        <v>75</v>
      </c>
      <c r="AI1532">
        <v>0</v>
      </c>
      <c r="AJ1532" s="15"/>
      <c r="AK1532" t="s">
        <v>74</v>
      </c>
      <c r="AL1532" s="16"/>
      <c r="AR1532" s="18" t="str">
        <f>IFERROR(VLOOKUP(K1532,[1]POP!$F:$J,1,0),M1532)</f>
        <v>Gazawa</v>
      </c>
      <c r="AS1532" s="18" t="str">
        <f t="shared" si="116"/>
        <v>Massakal</v>
      </c>
      <c r="AT1532" s="19">
        <f t="shared" si="119"/>
        <v>0</v>
      </c>
      <c r="AU1532" s="19">
        <f t="shared" ca="1" si="118"/>
        <v>1</v>
      </c>
    </row>
    <row r="1533" spans="1:47" x14ac:dyDescent="0.3">
      <c r="A1533" t="s">
        <v>2233</v>
      </c>
      <c r="B1533" t="str">
        <f t="shared" si="115"/>
        <v>S34_2026</v>
      </c>
      <c r="C1533" t="str">
        <f t="shared" si="117"/>
        <v>S34_2026</v>
      </c>
      <c r="F1533">
        <v>15</v>
      </c>
      <c r="G1533" t="s">
        <v>40</v>
      </c>
      <c r="H1533" t="s">
        <v>1918</v>
      </c>
      <c r="I1533" t="s">
        <v>2222</v>
      </c>
      <c r="J1533" t="s">
        <v>1914</v>
      </c>
      <c r="K1533" t="s">
        <v>1915</v>
      </c>
      <c r="L1533" t="s">
        <v>1914</v>
      </c>
      <c r="M1533" t="s">
        <v>1915</v>
      </c>
      <c r="N1533" t="s">
        <v>46</v>
      </c>
      <c r="O1533" t="s">
        <v>46</v>
      </c>
      <c r="P1533">
        <v>3</v>
      </c>
      <c r="Q1533" s="7">
        <v>46253</v>
      </c>
      <c r="R1533" s="7">
        <v>46253</v>
      </c>
      <c r="S1533" s="7">
        <v>46253</v>
      </c>
      <c r="T1533" t="s">
        <v>46</v>
      </c>
      <c r="V1533" t="s">
        <v>1916</v>
      </c>
      <c r="W1533" t="s">
        <v>46</v>
      </c>
      <c r="X1533" t="s">
        <v>45</v>
      </c>
      <c r="Y1533" t="s">
        <v>46</v>
      </c>
      <c r="Z1533" t="s">
        <v>46</v>
      </c>
      <c r="AH1533" t="s">
        <v>75</v>
      </c>
      <c r="AI1533">
        <v>0</v>
      </c>
      <c r="AJ1533" s="15"/>
      <c r="AK1533" t="s">
        <v>74</v>
      </c>
      <c r="AL1533" s="16"/>
      <c r="AR1533" s="18" t="str">
        <f>IFERROR(VLOOKUP(K1533,[1]POP!$F:$J,1,0),M1533)</f>
        <v>Gazawa</v>
      </c>
      <c r="AS1533" s="18" t="str">
        <f t="shared" si="116"/>
        <v>Massakal</v>
      </c>
      <c r="AT1533" s="19">
        <f t="shared" si="119"/>
        <v>0</v>
      </c>
      <c r="AU1533" s="19">
        <f t="shared" ca="1" si="118"/>
        <v>1</v>
      </c>
    </row>
    <row r="1534" spans="1:47" x14ac:dyDescent="0.3">
      <c r="A1534" t="s">
        <v>2234</v>
      </c>
      <c r="B1534" t="str">
        <f t="shared" si="115"/>
        <v>S30_2026</v>
      </c>
      <c r="C1534" t="str">
        <f t="shared" si="117"/>
        <v>S30_2026</v>
      </c>
      <c r="F1534">
        <v>1</v>
      </c>
      <c r="G1534" t="s">
        <v>55</v>
      </c>
      <c r="H1534" t="s">
        <v>85</v>
      </c>
      <c r="I1534" t="s">
        <v>2235</v>
      </c>
      <c r="J1534" t="s">
        <v>1067</v>
      </c>
      <c r="K1534" t="s">
        <v>1068</v>
      </c>
      <c r="L1534" t="s">
        <v>1067</v>
      </c>
      <c r="M1534" t="s">
        <v>1068</v>
      </c>
      <c r="N1534" t="s">
        <v>45</v>
      </c>
      <c r="O1534" t="s">
        <v>74</v>
      </c>
      <c r="P1534">
        <v>2</v>
      </c>
      <c r="Q1534" s="7">
        <v>46227</v>
      </c>
      <c r="R1534" s="7">
        <v>46227</v>
      </c>
      <c r="S1534" s="7">
        <v>46227</v>
      </c>
      <c r="T1534" t="s">
        <v>45</v>
      </c>
      <c r="V1534" t="s">
        <v>1119</v>
      </c>
      <c r="W1534" t="s">
        <v>45</v>
      </c>
      <c r="X1534" t="s">
        <v>45</v>
      </c>
      <c r="Y1534" t="s">
        <v>45</v>
      </c>
      <c r="Z1534" t="s">
        <v>45</v>
      </c>
      <c r="AA1534" s="7">
        <v>46227</v>
      </c>
      <c r="AB1534" t="s">
        <v>62</v>
      </c>
      <c r="AC1534" t="s">
        <v>74</v>
      </c>
      <c r="AE1534" s="7">
        <v>46233</v>
      </c>
      <c r="AF1534">
        <v>2</v>
      </c>
      <c r="AH1534" t="s">
        <v>75</v>
      </c>
      <c r="AI1534">
        <v>1</v>
      </c>
      <c r="AJ1534" s="15"/>
      <c r="AK1534" t="s">
        <v>74</v>
      </c>
      <c r="AL1534" s="16"/>
      <c r="AR1534" s="18" t="str">
        <f>IFERROR(VLOOKUP(K1534,[1]POP!$F:$J,1,0),M1534)</f>
        <v>MOKOLO</v>
      </c>
      <c r="AS1534" s="18" t="str">
        <f t="shared" si="116"/>
        <v>MINAWAO</v>
      </c>
      <c r="AT1534" s="19">
        <f t="shared" si="119"/>
        <v>2</v>
      </c>
      <c r="AU1534" s="19">
        <f t="shared" ca="1" si="118"/>
        <v>2</v>
      </c>
    </row>
    <row r="1535" spans="1:47" x14ac:dyDescent="0.3">
      <c r="A1535" t="s">
        <v>2236</v>
      </c>
      <c r="B1535" t="str">
        <f t="shared" si="115"/>
        <v>S30_2026</v>
      </c>
      <c r="C1535" t="str">
        <f t="shared" si="117"/>
        <v>S30_2026</v>
      </c>
      <c r="F1535">
        <v>1</v>
      </c>
      <c r="G1535" t="s">
        <v>40</v>
      </c>
      <c r="H1535" t="s">
        <v>85</v>
      </c>
      <c r="I1535" t="s">
        <v>1092</v>
      </c>
      <c r="J1535" t="s">
        <v>1067</v>
      </c>
      <c r="K1535" t="s">
        <v>1068</v>
      </c>
      <c r="L1535" t="s">
        <v>1067</v>
      </c>
      <c r="M1535" t="s">
        <v>1068</v>
      </c>
      <c r="N1535" t="s">
        <v>45</v>
      </c>
      <c r="O1535" t="s">
        <v>74</v>
      </c>
      <c r="P1535">
        <v>2</v>
      </c>
      <c r="Q1535" s="7">
        <v>46227</v>
      </c>
      <c r="R1535" s="7">
        <v>46228</v>
      </c>
      <c r="S1535" s="7">
        <v>46228</v>
      </c>
      <c r="T1535" t="s">
        <v>45</v>
      </c>
      <c r="V1535" t="s">
        <v>1119</v>
      </c>
      <c r="W1535" t="s">
        <v>45</v>
      </c>
      <c r="X1535" t="s">
        <v>74</v>
      </c>
      <c r="Y1535" t="s">
        <v>74</v>
      </c>
      <c r="Z1535" t="s">
        <v>45</v>
      </c>
      <c r="AA1535" s="7">
        <v>46228</v>
      </c>
      <c r="AB1535" t="s">
        <v>62</v>
      </c>
      <c r="AC1535" t="s">
        <v>74</v>
      </c>
      <c r="AE1535" s="7">
        <v>46238</v>
      </c>
      <c r="AF1535">
        <v>2</v>
      </c>
      <c r="AH1535" t="s">
        <v>75</v>
      </c>
      <c r="AI1535">
        <v>1</v>
      </c>
      <c r="AJ1535" s="15"/>
      <c r="AK1535" t="s">
        <v>74</v>
      </c>
      <c r="AL1535" s="16"/>
      <c r="AR1535" s="18" t="str">
        <f>IFERROR(VLOOKUP(K1535,[1]POP!$F:$J,1,0),M1535)</f>
        <v>MOKOLO</v>
      </c>
      <c r="AS1535" s="18" t="str">
        <f t="shared" si="116"/>
        <v>MINAWAO</v>
      </c>
      <c r="AT1535" s="19">
        <f t="shared" si="119"/>
        <v>2</v>
      </c>
      <c r="AU1535" s="19">
        <f t="shared" ca="1" si="118"/>
        <v>2</v>
      </c>
    </row>
    <row r="1536" spans="1:47" x14ac:dyDescent="0.3">
      <c r="A1536" t="s">
        <v>2237</v>
      </c>
      <c r="B1536" t="str">
        <f t="shared" si="115"/>
        <v>S31_2026</v>
      </c>
      <c r="C1536" t="str">
        <f t="shared" si="117"/>
        <v>S31_2026</v>
      </c>
      <c r="F1536">
        <v>1</v>
      </c>
      <c r="G1536" t="s">
        <v>40</v>
      </c>
      <c r="H1536" t="s">
        <v>85</v>
      </c>
      <c r="I1536" t="s">
        <v>1132</v>
      </c>
      <c r="J1536" t="s">
        <v>1067</v>
      </c>
      <c r="K1536" t="s">
        <v>1068</v>
      </c>
      <c r="L1536" t="s">
        <v>1067</v>
      </c>
      <c r="M1536" t="s">
        <v>1068</v>
      </c>
      <c r="N1536" t="s">
        <v>45</v>
      </c>
      <c r="O1536" t="s">
        <v>74</v>
      </c>
      <c r="P1536">
        <v>2</v>
      </c>
      <c r="Q1536" s="7">
        <v>46231</v>
      </c>
      <c r="R1536" s="7">
        <v>46231</v>
      </c>
      <c r="S1536" s="7">
        <v>46231</v>
      </c>
      <c r="T1536" t="s">
        <v>45</v>
      </c>
      <c r="V1536" t="s">
        <v>1119</v>
      </c>
      <c r="W1536" t="s">
        <v>45</v>
      </c>
      <c r="X1536" t="s">
        <v>45</v>
      </c>
      <c r="Y1536" t="s">
        <v>45</v>
      </c>
      <c r="Z1536" t="s">
        <v>45</v>
      </c>
      <c r="AA1536" s="7">
        <v>46231</v>
      </c>
      <c r="AB1536" t="s">
        <v>48</v>
      </c>
      <c r="AC1536" t="s">
        <v>74</v>
      </c>
      <c r="AE1536" s="7">
        <v>46239</v>
      </c>
      <c r="AF1536">
        <v>2</v>
      </c>
      <c r="AH1536" t="s">
        <v>75</v>
      </c>
      <c r="AI1536">
        <v>1</v>
      </c>
      <c r="AJ1536" s="15"/>
      <c r="AK1536" t="s">
        <v>74</v>
      </c>
      <c r="AL1536" s="16"/>
      <c r="AR1536" s="18" t="str">
        <f>IFERROR(VLOOKUP(K1536,[1]POP!$F:$J,1,0),M1536)</f>
        <v>MOKOLO</v>
      </c>
      <c r="AS1536" s="18" t="str">
        <f t="shared" si="116"/>
        <v>MINAWAO</v>
      </c>
      <c r="AT1536" s="19">
        <f t="shared" si="119"/>
        <v>2</v>
      </c>
      <c r="AU1536" s="19">
        <f t="shared" ca="1" si="118"/>
        <v>2</v>
      </c>
    </row>
    <row r="1537" spans="1:47" x14ac:dyDescent="0.3">
      <c r="A1537" t="s">
        <v>2238</v>
      </c>
      <c r="B1537" t="str">
        <f t="shared" si="115"/>
        <v>S31_2026</v>
      </c>
      <c r="C1537" t="str">
        <f t="shared" si="117"/>
        <v>S31_2026</v>
      </c>
      <c r="F1537">
        <v>16</v>
      </c>
      <c r="G1537" t="s">
        <v>40</v>
      </c>
      <c r="H1537" t="s">
        <v>77</v>
      </c>
      <c r="I1537" t="s">
        <v>2239</v>
      </c>
      <c r="J1537" t="s">
        <v>1067</v>
      </c>
      <c r="K1537" t="s">
        <v>1068</v>
      </c>
      <c r="L1537" t="s">
        <v>1067</v>
      </c>
      <c r="M1537" t="s">
        <v>1068</v>
      </c>
      <c r="N1537" t="s">
        <v>45</v>
      </c>
      <c r="O1537" t="s">
        <v>45</v>
      </c>
      <c r="P1537">
        <v>3</v>
      </c>
      <c r="Q1537" s="7">
        <v>46231</v>
      </c>
      <c r="R1537" s="7">
        <v>46231</v>
      </c>
      <c r="S1537" s="7">
        <v>46231</v>
      </c>
      <c r="T1537" t="s">
        <v>45</v>
      </c>
      <c r="V1537" t="s">
        <v>1119</v>
      </c>
      <c r="W1537" t="s">
        <v>45</v>
      </c>
      <c r="X1537" t="s">
        <v>45</v>
      </c>
      <c r="Y1537" t="s">
        <v>45</v>
      </c>
      <c r="Z1537" t="s">
        <v>45</v>
      </c>
      <c r="AB1537" t="s">
        <v>48</v>
      </c>
      <c r="AC1537" t="s">
        <v>74</v>
      </c>
      <c r="AE1537" s="7">
        <v>46235</v>
      </c>
      <c r="AF1537">
        <v>2</v>
      </c>
      <c r="AH1537" t="s">
        <v>75</v>
      </c>
      <c r="AI1537">
        <v>1</v>
      </c>
      <c r="AJ1537" s="15"/>
      <c r="AK1537" t="s">
        <v>45</v>
      </c>
      <c r="AL1537" s="16"/>
      <c r="AR1537" s="18" t="str">
        <f>IFERROR(VLOOKUP(K1537,[1]POP!$F:$J,1,0),M1537)</f>
        <v>MOKOLO</v>
      </c>
      <c r="AS1537" s="18" t="str">
        <f t="shared" si="116"/>
        <v>MINAWAO</v>
      </c>
      <c r="AT1537" s="19">
        <f t="shared" si="119"/>
        <v>2</v>
      </c>
      <c r="AU1537" s="19">
        <f t="shared" ca="1" si="118"/>
        <v>2</v>
      </c>
    </row>
    <row r="1538" spans="1:47" x14ac:dyDescent="0.3">
      <c r="A1538" t="s">
        <v>2240</v>
      </c>
      <c r="B1538" t="str">
        <f t="shared" ref="B1538:B1601" si="120">"S"&amp;(IF(_xlfn.ISOWEEKNUM(S1538)&gt;9,_xlfn.ISOWEEKNUM(S1538),_xlfn.CONCAT("0",_xlfn.ISOWEEKNUM(S1538))))&amp;"_"&amp;(YEAR(S1538+26-(_xlfn.ISOWEEKNUM(S1538))))</f>
        <v>S31_2026</v>
      </c>
      <c r="C1538" t="str">
        <f t="shared" si="117"/>
        <v>S31_2026</v>
      </c>
      <c r="F1538">
        <v>7</v>
      </c>
      <c r="G1538" t="s">
        <v>55</v>
      </c>
      <c r="H1538" t="s">
        <v>85</v>
      </c>
      <c r="I1538" t="s">
        <v>2241</v>
      </c>
      <c r="J1538" t="s">
        <v>1067</v>
      </c>
      <c r="K1538" t="s">
        <v>1068</v>
      </c>
      <c r="L1538" t="s">
        <v>1067</v>
      </c>
      <c r="M1538" t="s">
        <v>1068</v>
      </c>
      <c r="N1538" t="s">
        <v>45</v>
      </c>
      <c r="O1538" t="s">
        <v>74</v>
      </c>
      <c r="P1538">
        <v>2</v>
      </c>
      <c r="Q1538" s="7">
        <v>46235</v>
      </c>
      <c r="R1538" s="7">
        <v>46235</v>
      </c>
      <c r="S1538" s="7">
        <v>46235</v>
      </c>
      <c r="T1538" t="s">
        <v>45</v>
      </c>
      <c r="V1538" t="s">
        <v>1331</v>
      </c>
      <c r="W1538" t="s">
        <v>45</v>
      </c>
      <c r="X1538" t="s">
        <v>74</v>
      </c>
      <c r="Y1538" t="s">
        <v>45</v>
      </c>
      <c r="Z1538" t="s">
        <v>45</v>
      </c>
      <c r="AC1538" t="s">
        <v>74</v>
      </c>
      <c r="AE1538" s="7">
        <v>46243</v>
      </c>
      <c r="AF1538">
        <v>2</v>
      </c>
      <c r="AH1538" t="s">
        <v>75</v>
      </c>
      <c r="AI1538">
        <v>1</v>
      </c>
      <c r="AJ1538" s="15"/>
      <c r="AK1538" t="s">
        <v>74</v>
      </c>
      <c r="AL1538" s="16"/>
      <c r="AR1538" s="18" t="str">
        <f>IFERROR(VLOOKUP(K1538,[1]POP!$F:$J,1,0),M1538)</f>
        <v>MOKOLO</v>
      </c>
      <c r="AS1538" s="18" t="str">
        <f t="shared" ref="AS1538:AS1601" si="121">IF(AR1538=K1538,J1538,L1538)</f>
        <v>MINAWAO</v>
      </c>
      <c r="AT1538" s="19">
        <f t="shared" si="119"/>
        <v>2</v>
      </c>
      <c r="AU1538" s="19">
        <f t="shared" ca="1" si="118"/>
        <v>2</v>
      </c>
    </row>
    <row r="1539" spans="1:47" x14ac:dyDescent="0.3">
      <c r="A1539" t="s">
        <v>2242</v>
      </c>
      <c r="B1539" t="str">
        <f t="shared" si="120"/>
        <v>S31_2026</v>
      </c>
      <c r="C1539" t="str">
        <f t="shared" ref="C1539:C1602" si="122">"S"&amp;(IF(_xlfn.ISOWEEKNUM(Q1539)&gt;9,_xlfn.ISOWEEKNUM(Q1539),_xlfn.CONCAT("0",_xlfn.ISOWEEKNUM(Q1539))))&amp;"_"&amp;(YEAR(Q1539+26-(_xlfn.ISOWEEKNUM(Q1539))))</f>
        <v>S31_2026</v>
      </c>
      <c r="F1539">
        <v>2</v>
      </c>
      <c r="G1539" t="s">
        <v>40</v>
      </c>
      <c r="H1539" t="s">
        <v>85</v>
      </c>
      <c r="I1539" t="s">
        <v>2243</v>
      </c>
      <c r="J1539" t="s">
        <v>1067</v>
      </c>
      <c r="K1539" t="s">
        <v>1068</v>
      </c>
      <c r="L1539" t="s">
        <v>1067</v>
      </c>
      <c r="M1539" t="s">
        <v>1068</v>
      </c>
      <c r="N1539" t="s">
        <v>45</v>
      </c>
      <c r="O1539" t="s">
        <v>74</v>
      </c>
      <c r="P1539">
        <v>2</v>
      </c>
      <c r="Q1539" s="7">
        <v>46235</v>
      </c>
      <c r="R1539" s="7">
        <v>46235</v>
      </c>
      <c r="S1539" s="7">
        <v>46235</v>
      </c>
      <c r="T1539" t="s">
        <v>45</v>
      </c>
      <c r="V1539" t="s">
        <v>1331</v>
      </c>
      <c r="W1539" t="s">
        <v>45</v>
      </c>
      <c r="X1539" t="s">
        <v>74</v>
      </c>
      <c r="Y1539" t="s">
        <v>45</v>
      </c>
      <c r="Z1539" t="s">
        <v>45</v>
      </c>
      <c r="AC1539" t="s">
        <v>74</v>
      </c>
      <c r="AE1539" s="7">
        <v>46243</v>
      </c>
      <c r="AF1539">
        <v>2</v>
      </c>
      <c r="AH1539" t="s">
        <v>75</v>
      </c>
      <c r="AI1539">
        <v>1</v>
      </c>
      <c r="AJ1539" s="15"/>
      <c r="AK1539" t="s">
        <v>74</v>
      </c>
      <c r="AL1539" s="16"/>
      <c r="AR1539" s="18" t="str">
        <f>IFERROR(VLOOKUP(K1539,[1]POP!$F:$J,1,0),M1539)</f>
        <v>MOKOLO</v>
      </c>
      <c r="AS1539" s="18" t="str">
        <f t="shared" si="121"/>
        <v>MINAWAO</v>
      </c>
      <c r="AT1539" s="19">
        <f t="shared" si="119"/>
        <v>2</v>
      </c>
      <c r="AU1539" s="19">
        <f t="shared" ref="AU1539:AU1602" ca="1" si="123">IF((TODAY() - R1539)&lt;=21,1,2)</f>
        <v>2</v>
      </c>
    </row>
    <row r="1540" spans="1:47" x14ac:dyDescent="0.3">
      <c r="A1540" t="s">
        <v>2244</v>
      </c>
      <c r="B1540" t="str">
        <f t="shared" si="120"/>
        <v>S31_2026</v>
      </c>
      <c r="C1540" t="str">
        <f t="shared" si="122"/>
        <v>S31_2026</v>
      </c>
      <c r="F1540">
        <v>20</v>
      </c>
      <c r="G1540" t="s">
        <v>40</v>
      </c>
      <c r="H1540" t="s">
        <v>77</v>
      </c>
      <c r="I1540" t="s">
        <v>1343</v>
      </c>
      <c r="J1540" t="s">
        <v>1067</v>
      </c>
      <c r="K1540" t="s">
        <v>1068</v>
      </c>
      <c r="L1540" t="s">
        <v>1067</v>
      </c>
      <c r="M1540" t="s">
        <v>1068</v>
      </c>
      <c r="N1540" t="s">
        <v>45</v>
      </c>
      <c r="O1540" t="s">
        <v>74</v>
      </c>
      <c r="P1540">
        <v>2</v>
      </c>
      <c r="Q1540" s="7">
        <v>46235</v>
      </c>
      <c r="R1540" s="7">
        <v>46235</v>
      </c>
      <c r="S1540" s="7">
        <v>46235</v>
      </c>
      <c r="T1540" t="s">
        <v>45</v>
      </c>
      <c r="V1540" t="s">
        <v>1331</v>
      </c>
      <c r="W1540" t="s">
        <v>45</v>
      </c>
      <c r="X1540" t="s">
        <v>74</v>
      </c>
      <c r="Y1540" t="s">
        <v>45</v>
      </c>
      <c r="Z1540" t="s">
        <v>45</v>
      </c>
      <c r="AC1540" t="s">
        <v>74</v>
      </c>
      <c r="AE1540" s="7">
        <v>46243</v>
      </c>
      <c r="AF1540">
        <v>2</v>
      </c>
      <c r="AH1540" t="s">
        <v>75</v>
      </c>
      <c r="AI1540">
        <v>1</v>
      </c>
      <c r="AJ1540" s="15"/>
      <c r="AK1540" t="s">
        <v>74</v>
      </c>
      <c r="AL1540" s="16"/>
      <c r="AR1540" s="18" t="str">
        <f>IFERROR(VLOOKUP(K1540,[1]POP!$F:$J,1,0),M1540)</f>
        <v>MOKOLO</v>
      </c>
      <c r="AS1540" s="18" t="str">
        <f t="shared" si="121"/>
        <v>MINAWAO</v>
      </c>
      <c r="AT1540" s="19">
        <f t="shared" ref="AT1540:AT1603" si="124">IF($AI:$AI=2,3,IF($AI:$AI=3,3,IF($AI:$AI=4,3,IF($AI:$AI=1,2,0))))</f>
        <v>2</v>
      </c>
      <c r="AU1540" s="19">
        <f t="shared" ca="1" si="123"/>
        <v>2</v>
      </c>
    </row>
    <row r="1541" spans="1:47" x14ac:dyDescent="0.3">
      <c r="A1541" t="s">
        <v>2245</v>
      </c>
      <c r="B1541" t="str">
        <f t="shared" si="120"/>
        <v>S32_2026</v>
      </c>
      <c r="C1541" t="str">
        <f t="shared" si="122"/>
        <v>S32_2026</v>
      </c>
      <c r="F1541">
        <v>21</v>
      </c>
      <c r="G1541" t="s">
        <v>40</v>
      </c>
      <c r="H1541" t="s">
        <v>77</v>
      </c>
      <c r="I1541" t="s">
        <v>1463</v>
      </c>
      <c r="J1541" t="s">
        <v>1067</v>
      </c>
      <c r="K1541" t="s">
        <v>1068</v>
      </c>
      <c r="L1541" t="s">
        <v>1067</v>
      </c>
      <c r="M1541" t="s">
        <v>1068</v>
      </c>
      <c r="N1541" t="s">
        <v>45</v>
      </c>
      <c r="O1541" t="s">
        <v>74</v>
      </c>
      <c r="P1541">
        <v>2</v>
      </c>
      <c r="Q1541" s="7">
        <v>46238</v>
      </c>
      <c r="R1541" s="7">
        <v>46238</v>
      </c>
      <c r="S1541" s="7">
        <v>46238</v>
      </c>
      <c r="T1541" t="s">
        <v>45</v>
      </c>
      <c r="V1541" t="s">
        <v>1331</v>
      </c>
      <c r="W1541" t="s">
        <v>45</v>
      </c>
      <c r="X1541" t="s">
        <v>74</v>
      </c>
      <c r="Y1541" t="s">
        <v>74</v>
      </c>
      <c r="Z1541" t="s">
        <v>45</v>
      </c>
      <c r="AC1541" t="s">
        <v>74</v>
      </c>
      <c r="AE1541" s="7">
        <v>46241</v>
      </c>
      <c r="AF1541">
        <v>2</v>
      </c>
      <c r="AH1541" t="s">
        <v>75</v>
      </c>
      <c r="AI1541">
        <v>1</v>
      </c>
      <c r="AJ1541" s="15"/>
      <c r="AK1541" t="s">
        <v>74</v>
      </c>
      <c r="AL1541" s="16"/>
      <c r="AR1541" s="18" t="str">
        <f>IFERROR(VLOOKUP(K1541,[1]POP!$F:$J,1,0),M1541)</f>
        <v>MOKOLO</v>
      </c>
      <c r="AS1541" s="18" t="str">
        <f t="shared" si="121"/>
        <v>MINAWAO</v>
      </c>
      <c r="AT1541" s="19">
        <f t="shared" si="124"/>
        <v>2</v>
      </c>
      <c r="AU1541" s="19">
        <f t="shared" ca="1" si="123"/>
        <v>2</v>
      </c>
    </row>
    <row r="1542" spans="1:47" x14ac:dyDescent="0.3">
      <c r="A1542" t="s">
        <v>2246</v>
      </c>
      <c r="B1542" t="str">
        <f t="shared" si="120"/>
        <v>S32_2026</v>
      </c>
      <c r="C1542" t="str">
        <f t="shared" si="122"/>
        <v>S32_2026</v>
      </c>
      <c r="F1542">
        <v>0.5</v>
      </c>
      <c r="G1542" t="s">
        <v>40</v>
      </c>
      <c r="H1542" t="s">
        <v>85</v>
      </c>
      <c r="I1542" t="s">
        <v>1691</v>
      </c>
      <c r="J1542" t="s">
        <v>1067</v>
      </c>
      <c r="K1542" t="s">
        <v>1068</v>
      </c>
      <c r="L1542" t="s">
        <v>1067</v>
      </c>
      <c r="M1542" t="s">
        <v>1068</v>
      </c>
      <c r="N1542" t="s">
        <v>45</v>
      </c>
      <c r="O1542" t="s">
        <v>74</v>
      </c>
      <c r="P1542">
        <v>2</v>
      </c>
      <c r="Q1542" s="7">
        <v>46240</v>
      </c>
      <c r="R1542" s="7">
        <v>46240</v>
      </c>
      <c r="S1542" s="7">
        <v>46240</v>
      </c>
      <c r="T1542" t="s">
        <v>45</v>
      </c>
      <c r="V1542" t="s">
        <v>1331</v>
      </c>
      <c r="W1542" t="s">
        <v>45</v>
      </c>
      <c r="X1542" t="s">
        <v>74</v>
      </c>
      <c r="Y1542" t="s">
        <v>45</v>
      </c>
      <c r="Z1542" t="s">
        <v>45</v>
      </c>
      <c r="AC1542" t="s">
        <v>74</v>
      </c>
      <c r="AE1542" s="7">
        <v>46244</v>
      </c>
      <c r="AF1542">
        <v>2</v>
      </c>
      <c r="AH1542" t="s">
        <v>75</v>
      </c>
      <c r="AI1542">
        <v>1</v>
      </c>
      <c r="AJ1542" s="15"/>
      <c r="AK1542" t="s">
        <v>74</v>
      </c>
      <c r="AL1542" s="16"/>
      <c r="AR1542" s="18" t="str">
        <f>IFERROR(VLOOKUP(K1542,[1]POP!$F:$J,1,0),M1542)</f>
        <v>MOKOLO</v>
      </c>
      <c r="AS1542" s="18" t="str">
        <f t="shared" si="121"/>
        <v>MINAWAO</v>
      </c>
      <c r="AT1542" s="19">
        <f t="shared" si="124"/>
        <v>2</v>
      </c>
      <c r="AU1542" s="19">
        <f t="shared" ca="1" si="123"/>
        <v>2</v>
      </c>
    </row>
    <row r="1543" spans="1:47" x14ac:dyDescent="0.3">
      <c r="A1543" t="s">
        <v>2247</v>
      </c>
      <c r="B1543" t="str">
        <f t="shared" si="120"/>
        <v>S32_2026</v>
      </c>
      <c r="C1543" t="str">
        <f t="shared" si="122"/>
        <v>S32_2026</v>
      </c>
      <c r="F1543">
        <v>7</v>
      </c>
      <c r="G1543" t="s">
        <v>55</v>
      </c>
      <c r="H1543" t="s">
        <v>85</v>
      </c>
      <c r="I1543" t="s">
        <v>1697</v>
      </c>
      <c r="J1543" t="s">
        <v>1067</v>
      </c>
      <c r="K1543" t="s">
        <v>1068</v>
      </c>
      <c r="L1543" t="s">
        <v>1067</v>
      </c>
      <c r="M1543" t="s">
        <v>1068</v>
      </c>
      <c r="N1543" t="s">
        <v>45</v>
      </c>
      <c r="O1543" t="s">
        <v>45</v>
      </c>
      <c r="P1543">
        <v>3</v>
      </c>
      <c r="Q1543" s="7">
        <v>46243</v>
      </c>
      <c r="R1543" s="7">
        <v>46243</v>
      </c>
      <c r="S1543" s="7">
        <v>46243</v>
      </c>
      <c r="T1543" t="s">
        <v>45</v>
      </c>
      <c r="V1543" t="s">
        <v>1331</v>
      </c>
      <c r="W1543" t="s">
        <v>45</v>
      </c>
      <c r="X1543" t="s">
        <v>45</v>
      </c>
      <c r="Y1543" t="s">
        <v>45</v>
      </c>
      <c r="Z1543" t="s">
        <v>45</v>
      </c>
      <c r="AC1543" t="s">
        <v>74</v>
      </c>
      <c r="AE1543" s="7">
        <v>46246</v>
      </c>
      <c r="AF1543">
        <v>2</v>
      </c>
      <c r="AH1543" t="s">
        <v>75</v>
      </c>
      <c r="AI1543">
        <v>1</v>
      </c>
      <c r="AJ1543" s="15"/>
      <c r="AK1543" t="s">
        <v>74</v>
      </c>
      <c r="AL1543" s="16"/>
      <c r="AR1543" s="18" t="str">
        <f>IFERROR(VLOOKUP(K1543,[1]POP!$F:$J,1,0),M1543)</f>
        <v>MOKOLO</v>
      </c>
      <c r="AS1543" s="18" t="str">
        <f t="shared" si="121"/>
        <v>MINAWAO</v>
      </c>
      <c r="AT1543" s="19">
        <f t="shared" si="124"/>
        <v>2</v>
      </c>
      <c r="AU1543" s="19">
        <f t="shared" ca="1" si="123"/>
        <v>2</v>
      </c>
    </row>
    <row r="1544" spans="1:47" x14ac:dyDescent="0.3">
      <c r="A1544" t="s">
        <v>2248</v>
      </c>
      <c r="B1544" t="str">
        <f t="shared" si="120"/>
        <v>S32_2026</v>
      </c>
      <c r="C1544" t="str">
        <f t="shared" si="122"/>
        <v>S32_2026</v>
      </c>
      <c r="F1544">
        <v>4</v>
      </c>
      <c r="G1544" t="s">
        <v>55</v>
      </c>
      <c r="H1544" t="s">
        <v>85</v>
      </c>
      <c r="I1544" t="s">
        <v>1744</v>
      </c>
      <c r="J1544" t="s">
        <v>1067</v>
      </c>
      <c r="K1544" t="s">
        <v>1068</v>
      </c>
      <c r="L1544" t="s">
        <v>1067</v>
      </c>
      <c r="M1544" t="s">
        <v>1068</v>
      </c>
      <c r="N1544" t="s">
        <v>45</v>
      </c>
      <c r="O1544" t="s">
        <v>45</v>
      </c>
      <c r="P1544">
        <v>3</v>
      </c>
      <c r="Q1544" s="7">
        <v>46243</v>
      </c>
      <c r="R1544" s="7">
        <v>46243</v>
      </c>
      <c r="S1544" s="7">
        <v>46243</v>
      </c>
      <c r="T1544" t="s">
        <v>45</v>
      </c>
      <c r="V1544" t="s">
        <v>1331</v>
      </c>
      <c r="W1544" t="s">
        <v>45</v>
      </c>
      <c r="X1544" t="s">
        <v>45</v>
      </c>
      <c r="Y1544" t="s">
        <v>45</v>
      </c>
      <c r="Z1544" t="s">
        <v>45</v>
      </c>
      <c r="AC1544" t="s">
        <v>74</v>
      </c>
      <c r="AE1544" s="7">
        <v>46253</v>
      </c>
      <c r="AF1544">
        <v>2</v>
      </c>
      <c r="AH1544" t="s">
        <v>75</v>
      </c>
      <c r="AI1544">
        <v>1</v>
      </c>
      <c r="AJ1544" s="15"/>
      <c r="AK1544" t="s">
        <v>74</v>
      </c>
      <c r="AL1544" s="16"/>
      <c r="AR1544" s="18" t="str">
        <f>IFERROR(VLOOKUP(K1544,[1]POP!$F:$J,1,0),M1544)</f>
        <v>MOKOLO</v>
      </c>
      <c r="AS1544" s="18" t="str">
        <f t="shared" si="121"/>
        <v>MINAWAO</v>
      </c>
      <c r="AT1544" s="19">
        <f t="shared" si="124"/>
        <v>2</v>
      </c>
      <c r="AU1544" s="19">
        <f t="shared" ca="1" si="123"/>
        <v>2</v>
      </c>
    </row>
    <row r="1545" spans="1:47" x14ac:dyDescent="0.3">
      <c r="A1545" t="s">
        <v>2249</v>
      </c>
      <c r="B1545" t="str">
        <f t="shared" si="120"/>
        <v>S33_2026</v>
      </c>
      <c r="C1545" t="str">
        <f t="shared" si="122"/>
        <v>S33_2026</v>
      </c>
      <c r="F1545">
        <v>24</v>
      </c>
      <c r="G1545" t="s">
        <v>40</v>
      </c>
      <c r="H1545" t="s">
        <v>77</v>
      </c>
      <c r="I1545" t="s">
        <v>1752</v>
      </c>
      <c r="J1545" t="s">
        <v>1067</v>
      </c>
      <c r="K1545" t="s">
        <v>1068</v>
      </c>
      <c r="L1545" t="s">
        <v>1067</v>
      </c>
      <c r="M1545" t="s">
        <v>1068</v>
      </c>
      <c r="N1545" t="s">
        <v>45</v>
      </c>
      <c r="O1545" t="s">
        <v>45</v>
      </c>
      <c r="P1545">
        <v>2</v>
      </c>
      <c r="Q1545" s="7">
        <v>46244</v>
      </c>
      <c r="R1545" s="7">
        <v>46244</v>
      </c>
      <c r="S1545" s="7">
        <v>46244</v>
      </c>
      <c r="T1545" t="s">
        <v>45</v>
      </c>
      <c r="V1545" t="s">
        <v>1331</v>
      </c>
      <c r="W1545" t="s">
        <v>45</v>
      </c>
      <c r="X1545" t="s">
        <v>45</v>
      </c>
      <c r="Y1545" t="s">
        <v>45</v>
      </c>
      <c r="Z1545" t="s">
        <v>45</v>
      </c>
      <c r="AC1545" t="s">
        <v>74</v>
      </c>
      <c r="AE1545" s="7">
        <v>46253</v>
      </c>
      <c r="AF1545">
        <v>2</v>
      </c>
      <c r="AH1545" t="s">
        <v>75</v>
      </c>
      <c r="AI1545">
        <v>1</v>
      </c>
      <c r="AJ1545" s="15"/>
      <c r="AK1545" t="s">
        <v>74</v>
      </c>
      <c r="AL1545" s="16"/>
      <c r="AR1545" s="18" t="str">
        <f>IFERROR(VLOOKUP(K1545,[1]POP!$F:$J,1,0),M1545)</f>
        <v>MOKOLO</v>
      </c>
      <c r="AS1545" s="18" t="str">
        <f t="shared" si="121"/>
        <v>MINAWAO</v>
      </c>
      <c r="AT1545" s="19">
        <f t="shared" si="124"/>
        <v>2</v>
      </c>
      <c r="AU1545" s="19">
        <f t="shared" ca="1" si="123"/>
        <v>2</v>
      </c>
    </row>
    <row r="1546" spans="1:47" x14ac:dyDescent="0.3">
      <c r="A1546" t="s">
        <v>2250</v>
      </c>
      <c r="B1546" t="str">
        <f t="shared" si="120"/>
        <v>S34_2026</v>
      </c>
      <c r="C1546" t="str">
        <f t="shared" si="122"/>
        <v>S34_2026</v>
      </c>
      <c r="F1546">
        <v>2</v>
      </c>
      <c r="G1546" t="s">
        <v>55</v>
      </c>
      <c r="H1546" t="s">
        <v>85</v>
      </c>
      <c r="I1546" t="s">
        <v>2251</v>
      </c>
      <c r="J1546" t="s">
        <v>1067</v>
      </c>
      <c r="K1546" t="s">
        <v>1068</v>
      </c>
      <c r="L1546" t="s">
        <v>1067</v>
      </c>
      <c r="M1546" t="s">
        <v>1068</v>
      </c>
      <c r="N1546" t="s">
        <v>45</v>
      </c>
      <c r="O1546" t="s">
        <v>45</v>
      </c>
      <c r="P1546">
        <v>2</v>
      </c>
      <c r="Q1546" s="7">
        <v>46253</v>
      </c>
      <c r="R1546" s="7">
        <v>46253</v>
      </c>
      <c r="S1546" s="7">
        <v>46254</v>
      </c>
      <c r="T1546" t="s">
        <v>45</v>
      </c>
      <c r="V1546" t="s">
        <v>1331</v>
      </c>
      <c r="W1546" t="s">
        <v>45</v>
      </c>
      <c r="X1546" t="s">
        <v>45</v>
      </c>
      <c r="Y1546" t="s">
        <v>45</v>
      </c>
      <c r="Z1546" t="s">
        <v>45</v>
      </c>
      <c r="AC1546" t="s">
        <v>74</v>
      </c>
      <c r="AE1546" s="7">
        <v>46255</v>
      </c>
      <c r="AF1546">
        <v>2</v>
      </c>
      <c r="AH1546" t="s">
        <v>75</v>
      </c>
      <c r="AI1546">
        <v>1</v>
      </c>
      <c r="AJ1546" s="15"/>
      <c r="AK1546" t="s">
        <v>74</v>
      </c>
      <c r="AL1546" s="16"/>
      <c r="AR1546" s="18" t="str">
        <f>IFERROR(VLOOKUP(K1546,[1]POP!$F:$J,1,0),M1546)</f>
        <v>MOKOLO</v>
      </c>
      <c r="AS1546" s="18" t="str">
        <f t="shared" si="121"/>
        <v>MINAWAO</v>
      </c>
      <c r="AT1546" s="19">
        <f t="shared" si="124"/>
        <v>2</v>
      </c>
      <c r="AU1546" s="19">
        <f t="shared" ca="1" si="123"/>
        <v>1</v>
      </c>
    </row>
    <row r="1547" spans="1:47" x14ac:dyDescent="0.3">
      <c r="A1547" t="s">
        <v>2252</v>
      </c>
      <c r="B1547" t="str">
        <f t="shared" si="120"/>
        <v>S34_2026</v>
      </c>
      <c r="C1547" t="str">
        <f t="shared" si="122"/>
        <v>S34_2026</v>
      </c>
      <c r="F1547">
        <v>17</v>
      </c>
      <c r="G1547" t="s">
        <v>40</v>
      </c>
      <c r="H1547" t="s">
        <v>77</v>
      </c>
      <c r="I1547" t="s">
        <v>2253</v>
      </c>
      <c r="J1547" t="s">
        <v>1067</v>
      </c>
      <c r="K1547" t="s">
        <v>1068</v>
      </c>
      <c r="L1547" t="s">
        <v>1067</v>
      </c>
      <c r="M1547" t="s">
        <v>1068</v>
      </c>
      <c r="N1547" t="s">
        <v>45</v>
      </c>
      <c r="O1547" t="s">
        <v>45</v>
      </c>
      <c r="P1547">
        <v>1</v>
      </c>
      <c r="Q1547" s="7">
        <v>46254</v>
      </c>
      <c r="R1547" s="7">
        <v>46254</v>
      </c>
      <c r="S1547" s="7">
        <v>46254</v>
      </c>
      <c r="T1547" t="s">
        <v>45</v>
      </c>
      <c r="V1547" t="s">
        <v>1331</v>
      </c>
      <c r="W1547" t="s">
        <v>45</v>
      </c>
      <c r="X1547" t="s">
        <v>45</v>
      </c>
      <c r="Y1547" t="s">
        <v>45</v>
      </c>
      <c r="Z1547" t="s">
        <v>45</v>
      </c>
      <c r="AC1547" t="s">
        <v>74</v>
      </c>
      <c r="AE1547" s="7">
        <v>46257</v>
      </c>
      <c r="AF1547">
        <v>2</v>
      </c>
      <c r="AH1547" t="s">
        <v>75</v>
      </c>
      <c r="AI1547">
        <v>1</v>
      </c>
      <c r="AJ1547" s="15"/>
      <c r="AK1547" t="s">
        <v>45</v>
      </c>
      <c r="AL1547" s="16"/>
      <c r="AR1547" s="18" t="str">
        <f>IFERROR(VLOOKUP(K1547,[1]POP!$F:$J,1,0),M1547)</f>
        <v>MOKOLO</v>
      </c>
      <c r="AS1547" s="18" t="str">
        <f t="shared" si="121"/>
        <v>MINAWAO</v>
      </c>
      <c r="AT1547" s="19">
        <f t="shared" si="124"/>
        <v>2</v>
      </c>
      <c r="AU1547" s="19">
        <f t="shared" ca="1" si="123"/>
        <v>1</v>
      </c>
    </row>
    <row r="1548" spans="1:47" x14ac:dyDescent="0.3">
      <c r="A1548" t="s">
        <v>2254</v>
      </c>
      <c r="B1548" t="str">
        <f t="shared" si="120"/>
        <v>S34_2026</v>
      </c>
      <c r="C1548" t="str">
        <f t="shared" si="122"/>
        <v>S34_2026</v>
      </c>
      <c r="F1548">
        <v>2.5</v>
      </c>
      <c r="G1548" t="s">
        <v>40</v>
      </c>
      <c r="H1548" t="s">
        <v>85</v>
      </c>
      <c r="I1548" t="s">
        <v>1739</v>
      </c>
      <c r="J1548" t="s">
        <v>1067</v>
      </c>
      <c r="K1548" t="s">
        <v>1068</v>
      </c>
      <c r="L1548" t="s">
        <v>1067</v>
      </c>
      <c r="M1548" t="s">
        <v>1068</v>
      </c>
      <c r="N1548" t="s">
        <v>45</v>
      </c>
      <c r="O1548" t="s">
        <v>45</v>
      </c>
      <c r="P1548">
        <v>3</v>
      </c>
      <c r="Q1548" s="7">
        <v>46254</v>
      </c>
      <c r="R1548" s="7">
        <v>46254</v>
      </c>
      <c r="S1548" s="7">
        <v>46254</v>
      </c>
      <c r="T1548" t="s">
        <v>45</v>
      </c>
      <c r="V1548" t="s">
        <v>1331</v>
      </c>
      <c r="W1548" t="s">
        <v>45</v>
      </c>
      <c r="X1548" t="s">
        <v>45</v>
      </c>
      <c r="Y1548" t="s">
        <v>45</v>
      </c>
      <c r="Z1548" t="s">
        <v>45</v>
      </c>
      <c r="AC1548" t="s">
        <v>74</v>
      </c>
      <c r="AE1548" s="7">
        <v>46259</v>
      </c>
      <c r="AH1548" t="s">
        <v>75</v>
      </c>
      <c r="AI1548">
        <v>0</v>
      </c>
      <c r="AJ1548" s="15"/>
      <c r="AK1548" t="s">
        <v>74</v>
      </c>
      <c r="AL1548" s="16"/>
      <c r="AR1548" s="18" t="str">
        <f>IFERROR(VLOOKUP(K1548,[1]POP!$F:$J,1,0),M1548)</f>
        <v>MOKOLO</v>
      </c>
      <c r="AS1548" s="18" t="str">
        <f t="shared" si="121"/>
        <v>MINAWAO</v>
      </c>
      <c r="AT1548" s="19">
        <f t="shared" si="124"/>
        <v>0</v>
      </c>
      <c r="AU1548" s="19">
        <f t="shared" ca="1" si="123"/>
        <v>1</v>
      </c>
    </row>
    <row r="1549" spans="1:47" x14ac:dyDescent="0.3">
      <c r="A1549" t="s">
        <v>2255</v>
      </c>
      <c r="B1549" t="str">
        <f t="shared" si="120"/>
        <v>S34_2026</v>
      </c>
      <c r="C1549" t="str">
        <f t="shared" si="122"/>
        <v>S34_2026</v>
      </c>
      <c r="F1549">
        <v>4</v>
      </c>
      <c r="G1549" t="s">
        <v>55</v>
      </c>
      <c r="H1549" t="s">
        <v>85</v>
      </c>
      <c r="I1549" t="s">
        <v>2256</v>
      </c>
      <c r="J1549" t="s">
        <v>1067</v>
      </c>
      <c r="K1549" t="s">
        <v>1068</v>
      </c>
      <c r="L1549" t="s">
        <v>1067</v>
      </c>
      <c r="M1549" t="s">
        <v>1068</v>
      </c>
      <c r="N1549" t="s">
        <v>45</v>
      </c>
      <c r="O1549" t="s">
        <v>45</v>
      </c>
      <c r="P1549">
        <v>3</v>
      </c>
      <c r="Q1549" s="7">
        <v>46254</v>
      </c>
      <c r="R1549" s="7">
        <v>46254</v>
      </c>
      <c r="S1549" s="7">
        <v>46255</v>
      </c>
      <c r="T1549" t="s">
        <v>45</v>
      </c>
      <c r="V1549" t="s">
        <v>1331</v>
      </c>
      <c r="W1549" t="s">
        <v>45</v>
      </c>
      <c r="X1549" t="s">
        <v>45</v>
      </c>
      <c r="Y1549" t="s">
        <v>45</v>
      </c>
      <c r="Z1549" t="s">
        <v>45</v>
      </c>
      <c r="AC1549" t="s">
        <v>74</v>
      </c>
      <c r="AH1549" t="s">
        <v>75</v>
      </c>
      <c r="AI1549">
        <v>0</v>
      </c>
      <c r="AJ1549" s="15"/>
      <c r="AK1549" t="s">
        <v>74</v>
      </c>
      <c r="AL1549" s="16"/>
      <c r="AR1549" s="18" t="str">
        <f>IFERROR(VLOOKUP(K1549,[1]POP!$F:$J,1,0),M1549)</f>
        <v>MOKOLO</v>
      </c>
      <c r="AS1549" s="18" t="str">
        <f t="shared" si="121"/>
        <v>MINAWAO</v>
      </c>
      <c r="AT1549" s="19">
        <f t="shared" si="124"/>
        <v>0</v>
      </c>
      <c r="AU1549" s="19">
        <f t="shared" ca="1" si="123"/>
        <v>1</v>
      </c>
    </row>
    <row r="1550" spans="1:47" x14ac:dyDescent="0.3">
      <c r="A1550" t="s">
        <v>2257</v>
      </c>
      <c r="B1550" t="str">
        <f t="shared" si="120"/>
        <v>S34_2026</v>
      </c>
      <c r="C1550" t="str">
        <f t="shared" si="122"/>
        <v>S34_2026</v>
      </c>
      <c r="F1550">
        <v>2</v>
      </c>
      <c r="G1550" t="s">
        <v>55</v>
      </c>
      <c r="H1550" t="s">
        <v>85</v>
      </c>
      <c r="I1550" t="s">
        <v>2258</v>
      </c>
      <c r="J1550" t="s">
        <v>1067</v>
      </c>
      <c r="K1550" t="s">
        <v>1068</v>
      </c>
      <c r="L1550" t="s">
        <v>1067</v>
      </c>
      <c r="M1550" t="s">
        <v>1068</v>
      </c>
      <c r="N1550" t="s">
        <v>45</v>
      </c>
      <c r="O1550" t="s">
        <v>45</v>
      </c>
      <c r="P1550">
        <v>2</v>
      </c>
      <c r="Q1550" s="7">
        <v>46255</v>
      </c>
      <c r="R1550" s="7">
        <v>46255</v>
      </c>
      <c r="S1550" s="7">
        <v>46255</v>
      </c>
      <c r="T1550" t="s">
        <v>45</v>
      </c>
      <c r="V1550" t="s">
        <v>1331</v>
      </c>
      <c r="W1550" t="s">
        <v>45</v>
      </c>
      <c r="X1550" t="s">
        <v>45</v>
      </c>
      <c r="Y1550" t="s">
        <v>45</v>
      </c>
      <c r="Z1550" t="s">
        <v>45</v>
      </c>
      <c r="AC1550" t="s">
        <v>74</v>
      </c>
      <c r="AE1550" s="7">
        <v>46259</v>
      </c>
      <c r="AH1550" t="s">
        <v>75</v>
      </c>
      <c r="AI1550">
        <v>0</v>
      </c>
      <c r="AJ1550" s="15"/>
      <c r="AK1550" t="s">
        <v>74</v>
      </c>
      <c r="AL1550" s="16"/>
      <c r="AR1550" s="18" t="str">
        <f>IFERROR(VLOOKUP(K1550,[1]POP!$F:$J,1,0),M1550)</f>
        <v>MOKOLO</v>
      </c>
      <c r="AS1550" s="18" t="str">
        <f t="shared" si="121"/>
        <v>MINAWAO</v>
      </c>
      <c r="AT1550" s="19">
        <f t="shared" si="124"/>
        <v>0</v>
      </c>
      <c r="AU1550" s="19">
        <f t="shared" ca="1" si="123"/>
        <v>1</v>
      </c>
    </row>
    <row r="1551" spans="1:47" x14ac:dyDescent="0.3">
      <c r="A1551" t="s">
        <v>2259</v>
      </c>
      <c r="B1551" t="str">
        <f t="shared" si="120"/>
        <v>S34_2026</v>
      </c>
      <c r="C1551" t="str">
        <f t="shared" si="122"/>
        <v>S34_2026</v>
      </c>
      <c r="F1551">
        <v>6</v>
      </c>
      <c r="G1551" t="s">
        <v>40</v>
      </c>
      <c r="H1551" t="s">
        <v>85</v>
      </c>
      <c r="I1551" t="s">
        <v>2260</v>
      </c>
      <c r="J1551" t="s">
        <v>1067</v>
      </c>
      <c r="K1551" t="s">
        <v>1068</v>
      </c>
      <c r="L1551" t="s">
        <v>1067</v>
      </c>
      <c r="M1551" t="s">
        <v>1068</v>
      </c>
      <c r="N1551" t="s">
        <v>45</v>
      </c>
      <c r="O1551" t="s">
        <v>45</v>
      </c>
      <c r="P1551">
        <v>3</v>
      </c>
      <c r="Q1551" s="7">
        <v>46255</v>
      </c>
      <c r="R1551" s="7">
        <v>46255</v>
      </c>
      <c r="S1551" s="7">
        <v>46255</v>
      </c>
      <c r="T1551" t="s">
        <v>45</v>
      </c>
      <c r="V1551" t="s">
        <v>1331</v>
      </c>
      <c r="W1551" t="s">
        <v>45</v>
      </c>
      <c r="X1551" t="s">
        <v>45</v>
      </c>
      <c r="Y1551" t="s">
        <v>45</v>
      </c>
      <c r="Z1551" t="s">
        <v>45</v>
      </c>
      <c r="AC1551" t="s">
        <v>74</v>
      </c>
      <c r="AE1551" s="7">
        <v>46260</v>
      </c>
      <c r="AF1551">
        <v>2</v>
      </c>
      <c r="AH1551" t="s">
        <v>75</v>
      </c>
      <c r="AI1551">
        <v>1</v>
      </c>
      <c r="AJ1551" s="15"/>
      <c r="AK1551" t="s">
        <v>74</v>
      </c>
      <c r="AL1551" s="16"/>
      <c r="AR1551" s="18" t="str">
        <f>IFERROR(VLOOKUP(K1551,[1]POP!$F:$J,1,0),M1551)</f>
        <v>MOKOLO</v>
      </c>
      <c r="AS1551" s="18" t="str">
        <f t="shared" si="121"/>
        <v>MINAWAO</v>
      </c>
      <c r="AT1551" s="19">
        <f t="shared" si="124"/>
        <v>2</v>
      </c>
      <c r="AU1551" s="19">
        <f t="shared" ca="1" si="123"/>
        <v>1</v>
      </c>
    </row>
    <row r="1552" spans="1:47" x14ac:dyDescent="0.3">
      <c r="A1552" t="s">
        <v>2261</v>
      </c>
      <c r="B1552" t="str">
        <f t="shared" si="120"/>
        <v>S34_2026</v>
      </c>
      <c r="C1552" t="str">
        <f t="shared" si="122"/>
        <v>S34_2026</v>
      </c>
      <c r="F1552">
        <v>3</v>
      </c>
      <c r="G1552" t="s">
        <v>40</v>
      </c>
      <c r="H1552" t="s">
        <v>85</v>
      </c>
      <c r="I1552" t="s">
        <v>2262</v>
      </c>
      <c r="J1552" t="s">
        <v>1067</v>
      </c>
      <c r="K1552" t="s">
        <v>1068</v>
      </c>
      <c r="L1552" t="s">
        <v>1067</v>
      </c>
      <c r="M1552" t="s">
        <v>1068</v>
      </c>
      <c r="N1552" t="s">
        <v>45</v>
      </c>
      <c r="O1552" t="s">
        <v>45</v>
      </c>
      <c r="P1552">
        <v>3</v>
      </c>
      <c r="Q1552" s="7">
        <v>46256</v>
      </c>
      <c r="R1552" s="7">
        <v>46256</v>
      </c>
      <c r="S1552" s="7">
        <v>46256</v>
      </c>
      <c r="T1552" t="s">
        <v>45</v>
      </c>
      <c r="V1552" t="s">
        <v>1331</v>
      </c>
      <c r="W1552" t="s">
        <v>45</v>
      </c>
      <c r="X1552" t="s">
        <v>45</v>
      </c>
      <c r="Y1552" t="s">
        <v>45</v>
      </c>
      <c r="Z1552" t="s">
        <v>45</v>
      </c>
      <c r="AC1552" t="s">
        <v>74</v>
      </c>
      <c r="AE1552" s="7">
        <v>46260</v>
      </c>
      <c r="AF1552">
        <v>2</v>
      </c>
      <c r="AH1552" t="s">
        <v>75</v>
      </c>
      <c r="AI1552">
        <v>1</v>
      </c>
      <c r="AJ1552" s="15"/>
      <c r="AK1552" t="s">
        <v>74</v>
      </c>
      <c r="AL1552" s="16"/>
      <c r="AR1552" s="18" t="str">
        <f>IFERROR(VLOOKUP(K1552,[1]POP!$F:$J,1,0),M1552)</f>
        <v>MOKOLO</v>
      </c>
      <c r="AS1552" s="18" t="str">
        <f t="shared" si="121"/>
        <v>MINAWAO</v>
      </c>
      <c r="AT1552" s="19">
        <f t="shared" si="124"/>
        <v>2</v>
      </c>
      <c r="AU1552" s="19">
        <f t="shared" ca="1" si="123"/>
        <v>1</v>
      </c>
    </row>
    <row r="1553" spans="1:47" x14ac:dyDescent="0.3">
      <c r="A1553" t="s">
        <v>2263</v>
      </c>
      <c r="B1553" t="str">
        <f t="shared" si="120"/>
        <v>S34_2026</v>
      </c>
      <c r="C1553" t="str">
        <f t="shared" si="122"/>
        <v>S34_2026</v>
      </c>
      <c r="F1553">
        <v>1.2</v>
      </c>
      <c r="G1553" t="s">
        <v>55</v>
      </c>
      <c r="H1553" t="s">
        <v>85</v>
      </c>
      <c r="I1553" t="s">
        <v>2264</v>
      </c>
      <c r="J1553" t="s">
        <v>1067</v>
      </c>
      <c r="K1553" t="s">
        <v>1068</v>
      </c>
      <c r="L1553" t="s">
        <v>1067</v>
      </c>
      <c r="M1553" t="s">
        <v>1068</v>
      </c>
      <c r="N1553" t="s">
        <v>45</v>
      </c>
      <c r="O1553" t="s">
        <v>45</v>
      </c>
      <c r="P1553">
        <v>3</v>
      </c>
      <c r="Q1553" s="7">
        <v>46256</v>
      </c>
      <c r="R1553" s="7">
        <v>46256</v>
      </c>
      <c r="S1553" s="7">
        <v>46256</v>
      </c>
      <c r="T1553" t="s">
        <v>45</v>
      </c>
      <c r="V1553" t="s">
        <v>1331</v>
      </c>
      <c r="W1553" t="s">
        <v>45</v>
      </c>
      <c r="X1553" t="s">
        <v>45</v>
      </c>
      <c r="Y1553" t="s">
        <v>45</v>
      </c>
      <c r="Z1553" t="s">
        <v>45</v>
      </c>
      <c r="AC1553" t="s">
        <v>74</v>
      </c>
      <c r="AE1553" s="7">
        <v>46260</v>
      </c>
      <c r="AF1553">
        <v>2</v>
      </c>
      <c r="AH1553" t="s">
        <v>75</v>
      </c>
      <c r="AI1553">
        <v>1</v>
      </c>
      <c r="AJ1553" s="15"/>
      <c r="AK1553" t="s">
        <v>74</v>
      </c>
      <c r="AL1553" s="16"/>
      <c r="AR1553" s="18" t="str">
        <f>IFERROR(VLOOKUP(K1553,[1]POP!$F:$J,1,0),M1553)</f>
        <v>MOKOLO</v>
      </c>
      <c r="AS1553" s="18" t="str">
        <f t="shared" si="121"/>
        <v>MINAWAO</v>
      </c>
      <c r="AT1553" s="19">
        <f t="shared" si="124"/>
        <v>2</v>
      </c>
      <c r="AU1553" s="19">
        <f t="shared" ca="1" si="123"/>
        <v>1</v>
      </c>
    </row>
    <row r="1554" spans="1:47" x14ac:dyDescent="0.3">
      <c r="A1554" t="s">
        <v>2265</v>
      </c>
      <c r="B1554" t="str">
        <f t="shared" si="120"/>
        <v>S34_2026</v>
      </c>
      <c r="C1554" t="str">
        <f t="shared" si="122"/>
        <v>S34_2026</v>
      </c>
      <c r="F1554">
        <v>4</v>
      </c>
      <c r="G1554" t="s">
        <v>55</v>
      </c>
      <c r="H1554" t="s">
        <v>85</v>
      </c>
      <c r="I1554" t="s">
        <v>2266</v>
      </c>
      <c r="J1554" t="s">
        <v>1067</v>
      </c>
      <c r="K1554" t="s">
        <v>1068</v>
      </c>
      <c r="L1554" t="s">
        <v>1067</v>
      </c>
      <c r="M1554" t="s">
        <v>1068</v>
      </c>
      <c r="N1554" t="s">
        <v>45</v>
      </c>
      <c r="O1554" t="s">
        <v>45</v>
      </c>
      <c r="P1554">
        <v>3</v>
      </c>
      <c r="Q1554" s="7">
        <v>46256</v>
      </c>
      <c r="R1554" s="7">
        <v>46256</v>
      </c>
      <c r="S1554" s="7">
        <v>46256</v>
      </c>
      <c r="T1554" t="s">
        <v>45</v>
      </c>
      <c r="V1554" t="s">
        <v>1331</v>
      </c>
      <c r="W1554" t="s">
        <v>45</v>
      </c>
      <c r="X1554" t="s">
        <v>45</v>
      </c>
      <c r="Y1554" t="s">
        <v>45</v>
      </c>
      <c r="Z1554" t="s">
        <v>45</v>
      </c>
      <c r="AC1554" t="s">
        <v>74</v>
      </c>
      <c r="AE1554" s="7">
        <v>46260</v>
      </c>
      <c r="AF1554">
        <v>2</v>
      </c>
      <c r="AH1554" t="s">
        <v>75</v>
      </c>
      <c r="AI1554">
        <v>1</v>
      </c>
      <c r="AJ1554" s="15"/>
      <c r="AK1554" t="s">
        <v>74</v>
      </c>
      <c r="AL1554" s="16"/>
      <c r="AR1554" s="18" t="str">
        <f>IFERROR(VLOOKUP(K1554,[1]POP!$F:$J,1,0),M1554)</f>
        <v>MOKOLO</v>
      </c>
      <c r="AS1554" s="18" t="str">
        <f t="shared" si="121"/>
        <v>MINAWAO</v>
      </c>
      <c r="AT1554" s="19">
        <f t="shared" si="124"/>
        <v>2</v>
      </c>
      <c r="AU1554" s="19">
        <f t="shared" ca="1" si="123"/>
        <v>1</v>
      </c>
    </row>
    <row r="1555" spans="1:47" x14ac:dyDescent="0.3">
      <c r="A1555" t="s">
        <v>2267</v>
      </c>
      <c r="B1555" t="str">
        <f t="shared" si="120"/>
        <v>S34_2026</v>
      </c>
      <c r="C1555" t="str">
        <f t="shared" si="122"/>
        <v>S34_2026</v>
      </c>
      <c r="F1555">
        <v>8</v>
      </c>
      <c r="G1555" t="s">
        <v>40</v>
      </c>
      <c r="H1555" t="s">
        <v>85</v>
      </c>
      <c r="I1555" t="s">
        <v>2268</v>
      </c>
      <c r="J1555" t="s">
        <v>1067</v>
      </c>
      <c r="K1555" t="s">
        <v>1068</v>
      </c>
      <c r="L1555" t="s">
        <v>1067</v>
      </c>
      <c r="M1555" t="s">
        <v>1068</v>
      </c>
      <c r="N1555" t="s">
        <v>45</v>
      </c>
      <c r="O1555" t="s">
        <v>45</v>
      </c>
      <c r="P1555">
        <v>3</v>
      </c>
      <c r="Q1555" s="7">
        <v>46256</v>
      </c>
      <c r="R1555" s="7">
        <v>46256</v>
      </c>
      <c r="S1555" s="7">
        <v>46256</v>
      </c>
      <c r="T1555" t="s">
        <v>45</v>
      </c>
      <c r="V1555" t="s">
        <v>1331</v>
      </c>
      <c r="W1555" t="s">
        <v>45</v>
      </c>
      <c r="X1555" t="s">
        <v>45</v>
      </c>
      <c r="Y1555" t="s">
        <v>45</v>
      </c>
      <c r="Z1555" t="s">
        <v>45</v>
      </c>
      <c r="AC1555" t="s">
        <v>74</v>
      </c>
      <c r="AE1555" s="7">
        <v>46260</v>
      </c>
      <c r="AF1555">
        <v>2</v>
      </c>
      <c r="AH1555" t="s">
        <v>75</v>
      </c>
      <c r="AI1555">
        <v>1</v>
      </c>
      <c r="AJ1555" s="15"/>
      <c r="AK1555" t="s">
        <v>74</v>
      </c>
      <c r="AL1555" s="16"/>
      <c r="AR1555" s="18" t="str">
        <f>IFERROR(VLOOKUP(K1555,[1]POP!$F:$J,1,0),M1555)</f>
        <v>MOKOLO</v>
      </c>
      <c r="AS1555" s="18" t="str">
        <f t="shared" si="121"/>
        <v>MINAWAO</v>
      </c>
      <c r="AT1555" s="19">
        <f t="shared" si="124"/>
        <v>2</v>
      </c>
      <c r="AU1555" s="19">
        <f t="shared" ca="1" si="123"/>
        <v>1</v>
      </c>
    </row>
    <row r="1556" spans="1:47" x14ac:dyDescent="0.3">
      <c r="A1556" t="s">
        <v>2269</v>
      </c>
      <c r="B1556" t="str">
        <f t="shared" si="120"/>
        <v>S34_2026</v>
      </c>
      <c r="C1556" t="str">
        <f t="shared" si="122"/>
        <v>S34_2026</v>
      </c>
      <c r="F1556">
        <v>45</v>
      </c>
      <c r="G1556" t="s">
        <v>40</v>
      </c>
      <c r="H1556" t="s">
        <v>77</v>
      </c>
      <c r="I1556" t="s">
        <v>2270</v>
      </c>
      <c r="J1556" t="s">
        <v>1067</v>
      </c>
      <c r="K1556" t="s">
        <v>1068</v>
      </c>
      <c r="L1556" t="s">
        <v>1067</v>
      </c>
      <c r="M1556" t="s">
        <v>1068</v>
      </c>
      <c r="N1556" t="s">
        <v>45</v>
      </c>
      <c r="O1556" t="s">
        <v>45</v>
      </c>
      <c r="P1556">
        <v>2</v>
      </c>
      <c r="Q1556" s="7">
        <v>46256</v>
      </c>
      <c r="R1556" s="7">
        <v>46256</v>
      </c>
      <c r="S1556" s="7">
        <v>46256</v>
      </c>
      <c r="T1556" t="s">
        <v>45</v>
      </c>
      <c r="V1556" t="s">
        <v>1331</v>
      </c>
      <c r="W1556" t="s">
        <v>45</v>
      </c>
      <c r="X1556" t="s">
        <v>45</v>
      </c>
      <c r="Y1556" t="s">
        <v>45</v>
      </c>
      <c r="Z1556" t="s">
        <v>45</v>
      </c>
      <c r="AC1556" t="s">
        <v>74</v>
      </c>
      <c r="AE1556" s="7">
        <v>46260</v>
      </c>
      <c r="AF1556">
        <v>2</v>
      </c>
      <c r="AH1556" t="s">
        <v>75</v>
      </c>
      <c r="AI1556">
        <v>1</v>
      </c>
      <c r="AJ1556" s="15"/>
      <c r="AK1556" t="s">
        <v>74</v>
      </c>
      <c r="AL1556" s="16"/>
      <c r="AR1556" s="18" t="str">
        <f>IFERROR(VLOOKUP(K1556,[1]POP!$F:$J,1,0),M1556)</f>
        <v>MOKOLO</v>
      </c>
      <c r="AS1556" s="18" t="str">
        <f t="shared" si="121"/>
        <v>MINAWAO</v>
      </c>
      <c r="AT1556" s="19">
        <f t="shared" si="124"/>
        <v>2</v>
      </c>
      <c r="AU1556" s="19">
        <f t="shared" ca="1" si="123"/>
        <v>1</v>
      </c>
    </row>
    <row r="1557" spans="1:47" x14ac:dyDescent="0.3">
      <c r="A1557" t="s">
        <v>2271</v>
      </c>
      <c r="B1557" t="str">
        <f t="shared" si="120"/>
        <v>S34_2026</v>
      </c>
      <c r="C1557" t="str">
        <f t="shared" si="122"/>
        <v>S34_2026</v>
      </c>
      <c r="F1557">
        <v>21</v>
      </c>
      <c r="G1557" t="s">
        <v>40</v>
      </c>
      <c r="H1557" t="s">
        <v>77</v>
      </c>
      <c r="I1557" t="s">
        <v>2272</v>
      </c>
      <c r="J1557" t="s">
        <v>1067</v>
      </c>
      <c r="K1557" t="s">
        <v>1068</v>
      </c>
      <c r="L1557" t="s">
        <v>1067</v>
      </c>
      <c r="M1557" t="s">
        <v>1068</v>
      </c>
      <c r="N1557" t="s">
        <v>45</v>
      </c>
      <c r="O1557" t="s">
        <v>45</v>
      </c>
      <c r="P1557">
        <v>3</v>
      </c>
      <c r="Q1557" s="7">
        <v>46256</v>
      </c>
      <c r="R1557" s="7">
        <v>46256</v>
      </c>
      <c r="S1557" s="7">
        <v>46256</v>
      </c>
      <c r="T1557" t="s">
        <v>45</v>
      </c>
      <c r="V1557" t="s">
        <v>1331</v>
      </c>
      <c r="W1557" t="s">
        <v>45</v>
      </c>
      <c r="X1557" t="s">
        <v>45</v>
      </c>
      <c r="Y1557" t="s">
        <v>45</v>
      </c>
      <c r="Z1557" t="s">
        <v>45</v>
      </c>
      <c r="AC1557" t="s">
        <v>74</v>
      </c>
      <c r="AE1557" s="7">
        <v>46259</v>
      </c>
      <c r="AF1557">
        <v>2</v>
      </c>
      <c r="AH1557" t="s">
        <v>75</v>
      </c>
      <c r="AI1557">
        <v>1</v>
      </c>
      <c r="AJ1557" s="15"/>
      <c r="AK1557" t="s">
        <v>74</v>
      </c>
      <c r="AL1557" s="16"/>
      <c r="AR1557" s="18" t="str">
        <f>IFERROR(VLOOKUP(K1557,[1]POP!$F:$J,1,0),M1557)</f>
        <v>MOKOLO</v>
      </c>
      <c r="AS1557" s="18" t="str">
        <f t="shared" si="121"/>
        <v>MINAWAO</v>
      </c>
      <c r="AT1557" s="19">
        <f t="shared" si="124"/>
        <v>2</v>
      </c>
      <c r="AU1557" s="19">
        <f t="shared" ca="1" si="123"/>
        <v>1</v>
      </c>
    </row>
    <row r="1558" spans="1:47" x14ac:dyDescent="0.3">
      <c r="A1558" t="s">
        <v>2273</v>
      </c>
      <c r="B1558" t="str">
        <f t="shared" si="120"/>
        <v>S34_2026</v>
      </c>
      <c r="C1558" t="str">
        <f t="shared" si="122"/>
        <v>S34_2026</v>
      </c>
      <c r="F1558">
        <v>21</v>
      </c>
      <c r="G1558" t="s">
        <v>40</v>
      </c>
      <c r="H1558" t="s">
        <v>77</v>
      </c>
      <c r="I1558" t="s">
        <v>2274</v>
      </c>
      <c r="J1558" t="s">
        <v>1067</v>
      </c>
      <c r="K1558" t="s">
        <v>1068</v>
      </c>
      <c r="L1558" t="s">
        <v>1067</v>
      </c>
      <c r="M1558" t="s">
        <v>1068</v>
      </c>
      <c r="N1558" t="s">
        <v>45</v>
      </c>
      <c r="O1558" t="s">
        <v>45</v>
      </c>
      <c r="P1558">
        <v>3</v>
      </c>
      <c r="Q1558" s="7">
        <v>46257</v>
      </c>
      <c r="R1558" s="7">
        <v>46257</v>
      </c>
      <c r="S1558" s="7">
        <v>46257</v>
      </c>
      <c r="T1558" t="s">
        <v>45</v>
      </c>
      <c r="V1558" t="s">
        <v>1331</v>
      </c>
      <c r="W1558" t="s">
        <v>45</v>
      </c>
      <c r="X1558" t="s">
        <v>45</v>
      </c>
      <c r="Y1558" t="s">
        <v>45</v>
      </c>
      <c r="Z1558" t="s">
        <v>45</v>
      </c>
      <c r="AC1558" t="s">
        <v>74</v>
      </c>
      <c r="AH1558" t="s">
        <v>75</v>
      </c>
      <c r="AI1558">
        <v>0</v>
      </c>
      <c r="AJ1558" s="15"/>
      <c r="AK1558" t="s">
        <v>45</v>
      </c>
      <c r="AL1558" s="16"/>
      <c r="AR1558" s="18" t="str">
        <f>IFERROR(VLOOKUP(K1558,[1]POP!$F:$J,1,0),M1558)</f>
        <v>MOKOLO</v>
      </c>
      <c r="AS1558" s="18" t="str">
        <f t="shared" si="121"/>
        <v>MINAWAO</v>
      </c>
      <c r="AT1558" s="19">
        <f t="shared" si="124"/>
        <v>0</v>
      </c>
      <c r="AU1558" s="19">
        <f t="shared" ca="1" si="123"/>
        <v>1</v>
      </c>
    </row>
    <row r="1559" spans="1:47" x14ac:dyDescent="0.3">
      <c r="A1559" t="s">
        <v>2275</v>
      </c>
      <c r="B1559" t="str">
        <f t="shared" si="120"/>
        <v>S34_2026</v>
      </c>
      <c r="C1559" t="str">
        <f t="shared" si="122"/>
        <v>S34_2026</v>
      </c>
      <c r="F1559">
        <v>2</v>
      </c>
      <c r="G1559" t="s">
        <v>55</v>
      </c>
      <c r="H1559" t="s">
        <v>85</v>
      </c>
      <c r="I1559" t="s">
        <v>2276</v>
      </c>
      <c r="J1559" t="s">
        <v>1067</v>
      </c>
      <c r="K1559" t="s">
        <v>1068</v>
      </c>
      <c r="L1559" t="s">
        <v>1067</v>
      </c>
      <c r="M1559" t="s">
        <v>1068</v>
      </c>
      <c r="N1559" t="s">
        <v>45</v>
      </c>
      <c r="O1559" t="s">
        <v>45</v>
      </c>
      <c r="P1559">
        <v>1</v>
      </c>
      <c r="Q1559" s="7">
        <v>46257</v>
      </c>
      <c r="R1559" s="7">
        <v>46257</v>
      </c>
      <c r="S1559" s="7">
        <v>46257</v>
      </c>
      <c r="T1559" t="s">
        <v>45</v>
      </c>
      <c r="V1559" t="s">
        <v>1331</v>
      </c>
      <c r="W1559" t="s">
        <v>45</v>
      </c>
      <c r="X1559" t="s">
        <v>45</v>
      </c>
      <c r="Y1559" t="s">
        <v>45</v>
      </c>
      <c r="Z1559" t="s">
        <v>45</v>
      </c>
      <c r="AC1559" t="s">
        <v>74</v>
      </c>
      <c r="AE1559" s="7">
        <v>46258</v>
      </c>
      <c r="AF1559">
        <v>2</v>
      </c>
      <c r="AH1559" t="s">
        <v>75</v>
      </c>
      <c r="AI1559">
        <v>1</v>
      </c>
      <c r="AJ1559" s="15"/>
      <c r="AK1559" t="s">
        <v>74</v>
      </c>
      <c r="AL1559" s="16"/>
      <c r="AR1559" s="18" t="str">
        <f>IFERROR(VLOOKUP(K1559,[1]POP!$F:$J,1,0),M1559)</f>
        <v>MOKOLO</v>
      </c>
      <c r="AS1559" s="18" t="str">
        <f t="shared" si="121"/>
        <v>MINAWAO</v>
      </c>
      <c r="AT1559" s="19">
        <f t="shared" si="124"/>
        <v>2</v>
      </c>
      <c r="AU1559" s="19">
        <f t="shared" ca="1" si="123"/>
        <v>1</v>
      </c>
    </row>
    <row r="1560" spans="1:47" x14ac:dyDescent="0.3">
      <c r="A1560" t="s">
        <v>2277</v>
      </c>
      <c r="B1560" t="str">
        <f t="shared" si="120"/>
        <v>S34_2026</v>
      </c>
      <c r="C1560" t="str">
        <f t="shared" si="122"/>
        <v>S34_2026</v>
      </c>
      <c r="F1560">
        <v>3</v>
      </c>
      <c r="G1560" t="s">
        <v>55</v>
      </c>
      <c r="H1560" t="s">
        <v>85</v>
      </c>
      <c r="I1560" t="s">
        <v>2278</v>
      </c>
      <c r="J1560" t="s">
        <v>1067</v>
      </c>
      <c r="K1560" t="s">
        <v>1068</v>
      </c>
      <c r="L1560" t="s">
        <v>1067</v>
      </c>
      <c r="M1560" t="s">
        <v>1068</v>
      </c>
      <c r="N1560" t="s">
        <v>45</v>
      </c>
      <c r="O1560" t="s">
        <v>45</v>
      </c>
      <c r="P1560">
        <v>3</v>
      </c>
      <c r="Q1560" s="7">
        <v>46257</v>
      </c>
      <c r="R1560" s="7">
        <v>46257</v>
      </c>
      <c r="S1560" s="7">
        <v>46257</v>
      </c>
      <c r="T1560" t="s">
        <v>45</v>
      </c>
      <c r="V1560" t="s">
        <v>1331</v>
      </c>
      <c r="W1560" t="s">
        <v>45</v>
      </c>
      <c r="X1560" t="s">
        <v>45</v>
      </c>
      <c r="Y1560" t="s">
        <v>45</v>
      </c>
      <c r="Z1560" t="s">
        <v>45</v>
      </c>
      <c r="AC1560" t="s">
        <v>74</v>
      </c>
      <c r="AH1560" t="s">
        <v>75</v>
      </c>
      <c r="AI1560">
        <v>0</v>
      </c>
      <c r="AJ1560" s="15"/>
      <c r="AK1560" t="s">
        <v>74</v>
      </c>
      <c r="AL1560" s="16"/>
      <c r="AR1560" s="18" t="str">
        <f>IFERROR(VLOOKUP(K1560,[1]POP!$F:$J,1,0),M1560)</f>
        <v>MOKOLO</v>
      </c>
      <c r="AS1560" s="18" t="str">
        <f t="shared" si="121"/>
        <v>MINAWAO</v>
      </c>
      <c r="AT1560" s="19">
        <f t="shared" si="124"/>
        <v>0</v>
      </c>
      <c r="AU1560" s="19">
        <f t="shared" ca="1" si="123"/>
        <v>1</v>
      </c>
    </row>
    <row r="1561" spans="1:47" x14ac:dyDescent="0.3">
      <c r="A1561" t="s">
        <v>2279</v>
      </c>
      <c r="B1561" t="str">
        <f t="shared" si="120"/>
        <v>S32_2026</v>
      </c>
      <c r="C1561" t="str">
        <f t="shared" si="122"/>
        <v>S28_2026</v>
      </c>
      <c r="E1561">
        <v>656948774</v>
      </c>
      <c r="F1561">
        <v>23</v>
      </c>
      <c r="G1561" t="s">
        <v>40</v>
      </c>
      <c r="H1561" t="s">
        <v>77</v>
      </c>
      <c r="I1561" t="s">
        <v>2280</v>
      </c>
      <c r="J1561" t="s">
        <v>2280</v>
      </c>
      <c r="K1561" t="s">
        <v>2112</v>
      </c>
      <c r="L1561" t="s">
        <v>453</v>
      </c>
      <c r="M1561" t="s">
        <v>454</v>
      </c>
      <c r="N1561" t="s">
        <v>45</v>
      </c>
      <c r="O1561" t="s">
        <v>45</v>
      </c>
      <c r="P1561">
        <v>1</v>
      </c>
      <c r="Q1561" s="7">
        <v>46211</v>
      </c>
      <c r="R1561" s="7">
        <v>46241</v>
      </c>
      <c r="S1561" s="7">
        <v>46241</v>
      </c>
      <c r="T1561" t="s">
        <v>45</v>
      </c>
      <c r="V1561" t="s">
        <v>453</v>
      </c>
      <c r="W1561" t="s">
        <v>117</v>
      </c>
      <c r="X1561" t="s">
        <v>117</v>
      </c>
      <c r="Y1561" t="s">
        <v>117</v>
      </c>
      <c r="Z1561" t="s">
        <v>45</v>
      </c>
      <c r="AA1561" s="7">
        <v>46211</v>
      </c>
      <c r="AB1561" t="s">
        <v>48</v>
      </c>
      <c r="AE1561" s="7">
        <v>46246</v>
      </c>
      <c r="AF1561">
        <v>2</v>
      </c>
      <c r="AH1561" t="s">
        <v>75</v>
      </c>
      <c r="AI1561">
        <v>1</v>
      </c>
      <c r="AJ1561" s="15"/>
      <c r="AK1561" t="s">
        <v>668</v>
      </c>
      <c r="AL1561" s="16"/>
      <c r="AR1561" s="18" t="str">
        <f>IFERROR(VLOOKUP(K1561,[1]POP!$F:$J,1,0),M1561)</f>
        <v>MAROUA 3</v>
      </c>
      <c r="AS1561" s="18" t="str">
        <f t="shared" si="121"/>
        <v>DOUGOI</v>
      </c>
      <c r="AT1561" s="19">
        <f t="shared" si="124"/>
        <v>2</v>
      </c>
      <c r="AU1561" s="19">
        <f t="shared" ca="1" si="123"/>
        <v>2</v>
      </c>
    </row>
    <row r="1562" spans="1:47" x14ac:dyDescent="0.3">
      <c r="A1562" t="s">
        <v>2281</v>
      </c>
      <c r="B1562" t="str">
        <f t="shared" si="120"/>
        <v>S34_2026</v>
      </c>
      <c r="C1562" t="str">
        <f t="shared" si="122"/>
        <v>S34_2026</v>
      </c>
      <c r="F1562">
        <v>28</v>
      </c>
      <c r="G1562" t="s">
        <v>40</v>
      </c>
      <c r="H1562" t="s">
        <v>77</v>
      </c>
      <c r="I1562" t="s">
        <v>2114</v>
      </c>
      <c r="J1562" t="s">
        <v>2115</v>
      </c>
      <c r="K1562" t="s">
        <v>2112</v>
      </c>
      <c r="L1562" t="s">
        <v>2106</v>
      </c>
      <c r="M1562" t="s">
        <v>454</v>
      </c>
      <c r="N1562" t="s">
        <v>45</v>
      </c>
      <c r="O1562" t="s">
        <v>45</v>
      </c>
      <c r="P1562">
        <v>2</v>
      </c>
      <c r="Q1562" s="7">
        <v>46252</v>
      </c>
      <c r="R1562" s="7">
        <v>46252</v>
      </c>
      <c r="S1562" s="7">
        <v>46252</v>
      </c>
      <c r="T1562" t="s">
        <v>45</v>
      </c>
      <c r="V1562" t="s">
        <v>2107</v>
      </c>
      <c r="W1562" t="s">
        <v>117</v>
      </c>
      <c r="X1562" t="s">
        <v>117</v>
      </c>
      <c r="Y1562" t="s">
        <v>117</v>
      </c>
      <c r="Z1562" t="s">
        <v>74</v>
      </c>
      <c r="AB1562" t="s">
        <v>2282</v>
      </c>
      <c r="AC1562" t="s">
        <v>45</v>
      </c>
      <c r="AD1562" t="s">
        <v>62</v>
      </c>
      <c r="AE1562" s="7">
        <v>46254</v>
      </c>
      <c r="AH1562" t="s">
        <v>75</v>
      </c>
      <c r="AI1562">
        <v>0</v>
      </c>
      <c r="AJ1562" s="15"/>
      <c r="AL1562" s="16"/>
      <c r="AR1562" s="18" t="str">
        <f>IFERROR(VLOOKUP(K1562,[1]POP!$F:$J,1,0),M1562)</f>
        <v>MAROUA 3</v>
      </c>
      <c r="AS1562" s="18" t="str">
        <f t="shared" si="121"/>
        <v>DJARENGOL KODEK</v>
      </c>
      <c r="AT1562" s="19">
        <f t="shared" si="124"/>
        <v>0</v>
      </c>
      <c r="AU1562" s="19">
        <f t="shared" ca="1" si="123"/>
        <v>1</v>
      </c>
    </row>
    <row r="1563" spans="1:47" x14ac:dyDescent="0.3">
      <c r="A1563" t="s">
        <v>2283</v>
      </c>
      <c r="B1563" t="str">
        <f t="shared" si="120"/>
        <v>S34_2026</v>
      </c>
      <c r="C1563" t="str">
        <f t="shared" si="122"/>
        <v>S34_2026</v>
      </c>
      <c r="E1563">
        <v>694171051</v>
      </c>
      <c r="F1563">
        <v>23</v>
      </c>
      <c r="G1563" t="s">
        <v>40</v>
      </c>
      <c r="H1563" t="s">
        <v>56</v>
      </c>
      <c r="I1563" t="s">
        <v>2284</v>
      </c>
      <c r="J1563" t="s">
        <v>455</v>
      </c>
      <c r="K1563" t="s">
        <v>2112</v>
      </c>
      <c r="L1563" t="s">
        <v>453</v>
      </c>
      <c r="M1563" t="s">
        <v>454</v>
      </c>
      <c r="N1563" t="s">
        <v>45</v>
      </c>
      <c r="O1563" t="s">
        <v>45</v>
      </c>
      <c r="P1563">
        <v>3</v>
      </c>
      <c r="Q1563" s="7">
        <v>46252</v>
      </c>
      <c r="R1563" s="7">
        <v>46253</v>
      </c>
      <c r="S1563" s="7">
        <v>46254</v>
      </c>
      <c r="T1563" t="s">
        <v>45</v>
      </c>
      <c r="V1563" t="s">
        <v>455</v>
      </c>
      <c r="W1563" t="s">
        <v>117</v>
      </c>
      <c r="X1563" t="s">
        <v>45</v>
      </c>
      <c r="Y1563" t="s">
        <v>45</v>
      </c>
      <c r="Z1563" t="s">
        <v>45</v>
      </c>
      <c r="AA1563" s="7">
        <v>46253</v>
      </c>
      <c r="AB1563" t="s">
        <v>2282</v>
      </c>
      <c r="AC1563" t="s">
        <v>45</v>
      </c>
      <c r="AD1563" t="s">
        <v>48</v>
      </c>
      <c r="AE1563" s="7">
        <v>46255</v>
      </c>
      <c r="AH1563" t="s">
        <v>75</v>
      </c>
      <c r="AI1563">
        <v>0</v>
      </c>
      <c r="AJ1563" s="15"/>
      <c r="AK1563" t="s">
        <v>74</v>
      </c>
      <c r="AL1563" s="16"/>
      <c r="AR1563" s="18" t="str">
        <f>IFERROR(VLOOKUP(K1563,[1]POP!$F:$J,1,0),M1563)</f>
        <v>MAROUA 3</v>
      </c>
      <c r="AS1563" s="18" t="str">
        <f t="shared" si="121"/>
        <v>DOUGOI</v>
      </c>
      <c r="AT1563" s="19">
        <f t="shared" si="124"/>
        <v>0</v>
      </c>
      <c r="AU1563" s="19">
        <f t="shared" ca="1" si="123"/>
        <v>1</v>
      </c>
    </row>
    <row r="1564" spans="1:47" x14ac:dyDescent="0.3">
      <c r="A1564" t="s">
        <v>2285</v>
      </c>
      <c r="B1564" t="str">
        <f t="shared" si="120"/>
        <v>S34_2026</v>
      </c>
      <c r="C1564" t="str">
        <f t="shared" si="122"/>
        <v>S34_2026</v>
      </c>
      <c r="F1564">
        <v>57</v>
      </c>
      <c r="G1564" t="s">
        <v>55</v>
      </c>
      <c r="H1564" t="s">
        <v>70</v>
      </c>
      <c r="I1564" t="s">
        <v>2286</v>
      </c>
      <c r="J1564" t="s">
        <v>2106</v>
      </c>
      <c r="K1564" t="s">
        <v>454</v>
      </c>
      <c r="L1564" t="s">
        <v>2106</v>
      </c>
      <c r="M1564" t="s">
        <v>454</v>
      </c>
      <c r="N1564" t="s">
        <v>45</v>
      </c>
      <c r="O1564" t="s">
        <v>45</v>
      </c>
      <c r="P1564">
        <v>3</v>
      </c>
      <c r="Q1564" s="7">
        <v>46253</v>
      </c>
      <c r="R1564" s="7">
        <v>46254</v>
      </c>
      <c r="S1564" s="7">
        <v>46255</v>
      </c>
      <c r="T1564" t="s">
        <v>74</v>
      </c>
      <c r="W1564" t="s">
        <v>74</v>
      </c>
      <c r="X1564" t="s">
        <v>74</v>
      </c>
      <c r="Y1564" t="s">
        <v>74</v>
      </c>
      <c r="Z1564" t="s">
        <v>74</v>
      </c>
      <c r="AB1564" t="s">
        <v>1122</v>
      </c>
      <c r="AF1564">
        <v>3</v>
      </c>
      <c r="AH1564" t="s">
        <v>75</v>
      </c>
      <c r="AI1564">
        <v>2</v>
      </c>
      <c r="AJ1564" s="15"/>
      <c r="AK1564" t="s">
        <v>74</v>
      </c>
      <c r="AL1564" s="16"/>
      <c r="AR1564" s="18" t="str">
        <f>IFERROR(VLOOKUP(K1564,[1]POP!$F:$J,1,0),M1564)</f>
        <v>MAROUA 3</v>
      </c>
      <c r="AS1564" s="18" t="str">
        <f t="shared" si="121"/>
        <v>DJARENGOL KODEK</v>
      </c>
      <c r="AT1564" s="19">
        <f t="shared" si="124"/>
        <v>3</v>
      </c>
      <c r="AU1564" s="19">
        <f t="shared" ca="1" si="123"/>
        <v>1</v>
      </c>
    </row>
    <row r="1565" spans="1:47" x14ac:dyDescent="0.3">
      <c r="A1565" t="s">
        <v>2287</v>
      </c>
      <c r="B1565" t="str">
        <f t="shared" si="120"/>
        <v>S34_2026</v>
      </c>
      <c r="C1565" t="str">
        <f t="shared" si="122"/>
        <v>S34_2026</v>
      </c>
      <c r="F1565">
        <v>20</v>
      </c>
      <c r="G1565" t="s">
        <v>40</v>
      </c>
      <c r="H1565" t="s">
        <v>77</v>
      </c>
      <c r="I1565" t="s">
        <v>2034</v>
      </c>
      <c r="J1565" t="s">
        <v>453</v>
      </c>
      <c r="K1565" t="s">
        <v>454</v>
      </c>
      <c r="L1565" t="s">
        <v>2106</v>
      </c>
      <c r="M1565" t="s">
        <v>454</v>
      </c>
      <c r="N1565" t="s">
        <v>45</v>
      </c>
      <c r="O1565" t="s">
        <v>45</v>
      </c>
      <c r="P1565">
        <v>3</v>
      </c>
      <c r="Q1565" s="7">
        <v>46254</v>
      </c>
      <c r="R1565" s="7">
        <v>46255</v>
      </c>
      <c r="S1565" s="7">
        <v>46256</v>
      </c>
      <c r="T1565" t="s">
        <v>45</v>
      </c>
      <c r="V1565" t="s">
        <v>2107</v>
      </c>
      <c r="W1565" t="s">
        <v>45</v>
      </c>
      <c r="X1565" t="s">
        <v>45</v>
      </c>
      <c r="Y1565" t="s">
        <v>45</v>
      </c>
      <c r="Z1565" t="s">
        <v>74</v>
      </c>
      <c r="AB1565" t="s">
        <v>1122</v>
      </c>
      <c r="AE1565" s="7">
        <v>46258</v>
      </c>
      <c r="AH1565" t="s">
        <v>75</v>
      </c>
      <c r="AI1565">
        <v>0</v>
      </c>
      <c r="AJ1565" s="15"/>
      <c r="AK1565" t="s">
        <v>74</v>
      </c>
      <c r="AL1565" s="16"/>
      <c r="AR1565" s="18" t="str">
        <f>IFERROR(VLOOKUP(K1565,[1]POP!$F:$J,1,0),M1565)</f>
        <v>MAROUA 3</v>
      </c>
      <c r="AS1565" s="18" t="str">
        <f t="shared" si="121"/>
        <v>DOUGOI</v>
      </c>
      <c r="AT1565" s="19">
        <f t="shared" si="124"/>
        <v>0</v>
      </c>
      <c r="AU1565" s="19">
        <f t="shared" ca="1" si="123"/>
        <v>1</v>
      </c>
    </row>
    <row r="1566" spans="1:47" x14ac:dyDescent="0.3">
      <c r="A1566" t="s">
        <v>2288</v>
      </c>
      <c r="B1566" t="str">
        <f t="shared" si="120"/>
        <v>S26_2026</v>
      </c>
      <c r="C1566" t="str">
        <f t="shared" si="122"/>
        <v>S34_2026</v>
      </c>
      <c r="F1566">
        <v>2</v>
      </c>
      <c r="G1566" t="s">
        <v>55</v>
      </c>
      <c r="H1566" t="s">
        <v>85</v>
      </c>
      <c r="I1566" t="s">
        <v>453</v>
      </c>
      <c r="J1566" t="s">
        <v>453</v>
      </c>
      <c r="K1566" t="s">
        <v>454</v>
      </c>
      <c r="L1566" t="s">
        <v>2106</v>
      </c>
      <c r="M1566" t="s">
        <v>454</v>
      </c>
      <c r="N1566" t="s">
        <v>45</v>
      </c>
      <c r="O1566" t="s">
        <v>45</v>
      </c>
      <c r="P1566">
        <v>3</v>
      </c>
      <c r="Q1566" s="7">
        <v>46256</v>
      </c>
      <c r="R1566" s="7">
        <v>46256</v>
      </c>
      <c r="S1566" s="7">
        <v>46195</v>
      </c>
      <c r="T1566" t="s">
        <v>45</v>
      </c>
      <c r="V1566" t="s">
        <v>2107</v>
      </c>
      <c r="W1566" t="s">
        <v>45</v>
      </c>
      <c r="X1566" t="s">
        <v>45</v>
      </c>
      <c r="Y1566" t="s">
        <v>117</v>
      </c>
      <c r="Z1566" t="s">
        <v>74</v>
      </c>
      <c r="AB1566" t="s">
        <v>1122</v>
      </c>
      <c r="AH1566" t="s">
        <v>75</v>
      </c>
      <c r="AI1566">
        <v>0</v>
      </c>
      <c r="AJ1566" s="15"/>
      <c r="AK1566" t="s">
        <v>74</v>
      </c>
      <c r="AL1566" s="16"/>
      <c r="AR1566" s="18" t="str">
        <f>IFERROR(VLOOKUP(K1566,[1]POP!$F:$J,1,0),M1566)</f>
        <v>MAROUA 3</v>
      </c>
      <c r="AS1566" s="18" t="str">
        <f t="shared" si="121"/>
        <v>DOUGOI</v>
      </c>
      <c r="AT1566" s="19">
        <f t="shared" si="124"/>
        <v>0</v>
      </c>
      <c r="AU1566" s="19">
        <f t="shared" ca="1" si="123"/>
        <v>1</v>
      </c>
    </row>
    <row r="1567" spans="1:47" x14ac:dyDescent="0.3">
      <c r="A1567" t="s">
        <v>2289</v>
      </c>
      <c r="B1567" t="str">
        <f t="shared" si="120"/>
        <v>S34_2026</v>
      </c>
      <c r="C1567" t="str">
        <f t="shared" si="122"/>
        <v>S34_2026</v>
      </c>
      <c r="E1567">
        <v>699594659</v>
      </c>
      <c r="F1567">
        <v>22</v>
      </c>
      <c r="G1567" t="s">
        <v>40</v>
      </c>
      <c r="H1567" t="s">
        <v>1924</v>
      </c>
      <c r="I1567" t="s">
        <v>2222</v>
      </c>
      <c r="J1567" t="s">
        <v>1914</v>
      </c>
      <c r="K1567" t="s">
        <v>1915</v>
      </c>
      <c r="L1567" t="s">
        <v>1914</v>
      </c>
      <c r="M1567" t="s">
        <v>2290</v>
      </c>
      <c r="N1567" t="s">
        <v>46</v>
      </c>
      <c r="O1567" t="s">
        <v>46</v>
      </c>
      <c r="P1567">
        <v>3</v>
      </c>
      <c r="Q1567" s="7">
        <v>46252</v>
      </c>
      <c r="R1567" s="7">
        <v>46253</v>
      </c>
      <c r="S1567" s="7">
        <v>46253</v>
      </c>
      <c r="T1567" t="s">
        <v>46</v>
      </c>
      <c r="V1567" t="s">
        <v>1916</v>
      </c>
      <c r="W1567" t="s">
        <v>46</v>
      </c>
      <c r="X1567" t="s">
        <v>45</v>
      </c>
      <c r="Y1567" t="s">
        <v>46</v>
      </c>
      <c r="Z1567" t="s">
        <v>46</v>
      </c>
      <c r="AA1567" s="7">
        <v>46253</v>
      </c>
      <c r="AB1567" t="s">
        <v>48</v>
      </c>
      <c r="AC1567" t="s">
        <v>45</v>
      </c>
      <c r="AD1567" t="s">
        <v>48</v>
      </c>
      <c r="AH1567" t="s">
        <v>75</v>
      </c>
      <c r="AI1567">
        <v>0</v>
      </c>
      <c r="AJ1567" s="15"/>
      <c r="AK1567" t="s">
        <v>74</v>
      </c>
      <c r="AL1567" s="16"/>
      <c r="AR1567" s="18" t="str">
        <f>IFERROR(VLOOKUP(K1567,[1]POP!$F:$J,1,0),M1567)</f>
        <v>GAZAWA</v>
      </c>
      <c r="AS1567" s="18" t="str">
        <f t="shared" si="121"/>
        <v>Massakal</v>
      </c>
      <c r="AT1567" s="19">
        <f t="shared" si="124"/>
        <v>0</v>
      </c>
      <c r="AU1567" s="19">
        <f t="shared" ca="1" si="123"/>
        <v>1</v>
      </c>
    </row>
    <row r="1568" spans="1:47" x14ac:dyDescent="0.3">
      <c r="A1568" t="s">
        <v>2291</v>
      </c>
      <c r="B1568" t="str">
        <f t="shared" si="120"/>
        <v>S34_2026</v>
      </c>
      <c r="C1568" t="str">
        <f t="shared" si="122"/>
        <v>S34_2026</v>
      </c>
      <c r="F1568">
        <v>20</v>
      </c>
      <c r="G1568" t="s">
        <v>40</v>
      </c>
      <c r="H1568" t="s">
        <v>1924</v>
      </c>
      <c r="I1568" t="s">
        <v>2222</v>
      </c>
      <c r="J1568" t="s">
        <v>1914</v>
      </c>
      <c r="K1568" t="s">
        <v>1915</v>
      </c>
      <c r="L1568" t="s">
        <v>1914</v>
      </c>
      <c r="M1568" t="s">
        <v>2290</v>
      </c>
      <c r="N1568" t="s">
        <v>46</v>
      </c>
      <c r="O1568" t="s">
        <v>46</v>
      </c>
      <c r="P1568">
        <v>3</v>
      </c>
      <c r="Q1568" s="7">
        <v>46255</v>
      </c>
      <c r="R1568" s="7">
        <v>46255</v>
      </c>
      <c r="S1568" s="7">
        <v>46255</v>
      </c>
      <c r="T1568" t="s">
        <v>46</v>
      </c>
      <c r="V1568" t="s">
        <v>1916</v>
      </c>
      <c r="W1568" t="s">
        <v>46</v>
      </c>
      <c r="X1568" t="s">
        <v>45</v>
      </c>
      <c r="Y1568" t="s">
        <v>46</v>
      </c>
      <c r="Z1568" t="s">
        <v>46</v>
      </c>
      <c r="AH1568" t="s">
        <v>75</v>
      </c>
      <c r="AI1568">
        <v>0</v>
      </c>
      <c r="AJ1568" s="15"/>
      <c r="AK1568" t="s">
        <v>74</v>
      </c>
      <c r="AL1568" s="16"/>
      <c r="AR1568" s="18" t="str">
        <f>IFERROR(VLOOKUP(K1568,[1]POP!$F:$J,1,0),M1568)</f>
        <v>GAZAWA</v>
      </c>
      <c r="AS1568" s="18" t="str">
        <f t="shared" si="121"/>
        <v>Massakal</v>
      </c>
      <c r="AT1568" s="19">
        <f t="shared" si="124"/>
        <v>0</v>
      </c>
      <c r="AU1568" s="19">
        <f t="shared" ca="1" si="123"/>
        <v>1</v>
      </c>
    </row>
    <row r="1569" spans="1:47" x14ac:dyDescent="0.3">
      <c r="A1569" t="s">
        <v>2292</v>
      </c>
      <c r="B1569" t="str">
        <f t="shared" si="120"/>
        <v>S34_2026</v>
      </c>
      <c r="C1569" t="str">
        <f t="shared" si="122"/>
        <v>S34_2026</v>
      </c>
      <c r="F1569">
        <v>24</v>
      </c>
      <c r="G1569" t="s">
        <v>55</v>
      </c>
      <c r="H1569" t="s">
        <v>457</v>
      </c>
      <c r="I1569" t="s">
        <v>2222</v>
      </c>
      <c r="J1569" t="s">
        <v>1914</v>
      </c>
      <c r="K1569" t="s">
        <v>1915</v>
      </c>
      <c r="L1569" t="s">
        <v>1914</v>
      </c>
      <c r="M1569" t="s">
        <v>2290</v>
      </c>
      <c r="N1569" t="s">
        <v>46</v>
      </c>
      <c r="O1569" t="s">
        <v>46</v>
      </c>
      <c r="P1569">
        <v>3</v>
      </c>
      <c r="Q1569" s="7">
        <v>46255</v>
      </c>
      <c r="R1569" s="7">
        <v>46255</v>
      </c>
      <c r="S1569" s="7">
        <v>46255</v>
      </c>
      <c r="T1569" t="s">
        <v>46</v>
      </c>
      <c r="V1569" t="s">
        <v>1916</v>
      </c>
      <c r="W1569" t="s">
        <v>46</v>
      </c>
      <c r="X1569" t="s">
        <v>45</v>
      </c>
      <c r="Y1569" t="s">
        <v>46</v>
      </c>
      <c r="Z1569" t="s">
        <v>46</v>
      </c>
      <c r="AH1569" t="s">
        <v>75</v>
      </c>
      <c r="AI1569">
        <v>0</v>
      </c>
      <c r="AJ1569" s="15"/>
      <c r="AK1569" t="s">
        <v>74</v>
      </c>
      <c r="AL1569" s="16"/>
      <c r="AR1569" s="18" t="str">
        <f>IFERROR(VLOOKUP(K1569,[1]POP!$F:$J,1,0),M1569)</f>
        <v>GAZAWA</v>
      </c>
      <c r="AS1569" s="18" t="str">
        <f t="shared" si="121"/>
        <v>Massakal</v>
      </c>
      <c r="AT1569" s="19">
        <f t="shared" si="124"/>
        <v>0</v>
      </c>
      <c r="AU1569" s="19">
        <f t="shared" ca="1" si="123"/>
        <v>1</v>
      </c>
    </row>
    <row r="1570" spans="1:47" x14ac:dyDescent="0.3">
      <c r="A1570" t="s">
        <v>2293</v>
      </c>
      <c r="B1570" t="str">
        <f t="shared" si="120"/>
        <v>S31_2026</v>
      </c>
      <c r="C1570" t="str">
        <f t="shared" si="122"/>
        <v>S31_2026</v>
      </c>
      <c r="E1570">
        <v>690350540</v>
      </c>
      <c r="F1570">
        <v>41</v>
      </c>
      <c r="G1570" t="s">
        <v>55</v>
      </c>
      <c r="H1570" t="s">
        <v>870</v>
      </c>
      <c r="I1570" t="s">
        <v>854</v>
      </c>
      <c r="J1570" t="s">
        <v>855</v>
      </c>
      <c r="K1570" t="s">
        <v>856</v>
      </c>
      <c r="L1570" t="s">
        <v>855</v>
      </c>
      <c r="M1570" t="s">
        <v>856</v>
      </c>
      <c r="N1570" t="s">
        <v>45</v>
      </c>
      <c r="O1570" t="s">
        <v>45</v>
      </c>
      <c r="P1570">
        <v>1</v>
      </c>
      <c r="Q1570" s="7">
        <v>46232</v>
      </c>
      <c r="R1570" s="7">
        <v>46232</v>
      </c>
      <c r="S1570" s="7">
        <v>46233</v>
      </c>
      <c r="T1570" t="s">
        <v>45</v>
      </c>
      <c r="V1570">
        <v>46232</v>
      </c>
      <c r="W1570" t="s">
        <v>45</v>
      </c>
      <c r="X1570" t="s">
        <v>45</v>
      </c>
      <c r="Y1570" t="s">
        <v>45</v>
      </c>
      <c r="Z1570" t="s">
        <v>74</v>
      </c>
      <c r="AA1570" s="7">
        <v>46232</v>
      </c>
      <c r="AB1570" t="s">
        <v>2294</v>
      </c>
      <c r="AC1570" t="s">
        <v>45</v>
      </c>
      <c r="AD1570" t="s">
        <v>1122</v>
      </c>
      <c r="AE1570" s="7">
        <v>46236</v>
      </c>
      <c r="AF1570">
        <v>2</v>
      </c>
      <c r="AH1570" t="s">
        <v>75</v>
      </c>
      <c r="AI1570">
        <v>1</v>
      </c>
      <c r="AJ1570" s="15"/>
      <c r="AK1570" t="s">
        <v>74</v>
      </c>
      <c r="AL1570" s="16"/>
      <c r="AR1570" s="18" t="str">
        <f>IFERROR(VLOOKUP(K1570,[1]POP!$F:$J,1,0),M1570)</f>
        <v>MAROUA 1</v>
      </c>
      <c r="AS1570" s="18" t="str">
        <f t="shared" si="121"/>
        <v>DOMAYO 2</v>
      </c>
      <c r="AT1570" s="19">
        <f t="shared" si="124"/>
        <v>2</v>
      </c>
      <c r="AU1570" s="19">
        <f t="shared" ca="1" si="123"/>
        <v>2</v>
      </c>
    </row>
    <row r="1571" spans="1:47" x14ac:dyDescent="0.3">
      <c r="A1571" t="s">
        <v>2295</v>
      </c>
      <c r="B1571" t="str">
        <f t="shared" si="120"/>
        <v>S31_2026</v>
      </c>
      <c r="C1571" t="str">
        <f t="shared" si="122"/>
        <v>S31_2026</v>
      </c>
      <c r="E1571">
        <v>698358828</v>
      </c>
      <c r="F1571">
        <v>37</v>
      </c>
      <c r="G1571" t="s">
        <v>55</v>
      </c>
      <c r="H1571" t="s">
        <v>2296</v>
      </c>
      <c r="I1571" t="s">
        <v>854</v>
      </c>
      <c r="J1571" t="s">
        <v>855</v>
      </c>
      <c r="K1571" t="s">
        <v>856</v>
      </c>
      <c r="L1571" t="s">
        <v>855</v>
      </c>
      <c r="M1571" t="s">
        <v>856</v>
      </c>
      <c r="N1571" t="s">
        <v>45</v>
      </c>
      <c r="O1571" t="s">
        <v>45</v>
      </c>
      <c r="P1571">
        <v>1</v>
      </c>
      <c r="Q1571" s="7">
        <v>46234</v>
      </c>
      <c r="R1571" s="7">
        <v>46234</v>
      </c>
      <c r="S1571" s="7">
        <v>46234</v>
      </c>
      <c r="T1571" t="s">
        <v>45</v>
      </c>
      <c r="V1571">
        <v>46234</v>
      </c>
      <c r="W1571" t="s">
        <v>45</v>
      </c>
      <c r="X1571" t="s">
        <v>45</v>
      </c>
      <c r="Y1571" t="s">
        <v>45</v>
      </c>
      <c r="Z1571" t="s">
        <v>74</v>
      </c>
      <c r="AE1571" s="7">
        <v>46235</v>
      </c>
      <c r="AF1571">
        <v>2</v>
      </c>
      <c r="AH1571" t="s">
        <v>75</v>
      </c>
      <c r="AI1571">
        <v>1</v>
      </c>
      <c r="AJ1571" s="15"/>
      <c r="AK1571" t="s">
        <v>74</v>
      </c>
      <c r="AL1571" s="16"/>
      <c r="AR1571" s="18" t="str">
        <f>IFERROR(VLOOKUP(K1571,[1]POP!$F:$J,1,0),M1571)</f>
        <v>MAROUA 1</v>
      </c>
      <c r="AS1571" s="18" t="str">
        <f t="shared" si="121"/>
        <v>DOMAYO 2</v>
      </c>
      <c r="AT1571" s="19">
        <f t="shared" si="124"/>
        <v>2</v>
      </c>
      <c r="AU1571" s="19">
        <f t="shared" ca="1" si="123"/>
        <v>2</v>
      </c>
    </row>
    <row r="1572" spans="1:47" x14ac:dyDescent="0.3">
      <c r="A1572" t="s">
        <v>2297</v>
      </c>
      <c r="B1572" t="str">
        <f t="shared" si="120"/>
        <v>S34_2026</v>
      </c>
      <c r="C1572" t="str">
        <f t="shared" si="122"/>
        <v>S34_2026</v>
      </c>
      <c r="E1572">
        <v>687926796</v>
      </c>
      <c r="F1572">
        <v>8</v>
      </c>
      <c r="G1572" t="s">
        <v>55</v>
      </c>
      <c r="I1572" t="s">
        <v>2298</v>
      </c>
      <c r="J1572" t="s">
        <v>2058</v>
      </c>
      <c r="K1572" t="s">
        <v>1758</v>
      </c>
      <c r="L1572" t="s">
        <v>2058</v>
      </c>
      <c r="M1572" t="s">
        <v>1758</v>
      </c>
      <c r="N1572" t="s">
        <v>45</v>
      </c>
      <c r="O1572" t="s">
        <v>45</v>
      </c>
      <c r="P1572">
        <v>1</v>
      </c>
      <c r="Q1572" s="7">
        <v>46253</v>
      </c>
      <c r="R1572" s="7">
        <v>46253</v>
      </c>
      <c r="S1572" s="7">
        <v>46253</v>
      </c>
      <c r="T1572" t="s">
        <v>45</v>
      </c>
      <c r="V1572" t="s">
        <v>2061</v>
      </c>
      <c r="W1572" t="s">
        <v>45</v>
      </c>
      <c r="X1572" t="s">
        <v>45</v>
      </c>
      <c r="Y1572" t="s">
        <v>74</v>
      </c>
      <c r="Z1572" t="s">
        <v>74</v>
      </c>
      <c r="AE1572" s="7">
        <v>46254</v>
      </c>
      <c r="AF1572">
        <v>2</v>
      </c>
      <c r="AH1572" t="s">
        <v>75</v>
      </c>
      <c r="AI1572">
        <v>1</v>
      </c>
      <c r="AJ1572" s="15"/>
      <c r="AK1572" t="s">
        <v>74</v>
      </c>
      <c r="AL1572" s="16"/>
      <c r="AR1572" s="18" t="str">
        <f>IFERROR(VLOOKUP(K1572,[1]POP!$F:$J,1,0),M1572)</f>
        <v>MAROUA 2</v>
      </c>
      <c r="AS1572" s="18" t="str">
        <f t="shared" si="121"/>
        <v xml:space="preserve">DOUALARE </v>
      </c>
      <c r="AT1572" s="19">
        <f t="shared" si="124"/>
        <v>2</v>
      </c>
      <c r="AU1572" s="19">
        <f t="shared" ca="1" si="123"/>
        <v>1</v>
      </c>
    </row>
    <row r="1573" spans="1:47" x14ac:dyDescent="0.3">
      <c r="A1573" t="s">
        <v>2299</v>
      </c>
      <c r="B1573" t="str">
        <f t="shared" si="120"/>
        <v>S34_2026</v>
      </c>
      <c r="C1573" t="str">
        <f t="shared" si="122"/>
        <v>S34_2026</v>
      </c>
      <c r="E1573">
        <v>693403387</v>
      </c>
      <c r="F1573">
        <v>8</v>
      </c>
      <c r="G1573" t="s">
        <v>55</v>
      </c>
      <c r="I1573" t="s">
        <v>2298</v>
      </c>
      <c r="J1573" t="s">
        <v>2058</v>
      </c>
      <c r="K1573" t="s">
        <v>1758</v>
      </c>
      <c r="L1573" t="s">
        <v>2058</v>
      </c>
      <c r="M1573" t="s">
        <v>1758</v>
      </c>
      <c r="N1573" t="s">
        <v>45</v>
      </c>
      <c r="O1573" t="s">
        <v>45</v>
      </c>
      <c r="P1573">
        <v>1</v>
      </c>
      <c r="Q1573" s="7">
        <v>46253</v>
      </c>
      <c r="R1573" s="7">
        <v>46253</v>
      </c>
      <c r="S1573" s="7">
        <v>46253</v>
      </c>
      <c r="T1573" t="s">
        <v>45</v>
      </c>
      <c r="V1573" t="s">
        <v>2059</v>
      </c>
      <c r="W1573" t="s">
        <v>45</v>
      </c>
      <c r="X1573" t="s">
        <v>45</v>
      </c>
      <c r="Y1573" t="s">
        <v>74</v>
      </c>
      <c r="Z1573" t="s">
        <v>74</v>
      </c>
      <c r="AE1573" s="7">
        <v>46254</v>
      </c>
      <c r="AF1573">
        <v>2</v>
      </c>
      <c r="AH1573" t="s">
        <v>75</v>
      </c>
      <c r="AI1573">
        <v>1</v>
      </c>
      <c r="AJ1573" s="15"/>
      <c r="AK1573" t="s">
        <v>74</v>
      </c>
      <c r="AL1573" s="16"/>
      <c r="AR1573" s="18" t="str">
        <f>IFERROR(VLOOKUP(K1573,[1]POP!$F:$J,1,0),M1573)</f>
        <v>MAROUA 2</v>
      </c>
      <c r="AS1573" s="18" t="str">
        <f t="shared" si="121"/>
        <v xml:space="preserve">DOUALARE </v>
      </c>
      <c r="AT1573" s="19">
        <f t="shared" si="124"/>
        <v>2</v>
      </c>
      <c r="AU1573" s="19">
        <f t="shared" ca="1" si="123"/>
        <v>1</v>
      </c>
    </row>
    <row r="1574" spans="1:47" x14ac:dyDescent="0.3">
      <c r="A1574" t="s">
        <v>2300</v>
      </c>
      <c r="B1574" t="str">
        <f t="shared" si="120"/>
        <v>S34_2026</v>
      </c>
      <c r="C1574" t="str">
        <f t="shared" si="122"/>
        <v>S34_2026</v>
      </c>
      <c r="E1574">
        <v>684042523</v>
      </c>
      <c r="F1574">
        <v>15</v>
      </c>
      <c r="G1574" t="s">
        <v>40</v>
      </c>
      <c r="I1574" t="s">
        <v>2064</v>
      </c>
      <c r="J1574" t="s">
        <v>2058</v>
      </c>
      <c r="K1574" t="s">
        <v>1758</v>
      </c>
      <c r="L1574" t="s">
        <v>2058</v>
      </c>
      <c r="M1574" t="s">
        <v>1758</v>
      </c>
      <c r="N1574" t="s">
        <v>45</v>
      </c>
      <c r="O1574" t="s">
        <v>45</v>
      </c>
      <c r="P1574">
        <v>1</v>
      </c>
      <c r="Q1574" s="7">
        <v>46253</v>
      </c>
      <c r="R1574" s="7">
        <v>46253</v>
      </c>
      <c r="S1574" s="7">
        <v>46253</v>
      </c>
      <c r="T1574" t="s">
        <v>45</v>
      </c>
      <c r="V1574" t="s">
        <v>2059</v>
      </c>
      <c r="W1574" t="s">
        <v>45</v>
      </c>
      <c r="X1574" t="s">
        <v>45</v>
      </c>
      <c r="Y1574" t="s">
        <v>74</v>
      </c>
      <c r="Z1574" t="s">
        <v>74</v>
      </c>
      <c r="AE1574" s="7">
        <v>46254</v>
      </c>
      <c r="AF1574">
        <v>2</v>
      </c>
      <c r="AH1574" t="s">
        <v>75</v>
      </c>
      <c r="AI1574">
        <v>1</v>
      </c>
      <c r="AJ1574" s="15"/>
      <c r="AK1574" t="s">
        <v>74</v>
      </c>
      <c r="AL1574" s="16"/>
      <c r="AR1574" s="18" t="str">
        <f>IFERROR(VLOOKUP(K1574,[1]POP!$F:$J,1,0),M1574)</f>
        <v>MAROUA 2</v>
      </c>
      <c r="AS1574" s="18" t="str">
        <f t="shared" si="121"/>
        <v xml:space="preserve">DOUALARE </v>
      </c>
      <c r="AT1574" s="19">
        <f t="shared" si="124"/>
        <v>2</v>
      </c>
      <c r="AU1574" s="19">
        <f t="shared" ca="1" si="123"/>
        <v>1</v>
      </c>
    </row>
    <row r="1575" spans="1:47" x14ac:dyDescent="0.3">
      <c r="A1575" t="s">
        <v>2301</v>
      </c>
      <c r="B1575" t="str">
        <f t="shared" si="120"/>
        <v>S34_2026</v>
      </c>
      <c r="C1575" t="str">
        <f t="shared" si="122"/>
        <v>S34_2026</v>
      </c>
      <c r="E1575">
        <v>698346529</v>
      </c>
      <c r="F1575">
        <v>8</v>
      </c>
      <c r="G1575" t="s">
        <v>40</v>
      </c>
      <c r="I1575" t="s">
        <v>2302</v>
      </c>
      <c r="J1575" t="s">
        <v>2058</v>
      </c>
      <c r="K1575" t="s">
        <v>1758</v>
      </c>
      <c r="L1575" t="s">
        <v>2058</v>
      </c>
      <c r="M1575" t="s">
        <v>1758</v>
      </c>
      <c r="N1575" t="s">
        <v>45</v>
      </c>
      <c r="O1575" t="s">
        <v>45</v>
      </c>
      <c r="P1575">
        <v>3</v>
      </c>
      <c r="Q1575" s="7">
        <v>46254</v>
      </c>
      <c r="R1575" s="7">
        <v>46254</v>
      </c>
      <c r="S1575" s="7">
        <v>46254</v>
      </c>
      <c r="T1575" t="s">
        <v>45</v>
      </c>
      <c r="V1575" t="s">
        <v>2059</v>
      </c>
      <c r="W1575" t="s">
        <v>45</v>
      </c>
      <c r="X1575" t="s">
        <v>45</v>
      </c>
      <c r="Y1575" t="s">
        <v>45</v>
      </c>
      <c r="Z1575" t="s">
        <v>74</v>
      </c>
      <c r="AE1575" s="7">
        <v>46255</v>
      </c>
      <c r="AF1575">
        <v>2</v>
      </c>
      <c r="AH1575" t="s">
        <v>75</v>
      </c>
      <c r="AI1575">
        <v>1</v>
      </c>
      <c r="AJ1575" s="15"/>
      <c r="AK1575" t="s">
        <v>74</v>
      </c>
      <c r="AL1575" s="16"/>
      <c r="AR1575" s="18" t="str">
        <f>IFERROR(VLOOKUP(K1575,[1]POP!$F:$J,1,0),M1575)</f>
        <v>MAROUA 2</v>
      </c>
      <c r="AS1575" s="18" t="str">
        <f t="shared" si="121"/>
        <v xml:space="preserve">DOUALARE </v>
      </c>
      <c r="AT1575" s="19">
        <f t="shared" si="124"/>
        <v>2</v>
      </c>
      <c r="AU1575" s="19">
        <f t="shared" ca="1" si="123"/>
        <v>1</v>
      </c>
    </row>
    <row r="1576" spans="1:47" x14ac:dyDescent="0.3">
      <c r="A1576" t="s">
        <v>2303</v>
      </c>
      <c r="B1576" t="str">
        <f t="shared" si="120"/>
        <v>S34_2026</v>
      </c>
      <c r="C1576" t="str">
        <f t="shared" si="122"/>
        <v>S34_2026</v>
      </c>
      <c r="E1576">
        <v>694537347</v>
      </c>
      <c r="F1576">
        <v>5</v>
      </c>
      <c r="G1576" t="s">
        <v>40</v>
      </c>
      <c r="I1576" t="s">
        <v>2053</v>
      </c>
      <c r="J1576" t="s">
        <v>2058</v>
      </c>
      <c r="K1576" t="s">
        <v>1758</v>
      </c>
      <c r="L1576" t="s">
        <v>2058</v>
      </c>
      <c r="M1576" t="s">
        <v>1758</v>
      </c>
      <c r="N1576" t="s">
        <v>45</v>
      </c>
      <c r="O1576" t="s">
        <v>45</v>
      </c>
      <c r="P1576">
        <v>2</v>
      </c>
      <c r="Q1576" s="7">
        <v>46254</v>
      </c>
      <c r="R1576" s="7">
        <v>46254</v>
      </c>
      <c r="S1576" s="7">
        <v>46254</v>
      </c>
      <c r="T1576" t="s">
        <v>45</v>
      </c>
      <c r="V1576" t="s">
        <v>2059</v>
      </c>
      <c r="W1576" t="s">
        <v>45</v>
      </c>
      <c r="X1576" t="s">
        <v>45</v>
      </c>
      <c r="Y1576" t="s">
        <v>45</v>
      </c>
      <c r="Z1576" t="s">
        <v>74</v>
      </c>
      <c r="AE1576" s="7">
        <v>46254</v>
      </c>
      <c r="AF1576">
        <v>2</v>
      </c>
      <c r="AH1576" t="s">
        <v>75</v>
      </c>
      <c r="AI1576">
        <v>1</v>
      </c>
      <c r="AJ1576" s="15"/>
      <c r="AK1576" t="s">
        <v>74</v>
      </c>
      <c r="AL1576" s="16"/>
      <c r="AR1576" s="18" t="str">
        <f>IFERROR(VLOOKUP(K1576,[1]POP!$F:$J,1,0),M1576)</f>
        <v>MAROUA 2</v>
      </c>
      <c r="AS1576" s="18" t="str">
        <f t="shared" si="121"/>
        <v xml:space="preserve">DOUALARE </v>
      </c>
      <c r="AT1576" s="19">
        <f t="shared" si="124"/>
        <v>2</v>
      </c>
      <c r="AU1576" s="19">
        <f t="shared" ca="1" si="123"/>
        <v>1</v>
      </c>
    </row>
    <row r="1577" spans="1:47" x14ac:dyDescent="0.3">
      <c r="A1577" t="s">
        <v>2304</v>
      </c>
      <c r="B1577" t="str">
        <f t="shared" si="120"/>
        <v>S34_2026</v>
      </c>
      <c r="C1577" t="str">
        <f t="shared" si="122"/>
        <v>S34_2026</v>
      </c>
      <c r="E1577">
        <v>698346529</v>
      </c>
      <c r="F1577">
        <v>4</v>
      </c>
      <c r="G1577" t="s">
        <v>40</v>
      </c>
      <c r="I1577" t="s">
        <v>2302</v>
      </c>
      <c r="J1577" t="s">
        <v>2058</v>
      </c>
      <c r="K1577" t="s">
        <v>1758</v>
      </c>
      <c r="L1577" t="s">
        <v>2058</v>
      </c>
      <c r="M1577" t="s">
        <v>1758</v>
      </c>
      <c r="N1577" t="s">
        <v>45</v>
      </c>
      <c r="O1577" t="s">
        <v>74</v>
      </c>
      <c r="P1577">
        <v>2</v>
      </c>
      <c r="Q1577" s="7">
        <v>46254</v>
      </c>
      <c r="R1577" s="7">
        <v>46254</v>
      </c>
      <c r="S1577" s="7">
        <v>46254</v>
      </c>
      <c r="T1577" t="s">
        <v>45</v>
      </c>
      <c r="V1577" t="s">
        <v>2059</v>
      </c>
      <c r="W1577" t="s">
        <v>45</v>
      </c>
      <c r="X1577" t="s">
        <v>45</v>
      </c>
      <c r="Y1577" t="s">
        <v>45</v>
      </c>
      <c r="Z1577" t="s">
        <v>74</v>
      </c>
      <c r="AE1577" s="7">
        <v>46255</v>
      </c>
      <c r="AF1577">
        <v>2</v>
      </c>
      <c r="AH1577" t="s">
        <v>75</v>
      </c>
      <c r="AI1577">
        <v>1</v>
      </c>
      <c r="AJ1577" s="15"/>
      <c r="AK1577" t="s">
        <v>74</v>
      </c>
      <c r="AL1577" s="16"/>
      <c r="AR1577" s="18" t="str">
        <f>IFERROR(VLOOKUP(K1577,[1]POP!$F:$J,1,0),M1577)</f>
        <v>MAROUA 2</v>
      </c>
      <c r="AS1577" s="18" t="str">
        <f t="shared" si="121"/>
        <v xml:space="preserve">DOUALARE </v>
      </c>
      <c r="AT1577" s="19">
        <f t="shared" si="124"/>
        <v>2</v>
      </c>
      <c r="AU1577" s="19">
        <f t="shared" ca="1" si="123"/>
        <v>1</v>
      </c>
    </row>
    <row r="1578" spans="1:47" x14ac:dyDescent="0.3">
      <c r="A1578" t="s">
        <v>2305</v>
      </c>
      <c r="B1578" t="str">
        <f t="shared" si="120"/>
        <v>S34_2026</v>
      </c>
      <c r="C1578" t="str">
        <f t="shared" si="122"/>
        <v>S34_2026</v>
      </c>
      <c r="E1578">
        <v>690062860</v>
      </c>
      <c r="F1578">
        <v>45</v>
      </c>
      <c r="G1578" t="s">
        <v>40</v>
      </c>
      <c r="H1578" t="s">
        <v>77</v>
      </c>
      <c r="I1578" t="s">
        <v>2306</v>
      </c>
      <c r="J1578" t="s">
        <v>2058</v>
      </c>
      <c r="K1578" t="s">
        <v>1758</v>
      </c>
      <c r="L1578" t="s">
        <v>2058</v>
      </c>
      <c r="M1578" t="s">
        <v>1758</v>
      </c>
      <c r="N1578" t="s">
        <v>45</v>
      </c>
      <c r="O1578" t="s">
        <v>74</v>
      </c>
      <c r="P1578">
        <v>1</v>
      </c>
      <c r="Q1578" s="7">
        <v>46253</v>
      </c>
      <c r="R1578" s="7">
        <v>46253</v>
      </c>
      <c r="S1578" s="7">
        <v>46253</v>
      </c>
      <c r="T1578" t="s">
        <v>45</v>
      </c>
      <c r="V1578" t="s">
        <v>1759</v>
      </c>
      <c r="W1578" t="s">
        <v>45</v>
      </c>
      <c r="X1578" t="s">
        <v>45</v>
      </c>
      <c r="Y1578" t="s">
        <v>45</v>
      </c>
      <c r="Z1578" t="s">
        <v>45</v>
      </c>
      <c r="AA1578" s="7">
        <v>46253</v>
      </c>
      <c r="AB1578" t="s">
        <v>48</v>
      </c>
      <c r="AC1578" t="s">
        <v>45</v>
      </c>
      <c r="AD1578" t="s">
        <v>48</v>
      </c>
      <c r="AE1578" s="7">
        <v>46255</v>
      </c>
      <c r="AF1578">
        <v>2</v>
      </c>
      <c r="AH1578" t="s">
        <v>75</v>
      </c>
      <c r="AI1578">
        <v>1</v>
      </c>
      <c r="AJ1578" s="15"/>
      <c r="AL1578" s="16"/>
      <c r="AR1578" s="18" t="str">
        <f>IFERROR(VLOOKUP(K1578,[1]POP!$F:$J,1,0),M1578)</f>
        <v>MAROUA 2</v>
      </c>
      <c r="AS1578" s="18" t="str">
        <f t="shared" si="121"/>
        <v xml:space="preserve">DOUALARE </v>
      </c>
      <c r="AT1578" s="19">
        <f t="shared" si="124"/>
        <v>2</v>
      </c>
      <c r="AU1578" s="19">
        <f t="shared" ca="1" si="123"/>
        <v>1</v>
      </c>
    </row>
    <row r="1579" spans="1:47" x14ac:dyDescent="0.3">
      <c r="A1579" t="s">
        <v>2307</v>
      </c>
      <c r="B1579" t="str">
        <f t="shared" si="120"/>
        <v>S34_2026</v>
      </c>
      <c r="C1579" t="str">
        <f t="shared" si="122"/>
        <v>S34_2026</v>
      </c>
      <c r="E1579">
        <v>688208664</v>
      </c>
      <c r="F1579">
        <v>3</v>
      </c>
      <c r="G1579" t="s">
        <v>55</v>
      </c>
      <c r="H1579" t="s">
        <v>85</v>
      </c>
      <c r="I1579" t="s">
        <v>1757</v>
      </c>
      <c r="J1579" t="s">
        <v>2050</v>
      </c>
      <c r="K1579" t="s">
        <v>1758</v>
      </c>
      <c r="L1579" t="s">
        <v>2050</v>
      </c>
      <c r="M1579" t="s">
        <v>1758</v>
      </c>
      <c r="N1579" t="s">
        <v>45</v>
      </c>
      <c r="O1579" t="s">
        <v>74</v>
      </c>
      <c r="P1579">
        <v>1</v>
      </c>
      <c r="Q1579" s="7">
        <v>46253</v>
      </c>
      <c r="R1579" s="7">
        <v>46253</v>
      </c>
      <c r="S1579" s="7">
        <v>46253</v>
      </c>
      <c r="T1579" t="s">
        <v>45</v>
      </c>
      <c r="V1579" t="s">
        <v>1759</v>
      </c>
      <c r="W1579" t="s">
        <v>45</v>
      </c>
      <c r="X1579" t="s">
        <v>45</v>
      </c>
      <c r="Y1579" t="s">
        <v>45</v>
      </c>
      <c r="Z1579" t="s">
        <v>45</v>
      </c>
      <c r="AA1579" s="7">
        <v>46253</v>
      </c>
      <c r="AB1579" t="s">
        <v>48</v>
      </c>
      <c r="AC1579" t="s">
        <v>45</v>
      </c>
      <c r="AD1579" t="s">
        <v>1122</v>
      </c>
      <c r="AE1579" s="7">
        <v>46255</v>
      </c>
      <c r="AF1579">
        <v>2</v>
      </c>
      <c r="AH1579" t="s">
        <v>75</v>
      </c>
      <c r="AI1579">
        <v>1</v>
      </c>
      <c r="AJ1579" s="15"/>
      <c r="AL1579" s="16"/>
      <c r="AR1579" s="18" t="str">
        <f>IFERROR(VLOOKUP(K1579,[1]POP!$F:$J,1,0),M1579)</f>
        <v>MAROUA 2</v>
      </c>
      <c r="AS1579" s="18" t="str">
        <f t="shared" si="121"/>
        <v>LOPERE</v>
      </c>
      <c r="AT1579" s="19">
        <f t="shared" si="124"/>
        <v>2</v>
      </c>
      <c r="AU1579" s="19">
        <f t="shared" ca="1" si="123"/>
        <v>1</v>
      </c>
    </row>
    <row r="1580" spans="1:47" x14ac:dyDescent="0.3">
      <c r="A1580" t="s">
        <v>2308</v>
      </c>
      <c r="B1580" t="str">
        <f t="shared" si="120"/>
        <v>S34_2026</v>
      </c>
      <c r="C1580" t="str">
        <f t="shared" si="122"/>
        <v>S34_2026</v>
      </c>
      <c r="E1580">
        <v>659187071</v>
      </c>
      <c r="F1580">
        <v>38</v>
      </c>
      <c r="G1580" t="s">
        <v>55</v>
      </c>
      <c r="H1580" t="s">
        <v>77</v>
      </c>
      <c r="I1580" t="s">
        <v>2309</v>
      </c>
      <c r="J1580" t="s">
        <v>2050</v>
      </c>
      <c r="K1580" t="s">
        <v>1758</v>
      </c>
      <c r="L1580" t="s">
        <v>2050</v>
      </c>
      <c r="M1580" t="s">
        <v>1758</v>
      </c>
      <c r="N1580" t="s">
        <v>45</v>
      </c>
      <c r="O1580" t="s">
        <v>74</v>
      </c>
      <c r="P1580">
        <v>1</v>
      </c>
      <c r="Q1580" s="7">
        <v>46253</v>
      </c>
      <c r="R1580" s="7">
        <v>46253</v>
      </c>
      <c r="S1580" s="7">
        <v>46253</v>
      </c>
      <c r="T1580" t="s">
        <v>45</v>
      </c>
      <c r="V1580" t="s">
        <v>1759</v>
      </c>
      <c r="W1580" t="s">
        <v>45</v>
      </c>
      <c r="X1580" t="s">
        <v>45</v>
      </c>
      <c r="Y1580" t="s">
        <v>45</v>
      </c>
      <c r="Z1580" t="s">
        <v>45</v>
      </c>
      <c r="AA1580" s="7">
        <v>46253</v>
      </c>
      <c r="AB1580" t="s">
        <v>62</v>
      </c>
      <c r="AC1580" t="s">
        <v>45</v>
      </c>
      <c r="AD1580" t="s">
        <v>1122</v>
      </c>
      <c r="AH1580" t="s">
        <v>75</v>
      </c>
      <c r="AI1580">
        <v>0</v>
      </c>
      <c r="AJ1580" s="15"/>
      <c r="AL1580" s="16"/>
      <c r="AR1580" s="18" t="str">
        <f>IFERROR(VLOOKUP(K1580,[1]POP!$F:$J,1,0),M1580)</f>
        <v>MAROUA 2</v>
      </c>
      <c r="AS1580" s="18" t="str">
        <f t="shared" si="121"/>
        <v>LOPERE</v>
      </c>
      <c r="AT1580" s="19">
        <f t="shared" si="124"/>
        <v>0</v>
      </c>
      <c r="AU1580" s="19">
        <f t="shared" ca="1" si="123"/>
        <v>1</v>
      </c>
    </row>
    <row r="1581" spans="1:47" x14ac:dyDescent="0.3">
      <c r="A1581" t="s">
        <v>2310</v>
      </c>
      <c r="B1581" t="str">
        <f t="shared" si="120"/>
        <v>S34_2026</v>
      </c>
      <c r="C1581" t="str">
        <f t="shared" si="122"/>
        <v>S34_2026</v>
      </c>
      <c r="E1581">
        <v>687778710</v>
      </c>
      <c r="F1581">
        <v>5</v>
      </c>
      <c r="G1581" t="s">
        <v>40</v>
      </c>
      <c r="I1581" t="s">
        <v>2311</v>
      </c>
      <c r="J1581" t="s">
        <v>2058</v>
      </c>
      <c r="K1581" t="s">
        <v>1758</v>
      </c>
      <c r="L1581" t="s">
        <v>2058</v>
      </c>
      <c r="M1581" t="s">
        <v>1758</v>
      </c>
      <c r="N1581" t="s">
        <v>45</v>
      </c>
      <c r="O1581" t="s">
        <v>45</v>
      </c>
      <c r="P1581">
        <v>2</v>
      </c>
      <c r="Q1581" s="7">
        <v>46255</v>
      </c>
      <c r="R1581" s="7">
        <v>46255</v>
      </c>
      <c r="S1581" s="7">
        <v>46255</v>
      </c>
      <c r="T1581" t="s">
        <v>45</v>
      </c>
      <c r="V1581" t="s">
        <v>2061</v>
      </c>
      <c r="W1581" t="s">
        <v>45</v>
      </c>
      <c r="X1581" t="s">
        <v>74</v>
      </c>
      <c r="Y1581" t="s">
        <v>45</v>
      </c>
      <c r="Z1581" t="s">
        <v>45</v>
      </c>
      <c r="AE1581" s="7">
        <v>46255</v>
      </c>
      <c r="AF1581">
        <v>2</v>
      </c>
      <c r="AH1581" t="s">
        <v>75</v>
      </c>
      <c r="AI1581">
        <v>1</v>
      </c>
      <c r="AJ1581" s="15"/>
      <c r="AK1581" t="s">
        <v>74</v>
      </c>
      <c r="AL1581" s="16"/>
      <c r="AR1581" s="18" t="str">
        <f>IFERROR(VLOOKUP(K1581,[1]POP!$F:$J,1,0),M1581)</f>
        <v>MAROUA 2</v>
      </c>
      <c r="AS1581" s="18" t="str">
        <f t="shared" si="121"/>
        <v xml:space="preserve">DOUALARE </v>
      </c>
      <c r="AT1581" s="19">
        <f t="shared" si="124"/>
        <v>2</v>
      </c>
      <c r="AU1581" s="19">
        <f t="shared" ca="1" si="123"/>
        <v>1</v>
      </c>
    </row>
    <row r="1582" spans="1:47" x14ac:dyDescent="0.3">
      <c r="A1582" t="s">
        <v>2312</v>
      </c>
      <c r="B1582" t="str">
        <f t="shared" si="120"/>
        <v>S34_2026</v>
      </c>
      <c r="C1582" t="str">
        <f t="shared" si="122"/>
        <v>S34_2026</v>
      </c>
      <c r="E1582">
        <v>698346529</v>
      </c>
      <c r="F1582">
        <v>10</v>
      </c>
      <c r="G1582" t="s">
        <v>40</v>
      </c>
      <c r="I1582" t="s">
        <v>2302</v>
      </c>
      <c r="J1582" t="s">
        <v>2058</v>
      </c>
      <c r="K1582" t="s">
        <v>1758</v>
      </c>
      <c r="L1582" t="s">
        <v>2058</v>
      </c>
      <c r="M1582" t="s">
        <v>1758</v>
      </c>
      <c r="N1582" t="s">
        <v>45</v>
      </c>
      <c r="O1582" t="s">
        <v>45</v>
      </c>
      <c r="P1582">
        <v>3</v>
      </c>
      <c r="Q1582" s="7">
        <v>46255</v>
      </c>
      <c r="R1582" s="7">
        <v>46255</v>
      </c>
      <c r="S1582" s="7">
        <v>46255</v>
      </c>
      <c r="T1582" t="s">
        <v>45</v>
      </c>
      <c r="V1582" t="s">
        <v>2061</v>
      </c>
      <c r="W1582" t="s">
        <v>45</v>
      </c>
      <c r="X1582" t="s">
        <v>74</v>
      </c>
      <c r="Y1582" t="s">
        <v>45</v>
      </c>
      <c r="Z1582" t="s">
        <v>45</v>
      </c>
      <c r="AE1582" s="7">
        <v>46255</v>
      </c>
      <c r="AF1582">
        <v>2</v>
      </c>
      <c r="AH1582" t="s">
        <v>75</v>
      </c>
      <c r="AI1582">
        <v>1</v>
      </c>
      <c r="AJ1582" s="15"/>
      <c r="AK1582" t="s">
        <v>74</v>
      </c>
      <c r="AL1582" s="16"/>
      <c r="AR1582" s="18" t="str">
        <f>IFERROR(VLOOKUP(K1582,[1]POP!$F:$J,1,0),M1582)</f>
        <v>MAROUA 2</v>
      </c>
      <c r="AS1582" s="18" t="str">
        <f t="shared" si="121"/>
        <v xml:space="preserve">DOUALARE </v>
      </c>
      <c r="AT1582" s="19">
        <f t="shared" si="124"/>
        <v>2</v>
      </c>
      <c r="AU1582" s="19">
        <f t="shared" ca="1" si="123"/>
        <v>1</v>
      </c>
    </row>
    <row r="1583" spans="1:47" x14ac:dyDescent="0.3">
      <c r="A1583" t="s">
        <v>2313</v>
      </c>
      <c r="B1583" t="str">
        <f t="shared" si="120"/>
        <v>S34_2026</v>
      </c>
      <c r="C1583" t="str">
        <f t="shared" si="122"/>
        <v>S34_2026</v>
      </c>
      <c r="E1583">
        <v>690062860</v>
      </c>
      <c r="F1583">
        <v>22</v>
      </c>
      <c r="G1583" t="s">
        <v>40</v>
      </c>
      <c r="H1583" t="s">
        <v>77</v>
      </c>
      <c r="I1583" t="s">
        <v>2306</v>
      </c>
      <c r="J1583" t="s">
        <v>2058</v>
      </c>
      <c r="K1583" t="s">
        <v>1758</v>
      </c>
      <c r="L1583" t="s">
        <v>2058</v>
      </c>
      <c r="M1583" t="s">
        <v>1758</v>
      </c>
      <c r="N1583" t="s">
        <v>45</v>
      </c>
      <c r="O1583" t="s">
        <v>74</v>
      </c>
      <c r="P1583">
        <v>1</v>
      </c>
      <c r="Q1583" s="7">
        <v>46255</v>
      </c>
      <c r="R1583" s="7">
        <v>46255</v>
      </c>
      <c r="S1583" s="7">
        <v>46255</v>
      </c>
      <c r="T1583" t="s">
        <v>45</v>
      </c>
      <c r="V1583" t="s">
        <v>1759</v>
      </c>
      <c r="W1583" t="s">
        <v>45</v>
      </c>
      <c r="X1583" t="s">
        <v>45</v>
      </c>
      <c r="Y1583" t="s">
        <v>45</v>
      </c>
      <c r="Z1583" t="s">
        <v>45</v>
      </c>
      <c r="AA1583" s="7">
        <v>46255</v>
      </c>
      <c r="AB1583" t="s">
        <v>62</v>
      </c>
      <c r="AC1583" t="s">
        <v>45</v>
      </c>
      <c r="AD1583" t="s">
        <v>1122</v>
      </c>
      <c r="AE1583" s="7">
        <v>46257</v>
      </c>
      <c r="AF1583">
        <v>2</v>
      </c>
      <c r="AH1583" t="s">
        <v>75</v>
      </c>
      <c r="AI1583">
        <v>1</v>
      </c>
      <c r="AJ1583" s="15"/>
      <c r="AL1583" s="16"/>
      <c r="AR1583" s="18" t="str">
        <f>IFERROR(VLOOKUP(K1583,[1]POP!$F:$J,1,0),M1583)</f>
        <v>MAROUA 2</v>
      </c>
      <c r="AS1583" s="18" t="str">
        <f t="shared" si="121"/>
        <v xml:space="preserve">DOUALARE </v>
      </c>
      <c r="AT1583" s="19">
        <f t="shared" si="124"/>
        <v>2</v>
      </c>
      <c r="AU1583" s="19">
        <f t="shared" ca="1" si="123"/>
        <v>1</v>
      </c>
    </row>
    <row r="1584" spans="1:47" x14ac:dyDescent="0.3">
      <c r="A1584" t="s">
        <v>2314</v>
      </c>
      <c r="B1584" t="str">
        <f t="shared" si="120"/>
        <v>S34_2026</v>
      </c>
      <c r="C1584" t="str">
        <f t="shared" si="122"/>
        <v>S34_2026</v>
      </c>
      <c r="E1584">
        <v>690062860</v>
      </c>
      <c r="F1584">
        <v>8</v>
      </c>
      <c r="G1584" t="s">
        <v>55</v>
      </c>
      <c r="H1584" t="s">
        <v>56</v>
      </c>
      <c r="I1584" t="s">
        <v>2306</v>
      </c>
      <c r="J1584" t="s">
        <v>2058</v>
      </c>
      <c r="K1584" t="s">
        <v>1758</v>
      </c>
      <c r="L1584" t="s">
        <v>2058</v>
      </c>
      <c r="M1584" t="s">
        <v>1758</v>
      </c>
      <c r="N1584" t="s">
        <v>45</v>
      </c>
      <c r="O1584" t="s">
        <v>74</v>
      </c>
      <c r="P1584">
        <v>2</v>
      </c>
      <c r="Q1584" s="7">
        <v>46255</v>
      </c>
      <c r="R1584" s="7">
        <v>46255</v>
      </c>
      <c r="S1584" s="7">
        <v>46255</v>
      </c>
      <c r="T1584" t="s">
        <v>45</v>
      </c>
      <c r="V1584" t="s">
        <v>1759</v>
      </c>
      <c r="W1584" t="s">
        <v>45</v>
      </c>
      <c r="X1584" t="s">
        <v>45</v>
      </c>
      <c r="Y1584" t="s">
        <v>45</v>
      </c>
      <c r="Z1584" t="s">
        <v>45</v>
      </c>
      <c r="AA1584" s="7">
        <v>46255</v>
      </c>
      <c r="AB1584" t="s">
        <v>62</v>
      </c>
      <c r="AC1584" t="s">
        <v>45</v>
      </c>
      <c r="AD1584" t="s">
        <v>1122</v>
      </c>
      <c r="AE1584" s="7">
        <v>46256</v>
      </c>
      <c r="AF1584">
        <v>2</v>
      </c>
      <c r="AH1584" t="s">
        <v>75</v>
      </c>
      <c r="AI1584">
        <v>1</v>
      </c>
      <c r="AJ1584" s="15"/>
      <c r="AL1584" s="16"/>
      <c r="AR1584" s="18" t="str">
        <f>IFERROR(VLOOKUP(K1584,[1]POP!$F:$J,1,0),M1584)</f>
        <v>MAROUA 2</v>
      </c>
      <c r="AS1584" s="18" t="str">
        <f t="shared" si="121"/>
        <v xml:space="preserve">DOUALARE </v>
      </c>
      <c r="AT1584" s="19">
        <f t="shared" si="124"/>
        <v>2</v>
      </c>
      <c r="AU1584" s="19">
        <f t="shared" ca="1" si="123"/>
        <v>1</v>
      </c>
    </row>
    <row r="1585" spans="1:47" x14ac:dyDescent="0.3">
      <c r="A1585" t="s">
        <v>2315</v>
      </c>
      <c r="B1585" t="str">
        <f t="shared" si="120"/>
        <v>S34_2026</v>
      </c>
      <c r="C1585" t="str">
        <f t="shared" si="122"/>
        <v>S34_2026</v>
      </c>
      <c r="E1585">
        <v>692211616</v>
      </c>
      <c r="F1585">
        <v>20</v>
      </c>
      <c r="G1585" t="s">
        <v>40</v>
      </c>
      <c r="I1585" t="s">
        <v>2298</v>
      </c>
      <c r="J1585" t="s">
        <v>2058</v>
      </c>
      <c r="K1585" t="s">
        <v>1758</v>
      </c>
      <c r="L1585" t="s">
        <v>2058</v>
      </c>
      <c r="M1585" t="s">
        <v>1758</v>
      </c>
      <c r="N1585" t="s">
        <v>45</v>
      </c>
      <c r="O1585" t="s">
        <v>45</v>
      </c>
      <c r="P1585">
        <v>1</v>
      </c>
      <c r="Q1585" s="7">
        <v>46256</v>
      </c>
      <c r="R1585" s="7">
        <v>46256</v>
      </c>
      <c r="S1585" s="7">
        <v>46256</v>
      </c>
      <c r="T1585" t="s">
        <v>45</v>
      </c>
      <c r="V1585" t="s">
        <v>2059</v>
      </c>
      <c r="W1585" t="s">
        <v>45</v>
      </c>
      <c r="X1585" t="s">
        <v>45</v>
      </c>
      <c r="Y1585" t="s">
        <v>45</v>
      </c>
      <c r="Z1585" t="s">
        <v>45</v>
      </c>
      <c r="AE1585" s="7">
        <v>46256</v>
      </c>
      <c r="AF1585">
        <v>2</v>
      </c>
      <c r="AH1585" t="s">
        <v>75</v>
      </c>
      <c r="AI1585">
        <v>1</v>
      </c>
      <c r="AJ1585" s="15"/>
      <c r="AK1585" t="s">
        <v>74</v>
      </c>
      <c r="AL1585" s="16"/>
      <c r="AR1585" s="18" t="str">
        <f>IFERROR(VLOOKUP(K1585,[1]POP!$F:$J,1,0),M1585)</f>
        <v>MAROUA 2</v>
      </c>
      <c r="AS1585" s="18" t="str">
        <f t="shared" si="121"/>
        <v xml:space="preserve">DOUALARE </v>
      </c>
      <c r="AT1585" s="19">
        <f t="shared" si="124"/>
        <v>2</v>
      </c>
      <c r="AU1585" s="19">
        <f t="shared" ca="1" si="123"/>
        <v>1</v>
      </c>
    </row>
    <row r="1586" spans="1:47" x14ac:dyDescent="0.3">
      <c r="A1586" t="s">
        <v>2316</v>
      </c>
      <c r="B1586" t="str">
        <f t="shared" si="120"/>
        <v>S34_2026</v>
      </c>
      <c r="C1586" t="str">
        <f t="shared" si="122"/>
        <v>S34_2026</v>
      </c>
      <c r="E1586">
        <v>688140868</v>
      </c>
      <c r="F1586">
        <v>18</v>
      </c>
      <c r="G1586" t="s">
        <v>40</v>
      </c>
      <c r="H1586" t="s">
        <v>77</v>
      </c>
      <c r="I1586" t="s">
        <v>1757</v>
      </c>
      <c r="J1586" t="s">
        <v>2058</v>
      </c>
      <c r="K1586" t="s">
        <v>1758</v>
      </c>
      <c r="L1586" t="s">
        <v>2058</v>
      </c>
      <c r="M1586" t="s">
        <v>1758</v>
      </c>
      <c r="N1586" t="s">
        <v>45</v>
      </c>
      <c r="O1586" t="s">
        <v>74</v>
      </c>
      <c r="P1586">
        <v>2</v>
      </c>
      <c r="Q1586" s="7">
        <v>46255</v>
      </c>
      <c r="R1586" s="7">
        <v>46255</v>
      </c>
      <c r="S1586" s="7">
        <v>46255</v>
      </c>
      <c r="T1586" t="s">
        <v>45</v>
      </c>
      <c r="V1586" t="s">
        <v>1759</v>
      </c>
      <c r="W1586" t="s">
        <v>45</v>
      </c>
      <c r="X1586" t="s">
        <v>45</v>
      </c>
      <c r="Y1586" t="s">
        <v>45</v>
      </c>
      <c r="Z1586" t="s">
        <v>45</v>
      </c>
      <c r="AA1586" s="7">
        <v>46255</v>
      </c>
      <c r="AB1586" t="s">
        <v>48</v>
      </c>
      <c r="AC1586" t="s">
        <v>45</v>
      </c>
      <c r="AD1586" t="s">
        <v>48</v>
      </c>
      <c r="AH1586" t="s">
        <v>75</v>
      </c>
      <c r="AI1586">
        <v>0</v>
      </c>
      <c r="AJ1586" s="15"/>
      <c r="AL1586" s="16"/>
      <c r="AR1586" s="18" t="str">
        <f>IFERROR(VLOOKUP(K1586,[1]POP!$F:$J,1,0),M1586)</f>
        <v>MAROUA 2</v>
      </c>
      <c r="AS1586" s="18" t="str">
        <f t="shared" si="121"/>
        <v xml:space="preserve">DOUALARE </v>
      </c>
      <c r="AT1586" s="19">
        <f t="shared" si="124"/>
        <v>0</v>
      </c>
      <c r="AU1586" s="19">
        <f t="shared" ca="1" si="123"/>
        <v>1</v>
      </c>
    </row>
    <row r="1587" spans="1:47" x14ac:dyDescent="0.3">
      <c r="A1587" t="s">
        <v>2317</v>
      </c>
      <c r="B1587" t="str">
        <f t="shared" si="120"/>
        <v>S34_2026</v>
      </c>
      <c r="C1587" t="str">
        <f t="shared" si="122"/>
        <v>S34_2026</v>
      </c>
      <c r="E1587">
        <v>694953515</v>
      </c>
      <c r="F1587">
        <v>1</v>
      </c>
      <c r="G1587" t="s">
        <v>55</v>
      </c>
      <c r="H1587" t="s">
        <v>85</v>
      </c>
      <c r="I1587" t="s">
        <v>2318</v>
      </c>
      <c r="J1587" t="s">
        <v>2058</v>
      </c>
      <c r="K1587" t="s">
        <v>1758</v>
      </c>
      <c r="L1587" t="s">
        <v>2058</v>
      </c>
      <c r="M1587" t="s">
        <v>1758</v>
      </c>
      <c r="N1587" t="s">
        <v>45</v>
      </c>
      <c r="O1587" t="s">
        <v>74</v>
      </c>
      <c r="P1587">
        <v>2</v>
      </c>
      <c r="Q1587" s="7">
        <v>46256</v>
      </c>
      <c r="R1587" s="7">
        <v>46256</v>
      </c>
      <c r="S1587" s="7">
        <v>46256</v>
      </c>
      <c r="T1587" t="s">
        <v>45</v>
      </c>
      <c r="AA1587" s="7">
        <v>46256</v>
      </c>
      <c r="AB1587" t="s">
        <v>48</v>
      </c>
      <c r="AC1587" t="s">
        <v>45</v>
      </c>
      <c r="AD1587" t="s">
        <v>48</v>
      </c>
      <c r="AE1587" s="7">
        <v>46258</v>
      </c>
      <c r="AF1587">
        <v>2</v>
      </c>
      <c r="AH1587" t="s">
        <v>75</v>
      </c>
      <c r="AI1587">
        <v>1</v>
      </c>
      <c r="AJ1587" s="15"/>
      <c r="AL1587" s="16"/>
      <c r="AR1587" s="18" t="str">
        <f>IFERROR(VLOOKUP(K1587,[1]POP!$F:$J,1,0),M1587)</f>
        <v>MAROUA 2</v>
      </c>
      <c r="AS1587" s="18" t="str">
        <f t="shared" si="121"/>
        <v xml:space="preserve">DOUALARE </v>
      </c>
      <c r="AT1587" s="19">
        <f t="shared" si="124"/>
        <v>2</v>
      </c>
      <c r="AU1587" s="19">
        <f t="shared" ca="1" si="123"/>
        <v>1</v>
      </c>
    </row>
    <row r="1588" spans="1:47" x14ac:dyDescent="0.3">
      <c r="A1588" t="s">
        <v>2319</v>
      </c>
      <c r="B1588" t="str">
        <f t="shared" si="120"/>
        <v>S34_2026</v>
      </c>
      <c r="C1588" t="str">
        <f t="shared" si="122"/>
        <v>S34_2026</v>
      </c>
      <c r="E1588">
        <v>69787047</v>
      </c>
      <c r="F1588">
        <v>12</v>
      </c>
      <c r="G1588" t="s">
        <v>55</v>
      </c>
      <c r="H1588" t="s">
        <v>56</v>
      </c>
      <c r="I1588" t="s">
        <v>2320</v>
      </c>
      <c r="J1588" t="s">
        <v>2321</v>
      </c>
      <c r="K1588" t="s">
        <v>1471</v>
      </c>
      <c r="L1588" t="s">
        <v>2321</v>
      </c>
      <c r="M1588" t="s">
        <v>1471</v>
      </c>
      <c r="N1588" t="s">
        <v>45</v>
      </c>
      <c r="O1588" t="s">
        <v>74</v>
      </c>
      <c r="P1588">
        <v>1</v>
      </c>
      <c r="Q1588" s="7">
        <v>46253</v>
      </c>
      <c r="R1588" s="7">
        <v>46253</v>
      </c>
      <c r="S1588" s="7">
        <v>46253</v>
      </c>
      <c r="T1588" t="s">
        <v>45</v>
      </c>
      <c r="V1588" t="s">
        <v>1759</v>
      </c>
      <c r="W1588" t="s">
        <v>45</v>
      </c>
      <c r="X1588" t="s">
        <v>45</v>
      </c>
      <c r="Y1588" t="s">
        <v>45</v>
      </c>
      <c r="Z1588" t="s">
        <v>45</v>
      </c>
      <c r="AA1588" s="7">
        <v>46253</v>
      </c>
      <c r="AB1588" t="s">
        <v>48</v>
      </c>
      <c r="AC1588" t="s">
        <v>45</v>
      </c>
      <c r="AD1588" t="s">
        <v>62</v>
      </c>
      <c r="AH1588" t="s">
        <v>75</v>
      </c>
      <c r="AI1588">
        <v>0</v>
      </c>
      <c r="AJ1588" s="15"/>
      <c r="AL1588" s="16"/>
      <c r="AR1588" s="18" t="str">
        <f>IFERROR(VLOOKUP(K1588,[1]POP!$F:$J,1,0),M1588)</f>
        <v>HINA</v>
      </c>
      <c r="AS1588" s="18" t="str">
        <f t="shared" si="121"/>
        <v>BOUDOUM</v>
      </c>
      <c r="AT1588" s="19">
        <f t="shared" si="124"/>
        <v>0</v>
      </c>
      <c r="AU1588" s="19">
        <f t="shared" ca="1" si="123"/>
        <v>1</v>
      </c>
    </row>
    <row r="1589" spans="1:47" x14ac:dyDescent="0.3">
      <c r="A1589" t="s">
        <v>2322</v>
      </c>
      <c r="B1589" t="str">
        <f t="shared" si="120"/>
        <v>S34_2026</v>
      </c>
      <c r="C1589" t="str">
        <f t="shared" si="122"/>
        <v>S34_2026</v>
      </c>
      <c r="E1589">
        <v>694111518</v>
      </c>
      <c r="F1589">
        <v>8</v>
      </c>
      <c r="G1589" t="s">
        <v>55</v>
      </c>
      <c r="H1589" t="s">
        <v>56</v>
      </c>
      <c r="I1589" t="s">
        <v>2320</v>
      </c>
      <c r="J1589" t="s">
        <v>2321</v>
      </c>
      <c r="K1589" t="s">
        <v>1471</v>
      </c>
      <c r="L1589" t="s">
        <v>2321</v>
      </c>
      <c r="M1589" t="s">
        <v>1471</v>
      </c>
      <c r="N1589" t="s">
        <v>45</v>
      </c>
      <c r="O1589" t="s">
        <v>74</v>
      </c>
      <c r="P1589">
        <v>1</v>
      </c>
      <c r="Q1589" s="7">
        <v>46253</v>
      </c>
      <c r="R1589" s="7">
        <v>46252</v>
      </c>
      <c r="S1589" s="7">
        <v>46253</v>
      </c>
      <c r="T1589" t="s">
        <v>45</v>
      </c>
      <c r="V1589" t="s">
        <v>1759</v>
      </c>
      <c r="W1589" t="s">
        <v>45</v>
      </c>
      <c r="X1589" t="s">
        <v>45</v>
      </c>
      <c r="Y1589" t="s">
        <v>45</v>
      </c>
      <c r="Z1589" t="s">
        <v>45</v>
      </c>
      <c r="AA1589" s="7">
        <v>46253</v>
      </c>
      <c r="AB1589" t="s">
        <v>48</v>
      </c>
      <c r="AC1589" t="s">
        <v>45</v>
      </c>
      <c r="AD1589" t="s">
        <v>62</v>
      </c>
      <c r="AH1589" t="s">
        <v>75</v>
      </c>
      <c r="AI1589">
        <v>0</v>
      </c>
      <c r="AJ1589" s="15"/>
      <c r="AL1589" s="16"/>
      <c r="AR1589" s="18" t="str">
        <f>IFERROR(VLOOKUP(K1589,[1]POP!$F:$J,1,0),M1589)</f>
        <v>HINA</v>
      </c>
      <c r="AS1589" s="18" t="str">
        <f t="shared" si="121"/>
        <v>BOUDOUM</v>
      </c>
      <c r="AT1589" s="19">
        <f t="shared" si="124"/>
        <v>0</v>
      </c>
      <c r="AU1589" s="19">
        <f t="shared" ca="1" si="123"/>
        <v>1</v>
      </c>
    </row>
    <row r="1590" spans="1:47" x14ac:dyDescent="0.3">
      <c r="A1590" t="s">
        <v>2323</v>
      </c>
      <c r="B1590" t="str">
        <f t="shared" si="120"/>
        <v>S31_2026</v>
      </c>
      <c r="C1590" t="str">
        <f t="shared" si="122"/>
        <v>S31_2026</v>
      </c>
      <c r="F1590">
        <v>10</v>
      </c>
      <c r="G1590" t="s">
        <v>40</v>
      </c>
      <c r="H1590" t="s">
        <v>85</v>
      </c>
      <c r="I1590" t="s">
        <v>1115</v>
      </c>
      <c r="J1590" t="s">
        <v>1067</v>
      </c>
      <c r="K1590" t="s">
        <v>1068</v>
      </c>
      <c r="L1590" t="s">
        <v>1067</v>
      </c>
      <c r="M1590" t="s">
        <v>1068</v>
      </c>
      <c r="N1590" t="s">
        <v>45</v>
      </c>
      <c r="O1590" t="s">
        <v>74</v>
      </c>
      <c r="P1590">
        <v>2</v>
      </c>
      <c r="Q1590" s="7">
        <v>46232</v>
      </c>
      <c r="R1590" s="7">
        <v>46232</v>
      </c>
      <c r="S1590" s="7">
        <v>46232</v>
      </c>
      <c r="T1590" t="s">
        <v>45</v>
      </c>
      <c r="V1590" t="s">
        <v>1119</v>
      </c>
      <c r="W1590" t="s">
        <v>45</v>
      </c>
      <c r="X1590" t="s">
        <v>45</v>
      </c>
      <c r="Y1590" t="s">
        <v>45</v>
      </c>
      <c r="Z1590" t="s">
        <v>45</v>
      </c>
      <c r="AB1590" t="s">
        <v>48</v>
      </c>
      <c r="AC1590" t="s">
        <v>74</v>
      </c>
      <c r="AE1590" s="7">
        <v>46234</v>
      </c>
      <c r="AF1590">
        <v>2</v>
      </c>
      <c r="AH1590" t="s">
        <v>75</v>
      </c>
      <c r="AI1590">
        <v>1</v>
      </c>
      <c r="AJ1590" s="15"/>
      <c r="AK1590" t="s">
        <v>74</v>
      </c>
      <c r="AL1590" s="16"/>
      <c r="AR1590" s="18" t="str">
        <f>IFERROR(VLOOKUP(K1590,[1]POP!$F:$J,1,0),M1590)</f>
        <v>MOKOLO</v>
      </c>
      <c r="AS1590" s="18" t="str">
        <f t="shared" si="121"/>
        <v>MINAWAO</v>
      </c>
      <c r="AT1590" s="19">
        <f t="shared" si="124"/>
        <v>2</v>
      </c>
      <c r="AU1590" s="19">
        <f t="shared" ca="1" si="123"/>
        <v>2</v>
      </c>
    </row>
    <row r="1591" spans="1:47" x14ac:dyDescent="0.3">
      <c r="A1591" t="s">
        <v>2324</v>
      </c>
      <c r="B1591" t="str">
        <f t="shared" si="120"/>
        <v>S33_2026</v>
      </c>
      <c r="C1591" t="str">
        <f t="shared" si="122"/>
        <v>S33_2026</v>
      </c>
      <c r="F1591">
        <v>11</v>
      </c>
      <c r="G1591" t="s">
        <v>55</v>
      </c>
      <c r="H1591" t="s">
        <v>85</v>
      </c>
      <c r="I1591" t="s">
        <v>1766</v>
      </c>
      <c r="J1591" t="s">
        <v>1067</v>
      </c>
      <c r="K1591" t="s">
        <v>1068</v>
      </c>
      <c r="L1591" t="s">
        <v>1067</v>
      </c>
      <c r="M1591" t="s">
        <v>1068</v>
      </c>
      <c r="N1591" t="s">
        <v>45</v>
      </c>
      <c r="O1591" t="s">
        <v>45</v>
      </c>
      <c r="P1591">
        <v>2</v>
      </c>
      <c r="Q1591" s="7">
        <v>46245</v>
      </c>
      <c r="R1591" s="7">
        <v>46245</v>
      </c>
      <c r="S1591" s="7">
        <v>46245</v>
      </c>
      <c r="T1591" t="s">
        <v>45</v>
      </c>
      <c r="V1591" t="s">
        <v>1331</v>
      </c>
      <c r="W1591" t="s">
        <v>45</v>
      </c>
      <c r="X1591" t="s">
        <v>45</v>
      </c>
      <c r="Y1591" t="s">
        <v>45</v>
      </c>
      <c r="Z1591" t="s">
        <v>45</v>
      </c>
      <c r="AC1591" t="s">
        <v>74</v>
      </c>
      <c r="AE1591" s="7">
        <v>46255</v>
      </c>
      <c r="AH1591" t="s">
        <v>75</v>
      </c>
      <c r="AI1591">
        <v>0</v>
      </c>
      <c r="AJ1591" s="15"/>
      <c r="AK1591" t="s">
        <v>74</v>
      </c>
      <c r="AL1591" s="16"/>
      <c r="AR1591" s="18" t="str">
        <f>IFERROR(VLOOKUP(K1591,[1]POP!$F:$J,1,0),M1591)</f>
        <v>MOKOLO</v>
      </c>
      <c r="AS1591" s="18" t="str">
        <f t="shared" si="121"/>
        <v>MINAWAO</v>
      </c>
      <c r="AT1591" s="19">
        <f t="shared" si="124"/>
        <v>0</v>
      </c>
      <c r="AU1591" s="19">
        <f t="shared" ca="1" si="123"/>
        <v>2</v>
      </c>
    </row>
    <row r="1592" spans="1:47" x14ac:dyDescent="0.3">
      <c r="A1592" t="s">
        <v>2325</v>
      </c>
      <c r="B1592" t="str">
        <f t="shared" si="120"/>
        <v>S35_2026</v>
      </c>
      <c r="C1592" t="str">
        <f t="shared" si="122"/>
        <v>S35_2026</v>
      </c>
      <c r="F1592">
        <v>9</v>
      </c>
      <c r="G1592" t="s">
        <v>40</v>
      </c>
      <c r="H1592" t="s">
        <v>85</v>
      </c>
      <c r="I1592" t="s">
        <v>2326</v>
      </c>
      <c r="J1592" t="s">
        <v>1067</v>
      </c>
      <c r="K1592" t="s">
        <v>1068</v>
      </c>
      <c r="L1592" t="s">
        <v>1067</v>
      </c>
      <c r="M1592" t="s">
        <v>1068</v>
      </c>
      <c r="N1592" t="s">
        <v>45</v>
      </c>
      <c r="O1592" t="s">
        <v>45</v>
      </c>
      <c r="P1592">
        <v>1</v>
      </c>
      <c r="Q1592" s="7">
        <v>46258</v>
      </c>
      <c r="R1592" s="7">
        <v>46258</v>
      </c>
      <c r="S1592" s="7">
        <v>46258</v>
      </c>
      <c r="T1592" t="s">
        <v>45</v>
      </c>
      <c r="V1592" t="s">
        <v>1331</v>
      </c>
      <c r="W1592" t="s">
        <v>45</v>
      </c>
      <c r="X1592" t="s">
        <v>45</v>
      </c>
      <c r="Y1592" t="s">
        <v>45</v>
      </c>
      <c r="Z1592" t="s">
        <v>45</v>
      </c>
      <c r="AC1592" t="s">
        <v>74</v>
      </c>
      <c r="AH1592" t="s">
        <v>75</v>
      </c>
      <c r="AI1592">
        <v>0</v>
      </c>
      <c r="AJ1592" s="15"/>
      <c r="AK1592" t="s">
        <v>45</v>
      </c>
      <c r="AL1592" s="16"/>
      <c r="AR1592" s="18" t="str">
        <f>IFERROR(VLOOKUP(K1592,[1]POP!$F:$J,1,0),M1592)</f>
        <v>MOKOLO</v>
      </c>
      <c r="AS1592" s="18" t="str">
        <f t="shared" si="121"/>
        <v>MINAWAO</v>
      </c>
      <c r="AT1592" s="19">
        <f t="shared" si="124"/>
        <v>0</v>
      </c>
      <c r="AU1592" s="19">
        <f t="shared" ca="1" si="123"/>
        <v>1</v>
      </c>
    </row>
    <row r="1593" spans="1:47" x14ac:dyDescent="0.3">
      <c r="A1593" t="s">
        <v>2327</v>
      </c>
      <c r="B1593" t="str">
        <f t="shared" si="120"/>
        <v>S35_2026</v>
      </c>
      <c r="C1593" t="str">
        <f t="shared" si="122"/>
        <v>S35_2026</v>
      </c>
      <c r="F1593">
        <v>1</v>
      </c>
      <c r="G1593" t="s">
        <v>55</v>
      </c>
      <c r="H1593" t="s">
        <v>85</v>
      </c>
      <c r="I1593" t="s">
        <v>2328</v>
      </c>
      <c r="J1593" t="s">
        <v>1067</v>
      </c>
      <c r="K1593" t="s">
        <v>1068</v>
      </c>
      <c r="L1593" t="s">
        <v>1067</v>
      </c>
      <c r="M1593" t="s">
        <v>1068</v>
      </c>
      <c r="N1593" t="s">
        <v>45</v>
      </c>
      <c r="O1593" t="s">
        <v>45</v>
      </c>
      <c r="P1593">
        <v>3</v>
      </c>
      <c r="Q1593" s="7">
        <v>46258</v>
      </c>
      <c r="R1593" s="7">
        <v>46258</v>
      </c>
      <c r="S1593" s="7">
        <v>46258</v>
      </c>
      <c r="T1593" t="s">
        <v>45</v>
      </c>
      <c r="V1593" t="s">
        <v>1331</v>
      </c>
      <c r="W1593" t="s">
        <v>45</v>
      </c>
      <c r="X1593" t="s">
        <v>45</v>
      </c>
      <c r="Y1593" t="s">
        <v>45</v>
      </c>
      <c r="Z1593" t="s">
        <v>45</v>
      </c>
      <c r="AC1593" t="s">
        <v>74</v>
      </c>
      <c r="AE1593" s="7">
        <v>46260</v>
      </c>
      <c r="AF1593">
        <v>2</v>
      </c>
      <c r="AH1593" t="s">
        <v>75</v>
      </c>
      <c r="AI1593">
        <v>1</v>
      </c>
      <c r="AJ1593" s="15"/>
      <c r="AK1593" t="s">
        <v>74</v>
      </c>
      <c r="AL1593" s="16"/>
      <c r="AR1593" s="18" t="str">
        <f>IFERROR(VLOOKUP(K1593,[1]POP!$F:$J,1,0),M1593)</f>
        <v>MOKOLO</v>
      </c>
      <c r="AS1593" s="18" t="str">
        <f t="shared" si="121"/>
        <v>MINAWAO</v>
      </c>
      <c r="AT1593" s="19">
        <f t="shared" si="124"/>
        <v>2</v>
      </c>
      <c r="AU1593" s="19">
        <f t="shared" ca="1" si="123"/>
        <v>1</v>
      </c>
    </row>
    <row r="1594" spans="1:47" x14ac:dyDescent="0.3">
      <c r="A1594" t="s">
        <v>2329</v>
      </c>
      <c r="B1594" t="str">
        <f t="shared" si="120"/>
        <v>S35_2026</v>
      </c>
      <c r="C1594" t="str">
        <f t="shared" si="122"/>
        <v>S35_2026</v>
      </c>
      <c r="F1594">
        <v>15</v>
      </c>
      <c r="G1594" t="s">
        <v>55</v>
      </c>
      <c r="H1594" t="s">
        <v>56</v>
      </c>
      <c r="I1594" t="s">
        <v>2272</v>
      </c>
      <c r="J1594" t="s">
        <v>1067</v>
      </c>
      <c r="K1594" t="s">
        <v>1068</v>
      </c>
      <c r="L1594" t="s">
        <v>1067</v>
      </c>
      <c r="M1594" t="s">
        <v>1068</v>
      </c>
      <c r="N1594" t="s">
        <v>45</v>
      </c>
      <c r="O1594" t="s">
        <v>45</v>
      </c>
      <c r="P1594">
        <v>2</v>
      </c>
      <c r="Q1594" s="7">
        <v>46258</v>
      </c>
      <c r="R1594" s="7">
        <v>46258</v>
      </c>
      <c r="S1594" s="7">
        <v>46258</v>
      </c>
      <c r="T1594" t="s">
        <v>45</v>
      </c>
      <c r="V1594" t="s">
        <v>1331</v>
      </c>
      <c r="W1594" t="s">
        <v>45</v>
      </c>
      <c r="X1594" t="s">
        <v>45</v>
      </c>
      <c r="Y1594" t="s">
        <v>45</v>
      </c>
      <c r="Z1594" t="s">
        <v>45</v>
      </c>
      <c r="AC1594" t="s">
        <v>74</v>
      </c>
      <c r="AE1594" s="7">
        <v>46260</v>
      </c>
      <c r="AF1594">
        <v>2</v>
      </c>
      <c r="AH1594" t="s">
        <v>75</v>
      </c>
      <c r="AI1594">
        <v>1</v>
      </c>
      <c r="AJ1594" s="15"/>
      <c r="AK1594" t="s">
        <v>45</v>
      </c>
      <c r="AL1594" s="16"/>
      <c r="AR1594" s="18" t="str">
        <f>IFERROR(VLOOKUP(K1594,[1]POP!$F:$J,1,0),M1594)</f>
        <v>MOKOLO</v>
      </c>
      <c r="AS1594" s="18" t="str">
        <f t="shared" si="121"/>
        <v>MINAWAO</v>
      </c>
      <c r="AT1594" s="19">
        <f t="shared" si="124"/>
        <v>2</v>
      </c>
      <c r="AU1594" s="19">
        <f t="shared" ca="1" si="123"/>
        <v>1</v>
      </c>
    </row>
    <row r="1595" spans="1:47" x14ac:dyDescent="0.3">
      <c r="A1595" t="s">
        <v>2330</v>
      </c>
      <c r="B1595" t="str">
        <f t="shared" si="120"/>
        <v>S35_2026</v>
      </c>
      <c r="C1595" t="str">
        <f t="shared" si="122"/>
        <v>S35_2026</v>
      </c>
      <c r="F1595">
        <v>3</v>
      </c>
      <c r="G1595" t="s">
        <v>55</v>
      </c>
      <c r="H1595" t="s">
        <v>85</v>
      </c>
      <c r="I1595" t="s">
        <v>2331</v>
      </c>
      <c r="J1595" t="s">
        <v>1067</v>
      </c>
      <c r="K1595" t="s">
        <v>1068</v>
      </c>
      <c r="L1595" t="s">
        <v>1067</v>
      </c>
      <c r="M1595" t="s">
        <v>1068</v>
      </c>
      <c r="N1595" t="s">
        <v>45</v>
      </c>
      <c r="O1595" t="s">
        <v>45</v>
      </c>
      <c r="P1595">
        <v>3</v>
      </c>
      <c r="Q1595" s="7">
        <v>46258</v>
      </c>
      <c r="R1595" s="7">
        <v>46258</v>
      </c>
      <c r="S1595" s="7">
        <v>46258</v>
      </c>
      <c r="T1595" t="s">
        <v>45</v>
      </c>
      <c r="V1595" t="s">
        <v>1331</v>
      </c>
      <c r="W1595" t="s">
        <v>45</v>
      </c>
      <c r="X1595" t="s">
        <v>45</v>
      </c>
      <c r="Y1595" t="s">
        <v>45</v>
      </c>
      <c r="Z1595" t="s">
        <v>45</v>
      </c>
      <c r="AC1595" t="s">
        <v>74</v>
      </c>
      <c r="AE1595" s="7">
        <v>46260</v>
      </c>
      <c r="AF1595">
        <v>2</v>
      </c>
      <c r="AH1595" t="s">
        <v>75</v>
      </c>
      <c r="AI1595">
        <v>1</v>
      </c>
      <c r="AJ1595" s="15"/>
      <c r="AK1595" t="s">
        <v>74</v>
      </c>
      <c r="AL1595" s="16"/>
      <c r="AR1595" s="18" t="str">
        <f>IFERROR(VLOOKUP(K1595,[1]POP!$F:$J,1,0),M1595)</f>
        <v>MOKOLO</v>
      </c>
      <c r="AS1595" s="18" t="str">
        <f t="shared" si="121"/>
        <v>MINAWAO</v>
      </c>
      <c r="AT1595" s="19">
        <f t="shared" si="124"/>
        <v>2</v>
      </c>
      <c r="AU1595" s="19">
        <f t="shared" ca="1" si="123"/>
        <v>1</v>
      </c>
    </row>
    <row r="1596" spans="1:47" x14ac:dyDescent="0.3">
      <c r="A1596" t="s">
        <v>2332</v>
      </c>
      <c r="B1596" t="str">
        <f t="shared" si="120"/>
        <v>S35_2026</v>
      </c>
      <c r="C1596" t="str">
        <f t="shared" si="122"/>
        <v>S35_2026</v>
      </c>
      <c r="F1596">
        <v>16</v>
      </c>
      <c r="G1596" t="s">
        <v>40</v>
      </c>
      <c r="H1596" t="s">
        <v>77</v>
      </c>
      <c r="I1596" t="s">
        <v>2333</v>
      </c>
      <c r="J1596" t="s">
        <v>1067</v>
      </c>
      <c r="K1596" t="s">
        <v>1068</v>
      </c>
      <c r="L1596" t="s">
        <v>1067</v>
      </c>
      <c r="M1596" t="s">
        <v>1068</v>
      </c>
      <c r="N1596" t="s">
        <v>45</v>
      </c>
      <c r="O1596" t="s">
        <v>45</v>
      </c>
      <c r="P1596">
        <v>3</v>
      </c>
      <c r="Q1596" s="7">
        <v>46258</v>
      </c>
      <c r="R1596" s="7">
        <v>46258</v>
      </c>
      <c r="S1596" s="7">
        <v>46258</v>
      </c>
      <c r="T1596" t="s">
        <v>45</v>
      </c>
      <c r="V1596" t="s">
        <v>1331</v>
      </c>
      <c r="W1596" t="s">
        <v>45</v>
      </c>
      <c r="X1596" t="s">
        <v>45</v>
      </c>
      <c r="Y1596" t="s">
        <v>45</v>
      </c>
      <c r="Z1596" t="s">
        <v>45</v>
      </c>
      <c r="AC1596" t="s">
        <v>74</v>
      </c>
      <c r="AH1596" t="s">
        <v>75</v>
      </c>
      <c r="AI1596">
        <v>0</v>
      </c>
      <c r="AJ1596" s="15"/>
      <c r="AK1596" t="s">
        <v>45</v>
      </c>
      <c r="AL1596" s="16"/>
      <c r="AR1596" s="18" t="str">
        <f>IFERROR(VLOOKUP(K1596,[1]POP!$F:$J,1,0),M1596)</f>
        <v>MOKOLO</v>
      </c>
      <c r="AS1596" s="18" t="str">
        <f t="shared" si="121"/>
        <v>MINAWAO</v>
      </c>
      <c r="AT1596" s="19">
        <f t="shared" si="124"/>
        <v>0</v>
      </c>
      <c r="AU1596" s="19">
        <f t="shared" ca="1" si="123"/>
        <v>1</v>
      </c>
    </row>
    <row r="1597" spans="1:47" x14ac:dyDescent="0.3">
      <c r="A1597" t="s">
        <v>2334</v>
      </c>
      <c r="B1597" t="str">
        <f t="shared" si="120"/>
        <v>S35_2026</v>
      </c>
      <c r="C1597" t="str">
        <f t="shared" si="122"/>
        <v>S35_2026</v>
      </c>
      <c r="F1597">
        <v>8</v>
      </c>
      <c r="G1597" t="s">
        <v>55</v>
      </c>
      <c r="H1597" t="s">
        <v>56</v>
      </c>
      <c r="I1597" t="s">
        <v>2335</v>
      </c>
      <c r="J1597" t="s">
        <v>1067</v>
      </c>
      <c r="K1597" t="s">
        <v>1068</v>
      </c>
      <c r="L1597" t="s">
        <v>1067</v>
      </c>
      <c r="M1597" t="s">
        <v>1068</v>
      </c>
      <c r="N1597" t="s">
        <v>45</v>
      </c>
      <c r="O1597" t="s">
        <v>45</v>
      </c>
      <c r="P1597">
        <v>3</v>
      </c>
      <c r="Q1597" s="7">
        <v>46258</v>
      </c>
      <c r="R1597" s="7">
        <v>46258</v>
      </c>
      <c r="S1597" s="7">
        <v>46258</v>
      </c>
      <c r="T1597" t="s">
        <v>45</v>
      </c>
      <c r="V1597" t="s">
        <v>1331</v>
      </c>
      <c r="W1597" t="s">
        <v>45</v>
      </c>
      <c r="X1597" t="s">
        <v>45</v>
      </c>
      <c r="Y1597" t="s">
        <v>45</v>
      </c>
      <c r="Z1597" t="s">
        <v>45</v>
      </c>
      <c r="AC1597" t="s">
        <v>74</v>
      </c>
      <c r="AH1597" t="s">
        <v>75</v>
      </c>
      <c r="AI1597">
        <v>0</v>
      </c>
      <c r="AJ1597" s="15"/>
      <c r="AK1597" t="s">
        <v>45</v>
      </c>
      <c r="AL1597" s="16"/>
      <c r="AR1597" s="18" t="str">
        <f>IFERROR(VLOOKUP(K1597,[1]POP!$F:$J,1,0),M1597)</f>
        <v>MOKOLO</v>
      </c>
      <c r="AS1597" s="18" t="str">
        <f t="shared" si="121"/>
        <v>MINAWAO</v>
      </c>
      <c r="AT1597" s="19">
        <f t="shared" si="124"/>
        <v>0</v>
      </c>
      <c r="AU1597" s="19">
        <f t="shared" ca="1" si="123"/>
        <v>1</v>
      </c>
    </row>
    <row r="1598" spans="1:47" x14ac:dyDescent="0.3">
      <c r="A1598" t="s">
        <v>2336</v>
      </c>
      <c r="B1598" t="str">
        <f t="shared" si="120"/>
        <v>S35_2026</v>
      </c>
      <c r="C1598" t="str">
        <f t="shared" si="122"/>
        <v>S35_2026</v>
      </c>
      <c r="F1598">
        <v>12</v>
      </c>
      <c r="G1598" t="s">
        <v>40</v>
      </c>
      <c r="H1598" t="s">
        <v>56</v>
      </c>
      <c r="I1598" t="s">
        <v>2337</v>
      </c>
      <c r="J1598" t="s">
        <v>1067</v>
      </c>
      <c r="K1598" t="s">
        <v>1068</v>
      </c>
      <c r="L1598" t="s">
        <v>1067</v>
      </c>
      <c r="M1598" t="s">
        <v>1068</v>
      </c>
      <c r="N1598" t="s">
        <v>45</v>
      </c>
      <c r="O1598" t="s">
        <v>45</v>
      </c>
      <c r="P1598">
        <v>2</v>
      </c>
      <c r="Q1598" s="7">
        <v>46258</v>
      </c>
      <c r="R1598" s="7">
        <v>46258</v>
      </c>
      <c r="S1598" s="7">
        <v>46258</v>
      </c>
      <c r="T1598" t="s">
        <v>45</v>
      </c>
      <c r="V1598" t="s">
        <v>1331</v>
      </c>
      <c r="W1598" t="s">
        <v>45</v>
      </c>
      <c r="X1598" t="s">
        <v>45</v>
      </c>
      <c r="Y1598" t="s">
        <v>45</v>
      </c>
      <c r="Z1598" t="s">
        <v>45</v>
      </c>
      <c r="AC1598" t="s">
        <v>74</v>
      </c>
      <c r="AH1598" t="s">
        <v>75</v>
      </c>
      <c r="AI1598">
        <v>0</v>
      </c>
      <c r="AJ1598" s="15"/>
      <c r="AK1598" t="s">
        <v>45</v>
      </c>
      <c r="AL1598" s="16"/>
      <c r="AR1598" s="18" t="str">
        <f>IFERROR(VLOOKUP(K1598,[1]POP!$F:$J,1,0),M1598)</f>
        <v>MOKOLO</v>
      </c>
      <c r="AS1598" s="18" t="str">
        <f t="shared" si="121"/>
        <v>MINAWAO</v>
      </c>
      <c r="AT1598" s="19">
        <f t="shared" si="124"/>
        <v>0</v>
      </c>
      <c r="AU1598" s="19">
        <f t="shared" ca="1" si="123"/>
        <v>1</v>
      </c>
    </row>
    <row r="1599" spans="1:47" x14ac:dyDescent="0.3">
      <c r="A1599" t="s">
        <v>2338</v>
      </c>
      <c r="B1599" t="str">
        <f t="shared" si="120"/>
        <v>S35_2026</v>
      </c>
      <c r="C1599" t="str">
        <f t="shared" si="122"/>
        <v>S35_2026</v>
      </c>
      <c r="F1599">
        <v>26</v>
      </c>
      <c r="G1599" t="s">
        <v>40</v>
      </c>
      <c r="H1599" t="s">
        <v>77</v>
      </c>
      <c r="I1599" t="s">
        <v>2339</v>
      </c>
      <c r="J1599" t="s">
        <v>1067</v>
      </c>
      <c r="K1599" t="s">
        <v>1068</v>
      </c>
      <c r="L1599" t="s">
        <v>1067</v>
      </c>
      <c r="M1599" t="s">
        <v>1068</v>
      </c>
      <c r="N1599" t="s">
        <v>45</v>
      </c>
      <c r="O1599" t="s">
        <v>45</v>
      </c>
      <c r="P1599">
        <v>2</v>
      </c>
      <c r="Q1599" s="7">
        <v>46258</v>
      </c>
      <c r="R1599" s="7">
        <v>46258</v>
      </c>
      <c r="S1599" s="7">
        <v>46258</v>
      </c>
      <c r="T1599" t="s">
        <v>45</v>
      </c>
      <c r="V1599" t="s">
        <v>1331</v>
      </c>
      <c r="W1599" t="s">
        <v>45</v>
      </c>
      <c r="X1599" t="s">
        <v>45</v>
      </c>
      <c r="Y1599" t="s">
        <v>45</v>
      </c>
      <c r="Z1599" t="s">
        <v>45</v>
      </c>
      <c r="AC1599" t="s">
        <v>74</v>
      </c>
      <c r="AH1599" t="s">
        <v>75</v>
      </c>
      <c r="AI1599">
        <v>0</v>
      </c>
      <c r="AJ1599" s="15"/>
      <c r="AK1599" t="s">
        <v>45</v>
      </c>
      <c r="AL1599" s="16"/>
      <c r="AR1599" s="18" t="str">
        <f>IFERROR(VLOOKUP(K1599,[1]POP!$F:$J,1,0),M1599)</f>
        <v>MOKOLO</v>
      </c>
      <c r="AS1599" s="18" t="str">
        <f t="shared" si="121"/>
        <v>MINAWAO</v>
      </c>
      <c r="AT1599" s="19">
        <f t="shared" si="124"/>
        <v>0</v>
      </c>
      <c r="AU1599" s="19">
        <f t="shared" ca="1" si="123"/>
        <v>1</v>
      </c>
    </row>
    <row r="1600" spans="1:47" x14ac:dyDescent="0.3">
      <c r="A1600" t="s">
        <v>2340</v>
      </c>
      <c r="B1600" t="str">
        <f t="shared" si="120"/>
        <v>S35_2026</v>
      </c>
      <c r="C1600" t="str">
        <f t="shared" si="122"/>
        <v>S35_2026</v>
      </c>
      <c r="F1600">
        <v>1</v>
      </c>
      <c r="G1600" t="s">
        <v>55</v>
      </c>
      <c r="H1600" t="s">
        <v>85</v>
      </c>
      <c r="I1600" t="s">
        <v>2341</v>
      </c>
      <c r="J1600" t="s">
        <v>1067</v>
      </c>
      <c r="K1600" t="s">
        <v>1068</v>
      </c>
      <c r="L1600" t="s">
        <v>1067</v>
      </c>
      <c r="M1600" t="s">
        <v>1068</v>
      </c>
      <c r="N1600" t="s">
        <v>45</v>
      </c>
      <c r="O1600" t="s">
        <v>45</v>
      </c>
      <c r="P1600">
        <v>3</v>
      </c>
      <c r="Q1600" s="7">
        <v>46258</v>
      </c>
      <c r="R1600" s="7">
        <v>46258</v>
      </c>
      <c r="S1600" s="7">
        <v>46258</v>
      </c>
      <c r="T1600" t="s">
        <v>45</v>
      </c>
      <c r="V1600" t="s">
        <v>1331</v>
      </c>
      <c r="W1600" t="s">
        <v>45</v>
      </c>
      <c r="X1600" t="s">
        <v>45</v>
      </c>
      <c r="Y1600" t="s">
        <v>45</v>
      </c>
      <c r="Z1600" t="s">
        <v>45</v>
      </c>
      <c r="AC1600" t="s">
        <v>74</v>
      </c>
      <c r="AH1600" t="s">
        <v>75</v>
      </c>
      <c r="AI1600">
        <v>0</v>
      </c>
      <c r="AJ1600" s="15"/>
      <c r="AK1600" t="s">
        <v>74</v>
      </c>
      <c r="AL1600" s="16"/>
      <c r="AR1600" s="18" t="str">
        <f>IFERROR(VLOOKUP(K1600,[1]POP!$F:$J,1,0),M1600)</f>
        <v>MOKOLO</v>
      </c>
      <c r="AS1600" s="18" t="str">
        <f t="shared" si="121"/>
        <v>MINAWAO</v>
      </c>
      <c r="AT1600" s="19">
        <f t="shared" si="124"/>
        <v>0</v>
      </c>
      <c r="AU1600" s="19">
        <f t="shared" ca="1" si="123"/>
        <v>1</v>
      </c>
    </row>
    <row r="1601" spans="1:47" x14ac:dyDescent="0.3">
      <c r="A1601" t="s">
        <v>2342</v>
      </c>
      <c r="B1601" t="str">
        <f t="shared" si="120"/>
        <v>S35_2026</v>
      </c>
      <c r="C1601" t="str">
        <f t="shared" si="122"/>
        <v>S35_2026</v>
      </c>
      <c r="F1601">
        <v>13</v>
      </c>
      <c r="G1601" t="s">
        <v>40</v>
      </c>
      <c r="H1601" t="s">
        <v>56</v>
      </c>
      <c r="I1601" t="s">
        <v>2343</v>
      </c>
      <c r="J1601" t="s">
        <v>1067</v>
      </c>
      <c r="K1601" t="s">
        <v>1068</v>
      </c>
      <c r="L1601" t="s">
        <v>1067</v>
      </c>
      <c r="M1601" t="s">
        <v>1068</v>
      </c>
      <c r="N1601" t="s">
        <v>45</v>
      </c>
      <c r="O1601" t="s">
        <v>45</v>
      </c>
      <c r="P1601">
        <v>2</v>
      </c>
      <c r="Q1601" s="7">
        <v>46258</v>
      </c>
      <c r="R1601" s="7">
        <v>46258</v>
      </c>
      <c r="S1601" s="7">
        <v>46258</v>
      </c>
      <c r="T1601" t="s">
        <v>45</v>
      </c>
      <c r="V1601" t="s">
        <v>1331</v>
      </c>
      <c r="W1601" t="s">
        <v>45</v>
      </c>
      <c r="X1601" t="s">
        <v>45</v>
      </c>
      <c r="Y1601" t="s">
        <v>45</v>
      </c>
      <c r="Z1601" t="s">
        <v>45</v>
      </c>
      <c r="AC1601" t="s">
        <v>74</v>
      </c>
      <c r="AE1601" s="7">
        <v>46259</v>
      </c>
      <c r="AF1601">
        <v>2</v>
      </c>
      <c r="AH1601" t="s">
        <v>75</v>
      </c>
      <c r="AI1601">
        <v>1</v>
      </c>
      <c r="AJ1601" s="15"/>
      <c r="AK1601" t="s">
        <v>45</v>
      </c>
      <c r="AL1601" s="16"/>
      <c r="AR1601" s="18" t="str">
        <f>IFERROR(VLOOKUP(K1601,[1]POP!$F:$J,1,0),M1601)</f>
        <v>MOKOLO</v>
      </c>
      <c r="AS1601" s="18" t="str">
        <f t="shared" si="121"/>
        <v>MINAWAO</v>
      </c>
      <c r="AT1601" s="19">
        <f t="shared" si="124"/>
        <v>2</v>
      </c>
      <c r="AU1601" s="19">
        <f t="shared" ca="1" si="123"/>
        <v>1</v>
      </c>
    </row>
    <row r="1602" spans="1:47" x14ac:dyDescent="0.3">
      <c r="A1602" t="s">
        <v>2344</v>
      </c>
      <c r="B1602" t="str">
        <f t="shared" ref="B1602:B1665" si="125">"S"&amp;(IF(_xlfn.ISOWEEKNUM(S1602)&gt;9,_xlfn.ISOWEEKNUM(S1602),_xlfn.CONCAT("0",_xlfn.ISOWEEKNUM(S1602))))&amp;"_"&amp;(YEAR(S1602+26-(_xlfn.ISOWEEKNUM(S1602))))</f>
        <v>S35_2026</v>
      </c>
      <c r="C1602" t="str">
        <f t="shared" si="122"/>
        <v>S35_2026</v>
      </c>
      <c r="F1602">
        <v>7</v>
      </c>
      <c r="G1602" t="s">
        <v>55</v>
      </c>
      <c r="H1602" t="s">
        <v>85</v>
      </c>
      <c r="I1602" t="s">
        <v>2345</v>
      </c>
      <c r="J1602" t="s">
        <v>1067</v>
      </c>
      <c r="K1602" t="s">
        <v>1068</v>
      </c>
      <c r="L1602" t="s">
        <v>1067</v>
      </c>
      <c r="M1602" t="s">
        <v>1068</v>
      </c>
      <c r="N1602" t="s">
        <v>45</v>
      </c>
      <c r="O1602" t="s">
        <v>45</v>
      </c>
      <c r="P1602">
        <v>3</v>
      </c>
      <c r="Q1602" s="7">
        <v>46258</v>
      </c>
      <c r="R1602" s="7">
        <v>46258</v>
      </c>
      <c r="S1602" s="7">
        <v>46258</v>
      </c>
      <c r="T1602" t="s">
        <v>45</v>
      </c>
      <c r="V1602" t="s">
        <v>1331</v>
      </c>
      <c r="W1602" t="s">
        <v>45</v>
      </c>
      <c r="X1602" t="s">
        <v>45</v>
      </c>
      <c r="Y1602" t="s">
        <v>45</v>
      </c>
      <c r="Z1602" t="s">
        <v>45</v>
      </c>
      <c r="AC1602" t="s">
        <v>74</v>
      </c>
      <c r="AE1602" s="7">
        <v>46260</v>
      </c>
      <c r="AF1602">
        <v>2</v>
      </c>
      <c r="AH1602" t="s">
        <v>75</v>
      </c>
      <c r="AI1602">
        <v>1</v>
      </c>
      <c r="AJ1602" s="15"/>
      <c r="AK1602" t="s">
        <v>45</v>
      </c>
      <c r="AL1602" s="16"/>
      <c r="AR1602" s="18" t="str">
        <f>IFERROR(VLOOKUP(K1602,[1]POP!$F:$J,1,0),M1602)</f>
        <v>MOKOLO</v>
      </c>
      <c r="AS1602" s="18" t="str">
        <f t="shared" ref="AS1602:AS1665" si="126">IF(AR1602=K1602,J1602,L1602)</f>
        <v>MINAWAO</v>
      </c>
      <c r="AT1602" s="19">
        <f t="shared" si="124"/>
        <v>2</v>
      </c>
      <c r="AU1602" s="19">
        <f t="shared" ca="1" si="123"/>
        <v>1</v>
      </c>
    </row>
    <row r="1603" spans="1:47" x14ac:dyDescent="0.3">
      <c r="A1603" t="s">
        <v>2346</v>
      </c>
      <c r="B1603" t="str">
        <f t="shared" si="125"/>
        <v>S35_2026</v>
      </c>
      <c r="C1603" t="str">
        <f t="shared" ref="C1603:C1666" si="127">"S"&amp;(IF(_xlfn.ISOWEEKNUM(Q1603)&gt;9,_xlfn.ISOWEEKNUM(Q1603),_xlfn.CONCAT("0",_xlfn.ISOWEEKNUM(Q1603))))&amp;"_"&amp;(YEAR(Q1603+26-(_xlfn.ISOWEEKNUM(Q1603))))</f>
        <v>S35_2026</v>
      </c>
      <c r="F1603">
        <v>2</v>
      </c>
      <c r="G1603" t="s">
        <v>40</v>
      </c>
      <c r="H1603" t="s">
        <v>85</v>
      </c>
      <c r="I1603" t="s">
        <v>2347</v>
      </c>
      <c r="J1603" t="s">
        <v>1067</v>
      </c>
      <c r="K1603" t="s">
        <v>1068</v>
      </c>
      <c r="L1603" t="s">
        <v>1067</v>
      </c>
      <c r="M1603" t="s">
        <v>1068</v>
      </c>
      <c r="N1603" t="s">
        <v>45</v>
      </c>
      <c r="O1603" t="s">
        <v>45</v>
      </c>
      <c r="P1603">
        <v>2</v>
      </c>
      <c r="Q1603" s="7">
        <v>46258</v>
      </c>
      <c r="R1603" s="7">
        <v>46258</v>
      </c>
      <c r="S1603" s="7">
        <v>46258</v>
      </c>
      <c r="T1603" t="s">
        <v>45</v>
      </c>
      <c r="V1603" t="s">
        <v>1331</v>
      </c>
      <c r="W1603" t="s">
        <v>45</v>
      </c>
      <c r="X1603" t="s">
        <v>45</v>
      </c>
      <c r="Y1603" t="s">
        <v>45</v>
      </c>
      <c r="Z1603" t="s">
        <v>45</v>
      </c>
      <c r="AC1603" t="s">
        <v>74</v>
      </c>
      <c r="AH1603" t="s">
        <v>75</v>
      </c>
      <c r="AI1603">
        <v>0</v>
      </c>
      <c r="AJ1603" s="15"/>
      <c r="AK1603" t="s">
        <v>74</v>
      </c>
      <c r="AL1603" s="16"/>
      <c r="AR1603" s="18" t="str">
        <f>IFERROR(VLOOKUP(K1603,[1]POP!$F:$J,1,0),M1603)</f>
        <v>MOKOLO</v>
      </c>
      <c r="AS1603" s="18" t="str">
        <f t="shared" si="126"/>
        <v>MINAWAO</v>
      </c>
      <c r="AT1603" s="19">
        <f t="shared" si="124"/>
        <v>0</v>
      </c>
      <c r="AU1603" s="19">
        <f t="shared" ref="AU1603:AU1666" ca="1" si="128">IF((TODAY() - R1603)&lt;=21,1,2)</f>
        <v>1</v>
      </c>
    </row>
    <row r="1604" spans="1:47" x14ac:dyDescent="0.3">
      <c r="A1604" t="s">
        <v>2348</v>
      </c>
      <c r="B1604" t="str">
        <f t="shared" si="125"/>
        <v>S35_2026</v>
      </c>
      <c r="C1604" t="str">
        <f t="shared" si="127"/>
        <v>S35_2026</v>
      </c>
      <c r="F1604">
        <v>13</v>
      </c>
      <c r="G1604" t="s">
        <v>40</v>
      </c>
      <c r="H1604" t="s">
        <v>56</v>
      </c>
      <c r="I1604" t="s">
        <v>2349</v>
      </c>
      <c r="J1604" t="s">
        <v>1067</v>
      </c>
      <c r="K1604" t="s">
        <v>1068</v>
      </c>
      <c r="L1604" t="s">
        <v>1067</v>
      </c>
      <c r="M1604" t="s">
        <v>1068</v>
      </c>
      <c r="N1604" t="s">
        <v>45</v>
      </c>
      <c r="O1604" t="s">
        <v>45</v>
      </c>
      <c r="P1604">
        <v>3</v>
      </c>
      <c r="Q1604" s="7">
        <v>46258</v>
      </c>
      <c r="R1604" s="7">
        <v>46258</v>
      </c>
      <c r="S1604" s="7">
        <v>46258</v>
      </c>
      <c r="T1604" t="s">
        <v>45</v>
      </c>
      <c r="V1604" t="s">
        <v>1331</v>
      </c>
      <c r="W1604" t="s">
        <v>45</v>
      </c>
      <c r="X1604" t="s">
        <v>45</v>
      </c>
      <c r="Y1604" t="s">
        <v>45</v>
      </c>
      <c r="Z1604" t="s">
        <v>45</v>
      </c>
      <c r="AC1604" t="s">
        <v>74</v>
      </c>
      <c r="AE1604" s="7">
        <v>46260</v>
      </c>
      <c r="AF1604">
        <v>2</v>
      </c>
      <c r="AH1604" t="s">
        <v>75</v>
      </c>
      <c r="AI1604">
        <v>1</v>
      </c>
      <c r="AJ1604" s="15"/>
      <c r="AK1604" t="s">
        <v>45</v>
      </c>
      <c r="AL1604" s="16"/>
      <c r="AR1604" s="18" t="str">
        <f>IFERROR(VLOOKUP(K1604,[1]POP!$F:$J,1,0),M1604)</f>
        <v>MOKOLO</v>
      </c>
      <c r="AS1604" s="18" t="str">
        <f t="shared" si="126"/>
        <v>MINAWAO</v>
      </c>
      <c r="AT1604" s="19">
        <f t="shared" ref="AT1604:AT1667" si="129">IF($AI:$AI=2,3,IF($AI:$AI=3,3,IF($AI:$AI=4,3,IF($AI:$AI=1,2,0))))</f>
        <v>2</v>
      </c>
      <c r="AU1604" s="19">
        <f t="shared" ca="1" si="128"/>
        <v>1</v>
      </c>
    </row>
    <row r="1605" spans="1:47" x14ac:dyDescent="0.3">
      <c r="A1605" t="s">
        <v>2350</v>
      </c>
      <c r="B1605" t="str">
        <f t="shared" si="125"/>
        <v>S35_2026</v>
      </c>
      <c r="C1605" t="str">
        <f t="shared" si="127"/>
        <v>S35_2026</v>
      </c>
      <c r="F1605">
        <v>2</v>
      </c>
      <c r="G1605" t="s">
        <v>55</v>
      </c>
      <c r="H1605" t="s">
        <v>85</v>
      </c>
      <c r="I1605" t="s">
        <v>2351</v>
      </c>
      <c r="J1605" t="s">
        <v>1067</v>
      </c>
      <c r="K1605" t="s">
        <v>1068</v>
      </c>
      <c r="L1605" t="s">
        <v>1067</v>
      </c>
      <c r="M1605" t="s">
        <v>1068</v>
      </c>
      <c r="N1605" t="s">
        <v>45</v>
      </c>
      <c r="O1605" t="s">
        <v>45</v>
      </c>
      <c r="P1605">
        <v>3</v>
      </c>
      <c r="Q1605" s="7">
        <v>46259</v>
      </c>
      <c r="R1605" s="7">
        <v>46259</v>
      </c>
      <c r="S1605" s="7">
        <v>46259</v>
      </c>
      <c r="T1605" t="s">
        <v>45</v>
      </c>
      <c r="V1605" t="s">
        <v>1331</v>
      </c>
      <c r="W1605" t="s">
        <v>45</v>
      </c>
      <c r="X1605" t="s">
        <v>45</v>
      </c>
      <c r="Y1605" t="s">
        <v>45</v>
      </c>
      <c r="Z1605" t="s">
        <v>45</v>
      </c>
      <c r="AC1605" t="s">
        <v>74</v>
      </c>
      <c r="AE1605" s="7">
        <v>46259</v>
      </c>
      <c r="AF1605">
        <v>2</v>
      </c>
      <c r="AH1605" t="s">
        <v>75</v>
      </c>
      <c r="AI1605">
        <v>1</v>
      </c>
      <c r="AJ1605" s="15"/>
      <c r="AK1605" t="s">
        <v>74</v>
      </c>
      <c r="AL1605" s="16"/>
      <c r="AR1605" s="18" t="str">
        <f>IFERROR(VLOOKUP(K1605,[1]POP!$F:$J,1,0),M1605)</f>
        <v>MOKOLO</v>
      </c>
      <c r="AS1605" s="18" t="str">
        <f t="shared" si="126"/>
        <v>MINAWAO</v>
      </c>
      <c r="AT1605" s="19">
        <f t="shared" si="129"/>
        <v>2</v>
      </c>
      <c r="AU1605" s="19">
        <f t="shared" ca="1" si="128"/>
        <v>1</v>
      </c>
    </row>
    <row r="1606" spans="1:47" x14ac:dyDescent="0.3">
      <c r="A1606" t="s">
        <v>2352</v>
      </c>
      <c r="B1606" t="str">
        <f t="shared" si="125"/>
        <v>S35_2026</v>
      </c>
      <c r="C1606" t="str">
        <f t="shared" si="127"/>
        <v>S35_2026</v>
      </c>
      <c r="F1606">
        <v>4</v>
      </c>
      <c r="G1606" t="s">
        <v>40</v>
      </c>
      <c r="H1606" t="s">
        <v>85</v>
      </c>
      <c r="I1606" t="s">
        <v>1735</v>
      </c>
      <c r="J1606" t="s">
        <v>1067</v>
      </c>
      <c r="K1606" t="s">
        <v>1068</v>
      </c>
      <c r="L1606" t="s">
        <v>1067</v>
      </c>
      <c r="M1606" t="s">
        <v>1068</v>
      </c>
      <c r="N1606" t="s">
        <v>45</v>
      </c>
      <c r="O1606" t="s">
        <v>45</v>
      </c>
      <c r="P1606">
        <v>3</v>
      </c>
      <c r="Q1606" s="7">
        <v>46259</v>
      </c>
      <c r="R1606" s="7">
        <v>46259</v>
      </c>
      <c r="S1606" s="7">
        <v>46259</v>
      </c>
      <c r="T1606" t="s">
        <v>45</v>
      </c>
      <c r="V1606" t="s">
        <v>1331</v>
      </c>
      <c r="W1606" t="s">
        <v>45</v>
      </c>
      <c r="X1606" t="s">
        <v>45</v>
      </c>
      <c r="Y1606" t="s">
        <v>45</v>
      </c>
      <c r="Z1606" t="s">
        <v>45</v>
      </c>
      <c r="AC1606" t="s">
        <v>74</v>
      </c>
      <c r="AE1606" s="7">
        <v>46260</v>
      </c>
      <c r="AF1606">
        <v>2</v>
      </c>
      <c r="AH1606" t="s">
        <v>75</v>
      </c>
      <c r="AI1606">
        <v>1</v>
      </c>
      <c r="AJ1606" s="15"/>
      <c r="AK1606" t="s">
        <v>74</v>
      </c>
      <c r="AL1606" s="16"/>
      <c r="AR1606" s="18" t="str">
        <f>IFERROR(VLOOKUP(K1606,[1]POP!$F:$J,1,0),M1606)</f>
        <v>MOKOLO</v>
      </c>
      <c r="AS1606" s="18" t="str">
        <f t="shared" si="126"/>
        <v>MINAWAO</v>
      </c>
      <c r="AT1606" s="19">
        <f t="shared" si="129"/>
        <v>2</v>
      </c>
      <c r="AU1606" s="19">
        <f t="shared" ca="1" si="128"/>
        <v>1</v>
      </c>
    </row>
    <row r="1607" spans="1:47" x14ac:dyDescent="0.3">
      <c r="A1607" t="s">
        <v>2353</v>
      </c>
      <c r="B1607" t="str">
        <f t="shared" si="125"/>
        <v>S35_2026</v>
      </c>
      <c r="C1607" t="str">
        <f t="shared" si="127"/>
        <v>S35_2026</v>
      </c>
      <c r="F1607">
        <v>30</v>
      </c>
      <c r="G1607" t="s">
        <v>40</v>
      </c>
      <c r="H1607" t="s">
        <v>77</v>
      </c>
      <c r="I1607" t="s">
        <v>2354</v>
      </c>
      <c r="J1607" t="s">
        <v>1067</v>
      </c>
      <c r="K1607" t="s">
        <v>1068</v>
      </c>
      <c r="L1607" t="s">
        <v>1067</v>
      </c>
      <c r="M1607" t="s">
        <v>1068</v>
      </c>
      <c r="N1607" t="s">
        <v>45</v>
      </c>
      <c r="O1607" t="s">
        <v>45</v>
      </c>
      <c r="P1607">
        <v>3</v>
      </c>
      <c r="Q1607" s="7">
        <v>46259</v>
      </c>
      <c r="R1607" s="7">
        <v>46259</v>
      </c>
      <c r="S1607" s="7">
        <v>46259</v>
      </c>
      <c r="T1607" t="s">
        <v>45</v>
      </c>
      <c r="V1607" t="s">
        <v>1331</v>
      </c>
      <c r="W1607" t="s">
        <v>45</v>
      </c>
      <c r="X1607" t="s">
        <v>45</v>
      </c>
      <c r="Y1607" t="s">
        <v>45</v>
      </c>
      <c r="Z1607" t="s">
        <v>45</v>
      </c>
      <c r="AC1607" t="s">
        <v>74</v>
      </c>
      <c r="AE1607" s="7">
        <v>46260</v>
      </c>
      <c r="AF1607">
        <v>2</v>
      </c>
      <c r="AH1607" t="s">
        <v>75</v>
      </c>
      <c r="AI1607">
        <v>1</v>
      </c>
      <c r="AJ1607" s="15"/>
      <c r="AK1607" t="s">
        <v>45</v>
      </c>
      <c r="AL1607" s="16"/>
      <c r="AR1607" s="18" t="str">
        <f>IFERROR(VLOOKUP(K1607,[1]POP!$F:$J,1,0),M1607)</f>
        <v>MOKOLO</v>
      </c>
      <c r="AS1607" s="18" t="str">
        <f t="shared" si="126"/>
        <v>MINAWAO</v>
      </c>
      <c r="AT1607" s="19">
        <f t="shared" si="129"/>
        <v>2</v>
      </c>
      <c r="AU1607" s="19">
        <f t="shared" ca="1" si="128"/>
        <v>1</v>
      </c>
    </row>
    <row r="1608" spans="1:47" x14ac:dyDescent="0.3">
      <c r="A1608" t="s">
        <v>2355</v>
      </c>
      <c r="B1608" t="str">
        <f t="shared" si="125"/>
        <v>S35_2026</v>
      </c>
      <c r="C1608" t="str">
        <f t="shared" si="127"/>
        <v>S35_2026</v>
      </c>
      <c r="F1608">
        <v>40</v>
      </c>
      <c r="G1608" t="s">
        <v>40</v>
      </c>
      <c r="H1608" t="s">
        <v>77</v>
      </c>
      <c r="I1608" t="s">
        <v>2356</v>
      </c>
      <c r="J1608" t="s">
        <v>1067</v>
      </c>
      <c r="K1608" t="s">
        <v>1068</v>
      </c>
      <c r="L1608" t="s">
        <v>1067</v>
      </c>
      <c r="M1608" t="s">
        <v>1068</v>
      </c>
      <c r="N1608" t="s">
        <v>45</v>
      </c>
      <c r="O1608" t="s">
        <v>45</v>
      </c>
      <c r="P1608">
        <v>3</v>
      </c>
      <c r="Q1608" s="7">
        <v>46259</v>
      </c>
      <c r="R1608" s="7">
        <v>46259</v>
      </c>
      <c r="S1608" s="7">
        <v>46259</v>
      </c>
      <c r="T1608" t="s">
        <v>45</v>
      </c>
      <c r="V1608" t="s">
        <v>1331</v>
      </c>
      <c r="W1608" t="s">
        <v>45</v>
      </c>
      <c r="X1608" t="s">
        <v>45</v>
      </c>
      <c r="Y1608" t="s">
        <v>45</v>
      </c>
      <c r="Z1608" t="s">
        <v>45</v>
      </c>
      <c r="AC1608" t="s">
        <v>74</v>
      </c>
      <c r="AH1608" t="s">
        <v>75</v>
      </c>
      <c r="AI1608">
        <v>0</v>
      </c>
      <c r="AJ1608" s="15"/>
      <c r="AK1608" t="s">
        <v>45</v>
      </c>
      <c r="AL1608" s="16"/>
      <c r="AR1608" s="18" t="str">
        <f>IFERROR(VLOOKUP(K1608,[1]POP!$F:$J,1,0),M1608)</f>
        <v>MOKOLO</v>
      </c>
      <c r="AS1608" s="18" t="str">
        <f t="shared" si="126"/>
        <v>MINAWAO</v>
      </c>
      <c r="AT1608" s="19">
        <f t="shared" si="129"/>
        <v>0</v>
      </c>
      <c r="AU1608" s="19">
        <f t="shared" ca="1" si="128"/>
        <v>1</v>
      </c>
    </row>
    <row r="1609" spans="1:47" x14ac:dyDescent="0.3">
      <c r="A1609" t="s">
        <v>2357</v>
      </c>
      <c r="B1609" t="str">
        <f t="shared" si="125"/>
        <v>S35_2026</v>
      </c>
      <c r="C1609" t="str">
        <f t="shared" si="127"/>
        <v>S35_2026</v>
      </c>
      <c r="F1609">
        <v>9</v>
      </c>
      <c r="G1609" t="s">
        <v>55</v>
      </c>
      <c r="H1609" t="s">
        <v>56</v>
      </c>
      <c r="I1609" t="s">
        <v>2358</v>
      </c>
      <c r="J1609" t="s">
        <v>1067</v>
      </c>
      <c r="K1609" t="s">
        <v>1068</v>
      </c>
      <c r="L1609" t="s">
        <v>1067</v>
      </c>
      <c r="M1609" t="s">
        <v>1068</v>
      </c>
      <c r="N1609" t="s">
        <v>45</v>
      </c>
      <c r="O1609" t="s">
        <v>45</v>
      </c>
      <c r="P1609">
        <v>3</v>
      </c>
      <c r="Q1609" s="7">
        <v>46259</v>
      </c>
      <c r="R1609" s="7">
        <v>46259</v>
      </c>
      <c r="S1609" s="7">
        <v>46259</v>
      </c>
      <c r="T1609" t="s">
        <v>45</v>
      </c>
      <c r="V1609" t="s">
        <v>1331</v>
      </c>
      <c r="W1609" t="s">
        <v>45</v>
      </c>
      <c r="X1609" t="s">
        <v>45</v>
      </c>
      <c r="Y1609" t="s">
        <v>45</v>
      </c>
      <c r="Z1609" t="s">
        <v>45</v>
      </c>
      <c r="AC1609" t="s">
        <v>74</v>
      </c>
      <c r="AH1609" t="s">
        <v>75</v>
      </c>
      <c r="AI1609">
        <v>0</v>
      </c>
      <c r="AJ1609" s="15"/>
      <c r="AK1609" t="s">
        <v>74</v>
      </c>
      <c r="AL1609" s="16"/>
      <c r="AR1609" s="18" t="str">
        <f>IFERROR(VLOOKUP(K1609,[1]POP!$F:$J,1,0),M1609)</f>
        <v>MOKOLO</v>
      </c>
      <c r="AS1609" s="18" t="str">
        <f t="shared" si="126"/>
        <v>MINAWAO</v>
      </c>
      <c r="AT1609" s="19">
        <f t="shared" si="129"/>
        <v>0</v>
      </c>
      <c r="AU1609" s="19">
        <f t="shared" ca="1" si="128"/>
        <v>1</v>
      </c>
    </row>
    <row r="1610" spans="1:47" x14ac:dyDescent="0.3">
      <c r="A1610" t="s">
        <v>2359</v>
      </c>
      <c r="B1610" t="str">
        <f t="shared" si="125"/>
        <v>S35_2026</v>
      </c>
      <c r="C1610" t="str">
        <f t="shared" si="127"/>
        <v>S35_2026</v>
      </c>
      <c r="F1610">
        <v>7</v>
      </c>
      <c r="G1610" t="s">
        <v>55</v>
      </c>
      <c r="H1610" t="s">
        <v>56</v>
      </c>
      <c r="I1610" t="s">
        <v>2356</v>
      </c>
      <c r="J1610" t="s">
        <v>1067</v>
      </c>
      <c r="K1610" t="s">
        <v>1068</v>
      </c>
      <c r="L1610" t="s">
        <v>1067</v>
      </c>
      <c r="M1610" t="s">
        <v>1068</v>
      </c>
      <c r="N1610" t="s">
        <v>45</v>
      </c>
      <c r="O1610" t="s">
        <v>45</v>
      </c>
      <c r="P1610">
        <v>3</v>
      </c>
      <c r="Q1610" s="7">
        <v>46259</v>
      </c>
      <c r="R1610" s="7">
        <v>46259</v>
      </c>
      <c r="S1610" s="7">
        <v>46259</v>
      </c>
      <c r="T1610" t="s">
        <v>45</v>
      </c>
      <c r="V1610" t="s">
        <v>1331</v>
      </c>
      <c r="W1610" t="s">
        <v>45</v>
      </c>
      <c r="X1610" t="s">
        <v>45</v>
      </c>
      <c r="Y1610" t="s">
        <v>45</v>
      </c>
      <c r="Z1610" t="s">
        <v>45</v>
      </c>
      <c r="AC1610" t="s">
        <v>74</v>
      </c>
      <c r="AH1610" t="s">
        <v>75</v>
      </c>
      <c r="AI1610">
        <v>0</v>
      </c>
      <c r="AJ1610" s="15"/>
      <c r="AK1610" t="s">
        <v>45</v>
      </c>
      <c r="AL1610" s="16"/>
      <c r="AR1610" s="18" t="str">
        <f>IFERROR(VLOOKUP(K1610,[1]POP!$F:$J,1,0),M1610)</f>
        <v>MOKOLO</v>
      </c>
      <c r="AS1610" s="18" t="str">
        <f t="shared" si="126"/>
        <v>MINAWAO</v>
      </c>
      <c r="AT1610" s="19">
        <f t="shared" si="129"/>
        <v>0</v>
      </c>
      <c r="AU1610" s="19">
        <f t="shared" ca="1" si="128"/>
        <v>1</v>
      </c>
    </row>
    <row r="1611" spans="1:47" x14ac:dyDescent="0.3">
      <c r="A1611" t="s">
        <v>2360</v>
      </c>
      <c r="B1611" t="str">
        <f t="shared" si="125"/>
        <v>S35_2026</v>
      </c>
      <c r="C1611" t="str">
        <f t="shared" si="127"/>
        <v>S35_2026</v>
      </c>
      <c r="F1611">
        <v>2</v>
      </c>
      <c r="G1611" t="s">
        <v>40</v>
      </c>
      <c r="H1611" t="s">
        <v>85</v>
      </c>
      <c r="I1611" t="s">
        <v>2361</v>
      </c>
      <c r="J1611" t="s">
        <v>1067</v>
      </c>
      <c r="K1611" t="s">
        <v>1068</v>
      </c>
      <c r="L1611" t="s">
        <v>1067</v>
      </c>
      <c r="M1611" t="s">
        <v>1068</v>
      </c>
      <c r="N1611" t="s">
        <v>45</v>
      </c>
      <c r="O1611" t="s">
        <v>45</v>
      </c>
      <c r="P1611">
        <v>2</v>
      </c>
      <c r="Q1611" s="7">
        <v>46259</v>
      </c>
      <c r="R1611" s="7">
        <v>46259</v>
      </c>
      <c r="S1611" s="7">
        <v>46259</v>
      </c>
      <c r="T1611" t="s">
        <v>45</v>
      </c>
      <c r="V1611" t="s">
        <v>1331</v>
      </c>
      <c r="W1611" t="s">
        <v>45</v>
      </c>
      <c r="X1611" t="s">
        <v>45</v>
      </c>
      <c r="Y1611" t="s">
        <v>45</v>
      </c>
      <c r="Z1611" t="s">
        <v>45</v>
      </c>
      <c r="AC1611" t="s">
        <v>74</v>
      </c>
      <c r="AE1611" s="7">
        <v>46260</v>
      </c>
      <c r="AF1611">
        <v>2</v>
      </c>
      <c r="AH1611" t="s">
        <v>75</v>
      </c>
      <c r="AI1611">
        <v>1</v>
      </c>
      <c r="AJ1611" s="15"/>
      <c r="AK1611" t="s">
        <v>74</v>
      </c>
      <c r="AL1611" s="16"/>
      <c r="AR1611" s="18" t="str">
        <f>IFERROR(VLOOKUP(K1611,[1]POP!$F:$J,1,0),M1611)</f>
        <v>MOKOLO</v>
      </c>
      <c r="AS1611" s="18" t="str">
        <f t="shared" si="126"/>
        <v>MINAWAO</v>
      </c>
      <c r="AT1611" s="19">
        <f t="shared" si="129"/>
        <v>2</v>
      </c>
      <c r="AU1611" s="19">
        <f t="shared" ca="1" si="128"/>
        <v>1</v>
      </c>
    </row>
    <row r="1612" spans="1:47" x14ac:dyDescent="0.3">
      <c r="A1612" t="s">
        <v>2362</v>
      </c>
      <c r="B1612" t="str">
        <f t="shared" si="125"/>
        <v>S35_2026</v>
      </c>
      <c r="C1612" t="str">
        <f t="shared" si="127"/>
        <v>S35_2026</v>
      </c>
      <c r="F1612">
        <v>3.5</v>
      </c>
      <c r="G1612" t="s">
        <v>40</v>
      </c>
      <c r="H1612" t="s">
        <v>85</v>
      </c>
      <c r="I1612" t="s">
        <v>1333</v>
      </c>
      <c r="J1612" t="s">
        <v>1067</v>
      </c>
      <c r="K1612" t="s">
        <v>1068</v>
      </c>
      <c r="L1612" t="s">
        <v>1067</v>
      </c>
      <c r="M1612" t="s">
        <v>1068</v>
      </c>
      <c r="N1612" t="s">
        <v>45</v>
      </c>
      <c r="O1612" t="s">
        <v>45</v>
      </c>
      <c r="P1612">
        <v>2</v>
      </c>
      <c r="Q1612" s="7">
        <v>46259</v>
      </c>
      <c r="R1612" s="7">
        <v>46259</v>
      </c>
      <c r="S1612" s="7">
        <v>46259</v>
      </c>
      <c r="T1612" t="s">
        <v>45</v>
      </c>
      <c r="V1612" t="s">
        <v>1331</v>
      </c>
      <c r="W1612" t="s">
        <v>45</v>
      </c>
      <c r="X1612" t="s">
        <v>45</v>
      </c>
      <c r="Y1612" t="s">
        <v>45</v>
      </c>
      <c r="Z1612" t="s">
        <v>45</v>
      </c>
      <c r="AC1612" t="s">
        <v>74</v>
      </c>
      <c r="AE1612" s="7">
        <v>46260</v>
      </c>
      <c r="AF1612">
        <v>2</v>
      </c>
      <c r="AH1612" t="s">
        <v>75</v>
      </c>
      <c r="AI1612">
        <v>1</v>
      </c>
      <c r="AJ1612" s="15"/>
      <c r="AK1612" t="s">
        <v>74</v>
      </c>
      <c r="AL1612" s="16"/>
      <c r="AR1612" s="18" t="str">
        <f>IFERROR(VLOOKUP(K1612,[1]POP!$F:$J,1,0),M1612)</f>
        <v>MOKOLO</v>
      </c>
      <c r="AS1612" s="18" t="str">
        <f t="shared" si="126"/>
        <v>MINAWAO</v>
      </c>
      <c r="AT1612" s="19">
        <f t="shared" si="129"/>
        <v>2</v>
      </c>
      <c r="AU1612" s="19">
        <f t="shared" ca="1" si="128"/>
        <v>1</v>
      </c>
    </row>
    <row r="1613" spans="1:47" x14ac:dyDescent="0.3">
      <c r="A1613" t="s">
        <v>2363</v>
      </c>
      <c r="B1613" t="str">
        <f t="shared" si="125"/>
        <v>S35_2026</v>
      </c>
      <c r="C1613" t="str">
        <f t="shared" si="127"/>
        <v>S35_2026</v>
      </c>
      <c r="F1613">
        <v>2</v>
      </c>
      <c r="G1613" t="s">
        <v>55</v>
      </c>
      <c r="H1613" t="s">
        <v>85</v>
      </c>
      <c r="I1613" t="s">
        <v>2364</v>
      </c>
      <c r="J1613" t="s">
        <v>1067</v>
      </c>
      <c r="K1613" t="s">
        <v>1068</v>
      </c>
      <c r="L1613" t="s">
        <v>1067</v>
      </c>
      <c r="M1613" t="s">
        <v>1068</v>
      </c>
      <c r="N1613" t="s">
        <v>45</v>
      </c>
      <c r="O1613" t="s">
        <v>45</v>
      </c>
      <c r="P1613">
        <v>2</v>
      </c>
      <c r="Q1613" s="7">
        <v>46259</v>
      </c>
      <c r="R1613" s="7">
        <v>46259</v>
      </c>
      <c r="S1613" s="7">
        <v>46259</v>
      </c>
      <c r="T1613" t="s">
        <v>45</v>
      </c>
      <c r="V1613" t="s">
        <v>1331</v>
      </c>
      <c r="W1613" t="s">
        <v>45</v>
      </c>
      <c r="X1613" t="s">
        <v>45</v>
      </c>
      <c r="Y1613" t="s">
        <v>45</v>
      </c>
      <c r="Z1613" t="s">
        <v>45</v>
      </c>
      <c r="AC1613" t="s">
        <v>74</v>
      </c>
      <c r="AH1613" t="s">
        <v>75</v>
      </c>
      <c r="AI1613">
        <v>0</v>
      </c>
      <c r="AJ1613" s="15"/>
      <c r="AK1613" t="s">
        <v>74</v>
      </c>
      <c r="AL1613" s="16"/>
      <c r="AR1613" s="18" t="str">
        <f>IFERROR(VLOOKUP(K1613,[1]POP!$F:$J,1,0),M1613)</f>
        <v>MOKOLO</v>
      </c>
      <c r="AS1613" s="18" t="str">
        <f t="shared" si="126"/>
        <v>MINAWAO</v>
      </c>
      <c r="AT1613" s="19">
        <f t="shared" si="129"/>
        <v>0</v>
      </c>
      <c r="AU1613" s="19">
        <f t="shared" ca="1" si="128"/>
        <v>1</v>
      </c>
    </row>
    <row r="1614" spans="1:47" x14ac:dyDescent="0.3">
      <c r="A1614" t="s">
        <v>2365</v>
      </c>
      <c r="B1614" t="str">
        <f t="shared" si="125"/>
        <v>S35_2026</v>
      </c>
      <c r="C1614" t="str">
        <f t="shared" si="127"/>
        <v>S35_2026</v>
      </c>
      <c r="F1614">
        <v>7</v>
      </c>
      <c r="G1614" t="s">
        <v>55</v>
      </c>
      <c r="H1614" t="s">
        <v>85</v>
      </c>
      <c r="I1614" t="s">
        <v>2366</v>
      </c>
      <c r="J1614" t="s">
        <v>1067</v>
      </c>
      <c r="K1614" t="s">
        <v>1068</v>
      </c>
      <c r="L1614" t="s">
        <v>1067</v>
      </c>
      <c r="M1614" t="s">
        <v>1068</v>
      </c>
      <c r="N1614" t="s">
        <v>45</v>
      </c>
      <c r="O1614" t="s">
        <v>45</v>
      </c>
      <c r="P1614">
        <v>3</v>
      </c>
      <c r="Q1614" s="7">
        <v>46260</v>
      </c>
      <c r="R1614" s="7">
        <v>46260</v>
      </c>
      <c r="S1614" s="7">
        <v>46260</v>
      </c>
      <c r="T1614" t="s">
        <v>45</v>
      </c>
      <c r="V1614" t="s">
        <v>1331</v>
      </c>
      <c r="W1614" t="s">
        <v>45</v>
      </c>
      <c r="X1614" t="s">
        <v>45</v>
      </c>
      <c r="Y1614" t="s">
        <v>45</v>
      </c>
      <c r="Z1614" t="s">
        <v>45</v>
      </c>
      <c r="AC1614" t="s">
        <v>74</v>
      </c>
      <c r="AH1614" t="s">
        <v>75</v>
      </c>
      <c r="AI1614">
        <v>0</v>
      </c>
      <c r="AJ1614" s="15"/>
      <c r="AK1614" t="s">
        <v>45</v>
      </c>
      <c r="AL1614" s="16"/>
      <c r="AR1614" s="18" t="str">
        <f>IFERROR(VLOOKUP(K1614,[1]POP!$F:$J,1,0),M1614)</f>
        <v>MOKOLO</v>
      </c>
      <c r="AS1614" s="18" t="str">
        <f t="shared" si="126"/>
        <v>MINAWAO</v>
      </c>
      <c r="AT1614" s="19">
        <f t="shared" si="129"/>
        <v>0</v>
      </c>
      <c r="AU1614" s="19">
        <f t="shared" ca="1" si="128"/>
        <v>1</v>
      </c>
    </row>
    <row r="1615" spans="1:47" x14ac:dyDescent="0.3">
      <c r="A1615" t="s">
        <v>2367</v>
      </c>
      <c r="B1615" t="str">
        <f t="shared" si="125"/>
        <v>S35_2026</v>
      </c>
      <c r="C1615" t="str">
        <f t="shared" si="127"/>
        <v>S35_2026</v>
      </c>
      <c r="F1615">
        <v>7</v>
      </c>
      <c r="G1615" t="s">
        <v>55</v>
      </c>
      <c r="H1615" t="s">
        <v>85</v>
      </c>
      <c r="I1615" t="s">
        <v>2368</v>
      </c>
      <c r="J1615" t="s">
        <v>1067</v>
      </c>
      <c r="K1615" t="s">
        <v>1068</v>
      </c>
      <c r="L1615" t="s">
        <v>1067</v>
      </c>
      <c r="M1615" t="s">
        <v>1068</v>
      </c>
      <c r="N1615" t="s">
        <v>45</v>
      </c>
      <c r="O1615" t="s">
        <v>45</v>
      </c>
      <c r="P1615">
        <v>3</v>
      </c>
      <c r="Q1615" s="7">
        <v>46260</v>
      </c>
      <c r="R1615" s="7">
        <v>46260</v>
      </c>
      <c r="S1615" s="7">
        <v>46260</v>
      </c>
      <c r="T1615" t="s">
        <v>45</v>
      </c>
      <c r="V1615" t="s">
        <v>1331</v>
      </c>
      <c r="W1615" t="s">
        <v>45</v>
      </c>
      <c r="X1615" t="s">
        <v>45</v>
      </c>
      <c r="Y1615" t="s">
        <v>45</v>
      </c>
      <c r="Z1615" t="s">
        <v>45</v>
      </c>
      <c r="AC1615" t="s">
        <v>74</v>
      </c>
      <c r="AH1615" t="s">
        <v>75</v>
      </c>
      <c r="AI1615">
        <v>0</v>
      </c>
      <c r="AJ1615" s="15"/>
      <c r="AK1615" t="s">
        <v>45</v>
      </c>
      <c r="AL1615" s="16"/>
      <c r="AR1615" s="18" t="str">
        <f>IFERROR(VLOOKUP(K1615,[1]POP!$F:$J,1,0),M1615)</f>
        <v>MOKOLO</v>
      </c>
      <c r="AS1615" s="18" t="str">
        <f t="shared" si="126"/>
        <v>MINAWAO</v>
      </c>
      <c r="AT1615" s="19">
        <f t="shared" si="129"/>
        <v>0</v>
      </c>
      <c r="AU1615" s="19">
        <f t="shared" ca="1" si="128"/>
        <v>1</v>
      </c>
    </row>
    <row r="1616" spans="1:47" x14ac:dyDescent="0.3">
      <c r="A1616" t="s">
        <v>2369</v>
      </c>
      <c r="B1616" t="str">
        <f t="shared" si="125"/>
        <v>S35_2026</v>
      </c>
      <c r="C1616" t="str">
        <f t="shared" si="127"/>
        <v>S35_2026</v>
      </c>
      <c r="F1616">
        <v>2</v>
      </c>
      <c r="G1616" t="s">
        <v>55</v>
      </c>
      <c r="H1616" t="s">
        <v>85</v>
      </c>
      <c r="I1616" t="s">
        <v>2370</v>
      </c>
      <c r="J1616" t="s">
        <v>1067</v>
      </c>
      <c r="K1616" t="s">
        <v>1068</v>
      </c>
      <c r="L1616" t="s">
        <v>1067</v>
      </c>
      <c r="M1616" t="s">
        <v>1068</v>
      </c>
      <c r="N1616" t="s">
        <v>45</v>
      </c>
      <c r="O1616" t="s">
        <v>45</v>
      </c>
      <c r="P1616">
        <v>3</v>
      </c>
      <c r="Q1616" s="7">
        <v>46260</v>
      </c>
      <c r="R1616" s="7">
        <v>46260</v>
      </c>
      <c r="S1616" s="7">
        <v>46260</v>
      </c>
      <c r="T1616" t="s">
        <v>45</v>
      </c>
      <c r="V1616" t="s">
        <v>1331</v>
      </c>
      <c r="W1616" t="s">
        <v>45</v>
      </c>
      <c r="X1616" t="s">
        <v>45</v>
      </c>
      <c r="Y1616" t="s">
        <v>45</v>
      </c>
      <c r="Z1616" t="s">
        <v>45</v>
      </c>
      <c r="AC1616" t="s">
        <v>74</v>
      </c>
      <c r="AH1616" t="s">
        <v>75</v>
      </c>
      <c r="AI1616">
        <v>0</v>
      </c>
      <c r="AJ1616" s="15"/>
      <c r="AK1616" t="s">
        <v>74</v>
      </c>
      <c r="AL1616" s="16"/>
      <c r="AR1616" s="18" t="str">
        <f>IFERROR(VLOOKUP(K1616,[1]POP!$F:$J,1,0),M1616)</f>
        <v>MOKOLO</v>
      </c>
      <c r="AS1616" s="18" t="str">
        <f t="shared" si="126"/>
        <v>MINAWAO</v>
      </c>
      <c r="AT1616" s="19">
        <f t="shared" si="129"/>
        <v>0</v>
      </c>
      <c r="AU1616" s="19">
        <f t="shared" ca="1" si="128"/>
        <v>1</v>
      </c>
    </row>
    <row r="1617" spans="1:47" x14ac:dyDescent="0.3">
      <c r="A1617" t="s">
        <v>2371</v>
      </c>
      <c r="B1617" t="str">
        <f t="shared" si="125"/>
        <v>S35_2026</v>
      </c>
      <c r="C1617" t="str">
        <f t="shared" si="127"/>
        <v>S35_2026</v>
      </c>
      <c r="F1617">
        <v>5</v>
      </c>
      <c r="G1617" t="s">
        <v>40</v>
      </c>
      <c r="H1617" t="s">
        <v>85</v>
      </c>
      <c r="I1617" t="s">
        <v>2372</v>
      </c>
      <c r="J1617" t="s">
        <v>1067</v>
      </c>
      <c r="K1617" t="s">
        <v>1068</v>
      </c>
      <c r="L1617" t="s">
        <v>1067</v>
      </c>
      <c r="M1617" t="s">
        <v>1068</v>
      </c>
      <c r="N1617" t="s">
        <v>45</v>
      </c>
      <c r="O1617" t="s">
        <v>45</v>
      </c>
      <c r="P1617">
        <v>3</v>
      </c>
      <c r="Q1617" s="7">
        <v>46260</v>
      </c>
      <c r="R1617" s="7">
        <v>46260</v>
      </c>
      <c r="S1617" s="7">
        <v>46260</v>
      </c>
      <c r="T1617" t="s">
        <v>45</v>
      </c>
      <c r="V1617" t="s">
        <v>1331</v>
      </c>
      <c r="W1617" t="s">
        <v>45</v>
      </c>
      <c r="X1617" t="s">
        <v>45</v>
      </c>
      <c r="Y1617" t="s">
        <v>45</v>
      </c>
      <c r="Z1617" t="s">
        <v>45</v>
      </c>
      <c r="AC1617" t="s">
        <v>74</v>
      </c>
      <c r="AH1617" t="s">
        <v>75</v>
      </c>
      <c r="AI1617">
        <v>0</v>
      </c>
      <c r="AJ1617" s="15"/>
      <c r="AK1617" t="s">
        <v>45</v>
      </c>
      <c r="AL1617" s="16"/>
      <c r="AR1617" s="18" t="str">
        <f>IFERROR(VLOOKUP(K1617,[1]POP!$F:$J,1,0),M1617)</f>
        <v>MOKOLO</v>
      </c>
      <c r="AS1617" s="18" t="str">
        <f t="shared" si="126"/>
        <v>MINAWAO</v>
      </c>
      <c r="AT1617" s="19">
        <f t="shared" si="129"/>
        <v>0</v>
      </c>
      <c r="AU1617" s="19">
        <f t="shared" ca="1" si="128"/>
        <v>1</v>
      </c>
    </row>
    <row r="1618" spans="1:47" x14ac:dyDescent="0.3">
      <c r="A1618" t="s">
        <v>2373</v>
      </c>
      <c r="B1618" t="str">
        <f t="shared" si="125"/>
        <v>S35_2026</v>
      </c>
      <c r="C1618" t="str">
        <f t="shared" si="127"/>
        <v>S35_2026</v>
      </c>
      <c r="F1618">
        <v>9</v>
      </c>
      <c r="G1618" t="s">
        <v>40</v>
      </c>
      <c r="H1618" t="s">
        <v>85</v>
      </c>
      <c r="I1618" t="s">
        <v>2374</v>
      </c>
      <c r="J1618" t="s">
        <v>1067</v>
      </c>
      <c r="K1618" t="s">
        <v>1068</v>
      </c>
      <c r="L1618" t="s">
        <v>1067</v>
      </c>
      <c r="M1618" t="s">
        <v>1068</v>
      </c>
      <c r="N1618" t="s">
        <v>45</v>
      </c>
      <c r="O1618" t="s">
        <v>45</v>
      </c>
      <c r="P1618">
        <v>3</v>
      </c>
      <c r="Q1618" s="7">
        <v>46260</v>
      </c>
      <c r="R1618" s="7">
        <v>46260</v>
      </c>
      <c r="S1618" s="7">
        <v>46260</v>
      </c>
      <c r="T1618" t="s">
        <v>45</v>
      </c>
      <c r="V1618" t="s">
        <v>1331</v>
      </c>
      <c r="W1618" t="s">
        <v>45</v>
      </c>
      <c r="X1618" t="s">
        <v>45</v>
      </c>
      <c r="Y1618" t="s">
        <v>45</v>
      </c>
      <c r="Z1618" t="s">
        <v>45</v>
      </c>
      <c r="AC1618" t="s">
        <v>74</v>
      </c>
      <c r="AH1618" t="s">
        <v>75</v>
      </c>
      <c r="AI1618">
        <v>0</v>
      </c>
      <c r="AJ1618" s="15"/>
      <c r="AK1618" t="s">
        <v>45</v>
      </c>
      <c r="AL1618" s="16"/>
      <c r="AR1618" s="18" t="str">
        <f>IFERROR(VLOOKUP(K1618,[1]POP!$F:$J,1,0),M1618)</f>
        <v>MOKOLO</v>
      </c>
      <c r="AS1618" s="18" t="str">
        <f t="shared" si="126"/>
        <v>MINAWAO</v>
      </c>
      <c r="AT1618" s="19">
        <f t="shared" si="129"/>
        <v>0</v>
      </c>
      <c r="AU1618" s="19">
        <f t="shared" ca="1" si="128"/>
        <v>1</v>
      </c>
    </row>
    <row r="1619" spans="1:47" x14ac:dyDescent="0.3">
      <c r="A1619" t="s">
        <v>2375</v>
      </c>
      <c r="B1619" t="str">
        <f t="shared" si="125"/>
        <v>S35_2026</v>
      </c>
      <c r="C1619" t="str">
        <f t="shared" si="127"/>
        <v>S35_2026</v>
      </c>
      <c r="F1619">
        <v>3</v>
      </c>
      <c r="G1619" t="s">
        <v>40</v>
      </c>
      <c r="H1619" t="s">
        <v>85</v>
      </c>
      <c r="I1619" t="s">
        <v>2376</v>
      </c>
      <c r="J1619" t="s">
        <v>1067</v>
      </c>
      <c r="K1619" t="s">
        <v>1068</v>
      </c>
      <c r="L1619" t="s">
        <v>1067</v>
      </c>
      <c r="M1619" t="s">
        <v>1068</v>
      </c>
      <c r="N1619" t="s">
        <v>45</v>
      </c>
      <c r="O1619" t="s">
        <v>45</v>
      </c>
      <c r="P1619">
        <v>3</v>
      </c>
      <c r="Q1619" s="7">
        <v>46260</v>
      </c>
      <c r="R1619" s="7">
        <v>46260</v>
      </c>
      <c r="S1619" s="7">
        <v>46260</v>
      </c>
      <c r="T1619" t="s">
        <v>45</v>
      </c>
      <c r="V1619" t="s">
        <v>1331</v>
      </c>
      <c r="W1619" t="s">
        <v>45</v>
      </c>
      <c r="X1619" t="s">
        <v>45</v>
      </c>
      <c r="Y1619" t="s">
        <v>45</v>
      </c>
      <c r="Z1619" t="s">
        <v>45</v>
      </c>
      <c r="AC1619" t="s">
        <v>74</v>
      </c>
      <c r="AH1619" t="s">
        <v>75</v>
      </c>
      <c r="AI1619">
        <v>0</v>
      </c>
      <c r="AJ1619" s="15"/>
      <c r="AK1619" t="s">
        <v>74</v>
      </c>
      <c r="AL1619" s="16"/>
      <c r="AR1619" s="18" t="str">
        <f>IFERROR(VLOOKUP(K1619,[1]POP!$F:$J,1,0),M1619)</f>
        <v>MOKOLO</v>
      </c>
      <c r="AS1619" s="18" t="str">
        <f t="shared" si="126"/>
        <v>MINAWAO</v>
      </c>
      <c r="AT1619" s="19">
        <f t="shared" si="129"/>
        <v>0</v>
      </c>
      <c r="AU1619" s="19">
        <f t="shared" ca="1" si="128"/>
        <v>1</v>
      </c>
    </row>
    <row r="1620" spans="1:47" x14ac:dyDescent="0.3">
      <c r="A1620" t="s">
        <v>2377</v>
      </c>
      <c r="B1620" t="str">
        <f t="shared" si="125"/>
        <v>S35_2026</v>
      </c>
      <c r="C1620" t="str">
        <f t="shared" si="127"/>
        <v>S35_2026</v>
      </c>
      <c r="F1620">
        <v>11</v>
      </c>
      <c r="G1620" t="s">
        <v>55</v>
      </c>
      <c r="H1620" t="s">
        <v>85</v>
      </c>
      <c r="I1620" t="s">
        <v>2378</v>
      </c>
      <c r="J1620" t="s">
        <v>1067</v>
      </c>
      <c r="K1620" t="s">
        <v>1068</v>
      </c>
      <c r="L1620" t="s">
        <v>1067</v>
      </c>
      <c r="M1620" t="s">
        <v>1068</v>
      </c>
      <c r="N1620" t="s">
        <v>45</v>
      </c>
      <c r="O1620" t="s">
        <v>45</v>
      </c>
      <c r="P1620">
        <v>3</v>
      </c>
      <c r="Q1620" s="7">
        <v>46260</v>
      </c>
      <c r="R1620" s="7">
        <v>46260</v>
      </c>
      <c r="S1620" s="7">
        <v>46260</v>
      </c>
      <c r="T1620" t="s">
        <v>45</v>
      </c>
      <c r="V1620" t="s">
        <v>1331</v>
      </c>
      <c r="W1620" t="s">
        <v>45</v>
      </c>
      <c r="X1620" t="s">
        <v>45</v>
      </c>
      <c r="Y1620" t="s">
        <v>45</v>
      </c>
      <c r="Z1620" t="s">
        <v>45</v>
      </c>
      <c r="AC1620" t="s">
        <v>74</v>
      </c>
      <c r="AH1620" t="s">
        <v>75</v>
      </c>
      <c r="AI1620">
        <v>0</v>
      </c>
      <c r="AJ1620" s="15"/>
      <c r="AK1620" t="s">
        <v>45</v>
      </c>
      <c r="AL1620" s="16"/>
      <c r="AR1620" s="18" t="str">
        <f>IFERROR(VLOOKUP(K1620,[1]POP!$F:$J,1,0),M1620)</f>
        <v>MOKOLO</v>
      </c>
      <c r="AS1620" s="18" t="str">
        <f t="shared" si="126"/>
        <v>MINAWAO</v>
      </c>
      <c r="AT1620" s="19">
        <f t="shared" si="129"/>
        <v>0</v>
      </c>
      <c r="AU1620" s="19">
        <f t="shared" ca="1" si="128"/>
        <v>1</v>
      </c>
    </row>
    <row r="1621" spans="1:47" x14ac:dyDescent="0.3">
      <c r="A1621" t="s">
        <v>2379</v>
      </c>
      <c r="B1621" t="str">
        <f t="shared" si="125"/>
        <v>S35_2026</v>
      </c>
      <c r="C1621" t="str">
        <f t="shared" si="127"/>
        <v>S35_2026</v>
      </c>
      <c r="F1621">
        <v>7</v>
      </c>
      <c r="G1621" t="s">
        <v>40</v>
      </c>
      <c r="H1621" t="s">
        <v>85</v>
      </c>
      <c r="I1621" t="s">
        <v>2380</v>
      </c>
      <c r="J1621" t="s">
        <v>1067</v>
      </c>
      <c r="K1621" t="s">
        <v>1068</v>
      </c>
      <c r="L1621" t="s">
        <v>1067</v>
      </c>
      <c r="M1621" t="s">
        <v>1068</v>
      </c>
      <c r="N1621" t="s">
        <v>45</v>
      </c>
      <c r="O1621" t="s">
        <v>45</v>
      </c>
      <c r="P1621">
        <v>3</v>
      </c>
      <c r="Q1621" s="7">
        <v>46260</v>
      </c>
      <c r="R1621" s="7">
        <v>46260</v>
      </c>
      <c r="S1621" s="7">
        <v>46260</v>
      </c>
      <c r="T1621" t="s">
        <v>45</v>
      </c>
      <c r="V1621" t="s">
        <v>1331</v>
      </c>
      <c r="W1621" t="s">
        <v>45</v>
      </c>
      <c r="X1621" t="s">
        <v>45</v>
      </c>
      <c r="Y1621" t="s">
        <v>45</v>
      </c>
      <c r="Z1621" t="s">
        <v>45</v>
      </c>
      <c r="AC1621" t="s">
        <v>74</v>
      </c>
      <c r="AH1621" t="s">
        <v>75</v>
      </c>
      <c r="AI1621">
        <v>0</v>
      </c>
      <c r="AJ1621" s="15"/>
      <c r="AK1621" t="s">
        <v>45</v>
      </c>
      <c r="AL1621" s="16"/>
      <c r="AR1621" s="18" t="str">
        <f>IFERROR(VLOOKUP(K1621,[1]POP!$F:$J,1,0),M1621)</f>
        <v>MOKOLO</v>
      </c>
      <c r="AS1621" s="18" t="str">
        <f t="shared" si="126"/>
        <v>MINAWAO</v>
      </c>
      <c r="AT1621" s="19">
        <f t="shared" si="129"/>
        <v>0</v>
      </c>
      <c r="AU1621" s="19">
        <f t="shared" ca="1" si="128"/>
        <v>1</v>
      </c>
    </row>
    <row r="1622" spans="1:47" x14ac:dyDescent="0.3">
      <c r="A1622" t="s">
        <v>2381</v>
      </c>
      <c r="B1622" t="str">
        <f t="shared" si="125"/>
        <v>S35_2026</v>
      </c>
      <c r="C1622" t="str">
        <f t="shared" si="127"/>
        <v>S35_2026</v>
      </c>
      <c r="F1622">
        <v>1</v>
      </c>
      <c r="G1622" t="s">
        <v>55</v>
      </c>
      <c r="H1622" t="s">
        <v>85</v>
      </c>
      <c r="I1622" t="s">
        <v>2382</v>
      </c>
      <c r="J1622" t="s">
        <v>1067</v>
      </c>
      <c r="K1622" t="s">
        <v>1068</v>
      </c>
      <c r="L1622" t="s">
        <v>1067</v>
      </c>
      <c r="M1622" t="s">
        <v>1068</v>
      </c>
      <c r="N1622" t="s">
        <v>45</v>
      </c>
      <c r="O1622" t="s">
        <v>45</v>
      </c>
      <c r="P1622">
        <v>3</v>
      </c>
      <c r="Q1622" s="7">
        <v>46260</v>
      </c>
      <c r="R1622" s="7">
        <v>46260</v>
      </c>
      <c r="S1622" s="7">
        <v>46260</v>
      </c>
      <c r="T1622" t="s">
        <v>45</v>
      </c>
      <c r="V1622" t="s">
        <v>1331</v>
      </c>
      <c r="W1622" t="s">
        <v>45</v>
      </c>
      <c r="X1622" t="s">
        <v>45</v>
      </c>
      <c r="Y1622" t="s">
        <v>45</v>
      </c>
      <c r="Z1622" t="s">
        <v>45</v>
      </c>
      <c r="AC1622" t="s">
        <v>74</v>
      </c>
      <c r="AH1622" t="s">
        <v>75</v>
      </c>
      <c r="AI1622">
        <v>0</v>
      </c>
      <c r="AJ1622" s="15"/>
      <c r="AL1622" s="16"/>
      <c r="AR1622" s="18" t="str">
        <f>IFERROR(VLOOKUP(K1622,[1]POP!$F:$J,1,0),M1622)</f>
        <v>MOKOLO</v>
      </c>
      <c r="AS1622" s="18" t="str">
        <f t="shared" si="126"/>
        <v>MINAWAO</v>
      </c>
      <c r="AT1622" s="19">
        <f t="shared" si="129"/>
        <v>0</v>
      </c>
      <c r="AU1622" s="19">
        <f t="shared" ca="1" si="128"/>
        <v>1</v>
      </c>
    </row>
    <row r="1623" spans="1:47" x14ac:dyDescent="0.3">
      <c r="A1623" t="s">
        <v>2383</v>
      </c>
      <c r="B1623" t="str">
        <f t="shared" si="125"/>
        <v>S35_2026</v>
      </c>
      <c r="C1623" t="str">
        <f t="shared" si="127"/>
        <v>S35_2026</v>
      </c>
      <c r="F1623">
        <v>28</v>
      </c>
      <c r="G1623" t="s">
        <v>40</v>
      </c>
      <c r="H1623" t="s">
        <v>77</v>
      </c>
      <c r="I1623" t="s">
        <v>2384</v>
      </c>
      <c r="J1623" t="s">
        <v>1067</v>
      </c>
      <c r="K1623" t="s">
        <v>1068</v>
      </c>
      <c r="L1623" t="s">
        <v>1067</v>
      </c>
      <c r="M1623" t="s">
        <v>1068</v>
      </c>
      <c r="N1623" t="s">
        <v>45</v>
      </c>
      <c r="O1623" t="s">
        <v>45</v>
      </c>
      <c r="P1623">
        <v>3</v>
      </c>
      <c r="Q1623" s="7">
        <v>46260</v>
      </c>
      <c r="R1623" s="7">
        <v>46260</v>
      </c>
      <c r="S1623" s="7">
        <v>46260</v>
      </c>
      <c r="T1623" t="s">
        <v>45</v>
      </c>
      <c r="V1623" t="s">
        <v>1331</v>
      </c>
      <c r="W1623" t="s">
        <v>45</v>
      </c>
      <c r="X1623" t="s">
        <v>45</v>
      </c>
      <c r="Y1623" t="s">
        <v>45</v>
      </c>
      <c r="Z1623" t="s">
        <v>45</v>
      </c>
      <c r="AC1623" t="s">
        <v>74</v>
      </c>
      <c r="AH1623" t="s">
        <v>75</v>
      </c>
      <c r="AI1623">
        <v>0</v>
      </c>
      <c r="AJ1623" s="15"/>
      <c r="AK1623" t="s">
        <v>45</v>
      </c>
      <c r="AL1623" s="16"/>
      <c r="AR1623" s="18" t="str">
        <f>IFERROR(VLOOKUP(K1623,[1]POP!$F:$J,1,0),M1623)</f>
        <v>MOKOLO</v>
      </c>
      <c r="AS1623" s="18" t="str">
        <f t="shared" si="126"/>
        <v>MINAWAO</v>
      </c>
      <c r="AT1623" s="19">
        <f t="shared" si="129"/>
        <v>0</v>
      </c>
      <c r="AU1623" s="19">
        <f t="shared" ca="1" si="128"/>
        <v>1</v>
      </c>
    </row>
    <row r="1624" spans="1:47" x14ac:dyDescent="0.3">
      <c r="A1624" t="s">
        <v>2385</v>
      </c>
      <c r="B1624" t="str">
        <f t="shared" si="125"/>
        <v>S35_2026</v>
      </c>
      <c r="C1624" t="str">
        <f t="shared" si="127"/>
        <v>S35_2026</v>
      </c>
      <c r="F1624">
        <v>27</v>
      </c>
      <c r="G1624" t="s">
        <v>40</v>
      </c>
      <c r="H1624" t="s">
        <v>77</v>
      </c>
      <c r="I1624" t="s">
        <v>2386</v>
      </c>
      <c r="J1624" t="s">
        <v>1067</v>
      </c>
      <c r="K1624" t="s">
        <v>1068</v>
      </c>
      <c r="L1624" t="s">
        <v>1067</v>
      </c>
      <c r="M1624" t="s">
        <v>1068</v>
      </c>
      <c r="N1624" t="s">
        <v>45</v>
      </c>
      <c r="O1624" t="s">
        <v>45</v>
      </c>
      <c r="P1624">
        <v>3</v>
      </c>
      <c r="Q1624" s="7">
        <v>46260</v>
      </c>
      <c r="R1624" s="7">
        <v>46260</v>
      </c>
      <c r="S1624" s="7">
        <v>46260</v>
      </c>
      <c r="T1624" t="s">
        <v>45</v>
      </c>
      <c r="V1624" t="s">
        <v>1331</v>
      </c>
      <c r="W1624" t="s">
        <v>45</v>
      </c>
      <c r="X1624" t="s">
        <v>45</v>
      </c>
      <c r="Y1624" t="s">
        <v>45</v>
      </c>
      <c r="Z1624" t="s">
        <v>45</v>
      </c>
      <c r="AC1624" t="s">
        <v>74</v>
      </c>
      <c r="AH1624" t="s">
        <v>75</v>
      </c>
      <c r="AI1624">
        <v>0</v>
      </c>
      <c r="AJ1624" s="15"/>
      <c r="AK1624" t="s">
        <v>45</v>
      </c>
      <c r="AL1624" s="16"/>
      <c r="AR1624" s="18" t="str">
        <f>IFERROR(VLOOKUP(K1624,[1]POP!$F:$J,1,0),M1624)</f>
        <v>MOKOLO</v>
      </c>
      <c r="AS1624" s="18" t="str">
        <f t="shared" si="126"/>
        <v>MINAWAO</v>
      </c>
      <c r="AT1624" s="19">
        <f t="shared" si="129"/>
        <v>0</v>
      </c>
      <c r="AU1624" s="19">
        <f t="shared" ca="1" si="128"/>
        <v>1</v>
      </c>
    </row>
    <row r="1625" spans="1:47" x14ac:dyDescent="0.3">
      <c r="A1625" t="s">
        <v>2387</v>
      </c>
      <c r="B1625" t="str">
        <f t="shared" si="125"/>
        <v>S35_2026</v>
      </c>
      <c r="C1625" t="str">
        <f t="shared" si="127"/>
        <v>S35_2026</v>
      </c>
      <c r="F1625">
        <v>24</v>
      </c>
      <c r="G1625" t="s">
        <v>55</v>
      </c>
      <c r="H1625" t="s">
        <v>70</v>
      </c>
      <c r="I1625" t="s">
        <v>2388</v>
      </c>
      <c r="J1625" t="s">
        <v>1067</v>
      </c>
      <c r="K1625" t="s">
        <v>1068</v>
      </c>
      <c r="L1625" t="s">
        <v>1067</v>
      </c>
      <c r="M1625" t="s">
        <v>1068</v>
      </c>
      <c r="N1625" t="s">
        <v>45</v>
      </c>
      <c r="O1625" t="s">
        <v>45</v>
      </c>
      <c r="P1625">
        <v>3</v>
      </c>
      <c r="Q1625" s="7">
        <v>46260</v>
      </c>
      <c r="R1625" s="7">
        <v>46260</v>
      </c>
      <c r="S1625" s="7">
        <v>46260</v>
      </c>
      <c r="T1625" t="s">
        <v>45</v>
      </c>
      <c r="V1625" t="s">
        <v>1331</v>
      </c>
      <c r="W1625" t="s">
        <v>45</v>
      </c>
      <c r="X1625" t="s">
        <v>45</v>
      </c>
      <c r="Y1625" t="s">
        <v>45</v>
      </c>
      <c r="Z1625" t="s">
        <v>45</v>
      </c>
      <c r="AC1625" t="s">
        <v>74</v>
      </c>
      <c r="AH1625" t="s">
        <v>75</v>
      </c>
      <c r="AI1625">
        <v>0</v>
      </c>
      <c r="AJ1625" s="15"/>
      <c r="AK1625" t="s">
        <v>45</v>
      </c>
      <c r="AL1625" s="16"/>
      <c r="AR1625" s="18" t="str">
        <f>IFERROR(VLOOKUP(K1625,[1]POP!$F:$J,1,0),M1625)</f>
        <v>MOKOLO</v>
      </c>
      <c r="AS1625" s="18" t="str">
        <f t="shared" si="126"/>
        <v>MINAWAO</v>
      </c>
      <c r="AT1625" s="19">
        <f t="shared" si="129"/>
        <v>0</v>
      </c>
      <c r="AU1625" s="19">
        <f t="shared" ca="1" si="128"/>
        <v>1</v>
      </c>
    </row>
    <row r="1626" spans="1:47" x14ac:dyDescent="0.3">
      <c r="A1626" t="s">
        <v>2389</v>
      </c>
      <c r="B1626" t="str">
        <f t="shared" si="125"/>
        <v>S34_2026</v>
      </c>
      <c r="C1626" t="str">
        <f t="shared" si="127"/>
        <v>S34_2026</v>
      </c>
      <c r="E1626">
        <v>653060128</v>
      </c>
      <c r="F1626">
        <v>1</v>
      </c>
      <c r="G1626" t="s">
        <v>40</v>
      </c>
      <c r="H1626" t="s">
        <v>111</v>
      </c>
      <c r="I1626" t="s">
        <v>2390</v>
      </c>
      <c r="J1626" t="s">
        <v>2391</v>
      </c>
      <c r="K1626" t="s">
        <v>2079</v>
      </c>
      <c r="L1626" t="s">
        <v>2080</v>
      </c>
      <c r="M1626" t="s">
        <v>2079</v>
      </c>
      <c r="N1626" t="s">
        <v>45</v>
      </c>
      <c r="O1626" t="s">
        <v>45</v>
      </c>
      <c r="P1626">
        <v>46255</v>
      </c>
      <c r="Q1626" s="7">
        <v>46255</v>
      </c>
      <c r="R1626" s="7">
        <v>46255</v>
      </c>
      <c r="S1626" s="7">
        <v>46255</v>
      </c>
      <c r="T1626" t="s">
        <v>45</v>
      </c>
      <c r="V1626" t="s">
        <v>2081</v>
      </c>
      <c r="W1626" t="s">
        <v>45</v>
      </c>
      <c r="X1626" t="s">
        <v>45</v>
      </c>
      <c r="Y1626" t="s">
        <v>45</v>
      </c>
      <c r="Z1626" t="s">
        <v>45</v>
      </c>
      <c r="AB1626" t="s">
        <v>48</v>
      </c>
      <c r="AC1626" t="s">
        <v>74</v>
      </c>
      <c r="AD1626" t="s">
        <v>74</v>
      </c>
      <c r="AE1626" s="7">
        <v>46257</v>
      </c>
      <c r="AF1626">
        <v>2</v>
      </c>
      <c r="AH1626" t="s">
        <v>75</v>
      </c>
      <c r="AI1626">
        <v>1</v>
      </c>
      <c r="AJ1626" s="15"/>
      <c r="AK1626" t="s">
        <v>86</v>
      </c>
      <c r="AL1626" s="16"/>
      <c r="AR1626" s="18" t="str">
        <f>IFERROR(VLOOKUP(K1626,[1]POP!$F:$J,1,0),M1626)</f>
        <v>Maroua 2</v>
      </c>
      <c r="AS1626" s="18" t="str">
        <f t="shared" si="126"/>
        <v>Founangué</v>
      </c>
      <c r="AT1626" s="19">
        <f t="shared" si="129"/>
        <v>2</v>
      </c>
      <c r="AU1626" s="19">
        <f t="shared" ca="1" si="128"/>
        <v>1</v>
      </c>
    </row>
    <row r="1627" spans="1:47" x14ac:dyDescent="0.3">
      <c r="A1627" t="s">
        <v>2392</v>
      </c>
      <c r="B1627" t="str">
        <f t="shared" si="125"/>
        <v>S35_2026</v>
      </c>
      <c r="C1627" t="str">
        <f t="shared" si="127"/>
        <v>S35_2026</v>
      </c>
      <c r="E1627">
        <v>697810548</v>
      </c>
      <c r="F1627">
        <v>17</v>
      </c>
      <c r="G1627" t="s">
        <v>55</v>
      </c>
      <c r="I1627" t="s">
        <v>2393</v>
      </c>
      <c r="J1627" t="s">
        <v>2058</v>
      </c>
      <c r="K1627" t="s">
        <v>1758</v>
      </c>
      <c r="L1627" t="s">
        <v>2058</v>
      </c>
      <c r="M1627" t="s">
        <v>1758</v>
      </c>
      <c r="N1627" t="s">
        <v>45</v>
      </c>
      <c r="O1627" t="s">
        <v>45</v>
      </c>
      <c r="P1627">
        <v>3</v>
      </c>
      <c r="Q1627" s="7">
        <v>46258</v>
      </c>
      <c r="R1627" s="7">
        <v>46258</v>
      </c>
      <c r="S1627" s="7">
        <v>46258</v>
      </c>
      <c r="T1627" t="s">
        <v>45</v>
      </c>
      <c r="V1627" t="s">
        <v>2059</v>
      </c>
      <c r="W1627" t="s">
        <v>45</v>
      </c>
      <c r="X1627" t="s">
        <v>45</v>
      </c>
      <c r="Y1627" t="s">
        <v>45</v>
      </c>
      <c r="Z1627" t="s">
        <v>45</v>
      </c>
      <c r="AF1627">
        <v>2</v>
      </c>
      <c r="AH1627" t="s">
        <v>75</v>
      </c>
      <c r="AI1627">
        <v>1</v>
      </c>
      <c r="AJ1627" s="15"/>
      <c r="AK1627" t="s">
        <v>74</v>
      </c>
      <c r="AL1627" s="16"/>
      <c r="AR1627" s="18" t="str">
        <f>IFERROR(VLOOKUP(K1627,[1]POP!$F:$J,1,0),M1627)</f>
        <v>MAROUA 2</v>
      </c>
      <c r="AS1627" s="18" t="str">
        <f t="shared" si="126"/>
        <v xml:space="preserve">DOUALARE </v>
      </c>
      <c r="AT1627" s="19">
        <f t="shared" si="129"/>
        <v>2</v>
      </c>
      <c r="AU1627" s="19">
        <f t="shared" ca="1" si="128"/>
        <v>1</v>
      </c>
    </row>
    <row r="1628" spans="1:47" x14ac:dyDescent="0.3">
      <c r="A1628" t="s">
        <v>2394</v>
      </c>
      <c r="B1628" t="str">
        <f t="shared" si="125"/>
        <v>S35_2026</v>
      </c>
      <c r="C1628" t="str">
        <f t="shared" si="127"/>
        <v>S35_2026</v>
      </c>
      <c r="E1628">
        <v>687743140</v>
      </c>
      <c r="F1628">
        <v>23</v>
      </c>
      <c r="G1628" t="s">
        <v>40</v>
      </c>
      <c r="I1628" t="s">
        <v>2395</v>
      </c>
      <c r="J1628" t="s">
        <v>2058</v>
      </c>
      <c r="K1628" t="s">
        <v>1758</v>
      </c>
      <c r="L1628" t="s">
        <v>2058</v>
      </c>
      <c r="M1628" t="s">
        <v>1758</v>
      </c>
      <c r="N1628" t="s">
        <v>45</v>
      </c>
      <c r="O1628" t="s">
        <v>45</v>
      </c>
      <c r="P1628">
        <v>1</v>
      </c>
      <c r="Q1628" s="7">
        <v>46258</v>
      </c>
      <c r="R1628" s="7">
        <v>46258</v>
      </c>
      <c r="S1628" s="7">
        <v>46258</v>
      </c>
      <c r="T1628" t="s">
        <v>74</v>
      </c>
      <c r="V1628" t="s">
        <v>2061</v>
      </c>
      <c r="W1628" t="s">
        <v>45</v>
      </c>
      <c r="X1628" t="s">
        <v>74</v>
      </c>
      <c r="Y1628" t="s">
        <v>74</v>
      </c>
      <c r="Z1628" t="s">
        <v>45</v>
      </c>
      <c r="AF1628">
        <v>2</v>
      </c>
      <c r="AH1628" t="s">
        <v>75</v>
      </c>
      <c r="AI1628">
        <v>1</v>
      </c>
      <c r="AJ1628" s="15"/>
      <c r="AK1628" t="s">
        <v>74</v>
      </c>
      <c r="AL1628" s="16"/>
      <c r="AR1628" s="18" t="str">
        <f>IFERROR(VLOOKUP(K1628,[1]POP!$F:$J,1,0),M1628)</f>
        <v>MAROUA 2</v>
      </c>
      <c r="AS1628" s="18" t="str">
        <f t="shared" si="126"/>
        <v xml:space="preserve">DOUALARE </v>
      </c>
      <c r="AT1628" s="19">
        <f t="shared" si="129"/>
        <v>2</v>
      </c>
      <c r="AU1628" s="19">
        <f t="shared" ca="1" si="128"/>
        <v>1</v>
      </c>
    </row>
    <row r="1629" spans="1:47" x14ac:dyDescent="0.3">
      <c r="A1629" t="s">
        <v>2396</v>
      </c>
      <c r="B1629" t="str">
        <f t="shared" si="125"/>
        <v>S35_2026</v>
      </c>
      <c r="C1629" t="str">
        <f t="shared" si="127"/>
        <v>S35_2026</v>
      </c>
      <c r="E1629">
        <v>658405693</v>
      </c>
      <c r="F1629">
        <v>9</v>
      </c>
      <c r="G1629" t="s">
        <v>55</v>
      </c>
      <c r="I1629" t="s">
        <v>2072</v>
      </c>
      <c r="J1629" t="s">
        <v>2058</v>
      </c>
      <c r="K1629" t="s">
        <v>2397</v>
      </c>
      <c r="L1629" t="s">
        <v>2058</v>
      </c>
      <c r="M1629" t="s">
        <v>1758</v>
      </c>
      <c r="N1629" t="s">
        <v>45</v>
      </c>
      <c r="O1629" t="s">
        <v>45</v>
      </c>
      <c r="P1629">
        <v>3</v>
      </c>
      <c r="Q1629" s="7">
        <v>46259</v>
      </c>
      <c r="R1629" s="7">
        <v>46259</v>
      </c>
      <c r="S1629" s="7">
        <v>46259</v>
      </c>
      <c r="T1629" t="s">
        <v>45</v>
      </c>
      <c r="V1629" t="s">
        <v>2061</v>
      </c>
      <c r="W1629" t="s">
        <v>45</v>
      </c>
      <c r="X1629" t="s">
        <v>45</v>
      </c>
      <c r="Y1629" t="s">
        <v>45</v>
      </c>
      <c r="Z1629" t="s">
        <v>45</v>
      </c>
      <c r="AF1629">
        <v>2</v>
      </c>
      <c r="AH1629" t="s">
        <v>75</v>
      </c>
      <c r="AI1629">
        <v>1</v>
      </c>
      <c r="AJ1629" s="15"/>
      <c r="AK1629" t="s">
        <v>74</v>
      </c>
      <c r="AL1629" s="16"/>
      <c r="AR1629" s="18" t="str">
        <f>IFERROR(VLOOKUP(K1629,[1]POP!$F:$J,1,0),M1629)</f>
        <v>MAROUA 2</v>
      </c>
      <c r="AS1629" s="18" t="str">
        <f t="shared" si="126"/>
        <v xml:space="preserve">DOUALARE </v>
      </c>
      <c r="AT1629" s="19">
        <f t="shared" si="129"/>
        <v>2</v>
      </c>
      <c r="AU1629" s="19">
        <f t="shared" ca="1" si="128"/>
        <v>1</v>
      </c>
    </row>
    <row r="1630" spans="1:47" x14ac:dyDescent="0.3">
      <c r="A1630" t="s">
        <v>2398</v>
      </c>
      <c r="B1630" t="str">
        <f t="shared" si="125"/>
        <v>S33_2026</v>
      </c>
      <c r="C1630" t="str">
        <f t="shared" si="127"/>
        <v>S33_2026</v>
      </c>
      <c r="F1630">
        <v>16</v>
      </c>
      <c r="G1630" t="s">
        <v>40</v>
      </c>
      <c r="I1630" t="s">
        <v>2399</v>
      </c>
      <c r="J1630" t="s">
        <v>2400</v>
      </c>
      <c r="K1630" t="s">
        <v>2401</v>
      </c>
      <c r="L1630" t="s">
        <v>2402</v>
      </c>
      <c r="M1630" t="s">
        <v>1758</v>
      </c>
      <c r="N1630" t="s">
        <v>675</v>
      </c>
      <c r="O1630" t="s">
        <v>675</v>
      </c>
      <c r="P1630" t="s">
        <v>2403</v>
      </c>
      <c r="Q1630" s="7">
        <v>46248</v>
      </c>
      <c r="R1630" s="7">
        <v>46248</v>
      </c>
      <c r="S1630" s="7">
        <v>46248</v>
      </c>
      <c r="T1630" t="s">
        <v>675</v>
      </c>
      <c r="W1630" t="s">
        <v>675</v>
      </c>
      <c r="X1630" t="s">
        <v>675</v>
      </c>
      <c r="Y1630" t="s">
        <v>675</v>
      </c>
      <c r="AE1630" s="7">
        <v>46248</v>
      </c>
      <c r="AF1630">
        <v>2</v>
      </c>
      <c r="AH1630" t="s">
        <v>75</v>
      </c>
      <c r="AI1630">
        <v>1</v>
      </c>
      <c r="AJ1630" s="15"/>
      <c r="AL1630" s="16"/>
      <c r="AR1630" s="18" t="str">
        <f>IFERROR(VLOOKUP(K1630,[1]POP!$F:$J,1,0),M1630)</f>
        <v>MAROUA 2</v>
      </c>
      <c r="AS1630" s="18" t="str">
        <f t="shared" si="126"/>
        <v xml:space="preserve">Lopere 1 </v>
      </c>
      <c r="AT1630" s="19">
        <f t="shared" si="129"/>
        <v>2</v>
      </c>
      <c r="AU1630" s="19">
        <f t="shared" ca="1" si="128"/>
        <v>1</v>
      </c>
    </row>
    <row r="1631" spans="1:47" x14ac:dyDescent="0.3">
      <c r="A1631" t="s">
        <v>2404</v>
      </c>
      <c r="B1631" t="str">
        <f t="shared" si="125"/>
        <v>S33_2026</v>
      </c>
      <c r="C1631" t="str">
        <f t="shared" si="127"/>
        <v>S33_2026</v>
      </c>
      <c r="F1631">
        <v>20</v>
      </c>
      <c r="G1631" t="s">
        <v>40</v>
      </c>
      <c r="I1631" t="s">
        <v>2399</v>
      </c>
      <c r="J1631" t="s">
        <v>2400</v>
      </c>
      <c r="K1631" t="s">
        <v>2401</v>
      </c>
      <c r="L1631" t="s">
        <v>2402</v>
      </c>
      <c r="M1631" t="s">
        <v>1758</v>
      </c>
      <c r="N1631" t="s">
        <v>675</v>
      </c>
      <c r="O1631" t="s">
        <v>675</v>
      </c>
      <c r="P1631" t="s">
        <v>2403</v>
      </c>
      <c r="Q1631" s="7">
        <v>46245</v>
      </c>
      <c r="R1631" s="7">
        <v>46248</v>
      </c>
      <c r="S1631" s="7">
        <v>46248</v>
      </c>
      <c r="T1631" t="s">
        <v>675</v>
      </c>
      <c r="W1631" t="s">
        <v>675</v>
      </c>
      <c r="X1631" t="s">
        <v>675</v>
      </c>
      <c r="Y1631" t="s">
        <v>675</v>
      </c>
      <c r="AE1631" s="7">
        <v>46248</v>
      </c>
      <c r="AF1631">
        <v>2</v>
      </c>
      <c r="AH1631" t="s">
        <v>75</v>
      </c>
      <c r="AI1631">
        <v>1</v>
      </c>
      <c r="AJ1631" s="15"/>
      <c r="AL1631" s="16"/>
      <c r="AR1631" s="18" t="str">
        <f>IFERROR(VLOOKUP(K1631,[1]POP!$F:$J,1,0),M1631)</f>
        <v>MAROUA 2</v>
      </c>
      <c r="AS1631" s="18" t="str">
        <f t="shared" si="126"/>
        <v xml:space="preserve">Lopere 1 </v>
      </c>
      <c r="AT1631" s="19">
        <f t="shared" si="129"/>
        <v>2</v>
      </c>
      <c r="AU1631" s="19">
        <f t="shared" ca="1" si="128"/>
        <v>1</v>
      </c>
    </row>
    <row r="1632" spans="1:47" x14ac:dyDescent="0.3">
      <c r="A1632" t="s">
        <v>2405</v>
      </c>
      <c r="B1632" t="str">
        <f t="shared" si="125"/>
        <v>S33_2026</v>
      </c>
      <c r="C1632" t="str">
        <f t="shared" si="127"/>
        <v>S33_2026</v>
      </c>
      <c r="F1632">
        <v>7</v>
      </c>
      <c r="G1632" t="s">
        <v>40</v>
      </c>
      <c r="I1632" t="s">
        <v>2399</v>
      </c>
      <c r="J1632" t="s">
        <v>2400</v>
      </c>
      <c r="K1632" t="s">
        <v>2401</v>
      </c>
      <c r="L1632" t="s">
        <v>2402</v>
      </c>
      <c r="M1632" t="s">
        <v>1758</v>
      </c>
      <c r="N1632" t="s">
        <v>675</v>
      </c>
      <c r="O1632" t="s">
        <v>675</v>
      </c>
      <c r="P1632" t="s">
        <v>2403</v>
      </c>
      <c r="Q1632" s="7">
        <v>46248</v>
      </c>
      <c r="R1632" s="7">
        <v>46248</v>
      </c>
      <c r="S1632" s="7">
        <v>46248</v>
      </c>
      <c r="T1632" t="s">
        <v>675</v>
      </c>
      <c r="W1632" t="s">
        <v>675</v>
      </c>
      <c r="X1632" t="s">
        <v>675</v>
      </c>
      <c r="Y1632" t="s">
        <v>675</v>
      </c>
      <c r="AF1632">
        <v>3</v>
      </c>
      <c r="AH1632" t="s">
        <v>75</v>
      </c>
      <c r="AI1632">
        <v>2</v>
      </c>
      <c r="AJ1632" s="15"/>
      <c r="AL1632" s="16"/>
      <c r="AR1632" s="18" t="str">
        <f>IFERROR(VLOOKUP(K1632,[1]POP!$F:$J,1,0),M1632)</f>
        <v>MAROUA 2</v>
      </c>
      <c r="AS1632" s="18" t="str">
        <f t="shared" si="126"/>
        <v xml:space="preserve">Lopere 1 </v>
      </c>
      <c r="AT1632" s="19">
        <f t="shared" si="129"/>
        <v>3</v>
      </c>
      <c r="AU1632" s="19">
        <f t="shared" ca="1" si="128"/>
        <v>1</v>
      </c>
    </row>
    <row r="1633" spans="1:47" x14ac:dyDescent="0.3">
      <c r="A1633" t="s">
        <v>2406</v>
      </c>
      <c r="B1633" t="str">
        <f t="shared" si="125"/>
        <v>S34_2026</v>
      </c>
      <c r="C1633" t="str">
        <f t="shared" si="127"/>
        <v>S34_2026</v>
      </c>
      <c r="F1633">
        <v>33</v>
      </c>
      <c r="G1633" t="s">
        <v>40</v>
      </c>
      <c r="H1633" t="s">
        <v>1899</v>
      </c>
      <c r="I1633" t="s">
        <v>2407</v>
      </c>
      <c r="J1633" t="s">
        <v>2400</v>
      </c>
      <c r="K1633" t="s">
        <v>2401</v>
      </c>
      <c r="L1633" t="s">
        <v>2402</v>
      </c>
      <c r="M1633" t="s">
        <v>1758</v>
      </c>
      <c r="N1633" t="s">
        <v>675</v>
      </c>
      <c r="O1633" t="s">
        <v>675</v>
      </c>
      <c r="P1633" t="s">
        <v>2403</v>
      </c>
      <c r="Q1633" s="7">
        <v>46251</v>
      </c>
      <c r="R1633" s="7">
        <v>46251</v>
      </c>
      <c r="S1633" s="7">
        <v>46251</v>
      </c>
      <c r="T1633" t="s">
        <v>675</v>
      </c>
      <c r="W1633" t="s">
        <v>675</v>
      </c>
      <c r="X1633" t="s">
        <v>675</v>
      </c>
      <c r="Y1633" t="s">
        <v>675</v>
      </c>
      <c r="AE1633" s="7">
        <v>46251</v>
      </c>
      <c r="AF1633">
        <v>2</v>
      </c>
      <c r="AH1633" t="s">
        <v>75</v>
      </c>
      <c r="AI1633">
        <v>1</v>
      </c>
      <c r="AJ1633" s="15"/>
      <c r="AL1633" s="16"/>
      <c r="AR1633" s="18" t="str">
        <f>IFERROR(VLOOKUP(K1633,[1]POP!$F:$J,1,0),M1633)</f>
        <v>MAROUA 2</v>
      </c>
      <c r="AS1633" s="18" t="str">
        <f t="shared" si="126"/>
        <v xml:space="preserve">Lopere 1 </v>
      </c>
      <c r="AT1633" s="19">
        <f t="shared" si="129"/>
        <v>2</v>
      </c>
      <c r="AU1633" s="19">
        <f t="shared" ca="1" si="128"/>
        <v>1</v>
      </c>
    </row>
    <row r="1634" spans="1:47" x14ac:dyDescent="0.3">
      <c r="A1634" t="s">
        <v>2408</v>
      </c>
      <c r="B1634" t="str">
        <f t="shared" si="125"/>
        <v>S34_2026</v>
      </c>
      <c r="C1634" t="str">
        <f t="shared" si="127"/>
        <v>S34_2026</v>
      </c>
      <c r="F1634">
        <v>33</v>
      </c>
      <c r="G1634" t="s">
        <v>40</v>
      </c>
      <c r="H1634" t="s">
        <v>1899</v>
      </c>
      <c r="I1634" t="s">
        <v>2409</v>
      </c>
      <c r="J1634" t="s">
        <v>2400</v>
      </c>
      <c r="K1634" t="s">
        <v>2401</v>
      </c>
      <c r="L1634" t="s">
        <v>2402</v>
      </c>
      <c r="M1634" t="s">
        <v>1758</v>
      </c>
      <c r="N1634" t="s">
        <v>675</v>
      </c>
      <c r="O1634" t="s">
        <v>675</v>
      </c>
      <c r="P1634" t="s">
        <v>2410</v>
      </c>
      <c r="Q1634" s="7">
        <v>46252</v>
      </c>
      <c r="R1634" s="7">
        <v>46252</v>
      </c>
      <c r="S1634" s="7">
        <v>46252</v>
      </c>
      <c r="T1634" t="s">
        <v>675</v>
      </c>
      <c r="W1634" t="s">
        <v>675</v>
      </c>
      <c r="X1634" t="s">
        <v>117</v>
      </c>
      <c r="Y1634" t="s">
        <v>675</v>
      </c>
      <c r="AE1634" s="7">
        <v>46252</v>
      </c>
      <c r="AF1634">
        <v>2</v>
      </c>
      <c r="AH1634" t="s">
        <v>75</v>
      </c>
      <c r="AI1634">
        <v>1</v>
      </c>
      <c r="AJ1634" s="15"/>
      <c r="AL1634" s="16"/>
      <c r="AR1634" s="18" t="str">
        <f>IFERROR(VLOOKUP(K1634,[1]POP!$F:$J,1,0),M1634)</f>
        <v>MAROUA 2</v>
      </c>
      <c r="AS1634" s="18" t="str">
        <f t="shared" si="126"/>
        <v xml:space="preserve">Lopere 1 </v>
      </c>
      <c r="AT1634" s="19">
        <f t="shared" si="129"/>
        <v>2</v>
      </c>
      <c r="AU1634" s="19">
        <f t="shared" ca="1" si="128"/>
        <v>1</v>
      </c>
    </row>
    <row r="1635" spans="1:47" x14ac:dyDescent="0.3">
      <c r="A1635" t="s">
        <v>2411</v>
      </c>
      <c r="B1635" t="str">
        <f t="shared" si="125"/>
        <v>S34_2026</v>
      </c>
      <c r="C1635" t="str">
        <f t="shared" si="127"/>
        <v>S34_2026</v>
      </c>
      <c r="E1635">
        <v>659187071</v>
      </c>
      <c r="F1635">
        <v>38</v>
      </c>
      <c r="G1635" t="s">
        <v>55</v>
      </c>
      <c r="H1635" t="s">
        <v>77</v>
      </c>
      <c r="I1635" t="s">
        <v>2309</v>
      </c>
      <c r="J1635" t="s">
        <v>2400</v>
      </c>
      <c r="K1635" t="s">
        <v>1758</v>
      </c>
      <c r="L1635" t="s">
        <v>2402</v>
      </c>
      <c r="M1635" t="s">
        <v>1758</v>
      </c>
      <c r="N1635" t="s">
        <v>45</v>
      </c>
      <c r="O1635" t="s">
        <v>74</v>
      </c>
      <c r="Q1635" s="7">
        <v>46253</v>
      </c>
      <c r="R1635" s="7">
        <v>46253</v>
      </c>
      <c r="S1635" s="7">
        <v>46253</v>
      </c>
      <c r="T1635" t="s">
        <v>45</v>
      </c>
      <c r="V1635" t="s">
        <v>1759</v>
      </c>
      <c r="W1635" t="s">
        <v>45</v>
      </c>
      <c r="X1635" t="s">
        <v>45</v>
      </c>
      <c r="Y1635" t="s">
        <v>45</v>
      </c>
      <c r="Z1635" t="s">
        <v>45</v>
      </c>
      <c r="AA1635" s="7">
        <v>46253</v>
      </c>
      <c r="AB1635" t="s">
        <v>62</v>
      </c>
      <c r="AC1635" t="s">
        <v>45</v>
      </c>
      <c r="AD1635" t="s">
        <v>62</v>
      </c>
      <c r="AE1635" s="7">
        <v>46255</v>
      </c>
      <c r="AF1635">
        <v>2</v>
      </c>
      <c r="AH1635" t="s">
        <v>75</v>
      </c>
      <c r="AI1635">
        <v>1</v>
      </c>
      <c r="AJ1635" s="15"/>
      <c r="AL1635" s="16"/>
      <c r="AR1635" s="18" t="str">
        <f>IFERROR(VLOOKUP(K1635,[1]POP!$F:$J,1,0),M1635)</f>
        <v>MAROUA 2</v>
      </c>
      <c r="AS1635" s="18" t="str">
        <f t="shared" si="126"/>
        <v xml:space="preserve">Doualare </v>
      </c>
      <c r="AT1635" s="19">
        <f t="shared" si="129"/>
        <v>2</v>
      </c>
      <c r="AU1635" s="19">
        <f t="shared" ca="1" si="128"/>
        <v>1</v>
      </c>
    </row>
    <row r="1636" spans="1:47" x14ac:dyDescent="0.3">
      <c r="A1636" t="s">
        <v>2412</v>
      </c>
      <c r="B1636" t="str">
        <f t="shared" si="125"/>
        <v>S34_2026</v>
      </c>
      <c r="C1636" t="str">
        <f t="shared" si="127"/>
        <v>S34_2026</v>
      </c>
      <c r="E1636">
        <v>699976099</v>
      </c>
      <c r="F1636">
        <v>70</v>
      </c>
      <c r="G1636" t="s">
        <v>40</v>
      </c>
      <c r="H1636" t="s">
        <v>77</v>
      </c>
      <c r="I1636" t="s">
        <v>2050</v>
      </c>
      <c r="J1636" t="s">
        <v>2050</v>
      </c>
      <c r="K1636" t="s">
        <v>1758</v>
      </c>
      <c r="L1636" t="s">
        <v>2402</v>
      </c>
      <c r="M1636" t="s">
        <v>1758</v>
      </c>
      <c r="N1636" t="s">
        <v>45</v>
      </c>
      <c r="O1636" t="s">
        <v>74</v>
      </c>
      <c r="Q1636" s="7">
        <v>46256</v>
      </c>
      <c r="R1636" s="7">
        <v>46256</v>
      </c>
      <c r="S1636" s="7">
        <v>46256</v>
      </c>
      <c r="T1636" t="s">
        <v>45</v>
      </c>
      <c r="V1636" t="s">
        <v>1759</v>
      </c>
      <c r="W1636" t="s">
        <v>45</v>
      </c>
      <c r="X1636" t="s">
        <v>45</v>
      </c>
      <c r="Y1636" t="s">
        <v>45</v>
      </c>
      <c r="Z1636" t="s">
        <v>45</v>
      </c>
      <c r="AA1636" s="7">
        <v>46256</v>
      </c>
      <c r="AB1636" t="s">
        <v>62</v>
      </c>
      <c r="AC1636" t="s">
        <v>45</v>
      </c>
      <c r="AD1636" t="s">
        <v>1122</v>
      </c>
      <c r="AH1636" t="s">
        <v>75</v>
      </c>
      <c r="AI1636">
        <v>0</v>
      </c>
      <c r="AJ1636" s="15"/>
      <c r="AL1636" s="16"/>
      <c r="AR1636" s="18" t="str">
        <f>IFERROR(VLOOKUP(K1636,[1]POP!$F:$J,1,0),M1636)</f>
        <v>MAROUA 2</v>
      </c>
      <c r="AS1636" s="18" t="str">
        <f t="shared" si="126"/>
        <v>LOPERE</v>
      </c>
      <c r="AT1636" s="19">
        <f t="shared" si="129"/>
        <v>0</v>
      </c>
      <c r="AU1636" s="19">
        <f t="shared" ca="1" si="128"/>
        <v>1</v>
      </c>
    </row>
    <row r="1637" spans="1:47" x14ac:dyDescent="0.3">
      <c r="A1637" t="s">
        <v>2413</v>
      </c>
      <c r="B1637" t="str">
        <f t="shared" si="125"/>
        <v>S35_2026</v>
      </c>
      <c r="C1637" t="str">
        <f t="shared" si="127"/>
        <v>S35_2026</v>
      </c>
      <c r="E1637">
        <v>655325162</v>
      </c>
      <c r="F1637">
        <v>19</v>
      </c>
      <c r="G1637" t="s">
        <v>40</v>
      </c>
      <c r="H1637" t="s">
        <v>56</v>
      </c>
      <c r="I1637" t="s">
        <v>2036</v>
      </c>
      <c r="J1637" t="s">
        <v>2050</v>
      </c>
      <c r="K1637" t="s">
        <v>1758</v>
      </c>
      <c r="L1637" t="s">
        <v>2402</v>
      </c>
      <c r="M1637" t="s">
        <v>1758</v>
      </c>
      <c r="N1637" t="s">
        <v>45</v>
      </c>
      <c r="O1637" t="s">
        <v>45</v>
      </c>
      <c r="Q1637" s="7">
        <v>46258</v>
      </c>
      <c r="R1637" s="7">
        <v>46258</v>
      </c>
      <c r="S1637" s="7">
        <v>46258</v>
      </c>
      <c r="T1637" t="s">
        <v>45</v>
      </c>
      <c r="V1637" t="s">
        <v>1759</v>
      </c>
      <c r="W1637" t="s">
        <v>45</v>
      </c>
      <c r="X1637" t="s">
        <v>45</v>
      </c>
      <c r="Y1637" t="s">
        <v>45</v>
      </c>
      <c r="Z1637" t="s">
        <v>45</v>
      </c>
      <c r="AA1637" s="7">
        <v>46258</v>
      </c>
      <c r="AB1637" t="s">
        <v>62</v>
      </c>
      <c r="AC1637" t="s">
        <v>45</v>
      </c>
      <c r="AD1637" t="s">
        <v>1122</v>
      </c>
      <c r="AH1637" t="s">
        <v>75</v>
      </c>
      <c r="AI1637">
        <v>0</v>
      </c>
      <c r="AJ1637" s="15"/>
      <c r="AL1637" s="16"/>
      <c r="AR1637" s="18" t="str">
        <f>IFERROR(VLOOKUP(K1637,[1]POP!$F:$J,1,0),M1637)</f>
        <v>MAROUA 2</v>
      </c>
      <c r="AS1637" s="18" t="str">
        <f t="shared" si="126"/>
        <v>LOPERE</v>
      </c>
      <c r="AT1637" s="19">
        <f t="shared" si="129"/>
        <v>0</v>
      </c>
      <c r="AU1637" s="19">
        <f t="shared" ca="1" si="128"/>
        <v>1</v>
      </c>
    </row>
    <row r="1638" spans="1:47" x14ac:dyDescent="0.3">
      <c r="A1638" t="s">
        <v>2414</v>
      </c>
      <c r="B1638" t="str">
        <f t="shared" si="125"/>
        <v>S35_2026</v>
      </c>
      <c r="C1638" t="str">
        <f t="shared" si="127"/>
        <v>S35_2026</v>
      </c>
      <c r="E1638">
        <v>640304567</v>
      </c>
      <c r="F1638">
        <v>49</v>
      </c>
      <c r="G1638" t="s">
        <v>55</v>
      </c>
      <c r="H1638" t="s">
        <v>2415</v>
      </c>
      <c r="I1638" t="s">
        <v>854</v>
      </c>
      <c r="J1638" t="s">
        <v>2050</v>
      </c>
      <c r="K1638" t="s">
        <v>1758</v>
      </c>
      <c r="L1638" t="s">
        <v>2402</v>
      </c>
      <c r="M1638" t="s">
        <v>1758</v>
      </c>
      <c r="N1638" t="s">
        <v>45</v>
      </c>
      <c r="O1638" t="s">
        <v>45</v>
      </c>
      <c r="Q1638" s="7">
        <v>46258</v>
      </c>
      <c r="R1638" s="7">
        <v>46258</v>
      </c>
      <c r="S1638" s="7">
        <v>46258</v>
      </c>
      <c r="T1638" t="s">
        <v>45</v>
      </c>
      <c r="V1638" t="s">
        <v>1759</v>
      </c>
      <c r="W1638" t="s">
        <v>45</v>
      </c>
      <c r="X1638" t="s">
        <v>45</v>
      </c>
      <c r="Y1638" t="s">
        <v>45</v>
      </c>
      <c r="Z1638" t="s">
        <v>45</v>
      </c>
      <c r="AA1638" s="7">
        <v>46258</v>
      </c>
      <c r="AB1638" t="s">
        <v>48</v>
      </c>
      <c r="AC1638" t="s">
        <v>45</v>
      </c>
      <c r="AD1638" t="s">
        <v>1122</v>
      </c>
      <c r="AH1638" t="s">
        <v>75</v>
      </c>
      <c r="AI1638">
        <v>0</v>
      </c>
      <c r="AJ1638" s="15"/>
      <c r="AL1638" s="16"/>
      <c r="AR1638" s="18" t="str">
        <f>IFERROR(VLOOKUP(K1638,[1]POP!$F:$J,1,0),M1638)</f>
        <v>MAROUA 2</v>
      </c>
      <c r="AS1638" s="18" t="str">
        <f t="shared" si="126"/>
        <v>LOPERE</v>
      </c>
      <c r="AT1638" s="19">
        <f t="shared" si="129"/>
        <v>0</v>
      </c>
      <c r="AU1638" s="19">
        <f t="shared" ca="1" si="128"/>
        <v>1</v>
      </c>
    </row>
    <row r="1639" spans="1:47" x14ac:dyDescent="0.3">
      <c r="A1639" t="s">
        <v>2416</v>
      </c>
      <c r="B1639" t="str">
        <f t="shared" si="125"/>
        <v>S35_2026</v>
      </c>
      <c r="C1639" t="str">
        <f t="shared" si="127"/>
        <v>S35_2026</v>
      </c>
      <c r="F1639">
        <v>13</v>
      </c>
      <c r="G1639" t="s">
        <v>55</v>
      </c>
      <c r="H1639" t="s">
        <v>56</v>
      </c>
      <c r="I1639" t="s">
        <v>2050</v>
      </c>
      <c r="J1639" t="s">
        <v>2050</v>
      </c>
      <c r="K1639" t="s">
        <v>1758</v>
      </c>
      <c r="L1639" t="s">
        <v>2402</v>
      </c>
      <c r="M1639" t="s">
        <v>1758</v>
      </c>
      <c r="N1639" t="s">
        <v>45</v>
      </c>
      <c r="O1639" t="s">
        <v>45</v>
      </c>
      <c r="Q1639" s="7">
        <v>46258</v>
      </c>
      <c r="R1639" s="7">
        <v>46258</v>
      </c>
      <c r="S1639" s="7">
        <v>46258</v>
      </c>
      <c r="T1639" t="s">
        <v>45</v>
      </c>
      <c r="V1639" t="s">
        <v>1759</v>
      </c>
      <c r="W1639" t="s">
        <v>45</v>
      </c>
      <c r="X1639" t="s">
        <v>45</v>
      </c>
      <c r="Y1639" t="s">
        <v>45</v>
      </c>
      <c r="Z1639" t="s">
        <v>45</v>
      </c>
      <c r="AA1639" s="7">
        <v>46258</v>
      </c>
      <c r="AB1639" t="s">
        <v>62</v>
      </c>
      <c r="AC1639" t="s">
        <v>45</v>
      </c>
      <c r="AD1639" t="s">
        <v>1122</v>
      </c>
      <c r="AH1639" t="s">
        <v>75</v>
      </c>
      <c r="AI1639">
        <v>0</v>
      </c>
      <c r="AJ1639" s="15"/>
      <c r="AL1639" s="16"/>
      <c r="AR1639" s="18" t="str">
        <f>IFERROR(VLOOKUP(K1639,[1]POP!$F:$J,1,0),M1639)</f>
        <v>MAROUA 2</v>
      </c>
      <c r="AS1639" s="18" t="str">
        <f t="shared" si="126"/>
        <v>LOPERE</v>
      </c>
      <c r="AT1639" s="19">
        <f t="shared" si="129"/>
        <v>0</v>
      </c>
      <c r="AU1639" s="19">
        <f t="shared" ca="1" si="128"/>
        <v>1</v>
      </c>
    </row>
    <row r="1640" spans="1:47" x14ac:dyDescent="0.3">
      <c r="A1640" t="s">
        <v>2417</v>
      </c>
      <c r="B1640" t="str">
        <f t="shared" si="125"/>
        <v>S35_2026</v>
      </c>
      <c r="C1640" t="str">
        <f t="shared" si="127"/>
        <v>S35_2026</v>
      </c>
      <c r="E1640">
        <v>687955533</v>
      </c>
      <c r="F1640">
        <v>32</v>
      </c>
      <c r="G1640" t="s">
        <v>55</v>
      </c>
      <c r="H1640" t="s">
        <v>2418</v>
      </c>
      <c r="I1640" t="s">
        <v>2050</v>
      </c>
      <c r="J1640" t="s">
        <v>2050</v>
      </c>
      <c r="K1640" t="s">
        <v>1758</v>
      </c>
      <c r="L1640" t="s">
        <v>2402</v>
      </c>
      <c r="M1640" t="s">
        <v>1758</v>
      </c>
      <c r="N1640" t="s">
        <v>45</v>
      </c>
      <c r="O1640" t="s">
        <v>45</v>
      </c>
      <c r="Q1640" s="7">
        <v>46258</v>
      </c>
      <c r="R1640" s="7">
        <v>46258</v>
      </c>
      <c r="S1640" s="7">
        <v>46258</v>
      </c>
      <c r="T1640" t="s">
        <v>45</v>
      </c>
      <c r="V1640" t="s">
        <v>1759</v>
      </c>
      <c r="W1640" t="s">
        <v>45</v>
      </c>
      <c r="X1640" t="s">
        <v>45</v>
      </c>
      <c r="Y1640" t="s">
        <v>45</v>
      </c>
      <c r="Z1640" t="s">
        <v>45</v>
      </c>
      <c r="AA1640" s="7">
        <v>46258</v>
      </c>
      <c r="AB1640" t="s">
        <v>62</v>
      </c>
      <c r="AC1640" t="s">
        <v>45</v>
      </c>
      <c r="AD1640" t="s">
        <v>1122</v>
      </c>
      <c r="AH1640" t="s">
        <v>75</v>
      </c>
      <c r="AI1640">
        <v>0</v>
      </c>
      <c r="AJ1640" s="15"/>
      <c r="AL1640" s="16"/>
      <c r="AR1640" s="18" t="str">
        <f>IFERROR(VLOOKUP(K1640,[1]POP!$F:$J,1,0),M1640)</f>
        <v>MAROUA 2</v>
      </c>
      <c r="AS1640" s="18" t="str">
        <f t="shared" si="126"/>
        <v>LOPERE</v>
      </c>
      <c r="AT1640" s="19">
        <f t="shared" si="129"/>
        <v>0</v>
      </c>
      <c r="AU1640" s="19">
        <f t="shared" ca="1" si="128"/>
        <v>1</v>
      </c>
    </row>
    <row r="1641" spans="1:47" x14ac:dyDescent="0.3">
      <c r="A1641" t="s">
        <v>2419</v>
      </c>
      <c r="B1641" t="str">
        <f t="shared" si="125"/>
        <v>S35_2026</v>
      </c>
      <c r="C1641" t="str">
        <f t="shared" si="127"/>
        <v>S35_2026</v>
      </c>
      <c r="E1641">
        <v>697577051</v>
      </c>
      <c r="F1641">
        <v>26</v>
      </c>
      <c r="G1641" t="s">
        <v>40</v>
      </c>
      <c r="I1641" t="s">
        <v>2302</v>
      </c>
      <c r="J1641" t="s">
        <v>2058</v>
      </c>
      <c r="K1641" t="s">
        <v>1758</v>
      </c>
      <c r="L1641" t="s">
        <v>2058</v>
      </c>
      <c r="M1641" t="s">
        <v>1758</v>
      </c>
      <c r="N1641" t="s">
        <v>1830</v>
      </c>
      <c r="O1641" t="s">
        <v>45</v>
      </c>
      <c r="P1641">
        <v>3</v>
      </c>
      <c r="Q1641" s="7">
        <v>46259</v>
      </c>
      <c r="R1641" s="7">
        <v>46259</v>
      </c>
      <c r="S1641" s="7">
        <v>46259</v>
      </c>
      <c r="T1641" t="s">
        <v>45</v>
      </c>
      <c r="V1641" t="s">
        <v>2061</v>
      </c>
      <c r="W1641" t="s">
        <v>45</v>
      </c>
      <c r="X1641" t="s">
        <v>45</v>
      </c>
      <c r="Y1641" t="s">
        <v>45</v>
      </c>
      <c r="Z1641" t="s">
        <v>45</v>
      </c>
      <c r="AF1641">
        <v>2</v>
      </c>
      <c r="AH1641" t="s">
        <v>75</v>
      </c>
      <c r="AI1641">
        <v>1</v>
      </c>
      <c r="AJ1641" s="15"/>
      <c r="AK1641" t="s">
        <v>74</v>
      </c>
      <c r="AL1641" s="16"/>
      <c r="AR1641" s="18" t="str">
        <f>IFERROR(VLOOKUP(K1641,[1]POP!$F:$J,1,0),M1641)</f>
        <v>MAROUA 2</v>
      </c>
      <c r="AS1641" s="18" t="str">
        <f t="shared" si="126"/>
        <v xml:space="preserve">DOUALARE </v>
      </c>
      <c r="AT1641" s="19">
        <f t="shared" si="129"/>
        <v>2</v>
      </c>
      <c r="AU1641" s="19">
        <f t="shared" ca="1" si="128"/>
        <v>1</v>
      </c>
    </row>
    <row r="1642" spans="1:47" x14ac:dyDescent="0.3">
      <c r="A1642" t="s">
        <v>2420</v>
      </c>
      <c r="B1642" t="str">
        <f t="shared" si="125"/>
        <v>S35_2026</v>
      </c>
      <c r="C1642" t="str">
        <f t="shared" si="127"/>
        <v>S35_2026</v>
      </c>
      <c r="E1642">
        <v>690535404</v>
      </c>
      <c r="F1642">
        <v>9</v>
      </c>
      <c r="G1642" t="s">
        <v>55</v>
      </c>
      <c r="I1642" t="s">
        <v>2050</v>
      </c>
      <c r="J1642" t="s">
        <v>2058</v>
      </c>
      <c r="K1642" t="s">
        <v>1758</v>
      </c>
      <c r="L1642" t="s">
        <v>2058</v>
      </c>
      <c r="M1642" t="s">
        <v>1758</v>
      </c>
      <c r="N1642" t="s">
        <v>45</v>
      </c>
      <c r="O1642" t="s">
        <v>45</v>
      </c>
      <c r="P1642">
        <v>3</v>
      </c>
      <c r="Q1642" s="7">
        <v>46260</v>
      </c>
      <c r="R1642" s="7">
        <v>46260</v>
      </c>
      <c r="S1642" s="7">
        <v>46260</v>
      </c>
      <c r="T1642" t="s">
        <v>45</v>
      </c>
      <c r="V1642" t="s">
        <v>2061</v>
      </c>
      <c r="W1642" t="s">
        <v>45</v>
      </c>
      <c r="X1642" t="s">
        <v>45</v>
      </c>
      <c r="Y1642" t="s">
        <v>45</v>
      </c>
      <c r="Z1642" t="s">
        <v>45</v>
      </c>
      <c r="AE1642" s="7">
        <v>46260</v>
      </c>
      <c r="AF1642">
        <v>2</v>
      </c>
      <c r="AH1642" t="s">
        <v>75</v>
      </c>
      <c r="AI1642">
        <v>1</v>
      </c>
      <c r="AJ1642" s="15"/>
      <c r="AK1642" t="s">
        <v>74</v>
      </c>
      <c r="AL1642" s="16"/>
      <c r="AR1642" s="18" t="str">
        <f>IFERROR(VLOOKUP(K1642,[1]POP!$F:$J,1,0),M1642)</f>
        <v>MAROUA 2</v>
      </c>
      <c r="AS1642" s="18" t="str">
        <f t="shared" si="126"/>
        <v xml:space="preserve">DOUALARE </v>
      </c>
      <c r="AT1642" s="19">
        <f t="shared" si="129"/>
        <v>2</v>
      </c>
      <c r="AU1642" s="19">
        <f t="shared" ca="1" si="128"/>
        <v>1</v>
      </c>
    </row>
    <row r="1643" spans="1:47" x14ac:dyDescent="0.3">
      <c r="A1643" t="s">
        <v>2421</v>
      </c>
      <c r="B1643" t="str">
        <f t="shared" si="125"/>
        <v>S35_2026</v>
      </c>
      <c r="C1643" t="str">
        <f t="shared" si="127"/>
        <v>S35_2026</v>
      </c>
      <c r="E1643">
        <v>694812972</v>
      </c>
      <c r="F1643">
        <v>12</v>
      </c>
      <c r="G1643" t="s">
        <v>55</v>
      </c>
      <c r="I1643" t="s">
        <v>2034</v>
      </c>
      <c r="J1643" t="s">
        <v>2058</v>
      </c>
      <c r="K1643" t="s">
        <v>1758</v>
      </c>
      <c r="L1643" t="s">
        <v>2058</v>
      </c>
      <c r="M1643" t="s">
        <v>1758</v>
      </c>
      <c r="N1643" t="s">
        <v>45</v>
      </c>
      <c r="O1643" t="s">
        <v>45</v>
      </c>
      <c r="P1643">
        <v>3</v>
      </c>
      <c r="Q1643" s="7">
        <v>46260</v>
      </c>
      <c r="R1643" s="7">
        <v>46260</v>
      </c>
      <c r="S1643" s="7">
        <v>46260</v>
      </c>
      <c r="T1643" t="s">
        <v>45</v>
      </c>
      <c r="V1643" t="s">
        <v>2061</v>
      </c>
      <c r="W1643" t="s">
        <v>45</v>
      </c>
      <c r="X1643" t="s">
        <v>45</v>
      </c>
      <c r="Y1643" t="s">
        <v>45</v>
      </c>
      <c r="Z1643" t="s">
        <v>45</v>
      </c>
      <c r="AE1643" s="7">
        <v>46260</v>
      </c>
      <c r="AF1643">
        <v>2</v>
      </c>
      <c r="AH1643" t="s">
        <v>75</v>
      </c>
      <c r="AI1643">
        <v>1</v>
      </c>
      <c r="AJ1643" s="15"/>
      <c r="AK1643" t="s">
        <v>74</v>
      </c>
      <c r="AL1643" s="16"/>
      <c r="AR1643" s="18" t="str">
        <f>IFERROR(VLOOKUP(K1643,[1]POP!$F:$J,1,0),M1643)</f>
        <v>MAROUA 2</v>
      </c>
      <c r="AS1643" s="18" t="str">
        <f t="shared" si="126"/>
        <v xml:space="preserve">DOUALARE </v>
      </c>
      <c r="AT1643" s="19">
        <f t="shared" si="129"/>
        <v>2</v>
      </c>
      <c r="AU1643" s="19">
        <f t="shared" ca="1" si="128"/>
        <v>1</v>
      </c>
    </row>
    <row r="1644" spans="1:47" x14ac:dyDescent="0.3">
      <c r="A1644" t="s">
        <v>2422</v>
      </c>
      <c r="B1644" t="str">
        <f t="shared" si="125"/>
        <v>S35_2026</v>
      </c>
      <c r="C1644" t="str">
        <f t="shared" si="127"/>
        <v>S35_2026</v>
      </c>
      <c r="E1644">
        <v>694904968</v>
      </c>
      <c r="F1644">
        <v>9</v>
      </c>
      <c r="G1644" t="s">
        <v>40</v>
      </c>
      <c r="I1644" t="s">
        <v>2423</v>
      </c>
      <c r="J1644" t="s">
        <v>2058</v>
      </c>
      <c r="K1644" t="s">
        <v>1758</v>
      </c>
      <c r="L1644" t="s">
        <v>2058</v>
      </c>
      <c r="M1644" t="s">
        <v>1758</v>
      </c>
      <c r="N1644" t="s">
        <v>45</v>
      </c>
      <c r="O1644" t="s">
        <v>45</v>
      </c>
      <c r="P1644">
        <v>1</v>
      </c>
      <c r="Q1644" s="7">
        <v>46260</v>
      </c>
      <c r="R1644" s="7">
        <v>46260</v>
      </c>
      <c r="S1644" s="7">
        <v>46260</v>
      </c>
      <c r="T1644" t="s">
        <v>1830</v>
      </c>
      <c r="V1644" t="s">
        <v>2061</v>
      </c>
      <c r="W1644" t="s">
        <v>45</v>
      </c>
      <c r="X1644" t="s">
        <v>45</v>
      </c>
      <c r="Y1644" t="s">
        <v>45</v>
      </c>
      <c r="Z1644" t="s">
        <v>45</v>
      </c>
      <c r="AE1644" s="7">
        <v>46260</v>
      </c>
      <c r="AF1644">
        <v>2</v>
      </c>
      <c r="AH1644" t="s">
        <v>75</v>
      </c>
      <c r="AI1644">
        <v>1</v>
      </c>
      <c r="AJ1644" s="15"/>
      <c r="AK1644" t="s">
        <v>74</v>
      </c>
      <c r="AL1644" s="16"/>
      <c r="AR1644" s="18" t="str">
        <f>IFERROR(VLOOKUP(K1644,[1]POP!$F:$J,1,0),M1644)</f>
        <v>MAROUA 2</v>
      </c>
      <c r="AS1644" s="18" t="str">
        <f t="shared" si="126"/>
        <v xml:space="preserve">DOUALARE </v>
      </c>
      <c r="AT1644" s="19">
        <f t="shared" si="129"/>
        <v>2</v>
      </c>
      <c r="AU1644" s="19">
        <f t="shared" ca="1" si="128"/>
        <v>1</v>
      </c>
    </row>
    <row r="1645" spans="1:47" x14ac:dyDescent="0.3">
      <c r="A1645" t="s">
        <v>2424</v>
      </c>
      <c r="B1645" t="str">
        <f t="shared" si="125"/>
        <v>S35_2026</v>
      </c>
      <c r="C1645" t="str">
        <f t="shared" si="127"/>
        <v>S35_2026</v>
      </c>
      <c r="E1645">
        <v>696306406</v>
      </c>
      <c r="F1645">
        <v>55</v>
      </c>
      <c r="G1645" t="s">
        <v>40</v>
      </c>
      <c r="H1645" t="s">
        <v>77</v>
      </c>
      <c r="I1645" t="s">
        <v>2423</v>
      </c>
      <c r="J1645" t="s">
        <v>2058</v>
      </c>
      <c r="K1645" t="s">
        <v>1758</v>
      </c>
      <c r="L1645" t="s">
        <v>2058</v>
      </c>
      <c r="M1645" t="s">
        <v>1758</v>
      </c>
      <c r="N1645" t="s">
        <v>45</v>
      </c>
      <c r="O1645" t="s">
        <v>45</v>
      </c>
      <c r="P1645">
        <v>1</v>
      </c>
      <c r="Q1645" s="7">
        <v>46260</v>
      </c>
      <c r="R1645" s="7">
        <v>46260</v>
      </c>
      <c r="S1645" s="7">
        <v>46260</v>
      </c>
      <c r="T1645" t="s">
        <v>45</v>
      </c>
      <c r="V1645" t="s">
        <v>2061</v>
      </c>
      <c r="W1645" t="s">
        <v>45</v>
      </c>
      <c r="X1645" t="s">
        <v>45</v>
      </c>
      <c r="Y1645" t="s">
        <v>45</v>
      </c>
      <c r="Z1645" t="s">
        <v>45</v>
      </c>
      <c r="AE1645" s="7">
        <v>46260</v>
      </c>
      <c r="AF1645">
        <v>2</v>
      </c>
      <c r="AH1645" t="s">
        <v>75</v>
      </c>
      <c r="AI1645">
        <v>1</v>
      </c>
      <c r="AJ1645" s="15"/>
      <c r="AK1645" t="s">
        <v>74</v>
      </c>
      <c r="AL1645" s="16"/>
      <c r="AR1645" s="18" t="str">
        <f>IFERROR(VLOOKUP(K1645,[1]POP!$F:$J,1,0),M1645)</f>
        <v>MAROUA 2</v>
      </c>
      <c r="AS1645" s="18" t="str">
        <f t="shared" si="126"/>
        <v xml:space="preserve">DOUALARE </v>
      </c>
      <c r="AT1645" s="19">
        <f t="shared" si="129"/>
        <v>2</v>
      </c>
      <c r="AU1645" s="19">
        <f t="shared" ca="1" si="128"/>
        <v>1</v>
      </c>
    </row>
    <row r="1646" spans="1:47" x14ac:dyDescent="0.3">
      <c r="A1646" t="s">
        <v>2425</v>
      </c>
      <c r="B1646" t="str">
        <f t="shared" si="125"/>
        <v>S35_2026</v>
      </c>
      <c r="C1646" t="str">
        <f t="shared" si="127"/>
        <v>S35_2026</v>
      </c>
      <c r="E1646">
        <v>696071496</v>
      </c>
      <c r="F1646">
        <v>14</v>
      </c>
      <c r="G1646" t="s">
        <v>55</v>
      </c>
      <c r="I1646" t="s">
        <v>2426</v>
      </c>
      <c r="J1646" t="s">
        <v>2058</v>
      </c>
      <c r="K1646" t="s">
        <v>1758</v>
      </c>
      <c r="L1646" t="s">
        <v>2058</v>
      </c>
      <c r="M1646" t="s">
        <v>1758</v>
      </c>
      <c r="N1646" t="s">
        <v>45</v>
      </c>
      <c r="O1646" t="s">
        <v>45</v>
      </c>
      <c r="P1646">
        <v>3</v>
      </c>
      <c r="Q1646" s="7">
        <v>46260</v>
      </c>
      <c r="R1646" s="7">
        <v>46260</v>
      </c>
      <c r="S1646" s="7">
        <v>46260</v>
      </c>
      <c r="T1646" t="s">
        <v>45</v>
      </c>
      <c r="V1646" t="s">
        <v>2061</v>
      </c>
      <c r="W1646" t="s">
        <v>45</v>
      </c>
      <c r="X1646" t="s">
        <v>45</v>
      </c>
      <c r="Y1646" t="s">
        <v>45</v>
      </c>
      <c r="Z1646" t="s">
        <v>45</v>
      </c>
      <c r="AE1646" s="7">
        <v>46260</v>
      </c>
      <c r="AF1646">
        <v>2</v>
      </c>
      <c r="AH1646" t="s">
        <v>75</v>
      </c>
      <c r="AI1646">
        <v>1</v>
      </c>
      <c r="AJ1646" s="15"/>
      <c r="AK1646" t="s">
        <v>74</v>
      </c>
      <c r="AL1646" s="16"/>
      <c r="AR1646" s="18" t="str">
        <f>IFERROR(VLOOKUP(K1646,[1]POP!$F:$J,1,0),M1646)</f>
        <v>MAROUA 2</v>
      </c>
      <c r="AS1646" s="18" t="str">
        <f t="shared" si="126"/>
        <v xml:space="preserve">DOUALARE </v>
      </c>
      <c r="AT1646" s="19">
        <f t="shared" si="129"/>
        <v>2</v>
      </c>
      <c r="AU1646" s="19">
        <f t="shared" ca="1" si="128"/>
        <v>1</v>
      </c>
    </row>
    <row r="1647" spans="1:47" x14ac:dyDescent="0.3">
      <c r="A1647" t="s">
        <v>2427</v>
      </c>
      <c r="B1647" t="str">
        <f t="shared" si="125"/>
        <v>S35_2026</v>
      </c>
      <c r="C1647" t="str">
        <f t="shared" si="127"/>
        <v>S35_2026</v>
      </c>
      <c r="E1647">
        <v>655263817</v>
      </c>
      <c r="F1647">
        <v>21</v>
      </c>
      <c r="G1647" t="s">
        <v>2428</v>
      </c>
      <c r="H1647" t="s">
        <v>2415</v>
      </c>
      <c r="I1647" t="s">
        <v>2429</v>
      </c>
      <c r="J1647" t="s">
        <v>2058</v>
      </c>
      <c r="K1647" t="s">
        <v>1758</v>
      </c>
      <c r="L1647" t="s">
        <v>2058</v>
      </c>
      <c r="M1647" t="s">
        <v>1758</v>
      </c>
      <c r="N1647" t="s">
        <v>45</v>
      </c>
      <c r="O1647" t="s">
        <v>45</v>
      </c>
      <c r="Q1647" s="7">
        <v>46259</v>
      </c>
      <c r="R1647" s="7">
        <v>46259</v>
      </c>
      <c r="S1647" s="7">
        <v>46259</v>
      </c>
      <c r="T1647" t="s">
        <v>45</v>
      </c>
      <c r="V1647" t="s">
        <v>1759</v>
      </c>
      <c r="W1647" t="s">
        <v>45</v>
      </c>
      <c r="X1647" t="s">
        <v>45</v>
      </c>
      <c r="Y1647" t="s">
        <v>45</v>
      </c>
      <c r="Z1647" t="s">
        <v>45</v>
      </c>
      <c r="AA1647" s="7">
        <v>46259</v>
      </c>
      <c r="AB1647" t="s">
        <v>62</v>
      </c>
      <c r="AC1647" t="s">
        <v>45</v>
      </c>
      <c r="AD1647" t="s">
        <v>1122</v>
      </c>
      <c r="AH1647" t="s">
        <v>75</v>
      </c>
      <c r="AI1647">
        <v>0</v>
      </c>
      <c r="AJ1647" s="15"/>
      <c r="AL1647" s="16"/>
      <c r="AR1647" s="18" t="str">
        <f>IFERROR(VLOOKUP(K1647,[1]POP!$F:$J,1,0),M1647)</f>
        <v>MAROUA 2</v>
      </c>
      <c r="AS1647" s="18" t="str">
        <f t="shared" si="126"/>
        <v xml:space="preserve">DOUALARE </v>
      </c>
      <c r="AT1647" s="19">
        <f t="shared" si="129"/>
        <v>0</v>
      </c>
      <c r="AU1647" s="19">
        <f t="shared" ca="1" si="128"/>
        <v>1</v>
      </c>
    </row>
    <row r="1648" spans="1:47" x14ac:dyDescent="0.3">
      <c r="A1648" t="s">
        <v>2430</v>
      </c>
      <c r="B1648" t="str">
        <f t="shared" si="125"/>
        <v>S34_2026</v>
      </c>
      <c r="C1648" t="str">
        <f t="shared" si="127"/>
        <v>S34_2026</v>
      </c>
      <c r="E1648">
        <v>640716149</v>
      </c>
      <c r="F1648">
        <v>11</v>
      </c>
      <c r="G1648" t="s">
        <v>55</v>
      </c>
      <c r="H1648" t="s">
        <v>56</v>
      </c>
      <c r="I1648" t="s">
        <v>453</v>
      </c>
      <c r="J1648" t="s">
        <v>2431</v>
      </c>
      <c r="K1648" t="s">
        <v>2112</v>
      </c>
      <c r="L1648" t="s">
        <v>453</v>
      </c>
      <c r="M1648" t="s">
        <v>454</v>
      </c>
      <c r="N1648" t="s">
        <v>45</v>
      </c>
      <c r="O1648" t="s">
        <v>74</v>
      </c>
      <c r="P1648">
        <v>1</v>
      </c>
      <c r="Q1648" s="7">
        <v>46256</v>
      </c>
      <c r="R1648" s="7">
        <v>46257</v>
      </c>
      <c r="S1648" s="7">
        <v>46257</v>
      </c>
      <c r="T1648" t="s">
        <v>45</v>
      </c>
      <c r="V1648" t="s">
        <v>455</v>
      </c>
      <c r="W1648" t="s">
        <v>45</v>
      </c>
      <c r="X1648" t="s">
        <v>74</v>
      </c>
      <c r="Y1648" t="s">
        <v>74</v>
      </c>
      <c r="Z1648" t="s">
        <v>45</v>
      </c>
      <c r="AA1648" s="7">
        <v>46257</v>
      </c>
      <c r="AB1648" t="s">
        <v>48</v>
      </c>
      <c r="AC1648" t="s">
        <v>45</v>
      </c>
      <c r="AF1648">
        <v>3</v>
      </c>
      <c r="AH1648" t="s">
        <v>75</v>
      </c>
      <c r="AI1648">
        <v>2</v>
      </c>
      <c r="AJ1648" s="15"/>
      <c r="AK1648" t="s">
        <v>2432</v>
      </c>
      <c r="AL1648" s="16"/>
      <c r="AR1648" s="18" t="str">
        <f>IFERROR(VLOOKUP(K1648,[1]POP!$F:$J,1,0),M1648)</f>
        <v>MAROUA 3</v>
      </c>
      <c r="AS1648" s="18" t="str">
        <f t="shared" si="126"/>
        <v>DOUGOI</v>
      </c>
      <c r="AT1648" s="19">
        <f t="shared" si="129"/>
        <v>3</v>
      </c>
      <c r="AU1648" s="19">
        <f t="shared" ca="1" si="128"/>
        <v>1</v>
      </c>
    </row>
    <row r="1649" spans="1:47" x14ac:dyDescent="0.3">
      <c r="A1649" t="s">
        <v>2433</v>
      </c>
      <c r="B1649" t="str">
        <f t="shared" si="125"/>
        <v>S34_2026</v>
      </c>
      <c r="C1649" t="str">
        <f t="shared" si="127"/>
        <v>S34_2026</v>
      </c>
      <c r="F1649">
        <v>40</v>
      </c>
      <c r="G1649" t="s">
        <v>40</v>
      </c>
      <c r="H1649" t="s">
        <v>77</v>
      </c>
      <c r="I1649" t="s">
        <v>2434</v>
      </c>
      <c r="J1649" t="s">
        <v>2435</v>
      </c>
      <c r="K1649" t="s">
        <v>2112</v>
      </c>
      <c r="L1649" t="s">
        <v>2435</v>
      </c>
      <c r="M1649" t="s">
        <v>454</v>
      </c>
      <c r="N1649" t="s">
        <v>45</v>
      </c>
      <c r="O1649" t="s">
        <v>45</v>
      </c>
      <c r="P1649">
        <v>3</v>
      </c>
      <c r="Q1649" s="7">
        <v>46257</v>
      </c>
      <c r="R1649" s="7">
        <v>46257</v>
      </c>
      <c r="S1649" s="7">
        <v>46257</v>
      </c>
      <c r="T1649" t="s">
        <v>45</v>
      </c>
      <c r="V1649" t="s">
        <v>2436</v>
      </c>
      <c r="W1649" t="s">
        <v>45</v>
      </c>
      <c r="X1649" t="s">
        <v>117</v>
      </c>
      <c r="Y1649" t="s">
        <v>117</v>
      </c>
      <c r="Z1649" t="s">
        <v>74</v>
      </c>
      <c r="AB1649" t="s">
        <v>2282</v>
      </c>
      <c r="AE1649" s="7">
        <v>46259</v>
      </c>
      <c r="AH1649" t="s">
        <v>75</v>
      </c>
      <c r="AI1649">
        <v>0</v>
      </c>
      <c r="AJ1649" s="15"/>
      <c r="AK1649" t="s">
        <v>2432</v>
      </c>
      <c r="AL1649" s="16"/>
      <c r="AR1649" s="18" t="str">
        <f>IFERROR(VLOOKUP(K1649,[1]POP!$F:$J,1,0),M1649)</f>
        <v>MAROUA 3</v>
      </c>
      <c r="AS1649" s="18" t="str">
        <f t="shared" si="126"/>
        <v>AS DJARENGOL-KODEK</v>
      </c>
      <c r="AT1649" s="19">
        <f t="shared" si="129"/>
        <v>0</v>
      </c>
      <c r="AU1649" s="19">
        <f t="shared" ca="1" si="128"/>
        <v>1</v>
      </c>
    </row>
    <row r="1650" spans="1:47" x14ac:dyDescent="0.3">
      <c r="A1650" t="s">
        <v>2437</v>
      </c>
      <c r="B1650" t="str">
        <f t="shared" si="125"/>
        <v>S34_2026</v>
      </c>
      <c r="C1650" t="str">
        <f t="shared" si="127"/>
        <v>S35_2026</v>
      </c>
      <c r="E1650">
        <v>690308262</v>
      </c>
      <c r="F1650">
        <v>65</v>
      </c>
      <c r="G1650" t="s">
        <v>40</v>
      </c>
      <c r="H1650" t="s">
        <v>77</v>
      </c>
      <c r="I1650" t="s">
        <v>2438</v>
      </c>
      <c r="J1650" t="s">
        <v>2439</v>
      </c>
      <c r="K1650" t="s">
        <v>2112</v>
      </c>
      <c r="L1650" t="s">
        <v>2435</v>
      </c>
      <c r="M1650" t="s">
        <v>454</v>
      </c>
      <c r="N1650" t="s">
        <v>45</v>
      </c>
      <c r="O1650" t="s">
        <v>45</v>
      </c>
      <c r="P1650">
        <v>3</v>
      </c>
      <c r="Q1650" s="7">
        <v>46258</v>
      </c>
      <c r="R1650" s="7">
        <v>46258</v>
      </c>
      <c r="S1650" s="7">
        <v>46257</v>
      </c>
      <c r="T1650" t="s">
        <v>45</v>
      </c>
      <c r="V1650" t="s">
        <v>2436</v>
      </c>
      <c r="W1650" t="s">
        <v>45</v>
      </c>
      <c r="X1650" t="s">
        <v>117</v>
      </c>
      <c r="Y1650" t="s">
        <v>117</v>
      </c>
      <c r="Z1650" t="s">
        <v>74</v>
      </c>
      <c r="AH1650" t="s">
        <v>75</v>
      </c>
      <c r="AI1650">
        <v>0</v>
      </c>
      <c r="AJ1650" s="15"/>
      <c r="AK1650" t="s">
        <v>2432</v>
      </c>
      <c r="AL1650" s="16"/>
      <c r="AR1650" s="18" t="str">
        <f>IFERROR(VLOOKUP(K1650,[1]POP!$F:$J,1,0),M1650)</f>
        <v>MAROUA 3</v>
      </c>
      <c r="AS1650" s="18" t="str">
        <f t="shared" si="126"/>
        <v>AS DJARENGOL-KODEK</v>
      </c>
      <c r="AT1650" s="19">
        <f t="shared" si="129"/>
        <v>0</v>
      </c>
      <c r="AU1650" s="19">
        <f t="shared" ca="1" si="128"/>
        <v>1</v>
      </c>
    </row>
    <row r="1651" spans="1:47" x14ac:dyDescent="0.3">
      <c r="A1651" t="s">
        <v>2440</v>
      </c>
      <c r="B1651" t="str">
        <f t="shared" si="125"/>
        <v>S35_2026</v>
      </c>
      <c r="C1651" t="str">
        <f t="shared" si="127"/>
        <v>S34_2026</v>
      </c>
      <c r="E1651">
        <v>659117483</v>
      </c>
      <c r="F1651">
        <v>16</v>
      </c>
      <c r="G1651" t="s">
        <v>40</v>
      </c>
      <c r="H1651" t="s">
        <v>56</v>
      </c>
      <c r="I1651" t="s">
        <v>2441</v>
      </c>
      <c r="J1651" t="s">
        <v>2431</v>
      </c>
      <c r="K1651" t="s">
        <v>2112</v>
      </c>
      <c r="L1651" t="s">
        <v>2431</v>
      </c>
      <c r="M1651" t="s">
        <v>454</v>
      </c>
      <c r="N1651" t="s">
        <v>45</v>
      </c>
      <c r="O1651" t="s">
        <v>74</v>
      </c>
      <c r="P1651">
        <v>2</v>
      </c>
      <c r="Q1651" s="7">
        <v>46256</v>
      </c>
      <c r="R1651" s="7">
        <v>46257</v>
      </c>
      <c r="S1651" s="7">
        <v>46258</v>
      </c>
      <c r="T1651" t="s">
        <v>45</v>
      </c>
      <c r="V1651" t="s">
        <v>455</v>
      </c>
      <c r="W1651" t="s">
        <v>45</v>
      </c>
      <c r="X1651" t="s">
        <v>45</v>
      </c>
      <c r="Y1651" t="s">
        <v>74</v>
      </c>
      <c r="Z1651" t="s">
        <v>45</v>
      </c>
      <c r="AA1651" s="7">
        <v>46258</v>
      </c>
      <c r="AC1651" t="s">
        <v>45</v>
      </c>
      <c r="AD1651" t="s">
        <v>1122</v>
      </c>
      <c r="AE1651" s="7">
        <v>46259</v>
      </c>
      <c r="AH1651" t="s">
        <v>75</v>
      </c>
      <c r="AI1651">
        <v>0</v>
      </c>
      <c r="AJ1651" s="15"/>
      <c r="AK1651" t="s">
        <v>2432</v>
      </c>
      <c r="AL1651" s="16"/>
      <c r="AR1651" s="18" t="str">
        <f>IFERROR(VLOOKUP(K1651,[1]POP!$F:$J,1,0),M1651)</f>
        <v>MAROUA 3</v>
      </c>
      <c r="AS1651" s="18" t="str">
        <f t="shared" si="126"/>
        <v>AS DOUGOI</v>
      </c>
      <c r="AT1651" s="19">
        <f t="shared" si="129"/>
        <v>0</v>
      </c>
      <c r="AU1651" s="19">
        <f t="shared" ca="1" si="128"/>
        <v>1</v>
      </c>
    </row>
    <row r="1652" spans="1:47" x14ac:dyDescent="0.3">
      <c r="A1652" t="s">
        <v>2442</v>
      </c>
      <c r="B1652" t="str">
        <f t="shared" si="125"/>
        <v>S35_2026</v>
      </c>
      <c r="C1652" t="str">
        <f t="shared" si="127"/>
        <v>S34_2026</v>
      </c>
      <c r="E1652">
        <v>659117483</v>
      </c>
      <c r="F1652">
        <v>6</v>
      </c>
      <c r="G1652" t="s">
        <v>55</v>
      </c>
      <c r="H1652" t="s">
        <v>56</v>
      </c>
      <c r="I1652" t="s">
        <v>2441</v>
      </c>
      <c r="J1652" t="s">
        <v>2431</v>
      </c>
      <c r="K1652" t="s">
        <v>2112</v>
      </c>
      <c r="L1652" t="s">
        <v>2431</v>
      </c>
      <c r="M1652" t="s">
        <v>454</v>
      </c>
      <c r="N1652" t="s">
        <v>45</v>
      </c>
      <c r="O1652" t="s">
        <v>74</v>
      </c>
      <c r="P1652">
        <v>1</v>
      </c>
      <c r="Q1652" s="7">
        <v>46256</v>
      </c>
      <c r="R1652" s="7">
        <v>46257</v>
      </c>
      <c r="S1652" s="7">
        <v>46258</v>
      </c>
      <c r="T1652" t="s">
        <v>45</v>
      </c>
      <c r="V1652" t="s">
        <v>455</v>
      </c>
      <c r="W1652" t="s">
        <v>45</v>
      </c>
      <c r="X1652" t="s">
        <v>45</v>
      </c>
      <c r="Y1652" t="s">
        <v>45</v>
      </c>
      <c r="Z1652" t="s">
        <v>45</v>
      </c>
      <c r="AA1652" s="7">
        <v>46258</v>
      </c>
      <c r="AC1652" t="s">
        <v>45</v>
      </c>
      <c r="AD1652" t="s">
        <v>1122</v>
      </c>
      <c r="AE1652" s="7">
        <v>46259</v>
      </c>
      <c r="AH1652" t="s">
        <v>75</v>
      </c>
      <c r="AI1652">
        <v>0</v>
      </c>
      <c r="AJ1652" s="15"/>
      <c r="AK1652" t="s">
        <v>2432</v>
      </c>
      <c r="AL1652" s="16"/>
      <c r="AR1652" s="18" t="str">
        <f>IFERROR(VLOOKUP(K1652,[1]POP!$F:$J,1,0),M1652)</f>
        <v>MAROUA 3</v>
      </c>
      <c r="AS1652" s="18" t="str">
        <f t="shared" si="126"/>
        <v>AS DOUGOI</v>
      </c>
      <c r="AT1652" s="19">
        <f t="shared" si="129"/>
        <v>0</v>
      </c>
      <c r="AU1652" s="19">
        <f t="shared" ca="1" si="128"/>
        <v>1</v>
      </c>
    </row>
    <row r="1653" spans="1:47" x14ac:dyDescent="0.3">
      <c r="A1653" t="s">
        <v>2443</v>
      </c>
      <c r="B1653" t="str">
        <f t="shared" si="125"/>
        <v>S35_2026</v>
      </c>
      <c r="C1653" t="str">
        <f t="shared" si="127"/>
        <v>S34_2026</v>
      </c>
      <c r="E1653">
        <v>659117483</v>
      </c>
      <c r="F1653">
        <v>4</v>
      </c>
      <c r="G1653" t="s">
        <v>40</v>
      </c>
      <c r="I1653" t="s">
        <v>2441</v>
      </c>
      <c r="J1653" t="s">
        <v>2431</v>
      </c>
      <c r="K1653" t="s">
        <v>2112</v>
      </c>
      <c r="L1653" t="s">
        <v>2431</v>
      </c>
      <c r="M1653" t="s">
        <v>454</v>
      </c>
      <c r="N1653" t="s">
        <v>45</v>
      </c>
      <c r="O1653" t="s">
        <v>74</v>
      </c>
      <c r="P1653">
        <v>1</v>
      </c>
      <c r="Q1653" s="7">
        <v>46256</v>
      </c>
      <c r="R1653" s="7">
        <v>46257</v>
      </c>
      <c r="S1653" s="7">
        <v>46258</v>
      </c>
      <c r="T1653" t="s">
        <v>45</v>
      </c>
      <c r="V1653" t="s">
        <v>455</v>
      </c>
      <c r="W1653" t="s">
        <v>45</v>
      </c>
      <c r="X1653" t="s">
        <v>45</v>
      </c>
      <c r="Y1653" t="s">
        <v>45</v>
      </c>
      <c r="Z1653" t="s">
        <v>45</v>
      </c>
      <c r="AA1653" s="7">
        <v>46258</v>
      </c>
      <c r="AC1653" t="s">
        <v>45</v>
      </c>
      <c r="AD1653" t="s">
        <v>1122</v>
      </c>
      <c r="AE1653" s="7">
        <v>46260</v>
      </c>
      <c r="AH1653" t="s">
        <v>75</v>
      </c>
      <c r="AI1653">
        <v>0</v>
      </c>
      <c r="AJ1653" s="15"/>
      <c r="AK1653" t="s">
        <v>2432</v>
      </c>
      <c r="AL1653" s="16"/>
      <c r="AR1653" s="18" t="str">
        <f>IFERROR(VLOOKUP(K1653,[1]POP!$F:$J,1,0),M1653)</f>
        <v>MAROUA 3</v>
      </c>
      <c r="AS1653" s="18" t="str">
        <f t="shared" si="126"/>
        <v>AS DOUGOI</v>
      </c>
      <c r="AT1653" s="19">
        <f t="shared" si="129"/>
        <v>0</v>
      </c>
      <c r="AU1653" s="19">
        <f t="shared" ca="1" si="128"/>
        <v>1</v>
      </c>
    </row>
    <row r="1654" spans="1:47" x14ac:dyDescent="0.3">
      <c r="A1654" t="s">
        <v>2444</v>
      </c>
      <c r="B1654" t="str">
        <f t="shared" si="125"/>
        <v>S35_2026</v>
      </c>
      <c r="C1654" t="str">
        <f t="shared" si="127"/>
        <v>S34_2026</v>
      </c>
      <c r="E1654">
        <v>659117483</v>
      </c>
      <c r="F1654">
        <v>39</v>
      </c>
      <c r="G1654" t="s">
        <v>55</v>
      </c>
      <c r="H1654" t="s">
        <v>56</v>
      </c>
      <c r="I1654" t="s">
        <v>2441</v>
      </c>
      <c r="J1654" t="s">
        <v>2431</v>
      </c>
      <c r="K1654" t="s">
        <v>2112</v>
      </c>
      <c r="L1654" t="s">
        <v>2431</v>
      </c>
      <c r="M1654" t="s">
        <v>454</v>
      </c>
      <c r="N1654" t="s">
        <v>45</v>
      </c>
      <c r="O1654" t="s">
        <v>74</v>
      </c>
      <c r="P1654">
        <v>1</v>
      </c>
      <c r="Q1654" s="7">
        <v>46256</v>
      </c>
      <c r="R1654" s="7">
        <v>46257</v>
      </c>
      <c r="S1654" s="7">
        <v>46258</v>
      </c>
      <c r="T1654" t="s">
        <v>45</v>
      </c>
      <c r="V1654" t="s">
        <v>455</v>
      </c>
      <c r="W1654" t="s">
        <v>45</v>
      </c>
      <c r="X1654" t="s">
        <v>45</v>
      </c>
      <c r="Y1654" t="s">
        <v>45</v>
      </c>
      <c r="Z1654" t="s">
        <v>45</v>
      </c>
      <c r="AA1654" s="7">
        <v>46258</v>
      </c>
      <c r="AC1654" t="s">
        <v>45</v>
      </c>
      <c r="AD1654" t="s">
        <v>1122</v>
      </c>
      <c r="AE1654" s="7">
        <v>46260</v>
      </c>
      <c r="AH1654" t="s">
        <v>75</v>
      </c>
      <c r="AI1654">
        <v>0</v>
      </c>
      <c r="AJ1654" s="15"/>
      <c r="AK1654" t="s">
        <v>2432</v>
      </c>
      <c r="AL1654" s="16"/>
      <c r="AR1654" s="18" t="str">
        <f>IFERROR(VLOOKUP(K1654,[1]POP!$F:$J,1,0),M1654)</f>
        <v>MAROUA 3</v>
      </c>
      <c r="AS1654" s="18" t="str">
        <f t="shared" si="126"/>
        <v>AS DOUGOI</v>
      </c>
      <c r="AT1654" s="19">
        <f t="shared" si="129"/>
        <v>0</v>
      </c>
      <c r="AU1654" s="19">
        <f t="shared" ca="1" si="128"/>
        <v>1</v>
      </c>
    </row>
    <row r="1655" spans="1:47" x14ac:dyDescent="0.3">
      <c r="A1655" t="s">
        <v>2445</v>
      </c>
      <c r="B1655" t="str">
        <f t="shared" si="125"/>
        <v>S35_2026</v>
      </c>
      <c r="C1655" t="str">
        <f t="shared" si="127"/>
        <v>S34_2026</v>
      </c>
      <c r="E1655">
        <v>659117483</v>
      </c>
      <c r="F1655">
        <v>13</v>
      </c>
      <c r="G1655" t="s">
        <v>55</v>
      </c>
      <c r="H1655" t="s">
        <v>56</v>
      </c>
      <c r="I1655" t="s">
        <v>2441</v>
      </c>
      <c r="J1655" t="s">
        <v>2431</v>
      </c>
      <c r="K1655" t="s">
        <v>2112</v>
      </c>
      <c r="L1655" t="s">
        <v>2431</v>
      </c>
      <c r="M1655" t="s">
        <v>454</v>
      </c>
      <c r="N1655" t="s">
        <v>45</v>
      </c>
      <c r="O1655" t="s">
        <v>74</v>
      </c>
      <c r="P1655">
        <v>1</v>
      </c>
      <c r="Q1655" s="7">
        <v>46257</v>
      </c>
      <c r="R1655" s="7">
        <v>46258</v>
      </c>
      <c r="S1655" s="7">
        <v>46258</v>
      </c>
      <c r="T1655" t="s">
        <v>45</v>
      </c>
      <c r="V1655" t="s">
        <v>455</v>
      </c>
      <c r="W1655" t="s">
        <v>45</v>
      </c>
      <c r="X1655" t="s">
        <v>45</v>
      </c>
      <c r="Y1655" t="s">
        <v>45</v>
      </c>
      <c r="Z1655" t="s">
        <v>45</v>
      </c>
      <c r="AA1655" s="7">
        <v>46258</v>
      </c>
      <c r="AC1655" t="s">
        <v>45</v>
      </c>
      <c r="AD1655" t="s">
        <v>1122</v>
      </c>
      <c r="AH1655" t="s">
        <v>75</v>
      </c>
      <c r="AI1655">
        <v>0</v>
      </c>
      <c r="AJ1655" s="15"/>
      <c r="AK1655" t="s">
        <v>2432</v>
      </c>
      <c r="AL1655" s="16"/>
      <c r="AR1655" s="18" t="str">
        <f>IFERROR(VLOOKUP(K1655,[1]POP!$F:$J,1,0),M1655)</f>
        <v>MAROUA 3</v>
      </c>
      <c r="AS1655" s="18" t="str">
        <f t="shared" si="126"/>
        <v>AS DOUGOI</v>
      </c>
      <c r="AT1655" s="19">
        <f t="shared" si="129"/>
        <v>0</v>
      </c>
      <c r="AU1655" s="19">
        <f t="shared" ca="1" si="128"/>
        <v>1</v>
      </c>
    </row>
    <row r="1656" spans="1:47" x14ac:dyDescent="0.3">
      <c r="A1656" t="s">
        <v>2446</v>
      </c>
      <c r="B1656" t="str">
        <f t="shared" si="125"/>
        <v>S35_2026</v>
      </c>
      <c r="C1656" t="str">
        <f t="shared" si="127"/>
        <v>S35_2026</v>
      </c>
      <c r="E1656">
        <v>690728134</v>
      </c>
      <c r="F1656">
        <v>13</v>
      </c>
      <c r="G1656" t="s">
        <v>40</v>
      </c>
      <c r="H1656" t="s">
        <v>56</v>
      </c>
      <c r="I1656" t="s">
        <v>2447</v>
      </c>
      <c r="J1656" t="s">
        <v>2431</v>
      </c>
      <c r="K1656" t="s">
        <v>2112</v>
      </c>
      <c r="L1656" t="s">
        <v>2431</v>
      </c>
      <c r="M1656" t="s">
        <v>454</v>
      </c>
      <c r="N1656" t="s">
        <v>45</v>
      </c>
      <c r="O1656" t="s">
        <v>45</v>
      </c>
      <c r="P1656">
        <v>3</v>
      </c>
      <c r="Q1656" s="7">
        <v>46258</v>
      </c>
      <c r="R1656" s="7">
        <v>46258</v>
      </c>
      <c r="S1656" s="7">
        <v>46259</v>
      </c>
      <c r="T1656" t="s">
        <v>45</v>
      </c>
      <c r="V1656" t="s">
        <v>455</v>
      </c>
      <c r="W1656" t="s">
        <v>45</v>
      </c>
      <c r="X1656" t="s">
        <v>45</v>
      </c>
      <c r="Y1656" t="s">
        <v>45</v>
      </c>
      <c r="Z1656" t="s">
        <v>45</v>
      </c>
      <c r="AA1656" s="7">
        <v>46259</v>
      </c>
      <c r="AB1656" t="s">
        <v>48</v>
      </c>
      <c r="AC1656" t="s">
        <v>45</v>
      </c>
      <c r="AD1656" t="s">
        <v>1122</v>
      </c>
      <c r="AH1656" t="s">
        <v>75</v>
      </c>
      <c r="AI1656">
        <v>0</v>
      </c>
      <c r="AJ1656" s="15"/>
      <c r="AK1656" t="s">
        <v>74</v>
      </c>
      <c r="AL1656" s="16"/>
      <c r="AR1656" s="18" t="str">
        <f>IFERROR(VLOOKUP(K1656,[1]POP!$F:$J,1,0),M1656)</f>
        <v>MAROUA 3</v>
      </c>
      <c r="AS1656" s="18" t="str">
        <f t="shared" si="126"/>
        <v>AS DOUGOI</v>
      </c>
      <c r="AT1656" s="19">
        <f t="shared" si="129"/>
        <v>0</v>
      </c>
      <c r="AU1656" s="19">
        <f t="shared" ca="1" si="128"/>
        <v>1</v>
      </c>
    </row>
    <row r="1657" spans="1:47" x14ac:dyDescent="0.3">
      <c r="A1657" t="s">
        <v>2448</v>
      </c>
      <c r="B1657" t="str">
        <f t="shared" si="125"/>
        <v>S35_2026</v>
      </c>
      <c r="C1657" t="str">
        <f t="shared" si="127"/>
        <v>S35_2026</v>
      </c>
      <c r="E1657">
        <v>687978249</v>
      </c>
      <c r="F1657">
        <v>4</v>
      </c>
      <c r="G1657" t="s">
        <v>55</v>
      </c>
      <c r="H1657" t="s">
        <v>2429</v>
      </c>
      <c r="I1657" t="s">
        <v>453</v>
      </c>
      <c r="J1657" t="s">
        <v>2449</v>
      </c>
      <c r="K1657" t="s">
        <v>454</v>
      </c>
      <c r="L1657" t="s">
        <v>2435</v>
      </c>
      <c r="M1657" t="s">
        <v>454</v>
      </c>
      <c r="N1657" t="s">
        <v>45</v>
      </c>
      <c r="O1657" t="s">
        <v>45</v>
      </c>
      <c r="P1657">
        <v>3</v>
      </c>
      <c r="Q1657" s="7">
        <v>46258</v>
      </c>
      <c r="R1657" s="7">
        <v>46258</v>
      </c>
      <c r="S1657" s="7">
        <v>46258</v>
      </c>
      <c r="T1657" t="s">
        <v>45</v>
      </c>
      <c r="V1657" t="s">
        <v>2107</v>
      </c>
      <c r="W1657" t="s">
        <v>45</v>
      </c>
      <c r="X1657" t="s">
        <v>45</v>
      </c>
      <c r="Y1657" t="s">
        <v>117</v>
      </c>
      <c r="Z1657" t="s">
        <v>74</v>
      </c>
      <c r="AA1657" s="7">
        <v>46258</v>
      </c>
      <c r="AB1657" t="s">
        <v>2294</v>
      </c>
      <c r="AH1657" t="s">
        <v>75</v>
      </c>
      <c r="AI1657">
        <v>0</v>
      </c>
      <c r="AJ1657" s="15"/>
      <c r="AK1657" t="s">
        <v>74</v>
      </c>
      <c r="AL1657" s="16"/>
      <c r="AR1657" s="18" t="str">
        <f>IFERROR(VLOOKUP(K1657,[1]POP!$F:$J,1,0),M1657)</f>
        <v>MAROUA 3</v>
      </c>
      <c r="AS1657" s="18" t="str">
        <f t="shared" si="126"/>
        <v>AS DOUALARE</v>
      </c>
      <c r="AT1657" s="19">
        <f t="shared" si="129"/>
        <v>0</v>
      </c>
      <c r="AU1657" s="19">
        <f t="shared" ca="1" si="128"/>
        <v>1</v>
      </c>
    </row>
    <row r="1658" spans="1:47" x14ac:dyDescent="0.3">
      <c r="A1658" t="s">
        <v>2450</v>
      </c>
      <c r="B1658" t="str">
        <f t="shared" si="125"/>
        <v>S35_2026</v>
      </c>
      <c r="C1658" t="str">
        <f t="shared" si="127"/>
        <v>S35_2026</v>
      </c>
      <c r="E1658">
        <v>597531045</v>
      </c>
      <c r="F1658">
        <v>33</v>
      </c>
      <c r="G1658" t="s">
        <v>55</v>
      </c>
      <c r="H1658" t="s">
        <v>2451</v>
      </c>
      <c r="I1658" t="s">
        <v>2110</v>
      </c>
      <c r="J1658" t="s">
        <v>2452</v>
      </c>
      <c r="K1658" t="s">
        <v>454</v>
      </c>
      <c r="L1658" t="s">
        <v>2435</v>
      </c>
      <c r="M1658" t="s">
        <v>454</v>
      </c>
      <c r="N1658" t="s">
        <v>45</v>
      </c>
      <c r="O1658" t="s">
        <v>45</v>
      </c>
      <c r="P1658">
        <v>3</v>
      </c>
      <c r="Q1658" s="7">
        <v>46259</v>
      </c>
      <c r="R1658" s="7">
        <v>46260</v>
      </c>
      <c r="S1658" s="7">
        <v>46260</v>
      </c>
      <c r="T1658" t="s">
        <v>45</v>
      </c>
      <c r="V1658" t="s">
        <v>2107</v>
      </c>
      <c r="W1658" t="s">
        <v>45</v>
      </c>
      <c r="X1658" t="s">
        <v>45</v>
      </c>
      <c r="Y1658" t="s">
        <v>117</v>
      </c>
      <c r="Z1658" t="s">
        <v>74</v>
      </c>
      <c r="AA1658" s="7">
        <v>45894</v>
      </c>
      <c r="AB1658" t="s">
        <v>48</v>
      </c>
      <c r="AH1658" t="s">
        <v>75</v>
      </c>
      <c r="AI1658">
        <v>0</v>
      </c>
      <c r="AJ1658" s="15"/>
      <c r="AK1658" t="s">
        <v>74</v>
      </c>
      <c r="AL1658" s="16"/>
      <c r="AR1658" s="18" t="str">
        <f>IFERROR(VLOOKUP(K1658,[1]POP!$F:$J,1,0),M1658)</f>
        <v>MAROUA 3</v>
      </c>
      <c r="AS1658" s="18" t="str">
        <f t="shared" si="126"/>
        <v>AS KODEK</v>
      </c>
      <c r="AT1658" s="19">
        <f t="shared" si="129"/>
        <v>0</v>
      </c>
      <c r="AU1658" s="19">
        <f t="shared" ca="1" si="128"/>
        <v>1</v>
      </c>
    </row>
    <row r="1659" spans="1:47" x14ac:dyDescent="0.3">
      <c r="A1659" t="s">
        <v>2453</v>
      </c>
      <c r="B1659" t="str">
        <f t="shared" si="125"/>
        <v>S35_2026</v>
      </c>
      <c r="C1659" t="str">
        <f t="shared" si="127"/>
        <v>S35_2026</v>
      </c>
      <c r="E1659">
        <v>675732040</v>
      </c>
      <c r="F1659">
        <v>13</v>
      </c>
      <c r="G1659" t="s">
        <v>55</v>
      </c>
      <c r="H1659" t="s">
        <v>56</v>
      </c>
      <c r="I1659" t="s">
        <v>2284</v>
      </c>
      <c r="J1659" t="s">
        <v>453</v>
      </c>
      <c r="K1659" t="s">
        <v>2454</v>
      </c>
      <c r="L1659" t="s">
        <v>453</v>
      </c>
      <c r="M1659" t="s">
        <v>454</v>
      </c>
      <c r="N1659" t="s">
        <v>45</v>
      </c>
      <c r="O1659" t="s">
        <v>45</v>
      </c>
      <c r="P1659">
        <v>2</v>
      </c>
      <c r="Q1659" s="7">
        <v>46260</v>
      </c>
      <c r="R1659" s="7">
        <v>46261</v>
      </c>
      <c r="S1659" s="7">
        <v>46261</v>
      </c>
      <c r="T1659" t="s">
        <v>45</v>
      </c>
      <c r="V1659" t="s">
        <v>455</v>
      </c>
      <c r="W1659" t="s">
        <v>45</v>
      </c>
      <c r="X1659" t="s">
        <v>45</v>
      </c>
      <c r="Y1659" t="s">
        <v>74</v>
      </c>
      <c r="Z1659" t="s">
        <v>45</v>
      </c>
      <c r="AA1659" s="7">
        <v>46261</v>
      </c>
      <c r="AB1659" t="s">
        <v>48</v>
      </c>
      <c r="AC1659" t="s">
        <v>45</v>
      </c>
      <c r="AD1659" t="s">
        <v>1122</v>
      </c>
      <c r="AH1659" t="s">
        <v>75</v>
      </c>
      <c r="AI1659">
        <v>0</v>
      </c>
      <c r="AJ1659" s="15"/>
      <c r="AK1659" t="s">
        <v>74</v>
      </c>
      <c r="AL1659" s="16"/>
      <c r="AR1659" s="18" t="str">
        <f>IFERROR(VLOOKUP(K1659,[1]POP!$F:$J,1,0),M1659)</f>
        <v>MAROUA 3</v>
      </c>
      <c r="AS1659" s="18" t="str">
        <f t="shared" si="126"/>
        <v>DOUGOI</v>
      </c>
      <c r="AT1659" s="19">
        <f t="shared" si="129"/>
        <v>0</v>
      </c>
      <c r="AU1659" s="19">
        <f t="shared" ca="1" si="128"/>
        <v>1</v>
      </c>
    </row>
    <row r="1660" spans="1:47" x14ac:dyDescent="0.3">
      <c r="A1660" t="s">
        <v>2455</v>
      </c>
      <c r="B1660" t="str">
        <f t="shared" si="125"/>
        <v>S35_2026</v>
      </c>
      <c r="C1660" t="str">
        <f t="shared" si="127"/>
        <v>S35_2026</v>
      </c>
      <c r="E1660">
        <v>675732040</v>
      </c>
      <c r="F1660">
        <v>12</v>
      </c>
      <c r="G1660" t="s">
        <v>55</v>
      </c>
      <c r="H1660" t="s">
        <v>56</v>
      </c>
      <c r="I1660" t="s">
        <v>2284</v>
      </c>
      <c r="J1660" t="s">
        <v>453</v>
      </c>
      <c r="K1660" t="s">
        <v>2454</v>
      </c>
      <c r="L1660" t="s">
        <v>453</v>
      </c>
      <c r="M1660" t="s">
        <v>454</v>
      </c>
      <c r="N1660" t="s">
        <v>45</v>
      </c>
      <c r="O1660" t="s">
        <v>45</v>
      </c>
      <c r="P1660">
        <v>2</v>
      </c>
      <c r="Q1660" s="7">
        <v>46260</v>
      </c>
      <c r="R1660" s="7">
        <v>46261</v>
      </c>
      <c r="S1660" s="7">
        <v>46261</v>
      </c>
      <c r="T1660" t="s">
        <v>45</v>
      </c>
      <c r="V1660" t="s">
        <v>455</v>
      </c>
      <c r="W1660" t="s">
        <v>45</v>
      </c>
      <c r="X1660" t="s">
        <v>45</v>
      </c>
      <c r="Y1660" t="s">
        <v>74</v>
      </c>
      <c r="Z1660" t="s">
        <v>45</v>
      </c>
      <c r="AA1660" s="7">
        <v>46261</v>
      </c>
      <c r="AB1660" t="s">
        <v>48</v>
      </c>
      <c r="AC1660" t="s">
        <v>45</v>
      </c>
      <c r="AD1660" t="s">
        <v>1122</v>
      </c>
      <c r="AH1660" t="s">
        <v>75</v>
      </c>
      <c r="AI1660">
        <v>0</v>
      </c>
      <c r="AJ1660" s="15"/>
      <c r="AK1660" t="s">
        <v>74</v>
      </c>
      <c r="AL1660" s="16"/>
      <c r="AR1660" s="18" t="str">
        <f>IFERROR(VLOOKUP(K1660,[1]POP!$F:$J,1,0),M1660)</f>
        <v>MAROUA 3</v>
      </c>
      <c r="AS1660" s="18" t="str">
        <f t="shared" si="126"/>
        <v>DOUGOI</v>
      </c>
      <c r="AT1660" s="19">
        <f t="shared" si="129"/>
        <v>0</v>
      </c>
      <c r="AU1660" s="19">
        <f t="shared" ca="1" si="128"/>
        <v>1</v>
      </c>
    </row>
    <row r="1661" spans="1:47" x14ac:dyDescent="0.3">
      <c r="A1661" t="s">
        <v>2456</v>
      </c>
      <c r="B1661" t="str">
        <f t="shared" si="125"/>
        <v>S35_2026</v>
      </c>
      <c r="C1661" t="str">
        <f t="shared" si="127"/>
        <v>S35_2026</v>
      </c>
      <c r="E1661">
        <v>675732040</v>
      </c>
      <c r="F1661">
        <v>19</v>
      </c>
      <c r="G1661" t="s">
        <v>55</v>
      </c>
      <c r="H1661" t="s">
        <v>56</v>
      </c>
      <c r="I1661" t="s">
        <v>2284</v>
      </c>
      <c r="J1661" t="s">
        <v>453</v>
      </c>
      <c r="K1661" t="s">
        <v>2454</v>
      </c>
      <c r="L1661" t="s">
        <v>453</v>
      </c>
      <c r="M1661" t="s">
        <v>454</v>
      </c>
      <c r="N1661" t="s">
        <v>45</v>
      </c>
      <c r="O1661" t="s">
        <v>45</v>
      </c>
      <c r="P1661">
        <v>2</v>
      </c>
      <c r="Q1661" s="7">
        <v>46260</v>
      </c>
      <c r="R1661" s="7">
        <v>46261</v>
      </c>
      <c r="S1661" s="7">
        <v>46261</v>
      </c>
      <c r="T1661" t="s">
        <v>45</v>
      </c>
      <c r="V1661" t="s">
        <v>455</v>
      </c>
      <c r="W1661" t="s">
        <v>45</v>
      </c>
      <c r="X1661" t="s">
        <v>45</v>
      </c>
      <c r="Y1661" t="s">
        <v>74</v>
      </c>
      <c r="Z1661" t="s">
        <v>45</v>
      </c>
      <c r="AA1661" s="7">
        <v>46261</v>
      </c>
      <c r="AB1661" t="s">
        <v>48</v>
      </c>
      <c r="AC1661" t="s">
        <v>45</v>
      </c>
      <c r="AD1661" t="s">
        <v>1122</v>
      </c>
      <c r="AH1661" t="s">
        <v>75</v>
      </c>
      <c r="AI1661">
        <v>0</v>
      </c>
      <c r="AJ1661" s="15"/>
      <c r="AK1661" t="s">
        <v>74</v>
      </c>
      <c r="AL1661" s="16"/>
      <c r="AR1661" s="18" t="str">
        <f>IFERROR(VLOOKUP(K1661,[1]POP!$F:$J,1,0),M1661)</f>
        <v>MAROUA 3</v>
      </c>
      <c r="AS1661" s="18" t="str">
        <f t="shared" si="126"/>
        <v>DOUGOI</v>
      </c>
      <c r="AT1661" s="19">
        <f t="shared" si="129"/>
        <v>0</v>
      </c>
      <c r="AU1661" s="19">
        <f t="shared" ca="1" si="128"/>
        <v>1</v>
      </c>
    </row>
    <row r="1662" spans="1:47" x14ac:dyDescent="0.3">
      <c r="A1662" t="s">
        <v>2457</v>
      </c>
      <c r="B1662" t="str">
        <f t="shared" si="125"/>
        <v>S35_2026</v>
      </c>
      <c r="C1662" t="str">
        <f t="shared" si="127"/>
        <v>S35_2026</v>
      </c>
      <c r="E1662">
        <v>674505041</v>
      </c>
      <c r="F1662">
        <v>8</v>
      </c>
      <c r="G1662" t="s">
        <v>55</v>
      </c>
      <c r="H1662" t="s">
        <v>56</v>
      </c>
      <c r="I1662" t="s">
        <v>2284</v>
      </c>
      <c r="J1662" t="s">
        <v>453</v>
      </c>
      <c r="K1662" t="s">
        <v>2454</v>
      </c>
      <c r="L1662" t="s">
        <v>453</v>
      </c>
      <c r="M1662" t="s">
        <v>454</v>
      </c>
      <c r="N1662" t="s">
        <v>45</v>
      </c>
      <c r="O1662" t="s">
        <v>45</v>
      </c>
      <c r="P1662">
        <v>2</v>
      </c>
      <c r="Q1662" s="7">
        <v>46260</v>
      </c>
      <c r="R1662" s="7">
        <v>46261</v>
      </c>
      <c r="S1662" s="7">
        <v>46261</v>
      </c>
      <c r="T1662" t="s">
        <v>45</v>
      </c>
      <c r="V1662" t="s">
        <v>455</v>
      </c>
      <c r="W1662" t="s">
        <v>45</v>
      </c>
      <c r="X1662" t="s">
        <v>45</v>
      </c>
      <c r="Y1662" t="s">
        <v>74</v>
      </c>
      <c r="Z1662" t="s">
        <v>45</v>
      </c>
      <c r="AA1662" s="7">
        <v>46261</v>
      </c>
      <c r="AB1662" t="s">
        <v>48</v>
      </c>
      <c r="AC1662" t="s">
        <v>45</v>
      </c>
      <c r="AD1662" t="s">
        <v>1122</v>
      </c>
      <c r="AH1662" t="s">
        <v>75</v>
      </c>
      <c r="AI1662">
        <v>0</v>
      </c>
      <c r="AJ1662" s="15"/>
      <c r="AK1662" t="s">
        <v>74</v>
      </c>
      <c r="AL1662" s="16"/>
      <c r="AR1662" s="18" t="str">
        <f>IFERROR(VLOOKUP(K1662,[1]POP!$F:$J,1,0),M1662)</f>
        <v>MAROUA 3</v>
      </c>
      <c r="AS1662" s="18" t="str">
        <f t="shared" si="126"/>
        <v>DOUGOI</v>
      </c>
      <c r="AT1662" s="19">
        <f t="shared" si="129"/>
        <v>0</v>
      </c>
      <c r="AU1662" s="19">
        <f t="shared" ca="1" si="128"/>
        <v>1</v>
      </c>
    </row>
    <row r="1663" spans="1:47" x14ac:dyDescent="0.3">
      <c r="A1663" t="s">
        <v>2458</v>
      </c>
      <c r="B1663" t="str">
        <f t="shared" si="125"/>
        <v>S35_2026</v>
      </c>
      <c r="C1663" t="str">
        <f t="shared" si="127"/>
        <v>S35_2026</v>
      </c>
      <c r="E1663">
        <v>693003518</v>
      </c>
      <c r="F1663">
        <v>55</v>
      </c>
      <c r="G1663" t="s">
        <v>40</v>
      </c>
      <c r="H1663" t="s">
        <v>77</v>
      </c>
      <c r="I1663" t="s">
        <v>2284</v>
      </c>
      <c r="J1663" t="s">
        <v>453</v>
      </c>
      <c r="K1663" t="s">
        <v>2454</v>
      </c>
      <c r="L1663" t="s">
        <v>453</v>
      </c>
      <c r="M1663" t="s">
        <v>454</v>
      </c>
      <c r="N1663" t="s">
        <v>45</v>
      </c>
      <c r="O1663" t="s">
        <v>45</v>
      </c>
      <c r="P1663">
        <v>3</v>
      </c>
      <c r="Q1663" s="7">
        <v>46260</v>
      </c>
      <c r="R1663" s="7">
        <v>46261</v>
      </c>
      <c r="S1663" s="7">
        <v>46261</v>
      </c>
      <c r="T1663" t="s">
        <v>45</v>
      </c>
      <c r="V1663" t="s">
        <v>455</v>
      </c>
      <c r="W1663" t="s">
        <v>45</v>
      </c>
      <c r="X1663" t="s">
        <v>45</v>
      </c>
      <c r="Y1663" t="s">
        <v>45</v>
      </c>
      <c r="Z1663" t="s">
        <v>45</v>
      </c>
      <c r="AA1663" s="7">
        <v>46261</v>
      </c>
      <c r="AB1663" t="s">
        <v>48</v>
      </c>
      <c r="AC1663" t="s">
        <v>45</v>
      </c>
      <c r="AD1663" t="s">
        <v>1122</v>
      </c>
      <c r="AH1663" t="s">
        <v>75</v>
      </c>
      <c r="AI1663">
        <v>0</v>
      </c>
      <c r="AJ1663" s="15"/>
      <c r="AK1663" t="s">
        <v>74</v>
      </c>
      <c r="AL1663" s="16"/>
      <c r="AR1663" s="18" t="str">
        <f>IFERROR(VLOOKUP(K1663,[1]POP!$F:$J,1,0),M1663)</f>
        <v>MAROUA 3</v>
      </c>
      <c r="AS1663" s="18" t="str">
        <f t="shared" si="126"/>
        <v>DOUGOI</v>
      </c>
      <c r="AT1663" s="19">
        <f t="shared" si="129"/>
        <v>0</v>
      </c>
      <c r="AU1663" s="19">
        <f t="shared" ca="1" si="128"/>
        <v>1</v>
      </c>
    </row>
    <row r="1664" spans="1:47" x14ac:dyDescent="0.3">
      <c r="A1664" t="s">
        <v>2459</v>
      </c>
      <c r="B1664" t="str">
        <f t="shared" si="125"/>
        <v>S30_2026</v>
      </c>
      <c r="C1664" t="str">
        <f t="shared" si="127"/>
        <v>S30_2026</v>
      </c>
      <c r="E1664" t="s">
        <v>472</v>
      </c>
      <c r="F1664">
        <v>4</v>
      </c>
      <c r="H1664" t="s">
        <v>85</v>
      </c>
      <c r="I1664" t="s">
        <v>1519</v>
      </c>
      <c r="J1664" t="s">
        <v>1520</v>
      </c>
      <c r="K1664" t="s">
        <v>116</v>
      </c>
      <c r="L1664" t="s">
        <v>1520</v>
      </c>
      <c r="M1664" t="s">
        <v>116</v>
      </c>
      <c r="N1664" t="s">
        <v>45</v>
      </c>
      <c r="O1664" t="s">
        <v>45</v>
      </c>
      <c r="P1664">
        <v>3</v>
      </c>
      <c r="Q1664" s="7">
        <v>46228</v>
      </c>
      <c r="R1664" s="7">
        <v>46228</v>
      </c>
      <c r="S1664" s="7">
        <v>46228</v>
      </c>
      <c r="T1664" t="s">
        <v>45</v>
      </c>
      <c r="V1664" t="s">
        <v>1521</v>
      </c>
      <c r="W1664" t="s">
        <v>45</v>
      </c>
      <c r="X1664" t="s">
        <v>45</v>
      </c>
      <c r="Y1664" t="s">
        <v>45</v>
      </c>
      <c r="Z1664" t="s">
        <v>74</v>
      </c>
      <c r="AB1664" t="s">
        <v>48</v>
      </c>
      <c r="AF1664">
        <v>2</v>
      </c>
      <c r="AH1664" t="s">
        <v>75</v>
      </c>
      <c r="AI1664">
        <v>1</v>
      </c>
      <c r="AJ1664" s="15"/>
      <c r="AK1664" t="s">
        <v>1522</v>
      </c>
      <c r="AL1664" s="16"/>
      <c r="AR1664" s="18" t="str">
        <f>IFERROR(VLOOKUP(K1664,[1]POP!$F:$J,1,0),M1664)</f>
        <v>MAKARY</v>
      </c>
      <c r="AS1664" s="18" t="str">
        <f t="shared" si="126"/>
        <v>AMCHILGA</v>
      </c>
      <c r="AT1664" s="19">
        <f t="shared" si="129"/>
        <v>2</v>
      </c>
      <c r="AU1664" s="19">
        <f t="shared" ca="1" si="128"/>
        <v>2</v>
      </c>
    </row>
    <row r="1665" spans="1:47" x14ac:dyDescent="0.3">
      <c r="A1665" t="s">
        <v>2460</v>
      </c>
      <c r="B1665" t="str">
        <f t="shared" si="125"/>
        <v>S30_2026</v>
      </c>
      <c r="C1665" t="str">
        <f t="shared" si="127"/>
        <v>S30_2026</v>
      </c>
      <c r="E1665" t="s">
        <v>472</v>
      </c>
      <c r="F1665">
        <v>10</v>
      </c>
      <c r="H1665" t="s">
        <v>706</v>
      </c>
      <c r="I1665" t="s">
        <v>1519</v>
      </c>
      <c r="J1665" t="s">
        <v>1520</v>
      </c>
      <c r="K1665" t="s">
        <v>116</v>
      </c>
      <c r="L1665" t="s">
        <v>1520</v>
      </c>
      <c r="M1665" t="s">
        <v>116</v>
      </c>
      <c r="N1665" t="s">
        <v>45</v>
      </c>
      <c r="O1665" t="s">
        <v>45</v>
      </c>
      <c r="P1665">
        <v>3</v>
      </c>
      <c r="Q1665" s="7">
        <v>46228</v>
      </c>
      <c r="R1665" s="7">
        <v>46228</v>
      </c>
      <c r="S1665" s="7">
        <v>46228</v>
      </c>
      <c r="T1665" t="s">
        <v>45</v>
      </c>
      <c r="V1665" t="s">
        <v>1521</v>
      </c>
      <c r="W1665" t="s">
        <v>45</v>
      </c>
      <c r="X1665" t="s">
        <v>45</v>
      </c>
      <c r="Y1665" t="s">
        <v>45</v>
      </c>
      <c r="Z1665" t="s">
        <v>74</v>
      </c>
      <c r="AB1665" t="s">
        <v>48</v>
      </c>
      <c r="AF1665">
        <v>2</v>
      </c>
      <c r="AH1665" t="s">
        <v>75</v>
      </c>
      <c r="AI1665">
        <v>1</v>
      </c>
      <c r="AJ1665" s="15"/>
      <c r="AK1665" t="s">
        <v>1522</v>
      </c>
      <c r="AL1665" s="16"/>
      <c r="AR1665" s="18" t="str">
        <f>IFERROR(VLOOKUP(K1665,[1]POP!$F:$J,1,0),M1665)</f>
        <v>MAKARY</v>
      </c>
      <c r="AS1665" s="18" t="str">
        <f t="shared" si="126"/>
        <v>AMCHILGA</v>
      </c>
      <c r="AT1665" s="19">
        <f t="shared" si="129"/>
        <v>2</v>
      </c>
      <c r="AU1665" s="19">
        <f t="shared" ca="1" si="128"/>
        <v>2</v>
      </c>
    </row>
    <row r="1666" spans="1:47" x14ac:dyDescent="0.3">
      <c r="A1666" t="s">
        <v>2461</v>
      </c>
      <c r="B1666" t="str">
        <f t="shared" ref="B1666:B1729" si="130">"S"&amp;(IF(_xlfn.ISOWEEKNUM(S1666)&gt;9,_xlfn.ISOWEEKNUM(S1666),_xlfn.CONCAT("0",_xlfn.ISOWEEKNUM(S1666))))&amp;"_"&amp;(YEAR(S1666+26-(_xlfn.ISOWEEKNUM(S1666))))</f>
        <v>S30_2026</v>
      </c>
      <c r="C1666" t="str">
        <f t="shared" si="127"/>
        <v>S30_2026</v>
      </c>
      <c r="E1666" t="s">
        <v>472</v>
      </c>
      <c r="F1666">
        <v>10</v>
      </c>
      <c r="H1666" t="s">
        <v>706</v>
      </c>
      <c r="I1666" t="s">
        <v>1519</v>
      </c>
      <c r="J1666" t="s">
        <v>1520</v>
      </c>
      <c r="K1666" t="s">
        <v>116</v>
      </c>
      <c r="L1666" t="s">
        <v>1520</v>
      </c>
      <c r="M1666" t="s">
        <v>116</v>
      </c>
      <c r="N1666" t="s">
        <v>45</v>
      </c>
      <c r="O1666" t="s">
        <v>45</v>
      </c>
      <c r="P1666">
        <v>3</v>
      </c>
      <c r="Q1666" s="7">
        <v>46228</v>
      </c>
      <c r="R1666" s="7">
        <v>46228</v>
      </c>
      <c r="S1666" s="7">
        <v>46228</v>
      </c>
      <c r="T1666" t="s">
        <v>45</v>
      </c>
      <c r="V1666" t="s">
        <v>1521</v>
      </c>
      <c r="W1666" t="s">
        <v>45</v>
      </c>
      <c r="X1666" t="s">
        <v>45</v>
      </c>
      <c r="Y1666" t="s">
        <v>45</v>
      </c>
      <c r="Z1666" t="s">
        <v>74</v>
      </c>
      <c r="AB1666" t="s">
        <v>48</v>
      </c>
      <c r="AF1666">
        <v>2</v>
      </c>
      <c r="AH1666" t="s">
        <v>75</v>
      </c>
      <c r="AI1666">
        <v>1</v>
      </c>
      <c r="AJ1666" s="15"/>
      <c r="AK1666" t="s">
        <v>1522</v>
      </c>
      <c r="AL1666" s="16"/>
      <c r="AR1666" s="18" t="str">
        <f>IFERROR(VLOOKUP(K1666,[1]POP!$F:$J,1,0),M1666)</f>
        <v>MAKARY</v>
      </c>
      <c r="AS1666" s="18" t="str">
        <f t="shared" ref="AS1666:AS1729" si="131">IF(AR1666=K1666,J1666,L1666)</f>
        <v>AMCHILGA</v>
      </c>
      <c r="AT1666" s="19">
        <f t="shared" si="129"/>
        <v>2</v>
      </c>
      <c r="AU1666" s="19">
        <f t="shared" ca="1" si="128"/>
        <v>2</v>
      </c>
    </row>
    <row r="1667" spans="1:47" x14ac:dyDescent="0.3">
      <c r="A1667" t="s">
        <v>2462</v>
      </c>
      <c r="B1667" t="str">
        <f t="shared" si="130"/>
        <v>S34_2026</v>
      </c>
      <c r="C1667" t="str">
        <f t="shared" ref="C1667:C1730" si="132">"S"&amp;(IF(_xlfn.ISOWEEKNUM(Q1667)&gt;9,_xlfn.ISOWEEKNUM(Q1667),_xlfn.CONCAT("0",_xlfn.ISOWEEKNUM(Q1667))))&amp;"_"&amp;(YEAR(Q1667+26-(_xlfn.ISOWEEKNUM(Q1667))))</f>
        <v>S34_2026</v>
      </c>
      <c r="E1667" t="s">
        <v>2463</v>
      </c>
      <c r="F1667">
        <v>2</v>
      </c>
      <c r="G1667" t="s">
        <v>40</v>
      </c>
      <c r="H1667" t="s">
        <v>85</v>
      </c>
      <c r="I1667" t="s">
        <v>2464</v>
      </c>
      <c r="J1667" t="s">
        <v>793</v>
      </c>
      <c r="K1667" t="s">
        <v>116</v>
      </c>
      <c r="L1667" t="s">
        <v>140</v>
      </c>
      <c r="M1667" t="s">
        <v>116</v>
      </c>
      <c r="N1667" t="s">
        <v>45</v>
      </c>
      <c r="O1667" t="s">
        <v>45</v>
      </c>
      <c r="P1667">
        <v>3</v>
      </c>
      <c r="Q1667" s="7">
        <v>46251</v>
      </c>
      <c r="R1667" s="7">
        <v>46252</v>
      </c>
      <c r="S1667" s="7">
        <v>46252</v>
      </c>
      <c r="T1667" t="s">
        <v>45</v>
      </c>
      <c r="V1667" t="s">
        <v>141</v>
      </c>
      <c r="W1667" t="s">
        <v>45</v>
      </c>
      <c r="X1667" t="s">
        <v>74</v>
      </c>
      <c r="Y1667" t="s">
        <v>45</v>
      </c>
      <c r="Z1667" t="s">
        <v>45</v>
      </c>
      <c r="AF1667">
        <v>2</v>
      </c>
      <c r="AH1667" t="s">
        <v>75</v>
      </c>
      <c r="AI1667">
        <v>1</v>
      </c>
      <c r="AJ1667" s="15"/>
      <c r="AK1667" t="s">
        <v>74</v>
      </c>
      <c r="AL1667" s="16"/>
      <c r="AR1667" s="18" t="str">
        <f>IFERROR(VLOOKUP(K1667,[1]POP!$F:$J,1,0),M1667)</f>
        <v>MAKARY</v>
      </c>
      <c r="AS1667" s="18" t="str">
        <f t="shared" si="131"/>
        <v>BODO</v>
      </c>
      <c r="AT1667" s="19">
        <f t="shared" si="129"/>
        <v>2</v>
      </c>
      <c r="AU1667" s="19">
        <f t="shared" ref="AU1667:AU1730" ca="1" si="133">IF((TODAY() - R1667)&lt;=21,1,2)</f>
        <v>1</v>
      </c>
    </row>
    <row r="1668" spans="1:47" x14ac:dyDescent="0.3">
      <c r="A1668" t="s">
        <v>2465</v>
      </c>
      <c r="B1668" t="str">
        <f t="shared" si="130"/>
        <v>S34_2026</v>
      </c>
      <c r="C1668" t="str">
        <f t="shared" si="132"/>
        <v>S34_2026</v>
      </c>
      <c r="E1668" t="s">
        <v>1870</v>
      </c>
      <c r="F1668">
        <v>19</v>
      </c>
      <c r="G1668" t="s">
        <v>55</v>
      </c>
      <c r="H1668" t="s">
        <v>70</v>
      </c>
      <c r="I1668" t="s">
        <v>368</v>
      </c>
      <c r="J1668" t="s">
        <v>140</v>
      </c>
      <c r="K1668" t="s">
        <v>116</v>
      </c>
      <c r="L1668" t="s">
        <v>140</v>
      </c>
      <c r="M1668" t="s">
        <v>116</v>
      </c>
      <c r="N1668" t="s">
        <v>45</v>
      </c>
      <c r="O1668" t="s">
        <v>45</v>
      </c>
      <c r="P1668">
        <v>2</v>
      </c>
      <c r="Q1668" s="7">
        <v>46251</v>
      </c>
      <c r="R1668" s="7">
        <v>46252</v>
      </c>
      <c r="S1668" s="7">
        <v>46252</v>
      </c>
      <c r="T1668" t="s">
        <v>45</v>
      </c>
      <c r="V1668" t="s">
        <v>141</v>
      </c>
      <c r="W1668" t="s">
        <v>45</v>
      </c>
      <c r="X1668" t="s">
        <v>74</v>
      </c>
      <c r="Y1668" t="s">
        <v>45</v>
      </c>
      <c r="Z1668" t="s">
        <v>45</v>
      </c>
      <c r="AF1668">
        <v>2</v>
      </c>
      <c r="AH1668" t="s">
        <v>75</v>
      </c>
      <c r="AI1668">
        <v>1</v>
      </c>
      <c r="AJ1668" s="15"/>
      <c r="AK1668" t="s">
        <v>45</v>
      </c>
      <c r="AL1668" s="16"/>
      <c r="AR1668" s="18" t="str">
        <f>IFERROR(VLOOKUP(K1668,[1]POP!$F:$J,1,0),M1668)</f>
        <v>MAKARY</v>
      </c>
      <c r="AS1668" s="18" t="str">
        <f t="shared" si="131"/>
        <v>BIAMO</v>
      </c>
      <c r="AT1668" s="19">
        <f t="shared" ref="AT1668:AT1731" si="134">IF($AI:$AI=2,3,IF($AI:$AI=3,3,IF($AI:$AI=4,3,IF($AI:$AI=1,2,0))))</f>
        <v>2</v>
      </c>
      <c r="AU1668" s="19">
        <f t="shared" ca="1" si="133"/>
        <v>1</v>
      </c>
    </row>
    <row r="1669" spans="1:47" x14ac:dyDescent="0.3">
      <c r="A1669" t="s">
        <v>2466</v>
      </c>
      <c r="B1669" t="str">
        <f t="shared" si="130"/>
        <v>S34_2026</v>
      </c>
      <c r="C1669" t="str">
        <f t="shared" si="132"/>
        <v>S34_2026</v>
      </c>
      <c r="E1669" t="s">
        <v>1881</v>
      </c>
      <c r="F1669">
        <v>45</v>
      </c>
      <c r="G1669" t="s">
        <v>55</v>
      </c>
      <c r="H1669" t="s">
        <v>70</v>
      </c>
      <c r="I1669" t="s">
        <v>139</v>
      </c>
      <c r="J1669" t="s">
        <v>140</v>
      </c>
      <c r="K1669" t="s">
        <v>116</v>
      </c>
      <c r="L1669" t="s">
        <v>140</v>
      </c>
      <c r="M1669" t="s">
        <v>116</v>
      </c>
      <c r="N1669" t="s">
        <v>45</v>
      </c>
      <c r="O1669" t="s">
        <v>45</v>
      </c>
      <c r="P1669">
        <v>3</v>
      </c>
      <c r="Q1669" s="7">
        <v>46252</v>
      </c>
      <c r="R1669" s="7">
        <v>46253</v>
      </c>
      <c r="S1669" s="7">
        <v>46253</v>
      </c>
      <c r="T1669" t="s">
        <v>45</v>
      </c>
      <c r="V1669" t="s">
        <v>141</v>
      </c>
      <c r="W1669" t="s">
        <v>45</v>
      </c>
      <c r="X1669" t="s">
        <v>74</v>
      </c>
      <c r="Y1669" t="s">
        <v>45</v>
      </c>
      <c r="Z1669" t="s">
        <v>45</v>
      </c>
      <c r="AF1669">
        <v>2</v>
      </c>
      <c r="AH1669" t="s">
        <v>75</v>
      </c>
      <c r="AI1669">
        <v>1</v>
      </c>
      <c r="AJ1669" s="15"/>
      <c r="AK1669" t="s">
        <v>74</v>
      </c>
      <c r="AL1669" s="16"/>
      <c r="AR1669" s="18" t="str">
        <f>IFERROR(VLOOKUP(K1669,[1]POP!$F:$J,1,0),M1669)</f>
        <v>MAKARY</v>
      </c>
      <c r="AS1669" s="18" t="str">
        <f t="shared" si="131"/>
        <v>BIAMO</v>
      </c>
      <c r="AT1669" s="19">
        <f t="shared" si="134"/>
        <v>2</v>
      </c>
      <c r="AU1669" s="19">
        <f t="shared" ca="1" si="133"/>
        <v>1</v>
      </c>
    </row>
    <row r="1670" spans="1:47" x14ac:dyDescent="0.3">
      <c r="A1670" t="s">
        <v>2467</v>
      </c>
      <c r="B1670" t="str">
        <f t="shared" si="130"/>
        <v>S34_2026</v>
      </c>
      <c r="C1670" t="str">
        <f t="shared" si="132"/>
        <v>S34_2026</v>
      </c>
      <c r="E1670" t="s">
        <v>1881</v>
      </c>
      <c r="F1670">
        <v>32</v>
      </c>
      <c r="G1670" t="s">
        <v>40</v>
      </c>
      <c r="H1670" t="s">
        <v>1861</v>
      </c>
      <c r="I1670" t="s">
        <v>139</v>
      </c>
      <c r="J1670" t="s">
        <v>140</v>
      </c>
      <c r="K1670" t="s">
        <v>116</v>
      </c>
      <c r="L1670" t="s">
        <v>140</v>
      </c>
      <c r="M1670" t="s">
        <v>116</v>
      </c>
      <c r="N1670" t="s">
        <v>45</v>
      </c>
      <c r="O1670" t="s">
        <v>45</v>
      </c>
      <c r="P1670">
        <v>2</v>
      </c>
      <c r="Q1670" s="7">
        <v>46252</v>
      </c>
      <c r="R1670" s="7">
        <v>46253</v>
      </c>
      <c r="S1670" s="7">
        <v>46253</v>
      </c>
      <c r="T1670" t="s">
        <v>45</v>
      </c>
      <c r="V1670" t="s">
        <v>141</v>
      </c>
      <c r="W1670" t="s">
        <v>45</v>
      </c>
      <c r="X1670" t="s">
        <v>74</v>
      </c>
      <c r="Y1670" t="s">
        <v>45</v>
      </c>
      <c r="Z1670" t="s">
        <v>45</v>
      </c>
      <c r="AF1670">
        <v>2</v>
      </c>
      <c r="AH1670" t="s">
        <v>75</v>
      </c>
      <c r="AI1670">
        <v>1</v>
      </c>
      <c r="AJ1670" s="15"/>
      <c r="AK1670" t="s">
        <v>74</v>
      </c>
      <c r="AL1670" s="16"/>
      <c r="AR1670" s="18" t="str">
        <f>IFERROR(VLOOKUP(K1670,[1]POP!$F:$J,1,0),M1670)</f>
        <v>MAKARY</v>
      </c>
      <c r="AS1670" s="18" t="str">
        <f t="shared" si="131"/>
        <v>BIAMO</v>
      </c>
      <c r="AT1670" s="19">
        <f t="shared" si="134"/>
        <v>2</v>
      </c>
      <c r="AU1670" s="19">
        <f t="shared" ca="1" si="133"/>
        <v>1</v>
      </c>
    </row>
    <row r="1671" spans="1:47" x14ac:dyDescent="0.3">
      <c r="A1671" t="s">
        <v>2468</v>
      </c>
      <c r="B1671" t="str">
        <f t="shared" si="130"/>
        <v>S34_2026</v>
      </c>
      <c r="C1671" t="str">
        <f t="shared" si="132"/>
        <v>S34_2026</v>
      </c>
      <c r="E1671" t="s">
        <v>135</v>
      </c>
      <c r="F1671">
        <v>30</v>
      </c>
      <c r="G1671" t="s">
        <v>55</v>
      </c>
      <c r="H1671" t="s">
        <v>70</v>
      </c>
      <c r="I1671" t="s">
        <v>2469</v>
      </c>
      <c r="J1671" t="s">
        <v>140</v>
      </c>
      <c r="K1671" t="s">
        <v>116</v>
      </c>
      <c r="L1671" t="s">
        <v>140</v>
      </c>
      <c r="M1671" t="s">
        <v>116</v>
      </c>
      <c r="N1671" t="s">
        <v>45</v>
      </c>
      <c r="O1671" t="s">
        <v>45</v>
      </c>
      <c r="P1671">
        <v>3</v>
      </c>
      <c r="Q1671" s="7">
        <v>46253</v>
      </c>
      <c r="R1671" s="7">
        <v>46254</v>
      </c>
      <c r="S1671" s="7">
        <v>46254</v>
      </c>
      <c r="T1671" t="s">
        <v>45</v>
      </c>
      <c r="V1671" t="s">
        <v>141</v>
      </c>
      <c r="W1671" t="s">
        <v>45</v>
      </c>
      <c r="X1671" t="s">
        <v>74</v>
      </c>
      <c r="Y1671" t="s">
        <v>45</v>
      </c>
      <c r="Z1671" t="s">
        <v>45</v>
      </c>
      <c r="AF1671">
        <v>2</v>
      </c>
      <c r="AH1671" t="s">
        <v>75</v>
      </c>
      <c r="AI1671">
        <v>1</v>
      </c>
      <c r="AJ1671" s="15"/>
      <c r="AK1671" t="s">
        <v>74</v>
      </c>
      <c r="AL1671" s="16"/>
      <c r="AR1671" s="18" t="str">
        <f>IFERROR(VLOOKUP(K1671,[1]POP!$F:$J,1,0),M1671)</f>
        <v>MAKARY</v>
      </c>
      <c r="AS1671" s="18" t="str">
        <f t="shared" si="131"/>
        <v>BIAMO</v>
      </c>
      <c r="AT1671" s="19">
        <f t="shared" si="134"/>
        <v>2</v>
      </c>
      <c r="AU1671" s="19">
        <f t="shared" ca="1" si="133"/>
        <v>1</v>
      </c>
    </row>
    <row r="1672" spans="1:47" x14ac:dyDescent="0.3">
      <c r="A1672" t="s">
        <v>2470</v>
      </c>
      <c r="B1672" t="str">
        <f t="shared" si="130"/>
        <v>S34_2026</v>
      </c>
      <c r="C1672" t="str">
        <f t="shared" si="132"/>
        <v>S34_2026</v>
      </c>
      <c r="E1672" t="s">
        <v>1868</v>
      </c>
      <c r="F1672">
        <v>32</v>
      </c>
      <c r="G1672" t="s">
        <v>40</v>
      </c>
      <c r="H1672" t="s">
        <v>1861</v>
      </c>
      <c r="I1672" t="s">
        <v>1859</v>
      </c>
      <c r="J1672" t="s">
        <v>140</v>
      </c>
      <c r="K1672" t="s">
        <v>116</v>
      </c>
      <c r="L1672" t="s">
        <v>140</v>
      </c>
      <c r="M1672" t="s">
        <v>116</v>
      </c>
      <c r="N1672" t="s">
        <v>45</v>
      </c>
      <c r="O1672" t="s">
        <v>45</v>
      </c>
      <c r="P1672">
        <v>3</v>
      </c>
      <c r="Q1672" s="7">
        <v>46253</v>
      </c>
      <c r="R1672" s="7">
        <v>46254</v>
      </c>
      <c r="S1672" s="7">
        <v>46254</v>
      </c>
      <c r="T1672" t="s">
        <v>45</v>
      </c>
      <c r="V1672" t="s">
        <v>141</v>
      </c>
      <c r="W1672" t="s">
        <v>45</v>
      </c>
      <c r="X1672" t="s">
        <v>74</v>
      </c>
      <c r="Y1672" t="s">
        <v>45</v>
      </c>
      <c r="Z1672" t="s">
        <v>45</v>
      </c>
      <c r="AF1672">
        <v>2</v>
      </c>
      <c r="AH1672" t="s">
        <v>75</v>
      </c>
      <c r="AI1672">
        <v>1</v>
      </c>
      <c r="AJ1672" s="15"/>
      <c r="AK1672" t="s">
        <v>45</v>
      </c>
      <c r="AL1672" s="16"/>
      <c r="AR1672" s="18" t="str">
        <f>IFERROR(VLOOKUP(K1672,[1]POP!$F:$J,1,0),M1672)</f>
        <v>MAKARY</v>
      </c>
      <c r="AS1672" s="18" t="str">
        <f t="shared" si="131"/>
        <v>BIAMO</v>
      </c>
      <c r="AT1672" s="19">
        <f t="shared" si="134"/>
        <v>2</v>
      </c>
      <c r="AU1672" s="19">
        <f t="shared" ca="1" si="133"/>
        <v>1</v>
      </c>
    </row>
    <row r="1673" spans="1:47" x14ac:dyDescent="0.3">
      <c r="A1673" t="s">
        <v>2471</v>
      </c>
      <c r="B1673" t="str">
        <f t="shared" si="130"/>
        <v>S34_2026</v>
      </c>
      <c r="C1673" t="str">
        <f t="shared" si="132"/>
        <v>S34_2026</v>
      </c>
      <c r="E1673" t="s">
        <v>1870</v>
      </c>
      <c r="F1673">
        <v>75</v>
      </c>
      <c r="G1673" t="s">
        <v>40</v>
      </c>
      <c r="H1673" t="s">
        <v>1861</v>
      </c>
      <c r="I1673" t="s">
        <v>368</v>
      </c>
      <c r="J1673" t="s">
        <v>140</v>
      </c>
      <c r="K1673" t="s">
        <v>116</v>
      </c>
      <c r="L1673" t="s">
        <v>140</v>
      </c>
      <c r="M1673" t="s">
        <v>116</v>
      </c>
      <c r="N1673" t="s">
        <v>45</v>
      </c>
      <c r="O1673" t="s">
        <v>45</v>
      </c>
      <c r="P1673">
        <v>3</v>
      </c>
      <c r="Q1673" s="7">
        <v>46253</v>
      </c>
      <c r="R1673" s="7">
        <v>46254</v>
      </c>
      <c r="S1673" s="7">
        <v>46254</v>
      </c>
      <c r="T1673" t="s">
        <v>45</v>
      </c>
      <c r="V1673" t="s">
        <v>141</v>
      </c>
      <c r="W1673" t="s">
        <v>45</v>
      </c>
      <c r="X1673" t="s">
        <v>74</v>
      </c>
      <c r="Y1673" t="s">
        <v>45</v>
      </c>
      <c r="Z1673" t="s">
        <v>45</v>
      </c>
      <c r="AF1673">
        <v>2</v>
      </c>
      <c r="AH1673" t="s">
        <v>75</v>
      </c>
      <c r="AI1673">
        <v>1</v>
      </c>
      <c r="AJ1673" s="15"/>
      <c r="AK1673" t="s">
        <v>45</v>
      </c>
      <c r="AL1673" s="16"/>
      <c r="AR1673" s="18" t="str">
        <f>IFERROR(VLOOKUP(K1673,[1]POP!$F:$J,1,0),M1673)</f>
        <v>MAKARY</v>
      </c>
      <c r="AS1673" s="18" t="str">
        <f t="shared" si="131"/>
        <v>BIAMO</v>
      </c>
      <c r="AT1673" s="19">
        <f t="shared" si="134"/>
        <v>2</v>
      </c>
      <c r="AU1673" s="19">
        <f t="shared" ca="1" si="133"/>
        <v>1</v>
      </c>
    </row>
    <row r="1674" spans="1:47" x14ac:dyDescent="0.3">
      <c r="A1674" t="s">
        <v>2472</v>
      </c>
      <c r="B1674" t="str">
        <f t="shared" si="130"/>
        <v>S34_2026</v>
      </c>
      <c r="C1674" t="str">
        <f t="shared" si="132"/>
        <v>S34_2026</v>
      </c>
      <c r="E1674" t="s">
        <v>1870</v>
      </c>
      <c r="F1674">
        <v>44</v>
      </c>
      <c r="G1674" t="s">
        <v>55</v>
      </c>
      <c r="H1674" t="s">
        <v>70</v>
      </c>
      <c r="I1674" t="s">
        <v>368</v>
      </c>
      <c r="J1674" t="s">
        <v>140</v>
      </c>
      <c r="K1674" t="s">
        <v>116</v>
      </c>
      <c r="L1674" t="s">
        <v>140</v>
      </c>
      <c r="M1674" t="s">
        <v>116</v>
      </c>
      <c r="N1674" t="s">
        <v>45</v>
      </c>
      <c r="O1674" t="s">
        <v>45</v>
      </c>
      <c r="P1674">
        <v>2</v>
      </c>
      <c r="Q1674" s="7">
        <v>46253</v>
      </c>
      <c r="R1674" s="7">
        <v>46254</v>
      </c>
      <c r="S1674" s="7">
        <v>46254</v>
      </c>
      <c r="T1674" t="s">
        <v>45</v>
      </c>
      <c r="V1674" t="s">
        <v>141</v>
      </c>
      <c r="W1674" t="s">
        <v>45</v>
      </c>
      <c r="X1674" t="s">
        <v>74</v>
      </c>
      <c r="Y1674" t="s">
        <v>45</v>
      </c>
      <c r="Z1674" t="s">
        <v>45</v>
      </c>
      <c r="AF1674">
        <v>2</v>
      </c>
      <c r="AH1674" t="s">
        <v>75</v>
      </c>
      <c r="AI1674">
        <v>1</v>
      </c>
      <c r="AJ1674" s="15"/>
      <c r="AK1674" t="s">
        <v>45</v>
      </c>
      <c r="AL1674" s="16"/>
      <c r="AR1674" s="18" t="str">
        <f>IFERROR(VLOOKUP(K1674,[1]POP!$F:$J,1,0),M1674)</f>
        <v>MAKARY</v>
      </c>
      <c r="AS1674" s="18" t="str">
        <f t="shared" si="131"/>
        <v>BIAMO</v>
      </c>
      <c r="AT1674" s="19">
        <f t="shared" si="134"/>
        <v>2</v>
      </c>
      <c r="AU1674" s="19">
        <f t="shared" ca="1" si="133"/>
        <v>1</v>
      </c>
    </row>
    <row r="1675" spans="1:47" x14ac:dyDescent="0.3">
      <c r="A1675" t="s">
        <v>2473</v>
      </c>
      <c r="B1675" t="str">
        <f t="shared" si="130"/>
        <v>S34_2026</v>
      </c>
      <c r="C1675" t="str">
        <f t="shared" si="132"/>
        <v>S34_2026</v>
      </c>
      <c r="E1675" t="s">
        <v>1868</v>
      </c>
      <c r="F1675">
        <v>1</v>
      </c>
      <c r="G1675" t="s">
        <v>55</v>
      </c>
      <c r="H1675" t="s">
        <v>85</v>
      </c>
      <c r="I1675" t="s">
        <v>1859</v>
      </c>
      <c r="J1675" t="s">
        <v>140</v>
      </c>
      <c r="K1675" t="s">
        <v>116</v>
      </c>
      <c r="L1675" t="s">
        <v>140</v>
      </c>
      <c r="M1675" t="s">
        <v>116</v>
      </c>
      <c r="N1675" t="s">
        <v>45</v>
      </c>
      <c r="O1675" t="s">
        <v>45</v>
      </c>
      <c r="P1675">
        <v>2</v>
      </c>
      <c r="Q1675" s="7">
        <v>46254</v>
      </c>
      <c r="R1675" s="7">
        <v>46254</v>
      </c>
      <c r="S1675" s="7">
        <v>46254</v>
      </c>
      <c r="T1675" t="s">
        <v>45</v>
      </c>
      <c r="V1675" t="s">
        <v>141</v>
      </c>
      <c r="W1675" t="s">
        <v>45</v>
      </c>
      <c r="X1675" t="s">
        <v>74</v>
      </c>
      <c r="Y1675" t="s">
        <v>45</v>
      </c>
      <c r="Z1675" t="s">
        <v>74</v>
      </c>
      <c r="AH1675" t="s">
        <v>75</v>
      </c>
      <c r="AI1675">
        <v>0</v>
      </c>
      <c r="AJ1675" s="15"/>
      <c r="AK1675" t="s">
        <v>45</v>
      </c>
      <c r="AL1675" s="16"/>
      <c r="AR1675" s="18" t="str">
        <f>IFERROR(VLOOKUP(K1675,[1]POP!$F:$J,1,0),M1675)</f>
        <v>MAKARY</v>
      </c>
      <c r="AS1675" s="18" t="str">
        <f t="shared" si="131"/>
        <v>BIAMO</v>
      </c>
      <c r="AT1675" s="19">
        <f t="shared" si="134"/>
        <v>0</v>
      </c>
      <c r="AU1675" s="19">
        <f t="shared" ca="1" si="133"/>
        <v>1</v>
      </c>
    </row>
    <row r="1676" spans="1:47" x14ac:dyDescent="0.3">
      <c r="A1676" t="s">
        <v>2474</v>
      </c>
      <c r="B1676" t="str">
        <f t="shared" si="130"/>
        <v>S34_2026</v>
      </c>
      <c r="C1676" t="str">
        <f t="shared" si="132"/>
        <v>S34_2026</v>
      </c>
      <c r="E1676" t="s">
        <v>1881</v>
      </c>
      <c r="F1676">
        <v>36</v>
      </c>
      <c r="G1676" t="s">
        <v>55</v>
      </c>
      <c r="H1676" t="s">
        <v>70</v>
      </c>
      <c r="I1676" t="s">
        <v>2475</v>
      </c>
      <c r="J1676" t="s">
        <v>140</v>
      </c>
      <c r="K1676" t="s">
        <v>116</v>
      </c>
      <c r="L1676" t="s">
        <v>140</v>
      </c>
      <c r="M1676" t="s">
        <v>116</v>
      </c>
      <c r="N1676" t="s">
        <v>45</v>
      </c>
      <c r="O1676" t="s">
        <v>45</v>
      </c>
      <c r="P1676">
        <v>3</v>
      </c>
      <c r="Q1676" s="7">
        <v>46255</v>
      </c>
      <c r="R1676" s="7">
        <v>46256</v>
      </c>
      <c r="S1676" s="7">
        <v>46256</v>
      </c>
      <c r="T1676" t="s">
        <v>45</v>
      </c>
      <c r="V1676" t="s">
        <v>141</v>
      </c>
      <c r="W1676" t="s">
        <v>45</v>
      </c>
      <c r="X1676" t="s">
        <v>74</v>
      </c>
      <c r="Y1676" t="s">
        <v>45</v>
      </c>
      <c r="Z1676" t="s">
        <v>74</v>
      </c>
      <c r="AH1676" t="s">
        <v>75</v>
      </c>
      <c r="AI1676">
        <v>0</v>
      </c>
      <c r="AJ1676" s="15"/>
      <c r="AK1676" t="s">
        <v>45</v>
      </c>
      <c r="AL1676" s="16"/>
      <c r="AR1676" s="18" t="str">
        <f>IFERROR(VLOOKUP(K1676,[1]POP!$F:$J,1,0),M1676)</f>
        <v>MAKARY</v>
      </c>
      <c r="AS1676" s="18" t="str">
        <f t="shared" si="131"/>
        <v>BIAMO</v>
      </c>
      <c r="AT1676" s="19">
        <f t="shared" si="134"/>
        <v>0</v>
      </c>
      <c r="AU1676" s="19">
        <f t="shared" ca="1" si="133"/>
        <v>1</v>
      </c>
    </row>
    <row r="1677" spans="1:47" x14ac:dyDescent="0.3">
      <c r="A1677" t="s">
        <v>2476</v>
      </c>
      <c r="B1677" t="str">
        <f t="shared" si="130"/>
        <v>S34_2026</v>
      </c>
      <c r="C1677" t="str">
        <f t="shared" si="132"/>
        <v>S34_2026</v>
      </c>
      <c r="E1677" t="s">
        <v>1881</v>
      </c>
      <c r="F1677">
        <v>28</v>
      </c>
      <c r="G1677" t="s">
        <v>55</v>
      </c>
      <c r="H1677" t="s">
        <v>70</v>
      </c>
      <c r="I1677" t="s">
        <v>2475</v>
      </c>
      <c r="J1677" t="s">
        <v>140</v>
      </c>
      <c r="K1677" t="s">
        <v>116</v>
      </c>
      <c r="L1677" t="s">
        <v>140</v>
      </c>
      <c r="M1677" t="s">
        <v>116</v>
      </c>
      <c r="N1677" t="s">
        <v>45</v>
      </c>
      <c r="O1677" t="s">
        <v>45</v>
      </c>
      <c r="P1677">
        <v>2</v>
      </c>
      <c r="Q1677" s="7">
        <v>46256</v>
      </c>
      <c r="R1677" s="7">
        <v>46256</v>
      </c>
      <c r="S1677" s="7">
        <v>46256</v>
      </c>
      <c r="T1677" t="s">
        <v>45</v>
      </c>
      <c r="V1677" t="s">
        <v>141</v>
      </c>
      <c r="W1677" t="s">
        <v>45</v>
      </c>
      <c r="X1677" t="s">
        <v>74</v>
      </c>
      <c r="Y1677" t="s">
        <v>45</v>
      </c>
      <c r="Z1677" t="s">
        <v>74</v>
      </c>
      <c r="AH1677" t="s">
        <v>75</v>
      </c>
      <c r="AI1677">
        <v>0</v>
      </c>
      <c r="AJ1677" s="15"/>
      <c r="AK1677" t="s">
        <v>45</v>
      </c>
      <c r="AL1677" s="16"/>
      <c r="AR1677" s="18" t="str">
        <f>IFERROR(VLOOKUP(K1677,[1]POP!$F:$J,1,0),M1677)</f>
        <v>MAKARY</v>
      </c>
      <c r="AS1677" s="18" t="str">
        <f t="shared" si="131"/>
        <v>BIAMO</v>
      </c>
      <c r="AT1677" s="19">
        <f t="shared" si="134"/>
        <v>0</v>
      </c>
      <c r="AU1677" s="19">
        <f t="shared" ca="1" si="133"/>
        <v>1</v>
      </c>
    </row>
    <row r="1678" spans="1:47" x14ac:dyDescent="0.3">
      <c r="A1678" t="s">
        <v>2477</v>
      </c>
      <c r="B1678" t="str">
        <f t="shared" si="130"/>
        <v>S33_2026</v>
      </c>
      <c r="C1678" t="str">
        <f t="shared" si="132"/>
        <v>S33_2026</v>
      </c>
      <c r="E1678" t="s">
        <v>143</v>
      </c>
      <c r="F1678">
        <v>6</v>
      </c>
      <c r="G1678" t="s">
        <v>55</v>
      </c>
      <c r="H1678" t="s">
        <v>85</v>
      </c>
      <c r="I1678" t="s">
        <v>851</v>
      </c>
      <c r="J1678" t="s">
        <v>851</v>
      </c>
      <c r="K1678" t="s">
        <v>146</v>
      </c>
      <c r="L1678" t="s">
        <v>851</v>
      </c>
      <c r="M1678" t="s">
        <v>146</v>
      </c>
      <c r="N1678" t="s">
        <v>45</v>
      </c>
      <c r="O1678" t="s">
        <v>45</v>
      </c>
      <c r="P1678">
        <v>3</v>
      </c>
      <c r="Q1678" s="7">
        <v>46244</v>
      </c>
      <c r="R1678" s="7">
        <v>46244</v>
      </c>
      <c r="S1678" s="7">
        <v>46244</v>
      </c>
      <c r="T1678" t="s">
        <v>45</v>
      </c>
      <c r="V1678" t="s">
        <v>851</v>
      </c>
      <c r="W1678" t="s">
        <v>45</v>
      </c>
      <c r="X1678" t="s">
        <v>45</v>
      </c>
      <c r="Y1678" t="s">
        <v>45</v>
      </c>
      <c r="Z1678" t="s">
        <v>45</v>
      </c>
      <c r="AH1678" t="s">
        <v>75</v>
      </c>
      <c r="AI1678">
        <v>0</v>
      </c>
      <c r="AJ1678" s="15"/>
      <c r="AK1678" t="s">
        <v>74</v>
      </c>
      <c r="AL1678" s="16"/>
      <c r="AR1678" s="18" t="str">
        <f>IFERROR(VLOOKUP(K1678,[1]POP!$F:$J,1,0),M1678)</f>
        <v>KOLOFATA</v>
      </c>
      <c r="AS1678" s="18" t="str">
        <f t="shared" si="131"/>
        <v>TOLKOMARI</v>
      </c>
      <c r="AT1678" s="19">
        <f t="shared" si="134"/>
        <v>0</v>
      </c>
      <c r="AU1678" s="19">
        <f t="shared" ca="1" si="133"/>
        <v>2</v>
      </c>
    </row>
    <row r="1679" spans="1:47" x14ac:dyDescent="0.3">
      <c r="A1679" t="s">
        <v>2478</v>
      </c>
      <c r="B1679" t="str">
        <f t="shared" si="130"/>
        <v>S33_2026</v>
      </c>
      <c r="C1679" t="str">
        <f t="shared" si="132"/>
        <v>S33_2026</v>
      </c>
      <c r="E1679" t="s">
        <v>143</v>
      </c>
      <c r="F1679">
        <v>12</v>
      </c>
      <c r="G1679" t="s">
        <v>40</v>
      </c>
      <c r="H1679" t="s">
        <v>85</v>
      </c>
      <c r="I1679" t="s">
        <v>851</v>
      </c>
      <c r="J1679" t="s">
        <v>851</v>
      </c>
      <c r="K1679" t="s">
        <v>146</v>
      </c>
      <c r="L1679" t="s">
        <v>851</v>
      </c>
      <c r="M1679" t="s">
        <v>146</v>
      </c>
      <c r="N1679" t="s">
        <v>45</v>
      </c>
      <c r="O1679" t="s">
        <v>45</v>
      </c>
      <c r="P1679">
        <v>3</v>
      </c>
      <c r="Q1679" s="7">
        <v>46246</v>
      </c>
      <c r="R1679" s="7">
        <v>46244</v>
      </c>
      <c r="S1679" s="7">
        <v>46244</v>
      </c>
      <c r="T1679" t="s">
        <v>45</v>
      </c>
      <c r="V1679" t="s">
        <v>851</v>
      </c>
      <c r="W1679" t="s">
        <v>45</v>
      </c>
      <c r="X1679" t="s">
        <v>45</v>
      </c>
      <c r="Y1679" t="s">
        <v>45</v>
      </c>
      <c r="Z1679" t="s">
        <v>45</v>
      </c>
      <c r="AF1679">
        <v>2</v>
      </c>
      <c r="AH1679" t="s">
        <v>75</v>
      </c>
      <c r="AI1679">
        <v>1</v>
      </c>
      <c r="AJ1679" s="15"/>
      <c r="AK1679" t="s">
        <v>74</v>
      </c>
      <c r="AL1679" s="16"/>
      <c r="AR1679" s="18" t="str">
        <f>IFERROR(VLOOKUP(K1679,[1]POP!$F:$J,1,0),M1679)</f>
        <v>KOLOFATA</v>
      </c>
      <c r="AS1679" s="18" t="str">
        <f t="shared" si="131"/>
        <v>TOLKOMARI</v>
      </c>
      <c r="AT1679" s="19">
        <f t="shared" si="134"/>
        <v>2</v>
      </c>
      <c r="AU1679" s="19">
        <f t="shared" ca="1" si="133"/>
        <v>2</v>
      </c>
    </row>
    <row r="1680" spans="1:47" x14ac:dyDescent="0.3">
      <c r="A1680" t="s">
        <v>2479</v>
      </c>
      <c r="B1680" t="str">
        <f t="shared" si="130"/>
        <v>S33_2026</v>
      </c>
      <c r="C1680" t="str">
        <f t="shared" si="132"/>
        <v>S33_2026</v>
      </c>
      <c r="E1680" t="s">
        <v>143</v>
      </c>
      <c r="F1680">
        <v>5</v>
      </c>
      <c r="G1680" t="s">
        <v>55</v>
      </c>
      <c r="H1680" t="s">
        <v>85</v>
      </c>
      <c r="I1680" t="s">
        <v>851</v>
      </c>
      <c r="J1680" t="s">
        <v>851</v>
      </c>
      <c r="K1680" t="s">
        <v>146</v>
      </c>
      <c r="L1680" t="s">
        <v>851</v>
      </c>
      <c r="M1680" t="s">
        <v>146</v>
      </c>
      <c r="N1680" t="s">
        <v>45</v>
      </c>
      <c r="O1680" t="s">
        <v>45</v>
      </c>
      <c r="P1680">
        <v>3</v>
      </c>
      <c r="Q1680" s="7">
        <v>46246</v>
      </c>
      <c r="R1680" s="7">
        <v>46244</v>
      </c>
      <c r="S1680" s="7">
        <v>46244</v>
      </c>
      <c r="T1680" t="s">
        <v>45</v>
      </c>
      <c r="V1680" t="s">
        <v>851</v>
      </c>
      <c r="W1680" t="s">
        <v>45</v>
      </c>
      <c r="X1680" t="s">
        <v>45</v>
      </c>
      <c r="Y1680" t="s">
        <v>45</v>
      </c>
      <c r="Z1680" t="s">
        <v>45</v>
      </c>
      <c r="AF1680">
        <v>2</v>
      </c>
      <c r="AH1680" t="s">
        <v>75</v>
      </c>
      <c r="AI1680">
        <v>1</v>
      </c>
      <c r="AJ1680" s="15"/>
      <c r="AK1680" t="s">
        <v>74</v>
      </c>
      <c r="AL1680" s="16"/>
      <c r="AR1680" s="18" t="str">
        <f>IFERROR(VLOOKUP(K1680,[1]POP!$F:$J,1,0),M1680)</f>
        <v>KOLOFATA</v>
      </c>
      <c r="AS1680" s="18" t="str">
        <f t="shared" si="131"/>
        <v>TOLKOMARI</v>
      </c>
      <c r="AT1680" s="19">
        <f t="shared" si="134"/>
        <v>2</v>
      </c>
      <c r="AU1680" s="19">
        <f t="shared" ca="1" si="133"/>
        <v>2</v>
      </c>
    </row>
    <row r="1681" spans="1:47" x14ac:dyDescent="0.3">
      <c r="A1681" t="s">
        <v>2480</v>
      </c>
      <c r="B1681" t="str">
        <f t="shared" si="130"/>
        <v>S33_2026</v>
      </c>
      <c r="C1681" t="str">
        <f t="shared" si="132"/>
        <v>S33_2026</v>
      </c>
      <c r="E1681" t="s">
        <v>143</v>
      </c>
      <c r="F1681">
        <v>8</v>
      </c>
      <c r="G1681" t="s">
        <v>40</v>
      </c>
      <c r="H1681" t="s">
        <v>85</v>
      </c>
      <c r="I1681" t="s">
        <v>851</v>
      </c>
      <c r="J1681" t="s">
        <v>851</v>
      </c>
      <c r="K1681" t="s">
        <v>146</v>
      </c>
      <c r="L1681" t="s">
        <v>851</v>
      </c>
      <c r="M1681" t="s">
        <v>146</v>
      </c>
      <c r="N1681" t="s">
        <v>45</v>
      </c>
      <c r="O1681" t="s">
        <v>45</v>
      </c>
      <c r="P1681">
        <v>3</v>
      </c>
      <c r="Q1681" s="7">
        <v>46248</v>
      </c>
      <c r="R1681" s="7">
        <v>46244</v>
      </c>
      <c r="S1681" s="7">
        <v>46244</v>
      </c>
      <c r="T1681" t="s">
        <v>45</v>
      </c>
      <c r="V1681" t="s">
        <v>851</v>
      </c>
      <c r="W1681" t="s">
        <v>45</v>
      </c>
      <c r="X1681" t="s">
        <v>45</v>
      </c>
      <c r="Y1681" t="s">
        <v>45</v>
      </c>
      <c r="Z1681" t="s">
        <v>45</v>
      </c>
      <c r="AF1681">
        <v>2</v>
      </c>
      <c r="AH1681" t="s">
        <v>75</v>
      </c>
      <c r="AI1681">
        <v>1</v>
      </c>
      <c r="AJ1681" s="15"/>
      <c r="AK1681" t="s">
        <v>74</v>
      </c>
      <c r="AL1681" s="16"/>
      <c r="AR1681" s="18" t="str">
        <f>IFERROR(VLOOKUP(K1681,[1]POP!$F:$J,1,0),M1681)</f>
        <v>KOLOFATA</v>
      </c>
      <c r="AS1681" s="18" t="str">
        <f t="shared" si="131"/>
        <v>TOLKOMARI</v>
      </c>
      <c r="AT1681" s="19">
        <f t="shared" si="134"/>
        <v>2</v>
      </c>
      <c r="AU1681" s="19">
        <f t="shared" ca="1" si="133"/>
        <v>2</v>
      </c>
    </row>
    <row r="1682" spans="1:47" x14ac:dyDescent="0.3">
      <c r="A1682" t="s">
        <v>2481</v>
      </c>
      <c r="B1682" t="str">
        <f t="shared" si="130"/>
        <v>S33_2026</v>
      </c>
      <c r="C1682" t="str">
        <f t="shared" si="132"/>
        <v>S33_2026</v>
      </c>
      <c r="E1682" t="s">
        <v>143</v>
      </c>
      <c r="F1682">
        <v>13</v>
      </c>
      <c r="G1682" t="s">
        <v>55</v>
      </c>
      <c r="H1682" t="s">
        <v>85</v>
      </c>
      <c r="I1682" t="s">
        <v>851</v>
      </c>
      <c r="J1682" t="s">
        <v>851</v>
      </c>
      <c r="K1682" t="s">
        <v>146</v>
      </c>
      <c r="L1682" t="s">
        <v>851</v>
      </c>
      <c r="M1682" t="s">
        <v>146</v>
      </c>
      <c r="N1682" t="s">
        <v>45</v>
      </c>
      <c r="O1682" t="s">
        <v>45</v>
      </c>
      <c r="P1682">
        <v>3</v>
      </c>
      <c r="Q1682" s="7">
        <v>46249</v>
      </c>
      <c r="R1682" s="7">
        <v>46244</v>
      </c>
      <c r="S1682" s="7">
        <v>46244</v>
      </c>
      <c r="T1682" t="s">
        <v>45</v>
      </c>
      <c r="V1682" t="s">
        <v>851</v>
      </c>
      <c r="W1682" t="s">
        <v>45</v>
      </c>
      <c r="X1682" t="s">
        <v>45</v>
      </c>
      <c r="Y1682" t="s">
        <v>45</v>
      </c>
      <c r="Z1682" t="s">
        <v>45</v>
      </c>
      <c r="AH1682" t="s">
        <v>75</v>
      </c>
      <c r="AI1682">
        <v>0</v>
      </c>
      <c r="AJ1682" s="15"/>
      <c r="AK1682" t="s">
        <v>74</v>
      </c>
      <c r="AL1682" s="16"/>
      <c r="AR1682" s="18" t="str">
        <f>IFERROR(VLOOKUP(K1682,[1]POP!$F:$J,1,0),M1682)</f>
        <v>KOLOFATA</v>
      </c>
      <c r="AS1682" s="18" t="str">
        <f t="shared" si="131"/>
        <v>TOLKOMARI</v>
      </c>
      <c r="AT1682" s="19">
        <f t="shared" si="134"/>
        <v>0</v>
      </c>
      <c r="AU1682" s="19">
        <f t="shared" ca="1" si="133"/>
        <v>2</v>
      </c>
    </row>
    <row r="1683" spans="1:47" x14ac:dyDescent="0.3">
      <c r="A1683" t="s">
        <v>2482</v>
      </c>
      <c r="B1683" t="str">
        <f t="shared" si="130"/>
        <v>S33_2026</v>
      </c>
      <c r="C1683" t="str">
        <f t="shared" si="132"/>
        <v>S33_2026</v>
      </c>
      <c r="E1683" t="s">
        <v>143</v>
      </c>
      <c r="F1683">
        <v>40</v>
      </c>
      <c r="G1683" t="s">
        <v>40</v>
      </c>
      <c r="H1683" t="s">
        <v>77</v>
      </c>
      <c r="I1683" t="s">
        <v>1797</v>
      </c>
      <c r="J1683" t="s">
        <v>1797</v>
      </c>
      <c r="K1683" t="s">
        <v>146</v>
      </c>
      <c r="L1683" t="s">
        <v>1797</v>
      </c>
      <c r="M1683" t="s">
        <v>146</v>
      </c>
      <c r="N1683" t="s">
        <v>45</v>
      </c>
      <c r="O1683" t="s">
        <v>45</v>
      </c>
      <c r="P1683">
        <v>3</v>
      </c>
      <c r="Q1683" s="7">
        <v>46246</v>
      </c>
      <c r="R1683" s="7">
        <v>46246</v>
      </c>
      <c r="S1683" s="7">
        <v>46246</v>
      </c>
      <c r="T1683" t="s">
        <v>45</v>
      </c>
      <c r="V1683" t="s">
        <v>1205</v>
      </c>
      <c r="W1683" t="s">
        <v>45</v>
      </c>
      <c r="X1683" t="s">
        <v>45</v>
      </c>
      <c r="Y1683" t="s">
        <v>45</v>
      </c>
      <c r="Z1683" t="s">
        <v>45</v>
      </c>
      <c r="AF1683">
        <v>2</v>
      </c>
      <c r="AH1683" t="s">
        <v>75</v>
      </c>
      <c r="AI1683">
        <v>1</v>
      </c>
      <c r="AJ1683" s="15"/>
      <c r="AK1683" t="s">
        <v>74</v>
      </c>
      <c r="AL1683" s="16"/>
      <c r="AR1683" s="18" t="str">
        <f>IFERROR(VLOOKUP(K1683,[1]POP!$F:$J,1,0),M1683)</f>
        <v>KOLOFATA</v>
      </c>
      <c r="AS1683" s="18" t="str">
        <f t="shared" si="131"/>
        <v>AMCHIDé</v>
      </c>
      <c r="AT1683" s="19">
        <f t="shared" si="134"/>
        <v>2</v>
      </c>
      <c r="AU1683" s="19">
        <f t="shared" ca="1" si="133"/>
        <v>1</v>
      </c>
    </row>
    <row r="1684" spans="1:47" x14ac:dyDescent="0.3">
      <c r="A1684" t="s">
        <v>2483</v>
      </c>
      <c r="B1684" t="str">
        <f t="shared" si="130"/>
        <v>S33_2026</v>
      </c>
      <c r="C1684" t="str">
        <f t="shared" si="132"/>
        <v>S33_2026</v>
      </c>
      <c r="E1684" t="s">
        <v>143</v>
      </c>
      <c r="F1684">
        <v>20</v>
      </c>
      <c r="G1684" t="s">
        <v>40</v>
      </c>
      <c r="H1684" t="s">
        <v>77</v>
      </c>
      <c r="I1684" t="s">
        <v>1797</v>
      </c>
      <c r="J1684" t="s">
        <v>1797</v>
      </c>
      <c r="K1684" t="s">
        <v>146</v>
      </c>
      <c r="L1684" t="s">
        <v>1797</v>
      </c>
      <c r="M1684" t="s">
        <v>146</v>
      </c>
      <c r="N1684" t="s">
        <v>45</v>
      </c>
      <c r="O1684" t="s">
        <v>45</v>
      </c>
      <c r="P1684">
        <v>3</v>
      </c>
      <c r="Q1684" s="7">
        <v>46246</v>
      </c>
      <c r="R1684" s="7">
        <v>46246</v>
      </c>
      <c r="S1684" s="7">
        <v>46246</v>
      </c>
      <c r="T1684" t="s">
        <v>45</v>
      </c>
      <c r="V1684" t="s">
        <v>1205</v>
      </c>
      <c r="W1684" t="s">
        <v>45</v>
      </c>
      <c r="X1684" t="s">
        <v>45</v>
      </c>
      <c r="Y1684" t="s">
        <v>45</v>
      </c>
      <c r="Z1684" t="s">
        <v>45</v>
      </c>
      <c r="AH1684" t="s">
        <v>75</v>
      </c>
      <c r="AI1684">
        <v>0</v>
      </c>
      <c r="AJ1684" s="15"/>
      <c r="AK1684" t="s">
        <v>74</v>
      </c>
      <c r="AL1684" s="16"/>
      <c r="AR1684" s="18" t="str">
        <f>IFERROR(VLOOKUP(K1684,[1]POP!$F:$J,1,0),M1684)</f>
        <v>KOLOFATA</v>
      </c>
      <c r="AS1684" s="18" t="str">
        <f t="shared" si="131"/>
        <v>AMCHIDé</v>
      </c>
      <c r="AT1684" s="19">
        <f t="shared" si="134"/>
        <v>0</v>
      </c>
      <c r="AU1684" s="19">
        <f t="shared" ca="1" si="133"/>
        <v>1</v>
      </c>
    </row>
    <row r="1685" spans="1:47" x14ac:dyDescent="0.3">
      <c r="A1685" t="s">
        <v>2484</v>
      </c>
      <c r="B1685" t="str">
        <f t="shared" si="130"/>
        <v>S33_2026</v>
      </c>
      <c r="C1685" t="str">
        <f t="shared" si="132"/>
        <v>S33_2026</v>
      </c>
      <c r="E1685" t="s">
        <v>143</v>
      </c>
      <c r="F1685">
        <v>30</v>
      </c>
      <c r="G1685" t="s">
        <v>40</v>
      </c>
      <c r="H1685" t="s">
        <v>1924</v>
      </c>
      <c r="I1685" t="s">
        <v>2485</v>
      </c>
      <c r="J1685" t="s">
        <v>146</v>
      </c>
      <c r="K1685" t="s">
        <v>146</v>
      </c>
      <c r="L1685" t="s">
        <v>146</v>
      </c>
      <c r="M1685" t="s">
        <v>146</v>
      </c>
      <c r="N1685" t="s">
        <v>45</v>
      </c>
      <c r="O1685" t="s">
        <v>45</v>
      </c>
      <c r="P1685">
        <v>3</v>
      </c>
      <c r="Q1685" s="7">
        <v>46244</v>
      </c>
      <c r="R1685" s="7">
        <v>46244</v>
      </c>
      <c r="S1685" s="7">
        <v>46244</v>
      </c>
      <c r="T1685" t="s">
        <v>45</v>
      </c>
      <c r="V1685" t="s">
        <v>742</v>
      </c>
      <c r="W1685" t="s">
        <v>45</v>
      </c>
      <c r="X1685" t="s">
        <v>45</v>
      </c>
      <c r="Y1685" t="s">
        <v>45</v>
      </c>
      <c r="Z1685" t="s">
        <v>45</v>
      </c>
      <c r="AF1685">
        <v>2</v>
      </c>
      <c r="AH1685" t="s">
        <v>75</v>
      </c>
      <c r="AI1685">
        <v>1</v>
      </c>
      <c r="AJ1685" s="15"/>
      <c r="AK1685" t="s">
        <v>74</v>
      </c>
      <c r="AL1685" s="16"/>
      <c r="AR1685" s="18" t="str">
        <f>IFERROR(VLOOKUP(K1685,[1]POP!$F:$J,1,0),M1685)</f>
        <v>KOLOFATA</v>
      </c>
      <c r="AS1685" s="18" t="str">
        <f t="shared" si="131"/>
        <v>KOLOFATA</v>
      </c>
      <c r="AT1685" s="19">
        <f t="shared" si="134"/>
        <v>2</v>
      </c>
      <c r="AU1685" s="19">
        <f t="shared" ca="1" si="133"/>
        <v>2</v>
      </c>
    </row>
    <row r="1686" spans="1:47" x14ac:dyDescent="0.3">
      <c r="A1686" t="s">
        <v>2486</v>
      </c>
      <c r="B1686" t="str">
        <f t="shared" si="130"/>
        <v>S33_2026</v>
      </c>
      <c r="C1686" t="str">
        <f t="shared" si="132"/>
        <v>S33_2026</v>
      </c>
      <c r="E1686" t="s">
        <v>143</v>
      </c>
      <c r="F1686">
        <v>9</v>
      </c>
      <c r="G1686" t="s">
        <v>40</v>
      </c>
      <c r="H1686" t="s">
        <v>111</v>
      </c>
      <c r="I1686" t="s">
        <v>2485</v>
      </c>
      <c r="J1686" t="s">
        <v>146</v>
      </c>
      <c r="K1686" t="s">
        <v>146</v>
      </c>
      <c r="L1686" t="s">
        <v>146</v>
      </c>
      <c r="M1686" t="s">
        <v>146</v>
      </c>
      <c r="N1686" t="s">
        <v>45</v>
      </c>
      <c r="O1686" t="s">
        <v>45</v>
      </c>
      <c r="P1686">
        <v>3</v>
      </c>
      <c r="Q1686" s="7">
        <v>46244</v>
      </c>
      <c r="R1686" s="7">
        <v>46244</v>
      </c>
      <c r="S1686" s="7">
        <v>46244</v>
      </c>
      <c r="T1686" t="s">
        <v>45</v>
      </c>
      <c r="V1686" t="s">
        <v>742</v>
      </c>
      <c r="W1686" t="s">
        <v>45</v>
      </c>
      <c r="X1686" t="s">
        <v>45</v>
      </c>
      <c r="Y1686" t="s">
        <v>45</v>
      </c>
      <c r="Z1686" t="s">
        <v>45</v>
      </c>
      <c r="AF1686">
        <v>2</v>
      </c>
      <c r="AH1686" t="s">
        <v>75</v>
      </c>
      <c r="AI1686">
        <v>1</v>
      </c>
      <c r="AJ1686" s="15"/>
      <c r="AK1686" t="s">
        <v>74</v>
      </c>
      <c r="AL1686" s="16"/>
      <c r="AR1686" s="18" t="str">
        <f>IFERROR(VLOOKUP(K1686,[1]POP!$F:$J,1,0),M1686)</f>
        <v>KOLOFATA</v>
      </c>
      <c r="AS1686" s="18" t="str">
        <f t="shared" si="131"/>
        <v>KOLOFATA</v>
      </c>
      <c r="AT1686" s="19">
        <f t="shared" si="134"/>
        <v>2</v>
      </c>
      <c r="AU1686" s="19">
        <f t="shared" ca="1" si="133"/>
        <v>2</v>
      </c>
    </row>
    <row r="1687" spans="1:47" x14ac:dyDescent="0.3">
      <c r="A1687" t="s">
        <v>2487</v>
      </c>
      <c r="B1687" t="str">
        <f t="shared" si="130"/>
        <v>S33_2026</v>
      </c>
      <c r="C1687" t="str">
        <f t="shared" si="132"/>
        <v>S33_2026</v>
      </c>
      <c r="E1687" t="s">
        <v>143</v>
      </c>
      <c r="F1687">
        <v>2</v>
      </c>
      <c r="G1687" t="s">
        <v>55</v>
      </c>
      <c r="H1687" t="s">
        <v>111</v>
      </c>
      <c r="I1687" t="s">
        <v>2485</v>
      </c>
      <c r="J1687" t="s">
        <v>146</v>
      </c>
      <c r="K1687" t="s">
        <v>146</v>
      </c>
      <c r="L1687" t="s">
        <v>146</v>
      </c>
      <c r="M1687" t="s">
        <v>146</v>
      </c>
      <c r="N1687" t="s">
        <v>45</v>
      </c>
      <c r="O1687" t="s">
        <v>45</v>
      </c>
      <c r="P1687">
        <v>3</v>
      </c>
      <c r="Q1687" s="7">
        <v>46244</v>
      </c>
      <c r="R1687" s="7">
        <v>46244</v>
      </c>
      <c r="S1687" s="7">
        <v>46244</v>
      </c>
      <c r="T1687" t="s">
        <v>45</v>
      </c>
      <c r="V1687" t="s">
        <v>742</v>
      </c>
      <c r="W1687" t="s">
        <v>45</v>
      </c>
      <c r="X1687" t="s">
        <v>45</v>
      </c>
      <c r="Y1687" t="s">
        <v>45</v>
      </c>
      <c r="Z1687" t="s">
        <v>45</v>
      </c>
      <c r="AH1687" t="s">
        <v>75</v>
      </c>
      <c r="AI1687">
        <v>0</v>
      </c>
      <c r="AJ1687" s="15"/>
      <c r="AK1687" t="s">
        <v>74</v>
      </c>
      <c r="AL1687" s="16"/>
      <c r="AR1687" s="18" t="str">
        <f>IFERROR(VLOOKUP(K1687,[1]POP!$F:$J,1,0),M1687)</f>
        <v>KOLOFATA</v>
      </c>
      <c r="AS1687" s="18" t="str">
        <f t="shared" si="131"/>
        <v>KOLOFATA</v>
      </c>
      <c r="AT1687" s="19">
        <f t="shared" si="134"/>
        <v>0</v>
      </c>
      <c r="AU1687" s="19">
        <f t="shared" ca="1" si="133"/>
        <v>2</v>
      </c>
    </row>
    <row r="1688" spans="1:47" x14ac:dyDescent="0.3">
      <c r="A1688" t="s">
        <v>2488</v>
      </c>
      <c r="B1688" t="str">
        <f t="shared" si="130"/>
        <v>S33_2026</v>
      </c>
      <c r="C1688" t="str">
        <f t="shared" si="132"/>
        <v>S33_2026</v>
      </c>
      <c r="E1688" t="s">
        <v>143</v>
      </c>
      <c r="F1688">
        <v>0.33333333333333331</v>
      </c>
      <c r="G1688" t="s">
        <v>55</v>
      </c>
      <c r="H1688" t="s">
        <v>111</v>
      </c>
      <c r="I1688" t="s">
        <v>1952</v>
      </c>
      <c r="J1688" t="s">
        <v>146</v>
      </c>
      <c r="K1688" t="s">
        <v>146</v>
      </c>
      <c r="L1688" t="s">
        <v>146</v>
      </c>
      <c r="M1688" t="s">
        <v>146</v>
      </c>
      <c r="N1688" t="s">
        <v>45</v>
      </c>
      <c r="O1688" t="s">
        <v>45</v>
      </c>
      <c r="P1688">
        <v>3</v>
      </c>
      <c r="Q1688" s="7">
        <v>46244</v>
      </c>
      <c r="R1688" s="7">
        <v>46244</v>
      </c>
      <c r="S1688" s="7">
        <v>46244</v>
      </c>
      <c r="T1688" t="s">
        <v>45</v>
      </c>
      <c r="V1688" t="s">
        <v>742</v>
      </c>
      <c r="W1688" t="s">
        <v>45</v>
      </c>
      <c r="X1688" t="s">
        <v>45</v>
      </c>
      <c r="Y1688" t="s">
        <v>45</v>
      </c>
      <c r="Z1688" t="s">
        <v>45</v>
      </c>
      <c r="AH1688" t="s">
        <v>75</v>
      </c>
      <c r="AI1688">
        <v>0</v>
      </c>
      <c r="AJ1688" s="15"/>
      <c r="AK1688" t="s">
        <v>74</v>
      </c>
      <c r="AL1688" s="16"/>
      <c r="AR1688" s="18" t="str">
        <f>IFERROR(VLOOKUP(K1688,[1]POP!$F:$J,1,0),M1688)</f>
        <v>KOLOFATA</v>
      </c>
      <c r="AS1688" s="18" t="str">
        <f t="shared" si="131"/>
        <v>KOLOFATA</v>
      </c>
      <c r="AT1688" s="19">
        <f t="shared" si="134"/>
        <v>0</v>
      </c>
      <c r="AU1688" s="19">
        <f t="shared" ca="1" si="133"/>
        <v>2</v>
      </c>
    </row>
    <row r="1689" spans="1:47" x14ac:dyDescent="0.3">
      <c r="A1689" t="s">
        <v>2489</v>
      </c>
      <c r="B1689" t="str">
        <f t="shared" si="130"/>
        <v>S33_2026</v>
      </c>
      <c r="C1689" t="str">
        <f t="shared" si="132"/>
        <v>S33_2026</v>
      </c>
      <c r="E1689" t="s">
        <v>143</v>
      </c>
      <c r="F1689">
        <v>0.5</v>
      </c>
      <c r="G1689" t="s">
        <v>40</v>
      </c>
      <c r="H1689" t="s">
        <v>111</v>
      </c>
      <c r="I1689" t="s">
        <v>1952</v>
      </c>
      <c r="J1689" t="s">
        <v>146</v>
      </c>
      <c r="K1689" t="s">
        <v>146</v>
      </c>
      <c r="L1689" t="s">
        <v>146</v>
      </c>
      <c r="M1689" t="s">
        <v>146</v>
      </c>
      <c r="N1689" t="s">
        <v>45</v>
      </c>
      <c r="O1689" t="s">
        <v>45</v>
      </c>
      <c r="P1689">
        <v>3</v>
      </c>
      <c r="Q1689" s="7">
        <v>46244</v>
      </c>
      <c r="R1689" s="7">
        <v>46244</v>
      </c>
      <c r="S1689" s="7">
        <v>46244</v>
      </c>
      <c r="T1689" t="s">
        <v>45</v>
      </c>
      <c r="V1689" t="s">
        <v>742</v>
      </c>
      <c r="W1689" t="s">
        <v>45</v>
      </c>
      <c r="X1689" t="s">
        <v>45</v>
      </c>
      <c r="Y1689" t="s">
        <v>45</v>
      </c>
      <c r="Z1689" t="s">
        <v>45</v>
      </c>
      <c r="AF1689">
        <v>2</v>
      </c>
      <c r="AH1689" t="s">
        <v>75</v>
      </c>
      <c r="AI1689">
        <v>1</v>
      </c>
      <c r="AJ1689" s="15"/>
      <c r="AK1689" t="s">
        <v>74</v>
      </c>
      <c r="AL1689" s="16"/>
      <c r="AR1689" s="18" t="str">
        <f>IFERROR(VLOOKUP(K1689,[1]POP!$F:$J,1,0),M1689)</f>
        <v>KOLOFATA</v>
      </c>
      <c r="AS1689" s="18" t="str">
        <f t="shared" si="131"/>
        <v>KOLOFATA</v>
      </c>
      <c r="AT1689" s="19">
        <f t="shared" si="134"/>
        <v>2</v>
      </c>
      <c r="AU1689" s="19">
        <f t="shared" ca="1" si="133"/>
        <v>2</v>
      </c>
    </row>
    <row r="1690" spans="1:47" x14ac:dyDescent="0.3">
      <c r="A1690" t="s">
        <v>2490</v>
      </c>
      <c r="B1690" t="str">
        <f t="shared" si="130"/>
        <v>S33_2026</v>
      </c>
      <c r="C1690" t="str">
        <f t="shared" si="132"/>
        <v>S33_2026</v>
      </c>
      <c r="E1690" t="s">
        <v>143</v>
      </c>
      <c r="F1690">
        <v>8</v>
      </c>
      <c r="G1690" t="s">
        <v>40</v>
      </c>
      <c r="H1690" t="s">
        <v>111</v>
      </c>
      <c r="I1690" t="s">
        <v>2491</v>
      </c>
      <c r="J1690" t="s">
        <v>146</v>
      </c>
      <c r="K1690" t="s">
        <v>146</v>
      </c>
      <c r="L1690" t="s">
        <v>146</v>
      </c>
      <c r="M1690" t="s">
        <v>146</v>
      </c>
      <c r="N1690" t="s">
        <v>45</v>
      </c>
      <c r="O1690" t="s">
        <v>45</v>
      </c>
      <c r="P1690">
        <v>3</v>
      </c>
      <c r="Q1690" s="7">
        <v>46244</v>
      </c>
      <c r="R1690" s="7">
        <v>46244</v>
      </c>
      <c r="S1690" s="7">
        <v>46244</v>
      </c>
      <c r="T1690" t="s">
        <v>45</v>
      </c>
      <c r="V1690" t="s">
        <v>742</v>
      </c>
      <c r="W1690" t="s">
        <v>45</v>
      </c>
      <c r="X1690" t="s">
        <v>45</v>
      </c>
      <c r="Y1690" t="s">
        <v>45</v>
      </c>
      <c r="Z1690" t="s">
        <v>45</v>
      </c>
      <c r="AH1690" t="s">
        <v>75</v>
      </c>
      <c r="AI1690">
        <v>0</v>
      </c>
      <c r="AJ1690" s="15"/>
      <c r="AK1690" t="s">
        <v>74</v>
      </c>
      <c r="AL1690" s="16"/>
      <c r="AR1690" s="18" t="str">
        <f>IFERROR(VLOOKUP(K1690,[1]POP!$F:$J,1,0),M1690)</f>
        <v>KOLOFATA</v>
      </c>
      <c r="AS1690" s="18" t="str">
        <f t="shared" si="131"/>
        <v>KOLOFATA</v>
      </c>
      <c r="AT1690" s="19">
        <f t="shared" si="134"/>
        <v>0</v>
      </c>
      <c r="AU1690" s="19">
        <f t="shared" ca="1" si="133"/>
        <v>2</v>
      </c>
    </row>
    <row r="1691" spans="1:47" x14ac:dyDescent="0.3">
      <c r="A1691" t="s">
        <v>2492</v>
      </c>
      <c r="B1691" t="str">
        <f t="shared" si="130"/>
        <v>S33_2026</v>
      </c>
      <c r="C1691" t="str">
        <f t="shared" si="132"/>
        <v>S33_2026</v>
      </c>
      <c r="E1691" t="s">
        <v>143</v>
      </c>
      <c r="F1691">
        <v>3</v>
      </c>
      <c r="G1691" t="s">
        <v>55</v>
      </c>
      <c r="H1691" t="s">
        <v>111</v>
      </c>
      <c r="I1691" t="s">
        <v>1952</v>
      </c>
      <c r="J1691" t="s">
        <v>146</v>
      </c>
      <c r="K1691" t="s">
        <v>146</v>
      </c>
      <c r="L1691" t="s">
        <v>146</v>
      </c>
      <c r="M1691" t="s">
        <v>146</v>
      </c>
      <c r="N1691" t="s">
        <v>45</v>
      </c>
      <c r="O1691" t="s">
        <v>45</v>
      </c>
      <c r="P1691">
        <v>3</v>
      </c>
      <c r="Q1691" s="7">
        <v>46244</v>
      </c>
      <c r="R1691" s="7">
        <v>46244</v>
      </c>
      <c r="S1691" s="7">
        <v>46244</v>
      </c>
      <c r="T1691" t="s">
        <v>45</v>
      </c>
      <c r="V1691" t="s">
        <v>742</v>
      </c>
      <c r="W1691" t="s">
        <v>45</v>
      </c>
      <c r="X1691" t="s">
        <v>45</v>
      </c>
      <c r="Y1691" t="s">
        <v>45</v>
      </c>
      <c r="Z1691" t="s">
        <v>45</v>
      </c>
      <c r="AH1691" t="s">
        <v>75</v>
      </c>
      <c r="AI1691">
        <v>0</v>
      </c>
      <c r="AJ1691" s="15"/>
      <c r="AK1691" t="s">
        <v>74</v>
      </c>
      <c r="AL1691" s="16"/>
      <c r="AR1691" s="18" t="str">
        <f>IFERROR(VLOOKUP(K1691,[1]POP!$F:$J,1,0),M1691)</f>
        <v>KOLOFATA</v>
      </c>
      <c r="AS1691" s="18" t="str">
        <f t="shared" si="131"/>
        <v>KOLOFATA</v>
      </c>
      <c r="AT1691" s="19">
        <f t="shared" si="134"/>
        <v>0</v>
      </c>
      <c r="AU1691" s="19">
        <f t="shared" ca="1" si="133"/>
        <v>2</v>
      </c>
    </row>
    <row r="1692" spans="1:47" x14ac:dyDescent="0.3">
      <c r="A1692" t="s">
        <v>2493</v>
      </c>
      <c r="B1692" t="str">
        <f t="shared" si="130"/>
        <v>S33_2026</v>
      </c>
      <c r="C1692" t="str">
        <f t="shared" si="132"/>
        <v>S33_2026</v>
      </c>
      <c r="E1692" t="s">
        <v>143</v>
      </c>
      <c r="F1692">
        <v>7</v>
      </c>
      <c r="G1692" t="s">
        <v>40</v>
      </c>
      <c r="H1692" t="s">
        <v>111</v>
      </c>
      <c r="I1692" t="s">
        <v>2494</v>
      </c>
      <c r="J1692" t="s">
        <v>146</v>
      </c>
      <c r="K1692" t="s">
        <v>146</v>
      </c>
      <c r="L1692" t="s">
        <v>146</v>
      </c>
      <c r="M1692" t="s">
        <v>146</v>
      </c>
      <c r="N1692" t="s">
        <v>45</v>
      </c>
      <c r="O1692" t="s">
        <v>45</v>
      </c>
      <c r="P1692">
        <v>3</v>
      </c>
      <c r="Q1692" s="7">
        <v>46244</v>
      </c>
      <c r="R1692" s="7">
        <v>46244</v>
      </c>
      <c r="S1692" s="7">
        <v>46244</v>
      </c>
      <c r="T1692" t="s">
        <v>45</v>
      </c>
      <c r="V1692" t="s">
        <v>742</v>
      </c>
      <c r="W1692" t="s">
        <v>45</v>
      </c>
      <c r="X1692" t="s">
        <v>45</v>
      </c>
      <c r="Y1692" t="s">
        <v>45</v>
      </c>
      <c r="Z1692" t="s">
        <v>45</v>
      </c>
      <c r="AE1692" s="7">
        <v>46243</v>
      </c>
      <c r="AF1692">
        <v>2</v>
      </c>
      <c r="AH1692" t="s">
        <v>75</v>
      </c>
      <c r="AI1692">
        <v>1</v>
      </c>
      <c r="AJ1692" s="15"/>
      <c r="AK1692" t="s">
        <v>74</v>
      </c>
      <c r="AL1692" s="16"/>
      <c r="AR1692" s="18" t="str">
        <f>IFERROR(VLOOKUP(K1692,[1]POP!$F:$J,1,0),M1692)</f>
        <v>KOLOFATA</v>
      </c>
      <c r="AS1692" s="18" t="str">
        <f t="shared" si="131"/>
        <v>KOLOFATA</v>
      </c>
      <c r="AT1692" s="19">
        <f t="shared" si="134"/>
        <v>2</v>
      </c>
      <c r="AU1692" s="19">
        <f t="shared" ca="1" si="133"/>
        <v>2</v>
      </c>
    </row>
    <row r="1693" spans="1:47" x14ac:dyDescent="0.3">
      <c r="A1693" t="s">
        <v>2495</v>
      </c>
      <c r="B1693" t="str">
        <f t="shared" si="130"/>
        <v>S33_2026</v>
      </c>
      <c r="C1693" t="str">
        <f t="shared" si="132"/>
        <v>S33_2026</v>
      </c>
      <c r="E1693" t="s">
        <v>143</v>
      </c>
      <c r="F1693">
        <v>2</v>
      </c>
      <c r="G1693" t="s">
        <v>55</v>
      </c>
      <c r="H1693" t="s">
        <v>111</v>
      </c>
      <c r="I1693" t="s">
        <v>1954</v>
      </c>
      <c r="J1693" t="s">
        <v>146</v>
      </c>
      <c r="K1693" t="s">
        <v>146</v>
      </c>
      <c r="L1693" t="s">
        <v>146</v>
      </c>
      <c r="M1693" t="s">
        <v>146</v>
      </c>
      <c r="N1693" t="s">
        <v>45</v>
      </c>
      <c r="O1693" t="s">
        <v>45</v>
      </c>
      <c r="P1693">
        <v>3</v>
      </c>
      <c r="Q1693" s="7">
        <v>46245</v>
      </c>
      <c r="R1693" s="7">
        <v>46245</v>
      </c>
      <c r="S1693" s="7">
        <v>46245</v>
      </c>
      <c r="T1693" t="s">
        <v>45</v>
      </c>
      <c r="V1693" t="s">
        <v>742</v>
      </c>
      <c r="W1693" t="s">
        <v>45</v>
      </c>
      <c r="X1693" t="s">
        <v>45</v>
      </c>
      <c r="Y1693" t="s">
        <v>45</v>
      </c>
      <c r="Z1693" t="s">
        <v>45</v>
      </c>
      <c r="AH1693" t="s">
        <v>75</v>
      </c>
      <c r="AI1693">
        <v>0</v>
      </c>
      <c r="AJ1693" s="15"/>
      <c r="AK1693" t="s">
        <v>74</v>
      </c>
      <c r="AL1693" s="16"/>
      <c r="AR1693" s="18" t="str">
        <f>IFERROR(VLOOKUP(K1693,[1]POP!$F:$J,1,0),M1693)</f>
        <v>KOLOFATA</v>
      </c>
      <c r="AS1693" s="18" t="str">
        <f t="shared" si="131"/>
        <v>KOLOFATA</v>
      </c>
      <c r="AT1693" s="19">
        <f t="shared" si="134"/>
        <v>0</v>
      </c>
      <c r="AU1693" s="19">
        <f t="shared" ca="1" si="133"/>
        <v>2</v>
      </c>
    </row>
    <row r="1694" spans="1:47" x14ac:dyDescent="0.3">
      <c r="A1694" t="s">
        <v>2496</v>
      </c>
      <c r="B1694" t="str">
        <f t="shared" si="130"/>
        <v>S33_2026</v>
      </c>
      <c r="C1694" t="str">
        <f t="shared" si="132"/>
        <v>S33_2026</v>
      </c>
      <c r="E1694" t="s">
        <v>143</v>
      </c>
      <c r="F1694">
        <v>4</v>
      </c>
      <c r="G1694" t="s">
        <v>40</v>
      </c>
      <c r="H1694" t="s">
        <v>111</v>
      </c>
      <c r="I1694" t="s">
        <v>1954</v>
      </c>
      <c r="J1694" t="s">
        <v>146</v>
      </c>
      <c r="K1694" t="s">
        <v>146</v>
      </c>
      <c r="L1694" t="s">
        <v>146</v>
      </c>
      <c r="M1694" t="s">
        <v>146</v>
      </c>
      <c r="N1694" t="s">
        <v>45</v>
      </c>
      <c r="O1694" t="s">
        <v>45</v>
      </c>
      <c r="P1694">
        <v>3</v>
      </c>
      <c r="Q1694" s="7">
        <v>46245</v>
      </c>
      <c r="R1694" s="7">
        <v>46245</v>
      </c>
      <c r="S1694" s="7">
        <v>46245</v>
      </c>
      <c r="T1694" t="s">
        <v>45</v>
      </c>
      <c r="V1694" t="s">
        <v>742</v>
      </c>
      <c r="W1694" t="s">
        <v>45</v>
      </c>
      <c r="X1694" t="s">
        <v>45</v>
      </c>
      <c r="Y1694" t="s">
        <v>45</v>
      </c>
      <c r="Z1694" t="s">
        <v>45</v>
      </c>
      <c r="AH1694" t="s">
        <v>75</v>
      </c>
      <c r="AI1694">
        <v>0</v>
      </c>
      <c r="AJ1694" s="15"/>
      <c r="AK1694" t="s">
        <v>74</v>
      </c>
      <c r="AL1694" s="16"/>
      <c r="AR1694" s="18" t="str">
        <f>IFERROR(VLOOKUP(K1694,[1]POP!$F:$J,1,0),M1694)</f>
        <v>KOLOFATA</v>
      </c>
      <c r="AS1694" s="18" t="str">
        <f t="shared" si="131"/>
        <v>KOLOFATA</v>
      </c>
      <c r="AT1694" s="19">
        <f t="shared" si="134"/>
        <v>0</v>
      </c>
      <c r="AU1694" s="19">
        <f t="shared" ca="1" si="133"/>
        <v>2</v>
      </c>
    </row>
    <row r="1695" spans="1:47" x14ac:dyDescent="0.3">
      <c r="A1695" t="s">
        <v>2497</v>
      </c>
      <c r="B1695" t="str">
        <f t="shared" si="130"/>
        <v>S33_2026</v>
      </c>
      <c r="C1695" t="str">
        <f t="shared" si="132"/>
        <v>S33_2026</v>
      </c>
      <c r="E1695" t="s">
        <v>143</v>
      </c>
      <c r="F1695">
        <v>5</v>
      </c>
      <c r="G1695" t="s">
        <v>40</v>
      </c>
      <c r="H1695" t="s">
        <v>111</v>
      </c>
      <c r="I1695" t="s">
        <v>1954</v>
      </c>
      <c r="J1695" t="s">
        <v>146</v>
      </c>
      <c r="K1695" t="s">
        <v>146</v>
      </c>
      <c r="L1695" t="s">
        <v>146</v>
      </c>
      <c r="M1695" t="s">
        <v>146</v>
      </c>
      <c r="N1695" t="s">
        <v>45</v>
      </c>
      <c r="O1695" t="s">
        <v>45</v>
      </c>
      <c r="P1695">
        <v>3</v>
      </c>
      <c r="Q1695" s="7">
        <v>46245</v>
      </c>
      <c r="R1695" s="7">
        <v>46245</v>
      </c>
      <c r="S1695" s="7">
        <v>46245</v>
      </c>
      <c r="T1695" t="s">
        <v>45</v>
      </c>
      <c r="V1695" t="s">
        <v>742</v>
      </c>
      <c r="W1695" t="s">
        <v>45</v>
      </c>
      <c r="X1695" t="s">
        <v>45</v>
      </c>
      <c r="Y1695" t="s">
        <v>45</v>
      </c>
      <c r="Z1695" t="s">
        <v>45</v>
      </c>
      <c r="AE1695" s="7">
        <v>46259</v>
      </c>
      <c r="AF1695">
        <v>2</v>
      </c>
      <c r="AH1695" t="s">
        <v>75</v>
      </c>
      <c r="AI1695">
        <v>1</v>
      </c>
      <c r="AJ1695" s="15"/>
      <c r="AK1695" t="s">
        <v>74</v>
      </c>
      <c r="AL1695" s="16"/>
      <c r="AR1695" s="18" t="str">
        <f>IFERROR(VLOOKUP(K1695,[1]POP!$F:$J,1,0),M1695)</f>
        <v>KOLOFATA</v>
      </c>
      <c r="AS1695" s="18" t="str">
        <f t="shared" si="131"/>
        <v>KOLOFATA</v>
      </c>
      <c r="AT1695" s="19">
        <f t="shared" si="134"/>
        <v>2</v>
      </c>
      <c r="AU1695" s="19">
        <f t="shared" ca="1" si="133"/>
        <v>2</v>
      </c>
    </row>
    <row r="1696" spans="1:47" x14ac:dyDescent="0.3">
      <c r="A1696" t="s">
        <v>2498</v>
      </c>
      <c r="B1696" t="str">
        <f t="shared" si="130"/>
        <v>S33_2026</v>
      </c>
      <c r="C1696" t="str">
        <f t="shared" si="132"/>
        <v>S33_2026</v>
      </c>
      <c r="E1696" t="s">
        <v>143</v>
      </c>
      <c r="F1696">
        <v>6</v>
      </c>
      <c r="G1696" t="s">
        <v>55</v>
      </c>
      <c r="H1696" t="s">
        <v>111</v>
      </c>
      <c r="I1696" t="s">
        <v>1968</v>
      </c>
      <c r="J1696" t="s">
        <v>146</v>
      </c>
      <c r="K1696" t="s">
        <v>146</v>
      </c>
      <c r="L1696" t="s">
        <v>146</v>
      </c>
      <c r="M1696" t="s">
        <v>146</v>
      </c>
      <c r="N1696" t="s">
        <v>45</v>
      </c>
      <c r="O1696" t="s">
        <v>45</v>
      </c>
      <c r="P1696">
        <v>3</v>
      </c>
      <c r="Q1696" s="7">
        <v>46245</v>
      </c>
      <c r="R1696" s="7">
        <v>46245</v>
      </c>
      <c r="S1696" s="7">
        <v>46245</v>
      </c>
      <c r="T1696" t="s">
        <v>45</v>
      </c>
      <c r="V1696" t="s">
        <v>742</v>
      </c>
      <c r="W1696" t="s">
        <v>45</v>
      </c>
      <c r="X1696" t="s">
        <v>45</v>
      </c>
      <c r="Y1696" t="s">
        <v>45</v>
      </c>
      <c r="Z1696" t="s">
        <v>45</v>
      </c>
      <c r="AH1696" t="s">
        <v>75</v>
      </c>
      <c r="AI1696">
        <v>0</v>
      </c>
      <c r="AJ1696" s="15"/>
      <c r="AK1696" t="s">
        <v>74</v>
      </c>
      <c r="AL1696" s="16"/>
      <c r="AR1696" s="18" t="str">
        <f>IFERROR(VLOOKUP(K1696,[1]POP!$F:$J,1,0),M1696)</f>
        <v>KOLOFATA</v>
      </c>
      <c r="AS1696" s="18" t="str">
        <f t="shared" si="131"/>
        <v>KOLOFATA</v>
      </c>
      <c r="AT1696" s="19">
        <f t="shared" si="134"/>
        <v>0</v>
      </c>
      <c r="AU1696" s="19">
        <f t="shared" ca="1" si="133"/>
        <v>2</v>
      </c>
    </row>
    <row r="1697" spans="1:47" x14ac:dyDescent="0.3">
      <c r="A1697" t="s">
        <v>2499</v>
      </c>
      <c r="B1697" t="str">
        <f t="shared" si="130"/>
        <v>S33_2026</v>
      </c>
      <c r="C1697" t="str">
        <f t="shared" si="132"/>
        <v>S33_2026</v>
      </c>
      <c r="E1697" t="s">
        <v>143</v>
      </c>
      <c r="F1697">
        <v>1</v>
      </c>
      <c r="G1697" t="s">
        <v>40</v>
      </c>
      <c r="H1697" t="s">
        <v>111</v>
      </c>
      <c r="I1697" t="s">
        <v>2001</v>
      </c>
      <c r="J1697" t="s">
        <v>146</v>
      </c>
      <c r="K1697" t="s">
        <v>146</v>
      </c>
      <c r="L1697" t="s">
        <v>146</v>
      </c>
      <c r="M1697" t="s">
        <v>146</v>
      </c>
      <c r="N1697" t="s">
        <v>45</v>
      </c>
      <c r="O1697" t="s">
        <v>45</v>
      </c>
      <c r="P1697">
        <v>3</v>
      </c>
      <c r="Q1697" s="7">
        <v>46245</v>
      </c>
      <c r="R1697" s="7">
        <v>46245</v>
      </c>
      <c r="S1697" s="7">
        <v>46245</v>
      </c>
      <c r="T1697" t="s">
        <v>45</v>
      </c>
      <c r="V1697" t="s">
        <v>742</v>
      </c>
      <c r="W1697" t="s">
        <v>45</v>
      </c>
      <c r="X1697" t="s">
        <v>45</v>
      </c>
      <c r="Y1697" t="s">
        <v>45</v>
      </c>
      <c r="Z1697" t="s">
        <v>45</v>
      </c>
      <c r="AH1697" t="s">
        <v>75</v>
      </c>
      <c r="AI1697">
        <v>0</v>
      </c>
      <c r="AJ1697" s="15"/>
      <c r="AK1697" t="s">
        <v>74</v>
      </c>
      <c r="AL1697" s="16"/>
      <c r="AR1697" s="18" t="str">
        <f>IFERROR(VLOOKUP(K1697,[1]POP!$F:$J,1,0),M1697)</f>
        <v>KOLOFATA</v>
      </c>
      <c r="AS1697" s="18" t="str">
        <f t="shared" si="131"/>
        <v>KOLOFATA</v>
      </c>
      <c r="AT1697" s="19">
        <f t="shared" si="134"/>
        <v>0</v>
      </c>
      <c r="AU1697" s="19">
        <f t="shared" ca="1" si="133"/>
        <v>2</v>
      </c>
    </row>
    <row r="1698" spans="1:47" x14ac:dyDescent="0.3">
      <c r="A1698" t="s">
        <v>2500</v>
      </c>
      <c r="B1698" t="str">
        <f t="shared" si="130"/>
        <v>S33_2026</v>
      </c>
      <c r="C1698" t="str">
        <f t="shared" si="132"/>
        <v>S33_2026</v>
      </c>
      <c r="E1698" t="s">
        <v>143</v>
      </c>
      <c r="F1698">
        <v>8</v>
      </c>
      <c r="G1698" t="s">
        <v>55</v>
      </c>
      <c r="H1698" t="s">
        <v>111</v>
      </c>
      <c r="I1698" t="s">
        <v>1952</v>
      </c>
      <c r="J1698" t="s">
        <v>146</v>
      </c>
      <c r="K1698" t="s">
        <v>146</v>
      </c>
      <c r="L1698" t="s">
        <v>146</v>
      </c>
      <c r="M1698" t="s">
        <v>146</v>
      </c>
      <c r="N1698" t="s">
        <v>45</v>
      </c>
      <c r="O1698" t="s">
        <v>45</v>
      </c>
      <c r="P1698">
        <v>3</v>
      </c>
      <c r="Q1698" s="7">
        <v>46245</v>
      </c>
      <c r="R1698" s="7">
        <v>46245</v>
      </c>
      <c r="S1698" s="7">
        <v>46245</v>
      </c>
      <c r="T1698" t="s">
        <v>45</v>
      </c>
      <c r="V1698" t="s">
        <v>742</v>
      </c>
      <c r="W1698" t="s">
        <v>45</v>
      </c>
      <c r="X1698" t="s">
        <v>45</v>
      </c>
      <c r="Y1698" t="s">
        <v>45</v>
      </c>
      <c r="Z1698" t="s">
        <v>45</v>
      </c>
      <c r="AH1698" t="s">
        <v>75</v>
      </c>
      <c r="AI1698">
        <v>0</v>
      </c>
      <c r="AJ1698" s="15"/>
      <c r="AK1698" t="s">
        <v>74</v>
      </c>
      <c r="AL1698" s="16"/>
      <c r="AR1698" s="18" t="str">
        <f>IFERROR(VLOOKUP(K1698,[1]POP!$F:$J,1,0),M1698)</f>
        <v>KOLOFATA</v>
      </c>
      <c r="AS1698" s="18" t="str">
        <f t="shared" si="131"/>
        <v>KOLOFATA</v>
      </c>
      <c r="AT1698" s="19">
        <f t="shared" si="134"/>
        <v>0</v>
      </c>
      <c r="AU1698" s="19">
        <f t="shared" ca="1" si="133"/>
        <v>2</v>
      </c>
    </row>
    <row r="1699" spans="1:47" x14ac:dyDescent="0.3">
      <c r="A1699" t="s">
        <v>2501</v>
      </c>
      <c r="B1699" t="str">
        <f t="shared" si="130"/>
        <v>S33_2026</v>
      </c>
      <c r="C1699" t="str">
        <f t="shared" si="132"/>
        <v>S33_2026</v>
      </c>
      <c r="E1699" t="s">
        <v>143</v>
      </c>
      <c r="F1699">
        <v>2</v>
      </c>
      <c r="G1699" t="s">
        <v>55</v>
      </c>
      <c r="H1699" t="s">
        <v>111</v>
      </c>
      <c r="I1699" t="s">
        <v>1968</v>
      </c>
      <c r="J1699" t="s">
        <v>146</v>
      </c>
      <c r="K1699" t="s">
        <v>146</v>
      </c>
      <c r="L1699" t="s">
        <v>146</v>
      </c>
      <c r="M1699" t="s">
        <v>146</v>
      </c>
      <c r="N1699" t="s">
        <v>45</v>
      </c>
      <c r="O1699" t="s">
        <v>45</v>
      </c>
      <c r="P1699">
        <v>3</v>
      </c>
      <c r="Q1699" s="7">
        <v>46246</v>
      </c>
      <c r="R1699" s="7">
        <v>46246</v>
      </c>
      <c r="S1699" s="7">
        <v>46246</v>
      </c>
      <c r="T1699" t="s">
        <v>45</v>
      </c>
      <c r="V1699" t="s">
        <v>742</v>
      </c>
      <c r="W1699" t="s">
        <v>45</v>
      </c>
      <c r="X1699" t="s">
        <v>45</v>
      </c>
      <c r="Y1699" t="s">
        <v>45</v>
      </c>
      <c r="Z1699" t="s">
        <v>45</v>
      </c>
      <c r="AF1699">
        <v>2</v>
      </c>
      <c r="AH1699" t="s">
        <v>75</v>
      </c>
      <c r="AI1699">
        <v>1</v>
      </c>
      <c r="AJ1699" s="15"/>
      <c r="AK1699" t="s">
        <v>74</v>
      </c>
      <c r="AL1699" s="16"/>
      <c r="AR1699" s="18" t="str">
        <f>IFERROR(VLOOKUP(K1699,[1]POP!$F:$J,1,0),M1699)</f>
        <v>KOLOFATA</v>
      </c>
      <c r="AS1699" s="18" t="str">
        <f t="shared" si="131"/>
        <v>KOLOFATA</v>
      </c>
      <c r="AT1699" s="19">
        <f t="shared" si="134"/>
        <v>2</v>
      </c>
      <c r="AU1699" s="19">
        <f t="shared" ca="1" si="133"/>
        <v>1</v>
      </c>
    </row>
    <row r="1700" spans="1:47" x14ac:dyDescent="0.3">
      <c r="A1700" t="s">
        <v>2502</v>
      </c>
      <c r="B1700" t="str">
        <f t="shared" si="130"/>
        <v>S34_2026</v>
      </c>
      <c r="C1700" t="str">
        <f t="shared" si="132"/>
        <v>S34_2026</v>
      </c>
      <c r="E1700" t="s">
        <v>143</v>
      </c>
      <c r="F1700">
        <v>5</v>
      </c>
      <c r="G1700" t="s">
        <v>55</v>
      </c>
      <c r="H1700" t="s">
        <v>85</v>
      </c>
      <c r="I1700" t="s">
        <v>851</v>
      </c>
      <c r="J1700" t="s">
        <v>851</v>
      </c>
      <c r="K1700" t="s">
        <v>146</v>
      </c>
      <c r="L1700" t="s">
        <v>851</v>
      </c>
      <c r="M1700" t="s">
        <v>146</v>
      </c>
      <c r="N1700" t="s">
        <v>45</v>
      </c>
      <c r="O1700" t="s">
        <v>45</v>
      </c>
      <c r="P1700">
        <v>3</v>
      </c>
      <c r="Q1700" s="7">
        <v>46251</v>
      </c>
      <c r="R1700" s="7">
        <v>46251</v>
      </c>
      <c r="S1700" s="7">
        <v>46251</v>
      </c>
      <c r="T1700" t="s">
        <v>45</v>
      </c>
      <c r="V1700" t="s">
        <v>851</v>
      </c>
      <c r="W1700" t="s">
        <v>45</v>
      </c>
      <c r="X1700" t="s">
        <v>45</v>
      </c>
      <c r="Y1700" t="s">
        <v>45</v>
      </c>
      <c r="Z1700" t="s">
        <v>45</v>
      </c>
      <c r="AF1700">
        <v>2</v>
      </c>
      <c r="AH1700" t="s">
        <v>75</v>
      </c>
      <c r="AI1700">
        <v>1</v>
      </c>
      <c r="AJ1700" s="15"/>
      <c r="AK1700" t="s">
        <v>74</v>
      </c>
      <c r="AL1700" s="16"/>
      <c r="AR1700" s="18" t="str">
        <f>IFERROR(VLOOKUP(K1700,[1]POP!$F:$J,1,0),M1700)</f>
        <v>KOLOFATA</v>
      </c>
      <c r="AS1700" s="18" t="str">
        <f t="shared" si="131"/>
        <v>TOLKOMARI</v>
      </c>
      <c r="AT1700" s="19">
        <f t="shared" si="134"/>
        <v>2</v>
      </c>
      <c r="AU1700" s="19">
        <f t="shared" ca="1" si="133"/>
        <v>1</v>
      </c>
    </row>
    <row r="1701" spans="1:47" x14ac:dyDescent="0.3">
      <c r="A1701" t="s">
        <v>2503</v>
      </c>
      <c r="B1701" t="str">
        <f t="shared" si="130"/>
        <v>S34_2026</v>
      </c>
      <c r="C1701" t="str">
        <f t="shared" si="132"/>
        <v>S34_2026</v>
      </c>
      <c r="E1701" t="s">
        <v>143</v>
      </c>
      <c r="F1701">
        <v>7</v>
      </c>
      <c r="G1701" t="s">
        <v>40</v>
      </c>
      <c r="H1701" t="s">
        <v>85</v>
      </c>
      <c r="I1701" t="s">
        <v>851</v>
      </c>
      <c r="J1701" t="s">
        <v>851</v>
      </c>
      <c r="K1701" t="s">
        <v>146</v>
      </c>
      <c r="L1701" t="s">
        <v>851</v>
      </c>
      <c r="M1701" t="s">
        <v>146</v>
      </c>
      <c r="N1701" t="s">
        <v>45</v>
      </c>
      <c r="O1701" t="s">
        <v>45</v>
      </c>
      <c r="P1701">
        <v>3</v>
      </c>
      <c r="Q1701" s="7">
        <v>46252</v>
      </c>
      <c r="R1701" s="7">
        <v>46252</v>
      </c>
      <c r="S1701" s="7">
        <v>46252</v>
      </c>
      <c r="T1701" t="s">
        <v>45</v>
      </c>
      <c r="V1701" t="s">
        <v>851</v>
      </c>
      <c r="W1701" t="s">
        <v>45</v>
      </c>
      <c r="X1701" t="s">
        <v>45</v>
      </c>
      <c r="Y1701" t="s">
        <v>45</v>
      </c>
      <c r="Z1701" t="s">
        <v>45</v>
      </c>
      <c r="AF1701">
        <v>2</v>
      </c>
      <c r="AH1701" t="s">
        <v>75</v>
      </c>
      <c r="AI1701">
        <v>1</v>
      </c>
      <c r="AJ1701" s="15"/>
      <c r="AK1701" t="s">
        <v>74</v>
      </c>
      <c r="AL1701" s="16"/>
      <c r="AR1701" s="18" t="str">
        <f>IFERROR(VLOOKUP(K1701,[1]POP!$F:$J,1,0),M1701)</f>
        <v>KOLOFATA</v>
      </c>
      <c r="AS1701" s="18" t="str">
        <f t="shared" si="131"/>
        <v>TOLKOMARI</v>
      </c>
      <c r="AT1701" s="19">
        <f t="shared" si="134"/>
        <v>2</v>
      </c>
      <c r="AU1701" s="19">
        <f t="shared" ca="1" si="133"/>
        <v>1</v>
      </c>
    </row>
    <row r="1702" spans="1:47" x14ac:dyDescent="0.3">
      <c r="A1702" t="s">
        <v>2504</v>
      </c>
      <c r="B1702" t="str">
        <f t="shared" si="130"/>
        <v>S34_2026</v>
      </c>
      <c r="C1702" t="str">
        <f t="shared" si="132"/>
        <v>S34_2026</v>
      </c>
      <c r="E1702" t="s">
        <v>143</v>
      </c>
      <c r="F1702">
        <v>4</v>
      </c>
      <c r="G1702" t="s">
        <v>40</v>
      </c>
      <c r="H1702" t="s">
        <v>85</v>
      </c>
      <c r="I1702" t="s">
        <v>851</v>
      </c>
      <c r="J1702" t="s">
        <v>851</v>
      </c>
      <c r="K1702" t="s">
        <v>146</v>
      </c>
      <c r="L1702" t="s">
        <v>851</v>
      </c>
      <c r="M1702" t="s">
        <v>146</v>
      </c>
      <c r="N1702" t="s">
        <v>45</v>
      </c>
      <c r="O1702" t="s">
        <v>45</v>
      </c>
      <c r="P1702">
        <v>3</v>
      </c>
      <c r="Q1702" s="7">
        <v>46252</v>
      </c>
      <c r="R1702" s="7">
        <v>46252</v>
      </c>
      <c r="S1702" s="7">
        <v>46252</v>
      </c>
      <c r="T1702" t="s">
        <v>45</v>
      </c>
      <c r="V1702" t="s">
        <v>851</v>
      </c>
      <c r="W1702" t="s">
        <v>45</v>
      </c>
      <c r="X1702" t="s">
        <v>45</v>
      </c>
      <c r="Y1702" t="s">
        <v>45</v>
      </c>
      <c r="Z1702" t="s">
        <v>45</v>
      </c>
      <c r="AF1702">
        <v>2</v>
      </c>
      <c r="AH1702" t="s">
        <v>75</v>
      </c>
      <c r="AI1702">
        <v>1</v>
      </c>
      <c r="AJ1702" s="15"/>
      <c r="AK1702" t="s">
        <v>74</v>
      </c>
      <c r="AL1702" s="16"/>
      <c r="AR1702" s="18" t="str">
        <f>IFERROR(VLOOKUP(K1702,[1]POP!$F:$J,1,0),M1702)</f>
        <v>KOLOFATA</v>
      </c>
      <c r="AS1702" s="18" t="str">
        <f t="shared" si="131"/>
        <v>TOLKOMARI</v>
      </c>
      <c r="AT1702" s="19">
        <f t="shared" si="134"/>
        <v>2</v>
      </c>
      <c r="AU1702" s="19">
        <f t="shared" ca="1" si="133"/>
        <v>1</v>
      </c>
    </row>
    <row r="1703" spans="1:47" x14ac:dyDescent="0.3">
      <c r="A1703" t="s">
        <v>2505</v>
      </c>
      <c r="B1703" t="str">
        <f t="shared" si="130"/>
        <v>S34_2026</v>
      </c>
      <c r="C1703" t="str">
        <f t="shared" si="132"/>
        <v>S34_2026</v>
      </c>
      <c r="E1703" t="s">
        <v>143</v>
      </c>
      <c r="F1703">
        <v>16</v>
      </c>
      <c r="G1703" t="s">
        <v>40</v>
      </c>
      <c r="H1703" t="s">
        <v>77</v>
      </c>
      <c r="I1703" t="s">
        <v>851</v>
      </c>
      <c r="J1703" t="s">
        <v>851</v>
      </c>
      <c r="K1703" t="s">
        <v>146</v>
      </c>
      <c r="L1703" t="s">
        <v>851</v>
      </c>
      <c r="M1703" t="s">
        <v>146</v>
      </c>
      <c r="N1703" t="s">
        <v>45</v>
      </c>
      <c r="O1703" t="s">
        <v>45</v>
      </c>
      <c r="P1703">
        <v>3</v>
      </c>
      <c r="Q1703" s="7">
        <v>46253</v>
      </c>
      <c r="R1703" s="7">
        <v>46253</v>
      </c>
      <c r="S1703" s="7">
        <v>46253</v>
      </c>
      <c r="T1703" t="s">
        <v>45</v>
      </c>
      <c r="V1703" t="s">
        <v>851</v>
      </c>
      <c r="W1703" t="s">
        <v>45</v>
      </c>
      <c r="X1703" t="s">
        <v>45</v>
      </c>
      <c r="Y1703" t="s">
        <v>45</v>
      </c>
      <c r="Z1703" t="s">
        <v>45</v>
      </c>
      <c r="AF1703">
        <v>2</v>
      </c>
      <c r="AH1703" t="s">
        <v>75</v>
      </c>
      <c r="AI1703">
        <v>1</v>
      </c>
      <c r="AJ1703" s="15"/>
      <c r="AK1703" t="s">
        <v>74</v>
      </c>
      <c r="AL1703" s="16"/>
      <c r="AR1703" s="18" t="str">
        <f>IFERROR(VLOOKUP(K1703,[1]POP!$F:$J,1,0),M1703)</f>
        <v>KOLOFATA</v>
      </c>
      <c r="AS1703" s="18" t="str">
        <f t="shared" si="131"/>
        <v>TOLKOMARI</v>
      </c>
      <c r="AT1703" s="19">
        <f t="shared" si="134"/>
        <v>2</v>
      </c>
      <c r="AU1703" s="19">
        <f t="shared" ca="1" si="133"/>
        <v>1</v>
      </c>
    </row>
    <row r="1704" spans="1:47" x14ac:dyDescent="0.3">
      <c r="A1704" t="s">
        <v>2506</v>
      </c>
      <c r="B1704" t="str">
        <f t="shared" si="130"/>
        <v>S34_2026</v>
      </c>
      <c r="C1704" t="str">
        <f t="shared" si="132"/>
        <v>S34_2026</v>
      </c>
      <c r="E1704" t="s">
        <v>143</v>
      </c>
      <c r="F1704">
        <v>22</v>
      </c>
      <c r="G1704" t="s">
        <v>40</v>
      </c>
      <c r="H1704" t="s">
        <v>77</v>
      </c>
      <c r="I1704" t="s">
        <v>851</v>
      </c>
      <c r="J1704" t="s">
        <v>851</v>
      </c>
      <c r="K1704" t="s">
        <v>146</v>
      </c>
      <c r="L1704" t="s">
        <v>851</v>
      </c>
      <c r="M1704" t="s">
        <v>146</v>
      </c>
      <c r="N1704" t="s">
        <v>45</v>
      </c>
      <c r="O1704" t="s">
        <v>45</v>
      </c>
      <c r="P1704">
        <v>3</v>
      </c>
      <c r="Q1704" s="7">
        <v>46253</v>
      </c>
      <c r="R1704" s="7">
        <v>46253</v>
      </c>
      <c r="S1704" s="7">
        <v>46253</v>
      </c>
      <c r="T1704" t="s">
        <v>45</v>
      </c>
      <c r="V1704" t="s">
        <v>851</v>
      </c>
      <c r="W1704" t="s">
        <v>45</v>
      </c>
      <c r="X1704" t="s">
        <v>45</v>
      </c>
      <c r="Y1704" t="s">
        <v>45</v>
      </c>
      <c r="Z1704" t="s">
        <v>45</v>
      </c>
      <c r="AF1704">
        <v>2</v>
      </c>
      <c r="AH1704" t="s">
        <v>75</v>
      </c>
      <c r="AI1704">
        <v>1</v>
      </c>
      <c r="AJ1704" s="15"/>
      <c r="AK1704" t="s">
        <v>74</v>
      </c>
      <c r="AL1704" s="16"/>
      <c r="AR1704" s="18" t="str">
        <f>IFERROR(VLOOKUP(K1704,[1]POP!$F:$J,1,0),M1704)</f>
        <v>KOLOFATA</v>
      </c>
      <c r="AS1704" s="18" t="str">
        <f t="shared" si="131"/>
        <v>TOLKOMARI</v>
      </c>
      <c r="AT1704" s="19">
        <f t="shared" si="134"/>
        <v>2</v>
      </c>
      <c r="AU1704" s="19">
        <f t="shared" ca="1" si="133"/>
        <v>1</v>
      </c>
    </row>
    <row r="1705" spans="1:47" x14ac:dyDescent="0.3">
      <c r="A1705" t="s">
        <v>2507</v>
      </c>
      <c r="B1705" t="str">
        <f t="shared" si="130"/>
        <v>S34_2026</v>
      </c>
      <c r="C1705" t="str">
        <f t="shared" si="132"/>
        <v>S34_2026</v>
      </c>
      <c r="E1705" t="s">
        <v>143</v>
      </c>
      <c r="F1705">
        <v>8</v>
      </c>
      <c r="G1705" t="s">
        <v>40</v>
      </c>
      <c r="H1705" t="s">
        <v>85</v>
      </c>
      <c r="I1705" t="s">
        <v>851</v>
      </c>
      <c r="J1705" t="s">
        <v>851</v>
      </c>
      <c r="K1705" t="s">
        <v>146</v>
      </c>
      <c r="L1705" t="s">
        <v>851</v>
      </c>
      <c r="M1705" t="s">
        <v>146</v>
      </c>
      <c r="N1705" t="s">
        <v>45</v>
      </c>
      <c r="O1705" t="s">
        <v>45</v>
      </c>
      <c r="P1705">
        <v>3</v>
      </c>
      <c r="Q1705" s="7">
        <v>46254</v>
      </c>
      <c r="R1705" s="7">
        <v>46254</v>
      </c>
      <c r="S1705" s="7">
        <v>46254</v>
      </c>
      <c r="T1705" t="s">
        <v>45</v>
      </c>
      <c r="V1705" t="s">
        <v>851</v>
      </c>
      <c r="W1705" t="s">
        <v>45</v>
      </c>
      <c r="X1705" t="s">
        <v>45</v>
      </c>
      <c r="Y1705" t="s">
        <v>45</v>
      </c>
      <c r="Z1705" t="s">
        <v>45</v>
      </c>
      <c r="AF1705">
        <v>2</v>
      </c>
      <c r="AH1705" t="s">
        <v>75</v>
      </c>
      <c r="AI1705">
        <v>1</v>
      </c>
      <c r="AJ1705" s="15"/>
      <c r="AK1705" t="s">
        <v>74</v>
      </c>
      <c r="AL1705" s="16"/>
      <c r="AR1705" s="18" t="str">
        <f>IFERROR(VLOOKUP(K1705,[1]POP!$F:$J,1,0),M1705)</f>
        <v>KOLOFATA</v>
      </c>
      <c r="AS1705" s="18" t="str">
        <f t="shared" si="131"/>
        <v>TOLKOMARI</v>
      </c>
      <c r="AT1705" s="19">
        <f t="shared" si="134"/>
        <v>2</v>
      </c>
      <c r="AU1705" s="19">
        <f t="shared" ca="1" si="133"/>
        <v>1</v>
      </c>
    </row>
    <row r="1706" spans="1:47" x14ac:dyDescent="0.3">
      <c r="A1706" t="s">
        <v>2508</v>
      </c>
      <c r="B1706" t="str">
        <f t="shared" si="130"/>
        <v>S34_2026</v>
      </c>
      <c r="C1706" t="str">
        <f t="shared" si="132"/>
        <v>S34_2026</v>
      </c>
      <c r="E1706" t="s">
        <v>143</v>
      </c>
      <c r="F1706">
        <v>35</v>
      </c>
      <c r="G1706" t="s">
        <v>40</v>
      </c>
      <c r="H1706" t="s">
        <v>77</v>
      </c>
      <c r="I1706" t="s">
        <v>851</v>
      </c>
      <c r="J1706" t="s">
        <v>851</v>
      </c>
      <c r="K1706" t="s">
        <v>146</v>
      </c>
      <c r="L1706" t="s">
        <v>851</v>
      </c>
      <c r="M1706" t="s">
        <v>146</v>
      </c>
      <c r="N1706" t="s">
        <v>45</v>
      </c>
      <c r="O1706" t="s">
        <v>45</v>
      </c>
      <c r="P1706">
        <v>3</v>
      </c>
      <c r="Q1706" s="7">
        <v>46255</v>
      </c>
      <c r="R1706" s="7">
        <v>46255</v>
      </c>
      <c r="S1706" s="7">
        <v>46255</v>
      </c>
      <c r="T1706" t="s">
        <v>45</v>
      </c>
      <c r="V1706" t="s">
        <v>851</v>
      </c>
      <c r="W1706" t="s">
        <v>45</v>
      </c>
      <c r="X1706" t="s">
        <v>45</v>
      </c>
      <c r="Y1706" t="s">
        <v>45</v>
      </c>
      <c r="Z1706" t="s">
        <v>45</v>
      </c>
      <c r="AF1706">
        <v>2</v>
      </c>
      <c r="AH1706" t="s">
        <v>75</v>
      </c>
      <c r="AI1706">
        <v>1</v>
      </c>
      <c r="AJ1706" s="15"/>
      <c r="AK1706" t="s">
        <v>74</v>
      </c>
      <c r="AL1706" s="16"/>
      <c r="AR1706" s="18" t="str">
        <f>IFERROR(VLOOKUP(K1706,[1]POP!$F:$J,1,0),M1706)</f>
        <v>KOLOFATA</v>
      </c>
      <c r="AS1706" s="18" t="str">
        <f t="shared" si="131"/>
        <v>TOLKOMARI</v>
      </c>
      <c r="AT1706" s="19">
        <f t="shared" si="134"/>
        <v>2</v>
      </c>
      <c r="AU1706" s="19">
        <f t="shared" ca="1" si="133"/>
        <v>1</v>
      </c>
    </row>
    <row r="1707" spans="1:47" x14ac:dyDescent="0.3">
      <c r="A1707" t="s">
        <v>2509</v>
      </c>
      <c r="B1707" t="str">
        <f t="shared" si="130"/>
        <v>S34_2026</v>
      </c>
      <c r="C1707" t="str">
        <f t="shared" si="132"/>
        <v>S34_2026</v>
      </c>
      <c r="E1707" t="s">
        <v>143</v>
      </c>
      <c r="F1707">
        <v>10</v>
      </c>
      <c r="G1707" t="s">
        <v>55</v>
      </c>
      <c r="H1707" t="s">
        <v>85</v>
      </c>
      <c r="I1707" t="s">
        <v>851</v>
      </c>
      <c r="J1707" t="s">
        <v>851</v>
      </c>
      <c r="K1707" t="s">
        <v>146</v>
      </c>
      <c r="L1707" t="s">
        <v>851</v>
      </c>
      <c r="M1707" t="s">
        <v>146</v>
      </c>
      <c r="N1707" t="s">
        <v>45</v>
      </c>
      <c r="O1707" t="s">
        <v>45</v>
      </c>
      <c r="P1707">
        <v>3</v>
      </c>
      <c r="Q1707" s="7">
        <v>46255</v>
      </c>
      <c r="R1707" s="7">
        <v>46255</v>
      </c>
      <c r="S1707" s="7">
        <v>46255</v>
      </c>
      <c r="T1707" t="s">
        <v>45</v>
      </c>
      <c r="V1707" t="s">
        <v>851</v>
      </c>
      <c r="W1707" t="s">
        <v>45</v>
      </c>
      <c r="X1707" t="s">
        <v>45</v>
      </c>
      <c r="Y1707" t="s">
        <v>45</v>
      </c>
      <c r="Z1707" t="s">
        <v>45</v>
      </c>
      <c r="AF1707">
        <v>2</v>
      </c>
      <c r="AH1707" t="s">
        <v>75</v>
      </c>
      <c r="AI1707">
        <v>1</v>
      </c>
      <c r="AJ1707" s="15"/>
      <c r="AK1707" t="s">
        <v>74</v>
      </c>
      <c r="AL1707" s="16"/>
      <c r="AR1707" s="18" t="str">
        <f>IFERROR(VLOOKUP(K1707,[1]POP!$F:$J,1,0),M1707)</f>
        <v>KOLOFATA</v>
      </c>
      <c r="AS1707" s="18" t="str">
        <f t="shared" si="131"/>
        <v>TOLKOMARI</v>
      </c>
      <c r="AT1707" s="19">
        <f t="shared" si="134"/>
        <v>2</v>
      </c>
      <c r="AU1707" s="19">
        <f t="shared" ca="1" si="133"/>
        <v>1</v>
      </c>
    </row>
    <row r="1708" spans="1:47" x14ac:dyDescent="0.3">
      <c r="A1708" t="s">
        <v>2510</v>
      </c>
      <c r="B1708" t="str">
        <f t="shared" si="130"/>
        <v>S34_2026</v>
      </c>
      <c r="C1708" t="str">
        <f t="shared" si="132"/>
        <v>S34_2026</v>
      </c>
      <c r="E1708" t="s">
        <v>143</v>
      </c>
      <c r="F1708">
        <v>10</v>
      </c>
      <c r="G1708" t="s">
        <v>55</v>
      </c>
      <c r="H1708" t="s">
        <v>85</v>
      </c>
      <c r="I1708" t="s">
        <v>851</v>
      </c>
      <c r="J1708" t="s">
        <v>851</v>
      </c>
      <c r="K1708" t="s">
        <v>146</v>
      </c>
      <c r="L1708" t="s">
        <v>851</v>
      </c>
      <c r="M1708" t="s">
        <v>146</v>
      </c>
      <c r="N1708" t="s">
        <v>45</v>
      </c>
      <c r="O1708" t="s">
        <v>45</v>
      </c>
      <c r="P1708">
        <v>3</v>
      </c>
      <c r="Q1708" s="7">
        <v>46255</v>
      </c>
      <c r="R1708" s="7">
        <v>46255</v>
      </c>
      <c r="S1708" s="7">
        <v>46255</v>
      </c>
      <c r="T1708" t="s">
        <v>45</v>
      </c>
      <c r="V1708" t="s">
        <v>851</v>
      </c>
      <c r="W1708" t="s">
        <v>45</v>
      </c>
      <c r="X1708" t="s">
        <v>45</v>
      </c>
      <c r="Y1708" t="s">
        <v>45</v>
      </c>
      <c r="Z1708" t="s">
        <v>45</v>
      </c>
      <c r="AF1708">
        <v>2</v>
      </c>
      <c r="AH1708" t="s">
        <v>75</v>
      </c>
      <c r="AI1708">
        <v>1</v>
      </c>
      <c r="AJ1708" s="15"/>
      <c r="AK1708" t="s">
        <v>74</v>
      </c>
      <c r="AL1708" s="16"/>
      <c r="AR1708" s="18" t="str">
        <f>IFERROR(VLOOKUP(K1708,[1]POP!$F:$J,1,0),M1708)</f>
        <v>KOLOFATA</v>
      </c>
      <c r="AS1708" s="18" t="str">
        <f t="shared" si="131"/>
        <v>TOLKOMARI</v>
      </c>
      <c r="AT1708" s="19">
        <f t="shared" si="134"/>
        <v>2</v>
      </c>
      <c r="AU1708" s="19">
        <f t="shared" ca="1" si="133"/>
        <v>1</v>
      </c>
    </row>
    <row r="1709" spans="1:47" x14ac:dyDescent="0.3">
      <c r="A1709" t="s">
        <v>2511</v>
      </c>
      <c r="B1709" t="str">
        <f t="shared" si="130"/>
        <v>S34_2026</v>
      </c>
      <c r="C1709" t="str">
        <f t="shared" si="132"/>
        <v>S34_2026</v>
      </c>
      <c r="E1709" t="s">
        <v>143</v>
      </c>
      <c r="F1709">
        <v>1</v>
      </c>
      <c r="G1709" t="s">
        <v>40</v>
      </c>
      <c r="H1709" t="s">
        <v>85</v>
      </c>
      <c r="I1709" t="s">
        <v>851</v>
      </c>
      <c r="J1709" t="s">
        <v>851</v>
      </c>
      <c r="K1709" t="s">
        <v>146</v>
      </c>
      <c r="L1709" t="s">
        <v>851</v>
      </c>
      <c r="M1709" t="s">
        <v>146</v>
      </c>
      <c r="N1709" t="s">
        <v>45</v>
      </c>
      <c r="O1709" t="s">
        <v>45</v>
      </c>
      <c r="P1709">
        <v>3</v>
      </c>
      <c r="Q1709" s="7">
        <v>46256</v>
      </c>
      <c r="R1709" s="7">
        <v>46256</v>
      </c>
      <c r="S1709" s="7">
        <v>46256</v>
      </c>
      <c r="T1709" t="s">
        <v>45</v>
      </c>
      <c r="V1709" t="s">
        <v>851</v>
      </c>
      <c r="W1709" t="s">
        <v>45</v>
      </c>
      <c r="X1709" t="s">
        <v>45</v>
      </c>
      <c r="Y1709" t="s">
        <v>45</v>
      </c>
      <c r="Z1709" t="s">
        <v>45</v>
      </c>
      <c r="AF1709">
        <v>2</v>
      </c>
      <c r="AH1709" t="s">
        <v>75</v>
      </c>
      <c r="AI1709">
        <v>1</v>
      </c>
      <c r="AJ1709" s="15"/>
      <c r="AK1709" t="s">
        <v>74</v>
      </c>
      <c r="AL1709" s="16"/>
      <c r="AR1709" s="18" t="str">
        <f>IFERROR(VLOOKUP(K1709,[1]POP!$F:$J,1,0),M1709)</f>
        <v>KOLOFATA</v>
      </c>
      <c r="AS1709" s="18" t="str">
        <f t="shared" si="131"/>
        <v>TOLKOMARI</v>
      </c>
      <c r="AT1709" s="19">
        <f t="shared" si="134"/>
        <v>2</v>
      </c>
      <c r="AU1709" s="19">
        <f t="shared" ca="1" si="133"/>
        <v>1</v>
      </c>
    </row>
    <row r="1710" spans="1:47" x14ac:dyDescent="0.3">
      <c r="A1710" t="s">
        <v>2512</v>
      </c>
      <c r="B1710" t="str">
        <f t="shared" si="130"/>
        <v>S34_2026</v>
      </c>
      <c r="C1710" t="str">
        <f t="shared" si="132"/>
        <v>S34_2026</v>
      </c>
      <c r="E1710" t="s">
        <v>143</v>
      </c>
      <c r="F1710">
        <v>10</v>
      </c>
      <c r="G1710" t="s">
        <v>40</v>
      </c>
      <c r="H1710" t="s">
        <v>85</v>
      </c>
      <c r="I1710" t="s">
        <v>851</v>
      </c>
      <c r="J1710" t="s">
        <v>851</v>
      </c>
      <c r="K1710" t="s">
        <v>146</v>
      </c>
      <c r="L1710" t="s">
        <v>851</v>
      </c>
      <c r="M1710" t="s">
        <v>146</v>
      </c>
      <c r="N1710" t="s">
        <v>45</v>
      </c>
      <c r="O1710" t="s">
        <v>45</v>
      </c>
      <c r="P1710">
        <v>3</v>
      </c>
      <c r="Q1710" s="7">
        <v>46257</v>
      </c>
      <c r="R1710" s="7">
        <v>46257</v>
      </c>
      <c r="S1710" s="7">
        <v>46257</v>
      </c>
      <c r="T1710" t="s">
        <v>45</v>
      </c>
      <c r="V1710" t="s">
        <v>851</v>
      </c>
      <c r="W1710" t="s">
        <v>45</v>
      </c>
      <c r="X1710" t="s">
        <v>45</v>
      </c>
      <c r="Y1710" t="s">
        <v>45</v>
      </c>
      <c r="Z1710" t="s">
        <v>45</v>
      </c>
      <c r="AF1710">
        <v>2</v>
      </c>
      <c r="AH1710" t="s">
        <v>75</v>
      </c>
      <c r="AI1710">
        <v>1</v>
      </c>
      <c r="AJ1710" s="15"/>
      <c r="AK1710" t="s">
        <v>74</v>
      </c>
      <c r="AL1710" s="16"/>
      <c r="AR1710" s="18" t="str">
        <f>IFERROR(VLOOKUP(K1710,[1]POP!$F:$J,1,0),M1710)</f>
        <v>KOLOFATA</v>
      </c>
      <c r="AS1710" s="18" t="str">
        <f t="shared" si="131"/>
        <v>TOLKOMARI</v>
      </c>
      <c r="AT1710" s="19">
        <f t="shared" si="134"/>
        <v>2</v>
      </c>
      <c r="AU1710" s="19">
        <f t="shared" ca="1" si="133"/>
        <v>1</v>
      </c>
    </row>
    <row r="1711" spans="1:47" x14ac:dyDescent="0.3">
      <c r="A1711" t="s">
        <v>2513</v>
      </c>
      <c r="B1711" t="str">
        <f t="shared" si="130"/>
        <v>S34_2026</v>
      </c>
      <c r="C1711" t="str">
        <f t="shared" si="132"/>
        <v>S34_2026</v>
      </c>
      <c r="E1711" t="s">
        <v>143</v>
      </c>
      <c r="F1711">
        <v>9</v>
      </c>
      <c r="G1711" t="s">
        <v>40</v>
      </c>
      <c r="H1711" t="s">
        <v>85</v>
      </c>
      <c r="I1711" t="s">
        <v>145</v>
      </c>
      <c r="J1711" t="s">
        <v>145</v>
      </c>
      <c r="K1711" t="s">
        <v>146</v>
      </c>
      <c r="L1711" t="s">
        <v>145</v>
      </c>
      <c r="M1711" t="s">
        <v>146</v>
      </c>
      <c r="N1711" t="s">
        <v>45</v>
      </c>
      <c r="O1711" t="s">
        <v>45</v>
      </c>
      <c r="P1711">
        <v>3</v>
      </c>
      <c r="Q1711" s="7">
        <v>46254</v>
      </c>
      <c r="R1711" s="7">
        <v>46254</v>
      </c>
      <c r="S1711" s="7">
        <v>46254</v>
      </c>
      <c r="T1711" t="s">
        <v>45</v>
      </c>
      <c r="V1711" t="s">
        <v>145</v>
      </c>
      <c r="W1711" t="s">
        <v>45</v>
      </c>
      <c r="X1711" t="s">
        <v>45</v>
      </c>
      <c r="Y1711" t="s">
        <v>45</v>
      </c>
      <c r="Z1711" t="s">
        <v>45</v>
      </c>
      <c r="AF1711">
        <v>2</v>
      </c>
      <c r="AH1711" t="s">
        <v>75</v>
      </c>
      <c r="AI1711">
        <v>1</v>
      </c>
      <c r="AJ1711" s="15"/>
      <c r="AK1711" t="s">
        <v>74</v>
      </c>
      <c r="AL1711" s="16"/>
      <c r="AR1711" s="18" t="str">
        <f>IFERROR(VLOOKUP(K1711,[1]POP!$F:$J,1,0),M1711)</f>
        <v>KOLOFATA</v>
      </c>
      <c r="AS1711" s="18" t="str">
        <f t="shared" si="131"/>
        <v>AMCHIDE</v>
      </c>
      <c r="AT1711" s="19">
        <f t="shared" si="134"/>
        <v>2</v>
      </c>
      <c r="AU1711" s="19">
        <f t="shared" ca="1" si="133"/>
        <v>1</v>
      </c>
    </row>
    <row r="1712" spans="1:47" x14ac:dyDescent="0.3">
      <c r="A1712" t="s">
        <v>2514</v>
      </c>
      <c r="B1712" t="str">
        <f t="shared" si="130"/>
        <v>S34_2026</v>
      </c>
      <c r="C1712" t="str">
        <f t="shared" si="132"/>
        <v>S34_2026</v>
      </c>
      <c r="E1712" t="s">
        <v>143</v>
      </c>
      <c r="F1712">
        <v>42</v>
      </c>
      <c r="G1712" t="s">
        <v>40</v>
      </c>
      <c r="H1712" t="s">
        <v>1924</v>
      </c>
      <c r="I1712" t="s">
        <v>145</v>
      </c>
      <c r="J1712" t="s">
        <v>145</v>
      </c>
      <c r="K1712" t="s">
        <v>146</v>
      </c>
      <c r="L1712" t="s">
        <v>145</v>
      </c>
      <c r="M1712" t="s">
        <v>146</v>
      </c>
      <c r="N1712" t="s">
        <v>45</v>
      </c>
      <c r="O1712" t="s">
        <v>45</v>
      </c>
      <c r="P1712">
        <v>3</v>
      </c>
      <c r="Q1712" s="7">
        <v>46254</v>
      </c>
      <c r="R1712" s="7">
        <v>46254</v>
      </c>
      <c r="S1712" s="7">
        <v>46254</v>
      </c>
      <c r="T1712" t="s">
        <v>45</v>
      </c>
      <c r="V1712" t="s">
        <v>145</v>
      </c>
      <c r="W1712" t="s">
        <v>45</v>
      </c>
      <c r="X1712" t="s">
        <v>45</v>
      </c>
      <c r="Y1712" t="s">
        <v>45</v>
      </c>
      <c r="Z1712" t="s">
        <v>45</v>
      </c>
      <c r="AF1712">
        <v>2</v>
      </c>
      <c r="AH1712" t="s">
        <v>75</v>
      </c>
      <c r="AI1712">
        <v>1</v>
      </c>
      <c r="AJ1712" s="15"/>
      <c r="AK1712" t="s">
        <v>74</v>
      </c>
      <c r="AL1712" s="16"/>
      <c r="AR1712" s="18" t="str">
        <f>IFERROR(VLOOKUP(K1712,[1]POP!$F:$J,1,0),M1712)</f>
        <v>KOLOFATA</v>
      </c>
      <c r="AS1712" s="18" t="str">
        <f t="shared" si="131"/>
        <v>AMCHIDE</v>
      </c>
      <c r="AT1712" s="19">
        <f t="shared" si="134"/>
        <v>2</v>
      </c>
      <c r="AU1712" s="19">
        <f t="shared" ca="1" si="133"/>
        <v>1</v>
      </c>
    </row>
    <row r="1713" spans="1:47" x14ac:dyDescent="0.3">
      <c r="A1713" t="s">
        <v>2515</v>
      </c>
      <c r="B1713" t="str">
        <f t="shared" si="130"/>
        <v>S34_2026</v>
      </c>
      <c r="C1713" t="str">
        <f t="shared" si="132"/>
        <v>S34_2026</v>
      </c>
      <c r="E1713" t="s">
        <v>143</v>
      </c>
      <c r="F1713">
        <v>7</v>
      </c>
      <c r="G1713" t="s">
        <v>40</v>
      </c>
      <c r="H1713" t="s">
        <v>85</v>
      </c>
      <c r="I1713" t="s">
        <v>146</v>
      </c>
      <c r="J1713" t="s">
        <v>146</v>
      </c>
      <c r="K1713" t="s">
        <v>146</v>
      </c>
      <c r="L1713" t="s">
        <v>146</v>
      </c>
      <c r="M1713" t="s">
        <v>146</v>
      </c>
      <c r="N1713" t="s">
        <v>45</v>
      </c>
      <c r="O1713" t="s">
        <v>45</v>
      </c>
      <c r="P1713">
        <v>3</v>
      </c>
      <c r="Q1713" s="7">
        <v>46251</v>
      </c>
      <c r="R1713" s="7">
        <v>46251</v>
      </c>
      <c r="S1713" s="7">
        <v>46251</v>
      </c>
      <c r="T1713" t="s">
        <v>45</v>
      </c>
      <c r="V1713" t="s">
        <v>742</v>
      </c>
      <c r="W1713" t="s">
        <v>45</v>
      </c>
      <c r="X1713" t="s">
        <v>45</v>
      </c>
      <c r="Y1713" t="s">
        <v>45</v>
      </c>
      <c r="Z1713" t="s">
        <v>45</v>
      </c>
      <c r="AH1713" t="s">
        <v>75</v>
      </c>
      <c r="AI1713">
        <v>0</v>
      </c>
      <c r="AJ1713" s="15"/>
      <c r="AK1713" t="s">
        <v>74</v>
      </c>
      <c r="AL1713" s="16"/>
      <c r="AR1713" s="18" t="str">
        <f>IFERROR(VLOOKUP(K1713,[1]POP!$F:$J,1,0),M1713)</f>
        <v>KOLOFATA</v>
      </c>
      <c r="AS1713" s="18" t="str">
        <f t="shared" si="131"/>
        <v>KOLOFATA</v>
      </c>
      <c r="AT1713" s="19">
        <f t="shared" si="134"/>
        <v>0</v>
      </c>
      <c r="AU1713" s="19">
        <f t="shared" ca="1" si="133"/>
        <v>1</v>
      </c>
    </row>
    <row r="1714" spans="1:47" x14ac:dyDescent="0.3">
      <c r="A1714" t="s">
        <v>2516</v>
      </c>
      <c r="B1714" t="str">
        <f t="shared" si="130"/>
        <v>S34_2026</v>
      </c>
      <c r="C1714" t="str">
        <f t="shared" si="132"/>
        <v>S34_2026</v>
      </c>
      <c r="E1714" t="s">
        <v>143</v>
      </c>
      <c r="F1714">
        <v>10</v>
      </c>
      <c r="G1714" t="s">
        <v>40</v>
      </c>
      <c r="H1714" t="s">
        <v>111</v>
      </c>
      <c r="I1714" t="s">
        <v>2517</v>
      </c>
      <c r="J1714" t="s">
        <v>146</v>
      </c>
      <c r="K1714" t="s">
        <v>146</v>
      </c>
      <c r="L1714" t="s">
        <v>146</v>
      </c>
      <c r="M1714" t="s">
        <v>146</v>
      </c>
      <c r="N1714" t="s">
        <v>45</v>
      </c>
      <c r="O1714" t="s">
        <v>45</v>
      </c>
      <c r="P1714">
        <v>3</v>
      </c>
      <c r="Q1714" s="7">
        <v>46251</v>
      </c>
      <c r="R1714" s="7">
        <v>46251</v>
      </c>
      <c r="S1714" s="7">
        <v>46251</v>
      </c>
      <c r="T1714" t="s">
        <v>45</v>
      </c>
      <c r="V1714" t="s">
        <v>742</v>
      </c>
      <c r="W1714" t="s">
        <v>45</v>
      </c>
      <c r="X1714" t="s">
        <v>45</v>
      </c>
      <c r="Y1714" t="s">
        <v>45</v>
      </c>
      <c r="Z1714" t="s">
        <v>45</v>
      </c>
      <c r="AH1714" t="s">
        <v>75</v>
      </c>
      <c r="AI1714">
        <v>0</v>
      </c>
      <c r="AJ1714" s="15"/>
      <c r="AK1714" t="s">
        <v>74</v>
      </c>
      <c r="AL1714" s="16"/>
      <c r="AR1714" s="18" t="str">
        <f>IFERROR(VLOOKUP(K1714,[1]POP!$F:$J,1,0),M1714)</f>
        <v>KOLOFATA</v>
      </c>
      <c r="AS1714" s="18" t="str">
        <f t="shared" si="131"/>
        <v>KOLOFATA</v>
      </c>
      <c r="AT1714" s="19">
        <f t="shared" si="134"/>
        <v>0</v>
      </c>
      <c r="AU1714" s="19">
        <f t="shared" ca="1" si="133"/>
        <v>1</v>
      </c>
    </row>
    <row r="1715" spans="1:47" x14ac:dyDescent="0.3">
      <c r="A1715" t="s">
        <v>2518</v>
      </c>
      <c r="B1715" t="str">
        <f t="shared" si="130"/>
        <v>S34_2026</v>
      </c>
      <c r="C1715" t="str">
        <f t="shared" si="132"/>
        <v>S34_2026</v>
      </c>
      <c r="E1715" t="s">
        <v>143</v>
      </c>
      <c r="F1715">
        <v>0.41666666666666669</v>
      </c>
      <c r="G1715" t="s">
        <v>40</v>
      </c>
      <c r="H1715" t="s">
        <v>111</v>
      </c>
      <c r="I1715" t="s">
        <v>2519</v>
      </c>
      <c r="J1715" t="s">
        <v>146</v>
      </c>
      <c r="K1715" t="s">
        <v>146</v>
      </c>
      <c r="L1715" t="s">
        <v>146</v>
      </c>
      <c r="M1715" t="s">
        <v>146</v>
      </c>
      <c r="N1715" t="s">
        <v>45</v>
      </c>
      <c r="O1715" t="s">
        <v>45</v>
      </c>
      <c r="P1715">
        <v>3</v>
      </c>
      <c r="Q1715" s="7">
        <v>46251</v>
      </c>
      <c r="R1715" s="7">
        <v>46251</v>
      </c>
      <c r="S1715" s="7">
        <v>46251</v>
      </c>
      <c r="T1715" t="s">
        <v>45</v>
      </c>
      <c r="V1715" t="s">
        <v>742</v>
      </c>
      <c r="W1715" t="s">
        <v>45</v>
      </c>
      <c r="X1715" t="s">
        <v>45</v>
      </c>
      <c r="Y1715" t="s">
        <v>45</v>
      </c>
      <c r="Z1715" t="s">
        <v>45</v>
      </c>
      <c r="AH1715" t="s">
        <v>75</v>
      </c>
      <c r="AI1715">
        <v>0</v>
      </c>
      <c r="AJ1715" s="15"/>
      <c r="AK1715" t="s">
        <v>74</v>
      </c>
      <c r="AL1715" s="16"/>
      <c r="AR1715" s="18" t="str">
        <f>IFERROR(VLOOKUP(K1715,[1]POP!$F:$J,1,0),M1715)</f>
        <v>KOLOFATA</v>
      </c>
      <c r="AS1715" s="18" t="str">
        <f t="shared" si="131"/>
        <v>KOLOFATA</v>
      </c>
      <c r="AT1715" s="19">
        <f t="shared" si="134"/>
        <v>0</v>
      </c>
      <c r="AU1715" s="19">
        <f t="shared" ca="1" si="133"/>
        <v>1</v>
      </c>
    </row>
    <row r="1716" spans="1:47" x14ac:dyDescent="0.3">
      <c r="A1716" t="s">
        <v>2520</v>
      </c>
      <c r="B1716" t="str">
        <f t="shared" si="130"/>
        <v>S34_2026</v>
      </c>
      <c r="C1716" t="str">
        <f t="shared" si="132"/>
        <v>S34_2026</v>
      </c>
      <c r="E1716" t="s">
        <v>143</v>
      </c>
      <c r="F1716">
        <v>3</v>
      </c>
      <c r="G1716" t="s">
        <v>55</v>
      </c>
      <c r="H1716" t="s">
        <v>111</v>
      </c>
      <c r="I1716" t="s">
        <v>2519</v>
      </c>
      <c r="J1716" t="s">
        <v>146</v>
      </c>
      <c r="K1716" t="s">
        <v>146</v>
      </c>
      <c r="L1716" t="s">
        <v>146</v>
      </c>
      <c r="M1716" t="s">
        <v>146</v>
      </c>
      <c r="N1716" t="s">
        <v>45</v>
      </c>
      <c r="O1716" t="s">
        <v>45</v>
      </c>
      <c r="P1716">
        <v>3</v>
      </c>
      <c r="Q1716" s="7">
        <v>46252</v>
      </c>
      <c r="R1716" s="7">
        <v>46252</v>
      </c>
      <c r="S1716" s="7">
        <v>46252</v>
      </c>
      <c r="T1716" t="s">
        <v>45</v>
      </c>
      <c r="V1716" t="s">
        <v>742</v>
      </c>
      <c r="W1716" t="s">
        <v>45</v>
      </c>
      <c r="X1716" t="s">
        <v>45</v>
      </c>
      <c r="Y1716" t="s">
        <v>45</v>
      </c>
      <c r="Z1716" t="s">
        <v>45</v>
      </c>
      <c r="AH1716" t="s">
        <v>75</v>
      </c>
      <c r="AI1716">
        <v>0</v>
      </c>
      <c r="AJ1716" s="15"/>
      <c r="AK1716" t="s">
        <v>74</v>
      </c>
      <c r="AL1716" s="16"/>
      <c r="AR1716" s="18" t="str">
        <f>IFERROR(VLOOKUP(K1716,[1]POP!$F:$J,1,0),M1716)</f>
        <v>KOLOFATA</v>
      </c>
      <c r="AS1716" s="18" t="str">
        <f t="shared" si="131"/>
        <v>KOLOFATA</v>
      </c>
      <c r="AT1716" s="19">
        <f t="shared" si="134"/>
        <v>0</v>
      </c>
      <c r="AU1716" s="19">
        <f t="shared" ca="1" si="133"/>
        <v>1</v>
      </c>
    </row>
    <row r="1717" spans="1:47" x14ac:dyDescent="0.3">
      <c r="A1717" t="s">
        <v>2521</v>
      </c>
      <c r="B1717" t="str">
        <f t="shared" si="130"/>
        <v>S34_2026</v>
      </c>
      <c r="C1717" t="str">
        <f t="shared" si="132"/>
        <v>S34_2026</v>
      </c>
      <c r="E1717" t="s">
        <v>143</v>
      </c>
      <c r="F1717">
        <v>4</v>
      </c>
      <c r="G1717" t="s">
        <v>55</v>
      </c>
      <c r="H1717" t="s">
        <v>111</v>
      </c>
      <c r="I1717" t="s">
        <v>2013</v>
      </c>
      <c r="J1717" t="s">
        <v>146</v>
      </c>
      <c r="K1717" t="s">
        <v>146</v>
      </c>
      <c r="L1717" t="s">
        <v>146</v>
      </c>
      <c r="M1717" t="s">
        <v>146</v>
      </c>
      <c r="N1717" t="s">
        <v>45</v>
      </c>
      <c r="O1717" t="s">
        <v>45</v>
      </c>
      <c r="P1717">
        <v>3</v>
      </c>
      <c r="Q1717" s="7">
        <v>46252</v>
      </c>
      <c r="R1717" s="7">
        <v>46252</v>
      </c>
      <c r="S1717" s="7">
        <v>46252</v>
      </c>
      <c r="T1717" t="s">
        <v>45</v>
      </c>
      <c r="V1717" t="s">
        <v>742</v>
      </c>
      <c r="W1717" t="s">
        <v>45</v>
      </c>
      <c r="X1717" t="s">
        <v>45</v>
      </c>
      <c r="Y1717" t="s">
        <v>45</v>
      </c>
      <c r="Z1717" t="s">
        <v>45</v>
      </c>
      <c r="AH1717" t="s">
        <v>75</v>
      </c>
      <c r="AI1717">
        <v>0</v>
      </c>
      <c r="AJ1717" s="15"/>
      <c r="AK1717" t="s">
        <v>74</v>
      </c>
      <c r="AL1717" s="16"/>
      <c r="AR1717" s="18" t="str">
        <f>IFERROR(VLOOKUP(K1717,[1]POP!$F:$J,1,0),M1717)</f>
        <v>KOLOFATA</v>
      </c>
      <c r="AS1717" s="18" t="str">
        <f t="shared" si="131"/>
        <v>KOLOFATA</v>
      </c>
      <c r="AT1717" s="19">
        <f t="shared" si="134"/>
        <v>0</v>
      </c>
      <c r="AU1717" s="19">
        <f t="shared" ca="1" si="133"/>
        <v>1</v>
      </c>
    </row>
    <row r="1718" spans="1:47" x14ac:dyDescent="0.3">
      <c r="A1718" t="s">
        <v>2522</v>
      </c>
      <c r="B1718" t="str">
        <f t="shared" si="130"/>
        <v>S34_2026</v>
      </c>
      <c r="C1718" t="str">
        <f t="shared" si="132"/>
        <v>S34_2026</v>
      </c>
      <c r="E1718" t="s">
        <v>143</v>
      </c>
      <c r="F1718">
        <v>5</v>
      </c>
      <c r="G1718" t="s">
        <v>55</v>
      </c>
      <c r="H1718" t="s">
        <v>111</v>
      </c>
      <c r="I1718" t="s">
        <v>2517</v>
      </c>
      <c r="J1718" t="s">
        <v>146</v>
      </c>
      <c r="K1718" t="s">
        <v>146</v>
      </c>
      <c r="L1718" t="s">
        <v>146</v>
      </c>
      <c r="M1718" t="s">
        <v>146</v>
      </c>
      <c r="N1718" t="s">
        <v>45</v>
      </c>
      <c r="O1718" t="s">
        <v>45</v>
      </c>
      <c r="P1718">
        <v>3</v>
      </c>
      <c r="Q1718" s="7">
        <v>46252</v>
      </c>
      <c r="R1718" s="7">
        <v>46252</v>
      </c>
      <c r="S1718" s="7">
        <v>46252</v>
      </c>
      <c r="T1718" t="s">
        <v>45</v>
      </c>
      <c r="V1718" t="s">
        <v>742</v>
      </c>
      <c r="W1718" t="s">
        <v>45</v>
      </c>
      <c r="X1718" t="s">
        <v>45</v>
      </c>
      <c r="Y1718" t="s">
        <v>45</v>
      </c>
      <c r="Z1718" t="s">
        <v>45</v>
      </c>
      <c r="AH1718" t="s">
        <v>75</v>
      </c>
      <c r="AI1718">
        <v>0</v>
      </c>
      <c r="AJ1718" s="15"/>
      <c r="AK1718" t="s">
        <v>74</v>
      </c>
      <c r="AL1718" s="16"/>
      <c r="AR1718" s="18" t="str">
        <f>IFERROR(VLOOKUP(K1718,[1]POP!$F:$J,1,0),M1718)</f>
        <v>KOLOFATA</v>
      </c>
      <c r="AS1718" s="18" t="str">
        <f t="shared" si="131"/>
        <v>KOLOFATA</v>
      </c>
      <c r="AT1718" s="19">
        <f t="shared" si="134"/>
        <v>0</v>
      </c>
      <c r="AU1718" s="19">
        <f t="shared" ca="1" si="133"/>
        <v>1</v>
      </c>
    </row>
    <row r="1719" spans="1:47" x14ac:dyDescent="0.3">
      <c r="A1719" t="s">
        <v>2523</v>
      </c>
      <c r="B1719" t="str">
        <f t="shared" si="130"/>
        <v>S34_2026</v>
      </c>
      <c r="C1719" t="str">
        <f t="shared" si="132"/>
        <v>S34_2026</v>
      </c>
      <c r="E1719" t="s">
        <v>143</v>
      </c>
      <c r="F1719">
        <v>5</v>
      </c>
      <c r="G1719" t="s">
        <v>40</v>
      </c>
      <c r="H1719" t="s">
        <v>111</v>
      </c>
      <c r="I1719" t="s">
        <v>2517</v>
      </c>
      <c r="J1719" t="s">
        <v>146</v>
      </c>
      <c r="K1719" t="s">
        <v>146</v>
      </c>
      <c r="L1719" t="s">
        <v>146</v>
      </c>
      <c r="M1719" t="s">
        <v>146</v>
      </c>
      <c r="N1719" t="s">
        <v>45</v>
      </c>
      <c r="O1719" t="s">
        <v>45</v>
      </c>
      <c r="P1719">
        <v>3</v>
      </c>
      <c r="Q1719" s="7">
        <v>46252</v>
      </c>
      <c r="R1719" s="7">
        <v>46252</v>
      </c>
      <c r="S1719" s="7">
        <v>46252</v>
      </c>
      <c r="T1719" t="s">
        <v>45</v>
      </c>
      <c r="V1719" t="s">
        <v>742</v>
      </c>
      <c r="W1719" t="s">
        <v>45</v>
      </c>
      <c r="X1719" t="s">
        <v>45</v>
      </c>
      <c r="Y1719" t="s">
        <v>45</v>
      </c>
      <c r="Z1719" t="s">
        <v>45</v>
      </c>
      <c r="AH1719" t="s">
        <v>75</v>
      </c>
      <c r="AI1719">
        <v>0</v>
      </c>
      <c r="AJ1719" s="15"/>
      <c r="AK1719" t="s">
        <v>74</v>
      </c>
      <c r="AL1719" s="16"/>
      <c r="AR1719" s="18" t="str">
        <f>IFERROR(VLOOKUP(K1719,[1]POP!$F:$J,1,0),M1719)</f>
        <v>KOLOFATA</v>
      </c>
      <c r="AS1719" s="18" t="str">
        <f t="shared" si="131"/>
        <v>KOLOFATA</v>
      </c>
      <c r="AT1719" s="19">
        <f t="shared" si="134"/>
        <v>0</v>
      </c>
      <c r="AU1719" s="19">
        <f t="shared" ca="1" si="133"/>
        <v>1</v>
      </c>
    </row>
    <row r="1720" spans="1:47" x14ac:dyDescent="0.3">
      <c r="A1720" t="s">
        <v>2524</v>
      </c>
      <c r="B1720" t="str">
        <f t="shared" si="130"/>
        <v>S34_2026</v>
      </c>
      <c r="C1720" t="str">
        <f t="shared" si="132"/>
        <v>S34_2026</v>
      </c>
      <c r="E1720" t="s">
        <v>143</v>
      </c>
      <c r="F1720">
        <v>26</v>
      </c>
      <c r="G1720" t="s">
        <v>40</v>
      </c>
      <c r="H1720" t="s">
        <v>1924</v>
      </c>
      <c r="I1720" t="s">
        <v>1968</v>
      </c>
      <c r="J1720" t="s">
        <v>146</v>
      </c>
      <c r="K1720" t="s">
        <v>146</v>
      </c>
      <c r="L1720" t="s">
        <v>146</v>
      </c>
      <c r="M1720" t="s">
        <v>146</v>
      </c>
      <c r="N1720" t="s">
        <v>45</v>
      </c>
      <c r="O1720" t="s">
        <v>45</v>
      </c>
      <c r="P1720">
        <v>3</v>
      </c>
      <c r="Q1720" s="7">
        <v>46252</v>
      </c>
      <c r="R1720" s="7">
        <v>46252</v>
      </c>
      <c r="S1720" s="7">
        <v>46252</v>
      </c>
      <c r="T1720" t="s">
        <v>45</v>
      </c>
      <c r="V1720" t="s">
        <v>742</v>
      </c>
      <c r="W1720" t="s">
        <v>45</v>
      </c>
      <c r="X1720" t="s">
        <v>45</v>
      </c>
      <c r="Y1720" t="s">
        <v>45</v>
      </c>
      <c r="Z1720" t="s">
        <v>45</v>
      </c>
      <c r="AH1720" t="s">
        <v>75</v>
      </c>
      <c r="AI1720">
        <v>0</v>
      </c>
      <c r="AJ1720" s="15"/>
      <c r="AK1720" t="s">
        <v>74</v>
      </c>
      <c r="AL1720" s="16"/>
      <c r="AR1720" s="18" t="str">
        <f>IFERROR(VLOOKUP(K1720,[1]POP!$F:$J,1,0),M1720)</f>
        <v>KOLOFATA</v>
      </c>
      <c r="AS1720" s="18" t="str">
        <f t="shared" si="131"/>
        <v>KOLOFATA</v>
      </c>
      <c r="AT1720" s="19">
        <f t="shared" si="134"/>
        <v>0</v>
      </c>
      <c r="AU1720" s="19">
        <f t="shared" ca="1" si="133"/>
        <v>1</v>
      </c>
    </row>
    <row r="1721" spans="1:47" x14ac:dyDescent="0.3">
      <c r="A1721" t="s">
        <v>2525</v>
      </c>
      <c r="B1721" t="str">
        <f t="shared" si="130"/>
        <v>S34_2026</v>
      </c>
      <c r="C1721" t="str">
        <f t="shared" si="132"/>
        <v>S34_2026</v>
      </c>
      <c r="E1721" t="s">
        <v>143</v>
      </c>
      <c r="F1721">
        <v>25</v>
      </c>
      <c r="G1721" t="s">
        <v>40</v>
      </c>
      <c r="H1721" t="s">
        <v>1924</v>
      </c>
      <c r="I1721" t="s">
        <v>1968</v>
      </c>
      <c r="J1721" t="s">
        <v>146</v>
      </c>
      <c r="K1721" t="s">
        <v>146</v>
      </c>
      <c r="L1721" t="s">
        <v>146</v>
      </c>
      <c r="M1721" t="s">
        <v>146</v>
      </c>
      <c r="N1721" t="s">
        <v>45</v>
      </c>
      <c r="O1721" t="s">
        <v>45</v>
      </c>
      <c r="P1721">
        <v>3</v>
      </c>
      <c r="Q1721" s="7">
        <v>46252</v>
      </c>
      <c r="R1721" s="7">
        <v>46252</v>
      </c>
      <c r="S1721" s="7">
        <v>46252</v>
      </c>
      <c r="T1721" t="s">
        <v>45</v>
      </c>
      <c r="V1721" t="s">
        <v>742</v>
      </c>
      <c r="W1721" t="s">
        <v>45</v>
      </c>
      <c r="X1721" t="s">
        <v>45</v>
      </c>
      <c r="Y1721" t="s">
        <v>45</v>
      </c>
      <c r="Z1721" t="s">
        <v>45</v>
      </c>
      <c r="AH1721" t="s">
        <v>75</v>
      </c>
      <c r="AI1721">
        <v>0</v>
      </c>
      <c r="AJ1721" s="15"/>
      <c r="AK1721" t="s">
        <v>74</v>
      </c>
      <c r="AL1721" s="16"/>
      <c r="AR1721" s="18" t="str">
        <f>IFERROR(VLOOKUP(K1721,[1]POP!$F:$J,1,0),M1721)</f>
        <v>KOLOFATA</v>
      </c>
      <c r="AS1721" s="18" t="str">
        <f t="shared" si="131"/>
        <v>KOLOFATA</v>
      </c>
      <c r="AT1721" s="19">
        <f t="shared" si="134"/>
        <v>0</v>
      </c>
      <c r="AU1721" s="19">
        <f t="shared" ca="1" si="133"/>
        <v>1</v>
      </c>
    </row>
    <row r="1722" spans="1:47" x14ac:dyDescent="0.3">
      <c r="A1722" t="s">
        <v>2526</v>
      </c>
      <c r="B1722" t="str">
        <f t="shared" si="130"/>
        <v>S34_2026</v>
      </c>
      <c r="C1722" t="str">
        <f t="shared" si="132"/>
        <v>S34_2026</v>
      </c>
      <c r="E1722" t="s">
        <v>143</v>
      </c>
      <c r="F1722">
        <v>4</v>
      </c>
      <c r="G1722" t="s">
        <v>40</v>
      </c>
      <c r="H1722" t="s">
        <v>111</v>
      </c>
      <c r="I1722" t="s">
        <v>1968</v>
      </c>
      <c r="J1722" t="s">
        <v>146</v>
      </c>
      <c r="K1722" t="s">
        <v>146</v>
      </c>
      <c r="L1722" t="s">
        <v>146</v>
      </c>
      <c r="M1722" t="s">
        <v>146</v>
      </c>
      <c r="N1722" t="s">
        <v>45</v>
      </c>
      <c r="O1722" t="s">
        <v>45</v>
      </c>
      <c r="P1722">
        <v>3</v>
      </c>
      <c r="Q1722" s="7">
        <v>46251</v>
      </c>
      <c r="R1722" s="7">
        <v>46251</v>
      </c>
      <c r="S1722" s="7">
        <v>46251</v>
      </c>
      <c r="T1722" t="s">
        <v>45</v>
      </c>
      <c r="V1722" t="s">
        <v>742</v>
      </c>
      <c r="W1722" t="s">
        <v>45</v>
      </c>
      <c r="X1722" t="s">
        <v>45</v>
      </c>
      <c r="Y1722" t="s">
        <v>45</v>
      </c>
      <c r="Z1722" t="s">
        <v>45</v>
      </c>
      <c r="AH1722" t="s">
        <v>75</v>
      </c>
      <c r="AI1722">
        <v>0</v>
      </c>
      <c r="AJ1722" s="15"/>
      <c r="AK1722" t="s">
        <v>74</v>
      </c>
      <c r="AL1722" s="16"/>
      <c r="AR1722" s="18" t="str">
        <f>IFERROR(VLOOKUP(K1722,[1]POP!$F:$J,1,0),M1722)</f>
        <v>KOLOFATA</v>
      </c>
      <c r="AS1722" s="18" t="str">
        <f t="shared" si="131"/>
        <v>KOLOFATA</v>
      </c>
      <c r="AT1722" s="19">
        <f t="shared" si="134"/>
        <v>0</v>
      </c>
      <c r="AU1722" s="19">
        <f t="shared" ca="1" si="133"/>
        <v>1</v>
      </c>
    </row>
    <row r="1723" spans="1:47" x14ac:dyDescent="0.3">
      <c r="A1723" t="s">
        <v>2527</v>
      </c>
      <c r="B1723" t="str">
        <f t="shared" si="130"/>
        <v>S34_2026</v>
      </c>
      <c r="C1723" t="str">
        <f t="shared" si="132"/>
        <v>S34_2026</v>
      </c>
      <c r="E1723" t="s">
        <v>143</v>
      </c>
      <c r="F1723">
        <v>4</v>
      </c>
      <c r="G1723" t="s">
        <v>40</v>
      </c>
      <c r="H1723" t="s">
        <v>111</v>
      </c>
      <c r="I1723" t="s">
        <v>2528</v>
      </c>
      <c r="J1723" t="s">
        <v>146</v>
      </c>
      <c r="K1723" t="s">
        <v>146</v>
      </c>
      <c r="L1723" t="s">
        <v>146</v>
      </c>
      <c r="M1723" t="s">
        <v>146</v>
      </c>
      <c r="N1723" t="s">
        <v>45</v>
      </c>
      <c r="O1723" t="s">
        <v>45</v>
      </c>
      <c r="P1723">
        <v>3</v>
      </c>
      <c r="Q1723" s="7">
        <v>46252</v>
      </c>
      <c r="R1723" s="7">
        <v>46252</v>
      </c>
      <c r="S1723" s="7">
        <v>46252</v>
      </c>
      <c r="T1723" t="s">
        <v>45</v>
      </c>
      <c r="V1723" t="s">
        <v>742</v>
      </c>
      <c r="W1723" t="s">
        <v>45</v>
      </c>
      <c r="X1723" t="s">
        <v>45</v>
      </c>
      <c r="Y1723" t="s">
        <v>45</v>
      </c>
      <c r="Z1723" t="s">
        <v>45</v>
      </c>
      <c r="AH1723" t="s">
        <v>75</v>
      </c>
      <c r="AI1723">
        <v>0</v>
      </c>
      <c r="AJ1723" s="15"/>
      <c r="AK1723" t="s">
        <v>74</v>
      </c>
      <c r="AL1723" s="16"/>
      <c r="AR1723" s="18" t="str">
        <f>IFERROR(VLOOKUP(K1723,[1]POP!$F:$J,1,0),M1723)</f>
        <v>KOLOFATA</v>
      </c>
      <c r="AS1723" s="18" t="str">
        <f t="shared" si="131"/>
        <v>KOLOFATA</v>
      </c>
      <c r="AT1723" s="19">
        <f t="shared" si="134"/>
        <v>0</v>
      </c>
      <c r="AU1723" s="19">
        <f t="shared" ca="1" si="133"/>
        <v>1</v>
      </c>
    </row>
    <row r="1724" spans="1:47" x14ac:dyDescent="0.3">
      <c r="A1724" t="s">
        <v>2529</v>
      </c>
      <c r="B1724" t="str">
        <f t="shared" si="130"/>
        <v>S34_2026</v>
      </c>
      <c r="C1724" t="str">
        <f t="shared" si="132"/>
        <v>S34_2026</v>
      </c>
      <c r="E1724" t="s">
        <v>143</v>
      </c>
      <c r="F1724">
        <v>40</v>
      </c>
      <c r="G1724" t="s">
        <v>40</v>
      </c>
      <c r="H1724" t="s">
        <v>1924</v>
      </c>
      <c r="I1724" t="s">
        <v>2530</v>
      </c>
      <c r="J1724" t="s">
        <v>146</v>
      </c>
      <c r="K1724" t="s">
        <v>146</v>
      </c>
      <c r="L1724" t="s">
        <v>146</v>
      </c>
      <c r="M1724" t="s">
        <v>146</v>
      </c>
      <c r="N1724" t="s">
        <v>45</v>
      </c>
      <c r="O1724" t="s">
        <v>45</v>
      </c>
      <c r="P1724">
        <v>3</v>
      </c>
      <c r="Q1724" s="7">
        <v>46252</v>
      </c>
      <c r="R1724" s="7">
        <v>46252</v>
      </c>
      <c r="S1724" s="7">
        <v>46252</v>
      </c>
      <c r="T1724" t="s">
        <v>45</v>
      </c>
      <c r="V1724" t="s">
        <v>742</v>
      </c>
      <c r="W1724" t="s">
        <v>45</v>
      </c>
      <c r="X1724" t="s">
        <v>45</v>
      </c>
      <c r="Y1724" t="s">
        <v>45</v>
      </c>
      <c r="Z1724" t="s">
        <v>45</v>
      </c>
      <c r="AH1724" t="s">
        <v>75</v>
      </c>
      <c r="AI1724">
        <v>0</v>
      </c>
      <c r="AJ1724" s="15"/>
      <c r="AK1724" t="s">
        <v>74</v>
      </c>
      <c r="AL1724" s="16"/>
      <c r="AR1724" s="18" t="str">
        <f>IFERROR(VLOOKUP(K1724,[1]POP!$F:$J,1,0),M1724)</f>
        <v>KOLOFATA</v>
      </c>
      <c r="AS1724" s="18" t="str">
        <f t="shared" si="131"/>
        <v>KOLOFATA</v>
      </c>
      <c r="AT1724" s="19">
        <f t="shared" si="134"/>
        <v>0</v>
      </c>
      <c r="AU1724" s="19">
        <f t="shared" ca="1" si="133"/>
        <v>1</v>
      </c>
    </row>
    <row r="1725" spans="1:47" x14ac:dyDescent="0.3">
      <c r="A1725" t="s">
        <v>2531</v>
      </c>
      <c r="B1725" t="str">
        <f t="shared" si="130"/>
        <v>S34_2026</v>
      </c>
      <c r="C1725" t="str">
        <f t="shared" si="132"/>
        <v>S34_2026</v>
      </c>
      <c r="E1725" t="s">
        <v>143</v>
      </c>
      <c r="F1725">
        <v>2</v>
      </c>
      <c r="G1725" t="s">
        <v>55</v>
      </c>
      <c r="H1725" t="s">
        <v>111</v>
      </c>
      <c r="I1725" t="s">
        <v>2517</v>
      </c>
      <c r="J1725" t="s">
        <v>146</v>
      </c>
      <c r="K1725" t="s">
        <v>146</v>
      </c>
      <c r="L1725" t="s">
        <v>146</v>
      </c>
      <c r="M1725" t="s">
        <v>146</v>
      </c>
      <c r="N1725" t="s">
        <v>45</v>
      </c>
      <c r="O1725" t="s">
        <v>45</v>
      </c>
      <c r="P1725">
        <v>3</v>
      </c>
      <c r="Q1725" s="7">
        <v>46252</v>
      </c>
      <c r="R1725" s="7">
        <v>46252</v>
      </c>
      <c r="S1725" s="7">
        <v>46252</v>
      </c>
      <c r="T1725" t="s">
        <v>45</v>
      </c>
      <c r="V1725" t="s">
        <v>742</v>
      </c>
      <c r="W1725" t="s">
        <v>45</v>
      </c>
      <c r="X1725" t="s">
        <v>45</v>
      </c>
      <c r="Y1725" t="s">
        <v>45</v>
      </c>
      <c r="Z1725" t="s">
        <v>45</v>
      </c>
      <c r="AH1725" t="s">
        <v>75</v>
      </c>
      <c r="AI1725">
        <v>0</v>
      </c>
      <c r="AJ1725" s="15"/>
      <c r="AK1725" t="s">
        <v>74</v>
      </c>
      <c r="AL1725" s="16"/>
      <c r="AR1725" s="18" t="str">
        <f>IFERROR(VLOOKUP(K1725,[1]POP!$F:$J,1,0),M1725)</f>
        <v>KOLOFATA</v>
      </c>
      <c r="AS1725" s="18" t="str">
        <f t="shared" si="131"/>
        <v>KOLOFATA</v>
      </c>
      <c r="AT1725" s="19">
        <f t="shared" si="134"/>
        <v>0</v>
      </c>
      <c r="AU1725" s="19">
        <f t="shared" ca="1" si="133"/>
        <v>1</v>
      </c>
    </row>
    <row r="1726" spans="1:47" x14ac:dyDescent="0.3">
      <c r="A1726" t="s">
        <v>2532</v>
      </c>
      <c r="B1726" t="str">
        <f t="shared" si="130"/>
        <v>S34_2026</v>
      </c>
      <c r="C1726" t="str">
        <f t="shared" si="132"/>
        <v>S34_2026</v>
      </c>
      <c r="E1726" t="s">
        <v>143</v>
      </c>
      <c r="F1726">
        <v>7</v>
      </c>
      <c r="G1726" t="s">
        <v>40</v>
      </c>
      <c r="H1726" t="s">
        <v>111</v>
      </c>
      <c r="I1726" t="s">
        <v>2517</v>
      </c>
      <c r="J1726" t="s">
        <v>146</v>
      </c>
      <c r="K1726" t="s">
        <v>146</v>
      </c>
      <c r="L1726" t="s">
        <v>146</v>
      </c>
      <c r="M1726" t="s">
        <v>146</v>
      </c>
      <c r="N1726" t="s">
        <v>45</v>
      </c>
      <c r="O1726" t="s">
        <v>45</v>
      </c>
      <c r="P1726">
        <v>3</v>
      </c>
      <c r="Q1726" s="7">
        <v>46252</v>
      </c>
      <c r="R1726" s="7">
        <v>46252</v>
      </c>
      <c r="S1726" s="7">
        <v>46252</v>
      </c>
      <c r="T1726" t="s">
        <v>45</v>
      </c>
      <c r="V1726" t="s">
        <v>742</v>
      </c>
      <c r="W1726" t="s">
        <v>45</v>
      </c>
      <c r="X1726" t="s">
        <v>45</v>
      </c>
      <c r="Y1726" t="s">
        <v>45</v>
      </c>
      <c r="Z1726" t="s">
        <v>45</v>
      </c>
      <c r="AH1726" t="s">
        <v>75</v>
      </c>
      <c r="AI1726">
        <v>0</v>
      </c>
      <c r="AJ1726" s="15"/>
      <c r="AK1726" t="s">
        <v>74</v>
      </c>
      <c r="AL1726" s="16"/>
      <c r="AR1726" s="18" t="str">
        <f>IFERROR(VLOOKUP(K1726,[1]POP!$F:$J,1,0),M1726)</f>
        <v>KOLOFATA</v>
      </c>
      <c r="AS1726" s="18" t="str">
        <f t="shared" si="131"/>
        <v>KOLOFATA</v>
      </c>
      <c r="AT1726" s="19">
        <f t="shared" si="134"/>
        <v>0</v>
      </c>
      <c r="AU1726" s="19">
        <f t="shared" ca="1" si="133"/>
        <v>1</v>
      </c>
    </row>
    <row r="1727" spans="1:47" x14ac:dyDescent="0.3">
      <c r="A1727" t="s">
        <v>2533</v>
      </c>
      <c r="B1727" t="str">
        <f t="shared" si="130"/>
        <v>S34_2026</v>
      </c>
      <c r="C1727" t="str">
        <f t="shared" si="132"/>
        <v>S34_2026</v>
      </c>
      <c r="E1727" t="s">
        <v>143</v>
      </c>
      <c r="F1727">
        <v>4</v>
      </c>
      <c r="G1727" t="s">
        <v>55</v>
      </c>
      <c r="H1727" t="s">
        <v>111</v>
      </c>
      <c r="I1727" t="s">
        <v>2534</v>
      </c>
      <c r="J1727" t="s">
        <v>146</v>
      </c>
      <c r="K1727" t="s">
        <v>146</v>
      </c>
      <c r="L1727" t="s">
        <v>146</v>
      </c>
      <c r="M1727" t="s">
        <v>146</v>
      </c>
      <c r="N1727" t="s">
        <v>45</v>
      </c>
      <c r="O1727" t="s">
        <v>45</v>
      </c>
      <c r="P1727">
        <v>3</v>
      </c>
      <c r="Q1727" s="7">
        <v>46252</v>
      </c>
      <c r="R1727" s="7">
        <v>46252</v>
      </c>
      <c r="S1727" s="7">
        <v>46252</v>
      </c>
      <c r="T1727" t="s">
        <v>45</v>
      </c>
      <c r="V1727" t="s">
        <v>742</v>
      </c>
      <c r="W1727" t="s">
        <v>45</v>
      </c>
      <c r="X1727" t="s">
        <v>45</v>
      </c>
      <c r="Y1727" t="s">
        <v>45</v>
      </c>
      <c r="Z1727" t="s">
        <v>45</v>
      </c>
      <c r="AF1727">
        <v>2</v>
      </c>
      <c r="AH1727" t="s">
        <v>75</v>
      </c>
      <c r="AI1727">
        <v>1</v>
      </c>
      <c r="AJ1727" s="15"/>
      <c r="AK1727" t="s">
        <v>74</v>
      </c>
      <c r="AL1727" s="16"/>
      <c r="AR1727" s="18" t="str">
        <f>IFERROR(VLOOKUP(K1727,[1]POP!$F:$J,1,0),M1727)</f>
        <v>KOLOFATA</v>
      </c>
      <c r="AS1727" s="18" t="str">
        <f t="shared" si="131"/>
        <v>KOLOFATA</v>
      </c>
      <c r="AT1727" s="19">
        <f t="shared" si="134"/>
        <v>2</v>
      </c>
      <c r="AU1727" s="19">
        <f t="shared" ca="1" si="133"/>
        <v>1</v>
      </c>
    </row>
    <row r="1728" spans="1:47" x14ac:dyDescent="0.3">
      <c r="A1728" t="s">
        <v>2535</v>
      </c>
      <c r="B1728" t="str">
        <f t="shared" si="130"/>
        <v>S34_2026</v>
      </c>
      <c r="C1728" t="str">
        <f t="shared" si="132"/>
        <v>S34_2026</v>
      </c>
      <c r="E1728" t="s">
        <v>143</v>
      </c>
      <c r="F1728">
        <v>2</v>
      </c>
      <c r="G1728" t="s">
        <v>40</v>
      </c>
      <c r="H1728" t="s">
        <v>111</v>
      </c>
      <c r="I1728" t="s">
        <v>2536</v>
      </c>
      <c r="J1728" t="s">
        <v>146</v>
      </c>
      <c r="K1728" t="s">
        <v>146</v>
      </c>
      <c r="L1728" t="s">
        <v>146</v>
      </c>
      <c r="M1728" t="s">
        <v>146</v>
      </c>
      <c r="N1728" t="s">
        <v>45</v>
      </c>
      <c r="O1728" t="s">
        <v>45</v>
      </c>
      <c r="P1728">
        <v>3</v>
      </c>
      <c r="Q1728" s="7">
        <v>46252</v>
      </c>
      <c r="R1728" s="7">
        <v>46252</v>
      </c>
      <c r="S1728" s="7">
        <v>46252</v>
      </c>
      <c r="T1728" t="s">
        <v>45</v>
      </c>
      <c r="V1728" t="s">
        <v>742</v>
      </c>
      <c r="W1728" t="s">
        <v>45</v>
      </c>
      <c r="X1728" t="s">
        <v>45</v>
      </c>
      <c r="Y1728" t="s">
        <v>45</v>
      </c>
      <c r="Z1728" t="s">
        <v>45</v>
      </c>
      <c r="AF1728">
        <v>2</v>
      </c>
      <c r="AH1728" t="s">
        <v>75</v>
      </c>
      <c r="AI1728">
        <v>1</v>
      </c>
      <c r="AJ1728" s="15"/>
      <c r="AK1728" t="s">
        <v>74</v>
      </c>
      <c r="AL1728" s="16"/>
      <c r="AR1728" s="18" t="str">
        <f>IFERROR(VLOOKUP(K1728,[1]POP!$F:$J,1,0),M1728)</f>
        <v>KOLOFATA</v>
      </c>
      <c r="AS1728" s="18" t="str">
        <f t="shared" si="131"/>
        <v>KOLOFATA</v>
      </c>
      <c r="AT1728" s="19">
        <f t="shared" si="134"/>
        <v>2</v>
      </c>
      <c r="AU1728" s="19">
        <f t="shared" ca="1" si="133"/>
        <v>1</v>
      </c>
    </row>
    <row r="1729" spans="1:47" x14ac:dyDescent="0.3">
      <c r="A1729" t="s">
        <v>2537</v>
      </c>
      <c r="B1729" t="str">
        <f t="shared" si="130"/>
        <v>S34_2026</v>
      </c>
      <c r="C1729" t="str">
        <f t="shared" si="132"/>
        <v>S34_2026</v>
      </c>
      <c r="E1729" t="s">
        <v>143</v>
      </c>
      <c r="F1729">
        <v>1</v>
      </c>
      <c r="G1729" t="s">
        <v>40</v>
      </c>
      <c r="H1729" t="s">
        <v>111</v>
      </c>
      <c r="I1729" t="s">
        <v>2485</v>
      </c>
      <c r="J1729" t="s">
        <v>146</v>
      </c>
      <c r="K1729" t="s">
        <v>146</v>
      </c>
      <c r="L1729" t="s">
        <v>146</v>
      </c>
      <c r="M1729" t="s">
        <v>146</v>
      </c>
      <c r="N1729" t="s">
        <v>45</v>
      </c>
      <c r="O1729" t="s">
        <v>45</v>
      </c>
      <c r="P1729">
        <v>3</v>
      </c>
      <c r="Q1729" s="7">
        <v>46253</v>
      </c>
      <c r="R1729" s="7">
        <v>46253</v>
      </c>
      <c r="S1729" s="7">
        <v>46253</v>
      </c>
      <c r="T1729" t="s">
        <v>45</v>
      </c>
      <c r="V1729" t="s">
        <v>742</v>
      </c>
      <c r="W1729" t="s">
        <v>45</v>
      </c>
      <c r="X1729" t="s">
        <v>45</v>
      </c>
      <c r="Y1729" t="s">
        <v>45</v>
      </c>
      <c r="Z1729" t="s">
        <v>45</v>
      </c>
      <c r="AH1729" t="s">
        <v>75</v>
      </c>
      <c r="AI1729">
        <v>0</v>
      </c>
      <c r="AJ1729" s="15"/>
      <c r="AK1729" t="s">
        <v>74</v>
      </c>
      <c r="AL1729" s="16"/>
      <c r="AR1729" s="18" t="str">
        <f>IFERROR(VLOOKUP(K1729,[1]POP!$F:$J,1,0),M1729)</f>
        <v>KOLOFATA</v>
      </c>
      <c r="AS1729" s="18" t="str">
        <f t="shared" si="131"/>
        <v>KOLOFATA</v>
      </c>
      <c r="AT1729" s="19">
        <f t="shared" si="134"/>
        <v>0</v>
      </c>
      <c r="AU1729" s="19">
        <f t="shared" ca="1" si="133"/>
        <v>1</v>
      </c>
    </row>
    <row r="1730" spans="1:47" x14ac:dyDescent="0.3">
      <c r="A1730" t="s">
        <v>2538</v>
      </c>
      <c r="B1730" t="str">
        <f t="shared" ref="B1730:B1793" si="135">"S"&amp;(IF(_xlfn.ISOWEEKNUM(S1730)&gt;9,_xlfn.ISOWEEKNUM(S1730),_xlfn.CONCAT("0",_xlfn.ISOWEEKNUM(S1730))))&amp;"_"&amp;(YEAR(S1730+26-(_xlfn.ISOWEEKNUM(S1730))))</f>
        <v>S34_2026</v>
      </c>
      <c r="C1730" t="str">
        <f t="shared" si="132"/>
        <v>S34_2026</v>
      </c>
      <c r="E1730" t="s">
        <v>143</v>
      </c>
      <c r="F1730">
        <v>10</v>
      </c>
      <c r="G1730" t="s">
        <v>55</v>
      </c>
      <c r="H1730" t="s">
        <v>111</v>
      </c>
      <c r="I1730" t="s">
        <v>2536</v>
      </c>
      <c r="J1730" t="s">
        <v>146</v>
      </c>
      <c r="K1730" t="s">
        <v>146</v>
      </c>
      <c r="L1730" t="s">
        <v>146</v>
      </c>
      <c r="M1730" t="s">
        <v>146</v>
      </c>
      <c r="N1730" t="s">
        <v>45</v>
      </c>
      <c r="O1730" t="s">
        <v>45</v>
      </c>
      <c r="P1730">
        <v>3</v>
      </c>
      <c r="Q1730" s="7">
        <v>46253</v>
      </c>
      <c r="R1730" s="7">
        <v>46253</v>
      </c>
      <c r="S1730" s="7">
        <v>46253</v>
      </c>
      <c r="T1730" t="s">
        <v>45</v>
      </c>
      <c r="V1730" t="s">
        <v>742</v>
      </c>
      <c r="W1730" t="s">
        <v>45</v>
      </c>
      <c r="X1730" t="s">
        <v>45</v>
      </c>
      <c r="Y1730" t="s">
        <v>45</v>
      </c>
      <c r="Z1730" t="s">
        <v>45</v>
      </c>
      <c r="AH1730" t="s">
        <v>75</v>
      </c>
      <c r="AI1730">
        <v>0</v>
      </c>
      <c r="AJ1730" s="15"/>
      <c r="AK1730" t="s">
        <v>74</v>
      </c>
      <c r="AL1730" s="16"/>
      <c r="AR1730" s="18" t="str">
        <f>IFERROR(VLOOKUP(K1730,[1]POP!$F:$J,1,0),M1730)</f>
        <v>KOLOFATA</v>
      </c>
      <c r="AS1730" s="18" t="str">
        <f t="shared" ref="AS1730:AS1793" si="136">IF(AR1730=K1730,J1730,L1730)</f>
        <v>KOLOFATA</v>
      </c>
      <c r="AT1730" s="19">
        <f t="shared" si="134"/>
        <v>0</v>
      </c>
      <c r="AU1730" s="19">
        <f t="shared" ca="1" si="133"/>
        <v>1</v>
      </c>
    </row>
    <row r="1731" spans="1:47" x14ac:dyDescent="0.3">
      <c r="A1731" t="s">
        <v>2539</v>
      </c>
      <c r="B1731" t="str">
        <f t="shared" si="135"/>
        <v>S34_2026</v>
      </c>
      <c r="C1731" t="str">
        <f t="shared" ref="C1731:C1794" si="137">"S"&amp;(IF(_xlfn.ISOWEEKNUM(Q1731)&gt;9,_xlfn.ISOWEEKNUM(Q1731),_xlfn.CONCAT("0",_xlfn.ISOWEEKNUM(Q1731))))&amp;"_"&amp;(YEAR(Q1731+26-(_xlfn.ISOWEEKNUM(Q1731))))</f>
        <v>S34_2026</v>
      </c>
      <c r="E1731" t="s">
        <v>143</v>
      </c>
      <c r="F1731">
        <v>5</v>
      </c>
      <c r="G1731" t="s">
        <v>55</v>
      </c>
      <c r="H1731" t="s">
        <v>111</v>
      </c>
      <c r="I1731" t="s">
        <v>2540</v>
      </c>
      <c r="J1731" t="s">
        <v>146</v>
      </c>
      <c r="K1731" t="s">
        <v>146</v>
      </c>
      <c r="L1731" t="s">
        <v>146</v>
      </c>
      <c r="M1731" t="s">
        <v>146</v>
      </c>
      <c r="N1731" t="s">
        <v>45</v>
      </c>
      <c r="O1731" t="s">
        <v>45</v>
      </c>
      <c r="P1731">
        <v>3</v>
      </c>
      <c r="Q1731" s="7">
        <v>46253</v>
      </c>
      <c r="R1731" s="7">
        <v>46253</v>
      </c>
      <c r="S1731" s="7">
        <v>46253</v>
      </c>
      <c r="T1731" t="s">
        <v>45</v>
      </c>
      <c r="V1731" t="s">
        <v>742</v>
      </c>
      <c r="W1731" t="s">
        <v>45</v>
      </c>
      <c r="X1731" t="s">
        <v>45</v>
      </c>
      <c r="Y1731" t="s">
        <v>45</v>
      </c>
      <c r="Z1731" t="s">
        <v>45</v>
      </c>
      <c r="AF1731">
        <v>2</v>
      </c>
      <c r="AH1731" t="s">
        <v>75</v>
      </c>
      <c r="AI1731">
        <v>1</v>
      </c>
      <c r="AJ1731" s="15"/>
      <c r="AK1731" t="s">
        <v>74</v>
      </c>
      <c r="AL1731" s="16"/>
      <c r="AR1731" s="18" t="str">
        <f>IFERROR(VLOOKUP(K1731,[1]POP!$F:$J,1,0),M1731)</f>
        <v>KOLOFATA</v>
      </c>
      <c r="AS1731" s="18" t="str">
        <f t="shared" si="136"/>
        <v>KOLOFATA</v>
      </c>
      <c r="AT1731" s="19">
        <f t="shared" si="134"/>
        <v>2</v>
      </c>
      <c r="AU1731" s="19">
        <f t="shared" ref="AU1731:AU1794" ca="1" si="138">IF((TODAY() - R1731)&lt;=21,1,2)</f>
        <v>1</v>
      </c>
    </row>
    <row r="1732" spans="1:47" x14ac:dyDescent="0.3">
      <c r="A1732" t="s">
        <v>2541</v>
      </c>
      <c r="B1732" t="str">
        <f t="shared" si="135"/>
        <v>S34_2026</v>
      </c>
      <c r="C1732" t="str">
        <f t="shared" si="137"/>
        <v>S34_2026</v>
      </c>
      <c r="E1732" t="s">
        <v>143</v>
      </c>
      <c r="F1732">
        <v>24</v>
      </c>
      <c r="G1732" t="s">
        <v>55</v>
      </c>
      <c r="H1732" t="s">
        <v>2542</v>
      </c>
      <c r="I1732" t="s">
        <v>2543</v>
      </c>
      <c r="J1732" t="s">
        <v>146</v>
      </c>
      <c r="K1732" t="s">
        <v>146</v>
      </c>
      <c r="L1732" t="s">
        <v>146</v>
      </c>
      <c r="M1732" t="s">
        <v>146</v>
      </c>
      <c r="N1732" t="s">
        <v>45</v>
      </c>
      <c r="O1732" t="s">
        <v>45</v>
      </c>
      <c r="P1732">
        <v>3</v>
      </c>
      <c r="Q1732" s="7">
        <v>46253</v>
      </c>
      <c r="R1732" s="7">
        <v>46253</v>
      </c>
      <c r="S1732" s="7">
        <v>46253</v>
      </c>
      <c r="T1732" t="s">
        <v>45</v>
      </c>
      <c r="V1732" t="s">
        <v>742</v>
      </c>
      <c r="W1732" t="s">
        <v>45</v>
      </c>
      <c r="X1732" t="s">
        <v>45</v>
      </c>
      <c r="Y1732" t="s">
        <v>45</v>
      </c>
      <c r="Z1732" t="s">
        <v>45</v>
      </c>
      <c r="AH1732" t="s">
        <v>75</v>
      </c>
      <c r="AI1732">
        <v>0</v>
      </c>
      <c r="AJ1732" s="15"/>
      <c r="AK1732" t="s">
        <v>74</v>
      </c>
      <c r="AL1732" s="16"/>
      <c r="AR1732" s="18" t="str">
        <f>IFERROR(VLOOKUP(K1732,[1]POP!$F:$J,1,0),M1732)</f>
        <v>KOLOFATA</v>
      </c>
      <c r="AS1732" s="18" t="str">
        <f t="shared" si="136"/>
        <v>KOLOFATA</v>
      </c>
      <c r="AT1732" s="19">
        <f t="shared" ref="AT1732:AT1795" si="139">IF($AI:$AI=2,3,IF($AI:$AI=3,3,IF($AI:$AI=4,3,IF($AI:$AI=1,2,0))))</f>
        <v>0</v>
      </c>
      <c r="AU1732" s="19">
        <f t="shared" ca="1" si="138"/>
        <v>1</v>
      </c>
    </row>
    <row r="1733" spans="1:47" x14ac:dyDescent="0.3">
      <c r="A1733" t="s">
        <v>2544</v>
      </c>
      <c r="B1733" t="str">
        <f t="shared" si="135"/>
        <v>S34_2026</v>
      </c>
      <c r="C1733" t="str">
        <f t="shared" si="137"/>
        <v>S34_2026</v>
      </c>
      <c r="E1733" t="s">
        <v>143</v>
      </c>
      <c r="F1733">
        <v>6</v>
      </c>
      <c r="G1733" t="s">
        <v>40</v>
      </c>
      <c r="H1733" t="s">
        <v>111</v>
      </c>
      <c r="I1733" t="s">
        <v>2536</v>
      </c>
      <c r="J1733" t="s">
        <v>146</v>
      </c>
      <c r="K1733" t="s">
        <v>146</v>
      </c>
      <c r="L1733" t="s">
        <v>146</v>
      </c>
      <c r="M1733" t="s">
        <v>146</v>
      </c>
      <c r="N1733" t="s">
        <v>45</v>
      </c>
      <c r="O1733" t="s">
        <v>45</v>
      </c>
      <c r="P1733">
        <v>3</v>
      </c>
      <c r="Q1733" s="7">
        <v>46253</v>
      </c>
      <c r="R1733" s="7">
        <v>46253</v>
      </c>
      <c r="S1733" s="7">
        <v>46253</v>
      </c>
      <c r="T1733" t="s">
        <v>45</v>
      </c>
      <c r="V1733" t="s">
        <v>742</v>
      </c>
      <c r="W1733" t="s">
        <v>45</v>
      </c>
      <c r="X1733" t="s">
        <v>45</v>
      </c>
      <c r="Y1733" t="s">
        <v>45</v>
      </c>
      <c r="Z1733" t="s">
        <v>45</v>
      </c>
      <c r="AH1733" t="s">
        <v>75</v>
      </c>
      <c r="AI1733">
        <v>0</v>
      </c>
      <c r="AJ1733" s="15"/>
      <c r="AK1733" t="s">
        <v>74</v>
      </c>
      <c r="AL1733" s="16"/>
      <c r="AR1733" s="18" t="str">
        <f>IFERROR(VLOOKUP(K1733,[1]POP!$F:$J,1,0),M1733)</f>
        <v>KOLOFATA</v>
      </c>
      <c r="AS1733" s="18" t="str">
        <f t="shared" si="136"/>
        <v>KOLOFATA</v>
      </c>
      <c r="AT1733" s="19">
        <f t="shared" si="139"/>
        <v>0</v>
      </c>
      <c r="AU1733" s="19">
        <f t="shared" ca="1" si="138"/>
        <v>1</v>
      </c>
    </row>
    <row r="1734" spans="1:47" x14ac:dyDescent="0.3">
      <c r="A1734" t="s">
        <v>2545</v>
      </c>
      <c r="B1734" t="str">
        <f t="shared" si="135"/>
        <v>S34_2026</v>
      </c>
      <c r="C1734" t="str">
        <f t="shared" si="137"/>
        <v>S34_2026</v>
      </c>
      <c r="E1734" t="s">
        <v>143</v>
      </c>
      <c r="F1734">
        <v>49</v>
      </c>
      <c r="G1734" t="s">
        <v>40</v>
      </c>
      <c r="H1734" t="s">
        <v>1924</v>
      </c>
      <c r="I1734" t="s">
        <v>739</v>
      </c>
      <c r="J1734" t="s">
        <v>146</v>
      </c>
      <c r="K1734" t="s">
        <v>146</v>
      </c>
      <c r="L1734" t="s">
        <v>146</v>
      </c>
      <c r="M1734" t="s">
        <v>146</v>
      </c>
      <c r="N1734" t="s">
        <v>45</v>
      </c>
      <c r="O1734" t="s">
        <v>45</v>
      </c>
      <c r="P1734">
        <v>3</v>
      </c>
      <c r="Q1734" s="7">
        <v>46253</v>
      </c>
      <c r="R1734" s="7">
        <v>46253</v>
      </c>
      <c r="S1734" s="7">
        <v>46253</v>
      </c>
      <c r="T1734" t="s">
        <v>45</v>
      </c>
      <c r="V1734" t="s">
        <v>742</v>
      </c>
      <c r="W1734" t="s">
        <v>45</v>
      </c>
      <c r="X1734" t="s">
        <v>45</v>
      </c>
      <c r="Y1734" t="s">
        <v>45</v>
      </c>
      <c r="Z1734" t="s">
        <v>45</v>
      </c>
      <c r="AF1734">
        <v>2</v>
      </c>
      <c r="AH1734" t="s">
        <v>75</v>
      </c>
      <c r="AI1734">
        <v>1</v>
      </c>
      <c r="AJ1734" s="15"/>
      <c r="AK1734" t="s">
        <v>74</v>
      </c>
      <c r="AL1734" s="16"/>
      <c r="AR1734" s="18" t="str">
        <f>IFERROR(VLOOKUP(K1734,[1]POP!$F:$J,1,0),M1734)</f>
        <v>KOLOFATA</v>
      </c>
      <c r="AS1734" s="18" t="str">
        <f t="shared" si="136"/>
        <v>KOLOFATA</v>
      </c>
      <c r="AT1734" s="19">
        <f t="shared" si="139"/>
        <v>2</v>
      </c>
      <c r="AU1734" s="19">
        <f t="shared" ca="1" si="138"/>
        <v>1</v>
      </c>
    </row>
    <row r="1735" spans="1:47" x14ac:dyDescent="0.3">
      <c r="A1735" t="s">
        <v>2546</v>
      </c>
      <c r="B1735" t="str">
        <f t="shared" si="135"/>
        <v>S34_2026</v>
      </c>
      <c r="C1735" t="str">
        <f t="shared" si="137"/>
        <v>S34_2026</v>
      </c>
      <c r="E1735" t="s">
        <v>143</v>
      </c>
      <c r="F1735">
        <v>9</v>
      </c>
      <c r="G1735" t="s">
        <v>55</v>
      </c>
      <c r="H1735" t="s">
        <v>111</v>
      </c>
      <c r="I1735" t="s">
        <v>739</v>
      </c>
      <c r="J1735" t="s">
        <v>146</v>
      </c>
      <c r="K1735" t="s">
        <v>146</v>
      </c>
      <c r="L1735" t="s">
        <v>146</v>
      </c>
      <c r="M1735" t="s">
        <v>146</v>
      </c>
      <c r="N1735" t="s">
        <v>45</v>
      </c>
      <c r="O1735" t="s">
        <v>45</v>
      </c>
      <c r="P1735">
        <v>3</v>
      </c>
      <c r="Q1735" s="7">
        <v>46253</v>
      </c>
      <c r="R1735" s="7">
        <v>46253</v>
      </c>
      <c r="S1735" s="7">
        <v>46253</v>
      </c>
      <c r="T1735" t="s">
        <v>45</v>
      </c>
      <c r="V1735" t="s">
        <v>742</v>
      </c>
      <c r="W1735" t="s">
        <v>45</v>
      </c>
      <c r="X1735" t="s">
        <v>45</v>
      </c>
      <c r="Y1735" t="s">
        <v>45</v>
      </c>
      <c r="Z1735" t="s">
        <v>45</v>
      </c>
      <c r="AH1735" t="s">
        <v>75</v>
      </c>
      <c r="AI1735">
        <v>0</v>
      </c>
      <c r="AJ1735" s="15"/>
      <c r="AK1735" t="s">
        <v>74</v>
      </c>
      <c r="AL1735" s="16"/>
      <c r="AR1735" s="18" t="str">
        <f>IFERROR(VLOOKUP(K1735,[1]POP!$F:$J,1,0),M1735)</f>
        <v>KOLOFATA</v>
      </c>
      <c r="AS1735" s="18" t="str">
        <f t="shared" si="136"/>
        <v>KOLOFATA</v>
      </c>
      <c r="AT1735" s="19">
        <f t="shared" si="139"/>
        <v>0</v>
      </c>
      <c r="AU1735" s="19">
        <f t="shared" ca="1" si="138"/>
        <v>1</v>
      </c>
    </row>
    <row r="1736" spans="1:47" x14ac:dyDescent="0.3">
      <c r="A1736" t="s">
        <v>2547</v>
      </c>
      <c r="B1736" t="str">
        <f t="shared" si="135"/>
        <v>S34_2026</v>
      </c>
      <c r="C1736" t="str">
        <f t="shared" si="137"/>
        <v>S34_2026</v>
      </c>
      <c r="E1736" t="s">
        <v>143</v>
      </c>
      <c r="F1736">
        <v>4</v>
      </c>
      <c r="G1736" t="s">
        <v>40</v>
      </c>
      <c r="H1736" t="s">
        <v>111</v>
      </c>
      <c r="I1736" t="s">
        <v>739</v>
      </c>
      <c r="J1736" t="s">
        <v>146</v>
      </c>
      <c r="K1736" t="s">
        <v>146</v>
      </c>
      <c r="L1736" t="s">
        <v>146</v>
      </c>
      <c r="M1736" t="s">
        <v>146</v>
      </c>
      <c r="N1736" t="s">
        <v>45</v>
      </c>
      <c r="O1736" t="s">
        <v>45</v>
      </c>
      <c r="P1736">
        <v>3</v>
      </c>
      <c r="Q1736" s="7">
        <v>46253</v>
      </c>
      <c r="R1736" s="7">
        <v>46253</v>
      </c>
      <c r="S1736" s="7">
        <v>46253</v>
      </c>
      <c r="T1736" t="s">
        <v>45</v>
      </c>
      <c r="V1736" t="s">
        <v>742</v>
      </c>
      <c r="W1736" t="s">
        <v>45</v>
      </c>
      <c r="X1736" t="s">
        <v>45</v>
      </c>
      <c r="Y1736" t="s">
        <v>45</v>
      </c>
      <c r="Z1736" t="s">
        <v>45</v>
      </c>
      <c r="AH1736" t="s">
        <v>75</v>
      </c>
      <c r="AI1736">
        <v>0</v>
      </c>
      <c r="AJ1736" s="15"/>
      <c r="AK1736" t="s">
        <v>74</v>
      </c>
      <c r="AL1736" s="16"/>
      <c r="AR1736" s="18" t="str">
        <f>IFERROR(VLOOKUP(K1736,[1]POP!$F:$J,1,0),M1736)</f>
        <v>KOLOFATA</v>
      </c>
      <c r="AS1736" s="18" t="str">
        <f t="shared" si="136"/>
        <v>KOLOFATA</v>
      </c>
      <c r="AT1736" s="19">
        <f t="shared" si="139"/>
        <v>0</v>
      </c>
      <c r="AU1736" s="19">
        <f t="shared" ca="1" si="138"/>
        <v>1</v>
      </c>
    </row>
    <row r="1737" spans="1:47" x14ac:dyDescent="0.3">
      <c r="A1737" t="s">
        <v>2548</v>
      </c>
      <c r="B1737" t="str">
        <f t="shared" si="135"/>
        <v>S34_2026</v>
      </c>
      <c r="C1737" t="str">
        <f t="shared" si="137"/>
        <v>S34_2026</v>
      </c>
      <c r="E1737" t="s">
        <v>143</v>
      </c>
      <c r="F1737">
        <v>22</v>
      </c>
      <c r="G1737" t="s">
        <v>40</v>
      </c>
      <c r="H1737" t="s">
        <v>1924</v>
      </c>
      <c r="I1737" t="s">
        <v>2519</v>
      </c>
      <c r="J1737" t="s">
        <v>146</v>
      </c>
      <c r="K1737" t="s">
        <v>146</v>
      </c>
      <c r="L1737" t="s">
        <v>146</v>
      </c>
      <c r="M1737" t="s">
        <v>146</v>
      </c>
      <c r="N1737" t="s">
        <v>45</v>
      </c>
      <c r="O1737" t="s">
        <v>45</v>
      </c>
      <c r="P1737">
        <v>3</v>
      </c>
      <c r="Q1737" s="7">
        <v>46253</v>
      </c>
      <c r="R1737" s="7">
        <v>46253</v>
      </c>
      <c r="S1737" s="7">
        <v>46253</v>
      </c>
      <c r="T1737" t="s">
        <v>45</v>
      </c>
      <c r="V1737" t="s">
        <v>742</v>
      </c>
      <c r="W1737" t="s">
        <v>45</v>
      </c>
      <c r="X1737" t="s">
        <v>45</v>
      </c>
      <c r="Y1737" t="s">
        <v>45</v>
      </c>
      <c r="Z1737" t="s">
        <v>45</v>
      </c>
      <c r="AF1737">
        <v>2</v>
      </c>
      <c r="AH1737" t="s">
        <v>75</v>
      </c>
      <c r="AI1737">
        <v>1</v>
      </c>
      <c r="AJ1737" s="15"/>
      <c r="AK1737" t="s">
        <v>74</v>
      </c>
      <c r="AL1737" s="16"/>
      <c r="AR1737" s="18" t="str">
        <f>IFERROR(VLOOKUP(K1737,[1]POP!$F:$J,1,0),M1737)</f>
        <v>KOLOFATA</v>
      </c>
      <c r="AS1737" s="18" t="str">
        <f t="shared" si="136"/>
        <v>KOLOFATA</v>
      </c>
      <c r="AT1737" s="19">
        <f t="shared" si="139"/>
        <v>2</v>
      </c>
      <c r="AU1737" s="19">
        <f t="shared" ca="1" si="138"/>
        <v>1</v>
      </c>
    </row>
    <row r="1738" spans="1:47" x14ac:dyDescent="0.3">
      <c r="A1738" t="s">
        <v>2549</v>
      </c>
      <c r="B1738" t="str">
        <f t="shared" si="135"/>
        <v>S34_2026</v>
      </c>
      <c r="C1738" t="str">
        <f t="shared" si="137"/>
        <v>S34_2026</v>
      </c>
      <c r="E1738" t="s">
        <v>143</v>
      </c>
      <c r="F1738">
        <v>35</v>
      </c>
      <c r="G1738" t="s">
        <v>40</v>
      </c>
      <c r="H1738" t="s">
        <v>1924</v>
      </c>
      <c r="I1738" t="s">
        <v>2519</v>
      </c>
      <c r="J1738" t="s">
        <v>146</v>
      </c>
      <c r="K1738" t="s">
        <v>146</v>
      </c>
      <c r="L1738" t="s">
        <v>146</v>
      </c>
      <c r="M1738" t="s">
        <v>146</v>
      </c>
      <c r="N1738" t="s">
        <v>45</v>
      </c>
      <c r="O1738" t="s">
        <v>45</v>
      </c>
      <c r="P1738">
        <v>3</v>
      </c>
      <c r="Q1738" s="7">
        <v>46253</v>
      </c>
      <c r="R1738" s="7">
        <v>46253</v>
      </c>
      <c r="S1738" s="7">
        <v>46253</v>
      </c>
      <c r="T1738" t="s">
        <v>45</v>
      </c>
      <c r="V1738" t="s">
        <v>742</v>
      </c>
      <c r="W1738" t="s">
        <v>45</v>
      </c>
      <c r="X1738" t="s">
        <v>45</v>
      </c>
      <c r="Y1738" t="s">
        <v>45</v>
      </c>
      <c r="Z1738" t="s">
        <v>45</v>
      </c>
      <c r="AH1738" t="s">
        <v>75</v>
      </c>
      <c r="AI1738">
        <v>0</v>
      </c>
      <c r="AJ1738" s="15"/>
      <c r="AK1738" t="s">
        <v>74</v>
      </c>
      <c r="AL1738" s="16"/>
      <c r="AR1738" s="18" t="str">
        <f>IFERROR(VLOOKUP(K1738,[1]POP!$F:$J,1,0),M1738)</f>
        <v>KOLOFATA</v>
      </c>
      <c r="AS1738" s="18" t="str">
        <f t="shared" si="136"/>
        <v>KOLOFATA</v>
      </c>
      <c r="AT1738" s="19">
        <f t="shared" si="139"/>
        <v>0</v>
      </c>
      <c r="AU1738" s="19">
        <f t="shared" ca="1" si="138"/>
        <v>1</v>
      </c>
    </row>
    <row r="1739" spans="1:47" x14ac:dyDescent="0.3">
      <c r="A1739" t="s">
        <v>2550</v>
      </c>
      <c r="B1739" t="str">
        <f t="shared" si="135"/>
        <v>S34_2026</v>
      </c>
      <c r="C1739" t="str">
        <f t="shared" si="137"/>
        <v>S34_2026</v>
      </c>
      <c r="E1739" t="s">
        <v>143</v>
      </c>
      <c r="F1739">
        <v>38</v>
      </c>
      <c r="G1739" t="s">
        <v>40</v>
      </c>
      <c r="H1739" t="s">
        <v>1924</v>
      </c>
      <c r="I1739" t="s">
        <v>2013</v>
      </c>
      <c r="J1739" t="s">
        <v>146</v>
      </c>
      <c r="K1739" t="s">
        <v>146</v>
      </c>
      <c r="L1739" t="s">
        <v>146</v>
      </c>
      <c r="M1739" t="s">
        <v>146</v>
      </c>
      <c r="N1739" t="s">
        <v>45</v>
      </c>
      <c r="O1739" t="s">
        <v>45</v>
      </c>
      <c r="P1739">
        <v>3</v>
      </c>
      <c r="Q1739" s="7">
        <v>46253</v>
      </c>
      <c r="R1739" s="7">
        <v>46253</v>
      </c>
      <c r="S1739" s="7">
        <v>46253</v>
      </c>
      <c r="T1739" t="s">
        <v>45</v>
      </c>
      <c r="V1739" t="s">
        <v>742</v>
      </c>
      <c r="W1739" t="s">
        <v>45</v>
      </c>
      <c r="X1739" t="s">
        <v>45</v>
      </c>
      <c r="Y1739" t="s">
        <v>45</v>
      </c>
      <c r="Z1739" t="s">
        <v>45</v>
      </c>
      <c r="AH1739" t="s">
        <v>75</v>
      </c>
      <c r="AI1739">
        <v>0</v>
      </c>
      <c r="AJ1739" s="15"/>
      <c r="AK1739" t="s">
        <v>74</v>
      </c>
      <c r="AL1739" s="16"/>
      <c r="AR1739" s="18" t="str">
        <f>IFERROR(VLOOKUP(K1739,[1]POP!$F:$J,1,0),M1739)</f>
        <v>KOLOFATA</v>
      </c>
      <c r="AS1739" s="18" t="str">
        <f t="shared" si="136"/>
        <v>KOLOFATA</v>
      </c>
      <c r="AT1739" s="19">
        <f t="shared" si="139"/>
        <v>0</v>
      </c>
      <c r="AU1739" s="19">
        <f t="shared" ca="1" si="138"/>
        <v>1</v>
      </c>
    </row>
    <row r="1740" spans="1:47" x14ac:dyDescent="0.3">
      <c r="A1740" t="s">
        <v>2551</v>
      </c>
      <c r="B1740" t="str">
        <f t="shared" si="135"/>
        <v>S34_2026</v>
      </c>
      <c r="C1740" t="str">
        <f t="shared" si="137"/>
        <v>S34_2026</v>
      </c>
      <c r="E1740" t="s">
        <v>143</v>
      </c>
      <c r="F1740">
        <v>5</v>
      </c>
      <c r="G1740" t="s">
        <v>40</v>
      </c>
      <c r="H1740" t="s">
        <v>111</v>
      </c>
      <c r="I1740" t="s">
        <v>2519</v>
      </c>
      <c r="J1740" t="s">
        <v>146</v>
      </c>
      <c r="K1740" t="s">
        <v>146</v>
      </c>
      <c r="L1740" t="s">
        <v>146</v>
      </c>
      <c r="M1740" t="s">
        <v>146</v>
      </c>
      <c r="N1740" t="s">
        <v>45</v>
      </c>
      <c r="O1740" t="s">
        <v>45</v>
      </c>
      <c r="P1740">
        <v>3</v>
      </c>
      <c r="Q1740" s="7">
        <v>46254</v>
      </c>
      <c r="R1740" s="7">
        <v>46254</v>
      </c>
      <c r="S1740" s="7">
        <v>46254</v>
      </c>
      <c r="T1740" t="s">
        <v>45</v>
      </c>
      <c r="V1740" t="s">
        <v>742</v>
      </c>
      <c r="W1740" t="s">
        <v>45</v>
      </c>
      <c r="X1740" t="s">
        <v>45</v>
      </c>
      <c r="Y1740" t="s">
        <v>45</v>
      </c>
      <c r="Z1740" t="s">
        <v>45</v>
      </c>
      <c r="AF1740">
        <v>2</v>
      </c>
      <c r="AH1740" t="s">
        <v>75</v>
      </c>
      <c r="AI1740">
        <v>1</v>
      </c>
      <c r="AJ1740" s="15"/>
      <c r="AK1740" t="s">
        <v>74</v>
      </c>
      <c r="AL1740" s="16"/>
      <c r="AR1740" s="18" t="str">
        <f>IFERROR(VLOOKUP(K1740,[1]POP!$F:$J,1,0),M1740)</f>
        <v>KOLOFATA</v>
      </c>
      <c r="AS1740" s="18" t="str">
        <f t="shared" si="136"/>
        <v>KOLOFATA</v>
      </c>
      <c r="AT1740" s="19">
        <f t="shared" si="139"/>
        <v>2</v>
      </c>
      <c r="AU1740" s="19">
        <f t="shared" ca="1" si="138"/>
        <v>1</v>
      </c>
    </row>
    <row r="1741" spans="1:47" x14ac:dyDescent="0.3">
      <c r="A1741" t="s">
        <v>2552</v>
      </c>
      <c r="B1741" t="str">
        <f t="shared" si="135"/>
        <v>S34_2026</v>
      </c>
      <c r="C1741" t="str">
        <f t="shared" si="137"/>
        <v>S34_2026</v>
      </c>
      <c r="E1741" t="s">
        <v>143</v>
      </c>
      <c r="F1741">
        <v>1</v>
      </c>
      <c r="G1741" t="s">
        <v>55</v>
      </c>
      <c r="H1741" t="s">
        <v>111</v>
      </c>
      <c r="I1741" t="s">
        <v>2553</v>
      </c>
      <c r="J1741" t="s">
        <v>146</v>
      </c>
      <c r="K1741" t="s">
        <v>146</v>
      </c>
      <c r="L1741" t="s">
        <v>146</v>
      </c>
      <c r="M1741" t="s">
        <v>146</v>
      </c>
      <c r="N1741" t="s">
        <v>45</v>
      </c>
      <c r="O1741" t="s">
        <v>45</v>
      </c>
      <c r="P1741">
        <v>3</v>
      </c>
      <c r="Q1741" s="7">
        <v>46254</v>
      </c>
      <c r="R1741" s="7">
        <v>46254</v>
      </c>
      <c r="S1741" s="7">
        <v>46254</v>
      </c>
      <c r="T1741" t="s">
        <v>45</v>
      </c>
      <c r="V1741" t="s">
        <v>742</v>
      </c>
      <c r="W1741" t="s">
        <v>45</v>
      </c>
      <c r="X1741" t="s">
        <v>45</v>
      </c>
      <c r="Y1741" t="s">
        <v>45</v>
      </c>
      <c r="Z1741" t="s">
        <v>45</v>
      </c>
      <c r="AH1741" t="s">
        <v>75</v>
      </c>
      <c r="AI1741">
        <v>0</v>
      </c>
      <c r="AJ1741" s="15"/>
      <c r="AK1741" t="s">
        <v>74</v>
      </c>
      <c r="AL1741" s="16"/>
      <c r="AR1741" s="18" t="str">
        <f>IFERROR(VLOOKUP(K1741,[1]POP!$F:$J,1,0),M1741)</f>
        <v>KOLOFATA</v>
      </c>
      <c r="AS1741" s="18" t="str">
        <f t="shared" si="136"/>
        <v>KOLOFATA</v>
      </c>
      <c r="AT1741" s="19">
        <f t="shared" si="139"/>
        <v>0</v>
      </c>
      <c r="AU1741" s="19">
        <f t="shared" ca="1" si="138"/>
        <v>1</v>
      </c>
    </row>
    <row r="1742" spans="1:47" x14ac:dyDescent="0.3">
      <c r="A1742" t="s">
        <v>2554</v>
      </c>
      <c r="B1742" t="str">
        <f t="shared" si="135"/>
        <v>S34_2026</v>
      </c>
      <c r="C1742" t="str">
        <f t="shared" si="137"/>
        <v>S34_2026</v>
      </c>
      <c r="E1742" t="s">
        <v>143</v>
      </c>
      <c r="F1742">
        <v>1</v>
      </c>
      <c r="G1742" t="s">
        <v>55</v>
      </c>
      <c r="H1742" t="s">
        <v>111</v>
      </c>
      <c r="I1742" t="s">
        <v>2519</v>
      </c>
      <c r="J1742" t="s">
        <v>146</v>
      </c>
      <c r="K1742" t="s">
        <v>146</v>
      </c>
      <c r="L1742" t="s">
        <v>146</v>
      </c>
      <c r="M1742" t="s">
        <v>146</v>
      </c>
      <c r="N1742" t="s">
        <v>45</v>
      </c>
      <c r="O1742" t="s">
        <v>45</v>
      </c>
      <c r="P1742">
        <v>3</v>
      </c>
      <c r="Q1742" s="7">
        <v>46254</v>
      </c>
      <c r="R1742" s="7">
        <v>46254</v>
      </c>
      <c r="S1742" s="7">
        <v>46254</v>
      </c>
      <c r="T1742" t="s">
        <v>45</v>
      </c>
      <c r="V1742" t="s">
        <v>742</v>
      </c>
      <c r="W1742" t="s">
        <v>45</v>
      </c>
      <c r="X1742" t="s">
        <v>45</v>
      </c>
      <c r="Y1742" t="s">
        <v>45</v>
      </c>
      <c r="Z1742" t="s">
        <v>45</v>
      </c>
      <c r="AF1742">
        <v>2</v>
      </c>
      <c r="AH1742" t="s">
        <v>75</v>
      </c>
      <c r="AI1742">
        <v>1</v>
      </c>
      <c r="AJ1742" s="15"/>
      <c r="AK1742" t="s">
        <v>74</v>
      </c>
      <c r="AL1742" s="16"/>
      <c r="AR1742" s="18" t="str">
        <f>IFERROR(VLOOKUP(K1742,[1]POP!$F:$J,1,0),M1742)</f>
        <v>KOLOFATA</v>
      </c>
      <c r="AS1742" s="18" t="str">
        <f t="shared" si="136"/>
        <v>KOLOFATA</v>
      </c>
      <c r="AT1742" s="19">
        <f t="shared" si="139"/>
        <v>2</v>
      </c>
      <c r="AU1742" s="19">
        <f t="shared" ca="1" si="138"/>
        <v>1</v>
      </c>
    </row>
    <row r="1743" spans="1:47" x14ac:dyDescent="0.3">
      <c r="A1743" t="s">
        <v>2555</v>
      </c>
      <c r="B1743" t="str">
        <f t="shared" si="135"/>
        <v>S34_2026</v>
      </c>
      <c r="C1743" t="str">
        <f t="shared" si="137"/>
        <v>S34_2026</v>
      </c>
      <c r="E1743" t="s">
        <v>143</v>
      </c>
      <c r="F1743">
        <v>7</v>
      </c>
      <c r="G1743" t="s">
        <v>40</v>
      </c>
      <c r="H1743" t="s">
        <v>111</v>
      </c>
      <c r="I1743" t="s">
        <v>2519</v>
      </c>
      <c r="J1743" t="s">
        <v>146</v>
      </c>
      <c r="K1743" t="s">
        <v>146</v>
      </c>
      <c r="L1743" t="s">
        <v>146</v>
      </c>
      <c r="M1743" t="s">
        <v>146</v>
      </c>
      <c r="N1743" t="s">
        <v>45</v>
      </c>
      <c r="O1743" t="s">
        <v>45</v>
      </c>
      <c r="P1743">
        <v>3</v>
      </c>
      <c r="Q1743" s="7">
        <v>46254</v>
      </c>
      <c r="R1743" s="7">
        <v>46254</v>
      </c>
      <c r="S1743" s="7">
        <v>46254</v>
      </c>
      <c r="T1743" t="s">
        <v>45</v>
      </c>
      <c r="V1743" t="s">
        <v>742</v>
      </c>
      <c r="W1743" t="s">
        <v>45</v>
      </c>
      <c r="X1743" t="s">
        <v>45</v>
      </c>
      <c r="Y1743" t="s">
        <v>45</v>
      </c>
      <c r="Z1743" t="s">
        <v>45</v>
      </c>
      <c r="AF1743">
        <v>2</v>
      </c>
      <c r="AH1743" t="s">
        <v>75</v>
      </c>
      <c r="AI1743">
        <v>1</v>
      </c>
      <c r="AJ1743" s="15"/>
      <c r="AK1743" t="s">
        <v>74</v>
      </c>
      <c r="AL1743" s="16"/>
      <c r="AR1743" s="18" t="str">
        <f>IFERROR(VLOOKUP(K1743,[1]POP!$F:$J,1,0),M1743)</f>
        <v>KOLOFATA</v>
      </c>
      <c r="AS1743" s="18" t="str">
        <f t="shared" si="136"/>
        <v>KOLOFATA</v>
      </c>
      <c r="AT1743" s="19">
        <f t="shared" si="139"/>
        <v>2</v>
      </c>
      <c r="AU1743" s="19">
        <f t="shared" ca="1" si="138"/>
        <v>1</v>
      </c>
    </row>
    <row r="1744" spans="1:47" x14ac:dyDescent="0.3">
      <c r="A1744" t="s">
        <v>2556</v>
      </c>
      <c r="B1744" t="str">
        <f t="shared" si="135"/>
        <v>S34_2026</v>
      </c>
      <c r="C1744" t="str">
        <f t="shared" si="137"/>
        <v>S34_2026</v>
      </c>
      <c r="E1744" t="s">
        <v>143</v>
      </c>
      <c r="F1744">
        <v>5</v>
      </c>
      <c r="G1744" t="s">
        <v>40</v>
      </c>
      <c r="H1744" t="s">
        <v>111</v>
      </c>
      <c r="I1744" t="s">
        <v>2557</v>
      </c>
      <c r="J1744" t="s">
        <v>146</v>
      </c>
      <c r="K1744" t="s">
        <v>146</v>
      </c>
      <c r="L1744" t="s">
        <v>146</v>
      </c>
      <c r="M1744" t="s">
        <v>146</v>
      </c>
      <c r="N1744" t="s">
        <v>45</v>
      </c>
      <c r="O1744" t="s">
        <v>45</v>
      </c>
      <c r="P1744">
        <v>3</v>
      </c>
      <c r="Q1744" s="7">
        <v>46254</v>
      </c>
      <c r="R1744" s="7">
        <v>46254</v>
      </c>
      <c r="S1744" s="7">
        <v>46254</v>
      </c>
      <c r="T1744" t="s">
        <v>45</v>
      </c>
      <c r="V1744" t="s">
        <v>742</v>
      </c>
      <c r="W1744" t="s">
        <v>45</v>
      </c>
      <c r="X1744" t="s">
        <v>45</v>
      </c>
      <c r="Y1744" t="s">
        <v>45</v>
      </c>
      <c r="Z1744" t="s">
        <v>45</v>
      </c>
      <c r="AF1744">
        <v>2</v>
      </c>
      <c r="AH1744" t="s">
        <v>75</v>
      </c>
      <c r="AI1744">
        <v>1</v>
      </c>
      <c r="AJ1744" s="15"/>
      <c r="AK1744" t="s">
        <v>74</v>
      </c>
      <c r="AL1744" s="16"/>
      <c r="AR1744" s="18" t="str">
        <f>IFERROR(VLOOKUP(K1744,[1]POP!$F:$J,1,0),M1744)</f>
        <v>KOLOFATA</v>
      </c>
      <c r="AS1744" s="18" t="str">
        <f t="shared" si="136"/>
        <v>KOLOFATA</v>
      </c>
      <c r="AT1744" s="19">
        <f t="shared" si="139"/>
        <v>2</v>
      </c>
      <c r="AU1744" s="19">
        <f t="shared" ca="1" si="138"/>
        <v>1</v>
      </c>
    </row>
    <row r="1745" spans="1:47" x14ac:dyDescent="0.3">
      <c r="A1745" t="s">
        <v>2558</v>
      </c>
      <c r="B1745" t="str">
        <f t="shared" si="135"/>
        <v>S34_2026</v>
      </c>
      <c r="C1745" t="str">
        <f t="shared" si="137"/>
        <v>S34_2026</v>
      </c>
      <c r="E1745" t="s">
        <v>143</v>
      </c>
      <c r="F1745">
        <v>60</v>
      </c>
      <c r="G1745" t="s">
        <v>40</v>
      </c>
      <c r="H1745" t="s">
        <v>1924</v>
      </c>
      <c r="I1745" t="s">
        <v>2559</v>
      </c>
      <c r="J1745" t="s">
        <v>146</v>
      </c>
      <c r="K1745" t="s">
        <v>146</v>
      </c>
      <c r="L1745" t="s">
        <v>146</v>
      </c>
      <c r="M1745" t="s">
        <v>146</v>
      </c>
      <c r="N1745" t="s">
        <v>45</v>
      </c>
      <c r="O1745" t="s">
        <v>45</v>
      </c>
      <c r="P1745">
        <v>3</v>
      </c>
      <c r="Q1745" s="7">
        <v>46254</v>
      </c>
      <c r="R1745" s="7">
        <v>46254</v>
      </c>
      <c r="S1745" s="7">
        <v>46254</v>
      </c>
      <c r="T1745" t="s">
        <v>45</v>
      </c>
      <c r="V1745" t="s">
        <v>742</v>
      </c>
      <c r="W1745" t="s">
        <v>45</v>
      </c>
      <c r="X1745" t="s">
        <v>45</v>
      </c>
      <c r="Y1745" t="s">
        <v>45</v>
      </c>
      <c r="Z1745" t="s">
        <v>45</v>
      </c>
      <c r="AH1745" t="s">
        <v>75</v>
      </c>
      <c r="AI1745">
        <v>0</v>
      </c>
      <c r="AJ1745" s="15"/>
      <c r="AK1745" t="s">
        <v>74</v>
      </c>
      <c r="AL1745" s="16"/>
      <c r="AR1745" s="18" t="str">
        <f>IFERROR(VLOOKUP(K1745,[1]POP!$F:$J,1,0),M1745)</f>
        <v>KOLOFATA</v>
      </c>
      <c r="AS1745" s="18" t="str">
        <f t="shared" si="136"/>
        <v>KOLOFATA</v>
      </c>
      <c r="AT1745" s="19">
        <f t="shared" si="139"/>
        <v>0</v>
      </c>
      <c r="AU1745" s="19">
        <f t="shared" ca="1" si="138"/>
        <v>1</v>
      </c>
    </row>
    <row r="1746" spans="1:47" x14ac:dyDescent="0.3">
      <c r="A1746" t="s">
        <v>2560</v>
      </c>
      <c r="B1746" t="str">
        <f t="shared" si="135"/>
        <v>S34_2026</v>
      </c>
      <c r="C1746" t="str">
        <f t="shared" si="137"/>
        <v>S34_2026</v>
      </c>
      <c r="E1746" t="s">
        <v>143</v>
      </c>
      <c r="F1746">
        <v>5</v>
      </c>
      <c r="G1746" t="s">
        <v>55</v>
      </c>
      <c r="H1746" t="s">
        <v>111</v>
      </c>
      <c r="I1746" t="s">
        <v>1968</v>
      </c>
      <c r="J1746" t="s">
        <v>146</v>
      </c>
      <c r="K1746" t="s">
        <v>146</v>
      </c>
      <c r="L1746" t="s">
        <v>146</v>
      </c>
      <c r="M1746" t="s">
        <v>146</v>
      </c>
      <c r="N1746" t="s">
        <v>45</v>
      </c>
      <c r="O1746" t="s">
        <v>45</v>
      </c>
      <c r="P1746">
        <v>3</v>
      </c>
      <c r="Q1746" s="7">
        <v>46254</v>
      </c>
      <c r="R1746" s="7">
        <v>46254</v>
      </c>
      <c r="S1746" s="7">
        <v>46254</v>
      </c>
      <c r="T1746" t="s">
        <v>45</v>
      </c>
      <c r="V1746" t="s">
        <v>742</v>
      </c>
      <c r="W1746" t="s">
        <v>45</v>
      </c>
      <c r="X1746" t="s">
        <v>45</v>
      </c>
      <c r="Y1746" t="s">
        <v>45</v>
      </c>
      <c r="Z1746" t="s">
        <v>45</v>
      </c>
      <c r="AF1746">
        <v>2</v>
      </c>
      <c r="AH1746" t="s">
        <v>75</v>
      </c>
      <c r="AI1746">
        <v>1</v>
      </c>
      <c r="AJ1746" s="15"/>
      <c r="AK1746" t="s">
        <v>74</v>
      </c>
      <c r="AL1746" s="16"/>
      <c r="AR1746" s="18" t="str">
        <f>IFERROR(VLOOKUP(K1746,[1]POP!$F:$J,1,0),M1746)</f>
        <v>KOLOFATA</v>
      </c>
      <c r="AS1746" s="18" t="str">
        <f t="shared" si="136"/>
        <v>KOLOFATA</v>
      </c>
      <c r="AT1746" s="19">
        <f t="shared" si="139"/>
        <v>2</v>
      </c>
      <c r="AU1746" s="19">
        <f t="shared" ca="1" si="138"/>
        <v>1</v>
      </c>
    </row>
    <row r="1747" spans="1:47" x14ac:dyDescent="0.3">
      <c r="A1747" t="s">
        <v>2561</v>
      </c>
      <c r="B1747" t="str">
        <f t="shared" si="135"/>
        <v>S34_2026</v>
      </c>
      <c r="C1747" t="str">
        <f t="shared" si="137"/>
        <v>S34_2026</v>
      </c>
      <c r="E1747" t="s">
        <v>143</v>
      </c>
      <c r="F1747">
        <v>4</v>
      </c>
      <c r="G1747" t="s">
        <v>40</v>
      </c>
      <c r="H1747" t="s">
        <v>111</v>
      </c>
      <c r="I1747" t="s">
        <v>2001</v>
      </c>
      <c r="J1747" t="s">
        <v>146</v>
      </c>
      <c r="K1747" t="s">
        <v>146</v>
      </c>
      <c r="L1747" t="s">
        <v>146</v>
      </c>
      <c r="M1747" t="s">
        <v>146</v>
      </c>
      <c r="N1747" t="s">
        <v>45</v>
      </c>
      <c r="O1747" t="s">
        <v>45</v>
      </c>
      <c r="P1747">
        <v>3</v>
      </c>
      <c r="Q1747" s="7">
        <v>46254</v>
      </c>
      <c r="R1747" s="7">
        <v>46254</v>
      </c>
      <c r="S1747" s="7">
        <v>46254</v>
      </c>
      <c r="T1747" t="s">
        <v>45</v>
      </c>
      <c r="V1747" t="s">
        <v>742</v>
      </c>
      <c r="W1747" t="s">
        <v>45</v>
      </c>
      <c r="X1747" t="s">
        <v>45</v>
      </c>
      <c r="Y1747" t="s">
        <v>45</v>
      </c>
      <c r="Z1747" t="s">
        <v>45</v>
      </c>
      <c r="AH1747" t="s">
        <v>75</v>
      </c>
      <c r="AI1747">
        <v>0</v>
      </c>
      <c r="AJ1747" s="15"/>
      <c r="AK1747" t="s">
        <v>74</v>
      </c>
      <c r="AL1747" s="16"/>
      <c r="AR1747" s="18" t="str">
        <f>IFERROR(VLOOKUP(K1747,[1]POP!$F:$J,1,0),M1747)</f>
        <v>KOLOFATA</v>
      </c>
      <c r="AS1747" s="18" t="str">
        <f t="shared" si="136"/>
        <v>KOLOFATA</v>
      </c>
      <c r="AT1747" s="19">
        <f t="shared" si="139"/>
        <v>0</v>
      </c>
      <c r="AU1747" s="19">
        <f t="shared" ca="1" si="138"/>
        <v>1</v>
      </c>
    </row>
    <row r="1748" spans="1:47" x14ac:dyDescent="0.3">
      <c r="A1748" t="s">
        <v>2562</v>
      </c>
      <c r="B1748" t="str">
        <f t="shared" si="135"/>
        <v>S34_2026</v>
      </c>
      <c r="C1748" t="str">
        <f t="shared" si="137"/>
        <v>S34_2026</v>
      </c>
      <c r="E1748" t="s">
        <v>143</v>
      </c>
      <c r="F1748">
        <v>3.5</v>
      </c>
      <c r="G1748" t="s">
        <v>55</v>
      </c>
      <c r="H1748" t="s">
        <v>111</v>
      </c>
      <c r="I1748" t="s">
        <v>2559</v>
      </c>
      <c r="J1748" t="s">
        <v>146</v>
      </c>
      <c r="K1748" t="s">
        <v>146</v>
      </c>
      <c r="L1748" t="s">
        <v>146</v>
      </c>
      <c r="M1748" t="s">
        <v>146</v>
      </c>
      <c r="N1748" t="s">
        <v>45</v>
      </c>
      <c r="O1748" t="s">
        <v>45</v>
      </c>
      <c r="P1748">
        <v>3</v>
      </c>
      <c r="Q1748" s="7">
        <v>46254</v>
      </c>
      <c r="R1748" s="7">
        <v>46254</v>
      </c>
      <c r="S1748" s="7">
        <v>46254</v>
      </c>
      <c r="T1748" t="s">
        <v>45</v>
      </c>
      <c r="V1748" t="s">
        <v>742</v>
      </c>
      <c r="W1748" t="s">
        <v>45</v>
      </c>
      <c r="X1748" t="s">
        <v>45</v>
      </c>
      <c r="Y1748" t="s">
        <v>45</v>
      </c>
      <c r="Z1748" t="s">
        <v>45</v>
      </c>
      <c r="AH1748" t="s">
        <v>75</v>
      </c>
      <c r="AI1748">
        <v>0</v>
      </c>
      <c r="AJ1748" s="15"/>
      <c r="AK1748" t="s">
        <v>74</v>
      </c>
      <c r="AL1748" s="16"/>
      <c r="AR1748" s="18" t="str">
        <f>IFERROR(VLOOKUP(K1748,[1]POP!$F:$J,1,0),M1748)</f>
        <v>KOLOFATA</v>
      </c>
      <c r="AS1748" s="18" t="str">
        <f t="shared" si="136"/>
        <v>KOLOFATA</v>
      </c>
      <c r="AT1748" s="19">
        <f t="shared" si="139"/>
        <v>0</v>
      </c>
      <c r="AU1748" s="19">
        <f t="shared" ca="1" si="138"/>
        <v>1</v>
      </c>
    </row>
    <row r="1749" spans="1:47" x14ac:dyDescent="0.3">
      <c r="A1749" t="s">
        <v>2563</v>
      </c>
      <c r="B1749" t="str">
        <f t="shared" si="135"/>
        <v>S34_2026</v>
      </c>
      <c r="C1749" t="str">
        <f t="shared" si="137"/>
        <v>S34_2026</v>
      </c>
      <c r="E1749" t="s">
        <v>143</v>
      </c>
      <c r="F1749">
        <v>3</v>
      </c>
      <c r="G1749" t="s">
        <v>55</v>
      </c>
      <c r="H1749" t="s">
        <v>111</v>
      </c>
      <c r="I1749" t="s">
        <v>2001</v>
      </c>
      <c r="J1749" t="s">
        <v>146</v>
      </c>
      <c r="K1749" t="s">
        <v>146</v>
      </c>
      <c r="L1749" t="s">
        <v>146</v>
      </c>
      <c r="M1749" t="s">
        <v>146</v>
      </c>
      <c r="N1749" t="s">
        <v>45</v>
      </c>
      <c r="O1749" t="s">
        <v>45</v>
      </c>
      <c r="P1749">
        <v>3</v>
      </c>
      <c r="Q1749" s="7">
        <v>46254</v>
      </c>
      <c r="R1749" s="7">
        <v>46254</v>
      </c>
      <c r="S1749" s="7">
        <v>46254</v>
      </c>
      <c r="T1749" t="s">
        <v>45</v>
      </c>
      <c r="V1749" t="s">
        <v>742</v>
      </c>
      <c r="W1749" t="s">
        <v>45</v>
      </c>
      <c r="X1749" t="s">
        <v>45</v>
      </c>
      <c r="Y1749" t="s">
        <v>45</v>
      </c>
      <c r="Z1749" t="s">
        <v>45</v>
      </c>
      <c r="AH1749" t="s">
        <v>75</v>
      </c>
      <c r="AI1749">
        <v>0</v>
      </c>
      <c r="AJ1749" s="15"/>
      <c r="AK1749" t="s">
        <v>74</v>
      </c>
      <c r="AL1749" s="16"/>
      <c r="AR1749" s="18" t="str">
        <f>IFERROR(VLOOKUP(K1749,[1]POP!$F:$J,1,0),M1749)</f>
        <v>KOLOFATA</v>
      </c>
      <c r="AS1749" s="18" t="str">
        <f t="shared" si="136"/>
        <v>KOLOFATA</v>
      </c>
      <c r="AT1749" s="19">
        <f t="shared" si="139"/>
        <v>0</v>
      </c>
      <c r="AU1749" s="19">
        <f t="shared" ca="1" si="138"/>
        <v>1</v>
      </c>
    </row>
    <row r="1750" spans="1:47" x14ac:dyDescent="0.3">
      <c r="A1750" t="s">
        <v>2564</v>
      </c>
      <c r="B1750" t="str">
        <f t="shared" si="135"/>
        <v>S34_2026</v>
      </c>
      <c r="C1750" t="str">
        <f t="shared" si="137"/>
        <v>S34_2026</v>
      </c>
      <c r="E1750" t="s">
        <v>143</v>
      </c>
      <c r="F1750">
        <v>2.5</v>
      </c>
      <c r="G1750" t="s">
        <v>55</v>
      </c>
      <c r="H1750" t="s">
        <v>111</v>
      </c>
      <c r="I1750" t="s">
        <v>1968</v>
      </c>
      <c r="J1750" t="s">
        <v>146</v>
      </c>
      <c r="K1750" t="s">
        <v>146</v>
      </c>
      <c r="L1750" t="s">
        <v>146</v>
      </c>
      <c r="M1750" t="s">
        <v>146</v>
      </c>
      <c r="N1750" t="s">
        <v>45</v>
      </c>
      <c r="O1750" t="s">
        <v>45</v>
      </c>
      <c r="P1750">
        <v>3</v>
      </c>
      <c r="Q1750" s="7">
        <v>46254</v>
      </c>
      <c r="R1750" s="7">
        <v>46254</v>
      </c>
      <c r="S1750" s="7">
        <v>46254</v>
      </c>
      <c r="T1750" t="s">
        <v>45</v>
      </c>
      <c r="V1750" t="s">
        <v>742</v>
      </c>
      <c r="W1750" t="s">
        <v>45</v>
      </c>
      <c r="X1750" t="s">
        <v>45</v>
      </c>
      <c r="Y1750" t="s">
        <v>45</v>
      </c>
      <c r="Z1750" t="s">
        <v>45</v>
      </c>
      <c r="AF1750">
        <v>2</v>
      </c>
      <c r="AH1750" t="s">
        <v>75</v>
      </c>
      <c r="AI1750">
        <v>1</v>
      </c>
      <c r="AJ1750" s="15"/>
      <c r="AK1750" t="s">
        <v>74</v>
      </c>
      <c r="AL1750" s="16"/>
      <c r="AR1750" s="18" t="str">
        <f>IFERROR(VLOOKUP(K1750,[1]POP!$F:$J,1,0),M1750)</f>
        <v>KOLOFATA</v>
      </c>
      <c r="AS1750" s="18" t="str">
        <f t="shared" si="136"/>
        <v>KOLOFATA</v>
      </c>
      <c r="AT1750" s="19">
        <f t="shared" si="139"/>
        <v>2</v>
      </c>
      <c r="AU1750" s="19">
        <f t="shared" ca="1" si="138"/>
        <v>1</v>
      </c>
    </row>
    <row r="1751" spans="1:47" x14ac:dyDescent="0.3">
      <c r="A1751" t="s">
        <v>2565</v>
      </c>
      <c r="B1751" t="str">
        <f t="shared" si="135"/>
        <v>S34_2026</v>
      </c>
      <c r="C1751" t="str">
        <f t="shared" si="137"/>
        <v>S34_2026</v>
      </c>
      <c r="E1751" t="s">
        <v>143</v>
      </c>
      <c r="F1751">
        <v>3</v>
      </c>
      <c r="G1751" t="s">
        <v>40</v>
      </c>
      <c r="H1751" t="s">
        <v>111</v>
      </c>
      <c r="I1751" t="s">
        <v>2519</v>
      </c>
      <c r="J1751" t="s">
        <v>146</v>
      </c>
      <c r="K1751" t="s">
        <v>146</v>
      </c>
      <c r="L1751" t="s">
        <v>146</v>
      </c>
      <c r="M1751" t="s">
        <v>146</v>
      </c>
      <c r="N1751" t="s">
        <v>45</v>
      </c>
      <c r="O1751" t="s">
        <v>45</v>
      </c>
      <c r="P1751">
        <v>3</v>
      </c>
      <c r="Q1751" s="7">
        <v>46254</v>
      </c>
      <c r="R1751" s="7">
        <v>46254</v>
      </c>
      <c r="S1751" s="7">
        <v>46254</v>
      </c>
      <c r="T1751" t="s">
        <v>45</v>
      </c>
      <c r="V1751" t="s">
        <v>742</v>
      </c>
      <c r="W1751" t="s">
        <v>45</v>
      </c>
      <c r="X1751" t="s">
        <v>45</v>
      </c>
      <c r="Y1751" t="s">
        <v>45</v>
      </c>
      <c r="Z1751" t="s">
        <v>45</v>
      </c>
      <c r="AH1751" t="s">
        <v>75</v>
      </c>
      <c r="AI1751">
        <v>0</v>
      </c>
      <c r="AJ1751" s="15"/>
      <c r="AK1751" t="s">
        <v>74</v>
      </c>
      <c r="AL1751" s="16"/>
      <c r="AR1751" s="18" t="str">
        <f>IFERROR(VLOOKUP(K1751,[1]POP!$F:$J,1,0),M1751)</f>
        <v>KOLOFATA</v>
      </c>
      <c r="AS1751" s="18" t="str">
        <f t="shared" si="136"/>
        <v>KOLOFATA</v>
      </c>
      <c r="AT1751" s="19">
        <f t="shared" si="139"/>
        <v>0</v>
      </c>
      <c r="AU1751" s="19">
        <f t="shared" ca="1" si="138"/>
        <v>1</v>
      </c>
    </row>
    <row r="1752" spans="1:47" x14ac:dyDescent="0.3">
      <c r="A1752" t="s">
        <v>2566</v>
      </c>
      <c r="B1752" t="str">
        <f t="shared" si="135"/>
        <v>S34_2026</v>
      </c>
      <c r="C1752" t="str">
        <f t="shared" si="137"/>
        <v>S34_2026</v>
      </c>
      <c r="E1752" t="s">
        <v>143</v>
      </c>
      <c r="F1752">
        <v>3</v>
      </c>
      <c r="G1752" t="s">
        <v>40</v>
      </c>
      <c r="H1752" t="s">
        <v>111</v>
      </c>
      <c r="I1752" t="s">
        <v>2519</v>
      </c>
      <c r="J1752" t="s">
        <v>146</v>
      </c>
      <c r="K1752" t="s">
        <v>146</v>
      </c>
      <c r="L1752" t="s">
        <v>146</v>
      </c>
      <c r="M1752" t="s">
        <v>146</v>
      </c>
      <c r="N1752" t="s">
        <v>45</v>
      </c>
      <c r="O1752" t="s">
        <v>45</v>
      </c>
      <c r="P1752">
        <v>3</v>
      </c>
      <c r="Q1752" s="7">
        <v>46254</v>
      </c>
      <c r="R1752" s="7">
        <v>46254</v>
      </c>
      <c r="S1752" s="7">
        <v>46254</v>
      </c>
      <c r="T1752" t="s">
        <v>45</v>
      </c>
      <c r="V1752" t="s">
        <v>742</v>
      </c>
      <c r="W1752" t="s">
        <v>45</v>
      </c>
      <c r="X1752" t="s">
        <v>45</v>
      </c>
      <c r="Y1752" t="s">
        <v>45</v>
      </c>
      <c r="Z1752" t="s">
        <v>45</v>
      </c>
      <c r="AH1752" t="s">
        <v>75</v>
      </c>
      <c r="AI1752">
        <v>0</v>
      </c>
      <c r="AJ1752" s="15"/>
      <c r="AK1752" t="s">
        <v>74</v>
      </c>
      <c r="AL1752" s="16"/>
      <c r="AR1752" s="18" t="str">
        <f>IFERROR(VLOOKUP(K1752,[1]POP!$F:$J,1,0),M1752)</f>
        <v>KOLOFATA</v>
      </c>
      <c r="AS1752" s="18" t="str">
        <f t="shared" si="136"/>
        <v>KOLOFATA</v>
      </c>
      <c r="AT1752" s="19">
        <f t="shared" si="139"/>
        <v>0</v>
      </c>
      <c r="AU1752" s="19">
        <f t="shared" ca="1" si="138"/>
        <v>1</v>
      </c>
    </row>
    <row r="1753" spans="1:47" x14ac:dyDescent="0.3">
      <c r="A1753" t="s">
        <v>2567</v>
      </c>
      <c r="B1753" t="str">
        <f t="shared" si="135"/>
        <v>S34_2026</v>
      </c>
      <c r="C1753" t="str">
        <f t="shared" si="137"/>
        <v>S34_2026</v>
      </c>
      <c r="E1753" t="s">
        <v>143</v>
      </c>
      <c r="F1753">
        <v>55</v>
      </c>
      <c r="G1753" t="s">
        <v>40</v>
      </c>
      <c r="H1753" t="s">
        <v>1924</v>
      </c>
      <c r="I1753" t="s">
        <v>1997</v>
      </c>
      <c r="J1753" t="s">
        <v>146</v>
      </c>
      <c r="K1753" t="s">
        <v>146</v>
      </c>
      <c r="L1753" t="s">
        <v>146</v>
      </c>
      <c r="M1753" t="s">
        <v>146</v>
      </c>
      <c r="N1753" t="s">
        <v>45</v>
      </c>
      <c r="O1753" t="s">
        <v>45</v>
      </c>
      <c r="P1753">
        <v>3</v>
      </c>
      <c r="Q1753" s="7">
        <v>46254</v>
      </c>
      <c r="R1753" s="7">
        <v>46254</v>
      </c>
      <c r="S1753" s="7">
        <v>46254</v>
      </c>
      <c r="T1753" t="s">
        <v>45</v>
      </c>
      <c r="V1753" t="s">
        <v>742</v>
      </c>
      <c r="W1753" t="s">
        <v>45</v>
      </c>
      <c r="X1753" t="s">
        <v>45</v>
      </c>
      <c r="Y1753" t="s">
        <v>45</v>
      </c>
      <c r="Z1753" t="s">
        <v>45</v>
      </c>
      <c r="AH1753" t="s">
        <v>75</v>
      </c>
      <c r="AI1753">
        <v>0</v>
      </c>
      <c r="AJ1753" s="15"/>
      <c r="AK1753" t="s">
        <v>74</v>
      </c>
      <c r="AL1753" s="16"/>
      <c r="AR1753" s="18" t="str">
        <f>IFERROR(VLOOKUP(K1753,[1]POP!$F:$J,1,0),M1753)</f>
        <v>KOLOFATA</v>
      </c>
      <c r="AS1753" s="18" t="str">
        <f t="shared" si="136"/>
        <v>KOLOFATA</v>
      </c>
      <c r="AT1753" s="19">
        <f t="shared" si="139"/>
        <v>0</v>
      </c>
      <c r="AU1753" s="19">
        <f t="shared" ca="1" si="138"/>
        <v>1</v>
      </c>
    </row>
    <row r="1754" spans="1:47" x14ac:dyDescent="0.3">
      <c r="A1754" t="s">
        <v>2568</v>
      </c>
      <c r="B1754" t="str">
        <f t="shared" si="135"/>
        <v>S34_2026</v>
      </c>
      <c r="C1754" t="str">
        <f t="shared" si="137"/>
        <v>S34_2026</v>
      </c>
      <c r="E1754" t="s">
        <v>143</v>
      </c>
      <c r="F1754">
        <v>10</v>
      </c>
      <c r="G1754" t="s">
        <v>40</v>
      </c>
      <c r="H1754" t="s">
        <v>111</v>
      </c>
      <c r="I1754" t="s">
        <v>2519</v>
      </c>
      <c r="J1754" t="s">
        <v>146</v>
      </c>
      <c r="K1754" t="s">
        <v>146</v>
      </c>
      <c r="L1754" t="s">
        <v>146</v>
      </c>
      <c r="M1754" t="s">
        <v>146</v>
      </c>
      <c r="N1754" t="s">
        <v>45</v>
      </c>
      <c r="O1754" t="s">
        <v>45</v>
      </c>
      <c r="P1754">
        <v>3</v>
      </c>
      <c r="Q1754" s="7">
        <v>46254</v>
      </c>
      <c r="R1754" s="7">
        <v>46254</v>
      </c>
      <c r="S1754" s="7">
        <v>46254</v>
      </c>
      <c r="T1754" t="s">
        <v>45</v>
      </c>
      <c r="V1754" t="s">
        <v>742</v>
      </c>
      <c r="W1754" t="s">
        <v>45</v>
      </c>
      <c r="X1754" t="s">
        <v>45</v>
      </c>
      <c r="Y1754" t="s">
        <v>45</v>
      </c>
      <c r="Z1754" t="s">
        <v>45</v>
      </c>
      <c r="AF1754">
        <v>2</v>
      </c>
      <c r="AH1754" t="s">
        <v>75</v>
      </c>
      <c r="AI1754">
        <v>1</v>
      </c>
      <c r="AJ1754" s="15"/>
      <c r="AK1754" t="s">
        <v>74</v>
      </c>
      <c r="AL1754" s="16"/>
      <c r="AR1754" s="18" t="str">
        <f>IFERROR(VLOOKUP(K1754,[1]POP!$F:$J,1,0),M1754)</f>
        <v>KOLOFATA</v>
      </c>
      <c r="AS1754" s="18" t="str">
        <f t="shared" si="136"/>
        <v>KOLOFATA</v>
      </c>
      <c r="AT1754" s="19">
        <f t="shared" si="139"/>
        <v>2</v>
      </c>
      <c r="AU1754" s="19">
        <f t="shared" ca="1" si="138"/>
        <v>1</v>
      </c>
    </row>
    <row r="1755" spans="1:47" x14ac:dyDescent="0.3">
      <c r="A1755" t="s">
        <v>2569</v>
      </c>
      <c r="B1755" t="str">
        <f t="shared" si="135"/>
        <v>S34_2026</v>
      </c>
      <c r="C1755" t="str">
        <f t="shared" si="137"/>
        <v>S34_2026</v>
      </c>
      <c r="E1755" t="s">
        <v>143</v>
      </c>
      <c r="F1755">
        <v>7</v>
      </c>
      <c r="G1755" t="s">
        <v>55</v>
      </c>
      <c r="H1755" t="s">
        <v>111</v>
      </c>
      <c r="I1755" t="s">
        <v>1993</v>
      </c>
      <c r="J1755" t="s">
        <v>146</v>
      </c>
      <c r="K1755" t="s">
        <v>146</v>
      </c>
      <c r="L1755" t="s">
        <v>146</v>
      </c>
      <c r="M1755" t="s">
        <v>146</v>
      </c>
      <c r="N1755" t="s">
        <v>45</v>
      </c>
      <c r="O1755" t="s">
        <v>45</v>
      </c>
      <c r="P1755">
        <v>3</v>
      </c>
      <c r="Q1755" s="7">
        <v>46254</v>
      </c>
      <c r="R1755" s="7">
        <v>46254</v>
      </c>
      <c r="S1755" s="7">
        <v>46254</v>
      </c>
      <c r="T1755" t="s">
        <v>45</v>
      </c>
      <c r="V1755" t="s">
        <v>742</v>
      </c>
      <c r="W1755" t="s">
        <v>45</v>
      </c>
      <c r="X1755" t="s">
        <v>45</v>
      </c>
      <c r="Y1755" t="s">
        <v>45</v>
      </c>
      <c r="Z1755" t="s">
        <v>45</v>
      </c>
      <c r="AF1755">
        <v>2</v>
      </c>
      <c r="AH1755" t="s">
        <v>75</v>
      </c>
      <c r="AI1755">
        <v>1</v>
      </c>
      <c r="AJ1755" s="15"/>
      <c r="AK1755" t="s">
        <v>74</v>
      </c>
      <c r="AL1755" s="16"/>
      <c r="AR1755" s="18" t="str">
        <f>IFERROR(VLOOKUP(K1755,[1]POP!$F:$J,1,0),M1755)</f>
        <v>KOLOFATA</v>
      </c>
      <c r="AS1755" s="18" t="str">
        <f t="shared" si="136"/>
        <v>KOLOFATA</v>
      </c>
      <c r="AT1755" s="19">
        <f t="shared" si="139"/>
        <v>2</v>
      </c>
      <c r="AU1755" s="19">
        <f t="shared" ca="1" si="138"/>
        <v>1</v>
      </c>
    </row>
    <row r="1756" spans="1:47" x14ac:dyDescent="0.3">
      <c r="A1756" t="s">
        <v>2570</v>
      </c>
      <c r="B1756" t="str">
        <f t="shared" si="135"/>
        <v>S34_2026</v>
      </c>
      <c r="C1756" t="str">
        <f t="shared" si="137"/>
        <v>S34_2026</v>
      </c>
      <c r="E1756" t="s">
        <v>143</v>
      </c>
      <c r="F1756">
        <v>3</v>
      </c>
      <c r="G1756" t="s">
        <v>40</v>
      </c>
      <c r="H1756" t="s">
        <v>111</v>
      </c>
      <c r="I1756" t="s">
        <v>2519</v>
      </c>
      <c r="J1756" t="s">
        <v>146</v>
      </c>
      <c r="K1756" t="s">
        <v>146</v>
      </c>
      <c r="L1756" t="s">
        <v>146</v>
      </c>
      <c r="M1756" t="s">
        <v>146</v>
      </c>
      <c r="N1756" t="s">
        <v>45</v>
      </c>
      <c r="O1756" t="s">
        <v>45</v>
      </c>
      <c r="P1756">
        <v>3</v>
      </c>
      <c r="Q1756" s="7">
        <v>46255</v>
      </c>
      <c r="R1756" s="7">
        <v>46255</v>
      </c>
      <c r="S1756" s="7">
        <v>46255</v>
      </c>
      <c r="T1756" t="s">
        <v>45</v>
      </c>
      <c r="V1756" t="s">
        <v>742</v>
      </c>
      <c r="W1756" t="s">
        <v>45</v>
      </c>
      <c r="X1756" t="s">
        <v>45</v>
      </c>
      <c r="Y1756" t="s">
        <v>45</v>
      </c>
      <c r="Z1756" t="s">
        <v>45</v>
      </c>
      <c r="AF1756">
        <v>2</v>
      </c>
      <c r="AH1756" t="s">
        <v>75</v>
      </c>
      <c r="AI1756">
        <v>1</v>
      </c>
      <c r="AJ1756" s="15"/>
      <c r="AK1756" t="s">
        <v>74</v>
      </c>
      <c r="AL1756" s="16"/>
      <c r="AR1756" s="18" t="str">
        <f>IFERROR(VLOOKUP(K1756,[1]POP!$F:$J,1,0),M1756)</f>
        <v>KOLOFATA</v>
      </c>
      <c r="AS1756" s="18" t="str">
        <f t="shared" si="136"/>
        <v>KOLOFATA</v>
      </c>
      <c r="AT1756" s="19">
        <f t="shared" si="139"/>
        <v>2</v>
      </c>
      <c r="AU1756" s="19">
        <f t="shared" ca="1" si="138"/>
        <v>1</v>
      </c>
    </row>
    <row r="1757" spans="1:47" x14ac:dyDescent="0.3">
      <c r="A1757" t="s">
        <v>2571</v>
      </c>
      <c r="B1757" t="str">
        <f t="shared" si="135"/>
        <v>S34_2026</v>
      </c>
      <c r="C1757" t="str">
        <f t="shared" si="137"/>
        <v>S34_2026</v>
      </c>
      <c r="E1757" t="s">
        <v>143</v>
      </c>
      <c r="F1757">
        <v>4</v>
      </c>
      <c r="G1757" t="s">
        <v>55</v>
      </c>
      <c r="H1757" t="s">
        <v>111</v>
      </c>
      <c r="I1757" t="s">
        <v>2519</v>
      </c>
      <c r="J1757" t="s">
        <v>146</v>
      </c>
      <c r="K1757" t="s">
        <v>146</v>
      </c>
      <c r="L1757" t="s">
        <v>146</v>
      </c>
      <c r="M1757" t="s">
        <v>146</v>
      </c>
      <c r="N1757" t="s">
        <v>45</v>
      </c>
      <c r="O1757" t="s">
        <v>45</v>
      </c>
      <c r="P1757">
        <v>3</v>
      </c>
      <c r="Q1757" s="7">
        <v>46255</v>
      </c>
      <c r="R1757" s="7">
        <v>46255</v>
      </c>
      <c r="S1757" s="7">
        <v>46255</v>
      </c>
      <c r="T1757" t="s">
        <v>45</v>
      </c>
      <c r="V1757" t="s">
        <v>742</v>
      </c>
      <c r="W1757" t="s">
        <v>45</v>
      </c>
      <c r="X1757" t="s">
        <v>45</v>
      </c>
      <c r="Y1757" t="s">
        <v>45</v>
      </c>
      <c r="Z1757" t="s">
        <v>45</v>
      </c>
      <c r="AF1757">
        <v>2</v>
      </c>
      <c r="AH1757" t="s">
        <v>75</v>
      </c>
      <c r="AI1757">
        <v>1</v>
      </c>
      <c r="AJ1757" s="15"/>
      <c r="AK1757" t="s">
        <v>74</v>
      </c>
      <c r="AL1757" s="16"/>
      <c r="AR1757" s="18" t="str">
        <f>IFERROR(VLOOKUP(K1757,[1]POP!$F:$J,1,0),M1757)</f>
        <v>KOLOFATA</v>
      </c>
      <c r="AS1757" s="18" t="str">
        <f t="shared" si="136"/>
        <v>KOLOFATA</v>
      </c>
      <c r="AT1757" s="19">
        <f t="shared" si="139"/>
        <v>2</v>
      </c>
      <c r="AU1757" s="19">
        <f t="shared" ca="1" si="138"/>
        <v>1</v>
      </c>
    </row>
    <row r="1758" spans="1:47" x14ac:dyDescent="0.3">
      <c r="A1758" t="s">
        <v>2572</v>
      </c>
      <c r="B1758" t="str">
        <f t="shared" si="135"/>
        <v>S34_2026</v>
      </c>
      <c r="C1758" t="str">
        <f t="shared" si="137"/>
        <v>S34_2026</v>
      </c>
      <c r="E1758" t="s">
        <v>143</v>
      </c>
      <c r="F1758">
        <v>5</v>
      </c>
      <c r="G1758" t="s">
        <v>55</v>
      </c>
      <c r="H1758" t="s">
        <v>111</v>
      </c>
      <c r="I1758" t="s">
        <v>1968</v>
      </c>
      <c r="J1758" t="s">
        <v>146</v>
      </c>
      <c r="K1758" t="s">
        <v>146</v>
      </c>
      <c r="L1758" t="s">
        <v>146</v>
      </c>
      <c r="M1758" t="s">
        <v>146</v>
      </c>
      <c r="N1758" t="s">
        <v>45</v>
      </c>
      <c r="O1758" t="s">
        <v>45</v>
      </c>
      <c r="P1758">
        <v>3</v>
      </c>
      <c r="Q1758" s="7">
        <v>46255</v>
      </c>
      <c r="R1758" s="7">
        <v>46255</v>
      </c>
      <c r="S1758" s="7">
        <v>46255</v>
      </c>
      <c r="T1758" t="s">
        <v>45</v>
      </c>
      <c r="V1758" t="s">
        <v>742</v>
      </c>
      <c r="W1758" t="s">
        <v>45</v>
      </c>
      <c r="X1758" t="s">
        <v>45</v>
      </c>
      <c r="Y1758" t="s">
        <v>45</v>
      </c>
      <c r="Z1758" t="s">
        <v>45</v>
      </c>
      <c r="AF1758">
        <v>2</v>
      </c>
      <c r="AH1758" t="s">
        <v>75</v>
      </c>
      <c r="AI1758">
        <v>1</v>
      </c>
      <c r="AJ1758" s="15"/>
      <c r="AK1758" t="s">
        <v>74</v>
      </c>
      <c r="AL1758" s="16"/>
      <c r="AR1758" s="18" t="str">
        <f>IFERROR(VLOOKUP(K1758,[1]POP!$F:$J,1,0),M1758)</f>
        <v>KOLOFATA</v>
      </c>
      <c r="AS1758" s="18" t="str">
        <f t="shared" si="136"/>
        <v>KOLOFATA</v>
      </c>
      <c r="AT1758" s="19">
        <f t="shared" si="139"/>
        <v>2</v>
      </c>
      <c r="AU1758" s="19">
        <f t="shared" ca="1" si="138"/>
        <v>1</v>
      </c>
    </row>
    <row r="1759" spans="1:47" x14ac:dyDescent="0.3">
      <c r="A1759" t="s">
        <v>2573</v>
      </c>
      <c r="B1759" t="str">
        <f t="shared" si="135"/>
        <v>S34_2026</v>
      </c>
      <c r="C1759" t="str">
        <f t="shared" si="137"/>
        <v>S34_2026</v>
      </c>
      <c r="E1759" t="s">
        <v>143</v>
      </c>
      <c r="F1759">
        <v>2</v>
      </c>
      <c r="G1759" t="s">
        <v>55</v>
      </c>
      <c r="H1759" t="s">
        <v>111</v>
      </c>
      <c r="I1759" t="s">
        <v>2519</v>
      </c>
      <c r="J1759" t="s">
        <v>146</v>
      </c>
      <c r="K1759" t="s">
        <v>146</v>
      </c>
      <c r="L1759" t="s">
        <v>146</v>
      </c>
      <c r="M1759" t="s">
        <v>146</v>
      </c>
      <c r="N1759" t="s">
        <v>45</v>
      </c>
      <c r="O1759" t="s">
        <v>45</v>
      </c>
      <c r="P1759">
        <v>3</v>
      </c>
      <c r="Q1759" s="7">
        <v>46255</v>
      </c>
      <c r="R1759" s="7">
        <v>46255</v>
      </c>
      <c r="S1759" s="7">
        <v>46255</v>
      </c>
      <c r="T1759" t="s">
        <v>45</v>
      </c>
      <c r="V1759" t="s">
        <v>742</v>
      </c>
      <c r="W1759" t="s">
        <v>45</v>
      </c>
      <c r="X1759" t="s">
        <v>45</v>
      </c>
      <c r="Y1759" t="s">
        <v>45</v>
      </c>
      <c r="Z1759" t="s">
        <v>45</v>
      </c>
      <c r="AF1759">
        <v>2</v>
      </c>
      <c r="AH1759" t="s">
        <v>75</v>
      </c>
      <c r="AI1759">
        <v>1</v>
      </c>
      <c r="AJ1759" s="15"/>
      <c r="AK1759" t="s">
        <v>74</v>
      </c>
      <c r="AL1759" s="16"/>
      <c r="AR1759" s="18" t="str">
        <f>IFERROR(VLOOKUP(K1759,[1]POP!$F:$J,1,0),M1759)</f>
        <v>KOLOFATA</v>
      </c>
      <c r="AS1759" s="18" t="str">
        <f t="shared" si="136"/>
        <v>KOLOFATA</v>
      </c>
      <c r="AT1759" s="19">
        <f t="shared" si="139"/>
        <v>2</v>
      </c>
      <c r="AU1759" s="19">
        <f t="shared" ca="1" si="138"/>
        <v>1</v>
      </c>
    </row>
    <row r="1760" spans="1:47" x14ac:dyDescent="0.3">
      <c r="A1760" t="s">
        <v>2574</v>
      </c>
      <c r="B1760" t="str">
        <f t="shared" si="135"/>
        <v>S34_2026</v>
      </c>
      <c r="C1760" t="str">
        <f t="shared" si="137"/>
        <v>S34_2026</v>
      </c>
      <c r="E1760" t="s">
        <v>143</v>
      </c>
      <c r="F1760">
        <v>30</v>
      </c>
      <c r="G1760" t="s">
        <v>40</v>
      </c>
      <c r="H1760" t="s">
        <v>1924</v>
      </c>
      <c r="I1760" t="s">
        <v>2575</v>
      </c>
      <c r="J1760" t="s">
        <v>146</v>
      </c>
      <c r="K1760" t="s">
        <v>146</v>
      </c>
      <c r="L1760" t="s">
        <v>146</v>
      </c>
      <c r="M1760" t="s">
        <v>146</v>
      </c>
      <c r="N1760" t="s">
        <v>45</v>
      </c>
      <c r="O1760" t="s">
        <v>45</v>
      </c>
      <c r="P1760">
        <v>3</v>
      </c>
      <c r="Q1760" s="7">
        <v>46255</v>
      </c>
      <c r="R1760" s="7">
        <v>46255</v>
      </c>
      <c r="S1760" s="7">
        <v>46255</v>
      </c>
      <c r="T1760" t="s">
        <v>45</v>
      </c>
      <c r="V1760" t="s">
        <v>742</v>
      </c>
      <c r="W1760" t="s">
        <v>45</v>
      </c>
      <c r="X1760" t="s">
        <v>45</v>
      </c>
      <c r="Y1760" t="s">
        <v>45</v>
      </c>
      <c r="Z1760" t="s">
        <v>45</v>
      </c>
      <c r="AF1760">
        <v>2</v>
      </c>
      <c r="AH1760" t="s">
        <v>75</v>
      </c>
      <c r="AI1760">
        <v>1</v>
      </c>
      <c r="AJ1760" s="15"/>
      <c r="AK1760" t="s">
        <v>74</v>
      </c>
      <c r="AL1760" s="16"/>
      <c r="AR1760" s="18" t="str">
        <f>IFERROR(VLOOKUP(K1760,[1]POP!$F:$J,1,0),M1760)</f>
        <v>KOLOFATA</v>
      </c>
      <c r="AS1760" s="18" t="str">
        <f t="shared" si="136"/>
        <v>KOLOFATA</v>
      </c>
      <c r="AT1760" s="19">
        <f t="shared" si="139"/>
        <v>2</v>
      </c>
      <c r="AU1760" s="19">
        <f t="shared" ca="1" si="138"/>
        <v>1</v>
      </c>
    </row>
    <row r="1761" spans="1:47" x14ac:dyDescent="0.3">
      <c r="A1761" t="s">
        <v>2576</v>
      </c>
      <c r="B1761" t="str">
        <f t="shared" si="135"/>
        <v>S34_2026</v>
      </c>
      <c r="C1761" t="str">
        <f t="shared" si="137"/>
        <v>S34_2026</v>
      </c>
      <c r="E1761" t="s">
        <v>143</v>
      </c>
      <c r="F1761">
        <v>10</v>
      </c>
      <c r="G1761" t="s">
        <v>55</v>
      </c>
      <c r="H1761" t="s">
        <v>1960</v>
      </c>
      <c r="I1761" t="s">
        <v>1956</v>
      </c>
      <c r="J1761" t="s">
        <v>146</v>
      </c>
      <c r="K1761" t="s">
        <v>146</v>
      </c>
      <c r="L1761" t="s">
        <v>146</v>
      </c>
      <c r="M1761" t="s">
        <v>146</v>
      </c>
      <c r="N1761" t="s">
        <v>45</v>
      </c>
      <c r="O1761" t="s">
        <v>45</v>
      </c>
      <c r="P1761">
        <v>3</v>
      </c>
      <c r="Q1761" s="7">
        <v>46255</v>
      </c>
      <c r="R1761" s="7">
        <v>46255</v>
      </c>
      <c r="S1761" s="7">
        <v>46255</v>
      </c>
      <c r="T1761" t="s">
        <v>45</v>
      </c>
      <c r="V1761" t="s">
        <v>742</v>
      </c>
      <c r="W1761" t="s">
        <v>45</v>
      </c>
      <c r="X1761" t="s">
        <v>45</v>
      </c>
      <c r="Y1761" t="s">
        <v>45</v>
      </c>
      <c r="Z1761" t="s">
        <v>45</v>
      </c>
      <c r="AH1761" t="s">
        <v>75</v>
      </c>
      <c r="AI1761">
        <v>0</v>
      </c>
      <c r="AJ1761" s="15"/>
      <c r="AK1761" t="s">
        <v>74</v>
      </c>
      <c r="AL1761" s="16"/>
      <c r="AR1761" s="18" t="str">
        <f>IFERROR(VLOOKUP(K1761,[1]POP!$F:$J,1,0),M1761)</f>
        <v>KOLOFATA</v>
      </c>
      <c r="AS1761" s="18" t="str">
        <f t="shared" si="136"/>
        <v>KOLOFATA</v>
      </c>
      <c r="AT1761" s="19">
        <f t="shared" si="139"/>
        <v>0</v>
      </c>
      <c r="AU1761" s="19">
        <f t="shared" ca="1" si="138"/>
        <v>1</v>
      </c>
    </row>
    <row r="1762" spans="1:47" x14ac:dyDescent="0.3">
      <c r="A1762" t="s">
        <v>2577</v>
      </c>
      <c r="B1762" t="str">
        <f t="shared" si="135"/>
        <v>S34_2026</v>
      </c>
      <c r="C1762" t="str">
        <f t="shared" si="137"/>
        <v>S34_2026</v>
      </c>
      <c r="E1762" t="s">
        <v>143</v>
      </c>
      <c r="F1762">
        <v>4</v>
      </c>
      <c r="G1762" t="s">
        <v>55</v>
      </c>
      <c r="H1762" t="s">
        <v>111</v>
      </c>
      <c r="I1762" t="s">
        <v>1956</v>
      </c>
      <c r="J1762" t="s">
        <v>146</v>
      </c>
      <c r="K1762" t="s">
        <v>146</v>
      </c>
      <c r="L1762" t="s">
        <v>146</v>
      </c>
      <c r="M1762" t="s">
        <v>146</v>
      </c>
      <c r="N1762" t="s">
        <v>45</v>
      </c>
      <c r="O1762" t="s">
        <v>45</v>
      </c>
      <c r="P1762">
        <v>3</v>
      </c>
      <c r="Q1762" s="7">
        <v>46255</v>
      </c>
      <c r="R1762" s="7">
        <v>46255</v>
      </c>
      <c r="S1762" s="7">
        <v>46255</v>
      </c>
      <c r="T1762" t="s">
        <v>45</v>
      </c>
      <c r="V1762" t="s">
        <v>742</v>
      </c>
      <c r="W1762" t="s">
        <v>45</v>
      </c>
      <c r="X1762" t="s">
        <v>45</v>
      </c>
      <c r="Y1762" t="s">
        <v>45</v>
      </c>
      <c r="Z1762" t="s">
        <v>45</v>
      </c>
      <c r="AH1762" t="s">
        <v>75</v>
      </c>
      <c r="AI1762">
        <v>0</v>
      </c>
      <c r="AJ1762" s="15"/>
      <c r="AK1762" t="s">
        <v>74</v>
      </c>
      <c r="AL1762" s="16"/>
      <c r="AR1762" s="18" t="str">
        <f>IFERROR(VLOOKUP(K1762,[1]POP!$F:$J,1,0),M1762)</f>
        <v>KOLOFATA</v>
      </c>
      <c r="AS1762" s="18" t="str">
        <f t="shared" si="136"/>
        <v>KOLOFATA</v>
      </c>
      <c r="AT1762" s="19">
        <f t="shared" si="139"/>
        <v>0</v>
      </c>
      <c r="AU1762" s="19">
        <f t="shared" ca="1" si="138"/>
        <v>1</v>
      </c>
    </row>
    <row r="1763" spans="1:47" x14ac:dyDescent="0.3">
      <c r="A1763" t="s">
        <v>2578</v>
      </c>
      <c r="B1763" t="str">
        <f t="shared" si="135"/>
        <v>S34_2026</v>
      </c>
      <c r="C1763" t="str">
        <f t="shared" si="137"/>
        <v>S34_2026</v>
      </c>
      <c r="E1763" t="s">
        <v>143</v>
      </c>
      <c r="F1763">
        <v>60</v>
      </c>
      <c r="G1763" t="s">
        <v>40</v>
      </c>
      <c r="H1763" t="s">
        <v>1924</v>
      </c>
      <c r="I1763" t="s">
        <v>2575</v>
      </c>
      <c r="J1763" t="s">
        <v>146</v>
      </c>
      <c r="K1763" t="s">
        <v>146</v>
      </c>
      <c r="L1763" t="s">
        <v>146</v>
      </c>
      <c r="M1763" t="s">
        <v>146</v>
      </c>
      <c r="N1763" t="s">
        <v>45</v>
      </c>
      <c r="O1763" t="s">
        <v>45</v>
      </c>
      <c r="P1763">
        <v>3</v>
      </c>
      <c r="Q1763" s="7">
        <v>46255</v>
      </c>
      <c r="R1763" s="7">
        <v>46255</v>
      </c>
      <c r="S1763" s="7">
        <v>46255</v>
      </c>
      <c r="T1763" t="s">
        <v>45</v>
      </c>
      <c r="V1763" t="s">
        <v>742</v>
      </c>
      <c r="W1763" t="s">
        <v>45</v>
      </c>
      <c r="X1763" t="s">
        <v>45</v>
      </c>
      <c r="Y1763" t="s">
        <v>45</v>
      </c>
      <c r="Z1763" t="s">
        <v>45</v>
      </c>
      <c r="AH1763" t="s">
        <v>75</v>
      </c>
      <c r="AI1763">
        <v>0</v>
      </c>
      <c r="AJ1763" s="15"/>
      <c r="AK1763" t="s">
        <v>74</v>
      </c>
      <c r="AL1763" s="16"/>
      <c r="AR1763" s="18" t="str">
        <f>IFERROR(VLOOKUP(K1763,[1]POP!$F:$J,1,0),M1763)</f>
        <v>KOLOFATA</v>
      </c>
      <c r="AS1763" s="18" t="str">
        <f t="shared" si="136"/>
        <v>KOLOFATA</v>
      </c>
      <c r="AT1763" s="19">
        <f t="shared" si="139"/>
        <v>0</v>
      </c>
      <c r="AU1763" s="19">
        <f t="shared" ca="1" si="138"/>
        <v>1</v>
      </c>
    </row>
    <row r="1764" spans="1:47" x14ac:dyDescent="0.3">
      <c r="A1764" t="s">
        <v>2579</v>
      </c>
      <c r="B1764" t="str">
        <f t="shared" si="135"/>
        <v>S34_2026</v>
      </c>
      <c r="C1764" t="str">
        <f t="shared" si="137"/>
        <v>S34_2026</v>
      </c>
      <c r="E1764" t="s">
        <v>143</v>
      </c>
      <c r="F1764">
        <v>4</v>
      </c>
      <c r="G1764" t="s">
        <v>55</v>
      </c>
      <c r="H1764" t="s">
        <v>111</v>
      </c>
      <c r="I1764" t="s">
        <v>2575</v>
      </c>
      <c r="J1764" t="s">
        <v>146</v>
      </c>
      <c r="K1764" t="s">
        <v>146</v>
      </c>
      <c r="L1764" t="s">
        <v>146</v>
      </c>
      <c r="M1764" t="s">
        <v>146</v>
      </c>
      <c r="N1764" t="s">
        <v>45</v>
      </c>
      <c r="O1764" t="s">
        <v>45</v>
      </c>
      <c r="P1764">
        <v>3</v>
      </c>
      <c r="Q1764" s="7">
        <v>46255</v>
      </c>
      <c r="R1764" s="7">
        <v>46255</v>
      </c>
      <c r="S1764" s="7">
        <v>46255</v>
      </c>
      <c r="T1764" t="s">
        <v>45</v>
      </c>
      <c r="V1764" t="s">
        <v>742</v>
      </c>
      <c r="W1764" t="s">
        <v>45</v>
      </c>
      <c r="X1764" t="s">
        <v>45</v>
      </c>
      <c r="Y1764" t="s">
        <v>45</v>
      </c>
      <c r="Z1764" t="s">
        <v>45</v>
      </c>
      <c r="AF1764">
        <v>2</v>
      </c>
      <c r="AH1764" t="s">
        <v>75</v>
      </c>
      <c r="AI1764">
        <v>1</v>
      </c>
      <c r="AJ1764" s="15"/>
      <c r="AK1764" t="s">
        <v>74</v>
      </c>
      <c r="AL1764" s="16"/>
      <c r="AR1764" s="18" t="str">
        <f>IFERROR(VLOOKUP(K1764,[1]POP!$F:$J,1,0),M1764)</f>
        <v>KOLOFATA</v>
      </c>
      <c r="AS1764" s="18" t="str">
        <f t="shared" si="136"/>
        <v>KOLOFATA</v>
      </c>
      <c r="AT1764" s="19">
        <f t="shared" si="139"/>
        <v>2</v>
      </c>
      <c r="AU1764" s="19">
        <f t="shared" ca="1" si="138"/>
        <v>1</v>
      </c>
    </row>
    <row r="1765" spans="1:47" x14ac:dyDescent="0.3">
      <c r="A1765" t="s">
        <v>2580</v>
      </c>
      <c r="B1765" t="str">
        <f t="shared" si="135"/>
        <v>S34_2026</v>
      </c>
      <c r="C1765" t="str">
        <f t="shared" si="137"/>
        <v>S34_2026</v>
      </c>
      <c r="E1765" t="s">
        <v>143</v>
      </c>
      <c r="F1765">
        <v>3</v>
      </c>
      <c r="G1765" t="s">
        <v>40</v>
      </c>
      <c r="H1765" t="s">
        <v>111</v>
      </c>
      <c r="I1765" t="s">
        <v>2581</v>
      </c>
      <c r="J1765" t="s">
        <v>146</v>
      </c>
      <c r="K1765" t="s">
        <v>146</v>
      </c>
      <c r="L1765" t="s">
        <v>146</v>
      </c>
      <c r="M1765" t="s">
        <v>146</v>
      </c>
      <c r="N1765" t="s">
        <v>45</v>
      </c>
      <c r="O1765" t="s">
        <v>45</v>
      </c>
      <c r="P1765">
        <v>3</v>
      </c>
      <c r="Q1765" s="7">
        <v>46255</v>
      </c>
      <c r="R1765" s="7">
        <v>46255</v>
      </c>
      <c r="S1765" s="7">
        <v>46255</v>
      </c>
      <c r="T1765" t="s">
        <v>45</v>
      </c>
      <c r="V1765" t="s">
        <v>742</v>
      </c>
      <c r="W1765" t="s">
        <v>45</v>
      </c>
      <c r="X1765" t="s">
        <v>45</v>
      </c>
      <c r="Y1765" t="s">
        <v>45</v>
      </c>
      <c r="Z1765" t="s">
        <v>45</v>
      </c>
      <c r="AH1765" t="s">
        <v>75</v>
      </c>
      <c r="AI1765">
        <v>0</v>
      </c>
      <c r="AJ1765" s="15"/>
      <c r="AK1765" t="s">
        <v>74</v>
      </c>
      <c r="AL1765" s="16"/>
      <c r="AR1765" s="18" t="str">
        <f>IFERROR(VLOOKUP(K1765,[1]POP!$F:$J,1,0),M1765)</f>
        <v>KOLOFATA</v>
      </c>
      <c r="AS1765" s="18" t="str">
        <f t="shared" si="136"/>
        <v>KOLOFATA</v>
      </c>
      <c r="AT1765" s="19">
        <f t="shared" si="139"/>
        <v>0</v>
      </c>
      <c r="AU1765" s="19">
        <f t="shared" ca="1" si="138"/>
        <v>1</v>
      </c>
    </row>
    <row r="1766" spans="1:47" x14ac:dyDescent="0.3">
      <c r="A1766" t="s">
        <v>2582</v>
      </c>
      <c r="B1766" t="str">
        <f t="shared" si="135"/>
        <v>S34_2026</v>
      </c>
      <c r="C1766" t="str">
        <f t="shared" si="137"/>
        <v>S34_2026</v>
      </c>
      <c r="E1766" t="s">
        <v>143</v>
      </c>
      <c r="F1766">
        <v>2</v>
      </c>
      <c r="G1766" t="s">
        <v>55</v>
      </c>
      <c r="H1766" t="s">
        <v>1960</v>
      </c>
      <c r="I1766" t="s">
        <v>2575</v>
      </c>
      <c r="J1766" t="s">
        <v>146</v>
      </c>
      <c r="K1766" t="s">
        <v>146</v>
      </c>
      <c r="L1766" t="s">
        <v>146</v>
      </c>
      <c r="M1766" t="s">
        <v>146</v>
      </c>
      <c r="N1766" t="s">
        <v>45</v>
      </c>
      <c r="O1766" t="s">
        <v>45</v>
      </c>
      <c r="P1766">
        <v>3</v>
      </c>
      <c r="Q1766" s="7">
        <v>46255</v>
      </c>
      <c r="R1766" s="7">
        <v>46255</v>
      </c>
      <c r="S1766" s="7">
        <v>46255</v>
      </c>
      <c r="T1766" t="s">
        <v>45</v>
      </c>
      <c r="V1766" t="s">
        <v>742</v>
      </c>
      <c r="W1766" t="s">
        <v>45</v>
      </c>
      <c r="X1766" t="s">
        <v>45</v>
      </c>
      <c r="Y1766" t="s">
        <v>45</v>
      </c>
      <c r="Z1766" t="s">
        <v>45</v>
      </c>
      <c r="AH1766" t="s">
        <v>75</v>
      </c>
      <c r="AI1766">
        <v>0</v>
      </c>
      <c r="AJ1766" s="15"/>
      <c r="AK1766" t="s">
        <v>74</v>
      </c>
      <c r="AL1766" s="16"/>
      <c r="AR1766" s="18" t="str">
        <f>IFERROR(VLOOKUP(K1766,[1]POP!$F:$J,1,0),M1766)</f>
        <v>KOLOFATA</v>
      </c>
      <c r="AS1766" s="18" t="str">
        <f t="shared" si="136"/>
        <v>KOLOFATA</v>
      </c>
      <c r="AT1766" s="19">
        <f t="shared" si="139"/>
        <v>0</v>
      </c>
      <c r="AU1766" s="19">
        <f t="shared" ca="1" si="138"/>
        <v>1</v>
      </c>
    </row>
    <row r="1767" spans="1:47" x14ac:dyDescent="0.3">
      <c r="A1767" t="s">
        <v>2583</v>
      </c>
      <c r="B1767" t="str">
        <f t="shared" si="135"/>
        <v>S34_2026</v>
      </c>
      <c r="C1767" t="str">
        <f t="shared" si="137"/>
        <v>S34_2026</v>
      </c>
      <c r="E1767" t="s">
        <v>143</v>
      </c>
      <c r="F1767">
        <v>1</v>
      </c>
      <c r="G1767" t="s">
        <v>55</v>
      </c>
      <c r="H1767" t="s">
        <v>1960</v>
      </c>
      <c r="I1767" t="s">
        <v>2575</v>
      </c>
      <c r="J1767" t="s">
        <v>146</v>
      </c>
      <c r="K1767" t="s">
        <v>146</v>
      </c>
      <c r="L1767" t="s">
        <v>146</v>
      </c>
      <c r="M1767" t="s">
        <v>146</v>
      </c>
      <c r="N1767" t="s">
        <v>45</v>
      </c>
      <c r="O1767" t="s">
        <v>45</v>
      </c>
      <c r="P1767">
        <v>3</v>
      </c>
      <c r="Q1767" s="7">
        <v>46255</v>
      </c>
      <c r="R1767" s="7">
        <v>46255</v>
      </c>
      <c r="S1767" s="7">
        <v>46255</v>
      </c>
      <c r="T1767" t="s">
        <v>45</v>
      </c>
      <c r="V1767" t="s">
        <v>742</v>
      </c>
      <c r="W1767" t="s">
        <v>45</v>
      </c>
      <c r="X1767" t="s">
        <v>45</v>
      </c>
      <c r="Y1767" t="s">
        <v>45</v>
      </c>
      <c r="Z1767" t="s">
        <v>45</v>
      </c>
      <c r="AH1767" t="s">
        <v>75</v>
      </c>
      <c r="AI1767">
        <v>0</v>
      </c>
      <c r="AJ1767" s="15"/>
      <c r="AK1767" t="s">
        <v>74</v>
      </c>
      <c r="AL1767" s="16"/>
      <c r="AR1767" s="18" t="str">
        <f>IFERROR(VLOOKUP(K1767,[1]POP!$F:$J,1,0),M1767)</f>
        <v>KOLOFATA</v>
      </c>
      <c r="AS1767" s="18" t="str">
        <f t="shared" si="136"/>
        <v>KOLOFATA</v>
      </c>
      <c r="AT1767" s="19">
        <f t="shared" si="139"/>
        <v>0</v>
      </c>
      <c r="AU1767" s="19">
        <f t="shared" ca="1" si="138"/>
        <v>1</v>
      </c>
    </row>
    <row r="1768" spans="1:47" x14ac:dyDescent="0.3">
      <c r="A1768" t="s">
        <v>2584</v>
      </c>
      <c r="B1768" t="str">
        <f t="shared" si="135"/>
        <v>S34_2026</v>
      </c>
      <c r="C1768" t="str">
        <f t="shared" si="137"/>
        <v>S34_2026</v>
      </c>
      <c r="E1768" t="s">
        <v>143</v>
      </c>
      <c r="F1768">
        <v>2</v>
      </c>
      <c r="G1768" t="s">
        <v>55</v>
      </c>
      <c r="H1768" t="s">
        <v>111</v>
      </c>
      <c r="I1768" t="s">
        <v>2585</v>
      </c>
      <c r="J1768" t="s">
        <v>146</v>
      </c>
      <c r="K1768" t="s">
        <v>146</v>
      </c>
      <c r="L1768" t="s">
        <v>146</v>
      </c>
      <c r="M1768" t="s">
        <v>146</v>
      </c>
      <c r="N1768" t="s">
        <v>45</v>
      </c>
      <c r="O1768" t="s">
        <v>45</v>
      </c>
      <c r="P1768">
        <v>3</v>
      </c>
      <c r="Q1768" s="7">
        <v>46255</v>
      </c>
      <c r="R1768" s="7">
        <v>46255</v>
      </c>
      <c r="S1768" s="7">
        <v>46255</v>
      </c>
      <c r="T1768" t="s">
        <v>45</v>
      </c>
      <c r="V1768" t="s">
        <v>742</v>
      </c>
      <c r="W1768" t="s">
        <v>45</v>
      </c>
      <c r="X1768" t="s">
        <v>45</v>
      </c>
      <c r="Y1768" t="s">
        <v>45</v>
      </c>
      <c r="Z1768" t="s">
        <v>45</v>
      </c>
      <c r="AH1768" t="s">
        <v>75</v>
      </c>
      <c r="AI1768">
        <v>0</v>
      </c>
      <c r="AJ1768" s="15"/>
      <c r="AK1768" t="s">
        <v>74</v>
      </c>
      <c r="AL1768" s="16"/>
      <c r="AR1768" s="18" t="str">
        <f>IFERROR(VLOOKUP(K1768,[1]POP!$F:$J,1,0),M1768)</f>
        <v>KOLOFATA</v>
      </c>
      <c r="AS1768" s="18" t="str">
        <f t="shared" si="136"/>
        <v>KOLOFATA</v>
      </c>
      <c r="AT1768" s="19">
        <f t="shared" si="139"/>
        <v>0</v>
      </c>
      <c r="AU1768" s="19">
        <f t="shared" ca="1" si="138"/>
        <v>1</v>
      </c>
    </row>
    <row r="1769" spans="1:47" x14ac:dyDescent="0.3">
      <c r="A1769" t="s">
        <v>2586</v>
      </c>
      <c r="B1769" t="str">
        <f t="shared" si="135"/>
        <v>S34_2026</v>
      </c>
      <c r="C1769" t="str">
        <f t="shared" si="137"/>
        <v>S34_2026</v>
      </c>
      <c r="E1769" t="s">
        <v>143</v>
      </c>
      <c r="F1769">
        <v>2</v>
      </c>
      <c r="G1769" t="s">
        <v>55</v>
      </c>
      <c r="H1769" t="s">
        <v>111</v>
      </c>
      <c r="I1769" t="s">
        <v>2013</v>
      </c>
      <c r="J1769" t="s">
        <v>146</v>
      </c>
      <c r="K1769" t="s">
        <v>146</v>
      </c>
      <c r="L1769" t="s">
        <v>146</v>
      </c>
      <c r="M1769" t="s">
        <v>146</v>
      </c>
      <c r="N1769" t="s">
        <v>45</v>
      </c>
      <c r="O1769" t="s">
        <v>45</v>
      </c>
      <c r="P1769">
        <v>3</v>
      </c>
      <c r="Q1769" s="7">
        <v>46255</v>
      </c>
      <c r="R1769" s="7">
        <v>46255</v>
      </c>
      <c r="S1769" s="7">
        <v>46255</v>
      </c>
      <c r="T1769" t="s">
        <v>45</v>
      </c>
      <c r="V1769" t="s">
        <v>742</v>
      </c>
      <c r="W1769" t="s">
        <v>45</v>
      </c>
      <c r="X1769" t="s">
        <v>45</v>
      </c>
      <c r="Y1769" t="s">
        <v>45</v>
      </c>
      <c r="Z1769" t="s">
        <v>45</v>
      </c>
      <c r="AH1769" t="s">
        <v>75</v>
      </c>
      <c r="AI1769">
        <v>0</v>
      </c>
      <c r="AJ1769" s="15"/>
      <c r="AK1769" t="s">
        <v>74</v>
      </c>
      <c r="AL1769" s="16"/>
      <c r="AR1769" s="18" t="str">
        <f>IFERROR(VLOOKUP(K1769,[1]POP!$F:$J,1,0),M1769)</f>
        <v>KOLOFATA</v>
      </c>
      <c r="AS1769" s="18" t="str">
        <f t="shared" si="136"/>
        <v>KOLOFATA</v>
      </c>
      <c r="AT1769" s="19">
        <f t="shared" si="139"/>
        <v>0</v>
      </c>
      <c r="AU1769" s="19">
        <f t="shared" ca="1" si="138"/>
        <v>1</v>
      </c>
    </row>
    <row r="1770" spans="1:47" x14ac:dyDescent="0.3">
      <c r="A1770" t="s">
        <v>2587</v>
      </c>
      <c r="B1770" t="str">
        <f t="shared" si="135"/>
        <v>S34_2026</v>
      </c>
      <c r="C1770" t="str">
        <f t="shared" si="137"/>
        <v>S34_2026</v>
      </c>
      <c r="E1770" t="s">
        <v>143</v>
      </c>
      <c r="F1770">
        <v>38</v>
      </c>
      <c r="G1770" t="s">
        <v>55</v>
      </c>
      <c r="H1770" t="s">
        <v>1924</v>
      </c>
      <c r="I1770" t="s">
        <v>2013</v>
      </c>
      <c r="J1770" t="s">
        <v>146</v>
      </c>
      <c r="K1770" t="s">
        <v>146</v>
      </c>
      <c r="L1770" t="s">
        <v>146</v>
      </c>
      <c r="M1770" t="s">
        <v>146</v>
      </c>
      <c r="N1770" t="s">
        <v>45</v>
      </c>
      <c r="O1770" t="s">
        <v>45</v>
      </c>
      <c r="P1770">
        <v>3</v>
      </c>
      <c r="Q1770" s="7">
        <v>46255</v>
      </c>
      <c r="R1770" s="7">
        <v>46255</v>
      </c>
      <c r="S1770" s="7">
        <v>46255</v>
      </c>
      <c r="T1770" t="s">
        <v>45</v>
      </c>
      <c r="V1770" t="s">
        <v>742</v>
      </c>
      <c r="W1770" t="s">
        <v>45</v>
      </c>
      <c r="X1770" t="s">
        <v>45</v>
      </c>
      <c r="Y1770" t="s">
        <v>45</v>
      </c>
      <c r="Z1770" t="s">
        <v>45</v>
      </c>
      <c r="AF1770">
        <v>3</v>
      </c>
      <c r="AH1770" t="s">
        <v>75</v>
      </c>
      <c r="AI1770">
        <v>2</v>
      </c>
      <c r="AJ1770" s="15"/>
      <c r="AK1770" t="s">
        <v>74</v>
      </c>
      <c r="AL1770" s="16"/>
      <c r="AR1770" s="18" t="str">
        <f>IFERROR(VLOOKUP(K1770,[1]POP!$F:$J,1,0),M1770)</f>
        <v>KOLOFATA</v>
      </c>
      <c r="AS1770" s="18" t="str">
        <f t="shared" si="136"/>
        <v>KOLOFATA</v>
      </c>
      <c r="AT1770" s="19">
        <f t="shared" si="139"/>
        <v>3</v>
      </c>
      <c r="AU1770" s="19">
        <f t="shared" ca="1" si="138"/>
        <v>1</v>
      </c>
    </row>
    <row r="1771" spans="1:47" x14ac:dyDescent="0.3">
      <c r="A1771" t="s">
        <v>2588</v>
      </c>
      <c r="B1771" t="str">
        <f t="shared" si="135"/>
        <v>S34_2026</v>
      </c>
      <c r="C1771" t="str">
        <f t="shared" si="137"/>
        <v>S34_2026</v>
      </c>
      <c r="E1771" t="s">
        <v>143</v>
      </c>
      <c r="F1771">
        <v>4</v>
      </c>
      <c r="G1771" t="s">
        <v>40</v>
      </c>
      <c r="H1771" t="s">
        <v>111</v>
      </c>
      <c r="I1771" t="s">
        <v>1954</v>
      </c>
      <c r="J1771" t="s">
        <v>146</v>
      </c>
      <c r="K1771" t="s">
        <v>146</v>
      </c>
      <c r="L1771" t="s">
        <v>146</v>
      </c>
      <c r="M1771" t="s">
        <v>146</v>
      </c>
      <c r="N1771" t="s">
        <v>45</v>
      </c>
      <c r="O1771" t="s">
        <v>45</v>
      </c>
      <c r="P1771">
        <v>3</v>
      </c>
      <c r="Q1771" s="7">
        <v>46255</v>
      </c>
      <c r="R1771" s="7">
        <v>46255</v>
      </c>
      <c r="S1771" s="7">
        <v>46255</v>
      </c>
      <c r="T1771" t="s">
        <v>45</v>
      </c>
      <c r="V1771" t="s">
        <v>742</v>
      </c>
      <c r="W1771" t="s">
        <v>45</v>
      </c>
      <c r="X1771" t="s">
        <v>45</v>
      </c>
      <c r="Y1771" t="s">
        <v>45</v>
      </c>
      <c r="Z1771" t="s">
        <v>45</v>
      </c>
      <c r="AH1771" t="s">
        <v>75</v>
      </c>
      <c r="AI1771">
        <v>0</v>
      </c>
      <c r="AJ1771" s="15"/>
      <c r="AK1771" t="s">
        <v>74</v>
      </c>
      <c r="AL1771" s="16"/>
      <c r="AR1771" s="18" t="str">
        <f>IFERROR(VLOOKUP(K1771,[1]POP!$F:$J,1,0),M1771)</f>
        <v>KOLOFATA</v>
      </c>
      <c r="AS1771" s="18" t="str">
        <f t="shared" si="136"/>
        <v>KOLOFATA</v>
      </c>
      <c r="AT1771" s="19">
        <f t="shared" si="139"/>
        <v>0</v>
      </c>
      <c r="AU1771" s="19">
        <f t="shared" ca="1" si="138"/>
        <v>1</v>
      </c>
    </row>
    <row r="1772" spans="1:47" x14ac:dyDescent="0.3">
      <c r="A1772" t="s">
        <v>2589</v>
      </c>
      <c r="B1772" t="str">
        <f t="shared" si="135"/>
        <v>S34_2026</v>
      </c>
      <c r="C1772" t="str">
        <f t="shared" si="137"/>
        <v>S34_2026</v>
      </c>
      <c r="E1772" t="s">
        <v>143</v>
      </c>
      <c r="F1772">
        <v>30</v>
      </c>
      <c r="G1772" t="s">
        <v>55</v>
      </c>
      <c r="H1772" t="s">
        <v>111</v>
      </c>
      <c r="I1772" t="s">
        <v>2519</v>
      </c>
      <c r="J1772" t="s">
        <v>146</v>
      </c>
      <c r="K1772" t="s">
        <v>146</v>
      </c>
      <c r="L1772" t="s">
        <v>146</v>
      </c>
      <c r="M1772" t="s">
        <v>146</v>
      </c>
      <c r="N1772" t="s">
        <v>45</v>
      </c>
      <c r="O1772" t="s">
        <v>45</v>
      </c>
      <c r="P1772">
        <v>3</v>
      </c>
      <c r="Q1772" s="7">
        <v>46255</v>
      </c>
      <c r="R1772" s="7">
        <v>46255</v>
      </c>
      <c r="S1772" s="7">
        <v>46255</v>
      </c>
      <c r="T1772" t="s">
        <v>45</v>
      </c>
      <c r="V1772" t="s">
        <v>742</v>
      </c>
      <c r="W1772" t="s">
        <v>45</v>
      </c>
      <c r="X1772" t="s">
        <v>45</v>
      </c>
      <c r="Y1772" t="s">
        <v>45</v>
      </c>
      <c r="Z1772" t="s">
        <v>45</v>
      </c>
      <c r="AH1772" t="s">
        <v>75</v>
      </c>
      <c r="AI1772">
        <v>0</v>
      </c>
      <c r="AJ1772" s="15"/>
      <c r="AK1772" t="s">
        <v>74</v>
      </c>
      <c r="AL1772" s="16"/>
      <c r="AR1772" s="18" t="str">
        <f>IFERROR(VLOOKUP(K1772,[1]POP!$F:$J,1,0),M1772)</f>
        <v>KOLOFATA</v>
      </c>
      <c r="AS1772" s="18" t="str">
        <f t="shared" si="136"/>
        <v>KOLOFATA</v>
      </c>
      <c r="AT1772" s="19">
        <f t="shared" si="139"/>
        <v>0</v>
      </c>
      <c r="AU1772" s="19">
        <f t="shared" ca="1" si="138"/>
        <v>1</v>
      </c>
    </row>
    <row r="1773" spans="1:47" x14ac:dyDescent="0.3">
      <c r="A1773" t="s">
        <v>2590</v>
      </c>
      <c r="B1773" t="str">
        <f t="shared" si="135"/>
        <v>S34_2026</v>
      </c>
      <c r="C1773" t="str">
        <f t="shared" si="137"/>
        <v>S34_2026</v>
      </c>
      <c r="E1773" t="s">
        <v>143</v>
      </c>
      <c r="F1773">
        <v>30</v>
      </c>
      <c r="G1773" t="s">
        <v>40</v>
      </c>
      <c r="H1773" t="s">
        <v>111</v>
      </c>
      <c r="I1773" t="s">
        <v>2001</v>
      </c>
      <c r="J1773" t="s">
        <v>146</v>
      </c>
      <c r="K1773" t="s">
        <v>146</v>
      </c>
      <c r="L1773" t="s">
        <v>146</v>
      </c>
      <c r="M1773" t="s">
        <v>146</v>
      </c>
      <c r="N1773" t="s">
        <v>45</v>
      </c>
      <c r="O1773" t="s">
        <v>45</v>
      </c>
      <c r="P1773">
        <v>3</v>
      </c>
      <c r="Q1773" s="7">
        <v>46255</v>
      </c>
      <c r="R1773" s="7">
        <v>46255</v>
      </c>
      <c r="S1773" s="7">
        <v>46255</v>
      </c>
      <c r="T1773" t="s">
        <v>45</v>
      </c>
      <c r="V1773" t="s">
        <v>742</v>
      </c>
      <c r="W1773" t="s">
        <v>45</v>
      </c>
      <c r="X1773" t="s">
        <v>45</v>
      </c>
      <c r="Y1773" t="s">
        <v>45</v>
      </c>
      <c r="Z1773" t="s">
        <v>45</v>
      </c>
      <c r="AH1773" t="s">
        <v>75</v>
      </c>
      <c r="AI1773">
        <v>0</v>
      </c>
      <c r="AJ1773" s="15"/>
      <c r="AK1773" t="s">
        <v>74</v>
      </c>
      <c r="AL1773" s="16"/>
      <c r="AR1773" s="18" t="str">
        <f>IFERROR(VLOOKUP(K1773,[1]POP!$F:$J,1,0),M1773)</f>
        <v>KOLOFATA</v>
      </c>
      <c r="AS1773" s="18" t="str">
        <f t="shared" si="136"/>
        <v>KOLOFATA</v>
      </c>
      <c r="AT1773" s="19">
        <f t="shared" si="139"/>
        <v>0</v>
      </c>
      <c r="AU1773" s="19">
        <f t="shared" ca="1" si="138"/>
        <v>1</v>
      </c>
    </row>
    <row r="1774" spans="1:47" x14ac:dyDescent="0.3">
      <c r="A1774" t="s">
        <v>2591</v>
      </c>
      <c r="B1774" t="str">
        <f t="shared" si="135"/>
        <v>S34_2026</v>
      </c>
      <c r="C1774" t="str">
        <f t="shared" si="137"/>
        <v>S34_2026</v>
      </c>
      <c r="E1774" t="s">
        <v>143</v>
      </c>
      <c r="F1774">
        <v>3</v>
      </c>
      <c r="G1774" t="s">
        <v>55</v>
      </c>
      <c r="H1774" t="s">
        <v>111</v>
      </c>
      <c r="I1774" t="s">
        <v>2013</v>
      </c>
      <c r="J1774" t="s">
        <v>146</v>
      </c>
      <c r="K1774" t="s">
        <v>146</v>
      </c>
      <c r="L1774" t="s">
        <v>146</v>
      </c>
      <c r="M1774" t="s">
        <v>146</v>
      </c>
      <c r="N1774" t="s">
        <v>45</v>
      </c>
      <c r="O1774" t="s">
        <v>45</v>
      </c>
      <c r="P1774">
        <v>3</v>
      </c>
      <c r="Q1774" s="7">
        <v>46255</v>
      </c>
      <c r="R1774" s="7">
        <v>46255</v>
      </c>
      <c r="S1774" s="7">
        <v>46255</v>
      </c>
      <c r="T1774" t="s">
        <v>45</v>
      </c>
      <c r="V1774" t="s">
        <v>742</v>
      </c>
      <c r="W1774" t="s">
        <v>45</v>
      </c>
      <c r="X1774" t="s">
        <v>45</v>
      </c>
      <c r="Y1774" t="s">
        <v>45</v>
      </c>
      <c r="Z1774" t="s">
        <v>45</v>
      </c>
      <c r="AF1774">
        <v>2</v>
      </c>
      <c r="AH1774" t="s">
        <v>75</v>
      </c>
      <c r="AI1774">
        <v>1</v>
      </c>
      <c r="AJ1774" s="15"/>
      <c r="AK1774" t="s">
        <v>74</v>
      </c>
      <c r="AL1774" s="16"/>
      <c r="AR1774" s="18" t="str">
        <f>IFERROR(VLOOKUP(K1774,[1]POP!$F:$J,1,0),M1774)</f>
        <v>KOLOFATA</v>
      </c>
      <c r="AS1774" s="18" t="str">
        <f t="shared" si="136"/>
        <v>KOLOFATA</v>
      </c>
      <c r="AT1774" s="19">
        <f t="shared" si="139"/>
        <v>2</v>
      </c>
      <c r="AU1774" s="19">
        <f t="shared" ca="1" si="138"/>
        <v>1</v>
      </c>
    </row>
    <row r="1775" spans="1:47" x14ac:dyDescent="0.3">
      <c r="A1775" t="s">
        <v>2592</v>
      </c>
      <c r="B1775" t="str">
        <f t="shared" si="135"/>
        <v>S34_2026</v>
      </c>
      <c r="C1775" t="str">
        <f t="shared" si="137"/>
        <v>S34_2026</v>
      </c>
      <c r="E1775" t="s">
        <v>143</v>
      </c>
      <c r="F1775">
        <v>30</v>
      </c>
      <c r="G1775" t="s">
        <v>40</v>
      </c>
      <c r="H1775" t="s">
        <v>111</v>
      </c>
      <c r="I1775" t="s">
        <v>2013</v>
      </c>
      <c r="J1775" t="s">
        <v>146</v>
      </c>
      <c r="K1775" t="s">
        <v>146</v>
      </c>
      <c r="L1775" t="s">
        <v>146</v>
      </c>
      <c r="M1775" t="s">
        <v>146</v>
      </c>
      <c r="N1775" t="s">
        <v>45</v>
      </c>
      <c r="O1775" t="s">
        <v>45</v>
      </c>
      <c r="P1775">
        <v>3</v>
      </c>
      <c r="Q1775" s="7">
        <v>46255</v>
      </c>
      <c r="R1775" s="7">
        <v>46255</v>
      </c>
      <c r="S1775" s="7">
        <v>46255</v>
      </c>
      <c r="T1775" t="s">
        <v>45</v>
      </c>
      <c r="V1775" t="s">
        <v>742</v>
      </c>
      <c r="W1775" t="s">
        <v>45</v>
      </c>
      <c r="X1775" t="s">
        <v>45</v>
      </c>
      <c r="Y1775" t="s">
        <v>45</v>
      </c>
      <c r="Z1775" t="s">
        <v>45</v>
      </c>
      <c r="AH1775" t="s">
        <v>75</v>
      </c>
      <c r="AI1775">
        <v>0</v>
      </c>
      <c r="AJ1775" s="15"/>
      <c r="AK1775" t="s">
        <v>74</v>
      </c>
      <c r="AL1775" s="16"/>
      <c r="AR1775" s="18" t="str">
        <f>IFERROR(VLOOKUP(K1775,[1]POP!$F:$J,1,0),M1775)</f>
        <v>KOLOFATA</v>
      </c>
      <c r="AS1775" s="18" t="str">
        <f t="shared" si="136"/>
        <v>KOLOFATA</v>
      </c>
      <c r="AT1775" s="19">
        <f t="shared" si="139"/>
        <v>0</v>
      </c>
      <c r="AU1775" s="19">
        <f t="shared" ca="1" si="138"/>
        <v>1</v>
      </c>
    </row>
    <row r="1776" spans="1:47" x14ac:dyDescent="0.3">
      <c r="A1776" t="s">
        <v>2593</v>
      </c>
      <c r="B1776" t="str">
        <f t="shared" si="135"/>
        <v>S34_2026</v>
      </c>
      <c r="C1776" t="str">
        <f t="shared" si="137"/>
        <v>S34_2026</v>
      </c>
      <c r="E1776" t="s">
        <v>143</v>
      </c>
      <c r="F1776">
        <v>6</v>
      </c>
      <c r="G1776" t="s">
        <v>55</v>
      </c>
      <c r="H1776" t="s">
        <v>1924</v>
      </c>
      <c r="I1776" t="s">
        <v>2519</v>
      </c>
      <c r="J1776" t="s">
        <v>146</v>
      </c>
      <c r="K1776" t="s">
        <v>146</v>
      </c>
      <c r="L1776" t="s">
        <v>146</v>
      </c>
      <c r="M1776" t="s">
        <v>146</v>
      </c>
      <c r="N1776" t="s">
        <v>45</v>
      </c>
      <c r="O1776" t="s">
        <v>45</v>
      </c>
      <c r="P1776">
        <v>3</v>
      </c>
      <c r="Q1776" s="7">
        <v>46255</v>
      </c>
      <c r="R1776" s="7">
        <v>46255</v>
      </c>
      <c r="S1776" s="7">
        <v>46255</v>
      </c>
      <c r="T1776" t="s">
        <v>45</v>
      </c>
      <c r="V1776" t="s">
        <v>742</v>
      </c>
      <c r="W1776" t="s">
        <v>45</v>
      </c>
      <c r="X1776" t="s">
        <v>45</v>
      </c>
      <c r="Y1776" t="s">
        <v>45</v>
      </c>
      <c r="Z1776" t="s">
        <v>45</v>
      </c>
      <c r="AH1776" t="s">
        <v>75</v>
      </c>
      <c r="AI1776">
        <v>0</v>
      </c>
      <c r="AJ1776" s="15"/>
      <c r="AK1776" t="s">
        <v>74</v>
      </c>
      <c r="AL1776" s="16"/>
      <c r="AR1776" s="18" t="str">
        <f>IFERROR(VLOOKUP(K1776,[1]POP!$F:$J,1,0),M1776)</f>
        <v>KOLOFATA</v>
      </c>
      <c r="AS1776" s="18" t="str">
        <f t="shared" si="136"/>
        <v>KOLOFATA</v>
      </c>
      <c r="AT1776" s="19">
        <f t="shared" si="139"/>
        <v>0</v>
      </c>
      <c r="AU1776" s="19">
        <f t="shared" ca="1" si="138"/>
        <v>1</v>
      </c>
    </row>
    <row r="1777" spans="1:47" x14ac:dyDescent="0.3">
      <c r="A1777" t="s">
        <v>2594</v>
      </c>
      <c r="B1777" t="str">
        <f t="shared" si="135"/>
        <v>S34_2026</v>
      </c>
      <c r="C1777" t="str">
        <f t="shared" si="137"/>
        <v>S34_2026</v>
      </c>
      <c r="E1777" t="s">
        <v>143</v>
      </c>
      <c r="F1777">
        <v>8</v>
      </c>
      <c r="G1777" t="s">
        <v>40</v>
      </c>
      <c r="H1777" t="s">
        <v>111</v>
      </c>
      <c r="I1777" t="s">
        <v>2519</v>
      </c>
      <c r="J1777" t="s">
        <v>146</v>
      </c>
      <c r="K1777" t="s">
        <v>146</v>
      </c>
      <c r="L1777" t="s">
        <v>146</v>
      </c>
      <c r="M1777" t="s">
        <v>146</v>
      </c>
      <c r="N1777" t="s">
        <v>45</v>
      </c>
      <c r="O1777" t="s">
        <v>45</v>
      </c>
      <c r="P1777">
        <v>3</v>
      </c>
      <c r="Q1777" s="7">
        <v>46255</v>
      </c>
      <c r="R1777" s="7">
        <v>46255</v>
      </c>
      <c r="S1777" s="7">
        <v>46255</v>
      </c>
      <c r="T1777" t="s">
        <v>45</v>
      </c>
      <c r="V1777" t="s">
        <v>742</v>
      </c>
      <c r="W1777" t="s">
        <v>45</v>
      </c>
      <c r="X1777" t="s">
        <v>45</v>
      </c>
      <c r="Y1777" t="s">
        <v>45</v>
      </c>
      <c r="Z1777" t="s">
        <v>45</v>
      </c>
      <c r="AF1777">
        <v>2</v>
      </c>
      <c r="AH1777" t="s">
        <v>75</v>
      </c>
      <c r="AI1777">
        <v>1</v>
      </c>
      <c r="AJ1777" s="15"/>
      <c r="AK1777" t="s">
        <v>74</v>
      </c>
      <c r="AL1777" s="16"/>
      <c r="AR1777" s="18" t="str">
        <f>IFERROR(VLOOKUP(K1777,[1]POP!$F:$J,1,0),M1777)</f>
        <v>KOLOFATA</v>
      </c>
      <c r="AS1777" s="18" t="str">
        <f t="shared" si="136"/>
        <v>KOLOFATA</v>
      </c>
      <c r="AT1777" s="19">
        <f t="shared" si="139"/>
        <v>2</v>
      </c>
      <c r="AU1777" s="19">
        <f t="shared" ca="1" si="138"/>
        <v>1</v>
      </c>
    </row>
    <row r="1778" spans="1:47" x14ac:dyDescent="0.3">
      <c r="A1778" t="s">
        <v>2595</v>
      </c>
      <c r="B1778" t="str">
        <f t="shared" si="135"/>
        <v>S34_2026</v>
      </c>
      <c r="C1778" t="str">
        <f t="shared" si="137"/>
        <v>S34_2026</v>
      </c>
      <c r="E1778" t="s">
        <v>143</v>
      </c>
      <c r="F1778">
        <v>18</v>
      </c>
      <c r="G1778" t="s">
        <v>40</v>
      </c>
      <c r="H1778" t="s">
        <v>111</v>
      </c>
      <c r="I1778" t="s">
        <v>2013</v>
      </c>
      <c r="J1778" t="s">
        <v>146</v>
      </c>
      <c r="K1778" t="s">
        <v>146</v>
      </c>
      <c r="L1778" t="s">
        <v>146</v>
      </c>
      <c r="M1778" t="s">
        <v>146</v>
      </c>
      <c r="N1778" t="s">
        <v>45</v>
      </c>
      <c r="O1778" t="s">
        <v>45</v>
      </c>
      <c r="P1778">
        <v>3</v>
      </c>
      <c r="Q1778" s="7">
        <v>46255</v>
      </c>
      <c r="R1778" s="7">
        <v>46255</v>
      </c>
      <c r="S1778" s="7">
        <v>46255</v>
      </c>
      <c r="T1778" t="s">
        <v>45</v>
      </c>
      <c r="V1778" t="s">
        <v>742</v>
      </c>
      <c r="W1778" t="s">
        <v>45</v>
      </c>
      <c r="X1778" t="s">
        <v>45</v>
      </c>
      <c r="Y1778" t="s">
        <v>45</v>
      </c>
      <c r="Z1778" t="s">
        <v>45</v>
      </c>
      <c r="AH1778" t="s">
        <v>75</v>
      </c>
      <c r="AI1778">
        <v>0</v>
      </c>
      <c r="AJ1778" s="15"/>
      <c r="AK1778" t="s">
        <v>74</v>
      </c>
      <c r="AL1778" s="16"/>
      <c r="AR1778" s="18" t="str">
        <f>IFERROR(VLOOKUP(K1778,[1]POP!$F:$J,1,0),M1778)</f>
        <v>KOLOFATA</v>
      </c>
      <c r="AS1778" s="18" t="str">
        <f t="shared" si="136"/>
        <v>KOLOFATA</v>
      </c>
      <c r="AT1778" s="19">
        <f t="shared" si="139"/>
        <v>0</v>
      </c>
      <c r="AU1778" s="19">
        <f t="shared" ca="1" si="138"/>
        <v>1</v>
      </c>
    </row>
    <row r="1779" spans="1:47" x14ac:dyDescent="0.3">
      <c r="A1779" t="s">
        <v>2596</v>
      </c>
      <c r="B1779" t="str">
        <f t="shared" si="135"/>
        <v>S34_2026</v>
      </c>
      <c r="C1779" t="str">
        <f t="shared" si="137"/>
        <v>S34_2026</v>
      </c>
      <c r="E1779" t="s">
        <v>143</v>
      </c>
      <c r="F1779">
        <v>18</v>
      </c>
      <c r="G1779" t="s">
        <v>40</v>
      </c>
      <c r="H1779" t="s">
        <v>111</v>
      </c>
      <c r="I1779" t="s">
        <v>2557</v>
      </c>
      <c r="J1779" t="s">
        <v>146</v>
      </c>
      <c r="K1779" t="s">
        <v>146</v>
      </c>
      <c r="L1779" t="s">
        <v>146</v>
      </c>
      <c r="M1779" t="s">
        <v>146</v>
      </c>
      <c r="N1779" t="s">
        <v>45</v>
      </c>
      <c r="O1779" t="s">
        <v>45</v>
      </c>
      <c r="P1779">
        <v>3</v>
      </c>
      <c r="Q1779" s="7">
        <v>46255</v>
      </c>
      <c r="R1779" s="7">
        <v>46255</v>
      </c>
      <c r="S1779" s="7">
        <v>46255</v>
      </c>
      <c r="T1779" t="s">
        <v>45</v>
      </c>
      <c r="V1779" t="s">
        <v>742</v>
      </c>
      <c r="W1779" t="s">
        <v>45</v>
      </c>
      <c r="X1779" t="s">
        <v>45</v>
      </c>
      <c r="Y1779" t="s">
        <v>45</v>
      </c>
      <c r="Z1779" t="s">
        <v>45</v>
      </c>
      <c r="AH1779" t="s">
        <v>75</v>
      </c>
      <c r="AI1779">
        <v>0</v>
      </c>
      <c r="AJ1779" s="15"/>
      <c r="AK1779" t="s">
        <v>74</v>
      </c>
      <c r="AL1779" s="16"/>
      <c r="AR1779" s="18" t="str">
        <f>IFERROR(VLOOKUP(K1779,[1]POP!$F:$J,1,0),M1779)</f>
        <v>KOLOFATA</v>
      </c>
      <c r="AS1779" s="18" t="str">
        <f t="shared" si="136"/>
        <v>KOLOFATA</v>
      </c>
      <c r="AT1779" s="19">
        <f t="shared" si="139"/>
        <v>0</v>
      </c>
      <c r="AU1779" s="19">
        <f t="shared" ca="1" si="138"/>
        <v>1</v>
      </c>
    </row>
    <row r="1780" spans="1:47" x14ac:dyDescent="0.3">
      <c r="A1780" t="s">
        <v>2597</v>
      </c>
      <c r="B1780" t="str">
        <f t="shared" si="135"/>
        <v>S34_2026</v>
      </c>
      <c r="C1780" t="str">
        <f t="shared" si="137"/>
        <v>S34_2026</v>
      </c>
      <c r="E1780" t="s">
        <v>143</v>
      </c>
      <c r="F1780">
        <v>25</v>
      </c>
      <c r="G1780" t="s">
        <v>40</v>
      </c>
      <c r="H1780" t="s">
        <v>1924</v>
      </c>
      <c r="I1780" t="s">
        <v>2557</v>
      </c>
      <c r="J1780" t="s">
        <v>146</v>
      </c>
      <c r="K1780" t="s">
        <v>146</v>
      </c>
      <c r="L1780" t="s">
        <v>146</v>
      </c>
      <c r="M1780" t="s">
        <v>146</v>
      </c>
      <c r="N1780" t="s">
        <v>45</v>
      </c>
      <c r="O1780" t="s">
        <v>45</v>
      </c>
      <c r="P1780">
        <v>3</v>
      </c>
      <c r="Q1780" s="7">
        <v>46255</v>
      </c>
      <c r="R1780" s="7">
        <v>46255</v>
      </c>
      <c r="S1780" s="7">
        <v>46255</v>
      </c>
      <c r="T1780" t="s">
        <v>45</v>
      </c>
      <c r="V1780" t="s">
        <v>742</v>
      </c>
      <c r="W1780" t="s">
        <v>45</v>
      </c>
      <c r="X1780" t="s">
        <v>45</v>
      </c>
      <c r="Y1780" t="s">
        <v>45</v>
      </c>
      <c r="Z1780" t="s">
        <v>45</v>
      </c>
      <c r="AF1780">
        <v>3</v>
      </c>
      <c r="AH1780" t="s">
        <v>75</v>
      </c>
      <c r="AI1780">
        <v>2</v>
      </c>
      <c r="AJ1780" s="15"/>
      <c r="AK1780" t="s">
        <v>74</v>
      </c>
      <c r="AL1780" s="16"/>
      <c r="AR1780" s="18" t="str">
        <f>IFERROR(VLOOKUP(K1780,[1]POP!$F:$J,1,0),M1780)</f>
        <v>KOLOFATA</v>
      </c>
      <c r="AS1780" s="18" t="str">
        <f t="shared" si="136"/>
        <v>KOLOFATA</v>
      </c>
      <c r="AT1780" s="19">
        <f t="shared" si="139"/>
        <v>3</v>
      </c>
      <c r="AU1780" s="19">
        <f t="shared" ca="1" si="138"/>
        <v>1</v>
      </c>
    </row>
    <row r="1781" spans="1:47" x14ac:dyDescent="0.3">
      <c r="A1781" t="s">
        <v>2598</v>
      </c>
      <c r="B1781" t="str">
        <f t="shared" si="135"/>
        <v>S34_2026</v>
      </c>
      <c r="C1781" t="str">
        <f t="shared" si="137"/>
        <v>S34_2026</v>
      </c>
      <c r="E1781" t="s">
        <v>143</v>
      </c>
      <c r="F1781">
        <v>31</v>
      </c>
      <c r="G1781" t="s">
        <v>40</v>
      </c>
      <c r="H1781" t="s">
        <v>1924</v>
      </c>
      <c r="I1781" t="s">
        <v>2013</v>
      </c>
      <c r="J1781" t="s">
        <v>146</v>
      </c>
      <c r="K1781" t="s">
        <v>146</v>
      </c>
      <c r="L1781" t="s">
        <v>146</v>
      </c>
      <c r="M1781" t="s">
        <v>146</v>
      </c>
      <c r="N1781" t="s">
        <v>45</v>
      </c>
      <c r="O1781" t="s">
        <v>45</v>
      </c>
      <c r="P1781">
        <v>3</v>
      </c>
      <c r="Q1781" s="7">
        <v>46255</v>
      </c>
      <c r="R1781" s="7">
        <v>46255</v>
      </c>
      <c r="S1781" s="7">
        <v>46255</v>
      </c>
      <c r="T1781" t="s">
        <v>45</v>
      </c>
      <c r="V1781" t="s">
        <v>742</v>
      </c>
      <c r="W1781" t="s">
        <v>45</v>
      </c>
      <c r="X1781" t="s">
        <v>45</v>
      </c>
      <c r="Y1781" t="s">
        <v>45</v>
      </c>
      <c r="Z1781" t="s">
        <v>45</v>
      </c>
      <c r="AF1781">
        <v>2</v>
      </c>
      <c r="AH1781" t="s">
        <v>75</v>
      </c>
      <c r="AI1781">
        <v>1</v>
      </c>
      <c r="AJ1781" s="15"/>
      <c r="AK1781" t="s">
        <v>74</v>
      </c>
      <c r="AL1781" s="16"/>
      <c r="AR1781" s="18" t="str">
        <f>IFERROR(VLOOKUP(K1781,[1]POP!$F:$J,1,0),M1781)</f>
        <v>KOLOFATA</v>
      </c>
      <c r="AS1781" s="18" t="str">
        <f t="shared" si="136"/>
        <v>KOLOFATA</v>
      </c>
      <c r="AT1781" s="19">
        <f t="shared" si="139"/>
        <v>2</v>
      </c>
      <c r="AU1781" s="19">
        <f t="shared" ca="1" si="138"/>
        <v>1</v>
      </c>
    </row>
    <row r="1782" spans="1:47" x14ac:dyDescent="0.3">
      <c r="A1782" t="s">
        <v>2599</v>
      </c>
      <c r="B1782" t="str">
        <f t="shared" si="135"/>
        <v>S34_2026</v>
      </c>
      <c r="C1782" t="str">
        <f t="shared" si="137"/>
        <v>S34_2026</v>
      </c>
      <c r="E1782" t="s">
        <v>143</v>
      </c>
      <c r="F1782">
        <v>30</v>
      </c>
      <c r="G1782" t="s">
        <v>40</v>
      </c>
      <c r="H1782" t="s">
        <v>1924</v>
      </c>
      <c r="I1782" t="s">
        <v>2600</v>
      </c>
      <c r="J1782" t="s">
        <v>146</v>
      </c>
      <c r="K1782" t="s">
        <v>146</v>
      </c>
      <c r="L1782" t="s">
        <v>146</v>
      </c>
      <c r="M1782" t="s">
        <v>146</v>
      </c>
      <c r="N1782" t="s">
        <v>45</v>
      </c>
      <c r="O1782" t="s">
        <v>45</v>
      </c>
      <c r="P1782">
        <v>3</v>
      </c>
      <c r="Q1782" s="7">
        <v>46255</v>
      </c>
      <c r="R1782" s="7">
        <v>46255</v>
      </c>
      <c r="S1782" s="7">
        <v>46255</v>
      </c>
      <c r="T1782" t="s">
        <v>45</v>
      </c>
      <c r="V1782" t="s">
        <v>742</v>
      </c>
      <c r="W1782" t="s">
        <v>45</v>
      </c>
      <c r="X1782" t="s">
        <v>45</v>
      </c>
      <c r="Y1782" t="s">
        <v>45</v>
      </c>
      <c r="Z1782" t="s">
        <v>45</v>
      </c>
      <c r="AF1782">
        <v>2</v>
      </c>
      <c r="AH1782" t="s">
        <v>75</v>
      </c>
      <c r="AI1782">
        <v>1</v>
      </c>
      <c r="AJ1782" s="15"/>
      <c r="AK1782" t="s">
        <v>74</v>
      </c>
      <c r="AL1782" s="16"/>
      <c r="AR1782" s="18" t="str">
        <f>IFERROR(VLOOKUP(K1782,[1]POP!$F:$J,1,0),M1782)</f>
        <v>KOLOFATA</v>
      </c>
      <c r="AS1782" s="18" t="str">
        <f t="shared" si="136"/>
        <v>KOLOFATA</v>
      </c>
      <c r="AT1782" s="19">
        <f t="shared" si="139"/>
        <v>2</v>
      </c>
      <c r="AU1782" s="19">
        <f t="shared" ca="1" si="138"/>
        <v>1</v>
      </c>
    </row>
    <row r="1783" spans="1:47" x14ac:dyDescent="0.3">
      <c r="A1783" t="s">
        <v>2601</v>
      </c>
      <c r="B1783" t="str">
        <f t="shared" si="135"/>
        <v>S34_2026</v>
      </c>
      <c r="C1783" t="str">
        <f t="shared" si="137"/>
        <v>S34_2026</v>
      </c>
      <c r="E1783" t="s">
        <v>143</v>
      </c>
      <c r="F1783">
        <v>12</v>
      </c>
      <c r="G1783" t="s">
        <v>55</v>
      </c>
      <c r="H1783" t="s">
        <v>111</v>
      </c>
      <c r="I1783" t="s">
        <v>2013</v>
      </c>
      <c r="J1783" t="s">
        <v>146</v>
      </c>
      <c r="K1783" t="s">
        <v>146</v>
      </c>
      <c r="L1783" t="s">
        <v>146</v>
      </c>
      <c r="M1783" t="s">
        <v>146</v>
      </c>
      <c r="N1783" t="s">
        <v>45</v>
      </c>
      <c r="O1783" t="s">
        <v>45</v>
      </c>
      <c r="P1783">
        <v>3</v>
      </c>
      <c r="Q1783" s="7">
        <v>46255</v>
      </c>
      <c r="R1783" s="7">
        <v>46255</v>
      </c>
      <c r="S1783" s="7">
        <v>46255</v>
      </c>
      <c r="T1783" t="s">
        <v>45</v>
      </c>
      <c r="V1783" t="s">
        <v>742</v>
      </c>
      <c r="W1783" t="s">
        <v>45</v>
      </c>
      <c r="X1783" t="s">
        <v>45</v>
      </c>
      <c r="Y1783" t="s">
        <v>45</v>
      </c>
      <c r="Z1783" t="s">
        <v>45</v>
      </c>
      <c r="AF1783">
        <v>2</v>
      </c>
      <c r="AH1783" t="s">
        <v>75</v>
      </c>
      <c r="AI1783">
        <v>1</v>
      </c>
      <c r="AJ1783" s="15"/>
      <c r="AK1783" t="s">
        <v>74</v>
      </c>
      <c r="AL1783" s="16"/>
      <c r="AR1783" s="18" t="str">
        <f>IFERROR(VLOOKUP(K1783,[1]POP!$F:$J,1,0),M1783)</f>
        <v>KOLOFATA</v>
      </c>
      <c r="AS1783" s="18" t="str">
        <f t="shared" si="136"/>
        <v>KOLOFATA</v>
      </c>
      <c r="AT1783" s="19">
        <f t="shared" si="139"/>
        <v>2</v>
      </c>
      <c r="AU1783" s="19">
        <f t="shared" ca="1" si="138"/>
        <v>1</v>
      </c>
    </row>
    <row r="1784" spans="1:47" x14ac:dyDescent="0.3">
      <c r="A1784" t="s">
        <v>2602</v>
      </c>
      <c r="B1784" t="str">
        <f t="shared" si="135"/>
        <v>S34_2026</v>
      </c>
      <c r="C1784" t="str">
        <f t="shared" si="137"/>
        <v>S34_2026</v>
      </c>
      <c r="E1784" t="s">
        <v>143</v>
      </c>
      <c r="F1784">
        <v>0.66666666666666663</v>
      </c>
      <c r="G1784" t="s">
        <v>55</v>
      </c>
      <c r="H1784" t="s">
        <v>111</v>
      </c>
      <c r="I1784" t="s">
        <v>2600</v>
      </c>
      <c r="J1784" t="s">
        <v>146</v>
      </c>
      <c r="K1784" t="s">
        <v>146</v>
      </c>
      <c r="L1784" t="s">
        <v>146</v>
      </c>
      <c r="M1784" t="s">
        <v>146</v>
      </c>
      <c r="N1784" t="s">
        <v>45</v>
      </c>
      <c r="O1784" t="s">
        <v>45</v>
      </c>
      <c r="P1784">
        <v>3</v>
      </c>
      <c r="Q1784" s="7">
        <v>46255</v>
      </c>
      <c r="R1784" s="7">
        <v>46255</v>
      </c>
      <c r="S1784" s="7">
        <v>46255</v>
      </c>
      <c r="T1784" t="s">
        <v>45</v>
      </c>
      <c r="V1784" t="s">
        <v>742</v>
      </c>
      <c r="W1784" t="s">
        <v>45</v>
      </c>
      <c r="X1784" t="s">
        <v>45</v>
      </c>
      <c r="Y1784" t="s">
        <v>45</v>
      </c>
      <c r="Z1784" t="s">
        <v>45</v>
      </c>
      <c r="AH1784" t="s">
        <v>75</v>
      </c>
      <c r="AI1784">
        <v>0</v>
      </c>
      <c r="AJ1784" s="15"/>
      <c r="AK1784" t="s">
        <v>74</v>
      </c>
      <c r="AL1784" s="16"/>
      <c r="AR1784" s="18" t="str">
        <f>IFERROR(VLOOKUP(K1784,[1]POP!$F:$J,1,0),M1784)</f>
        <v>KOLOFATA</v>
      </c>
      <c r="AS1784" s="18" t="str">
        <f t="shared" si="136"/>
        <v>KOLOFATA</v>
      </c>
      <c r="AT1784" s="19">
        <f t="shared" si="139"/>
        <v>0</v>
      </c>
      <c r="AU1784" s="19">
        <f t="shared" ca="1" si="138"/>
        <v>1</v>
      </c>
    </row>
    <row r="1785" spans="1:47" x14ac:dyDescent="0.3">
      <c r="A1785" t="s">
        <v>2603</v>
      </c>
      <c r="B1785" t="str">
        <f t="shared" si="135"/>
        <v>S34_2026</v>
      </c>
      <c r="C1785" t="str">
        <f t="shared" si="137"/>
        <v>S34_2026</v>
      </c>
      <c r="E1785" t="s">
        <v>143</v>
      </c>
      <c r="F1785">
        <v>48</v>
      </c>
      <c r="G1785" t="s">
        <v>55</v>
      </c>
      <c r="H1785" t="s">
        <v>2604</v>
      </c>
      <c r="I1785" t="s">
        <v>2605</v>
      </c>
      <c r="J1785" t="s">
        <v>146</v>
      </c>
      <c r="K1785" t="s">
        <v>146</v>
      </c>
      <c r="L1785" t="s">
        <v>146</v>
      </c>
      <c r="M1785" t="s">
        <v>146</v>
      </c>
      <c r="N1785" t="s">
        <v>45</v>
      </c>
      <c r="O1785" t="s">
        <v>45</v>
      </c>
      <c r="P1785">
        <v>3</v>
      </c>
      <c r="Q1785" s="7">
        <v>46255</v>
      </c>
      <c r="R1785" s="7">
        <v>46255</v>
      </c>
      <c r="S1785" s="7">
        <v>46255</v>
      </c>
      <c r="T1785" t="s">
        <v>45</v>
      </c>
      <c r="V1785" t="s">
        <v>742</v>
      </c>
      <c r="W1785" t="s">
        <v>45</v>
      </c>
      <c r="X1785" t="s">
        <v>45</v>
      </c>
      <c r="Y1785" t="s">
        <v>45</v>
      </c>
      <c r="Z1785" t="s">
        <v>45</v>
      </c>
      <c r="AF1785">
        <v>3</v>
      </c>
      <c r="AH1785" t="s">
        <v>75</v>
      </c>
      <c r="AI1785">
        <v>2</v>
      </c>
      <c r="AJ1785" s="15"/>
      <c r="AK1785" t="s">
        <v>74</v>
      </c>
      <c r="AL1785" s="16"/>
      <c r="AR1785" s="18" t="str">
        <f>IFERROR(VLOOKUP(K1785,[1]POP!$F:$J,1,0),M1785)</f>
        <v>KOLOFATA</v>
      </c>
      <c r="AS1785" s="18" t="str">
        <f t="shared" si="136"/>
        <v>KOLOFATA</v>
      </c>
      <c r="AT1785" s="19">
        <f t="shared" si="139"/>
        <v>3</v>
      </c>
      <c r="AU1785" s="19">
        <f t="shared" ca="1" si="138"/>
        <v>1</v>
      </c>
    </row>
    <row r="1786" spans="1:47" x14ac:dyDescent="0.3">
      <c r="A1786" t="s">
        <v>2606</v>
      </c>
      <c r="B1786" t="str">
        <f t="shared" si="135"/>
        <v>S34_2026</v>
      </c>
      <c r="C1786" t="str">
        <f t="shared" si="137"/>
        <v>S34_2026</v>
      </c>
      <c r="E1786" t="s">
        <v>143</v>
      </c>
      <c r="F1786">
        <v>5</v>
      </c>
      <c r="G1786" t="s">
        <v>55</v>
      </c>
      <c r="H1786" t="s">
        <v>111</v>
      </c>
      <c r="I1786" t="s">
        <v>2013</v>
      </c>
      <c r="J1786" t="s">
        <v>146</v>
      </c>
      <c r="K1786" t="s">
        <v>146</v>
      </c>
      <c r="L1786" t="s">
        <v>146</v>
      </c>
      <c r="M1786" t="s">
        <v>146</v>
      </c>
      <c r="N1786" t="s">
        <v>45</v>
      </c>
      <c r="O1786" t="s">
        <v>45</v>
      </c>
      <c r="P1786">
        <v>3</v>
      </c>
      <c r="Q1786" s="7">
        <v>46255</v>
      </c>
      <c r="R1786" s="7">
        <v>46255</v>
      </c>
      <c r="S1786" s="7">
        <v>46255</v>
      </c>
      <c r="T1786" t="s">
        <v>45</v>
      </c>
      <c r="V1786" t="s">
        <v>742</v>
      </c>
      <c r="W1786" t="s">
        <v>45</v>
      </c>
      <c r="X1786" t="s">
        <v>45</v>
      </c>
      <c r="Y1786" t="s">
        <v>45</v>
      </c>
      <c r="Z1786" t="s">
        <v>45</v>
      </c>
      <c r="AH1786" t="s">
        <v>75</v>
      </c>
      <c r="AI1786">
        <v>0</v>
      </c>
      <c r="AJ1786" s="15"/>
      <c r="AK1786" t="s">
        <v>74</v>
      </c>
      <c r="AL1786" s="16"/>
      <c r="AR1786" s="18" t="str">
        <f>IFERROR(VLOOKUP(K1786,[1]POP!$F:$J,1,0),M1786)</f>
        <v>KOLOFATA</v>
      </c>
      <c r="AS1786" s="18" t="str">
        <f t="shared" si="136"/>
        <v>KOLOFATA</v>
      </c>
      <c r="AT1786" s="19">
        <f t="shared" si="139"/>
        <v>0</v>
      </c>
      <c r="AU1786" s="19">
        <f t="shared" ca="1" si="138"/>
        <v>1</v>
      </c>
    </row>
    <row r="1787" spans="1:47" x14ac:dyDescent="0.3">
      <c r="A1787" t="s">
        <v>2607</v>
      </c>
      <c r="B1787" t="str">
        <f t="shared" si="135"/>
        <v>S34_2026</v>
      </c>
      <c r="C1787" t="str">
        <f t="shared" si="137"/>
        <v>S34_2026</v>
      </c>
      <c r="E1787" t="s">
        <v>143</v>
      </c>
      <c r="F1787">
        <v>2</v>
      </c>
      <c r="G1787" t="s">
        <v>40</v>
      </c>
      <c r="H1787" t="s">
        <v>111</v>
      </c>
      <c r="I1787" t="s">
        <v>1968</v>
      </c>
      <c r="J1787" t="s">
        <v>146</v>
      </c>
      <c r="K1787" t="s">
        <v>146</v>
      </c>
      <c r="L1787" t="s">
        <v>146</v>
      </c>
      <c r="M1787" t="s">
        <v>146</v>
      </c>
      <c r="N1787" t="s">
        <v>45</v>
      </c>
      <c r="O1787" t="s">
        <v>45</v>
      </c>
      <c r="P1787">
        <v>3</v>
      </c>
      <c r="Q1787" s="7">
        <v>46255</v>
      </c>
      <c r="R1787" s="7">
        <v>46255</v>
      </c>
      <c r="S1787" s="7">
        <v>46255</v>
      </c>
      <c r="T1787" t="s">
        <v>45</v>
      </c>
      <c r="V1787" t="s">
        <v>742</v>
      </c>
      <c r="W1787" t="s">
        <v>45</v>
      </c>
      <c r="X1787" t="s">
        <v>45</v>
      </c>
      <c r="Y1787" t="s">
        <v>45</v>
      </c>
      <c r="Z1787" t="s">
        <v>45</v>
      </c>
      <c r="AF1787">
        <v>2</v>
      </c>
      <c r="AH1787" t="s">
        <v>75</v>
      </c>
      <c r="AI1787">
        <v>1</v>
      </c>
      <c r="AJ1787" s="15"/>
      <c r="AK1787" t="s">
        <v>74</v>
      </c>
      <c r="AL1787" s="16"/>
      <c r="AR1787" s="18" t="str">
        <f>IFERROR(VLOOKUP(K1787,[1]POP!$F:$J,1,0),M1787)</f>
        <v>KOLOFATA</v>
      </c>
      <c r="AS1787" s="18" t="str">
        <f t="shared" si="136"/>
        <v>KOLOFATA</v>
      </c>
      <c r="AT1787" s="19">
        <f t="shared" si="139"/>
        <v>2</v>
      </c>
      <c r="AU1787" s="19">
        <f t="shared" ca="1" si="138"/>
        <v>1</v>
      </c>
    </row>
    <row r="1788" spans="1:47" x14ac:dyDescent="0.3">
      <c r="A1788" t="s">
        <v>2608</v>
      </c>
      <c r="B1788" t="str">
        <f t="shared" si="135"/>
        <v>S34_2026</v>
      </c>
      <c r="C1788" t="str">
        <f t="shared" si="137"/>
        <v>S34_2026</v>
      </c>
      <c r="E1788" t="s">
        <v>143</v>
      </c>
      <c r="F1788">
        <v>2</v>
      </c>
      <c r="G1788" t="s">
        <v>40</v>
      </c>
      <c r="H1788" t="s">
        <v>111</v>
      </c>
      <c r="I1788" t="s">
        <v>1968</v>
      </c>
      <c r="J1788" t="s">
        <v>146</v>
      </c>
      <c r="K1788" t="s">
        <v>146</v>
      </c>
      <c r="L1788" t="s">
        <v>146</v>
      </c>
      <c r="M1788" t="s">
        <v>146</v>
      </c>
      <c r="N1788" t="s">
        <v>45</v>
      </c>
      <c r="O1788" t="s">
        <v>45</v>
      </c>
      <c r="P1788">
        <v>3</v>
      </c>
      <c r="Q1788" s="7">
        <v>46255</v>
      </c>
      <c r="R1788" s="7">
        <v>46255</v>
      </c>
      <c r="S1788" s="7">
        <v>46255</v>
      </c>
      <c r="T1788" t="s">
        <v>45</v>
      </c>
      <c r="V1788" t="s">
        <v>742</v>
      </c>
      <c r="W1788" t="s">
        <v>45</v>
      </c>
      <c r="X1788" t="s">
        <v>45</v>
      </c>
      <c r="Y1788" t="s">
        <v>45</v>
      </c>
      <c r="Z1788" t="s">
        <v>45</v>
      </c>
      <c r="AH1788" t="s">
        <v>75</v>
      </c>
      <c r="AI1788">
        <v>0</v>
      </c>
      <c r="AJ1788" s="15"/>
      <c r="AK1788" t="s">
        <v>74</v>
      </c>
      <c r="AL1788" s="16"/>
      <c r="AR1788" s="18" t="str">
        <f>IFERROR(VLOOKUP(K1788,[1]POP!$F:$J,1,0),M1788)</f>
        <v>KOLOFATA</v>
      </c>
      <c r="AS1788" s="18" t="str">
        <f t="shared" si="136"/>
        <v>KOLOFATA</v>
      </c>
      <c r="AT1788" s="19">
        <f t="shared" si="139"/>
        <v>0</v>
      </c>
      <c r="AU1788" s="19">
        <f t="shared" ca="1" si="138"/>
        <v>1</v>
      </c>
    </row>
    <row r="1789" spans="1:47" x14ac:dyDescent="0.3">
      <c r="A1789" t="s">
        <v>2609</v>
      </c>
      <c r="B1789" t="str">
        <f t="shared" si="135"/>
        <v>S34_2026</v>
      </c>
      <c r="C1789" t="str">
        <f t="shared" si="137"/>
        <v>S34_2026</v>
      </c>
      <c r="E1789" t="s">
        <v>143</v>
      </c>
      <c r="F1789">
        <v>2</v>
      </c>
      <c r="G1789" t="s">
        <v>55</v>
      </c>
      <c r="H1789" t="s">
        <v>111</v>
      </c>
      <c r="I1789" t="s">
        <v>1972</v>
      </c>
      <c r="J1789" t="s">
        <v>146</v>
      </c>
      <c r="K1789" t="s">
        <v>146</v>
      </c>
      <c r="L1789" t="s">
        <v>146</v>
      </c>
      <c r="M1789" t="s">
        <v>146</v>
      </c>
      <c r="N1789" t="s">
        <v>45</v>
      </c>
      <c r="O1789" t="s">
        <v>45</v>
      </c>
      <c r="P1789">
        <v>3</v>
      </c>
      <c r="Q1789" s="7">
        <v>46255</v>
      </c>
      <c r="R1789" s="7">
        <v>46255</v>
      </c>
      <c r="S1789" s="7">
        <v>46255</v>
      </c>
      <c r="T1789" t="s">
        <v>45</v>
      </c>
      <c r="V1789" t="s">
        <v>742</v>
      </c>
      <c r="W1789" t="s">
        <v>45</v>
      </c>
      <c r="X1789" t="s">
        <v>45</v>
      </c>
      <c r="Y1789" t="s">
        <v>45</v>
      </c>
      <c r="Z1789" t="s">
        <v>45</v>
      </c>
      <c r="AF1789">
        <v>2</v>
      </c>
      <c r="AH1789" t="s">
        <v>75</v>
      </c>
      <c r="AI1789">
        <v>1</v>
      </c>
      <c r="AJ1789" s="15"/>
      <c r="AK1789" t="s">
        <v>74</v>
      </c>
      <c r="AL1789" s="16"/>
      <c r="AR1789" s="18" t="str">
        <f>IFERROR(VLOOKUP(K1789,[1]POP!$F:$J,1,0),M1789)</f>
        <v>KOLOFATA</v>
      </c>
      <c r="AS1789" s="18" t="str">
        <f t="shared" si="136"/>
        <v>KOLOFATA</v>
      </c>
      <c r="AT1789" s="19">
        <f t="shared" si="139"/>
        <v>2</v>
      </c>
      <c r="AU1789" s="19">
        <f t="shared" ca="1" si="138"/>
        <v>1</v>
      </c>
    </row>
    <row r="1790" spans="1:47" x14ac:dyDescent="0.3">
      <c r="A1790" t="s">
        <v>2610</v>
      </c>
      <c r="B1790" t="str">
        <f t="shared" si="135"/>
        <v>S34_2026</v>
      </c>
      <c r="C1790" t="str">
        <f t="shared" si="137"/>
        <v>S34_2026</v>
      </c>
      <c r="E1790" t="s">
        <v>143</v>
      </c>
      <c r="F1790">
        <v>40</v>
      </c>
      <c r="G1790" t="s">
        <v>55</v>
      </c>
      <c r="H1790" t="s">
        <v>457</v>
      </c>
      <c r="I1790" t="s">
        <v>1972</v>
      </c>
      <c r="J1790" t="s">
        <v>146</v>
      </c>
      <c r="K1790" t="s">
        <v>146</v>
      </c>
      <c r="L1790" t="s">
        <v>146</v>
      </c>
      <c r="M1790" t="s">
        <v>146</v>
      </c>
      <c r="N1790" t="s">
        <v>45</v>
      </c>
      <c r="O1790" t="s">
        <v>45</v>
      </c>
      <c r="P1790">
        <v>3</v>
      </c>
      <c r="Q1790" s="7">
        <v>46255</v>
      </c>
      <c r="R1790" s="7">
        <v>46255</v>
      </c>
      <c r="S1790" s="7">
        <v>46255</v>
      </c>
      <c r="T1790" t="s">
        <v>45</v>
      </c>
      <c r="V1790" t="s">
        <v>742</v>
      </c>
      <c r="W1790" t="s">
        <v>45</v>
      </c>
      <c r="X1790" t="s">
        <v>45</v>
      </c>
      <c r="Y1790" t="s">
        <v>45</v>
      </c>
      <c r="Z1790" t="s">
        <v>45</v>
      </c>
      <c r="AF1790">
        <v>2</v>
      </c>
      <c r="AH1790" t="s">
        <v>75</v>
      </c>
      <c r="AI1790">
        <v>1</v>
      </c>
      <c r="AJ1790" s="15"/>
      <c r="AK1790" t="s">
        <v>74</v>
      </c>
      <c r="AL1790" s="16"/>
      <c r="AR1790" s="18" t="str">
        <f>IFERROR(VLOOKUP(K1790,[1]POP!$F:$J,1,0),M1790)</f>
        <v>KOLOFATA</v>
      </c>
      <c r="AS1790" s="18" t="str">
        <f t="shared" si="136"/>
        <v>KOLOFATA</v>
      </c>
      <c r="AT1790" s="19">
        <f t="shared" si="139"/>
        <v>2</v>
      </c>
      <c r="AU1790" s="19">
        <f t="shared" ca="1" si="138"/>
        <v>1</v>
      </c>
    </row>
    <row r="1791" spans="1:47" x14ac:dyDescent="0.3">
      <c r="A1791" t="s">
        <v>2611</v>
      </c>
      <c r="B1791" t="str">
        <f t="shared" si="135"/>
        <v>S34_2026</v>
      </c>
      <c r="C1791" t="str">
        <f t="shared" si="137"/>
        <v>S34_2026</v>
      </c>
      <c r="E1791" t="s">
        <v>143</v>
      </c>
      <c r="F1791">
        <v>60</v>
      </c>
      <c r="G1791" t="s">
        <v>40</v>
      </c>
      <c r="H1791" t="s">
        <v>1924</v>
      </c>
      <c r="I1791" t="s">
        <v>2519</v>
      </c>
      <c r="J1791" t="s">
        <v>146</v>
      </c>
      <c r="K1791" t="s">
        <v>146</v>
      </c>
      <c r="L1791" t="s">
        <v>146</v>
      </c>
      <c r="M1791" t="s">
        <v>146</v>
      </c>
      <c r="N1791" t="s">
        <v>45</v>
      </c>
      <c r="O1791" t="s">
        <v>45</v>
      </c>
      <c r="P1791">
        <v>3</v>
      </c>
      <c r="Q1791" s="7">
        <v>46255</v>
      </c>
      <c r="R1791" s="7">
        <v>46255</v>
      </c>
      <c r="S1791" s="7">
        <v>46255</v>
      </c>
      <c r="T1791" t="s">
        <v>45</v>
      </c>
      <c r="V1791" t="s">
        <v>742</v>
      </c>
      <c r="W1791" t="s">
        <v>45</v>
      </c>
      <c r="X1791" t="s">
        <v>45</v>
      </c>
      <c r="Y1791" t="s">
        <v>45</v>
      </c>
      <c r="Z1791" t="s">
        <v>45</v>
      </c>
      <c r="AF1791">
        <v>2</v>
      </c>
      <c r="AH1791" t="s">
        <v>75</v>
      </c>
      <c r="AI1791">
        <v>1</v>
      </c>
      <c r="AJ1791" s="15"/>
      <c r="AK1791" t="s">
        <v>74</v>
      </c>
      <c r="AL1791" s="16"/>
      <c r="AR1791" s="18" t="str">
        <f>IFERROR(VLOOKUP(K1791,[1]POP!$F:$J,1,0),M1791)</f>
        <v>KOLOFATA</v>
      </c>
      <c r="AS1791" s="18" t="str">
        <f t="shared" si="136"/>
        <v>KOLOFATA</v>
      </c>
      <c r="AT1791" s="19">
        <f t="shared" si="139"/>
        <v>2</v>
      </c>
      <c r="AU1791" s="19">
        <f t="shared" ca="1" si="138"/>
        <v>1</v>
      </c>
    </row>
    <row r="1792" spans="1:47" x14ac:dyDescent="0.3">
      <c r="A1792" t="s">
        <v>2612</v>
      </c>
      <c r="B1792" t="str">
        <f t="shared" si="135"/>
        <v>S34_2026</v>
      </c>
      <c r="C1792" t="str">
        <f t="shared" si="137"/>
        <v>S34_2026</v>
      </c>
      <c r="E1792" t="s">
        <v>143</v>
      </c>
      <c r="F1792">
        <v>2</v>
      </c>
      <c r="G1792" t="s">
        <v>55</v>
      </c>
      <c r="H1792" t="s">
        <v>111</v>
      </c>
      <c r="I1792" t="s">
        <v>2519</v>
      </c>
      <c r="J1792" t="s">
        <v>146</v>
      </c>
      <c r="K1792" t="s">
        <v>146</v>
      </c>
      <c r="L1792" t="s">
        <v>146</v>
      </c>
      <c r="M1792" t="s">
        <v>146</v>
      </c>
      <c r="N1792" t="s">
        <v>45</v>
      </c>
      <c r="O1792" t="s">
        <v>45</v>
      </c>
      <c r="P1792">
        <v>3</v>
      </c>
      <c r="Q1792" s="7">
        <v>46255</v>
      </c>
      <c r="R1792" s="7">
        <v>46255</v>
      </c>
      <c r="S1792" s="7">
        <v>46255</v>
      </c>
      <c r="T1792" t="s">
        <v>45</v>
      </c>
      <c r="V1792" t="s">
        <v>742</v>
      </c>
      <c r="W1792" t="s">
        <v>45</v>
      </c>
      <c r="X1792" t="s">
        <v>45</v>
      </c>
      <c r="Y1792" t="s">
        <v>45</v>
      </c>
      <c r="Z1792" t="s">
        <v>45</v>
      </c>
      <c r="AH1792" t="s">
        <v>75</v>
      </c>
      <c r="AI1792">
        <v>0</v>
      </c>
      <c r="AJ1792" s="15"/>
      <c r="AK1792" t="s">
        <v>74</v>
      </c>
      <c r="AL1792" s="16"/>
      <c r="AR1792" s="18" t="str">
        <f>IFERROR(VLOOKUP(K1792,[1]POP!$F:$J,1,0),M1792)</f>
        <v>KOLOFATA</v>
      </c>
      <c r="AS1792" s="18" t="str">
        <f t="shared" si="136"/>
        <v>KOLOFATA</v>
      </c>
      <c r="AT1792" s="19">
        <f t="shared" si="139"/>
        <v>0</v>
      </c>
      <c r="AU1792" s="19">
        <f t="shared" ca="1" si="138"/>
        <v>1</v>
      </c>
    </row>
    <row r="1793" spans="1:47" x14ac:dyDescent="0.3">
      <c r="A1793" t="s">
        <v>2613</v>
      </c>
      <c r="B1793" t="str">
        <f t="shared" si="135"/>
        <v>S34_2026</v>
      </c>
      <c r="C1793" t="str">
        <f t="shared" si="137"/>
        <v>S34_2026</v>
      </c>
      <c r="E1793" t="s">
        <v>143</v>
      </c>
      <c r="F1793">
        <v>5</v>
      </c>
      <c r="G1793" t="s">
        <v>55</v>
      </c>
      <c r="H1793" t="s">
        <v>111</v>
      </c>
      <c r="I1793" t="s">
        <v>2519</v>
      </c>
      <c r="J1793" t="s">
        <v>146</v>
      </c>
      <c r="K1793" t="s">
        <v>146</v>
      </c>
      <c r="L1793" t="s">
        <v>146</v>
      </c>
      <c r="M1793" t="s">
        <v>146</v>
      </c>
      <c r="N1793" t="s">
        <v>45</v>
      </c>
      <c r="O1793" t="s">
        <v>45</v>
      </c>
      <c r="P1793">
        <v>3</v>
      </c>
      <c r="Q1793" s="7">
        <v>46255</v>
      </c>
      <c r="R1793" s="7">
        <v>46255</v>
      </c>
      <c r="S1793" s="7">
        <v>46255</v>
      </c>
      <c r="T1793" t="s">
        <v>45</v>
      </c>
      <c r="V1793" t="s">
        <v>742</v>
      </c>
      <c r="W1793" t="s">
        <v>45</v>
      </c>
      <c r="X1793" t="s">
        <v>45</v>
      </c>
      <c r="Y1793" t="s">
        <v>45</v>
      </c>
      <c r="Z1793" t="s">
        <v>45</v>
      </c>
      <c r="AH1793" t="s">
        <v>75</v>
      </c>
      <c r="AI1793">
        <v>0</v>
      </c>
      <c r="AJ1793" s="15"/>
      <c r="AK1793" t="s">
        <v>74</v>
      </c>
      <c r="AL1793" s="16"/>
      <c r="AR1793" s="18" t="str">
        <f>IFERROR(VLOOKUP(K1793,[1]POP!$F:$J,1,0),M1793)</f>
        <v>KOLOFATA</v>
      </c>
      <c r="AS1793" s="18" t="str">
        <f t="shared" si="136"/>
        <v>KOLOFATA</v>
      </c>
      <c r="AT1793" s="19">
        <f t="shared" si="139"/>
        <v>0</v>
      </c>
      <c r="AU1793" s="19">
        <f t="shared" ca="1" si="138"/>
        <v>1</v>
      </c>
    </row>
    <row r="1794" spans="1:47" x14ac:dyDescent="0.3">
      <c r="A1794" t="s">
        <v>2614</v>
      </c>
      <c r="B1794" t="str">
        <f t="shared" ref="B1794:B1857" si="140">"S"&amp;(IF(_xlfn.ISOWEEKNUM(S1794)&gt;9,_xlfn.ISOWEEKNUM(S1794),_xlfn.CONCAT("0",_xlfn.ISOWEEKNUM(S1794))))&amp;"_"&amp;(YEAR(S1794+26-(_xlfn.ISOWEEKNUM(S1794))))</f>
        <v>S34_2026</v>
      </c>
      <c r="C1794" t="str">
        <f t="shared" si="137"/>
        <v>S34_2026</v>
      </c>
      <c r="E1794" t="s">
        <v>143</v>
      </c>
      <c r="F1794">
        <v>1</v>
      </c>
      <c r="G1794" t="s">
        <v>55</v>
      </c>
      <c r="H1794" t="s">
        <v>111</v>
      </c>
      <c r="I1794" t="s">
        <v>2615</v>
      </c>
      <c r="J1794" t="s">
        <v>146</v>
      </c>
      <c r="K1794" t="s">
        <v>146</v>
      </c>
      <c r="L1794" t="s">
        <v>146</v>
      </c>
      <c r="M1794" t="s">
        <v>146</v>
      </c>
      <c r="N1794" t="s">
        <v>45</v>
      </c>
      <c r="O1794" t="s">
        <v>45</v>
      </c>
      <c r="P1794">
        <v>3</v>
      </c>
      <c r="Q1794" s="7">
        <v>46255</v>
      </c>
      <c r="R1794" s="7">
        <v>46255</v>
      </c>
      <c r="S1794" s="7">
        <v>46255</v>
      </c>
      <c r="T1794" t="s">
        <v>45</v>
      </c>
      <c r="V1794" t="s">
        <v>742</v>
      </c>
      <c r="W1794" t="s">
        <v>45</v>
      </c>
      <c r="X1794" t="s">
        <v>45</v>
      </c>
      <c r="Y1794" t="s">
        <v>45</v>
      </c>
      <c r="Z1794" t="s">
        <v>45</v>
      </c>
      <c r="AH1794" t="s">
        <v>75</v>
      </c>
      <c r="AI1794">
        <v>0</v>
      </c>
      <c r="AJ1794" s="15"/>
      <c r="AK1794" t="s">
        <v>74</v>
      </c>
      <c r="AL1794" s="16"/>
      <c r="AR1794" s="18" t="str">
        <f>IFERROR(VLOOKUP(K1794,[1]POP!$F:$J,1,0),M1794)</f>
        <v>KOLOFATA</v>
      </c>
      <c r="AS1794" s="18" t="str">
        <f t="shared" ref="AS1794:AS1857" si="141">IF(AR1794=K1794,J1794,L1794)</f>
        <v>KOLOFATA</v>
      </c>
      <c r="AT1794" s="19">
        <f t="shared" si="139"/>
        <v>0</v>
      </c>
      <c r="AU1794" s="19">
        <f t="shared" ca="1" si="138"/>
        <v>1</v>
      </c>
    </row>
    <row r="1795" spans="1:47" x14ac:dyDescent="0.3">
      <c r="A1795" t="s">
        <v>2616</v>
      </c>
      <c r="B1795" t="str">
        <f t="shared" si="140"/>
        <v>S34_2026</v>
      </c>
      <c r="C1795" t="str">
        <f t="shared" ref="C1795:C1858" si="142">"S"&amp;(IF(_xlfn.ISOWEEKNUM(Q1795)&gt;9,_xlfn.ISOWEEKNUM(Q1795),_xlfn.CONCAT("0",_xlfn.ISOWEEKNUM(Q1795))))&amp;"_"&amp;(YEAR(Q1795+26-(_xlfn.ISOWEEKNUM(Q1795))))</f>
        <v>S34_2026</v>
      </c>
      <c r="E1795" t="s">
        <v>143</v>
      </c>
      <c r="F1795">
        <v>2.5</v>
      </c>
      <c r="G1795" t="s">
        <v>40</v>
      </c>
      <c r="H1795" t="s">
        <v>1924</v>
      </c>
      <c r="I1795" t="s">
        <v>2519</v>
      </c>
      <c r="J1795" t="s">
        <v>146</v>
      </c>
      <c r="K1795" t="s">
        <v>146</v>
      </c>
      <c r="L1795" t="s">
        <v>146</v>
      </c>
      <c r="M1795" t="s">
        <v>146</v>
      </c>
      <c r="N1795" t="s">
        <v>45</v>
      </c>
      <c r="O1795" t="s">
        <v>45</v>
      </c>
      <c r="P1795">
        <v>3</v>
      </c>
      <c r="Q1795" s="7">
        <v>46255</v>
      </c>
      <c r="R1795" s="7">
        <v>46255</v>
      </c>
      <c r="S1795" s="7">
        <v>46255</v>
      </c>
      <c r="T1795" t="s">
        <v>45</v>
      </c>
      <c r="V1795" t="s">
        <v>742</v>
      </c>
      <c r="W1795" t="s">
        <v>45</v>
      </c>
      <c r="X1795" t="s">
        <v>45</v>
      </c>
      <c r="Y1795" t="s">
        <v>45</v>
      </c>
      <c r="Z1795" t="s">
        <v>45</v>
      </c>
      <c r="AF1795">
        <v>2</v>
      </c>
      <c r="AH1795" t="s">
        <v>75</v>
      </c>
      <c r="AI1795">
        <v>1</v>
      </c>
      <c r="AJ1795" s="15"/>
      <c r="AK1795" t="s">
        <v>74</v>
      </c>
      <c r="AL1795" s="16"/>
      <c r="AR1795" s="18" t="str">
        <f>IFERROR(VLOOKUP(K1795,[1]POP!$F:$J,1,0),M1795)</f>
        <v>KOLOFATA</v>
      </c>
      <c r="AS1795" s="18" t="str">
        <f t="shared" si="141"/>
        <v>KOLOFATA</v>
      </c>
      <c r="AT1795" s="19">
        <f t="shared" si="139"/>
        <v>2</v>
      </c>
      <c r="AU1795" s="19">
        <f t="shared" ref="AU1795:AU1858" ca="1" si="143">IF((TODAY() - R1795)&lt;=21,1,2)</f>
        <v>1</v>
      </c>
    </row>
    <row r="1796" spans="1:47" x14ac:dyDescent="0.3">
      <c r="A1796" t="s">
        <v>2617</v>
      </c>
      <c r="B1796" t="str">
        <f t="shared" si="140"/>
        <v>S34_2026</v>
      </c>
      <c r="C1796" t="str">
        <f t="shared" si="142"/>
        <v>S34_2026</v>
      </c>
      <c r="E1796" t="s">
        <v>143</v>
      </c>
      <c r="F1796">
        <v>1.166666666666667</v>
      </c>
      <c r="G1796" t="s">
        <v>40</v>
      </c>
      <c r="H1796" t="s">
        <v>111</v>
      </c>
      <c r="I1796" t="s">
        <v>2519</v>
      </c>
      <c r="J1796" t="s">
        <v>146</v>
      </c>
      <c r="K1796" t="s">
        <v>146</v>
      </c>
      <c r="L1796" t="s">
        <v>146</v>
      </c>
      <c r="M1796" t="s">
        <v>146</v>
      </c>
      <c r="N1796" t="s">
        <v>45</v>
      </c>
      <c r="O1796" t="s">
        <v>45</v>
      </c>
      <c r="P1796">
        <v>3</v>
      </c>
      <c r="Q1796" s="7">
        <v>46257</v>
      </c>
      <c r="R1796" s="7">
        <v>46257</v>
      </c>
      <c r="S1796" s="7">
        <v>46257</v>
      </c>
      <c r="T1796" t="s">
        <v>45</v>
      </c>
      <c r="V1796" t="s">
        <v>742</v>
      </c>
      <c r="W1796" t="s">
        <v>45</v>
      </c>
      <c r="X1796" t="s">
        <v>45</v>
      </c>
      <c r="Y1796" t="s">
        <v>45</v>
      </c>
      <c r="Z1796" t="s">
        <v>45</v>
      </c>
      <c r="AH1796" t="s">
        <v>75</v>
      </c>
      <c r="AI1796">
        <v>0</v>
      </c>
      <c r="AJ1796" s="15"/>
      <c r="AK1796" t="s">
        <v>74</v>
      </c>
      <c r="AL1796" s="16"/>
      <c r="AR1796" s="18" t="str">
        <f>IFERROR(VLOOKUP(K1796,[1]POP!$F:$J,1,0),M1796)</f>
        <v>KOLOFATA</v>
      </c>
      <c r="AS1796" s="18" t="str">
        <f t="shared" si="141"/>
        <v>KOLOFATA</v>
      </c>
      <c r="AT1796" s="19">
        <f t="shared" ref="AT1796:AT1859" si="144">IF($AI:$AI=2,3,IF($AI:$AI=3,3,IF($AI:$AI=4,3,IF($AI:$AI=1,2,0))))</f>
        <v>0</v>
      </c>
      <c r="AU1796" s="19">
        <f t="shared" ca="1" si="143"/>
        <v>1</v>
      </c>
    </row>
    <row r="1797" spans="1:47" x14ac:dyDescent="0.3">
      <c r="A1797" t="s">
        <v>2618</v>
      </c>
      <c r="B1797" t="str">
        <f t="shared" si="140"/>
        <v>S34_2026</v>
      </c>
      <c r="C1797" t="str">
        <f t="shared" si="142"/>
        <v>S34_2026</v>
      </c>
      <c r="E1797" t="s">
        <v>143</v>
      </c>
      <c r="F1797">
        <v>4</v>
      </c>
      <c r="G1797" t="s">
        <v>55</v>
      </c>
      <c r="H1797" t="s">
        <v>111</v>
      </c>
      <c r="I1797" t="s">
        <v>2615</v>
      </c>
      <c r="J1797" t="s">
        <v>146</v>
      </c>
      <c r="K1797" t="s">
        <v>146</v>
      </c>
      <c r="L1797" t="s">
        <v>146</v>
      </c>
      <c r="M1797" t="s">
        <v>146</v>
      </c>
      <c r="N1797" t="s">
        <v>45</v>
      </c>
      <c r="O1797" t="s">
        <v>45</v>
      </c>
      <c r="P1797">
        <v>3</v>
      </c>
      <c r="Q1797" s="7">
        <v>46257</v>
      </c>
      <c r="R1797" s="7">
        <v>46257</v>
      </c>
      <c r="S1797" s="7">
        <v>46257</v>
      </c>
      <c r="T1797" t="s">
        <v>45</v>
      </c>
      <c r="V1797" t="s">
        <v>742</v>
      </c>
      <c r="W1797" t="s">
        <v>45</v>
      </c>
      <c r="X1797" t="s">
        <v>45</v>
      </c>
      <c r="Y1797" t="s">
        <v>45</v>
      </c>
      <c r="Z1797" t="s">
        <v>45</v>
      </c>
      <c r="AF1797">
        <v>2</v>
      </c>
      <c r="AH1797" t="s">
        <v>75</v>
      </c>
      <c r="AI1797">
        <v>1</v>
      </c>
      <c r="AJ1797" s="15"/>
      <c r="AK1797" t="s">
        <v>74</v>
      </c>
      <c r="AL1797" s="16"/>
      <c r="AR1797" s="18" t="str">
        <f>IFERROR(VLOOKUP(K1797,[1]POP!$F:$J,1,0),M1797)</f>
        <v>KOLOFATA</v>
      </c>
      <c r="AS1797" s="18" t="str">
        <f t="shared" si="141"/>
        <v>KOLOFATA</v>
      </c>
      <c r="AT1797" s="19">
        <f t="shared" si="144"/>
        <v>2</v>
      </c>
      <c r="AU1797" s="19">
        <f t="shared" ca="1" si="143"/>
        <v>1</v>
      </c>
    </row>
    <row r="1798" spans="1:47" x14ac:dyDescent="0.3">
      <c r="A1798" t="s">
        <v>2619</v>
      </c>
      <c r="B1798" t="str">
        <f t="shared" si="140"/>
        <v>S34_2026</v>
      </c>
      <c r="C1798" t="str">
        <f t="shared" si="142"/>
        <v>S34_2026</v>
      </c>
      <c r="E1798" t="s">
        <v>143</v>
      </c>
      <c r="F1798">
        <v>30</v>
      </c>
      <c r="G1798" t="s">
        <v>40</v>
      </c>
      <c r="H1798" t="s">
        <v>1924</v>
      </c>
      <c r="I1798" t="s">
        <v>2620</v>
      </c>
      <c r="J1798" t="s">
        <v>146</v>
      </c>
      <c r="K1798" t="s">
        <v>146</v>
      </c>
      <c r="L1798" t="s">
        <v>146</v>
      </c>
      <c r="M1798" t="s">
        <v>146</v>
      </c>
      <c r="N1798" t="s">
        <v>45</v>
      </c>
      <c r="O1798" t="s">
        <v>45</v>
      </c>
      <c r="P1798">
        <v>3</v>
      </c>
      <c r="Q1798" s="7">
        <v>46257</v>
      </c>
      <c r="R1798" s="7">
        <v>46257</v>
      </c>
      <c r="S1798" s="7">
        <v>46257</v>
      </c>
      <c r="T1798" t="s">
        <v>45</v>
      </c>
      <c r="V1798" t="s">
        <v>742</v>
      </c>
      <c r="W1798" t="s">
        <v>45</v>
      </c>
      <c r="X1798" t="s">
        <v>45</v>
      </c>
      <c r="Y1798" t="s">
        <v>45</v>
      </c>
      <c r="Z1798" t="s">
        <v>45</v>
      </c>
      <c r="AF1798">
        <v>2</v>
      </c>
      <c r="AH1798" t="s">
        <v>75</v>
      </c>
      <c r="AI1798">
        <v>1</v>
      </c>
      <c r="AJ1798" s="15"/>
      <c r="AK1798" t="s">
        <v>74</v>
      </c>
      <c r="AL1798" s="16"/>
      <c r="AR1798" s="18" t="str">
        <f>IFERROR(VLOOKUP(K1798,[1]POP!$F:$J,1,0),M1798)</f>
        <v>KOLOFATA</v>
      </c>
      <c r="AS1798" s="18" t="str">
        <f t="shared" si="141"/>
        <v>KOLOFATA</v>
      </c>
      <c r="AT1798" s="19">
        <f t="shared" si="144"/>
        <v>2</v>
      </c>
      <c r="AU1798" s="19">
        <f t="shared" ca="1" si="143"/>
        <v>1</v>
      </c>
    </row>
    <row r="1799" spans="1:47" x14ac:dyDescent="0.3">
      <c r="A1799" t="s">
        <v>2621</v>
      </c>
      <c r="B1799" t="str">
        <f t="shared" si="140"/>
        <v>S34_2026</v>
      </c>
      <c r="C1799" t="str">
        <f t="shared" si="142"/>
        <v>S34_2026</v>
      </c>
      <c r="E1799" t="s">
        <v>143</v>
      </c>
      <c r="F1799">
        <v>25</v>
      </c>
      <c r="G1799" t="s">
        <v>40</v>
      </c>
      <c r="H1799" t="s">
        <v>1924</v>
      </c>
      <c r="I1799" t="s">
        <v>2620</v>
      </c>
      <c r="J1799" t="s">
        <v>146</v>
      </c>
      <c r="K1799" t="s">
        <v>146</v>
      </c>
      <c r="L1799" t="s">
        <v>146</v>
      </c>
      <c r="M1799" t="s">
        <v>146</v>
      </c>
      <c r="N1799" t="s">
        <v>45</v>
      </c>
      <c r="O1799" t="s">
        <v>45</v>
      </c>
      <c r="P1799">
        <v>3</v>
      </c>
      <c r="Q1799" s="7">
        <v>46257</v>
      </c>
      <c r="R1799" s="7">
        <v>46257</v>
      </c>
      <c r="S1799" s="7">
        <v>46257</v>
      </c>
      <c r="T1799" t="s">
        <v>45</v>
      </c>
      <c r="V1799" t="s">
        <v>742</v>
      </c>
      <c r="W1799" t="s">
        <v>45</v>
      </c>
      <c r="X1799" t="s">
        <v>45</v>
      </c>
      <c r="Y1799" t="s">
        <v>45</v>
      </c>
      <c r="Z1799" t="s">
        <v>45</v>
      </c>
      <c r="AF1799">
        <v>2</v>
      </c>
      <c r="AH1799" t="s">
        <v>75</v>
      </c>
      <c r="AI1799">
        <v>1</v>
      </c>
      <c r="AJ1799" s="15"/>
      <c r="AK1799" t="s">
        <v>74</v>
      </c>
      <c r="AL1799" s="16"/>
      <c r="AR1799" s="18" t="str">
        <f>IFERROR(VLOOKUP(K1799,[1]POP!$F:$J,1,0),M1799)</f>
        <v>KOLOFATA</v>
      </c>
      <c r="AS1799" s="18" t="str">
        <f t="shared" si="141"/>
        <v>KOLOFATA</v>
      </c>
      <c r="AT1799" s="19">
        <f t="shared" si="144"/>
        <v>2</v>
      </c>
      <c r="AU1799" s="19">
        <f t="shared" ca="1" si="143"/>
        <v>1</v>
      </c>
    </row>
    <row r="1800" spans="1:47" x14ac:dyDescent="0.3">
      <c r="A1800" t="s">
        <v>2622</v>
      </c>
      <c r="B1800" t="str">
        <f t="shared" si="140"/>
        <v>S34_2026</v>
      </c>
      <c r="C1800" t="str">
        <f t="shared" si="142"/>
        <v>S34_2026</v>
      </c>
      <c r="E1800" t="s">
        <v>143</v>
      </c>
      <c r="F1800">
        <v>14</v>
      </c>
      <c r="G1800" t="s">
        <v>40</v>
      </c>
      <c r="H1800" t="s">
        <v>2623</v>
      </c>
      <c r="I1800" t="s">
        <v>2519</v>
      </c>
      <c r="J1800" t="s">
        <v>146</v>
      </c>
      <c r="K1800" t="s">
        <v>146</v>
      </c>
      <c r="L1800" t="s">
        <v>146</v>
      </c>
      <c r="M1800" t="s">
        <v>146</v>
      </c>
      <c r="N1800" t="s">
        <v>45</v>
      </c>
      <c r="O1800" t="s">
        <v>45</v>
      </c>
      <c r="P1800">
        <v>3</v>
      </c>
      <c r="Q1800" s="7">
        <v>46257</v>
      </c>
      <c r="R1800" s="7">
        <v>46257</v>
      </c>
      <c r="S1800" s="7">
        <v>46257</v>
      </c>
      <c r="T1800" t="s">
        <v>45</v>
      </c>
      <c r="V1800" t="s">
        <v>742</v>
      </c>
      <c r="W1800" t="s">
        <v>45</v>
      </c>
      <c r="X1800" t="s">
        <v>45</v>
      </c>
      <c r="Y1800" t="s">
        <v>45</v>
      </c>
      <c r="Z1800" t="s">
        <v>45</v>
      </c>
      <c r="AH1800" t="s">
        <v>75</v>
      </c>
      <c r="AI1800">
        <v>0</v>
      </c>
      <c r="AJ1800" s="15"/>
      <c r="AK1800" t="s">
        <v>74</v>
      </c>
      <c r="AL1800" s="16"/>
      <c r="AR1800" s="18" t="str">
        <f>IFERROR(VLOOKUP(K1800,[1]POP!$F:$J,1,0),M1800)</f>
        <v>KOLOFATA</v>
      </c>
      <c r="AS1800" s="18" t="str">
        <f t="shared" si="141"/>
        <v>KOLOFATA</v>
      </c>
      <c r="AT1800" s="19">
        <f t="shared" si="144"/>
        <v>0</v>
      </c>
      <c r="AU1800" s="19">
        <f t="shared" ca="1" si="143"/>
        <v>1</v>
      </c>
    </row>
    <row r="1801" spans="1:47" x14ac:dyDescent="0.3">
      <c r="A1801" t="s">
        <v>2624</v>
      </c>
      <c r="B1801" t="str">
        <f t="shared" si="140"/>
        <v>S34_2026</v>
      </c>
      <c r="C1801" t="str">
        <f t="shared" si="142"/>
        <v>S34_2026</v>
      </c>
      <c r="E1801" t="s">
        <v>143</v>
      </c>
      <c r="F1801">
        <v>31</v>
      </c>
      <c r="G1801" t="s">
        <v>40</v>
      </c>
      <c r="H1801" t="s">
        <v>1924</v>
      </c>
      <c r="I1801" t="s">
        <v>2519</v>
      </c>
      <c r="J1801" t="s">
        <v>146</v>
      </c>
      <c r="K1801" t="s">
        <v>146</v>
      </c>
      <c r="L1801" t="s">
        <v>146</v>
      </c>
      <c r="M1801" t="s">
        <v>146</v>
      </c>
      <c r="N1801" t="s">
        <v>45</v>
      </c>
      <c r="O1801" t="s">
        <v>45</v>
      </c>
      <c r="P1801">
        <v>3</v>
      </c>
      <c r="Q1801" s="7">
        <v>46257</v>
      </c>
      <c r="R1801" s="7">
        <v>46257</v>
      </c>
      <c r="S1801" s="7">
        <v>46257</v>
      </c>
      <c r="T1801" t="s">
        <v>45</v>
      </c>
      <c r="V1801" t="s">
        <v>742</v>
      </c>
      <c r="W1801" t="s">
        <v>45</v>
      </c>
      <c r="X1801" t="s">
        <v>45</v>
      </c>
      <c r="Y1801" t="s">
        <v>45</v>
      </c>
      <c r="Z1801" t="s">
        <v>45</v>
      </c>
      <c r="AH1801" t="s">
        <v>75</v>
      </c>
      <c r="AI1801">
        <v>0</v>
      </c>
      <c r="AJ1801" s="15"/>
      <c r="AK1801" t="s">
        <v>74</v>
      </c>
      <c r="AL1801" s="16"/>
      <c r="AR1801" s="18" t="str">
        <f>IFERROR(VLOOKUP(K1801,[1]POP!$F:$J,1,0),M1801)</f>
        <v>KOLOFATA</v>
      </c>
      <c r="AS1801" s="18" t="str">
        <f t="shared" si="141"/>
        <v>KOLOFATA</v>
      </c>
      <c r="AT1801" s="19">
        <f t="shared" si="144"/>
        <v>0</v>
      </c>
      <c r="AU1801" s="19">
        <f t="shared" ca="1" si="143"/>
        <v>1</v>
      </c>
    </row>
    <row r="1802" spans="1:47" x14ac:dyDescent="0.3">
      <c r="A1802" t="s">
        <v>2625</v>
      </c>
      <c r="B1802" t="str">
        <f t="shared" si="140"/>
        <v>S34_2026</v>
      </c>
      <c r="C1802" t="str">
        <f t="shared" si="142"/>
        <v>S34_2026</v>
      </c>
      <c r="E1802" t="s">
        <v>143</v>
      </c>
      <c r="F1802">
        <v>1.1000000000000001</v>
      </c>
      <c r="G1802" t="s">
        <v>55</v>
      </c>
      <c r="H1802" t="s">
        <v>111</v>
      </c>
      <c r="I1802" t="s">
        <v>2519</v>
      </c>
      <c r="J1802" t="s">
        <v>146</v>
      </c>
      <c r="K1802" t="s">
        <v>146</v>
      </c>
      <c r="L1802" t="s">
        <v>146</v>
      </c>
      <c r="M1802" t="s">
        <v>146</v>
      </c>
      <c r="N1802" t="s">
        <v>45</v>
      </c>
      <c r="O1802" t="s">
        <v>45</v>
      </c>
      <c r="P1802">
        <v>3</v>
      </c>
      <c r="Q1802" s="7">
        <v>46257</v>
      </c>
      <c r="R1802" s="7">
        <v>46257</v>
      </c>
      <c r="S1802" s="7">
        <v>46257</v>
      </c>
      <c r="T1802" t="s">
        <v>45</v>
      </c>
      <c r="V1802" t="s">
        <v>742</v>
      </c>
      <c r="W1802" t="s">
        <v>45</v>
      </c>
      <c r="X1802" t="s">
        <v>45</v>
      </c>
      <c r="Y1802" t="s">
        <v>45</v>
      </c>
      <c r="Z1802" t="s">
        <v>45</v>
      </c>
      <c r="AF1802">
        <v>3</v>
      </c>
      <c r="AH1802" t="s">
        <v>75</v>
      </c>
      <c r="AI1802">
        <v>2</v>
      </c>
      <c r="AJ1802" s="15"/>
      <c r="AK1802" t="s">
        <v>74</v>
      </c>
      <c r="AL1802" s="16"/>
      <c r="AR1802" s="18" t="str">
        <f>IFERROR(VLOOKUP(K1802,[1]POP!$F:$J,1,0),M1802)</f>
        <v>KOLOFATA</v>
      </c>
      <c r="AS1802" s="18" t="str">
        <f t="shared" si="141"/>
        <v>KOLOFATA</v>
      </c>
      <c r="AT1802" s="19">
        <f t="shared" si="144"/>
        <v>3</v>
      </c>
      <c r="AU1802" s="19">
        <f t="shared" ca="1" si="143"/>
        <v>1</v>
      </c>
    </row>
    <row r="1803" spans="1:47" x14ac:dyDescent="0.3">
      <c r="A1803" t="s">
        <v>2626</v>
      </c>
      <c r="B1803" t="str">
        <f t="shared" si="140"/>
        <v>S34_2026</v>
      </c>
      <c r="C1803" t="str">
        <f t="shared" si="142"/>
        <v>S34_2026</v>
      </c>
      <c r="E1803" t="s">
        <v>143</v>
      </c>
      <c r="F1803">
        <v>7</v>
      </c>
      <c r="G1803" t="s">
        <v>55</v>
      </c>
      <c r="H1803" t="s">
        <v>111</v>
      </c>
      <c r="I1803" t="s">
        <v>2627</v>
      </c>
      <c r="J1803" t="s">
        <v>146</v>
      </c>
      <c r="K1803" t="s">
        <v>146</v>
      </c>
      <c r="L1803" t="s">
        <v>146</v>
      </c>
      <c r="M1803" t="s">
        <v>146</v>
      </c>
      <c r="N1803" t="s">
        <v>45</v>
      </c>
      <c r="O1803" t="s">
        <v>45</v>
      </c>
      <c r="P1803">
        <v>3</v>
      </c>
      <c r="Q1803" s="7">
        <v>46257</v>
      </c>
      <c r="R1803" s="7">
        <v>46257</v>
      </c>
      <c r="S1803" s="7">
        <v>46257</v>
      </c>
      <c r="T1803" t="s">
        <v>45</v>
      </c>
      <c r="V1803" t="s">
        <v>742</v>
      </c>
      <c r="W1803" t="s">
        <v>45</v>
      </c>
      <c r="X1803" t="s">
        <v>45</v>
      </c>
      <c r="Y1803" t="s">
        <v>45</v>
      </c>
      <c r="Z1803" t="s">
        <v>45</v>
      </c>
      <c r="AH1803" t="s">
        <v>75</v>
      </c>
      <c r="AI1803">
        <v>0</v>
      </c>
      <c r="AJ1803" s="15"/>
      <c r="AK1803" t="s">
        <v>74</v>
      </c>
      <c r="AL1803" s="16"/>
      <c r="AR1803" s="18" t="str">
        <f>IFERROR(VLOOKUP(K1803,[1]POP!$F:$J,1,0),M1803)</f>
        <v>KOLOFATA</v>
      </c>
      <c r="AS1803" s="18" t="str">
        <f t="shared" si="141"/>
        <v>KOLOFATA</v>
      </c>
      <c r="AT1803" s="19">
        <f t="shared" si="144"/>
        <v>0</v>
      </c>
      <c r="AU1803" s="19">
        <f t="shared" ca="1" si="143"/>
        <v>1</v>
      </c>
    </row>
    <row r="1804" spans="1:47" x14ac:dyDescent="0.3">
      <c r="A1804" t="s">
        <v>2628</v>
      </c>
      <c r="B1804" t="str">
        <f t="shared" si="140"/>
        <v>S34_2026</v>
      </c>
      <c r="C1804" t="str">
        <f t="shared" si="142"/>
        <v>S34_2026</v>
      </c>
      <c r="E1804" t="s">
        <v>143</v>
      </c>
      <c r="F1804">
        <v>30</v>
      </c>
      <c r="G1804" t="s">
        <v>40</v>
      </c>
      <c r="H1804" t="s">
        <v>1924</v>
      </c>
      <c r="I1804" t="s">
        <v>2629</v>
      </c>
      <c r="J1804" t="s">
        <v>146</v>
      </c>
      <c r="K1804" t="s">
        <v>146</v>
      </c>
      <c r="L1804" t="s">
        <v>146</v>
      </c>
      <c r="M1804" t="s">
        <v>146</v>
      </c>
      <c r="N1804" t="s">
        <v>45</v>
      </c>
      <c r="O1804" t="s">
        <v>45</v>
      </c>
      <c r="P1804">
        <v>3</v>
      </c>
      <c r="Q1804" s="7">
        <v>46257</v>
      </c>
      <c r="R1804" s="7">
        <v>46257</v>
      </c>
      <c r="S1804" s="7">
        <v>46257</v>
      </c>
      <c r="T1804" t="s">
        <v>45</v>
      </c>
      <c r="V1804" t="s">
        <v>742</v>
      </c>
      <c r="W1804" t="s">
        <v>45</v>
      </c>
      <c r="X1804" t="s">
        <v>45</v>
      </c>
      <c r="Y1804" t="s">
        <v>45</v>
      </c>
      <c r="Z1804" t="s">
        <v>45</v>
      </c>
      <c r="AH1804" t="s">
        <v>75</v>
      </c>
      <c r="AI1804">
        <v>0</v>
      </c>
      <c r="AJ1804" s="15"/>
      <c r="AK1804" t="s">
        <v>74</v>
      </c>
      <c r="AL1804" s="16"/>
      <c r="AR1804" s="18" t="str">
        <f>IFERROR(VLOOKUP(K1804,[1]POP!$F:$J,1,0),M1804)</f>
        <v>KOLOFATA</v>
      </c>
      <c r="AS1804" s="18" t="str">
        <f t="shared" si="141"/>
        <v>KOLOFATA</v>
      </c>
      <c r="AT1804" s="19">
        <f t="shared" si="144"/>
        <v>0</v>
      </c>
      <c r="AU1804" s="19">
        <f t="shared" ca="1" si="143"/>
        <v>1</v>
      </c>
    </row>
    <row r="1805" spans="1:47" x14ac:dyDescent="0.3">
      <c r="A1805" t="s">
        <v>2630</v>
      </c>
      <c r="B1805" t="str">
        <f t="shared" si="140"/>
        <v>S34_2026</v>
      </c>
      <c r="C1805" t="str">
        <f t="shared" si="142"/>
        <v>S34_2026</v>
      </c>
      <c r="E1805" t="s">
        <v>143</v>
      </c>
      <c r="F1805">
        <v>45</v>
      </c>
      <c r="G1805" t="s">
        <v>40</v>
      </c>
      <c r="H1805" t="s">
        <v>1924</v>
      </c>
      <c r="I1805" t="s">
        <v>2013</v>
      </c>
      <c r="J1805" t="s">
        <v>146</v>
      </c>
      <c r="K1805" t="s">
        <v>146</v>
      </c>
      <c r="L1805" t="s">
        <v>146</v>
      </c>
      <c r="M1805" t="s">
        <v>146</v>
      </c>
      <c r="N1805" t="s">
        <v>45</v>
      </c>
      <c r="O1805" t="s">
        <v>45</v>
      </c>
      <c r="P1805">
        <v>3</v>
      </c>
      <c r="Q1805" s="7">
        <v>46257</v>
      </c>
      <c r="R1805" s="7">
        <v>46257</v>
      </c>
      <c r="S1805" s="7">
        <v>46257</v>
      </c>
      <c r="T1805" t="s">
        <v>45</v>
      </c>
      <c r="V1805" t="s">
        <v>742</v>
      </c>
      <c r="W1805" t="s">
        <v>45</v>
      </c>
      <c r="X1805" t="s">
        <v>45</v>
      </c>
      <c r="Y1805" t="s">
        <v>45</v>
      </c>
      <c r="Z1805" t="s">
        <v>45</v>
      </c>
      <c r="AH1805" t="s">
        <v>75</v>
      </c>
      <c r="AI1805">
        <v>0</v>
      </c>
      <c r="AJ1805" s="15"/>
      <c r="AK1805" t="s">
        <v>74</v>
      </c>
      <c r="AL1805" s="16"/>
      <c r="AR1805" s="18" t="str">
        <f>IFERROR(VLOOKUP(K1805,[1]POP!$F:$J,1,0),M1805)</f>
        <v>KOLOFATA</v>
      </c>
      <c r="AS1805" s="18" t="str">
        <f t="shared" si="141"/>
        <v>KOLOFATA</v>
      </c>
      <c r="AT1805" s="19">
        <f t="shared" si="144"/>
        <v>0</v>
      </c>
      <c r="AU1805" s="19">
        <f t="shared" ca="1" si="143"/>
        <v>1</v>
      </c>
    </row>
    <row r="1806" spans="1:47" x14ac:dyDescent="0.3">
      <c r="A1806" t="s">
        <v>2631</v>
      </c>
      <c r="B1806" t="str">
        <f t="shared" si="140"/>
        <v>S34_2026</v>
      </c>
      <c r="C1806" t="str">
        <f t="shared" si="142"/>
        <v>S34_2026</v>
      </c>
      <c r="E1806" t="s">
        <v>143</v>
      </c>
      <c r="F1806">
        <v>2</v>
      </c>
      <c r="G1806" t="s">
        <v>55</v>
      </c>
      <c r="H1806" t="s">
        <v>2632</v>
      </c>
      <c r="I1806" t="s">
        <v>2633</v>
      </c>
      <c r="J1806" t="s">
        <v>146</v>
      </c>
      <c r="K1806" t="s">
        <v>146</v>
      </c>
      <c r="L1806" t="s">
        <v>146</v>
      </c>
      <c r="M1806" t="s">
        <v>146</v>
      </c>
      <c r="N1806" t="s">
        <v>45</v>
      </c>
      <c r="O1806" t="s">
        <v>45</v>
      </c>
      <c r="P1806">
        <v>3</v>
      </c>
      <c r="Q1806" s="7">
        <v>46257</v>
      </c>
      <c r="R1806" s="7">
        <v>46257</v>
      </c>
      <c r="S1806" s="7">
        <v>46257</v>
      </c>
      <c r="T1806" t="s">
        <v>45</v>
      </c>
      <c r="V1806" t="s">
        <v>742</v>
      </c>
      <c r="W1806" t="s">
        <v>45</v>
      </c>
      <c r="X1806" t="s">
        <v>45</v>
      </c>
      <c r="Y1806" t="s">
        <v>45</v>
      </c>
      <c r="Z1806" t="s">
        <v>45</v>
      </c>
      <c r="AH1806" t="s">
        <v>75</v>
      </c>
      <c r="AI1806">
        <v>0</v>
      </c>
      <c r="AJ1806" s="15"/>
      <c r="AK1806" t="s">
        <v>74</v>
      </c>
      <c r="AL1806" s="16"/>
      <c r="AR1806" s="18" t="str">
        <f>IFERROR(VLOOKUP(K1806,[1]POP!$F:$J,1,0),M1806)</f>
        <v>KOLOFATA</v>
      </c>
      <c r="AS1806" s="18" t="str">
        <f t="shared" si="141"/>
        <v>KOLOFATA</v>
      </c>
      <c r="AT1806" s="19">
        <f t="shared" si="144"/>
        <v>0</v>
      </c>
      <c r="AU1806" s="19">
        <f t="shared" ca="1" si="143"/>
        <v>1</v>
      </c>
    </row>
    <row r="1807" spans="1:47" x14ac:dyDescent="0.3">
      <c r="A1807" t="s">
        <v>2634</v>
      </c>
      <c r="B1807" t="str">
        <f t="shared" si="140"/>
        <v>S34_2026</v>
      </c>
      <c r="C1807" t="str">
        <f t="shared" si="142"/>
        <v>S34_2026</v>
      </c>
      <c r="E1807" t="s">
        <v>143</v>
      </c>
      <c r="F1807">
        <v>0.2</v>
      </c>
      <c r="G1807" t="s">
        <v>55</v>
      </c>
      <c r="H1807" t="s">
        <v>111</v>
      </c>
      <c r="I1807" t="s">
        <v>2013</v>
      </c>
      <c r="J1807" t="s">
        <v>146</v>
      </c>
      <c r="K1807" t="s">
        <v>146</v>
      </c>
      <c r="L1807" t="s">
        <v>146</v>
      </c>
      <c r="M1807" t="s">
        <v>146</v>
      </c>
      <c r="N1807" t="s">
        <v>45</v>
      </c>
      <c r="O1807" t="s">
        <v>45</v>
      </c>
      <c r="P1807">
        <v>3</v>
      </c>
      <c r="Q1807" s="7">
        <v>46257</v>
      </c>
      <c r="R1807" s="7">
        <v>46257</v>
      </c>
      <c r="S1807" s="7">
        <v>46257</v>
      </c>
      <c r="T1807" t="s">
        <v>45</v>
      </c>
      <c r="V1807" t="s">
        <v>742</v>
      </c>
      <c r="W1807" t="s">
        <v>45</v>
      </c>
      <c r="X1807" t="s">
        <v>45</v>
      </c>
      <c r="Y1807" t="s">
        <v>45</v>
      </c>
      <c r="Z1807" t="s">
        <v>45</v>
      </c>
      <c r="AF1807">
        <v>2</v>
      </c>
      <c r="AH1807" t="s">
        <v>75</v>
      </c>
      <c r="AI1807">
        <v>1</v>
      </c>
      <c r="AJ1807" s="15"/>
      <c r="AK1807" t="s">
        <v>74</v>
      </c>
      <c r="AL1807" s="16"/>
      <c r="AR1807" s="18" t="str">
        <f>IFERROR(VLOOKUP(K1807,[1]POP!$F:$J,1,0),M1807)</f>
        <v>KOLOFATA</v>
      </c>
      <c r="AS1807" s="18" t="str">
        <f t="shared" si="141"/>
        <v>KOLOFATA</v>
      </c>
      <c r="AT1807" s="19">
        <f t="shared" si="144"/>
        <v>2</v>
      </c>
      <c r="AU1807" s="19">
        <f t="shared" ca="1" si="143"/>
        <v>1</v>
      </c>
    </row>
    <row r="1808" spans="1:47" x14ac:dyDescent="0.3">
      <c r="A1808" t="s">
        <v>2635</v>
      </c>
      <c r="B1808" t="str">
        <f t="shared" si="140"/>
        <v>S34_2026</v>
      </c>
      <c r="C1808" t="str">
        <f t="shared" si="142"/>
        <v>S34_2026</v>
      </c>
      <c r="E1808" t="s">
        <v>143</v>
      </c>
      <c r="F1808">
        <v>17</v>
      </c>
      <c r="G1808" t="s">
        <v>55</v>
      </c>
      <c r="H1808" t="s">
        <v>111</v>
      </c>
      <c r="I1808" t="s">
        <v>2013</v>
      </c>
      <c r="J1808" t="s">
        <v>146</v>
      </c>
      <c r="K1808" t="s">
        <v>146</v>
      </c>
      <c r="L1808" t="s">
        <v>146</v>
      </c>
      <c r="M1808" t="s">
        <v>146</v>
      </c>
      <c r="N1808" t="s">
        <v>45</v>
      </c>
      <c r="O1808" t="s">
        <v>45</v>
      </c>
      <c r="P1808">
        <v>3</v>
      </c>
      <c r="Q1808" s="7">
        <v>46257</v>
      </c>
      <c r="R1808" s="7">
        <v>46257</v>
      </c>
      <c r="S1808" s="7">
        <v>46257</v>
      </c>
      <c r="T1808" t="s">
        <v>45</v>
      </c>
      <c r="V1808" t="s">
        <v>742</v>
      </c>
      <c r="W1808" t="s">
        <v>45</v>
      </c>
      <c r="X1808" t="s">
        <v>45</v>
      </c>
      <c r="Y1808" t="s">
        <v>45</v>
      </c>
      <c r="Z1808" t="s">
        <v>45</v>
      </c>
      <c r="AF1808">
        <v>2</v>
      </c>
      <c r="AH1808" t="s">
        <v>75</v>
      </c>
      <c r="AI1808">
        <v>1</v>
      </c>
      <c r="AJ1808" s="15"/>
      <c r="AK1808" t="s">
        <v>74</v>
      </c>
      <c r="AL1808" s="16"/>
      <c r="AR1808" s="18" t="str">
        <f>IFERROR(VLOOKUP(K1808,[1]POP!$F:$J,1,0),M1808)</f>
        <v>KOLOFATA</v>
      </c>
      <c r="AS1808" s="18" t="str">
        <f t="shared" si="141"/>
        <v>KOLOFATA</v>
      </c>
      <c r="AT1808" s="19">
        <f t="shared" si="144"/>
        <v>2</v>
      </c>
      <c r="AU1808" s="19">
        <f t="shared" ca="1" si="143"/>
        <v>1</v>
      </c>
    </row>
    <row r="1809" spans="1:47" x14ac:dyDescent="0.3">
      <c r="A1809" t="s">
        <v>2636</v>
      </c>
      <c r="B1809" t="str">
        <f t="shared" si="140"/>
        <v>S34_2026</v>
      </c>
      <c r="C1809" t="str">
        <f t="shared" si="142"/>
        <v>S34_2026</v>
      </c>
      <c r="E1809" t="s">
        <v>143</v>
      </c>
      <c r="F1809">
        <v>25</v>
      </c>
      <c r="G1809" t="s">
        <v>40</v>
      </c>
      <c r="H1809" t="s">
        <v>1924</v>
      </c>
      <c r="I1809" t="s">
        <v>2637</v>
      </c>
      <c r="J1809" t="s">
        <v>146</v>
      </c>
      <c r="K1809" t="s">
        <v>146</v>
      </c>
      <c r="L1809" t="s">
        <v>146</v>
      </c>
      <c r="M1809" t="s">
        <v>146</v>
      </c>
      <c r="N1809" t="s">
        <v>45</v>
      </c>
      <c r="O1809" t="s">
        <v>45</v>
      </c>
      <c r="P1809">
        <v>3</v>
      </c>
      <c r="Q1809" s="7">
        <v>46257</v>
      </c>
      <c r="R1809" s="7">
        <v>46257</v>
      </c>
      <c r="S1809" s="7">
        <v>46257</v>
      </c>
      <c r="T1809" t="s">
        <v>45</v>
      </c>
      <c r="V1809" t="s">
        <v>742</v>
      </c>
      <c r="W1809" t="s">
        <v>45</v>
      </c>
      <c r="X1809" t="s">
        <v>45</v>
      </c>
      <c r="Y1809" t="s">
        <v>45</v>
      </c>
      <c r="Z1809" t="s">
        <v>45</v>
      </c>
      <c r="AF1809">
        <v>2</v>
      </c>
      <c r="AH1809" t="s">
        <v>75</v>
      </c>
      <c r="AI1809">
        <v>1</v>
      </c>
      <c r="AJ1809" s="15"/>
      <c r="AK1809" t="s">
        <v>74</v>
      </c>
      <c r="AL1809" s="16"/>
      <c r="AR1809" s="18" t="str">
        <f>IFERROR(VLOOKUP(K1809,[1]POP!$F:$J,1,0),M1809)</f>
        <v>KOLOFATA</v>
      </c>
      <c r="AS1809" s="18" t="str">
        <f t="shared" si="141"/>
        <v>KOLOFATA</v>
      </c>
      <c r="AT1809" s="19">
        <f t="shared" si="144"/>
        <v>2</v>
      </c>
      <c r="AU1809" s="19">
        <f t="shared" ca="1" si="143"/>
        <v>1</v>
      </c>
    </row>
    <row r="1810" spans="1:47" x14ac:dyDescent="0.3">
      <c r="A1810" t="s">
        <v>2638</v>
      </c>
      <c r="B1810" t="str">
        <f t="shared" si="140"/>
        <v>S34_2026</v>
      </c>
      <c r="C1810" t="str">
        <f t="shared" si="142"/>
        <v>S34_2026</v>
      </c>
      <c r="E1810" t="s">
        <v>143</v>
      </c>
      <c r="F1810">
        <v>2</v>
      </c>
      <c r="G1810" t="s">
        <v>55</v>
      </c>
      <c r="H1810" t="s">
        <v>111</v>
      </c>
      <c r="I1810" t="s">
        <v>2519</v>
      </c>
      <c r="J1810" t="s">
        <v>146</v>
      </c>
      <c r="K1810" t="s">
        <v>146</v>
      </c>
      <c r="L1810" t="s">
        <v>146</v>
      </c>
      <c r="M1810" t="s">
        <v>146</v>
      </c>
      <c r="N1810" t="s">
        <v>45</v>
      </c>
      <c r="O1810" t="s">
        <v>45</v>
      </c>
      <c r="P1810">
        <v>3</v>
      </c>
      <c r="Q1810" s="7">
        <v>46257</v>
      </c>
      <c r="R1810" s="7">
        <v>46257</v>
      </c>
      <c r="S1810" s="7">
        <v>46257</v>
      </c>
      <c r="T1810" t="s">
        <v>45</v>
      </c>
      <c r="V1810" t="s">
        <v>742</v>
      </c>
      <c r="W1810" t="s">
        <v>45</v>
      </c>
      <c r="X1810" t="s">
        <v>45</v>
      </c>
      <c r="Y1810" t="s">
        <v>45</v>
      </c>
      <c r="Z1810" t="s">
        <v>45</v>
      </c>
      <c r="AF1810">
        <v>2</v>
      </c>
      <c r="AH1810" t="s">
        <v>75</v>
      </c>
      <c r="AI1810">
        <v>1</v>
      </c>
      <c r="AJ1810" s="15"/>
      <c r="AK1810" t="s">
        <v>74</v>
      </c>
      <c r="AL1810" s="16"/>
      <c r="AR1810" s="18" t="str">
        <f>IFERROR(VLOOKUP(K1810,[1]POP!$F:$J,1,0),M1810)</f>
        <v>KOLOFATA</v>
      </c>
      <c r="AS1810" s="18" t="str">
        <f t="shared" si="141"/>
        <v>KOLOFATA</v>
      </c>
      <c r="AT1810" s="19">
        <f t="shared" si="144"/>
        <v>2</v>
      </c>
      <c r="AU1810" s="19">
        <f t="shared" ca="1" si="143"/>
        <v>1</v>
      </c>
    </row>
    <row r="1811" spans="1:47" x14ac:dyDescent="0.3">
      <c r="A1811" t="s">
        <v>2639</v>
      </c>
      <c r="B1811" t="str">
        <f t="shared" si="140"/>
        <v>S34_2026</v>
      </c>
      <c r="C1811" t="str">
        <f t="shared" si="142"/>
        <v>S34_2026</v>
      </c>
      <c r="E1811" t="s">
        <v>143</v>
      </c>
      <c r="F1811">
        <v>0.83333333333333337</v>
      </c>
      <c r="G1811" t="s">
        <v>40</v>
      </c>
      <c r="H1811" t="s">
        <v>111</v>
      </c>
      <c r="I1811" t="s">
        <v>2519</v>
      </c>
      <c r="J1811" t="s">
        <v>146</v>
      </c>
      <c r="K1811" t="s">
        <v>146</v>
      </c>
      <c r="L1811" t="s">
        <v>146</v>
      </c>
      <c r="M1811" t="s">
        <v>146</v>
      </c>
      <c r="N1811" t="s">
        <v>45</v>
      </c>
      <c r="O1811" t="s">
        <v>45</v>
      </c>
      <c r="P1811">
        <v>3</v>
      </c>
      <c r="Q1811" s="7">
        <v>46257</v>
      </c>
      <c r="R1811" s="7">
        <v>46257</v>
      </c>
      <c r="S1811" s="7">
        <v>46257</v>
      </c>
      <c r="T1811" t="s">
        <v>45</v>
      </c>
      <c r="V1811" t="s">
        <v>742</v>
      </c>
      <c r="W1811" t="s">
        <v>45</v>
      </c>
      <c r="X1811" t="s">
        <v>45</v>
      </c>
      <c r="Y1811" t="s">
        <v>45</v>
      </c>
      <c r="Z1811" t="s">
        <v>45</v>
      </c>
      <c r="AH1811" t="s">
        <v>75</v>
      </c>
      <c r="AI1811">
        <v>0</v>
      </c>
      <c r="AJ1811" s="15"/>
      <c r="AK1811" t="s">
        <v>74</v>
      </c>
      <c r="AL1811" s="16"/>
      <c r="AR1811" s="18" t="str">
        <f>IFERROR(VLOOKUP(K1811,[1]POP!$F:$J,1,0),M1811)</f>
        <v>KOLOFATA</v>
      </c>
      <c r="AS1811" s="18" t="str">
        <f t="shared" si="141"/>
        <v>KOLOFATA</v>
      </c>
      <c r="AT1811" s="19">
        <f t="shared" si="144"/>
        <v>0</v>
      </c>
      <c r="AU1811" s="19">
        <f t="shared" ca="1" si="143"/>
        <v>1</v>
      </c>
    </row>
    <row r="1812" spans="1:47" x14ac:dyDescent="0.3">
      <c r="A1812" t="s">
        <v>2640</v>
      </c>
      <c r="B1812" t="str">
        <f t="shared" si="140"/>
        <v>S34_2026</v>
      </c>
      <c r="C1812" t="str">
        <f t="shared" si="142"/>
        <v>S34_2026</v>
      </c>
      <c r="E1812" t="s">
        <v>143</v>
      </c>
      <c r="F1812">
        <v>26</v>
      </c>
      <c r="G1812" t="s">
        <v>40</v>
      </c>
      <c r="H1812" t="s">
        <v>1924</v>
      </c>
      <c r="I1812" t="s">
        <v>2641</v>
      </c>
      <c r="J1812" t="s">
        <v>146</v>
      </c>
      <c r="K1812" t="s">
        <v>146</v>
      </c>
      <c r="L1812" t="s">
        <v>146</v>
      </c>
      <c r="M1812" t="s">
        <v>146</v>
      </c>
      <c r="N1812" t="s">
        <v>45</v>
      </c>
      <c r="O1812" t="s">
        <v>45</v>
      </c>
      <c r="P1812">
        <v>3</v>
      </c>
      <c r="Q1812" s="7">
        <v>46257</v>
      </c>
      <c r="R1812" s="7">
        <v>46257</v>
      </c>
      <c r="S1812" s="7">
        <v>46257</v>
      </c>
      <c r="T1812" t="s">
        <v>45</v>
      </c>
      <c r="V1812" t="s">
        <v>742</v>
      </c>
      <c r="W1812" t="s">
        <v>45</v>
      </c>
      <c r="X1812" t="s">
        <v>45</v>
      </c>
      <c r="Y1812" t="s">
        <v>45</v>
      </c>
      <c r="Z1812" t="s">
        <v>45</v>
      </c>
      <c r="AH1812" t="s">
        <v>75</v>
      </c>
      <c r="AI1812">
        <v>0</v>
      </c>
      <c r="AJ1812" s="15"/>
      <c r="AK1812" t="s">
        <v>74</v>
      </c>
      <c r="AL1812" s="16"/>
      <c r="AR1812" s="18" t="str">
        <f>IFERROR(VLOOKUP(K1812,[1]POP!$F:$J,1,0),M1812)</f>
        <v>KOLOFATA</v>
      </c>
      <c r="AS1812" s="18" t="str">
        <f t="shared" si="141"/>
        <v>KOLOFATA</v>
      </c>
      <c r="AT1812" s="19">
        <f t="shared" si="144"/>
        <v>0</v>
      </c>
      <c r="AU1812" s="19">
        <f t="shared" ca="1" si="143"/>
        <v>1</v>
      </c>
    </row>
    <row r="1813" spans="1:47" x14ac:dyDescent="0.3">
      <c r="A1813" t="s">
        <v>2642</v>
      </c>
      <c r="B1813" t="str">
        <f t="shared" si="140"/>
        <v>S34_2026</v>
      </c>
      <c r="C1813" t="str">
        <f t="shared" si="142"/>
        <v>S34_2026</v>
      </c>
      <c r="E1813" t="s">
        <v>143</v>
      </c>
      <c r="F1813">
        <v>0.83333333333333337</v>
      </c>
      <c r="G1813" t="s">
        <v>55</v>
      </c>
      <c r="H1813" t="s">
        <v>111</v>
      </c>
      <c r="I1813" t="s">
        <v>2519</v>
      </c>
      <c r="J1813" t="s">
        <v>146</v>
      </c>
      <c r="K1813" t="s">
        <v>146</v>
      </c>
      <c r="L1813" t="s">
        <v>146</v>
      </c>
      <c r="M1813" t="s">
        <v>146</v>
      </c>
      <c r="N1813" t="s">
        <v>45</v>
      </c>
      <c r="O1813" t="s">
        <v>45</v>
      </c>
      <c r="P1813">
        <v>3</v>
      </c>
      <c r="Q1813" s="7">
        <v>46257</v>
      </c>
      <c r="R1813" s="7">
        <v>46257</v>
      </c>
      <c r="S1813" s="7">
        <v>46257</v>
      </c>
      <c r="T1813" t="s">
        <v>45</v>
      </c>
      <c r="V1813" t="s">
        <v>742</v>
      </c>
      <c r="W1813" t="s">
        <v>45</v>
      </c>
      <c r="X1813" t="s">
        <v>45</v>
      </c>
      <c r="Y1813" t="s">
        <v>45</v>
      </c>
      <c r="Z1813" t="s">
        <v>45</v>
      </c>
      <c r="AH1813" t="s">
        <v>75</v>
      </c>
      <c r="AI1813">
        <v>0</v>
      </c>
      <c r="AJ1813" s="15"/>
      <c r="AK1813" t="s">
        <v>74</v>
      </c>
      <c r="AL1813" s="16"/>
      <c r="AR1813" s="18" t="str">
        <f>IFERROR(VLOOKUP(K1813,[1]POP!$F:$J,1,0),M1813)</f>
        <v>KOLOFATA</v>
      </c>
      <c r="AS1813" s="18" t="str">
        <f t="shared" si="141"/>
        <v>KOLOFATA</v>
      </c>
      <c r="AT1813" s="19">
        <f t="shared" si="144"/>
        <v>0</v>
      </c>
      <c r="AU1813" s="19">
        <f t="shared" ca="1" si="143"/>
        <v>1</v>
      </c>
    </row>
    <row r="1814" spans="1:47" x14ac:dyDescent="0.3">
      <c r="A1814" t="s">
        <v>2643</v>
      </c>
      <c r="B1814" t="str">
        <f t="shared" si="140"/>
        <v>S34_2026</v>
      </c>
      <c r="C1814" t="str">
        <f t="shared" si="142"/>
        <v>S34_2026</v>
      </c>
      <c r="E1814" t="s">
        <v>143</v>
      </c>
      <c r="F1814">
        <v>3</v>
      </c>
      <c r="G1814" t="s">
        <v>40</v>
      </c>
      <c r="H1814" t="s">
        <v>111</v>
      </c>
      <c r="I1814" t="s">
        <v>2519</v>
      </c>
      <c r="J1814" t="s">
        <v>146</v>
      </c>
      <c r="K1814" t="s">
        <v>146</v>
      </c>
      <c r="L1814" t="s">
        <v>146</v>
      </c>
      <c r="M1814" t="s">
        <v>146</v>
      </c>
      <c r="N1814" t="s">
        <v>45</v>
      </c>
      <c r="O1814" t="s">
        <v>45</v>
      </c>
      <c r="P1814">
        <v>3</v>
      </c>
      <c r="Q1814" s="7">
        <v>46257</v>
      </c>
      <c r="R1814" s="7">
        <v>46257</v>
      </c>
      <c r="S1814" s="7">
        <v>46257</v>
      </c>
      <c r="T1814" t="s">
        <v>45</v>
      </c>
      <c r="V1814" t="s">
        <v>742</v>
      </c>
      <c r="W1814" t="s">
        <v>45</v>
      </c>
      <c r="X1814" t="s">
        <v>45</v>
      </c>
      <c r="Y1814" t="s">
        <v>45</v>
      </c>
      <c r="Z1814" t="s">
        <v>45</v>
      </c>
      <c r="AH1814" t="s">
        <v>75</v>
      </c>
      <c r="AI1814">
        <v>0</v>
      </c>
      <c r="AJ1814" s="15"/>
      <c r="AK1814" t="s">
        <v>74</v>
      </c>
      <c r="AL1814" s="16"/>
      <c r="AR1814" s="18" t="str">
        <f>IFERROR(VLOOKUP(K1814,[1]POP!$F:$J,1,0),M1814)</f>
        <v>KOLOFATA</v>
      </c>
      <c r="AS1814" s="18" t="str">
        <f t="shared" si="141"/>
        <v>KOLOFATA</v>
      </c>
      <c r="AT1814" s="19">
        <f t="shared" si="144"/>
        <v>0</v>
      </c>
      <c r="AU1814" s="19">
        <f t="shared" ca="1" si="143"/>
        <v>1</v>
      </c>
    </row>
    <row r="1815" spans="1:47" x14ac:dyDescent="0.3">
      <c r="A1815" t="s">
        <v>2644</v>
      </c>
      <c r="B1815" t="str">
        <f t="shared" si="140"/>
        <v>S34_2026</v>
      </c>
      <c r="C1815" t="str">
        <f t="shared" si="142"/>
        <v>S34_2026</v>
      </c>
      <c r="E1815" t="s">
        <v>143</v>
      </c>
      <c r="F1815">
        <v>40</v>
      </c>
      <c r="G1815" t="s">
        <v>40</v>
      </c>
      <c r="H1815" t="s">
        <v>111</v>
      </c>
      <c r="I1815" t="s">
        <v>2645</v>
      </c>
      <c r="J1815" t="s">
        <v>146</v>
      </c>
      <c r="K1815" t="s">
        <v>146</v>
      </c>
      <c r="L1815" t="s">
        <v>146</v>
      </c>
      <c r="M1815" t="s">
        <v>146</v>
      </c>
      <c r="N1815" t="s">
        <v>45</v>
      </c>
      <c r="O1815" t="s">
        <v>45</v>
      </c>
      <c r="P1815">
        <v>3</v>
      </c>
      <c r="Q1815" s="7">
        <v>46257</v>
      </c>
      <c r="R1815" s="7">
        <v>46257</v>
      </c>
      <c r="S1815" s="7">
        <v>46257</v>
      </c>
      <c r="T1815" t="s">
        <v>45</v>
      </c>
      <c r="V1815" t="s">
        <v>742</v>
      </c>
      <c r="W1815" t="s">
        <v>45</v>
      </c>
      <c r="X1815" t="s">
        <v>45</v>
      </c>
      <c r="Y1815" t="s">
        <v>45</v>
      </c>
      <c r="Z1815" t="s">
        <v>45</v>
      </c>
      <c r="AH1815" t="s">
        <v>75</v>
      </c>
      <c r="AI1815">
        <v>0</v>
      </c>
      <c r="AJ1815" s="15"/>
      <c r="AK1815" t="s">
        <v>74</v>
      </c>
      <c r="AL1815" s="16"/>
      <c r="AR1815" s="18" t="str">
        <f>IFERROR(VLOOKUP(K1815,[1]POP!$F:$J,1,0),M1815)</f>
        <v>KOLOFATA</v>
      </c>
      <c r="AS1815" s="18" t="str">
        <f t="shared" si="141"/>
        <v>KOLOFATA</v>
      </c>
      <c r="AT1815" s="19">
        <f t="shared" si="144"/>
        <v>0</v>
      </c>
      <c r="AU1815" s="19">
        <f t="shared" ca="1" si="143"/>
        <v>1</v>
      </c>
    </row>
    <row r="1816" spans="1:47" x14ac:dyDescent="0.3">
      <c r="A1816" t="s">
        <v>2646</v>
      </c>
      <c r="B1816" t="str">
        <f t="shared" si="140"/>
        <v>S34_2026</v>
      </c>
      <c r="C1816" t="str">
        <f t="shared" si="142"/>
        <v>S34_2026</v>
      </c>
      <c r="E1816" t="s">
        <v>143</v>
      </c>
      <c r="F1816">
        <v>32</v>
      </c>
      <c r="G1816" t="s">
        <v>40</v>
      </c>
      <c r="H1816" t="s">
        <v>1924</v>
      </c>
      <c r="I1816" t="s">
        <v>2647</v>
      </c>
      <c r="J1816" t="s">
        <v>146</v>
      </c>
      <c r="K1816" t="s">
        <v>146</v>
      </c>
      <c r="L1816" t="s">
        <v>146</v>
      </c>
      <c r="M1816" t="s">
        <v>146</v>
      </c>
      <c r="N1816" t="s">
        <v>45</v>
      </c>
      <c r="O1816" t="s">
        <v>45</v>
      </c>
      <c r="P1816">
        <v>3</v>
      </c>
      <c r="Q1816" s="7">
        <v>46257</v>
      </c>
      <c r="R1816" s="7">
        <v>46257</v>
      </c>
      <c r="S1816" s="7">
        <v>46257</v>
      </c>
      <c r="T1816" t="s">
        <v>45</v>
      </c>
      <c r="V1816" t="s">
        <v>742</v>
      </c>
      <c r="W1816" t="s">
        <v>45</v>
      </c>
      <c r="X1816" t="s">
        <v>45</v>
      </c>
      <c r="Y1816" t="s">
        <v>45</v>
      </c>
      <c r="Z1816" t="s">
        <v>45</v>
      </c>
      <c r="AH1816" t="s">
        <v>75</v>
      </c>
      <c r="AI1816">
        <v>0</v>
      </c>
      <c r="AJ1816" s="15"/>
      <c r="AK1816" t="s">
        <v>74</v>
      </c>
      <c r="AL1816" s="16"/>
      <c r="AR1816" s="18" t="str">
        <f>IFERROR(VLOOKUP(K1816,[1]POP!$F:$J,1,0),M1816)</f>
        <v>KOLOFATA</v>
      </c>
      <c r="AS1816" s="18" t="str">
        <f t="shared" si="141"/>
        <v>KOLOFATA</v>
      </c>
      <c r="AT1816" s="19">
        <f t="shared" si="144"/>
        <v>0</v>
      </c>
      <c r="AU1816" s="19">
        <f t="shared" ca="1" si="143"/>
        <v>1</v>
      </c>
    </row>
    <row r="1817" spans="1:47" x14ac:dyDescent="0.3">
      <c r="A1817" t="s">
        <v>2648</v>
      </c>
      <c r="B1817" t="str">
        <f t="shared" si="140"/>
        <v>S34_2026</v>
      </c>
      <c r="C1817" t="str">
        <f t="shared" si="142"/>
        <v>S34_2026</v>
      </c>
      <c r="E1817" t="s">
        <v>143</v>
      </c>
      <c r="F1817">
        <v>0.41666666666666669</v>
      </c>
      <c r="G1817" t="s">
        <v>55</v>
      </c>
      <c r="H1817" t="s">
        <v>111</v>
      </c>
      <c r="I1817" t="s">
        <v>2649</v>
      </c>
      <c r="J1817" t="s">
        <v>146</v>
      </c>
      <c r="K1817" t="s">
        <v>146</v>
      </c>
      <c r="L1817" t="s">
        <v>146</v>
      </c>
      <c r="M1817" t="s">
        <v>146</v>
      </c>
      <c r="N1817" t="s">
        <v>45</v>
      </c>
      <c r="O1817" t="s">
        <v>45</v>
      </c>
      <c r="P1817">
        <v>3</v>
      </c>
      <c r="Q1817" s="7">
        <v>46257</v>
      </c>
      <c r="R1817" s="7">
        <v>46257</v>
      </c>
      <c r="S1817" s="7">
        <v>46257</v>
      </c>
      <c r="T1817" t="s">
        <v>45</v>
      </c>
      <c r="V1817" t="s">
        <v>742</v>
      </c>
      <c r="W1817" t="s">
        <v>45</v>
      </c>
      <c r="X1817" t="s">
        <v>45</v>
      </c>
      <c r="Y1817" t="s">
        <v>45</v>
      </c>
      <c r="Z1817" t="s">
        <v>45</v>
      </c>
      <c r="AH1817" t="s">
        <v>75</v>
      </c>
      <c r="AI1817">
        <v>0</v>
      </c>
      <c r="AJ1817" s="15"/>
      <c r="AK1817" t="s">
        <v>74</v>
      </c>
      <c r="AL1817" s="16"/>
      <c r="AR1817" s="18" t="str">
        <f>IFERROR(VLOOKUP(K1817,[1]POP!$F:$J,1,0),M1817)</f>
        <v>KOLOFATA</v>
      </c>
      <c r="AS1817" s="18" t="str">
        <f t="shared" si="141"/>
        <v>KOLOFATA</v>
      </c>
      <c r="AT1817" s="19">
        <f t="shared" si="144"/>
        <v>0</v>
      </c>
      <c r="AU1817" s="19">
        <f t="shared" ca="1" si="143"/>
        <v>1</v>
      </c>
    </row>
    <row r="1818" spans="1:47" x14ac:dyDescent="0.3">
      <c r="A1818" t="s">
        <v>2650</v>
      </c>
      <c r="B1818" t="str">
        <f t="shared" si="140"/>
        <v>S34_2026</v>
      </c>
      <c r="C1818" t="str">
        <f t="shared" si="142"/>
        <v>S34_2026</v>
      </c>
      <c r="E1818" t="s">
        <v>143</v>
      </c>
      <c r="F1818">
        <v>34</v>
      </c>
      <c r="G1818" t="s">
        <v>55</v>
      </c>
      <c r="H1818" t="s">
        <v>111</v>
      </c>
      <c r="I1818" t="s">
        <v>2530</v>
      </c>
      <c r="J1818" t="s">
        <v>146</v>
      </c>
      <c r="K1818" t="s">
        <v>146</v>
      </c>
      <c r="L1818" t="s">
        <v>146</v>
      </c>
      <c r="M1818" t="s">
        <v>146</v>
      </c>
      <c r="N1818" t="s">
        <v>45</v>
      </c>
      <c r="O1818" t="s">
        <v>45</v>
      </c>
      <c r="P1818">
        <v>3</v>
      </c>
      <c r="Q1818" s="7">
        <v>46257</v>
      </c>
      <c r="R1818" s="7">
        <v>46257</v>
      </c>
      <c r="S1818" s="7">
        <v>46257</v>
      </c>
      <c r="T1818" t="s">
        <v>45</v>
      </c>
      <c r="V1818" t="s">
        <v>742</v>
      </c>
      <c r="W1818" t="s">
        <v>45</v>
      </c>
      <c r="X1818" t="s">
        <v>45</v>
      </c>
      <c r="Y1818" t="s">
        <v>45</v>
      </c>
      <c r="Z1818" t="s">
        <v>45</v>
      </c>
      <c r="AH1818" t="s">
        <v>75</v>
      </c>
      <c r="AI1818">
        <v>0</v>
      </c>
      <c r="AJ1818" s="15"/>
      <c r="AK1818" t="s">
        <v>74</v>
      </c>
      <c r="AL1818" s="16"/>
      <c r="AR1818" s="18" t="str">
        <f>IFERROR(VLOOKUP(K1818,[1]POP!$F:$J,1,0),M1818)</f>
        <v>KOLOFATA</v>
      </c>
      <c r="AS1818" s="18" t="str">
        <f t="shared" si="141"/>
        <v>KOLOFATA</v>
      </c>
      <c r="AT1818" s="19">
        <f t="shared" si="144"/>
        <v>0</v>
      </c>
      <c r="AU1818" s="19">
        <f t="shared" ca="1" si="143"/>
        <v>1</v>
      </c>
    </row>
    <row r="1819" spans="1:47" x14ac:dyDescent="0.3">
      <c r="A1819" t="s">
        <v>2651</v>
      </c>
      <c r="B1819" t="str">
        <f t="shared" si="140"/>
        <v>S34_2026</v>
      </c>
      <c r="C1819" t="str">
        <f t="shared" si="142"/>
        <v>S34_2026</v>
      </c>
      <c r="E1819" t="s">
        <v>143</v>
      </c>
      <c r="F1819">
        <v>5</v>
      </c>
      <c r="G1819" t="s">
        <v>55</v>
      </c>
      <c r="H1819" t="s">
        <v>111</v>
      </c>
      <c r="I1819" t="s">
        <v>2652</v>
      </c>
      <c r="J1819" t="s">
        <v>146</v>
      </c>
      <c r="K1819" t="s">
        <v>146</v>
      </c>
      <c r="L1819" t="s">
        <v>146</v>
      </c>
      <c r="M1819" t="s">
        <v>146</v>
      </c>
      <c r="N1819" t="s">
        <v>45</v>
      </c>
      <c r="O1819" t="s">
        <v>45</v>
      </c>
      <c r="P1819">
        <v>3</v>
      </c>
      <c r="Q1819" s="7">
        <v>46257</v>
      </c>
      <c r="R1819" s="7">
        <v>46257</v>
      </c>
      <c r="S1819" s="7">
        <v>46257</v>
      </c>
      <c r="T1819" t="s">
        <v>45</v>
      </c>
      <c r="V1819" t="s">
        <v>742</v>
      </c>
      <c r="W1819" t="s">
        <v>45</v>
      </c>
      <c r="X1819" t="s">
        <v>45</v>
      </c>
      <c r="Y1819" t="s">
        <v>45</v>
      </c>
      <c r="Z1819" t="s">
        <v>45</v>
      </c>
      <c r="AH1819" t="s">
        <v>75</v>
      </c>
      <c r="AI1819">
        <v>0</v>
      </c>
      <c r="AJ1819" s="15"/>
      <c r="AK1819" t="s">
        <v>74</v>
      </c>
      <c r="AL1819" s="16"/>
      <c r="AR1819" s="18" t="str">
        <f>IFERROR(VLOOKUP(K1819,[1]POP!$F:$J,1,0),M1819)</f>
        <v>KOLOFATA</v>
      </c>
      <c r="AS1819" s="18" t="str">
        <f t="shared" si="141"/>
        <v>KOLOFATA</v>
      </c>
      <c r="AT1819" s="19">
        <f t="shared" si="144"/>
        <v>0</v>
      </c>
      <c r="AU1819" s="19">
        <f t="shared" ca="1" si="143"/>
        <v>1</v>
      </c>
    </row>
    <row r="1820" spans="1:47" x14ac:dyDescent="0.3">
      <c r="A1820" t="s">
        <v>2653</v>
      </c>
      <c r="B1820" t="str">
        <f t="shared" si="140"/>
        <v>S34_2026</v>
      </c>
      <c r="C1820" t="str">
        <f t="shared" si="142"/>
        <v>S34_2026</v>
      </c>
      <c r="E1820" t="s">
        <v>143</v>
      </c>
      <c r="F1820">
        <v>45</v>
      </c>
      <c r="G1820" t="s">
        <v>40</v>
      </c>
      <c r="H1820" t="s">
        <v>1924</v>
      </c>
      <c r="I1820" t="s">
        <v>1968</v>
      </c>
      <c r="J1820" t="s">
        <v>146</v>
      </c>
      <c r="K1820" t="s">
        <v>146</v>
      </c>
      <c r="L1820" t="s">
        <v>146</v>
      </c>
      <c r="M1820" t="s">
        <v>146</v>
      </c>
      <c r="N1820" t="s">
        <v>45</v>
      </c>
      <c r="O1820" t="s">
        <v>45</v>
      </c>
      <c r="P1820">
        <v>3</v>
      </c>
      <c r="Q1820" s="7">
        <v>46257</v>
      </c>
      <c r="R1820" s="7">
        <v>46257</v>
      </c>
      <c r="S1820" s="7">
        <v>46257</v>
      </c>
      <c r="T1820" t="s">
        <v>45</v>
      </c>
      <c r="V1820" t="s">
        <v>742</v>
      </c>
      <c r="W1820" t="s">
        <v>45</v>
      </c>
      <c r="X1820" t="s">
        <v>45</v>
      </c>
      <c r="Y1820" t="s">
        <v>45</v>
      </c>
      <c r="Z1820" t="s">
        <v>45</v>
      </c>
      <c r="AF1820">
        <v>3</v>
      </c>
      <c r="AH1820" t="s">
        <v>75</v>
      </c>
      <c r="AI1820">
        <v>2</v>
      </c>
      <c r="AJ1820" s="15"/>
      <c r="AK1820" t="s">
        <v>74</v>
      </c>
      <c r="AL1820" s="16"/>
      <c r="AR1820" s="18" t="str">
        <f>IFERROR(VLOOKUP(K1820,[1]POP!$F:$J,1,0),M1820)</f>
        <v>KOLOFATA</v>
      </c>
      <c r="AS1820" s="18" t="str">
        <f t="shared" si="141"/>
        <v>KOLOFATA</v>
      </c>
      <c r="AT1820" s="19">
        <f t="shared" si="144"/>
        <v>3</v>
      </c>
      <c r="AU1820" s="19">
        <f t="shared" ca="1" si="143"/>
        <v>1</v>
      </c>
    </row>
    <row r="1821" spans="1:47" x14ac:dyDescent="0.3">
      <c r="A1821" t="s">
        <v>2654</v>
      </c>
      <c r="B1821" t="str">
        <f t="shared" si="140"/>
        <v>S34_2026</v>
      </c>
      <c r="C1821" t="str">
        <f t="shared" si="142"/>
        <v>S34_2026</v>
      </c>
      <c r="E1821" t="s">
        <v>143</v>
      </c>
      <c r="F1821">
        <v>25</v>
      </c>
      <c r="G1821" t="s">
        <v>40</v>
      </c>
      <c r="H1821" t="s">
        <v>1924</v>
      </c>
      <c r="I1821" t="s">
        <v>2655</v>
      </c>
      <c r="J1821" t="s">
        <v>146</v>
      </c>
      <c r="K1821" t="s">
        <v>146</v>
      </c>
      <c r="L1821" t="s">
        <v>146</v>
      </c>
      <c r="M1821" t="s">
        <v>146</v>
      </c>
      <c r="N1821" t="s">
        <v>45</v>
      </c>
      <c r="O1821" t="s">
        <v>45</v>
      </c>
      <c r="P1821">
        <v>3</v>
      </c>
      <c r="Q1821" s="7">
        <v>46257</v>
      </c>
      <c r="R1821" s="7">
        <v>46257</v>
      </c>
      <c r="S1821" s="7">
        <v>46257</v>
      </c>
      <c r="T1821" t="s">
        <v>45</v>
      </c>
      <c r="V1821" t="s">
        <v>742</v>
      </c>
      <c r="W1821" t="s">
        <v>45</v>
      </c>
      <c r="X1821" t="s">
        <v>45</v>
      </c>
      <c r="Y1821" t="s">
        <v>45</v>
      </c>
      <c r="Z1821" t="s">
        <v>45</v>
      </c>
      <c r="AH1821" t="s">
        <v>75</v>
      </c>
      <c r="AI1821">
        <v>0</v>
      </c>
      <c r="AJ1821" s="15"/>
      <c r="AK1821" t="s">
        <v>74</v>
      </c>
      <c r="AL1821" s="16"/>
      <c r="AR1821" s="18" t="str">
        <f>IFERROR(VLOOKUP(K1821,[1]POP!$F:$J,1,0),M1821)</f>
        <v>KOLOFATA</v>
      </c>
      <c r="AS1821" s="18" t="str">
        <f t="shared" si="141"/>
        <v>KOLOFATA</v>
      </c>
      <c r="AT1821" s="19">
        <f t="shared" si="144"/>
        <v>0</v>
      </c>
      <c r="AU1821" s="19">
        <f t="shared" ca="1" si="143"/>
        <v>1</v>
      </c>
    </row>
    <row r="1822" spans="1:47" x14ac:dyDescent="0.3">
      <c r="A1822" t="s">
        <v>2656</v>
      </c>
      <c r="B1822" t="str">
        <f t="shared" si="140"/>
        <v>S34_2026</v>
      </c>
      <c r="C1822" t="str">
        <f t="shared" si="142"/>
        <v>S34_2026</v>
      </c>
      <c r="E1822" t="s">
        <v>143</v>
      </c>
      <c r="F1822">
        <v>7</v>
      </c>
      <c r="G1822" t="s">
        <v>40</v>
      </c>
      <c r="H1822" t="s">
        <v>111</v>
      </c>
      <c r="I1822" t="s">
        <v>1968</v>
      </c>
      <c r="J1822" t="s">
        <v>146</v>
      </c>
      <c r="K1822" t="s">
        <v>146</v>
      </c>
      <c r="L1822" t="s">
        <v>146</v>
      </c>
      <c r="M1822" t="s">
        <v>146</v>
      </c>
      <c r="N1822" t="s">
        <v>45</v>
      </c>
      <c r="O1822" t="s">
        <v>45</v>
      </c>
      <c r="P1822">
        <v>3</v>
      </c>
      <c r="Q1822" s="7">
        <v>46257</v>
      </c>
      <c r="R1822" s="7">
        <v>46257</v>
      </c>
      <c r="S1822" s="7">
        <v>46257</v>
      </c>
      <c r="T1822" t="s">
        <v>45</v>
      </c>
      <c r="V1822" t="s">
        <v>742</v>
      </c>
      <c r="W1822" t="s">
        <v>45</v>
      </c>
      <c r="X1822" t="s">
        <v>45</v>
      </c>
      <c r="Y1822" t="s">
        <v>45</v>
      </c>
      <c r="Z1822" t="s">
        <v>45</v>
      </c>
      <c r="AH1822" t="s">
        <v>75</v>
      </c>
      <c r="AI1822">
        <v>0</v>
      </c>
      <c r="AJ1822" s="15"/>
      <c r="AK1822" t="s">
        <v>74</v>
      </c>
      <c r="AL1822" s="16"/>
      <c r="AR1822" s="18" t="str">
        <f>IFERROR(VLOOKUP(K1822,[1]POP!$F:$J,1,0),M1822)</f>
        <v>KOLOFATA</v>
      </c>
      <c r="AS1822" s="18" t="str">
        <f t="shared" si="141"/>
        <v>KOLOFATA</v>
      </c>
      <c r="AT1822" s="19">
        <f t="shared" si="144"/>
        <v>0</v>
      </c>
      <c r="AU1822" s="19">
        <f t="shared" ca="1" si="143"/>
        <v>1</v>
      </c>
    </row>
    <row r="1823" spans="1:47" x14ac:dyDescent="0.3">
      <c r="A1823" t="s">
        <v>2657</v>
      </c>
      <c r="B1823" t="str">
        <f t="shared" si="140"/>
        <v>S32_2026</v>
      </c>
      <c r="C1823" t="str">
        <f t="shared" si="142"/>
        <v>S32_2026</v>
      </c>
      <c r="F1823">
        <v>12</v>
      </c>
      <c r="G1823" t="s">
        <v>1387</v>
      </c>
      <c r="H1823" t="s">
        <v>1592</v>
      </c>
      <c r="I1823" t="s">
        <v>1394</v>
      </c>
      <c r="J1823" t="s">
        <v>1389</v>
      </c>
      <c r="K1823" t="s">
        <v>746</v>
      </c>
      <c r="L1823" t="s">
        <v>2155</v>
      </c>
      <c r="M1823" t="s">
        <v>746</v>
      </c>
      <c r="N1823" t="s">
        <v>45</v>
      </c>
      <c r="O1823" t="s">
        <v>117</v>
      </c>
      <c r="P1823">
        <v>3</v>
      </c>
      <c r="Q1823" s="7">
        <v>46237</v>
      </c>
      <c r="R1823" s="7">
        <v>46237</v>
      </c>
      <c r="S1823" s="7">
        <v>46237</v>
      </c>
      <c r="T1823" t="s">
        <v>117</v>
      </c>
      <c r="V1823" t="s">
        <v>2658</v>
      </c>
      <c r="W1823" t="s">
        <v>117</v>
      </c>
      <c r="X1823" t="s">
        <v>117</v>
      </c>
      <c r="Y1823" t="s">
        <v>117</v>
      </c>
      <c r="Z1823" t="s">
        <v>117</v>
      </c>
      <c r="AE1823" s="7">
        <v>46238</v>
      </c>
      <c r="AF1823">
        <v>2</v>
      </c>
      <c r="AH1823" t="s">
        <v>75</v>
      </c>
      <c r="AI1823">
        <v>1</v>
      </c>
      <c r="AJ1823" s="15"/>
      <c r="AK1823" t="s">
        <v>668</v>
      </c>
      <c r="AL1823" s="16"/>
      <c r="AR1823" s="18" t="str">
        <f>IFERROR(VLOOKUP(K1823,[1]POP!$F:$J,1,0),M1823)</f>
        <v>MORA</v>
      </c>
      <c r="AS1823" s="18" t="str">
        <f t="shared" si="141"/>
        <v xml:space="preserve">bounderi </v>
      </c>
      <c r="AT1823" s="19">
        <f t="shared" si="144"/>
        <v>2</v>
      </c>
      <c r="AU1823" s="19">
        <f t="shared" ca="1" si="143"/>
        <v>2</v>
      </c>
    </row>
    <row r="1824" spans="1:47" x14ac:dyDescent="0.3">
      <c r="A1824" t="s">
        <v>2659</v>
      </c>
      <c r="B1824" t="str">
        <f t="shared" si="140"/>
        <v>S32_2026</v>
      </c>
      <c r="C1824" t="str">
        <f t="shared" si="142"/>
        <v>S32_2026</v>
      </c>
      <c r="F1824">
        <v>30</v>
      </c>
      <c r="G1824" t="s">
        <v>1392</v>
      </c>
      <c r="H1824" t="s">
        <v>1393</v>
      </c>
      <c r="I1824" t="s">
        <v>1388</v>
      </c>
      <c r="J1824" t="s">
        <v>1389</v>
      </c>
      <c r="K1824" t="s">
        <v>746</v>
      </c>
      <c r="L1824" t="s">
        <v>2155</v>
      </c>
      <c r="M1824" t="s">
        <v>746</v>
      </c>
      <c r="N1824" t="s">
        <v>45</v>
      </c>
      <c r="O1824" t="s">
        <v>117</v>
      </c>
      <c r="P1824">
        <v>3</v>
      </c>
      <c r="Q1824" s="7">
        <v>46238</v>
      </c>
      <c r="R1824" s="7">
        <v>46238</v>
      </c>
      <c r="S1824" s="7">
        <v>46238</v>
      </c>
      <c r="T1824" t="s">
        <v>45</v>
      </c>
      <c r="V1824" t="s">
        <v>2658</v>
      </c>
      <c r="W1824" t="s">
        <v>45</v>
      </c>
      <c r="X1824" t="s">
        <v>45</v>
      </c>
      <c r="Y1824" t="s">
        <v>45</v>
      </c>
      <c r="Z1824" t="s">
        <v>117</v>
      </c>
      <c r="AE1824" s="7">
        <v>46239</v>
      </c>
      <c r="AF1824">
        <v>2</v>
      </c>
      <c r="AH1824" t="s">
        <v>75</v>
      </c>
      <c r="AI1824">
        <v>1</v>
      </c>
      <c r="AJ1824" s="15"/>
      <c r="AK1824" t="s">
        <v>1590</v>
      </c>
      <c r="AL1824" s="16"/>
      <c r="AR1824" s="18" t="str">
        <f>IFERROR(VLOOKUP(K1824,[1]POP!$F:$J,1,0),M1824)</f>
        <v>MORA</v>
      </c>
      <c r="AS1824" s="18" t="str">
        <f t="shared" si="141"/>
        <v xml:space="preserve">bounderi </v>
      </c>
      <c r="AT1824" s="19">
        <f t="shared" si="144"/>
        <v>2</v>
      </c>
      <c r="AU1824" s="19">
        <f t="shared" ca="1" si="143"/>
        <v>2</v>
      </c>
    </row>
    <row r="1825" spans="1:47" x14ac:dyDescent="0.3">
      <c r="A1825" t="s">
        <v>2660</v>
      </c>
      <c r="B1825" t="str">
        <f t="shared" si="140"/>
        <v>S32_2026</v>
      </c>
      <c r="C1825" t="str">
        <f t="shared" si="142"/>
        <v>S32_2026</v>
      </c>
      <c r="F1825">
        <v>35</v>
      </c>
      <c r="G1825" t="s">
        <v>1392</v>
      </c>
      <c r="H1825" t="s">
        <v>682</v>
      </c>
      <c r="I1825" t="s">
        <v>1394</v>
      </c>
      <c r="J1825" t="s">
        <v>1389</v>
      </c>
      <c r="K1825" t="s">
        <v>746</v>
      </c>
      <c r="L1825" t="s">
        <v>2155</v>
      </c>
      <c r="M1825" t="s">
        <v>746</v>
      </c>
      <c r="N1825" t="s">
        <v>45</v>
      </c>
      <c r="O1825" t="s">
        <v>117</v>
      </c>
      <c r="P1825">
        <v>2</v>
      </c>
      <c r="Q1825" s="7">
        <v>46239</v>
      </c>
      <c r="R1825" s="7">
        <v>46239</v>
      </c>
      <c r="S1825" s="7">
        <v>46239</v>
      </c>
      <c r="T1825" t="s">
        <v>45</v>
      </c>
      <c r="V1825" t="s">
        <v>2658</v>
      </c>
      <c r="W1825" t="s">
        <v>45</v>
      </c>
      <c r="X1825" t="s">
        <v>45</v>
      </c>
      <c r="Y1825" t="s">
        <v>45</v>
      </c>
      <c r="Z1825" t="s">
        <v>117</v>
      </c>
      <c r="AE1825" s="7">
        <v>46180</v>
      </c>
      <c r="AF1825">
        <v>2</v>
      </c>
      <c r="AH1825" t="s">
        <v>75</v>
      </c>
      <c r="AI1825">
        <v>1</v>
      </c>
      <c r="AJ1825" s="15"/>
      <c r="AK1825" t="s">
        <v>1590</v>
      </c>
      <c r="AL1825" s="16"/>
      <c r="AR1825" s="18" t="str">
        <f>IFERROR(VLOOKUP(K1825,[1]POP!$F:$J,1,0),M1825)</f>
        <v>MORA</v>
      </c>
      <c r="AS1825" s="18" t="str">
        <f t="shared" si="141"/>
        <v xml:space="preserve">bounderi </v>
      </c>
      <c r="AT1825" s="19">
        <f t="shared" si="144"/>
        <v>2</v>
      </c>
      <c r="AU1825" s="19">
        <f t="shared" ca="1" si="143"/>
        <v>2</v>
      </c>
    </row>
    <row r="1826" spans="1:47" x14ac:dyDescent="0.3">
      <c r="A1826" t="s">
        <v>2661</v>
      </c>
      <c r="B1826" t="str">
        <f t="shared" si="140"/>
        <v>S32_2026</v>
      </c>
      <c r="C1826" t="str">
        <f t="shared" si="142"/>
        <v>S32_2026</v>
      </c>
      <c r="F1826">
        <v>3</v>
      </c>
      <c r="G1826" t="s">
        <v>1392</v>
      </c>
      <c r="H1826" t="s">
        <v>655</v>
      </c>
      <c r="I1826" t="s">
        <v>1388</v>
      </c>
      <c r="J1826" t="s">
        <v>1389</v>
      </c>
      <c r="K1826" t="s">
        <v>746</v>
      </c>
      <c r="L1826" t="s">
        <v>2155</v>
      </c>
      <c r="M1826" t="s">
        <v>746</v>
      </c>
      <c r="N1826" t="s">
        <v>45</v>
      </c>
      <c r="O1826" t="s">
        <v>45</v>
      </c>
      <c r="P1826">
        <v>2</v>
      </c>
      <c r="Q1826" s="7">
        <v>46242</v>
      </c>
      <c r="R1826" s="7">
        <v>46242</v>
      </c>
      <c r="S1826" s="7">
        <v>46242</v>
      </c>
      <c r="T1826" t="s">
        <v>117</v>
      </c>
      <c r="V1826" t="s">
        <v>2658</v>
      </c>
      <c r="W1826" t="s">
        <v>117</v>
      </c>
      <c r="X1826" t="s">
        <v>117</v>
      </c>
      <c r="Y1826" t="s">
        <v>117</v>
      </c>
      <c r="Z1826" t="s">
        <v>117</v>
      </c>
      <c r="AE1826" s="7">
        <v>46244</v>
      </c>
      <c r="AF1826">
        <v>2</v>
      </c>
      <c r="AH1826" t="s">
        <v>75</v>
      </c>
      <c r="AI1826">
        <v>1</v>
      </c>
      <c r="AJ1826" s="15"/>
      <c r="AK1826" t="s">
        <v>1590</v>
      </c>
      <c r="AL1826" s="16"/>
      <c r="AR1826" s="18" t="str">
        <f>IFERROR(VLOOKUP(K1826,[1]POP!$F:$J,1,0),M1826)</f>
        <v>MORA</v>
      </c>
      <c r="AS1826" s="18" t="str">
        <f t="shared" si="141"/>
        <v xml:space="preserve">bounderi </v>
      </c>
      <c r="AT1826" s="19">
        <f t="shared" si="144"/>
        <v>2</v>
      </c>
      <c r="AU1826" s="19">
        <f t="shared" ca="1" si="143"/>
        <v>2</v>
      </c>
    </row>
    <row r="1827" spans="1:47" x14ac:dyDescent="0.3">
      <c r="A1827" t="s">
        <v>2662</v>
      </c>
      <c r="B1827" t="str">
        <f t="shared" si="140"/>
        <v>S33_2026</v>
      </c>
      <c r="C1827" t="str">
        <f t="shared" si="142"/>
        <v>S33_2026</v>
      </c>
      <c r="F1827">
        <v>37</v>
      </c>
      <c r="G1827" t="s">
        <v>55</v>
      </c>
      <c r="H1827" t="s">
        <v>70</v>
      </c>
      <c r="I1827" t="s">
        <v>902</v>
      </c>
      <c r="J1827" t="s">
        <v>902</v>
      </c>
      <c r="K1827" t="s">
        <v>746</v>
      </c>
      <c r="L1827" t="s">
        <v>746</v>
      </c>
      <c r="M1827" t="s">
        <v>746</v>
      </c>
      <c r="N1827" t="s">
        <v>1830</v>
      </c>
      <c r="O1827" t="s">
        <v>45</v>
      </c>
      <c r="P1827">
        <v>3</v>
      </c>
      <c r="Q1827" s="7">
        <v>46250</v>
      </c>
      <c r="R1827" s="7">
        <v>46250</v>
      </c>
      <c r="S1827" s="7">
        <v>46250</v>
      </c>
      <c r="T1827" t="s">
        <v>45</v>
      </c>
      <c r="V1827" t="s">
        <v>2187</v>
      </c>
      <c r="W1827" t="s">
        <v>1830</v>
      </c>
      <c r="X1827" t="s">
        <v>45</v>
      </c>
      <c r="Y1827" t="s">
        <v>45</v>
      </c>
      <c r="Z1827" t="s">
        <v>45</v>
      </c>
      <c r="AA1827" s="7">
        <v>46250</v>
      </c>
      <c r="AB1827" t="s">
        <v>48</v>
      </c>
      <c r="AC1827" t="s">
        <v>1720</v>
      </c>
      <c r="AE1827" s="7">
        <v>46253</v>
      </c>
      <c r="AF1827">
        <v>2</v>
      </c>
      <c r="AH1827" t="s">
        <v>75</v>
      </c>
      <c r="AI1827">
        <v>1</v>
      </c>
      <c r="AJ1827" s="15"/>
      <c r="AK1827" t="s">
        <v>1720</v>
      </c>
      <c r="AL1827" s="16"/>
      <c r="AR1827" s="18" t="str">
        <f>IFERROR(VLOOKUP(K1827,[1]POP!$F:$J,1,0),M1827)</f>
        <v>MORA</v>
      </c>
      <c r="AS1827" s="18" t="str">
        <f t="shared" si="141"/>
        <v>KOURGUI</v>
      </c>
      <c r="AT1827" s="19">
        <f t="shared" si="144"/>
        <v>2</v>
      </c>
      <c r="AU1827" s="19">
        <f t="shared" ca="1" si="143"/>
        <v>1</v>
      </c>
    </row>
    <row r="1828" spans="1:47" x14ac:dyDescent="0.3">
      <c r="A1828" t="s">
        <v>2663</v>
      </c>
      <c r="B1828" t="str">
        <f t="shared" si="140"/>
        <v>S33_2026</v>
      </c>
      <c r="C1828" t="str">
        <f t="shared" si="142"/>
        <v>S33_2026</v>
      </c>
      <c r="F1828">
        <v>60</v>
      </c>
      <c r="G1828" t="s">
        <v>55</v>
      </c>
      <c r="H1828" t="s">
        <v>70</v>
      </c>
      <c r="I1828" t="s">
        <v>2157</v>
      </c>
      <c r="J1828" t="s">
        <v>746</v>
      </c>
      <c r="K1828" t="s">
        <v>746</v>
      </c>
      <c r="L1828" t="s">
        <v>746</v>
      </c>
      <c r="M1828" t="s">
        <v>746</v>
      </c>
      <c r="N1828" t="s">
        <v>1830</v>
      </c>
      <c r="O1828" t="s">
        <v>45</v>
      </c>
      <c r="P1828">
        <v>3</v>
      </c>
      <c r="Q1828" s="7">
        <v>46250</v>
      </c>
      <c r="R1828" s="7">
        <v>46250</v>
      </c>
      <c r="S1828" s="7">
        <v>46250</v>
      </c>
      <c r="T1828" t="s">
        <v>45</v>
      </c>
      <c r="V1828" t="s">
        <v>2187</v>
      </c>
      <c r="W1828" t="s">
        <v>45</v>
      </c>
      <c r="X1828" t="s">
        <v>45</v>
      </c>
      <c r="Y1828" t="s">
        <v>45</v>
      </c>
      <c r="Z1828" t="s">
        <v>45</v>
      </c>
      <c r="AA1828" s="7">
        <v>46250</v>
      </c>
      <c r="AB1828" t="s">
        <v>48</v>
      </c>
      <c r="AC1828" t="s">
        <v>1720</v>
      </c>
      <c r="AE1828" s="7">
        <v>46253</v>
      </c>
      <c r="AF1828">
        <v>2</v>
      </c>
      <c r="AH1828" t="s">
        <v>75</v>
      </c>
      <c r="AI1828">
        <v>1</v>
      </c>
      <c r="AJ1828" s="15"/>
      <c r="AK1828" t="s">
        <v>1720</v>
      </c>
      <c r="AL1828" s="16"/>
      <c r="AR1828" s="18" t="str">
        <f>IFERROR(VLOOKUP(K1828,[1]POP!$F:$J,1,0),M1828)</f>
        <v>MORA</v>
      </c>
      <c r="AS1828" s="18" t="str">
        <f t="shared" si="141"/>
        <v>MORA</v>
      </c>
      <c r="AT1828" s="19">
        <f t="shared" si="144"/>
        <v>2</v>
      </c>
      <c r="AU1828" s="19">
        <f t="shared" ca="1" si="143"/>
        <v>1</v>
      </c>
    </row>
    <row r="1829" spans="1:47" x14ac:dyDescent="0.3">
      <c r="A1829" t="s">
        <v>2664</v>
      </c>
      <c r="B1829" t="str">
        <f t="shared" si="140"/>
        <v>S34_2026</v>
      </c>
      <c r="C1829" t="str">
        <f t="shared" si="142"/>
        <v>S34_2026</v>
      </c>
      <c r="F1829">
        <v>2</v>
      </c>
      <c r="G1829" t="s">
        <v>55</v>
      </c>
      <c r="H1829" t="s">
        <v>85</v>
      </c>
      <c r="I1829" t="s">
        <v>2157</v>
      </c>
      <c r="J1829" t="s">
        <v>746</v>
      </c>
      <c r="K1829" t="s">
        <v>746</v>
      </c>
      <c r="L1829" t="s">
        <v>746</v>
      </c>
      <c r="M1829" t="s">
        <v>746</v>
      </c>
      <c r="N1829" t="s">
        <v>45</v>
      </c>
      <c r="O1829" t="s">
        <v>45</v>
      </c>
      <c r="P1829">
        <v>3</v>
      </c>
      <c r="Q1829" s="7">
        <v>46253</v>
      </c>
      <c r="R1829" s="7">
        <v>46253</v>
      </c>
      <c r="S1829" s="7">
        <v>46253</v>
      </c>
      <c r="T1829" t="s">
        <v>45</v>
      </c>
      <c r="V1829" t="s">
        <v>2187</v>
      </c>
      <c r="W1829" t="s">
        <v>45</v>
      </c>
      <c r="X1829" t="s">
        <v>45</v>
      </c>
      <c r="Y1829" t="s">
        <v>45</v>
      </c>
      <c r="Z1829" t="s">
        <v>45</v>
      </c>
      <c r="AA1829" s="7">
        <v>46253</v>
      </c>
      <c r="AB1829" t="s">
        <v>48</v>
      </c>
      <c r="AC1829" t="s">
        <v>1720</v>
      </c>
      <c r="AE1829" s="7">
        <v>46255</v>
      </c>
      <c r="AF1829">
        <v>2</v>
      </c>
      <c r="AH1829" t="s">
        <v>75</v>
      </c>
      <c r="AI1829">
        <v>1</v>
      </c>
      <c r="AJ1829" s="15"/>
      <c r="AK1829" t="s">
        <v>1720</v>
      </c>
      <c r="AL1829" s="16"/>
      <c r="AR1829" s="18" t="str">
        <f>IFERROR(VLOOKUP(K1829,[1]POP!$F:$J,1,0),M1829)</f>
        <v>MORA</v>
      </c>
      <c r="AS1829" s="18" t="str">
        <f t="shared" si="141"/>
        <v>MORA</v>
      </c>
      <c r="AT1829" s="19">
        <f t="shared" si="144"/>
        <v>2</v>
      </c>
      <c r="AU1829" s="19">
        <f t="shared" ca="1" si="143"/>
        <v>1</v>
      </c>
    </row>
    <row r="1830" spans="1:47" x14ac:dyDescent="0.3">
      <c r="A1830" t="s">
        <v>2665</v>
      </c>
      <c r="B1830" t="str">
        <f t="shared" si="140"/>
        <v>S34_2026</v>
      </c>
      <c r="C1830" t="str">
        <f t="shared" si="142"/>
        <v>S34_2026</v>
      </c>
      <c r="F1830">
        <v>1</v>
      </c>
      <c r="G1830" t="s">
        <v>55</v>
      </c>
      <c r="H1830" t="s">
        <v>85</v>
      </c>
      <c r="I1830" t="s">
        <v>2157</v>
      </c>
      <c r="J1830" t="s">
        <v>746</v>
      </c>
      <c r="K1830" t="s">
        <v>746</v>
      </c>
      <c r="L1830" t="s">
        <v>746</v>
      </c>
      <c r="M1830" t="s">
        <v>746</v>
      </c>
      <c r="N1830" t="s">
        <v>45</v>
      </c>
      <c r="O1830" t="s">
        <v>45</v>
      </c>
      <c r="P1830">
        <v>3</v>
      </c>
      <c r="Q1830" s="7">
        <v>46253</v>
      </c>
      <c r="R1830" s="7">
        <v>46253</v>
      </c>
      <c r="S1830" s="7">
        <v>46253</v>
      </c>
      <c r="T1830" t="s">
        <v>45</v>
      </c>
      <c r="V1830" t="s">
        <v>2187</v>
      </c>
      <c r="W1830" t="s">
        <v>45</v>
      </c>
      <c r="X1830" t="s">
        <v>45</v>
      </c>
      <c r="Y1830" t="s">
        <v>45</v>
      </c>
      <c r="Z1830" t="s">
        <v>45</v>
      </c>
      <c r="AA1830" s="7">
        <v>46253</v>
      </c>
      <c r="AB1830" t="s">
        <v>48</v>
      </c>
      <c r="AC1830" t="s">
        <v>1720</v>
      </c>
      <c r="AE1830" s="7">
        <v>46255</v>
      </c>
      <c r="AF1830">
        <v>2</v>
      </c>
      <c r="AH1830" t="s">
        <v>75</v>
      </c>
      <c r="AI1830">
        <v>1</v>
      </c>
      <c r="AJ1830" s="15"/>
      <c r="AK1830" t="s">
        <v>1720</v>
      </c>
      <c r="AL1830" s="16"/>
      <c r="AR1830" s="18" t="str">
        <f>IFERROR(VLOOKUP(K1830,[1]POP!$F:$J,1,0),M1830)</f>
        <v>MORA</v>
      </c>
      <c r="AS1830" s="18" t="str">
        <f t="shared" si="141"/>
        <v>MORA</v>
      </c>
      <c r="AT1830" s="19">
        <f t="shared" si="144"/>
        <v>2</v>
      </c>
      <c r="AU1830" s="19">
        <f t="shared" ca="1" si="143"/>
        <v>1</v>
      </c>
    </row>
    <row r="1831" spans="1:47" x14ac:dyDescent="0.3">
      <c r="A1831" t="s">
        <v>2666</v>
      </c>
      <c r="B1831" t="str">
        <f t="shared" si="140"/>
        <v>S33_2026</v>
      </c>
      <c r="C1831" t="str">
        <f t="shared" si="142"/>
        <v>S33_2026</v>
      </c>
      <c r="F1831">
        <v>33</v>
      </c>
      <c r="G1831" t="s">
        <v>55</v>
      </c>
      <c r="H1831" t="s">
        <v>70</v>
      </c>
      <c r="I1831" t="s">
        <v>1408</v>
      </c>
      <c r="J1831" t="s">
        <v>1355</v>
      </c>
      <c r="K1831" t="s">
        <v>746</v>
      </c>
      <c r="L1831" t="s">
        <v>746</v>
      </c>
      <c r="M1831" t="s">
        <v>746</v>
      </c>
      <c r="N1831" t="s">
        <v>45</v>
      </c>
      <c r="O1831" t="s">
        <v>45</v>
      </c>
      <c r="P1831">
        <v>3</v>
      </c>
      <c r="Q1831" s="7">
        <v>46247</v>
      </c>
      <c r="R1831" s="7">
        <v>46247</v>
      </c>
      <c r="S1831" s="7">
        <v>46247</v>
      </c>
      <c r="T1831" t="s">
        <v>45</v>
      </c>
      <c r="V1831" t="s">
        <v>2187</v>
      </c>
      <c r="W1831" t="s">
        <v>45</v>
      </c>
      <c r="X1831" t="s">
        <v>45</v>
      </c>
      <c r="Y1831" t="s">
        <v>45</v>
      </c>
      <c r="Z1831" t="s">
        <v>45</v>
      </c>
      <c r="AA1831" s="7">
        <v>46247</v>
      </c>
      <c r="AB1831" t="s">
        <v>48</v>
      </c>
      <c r="AC1831" t="s">
        <v>1720</v>
      </c>
      <c r="AE1831" s="7">
        <v>46250</v>
      </c>
      <c r="AF1831">
        <v>2</v>
      </c>
      <c r="AH1831" t="s">
        <v>75</v>
      </c>
      <c r="AI1831">
        <v>1</v>
      </c>
      <c r="AJ1831" s="15"/>
      <c r="AK1831" t="s">
        <v>1720</v>
      </c>
      <c r="AL1831" s="16"/>
      <c r="AR1831" s="18" t="str">
        <f>IFERROR(VLOOKUP(K1831,[1]POP!$F:$J,1,0),M1831)</f>
        <v>MORA</v>
      </c>
      <c r="AS1831" s="18" t="str">
        <f t="shared" si="141"/>
        <v>AISSA HARDE</v>
      </c>
      <c r="AT1831" s="19">
        <f t="shared" si="144"/>
        <v>2</v>
      </c>
      <c r="AU1831" s="19">
        <f t="shared" ca="1" si="143"/>
        <v>1</v>
      </c>
    </row>
    <row r="1832" spans="1:47" x14ac:dyDescent="0.3">
      <c r="A1832" t="s">
        <v>2667</v>
      </c>
      <c r="B1832" t="str">
        <f t="shared" si="140"/>
        <v>S33_2026</v>
      </c>
      <c r="C1832" t="str">
        <f t="shared" si="142"/>
        <v>S33_2026</v>
      </c>
      <c r="F1832">
        <v>22</v>
      </c>
      <c r="G1832" t="s">
        <v>55</v>
      </c>
      <c r="H1832" t="s">
        <v>70</v>
      </c>
      <c r="I1832" t="s">
        <v>1355</v>
      </c>
      <c r="J1832" t="s">
        <v>1355</v>
      </c>
      <c r="K1832" t="s">
        <v>746</v>
      </c>
      <c r="L1832" t="s">
        <v>746</v>
      </c>
      <c r="M1832" t="s">
        <v>746</v>
      </c>
      <c r="N1832" t="s">
        <v>45</v>
      </c>
      <c r="O1832" t="s">
        <v>45</v>
      </c>
      <c r="P1832">
        <v>3</v>
      </c>
      <c r="Q1832" s="7">
        <v>46247</v>
      </c>
      <c r="R1832" s="7">
        <v>46247</v>
      </c>
      <c r="S1832" s="7">
        <v>46247</v>
      </c>
      <c r="T1832" t="s">
        <v>45</v>
      </c>
      <c r="V1832" t="s">
        <v>2187</v>
      </c>
      <c r="W1832" t="s">
        <v>45</v>
      </c>
      <c r="X1832" t="s">
        <v>45</v>
      </c>
      <c r="Y1832" t="s">
        <v>45</v>
      </c>
      <c r="Z1832" t="s">
        <v>45</v>
      </c>
      <c r="AA1832" s="7">
        <v>46247</v>
      </c>
      <c r="AB1832" t="s">
        <v>48</v>
      </c>
      <c r="AC1832" t="s">
        <v>1720</v>
      </c>
      <c r="AE1832" s="7">
        <v>46250</v>
      </c>
      <c r="AF1832">
        <v>2</v>
      </c>
      <c r="AH1832" t="s">
        <v>75</v>
      </c>
      <c r="AI1832">
        <v>1</v>
      </c>
      <c r="AJ1832" s="15"/>
      <c r="AK1832" t="s">
        <v>1720</v>
      </c>
      <c r="AL1832" s="16"/>
      <c r="AR1832" s="18" t="str">
        <f>IFERROR(VLOOKUP(K1832,[1]POP!$F:$J,1,0),M1832)</f>
        <v>MORA</v>
      </c>
      <c r="AS1832" s="18" t="str">
        <f t="shared" si="141"/>
        <v>AISSA HARDE</v>
      </c>
      <c r="AT1832" s="19">
        <f t="shared" si="144"/>
        <v>2</v>
      </c>
      <c r="AU1832" s="19">
        <f t="shared" ca="1" si="143"/>
        <v>1</v>
      </c>
    </row>
    <row r="1833" spans="1:47" x14ac:dyDescent="0.3">
      <c r="A1833" t="s">
        <v>2668</v>
      </c>
      <c r="B1833" t="str">
        <f t="shared" si="140"/>
        <v>S33_2026</v>
      </c>
      <c r="C1833" t="str">
        <f t="shared" si="142"/>
        <v>S33_2026</v>
      </c>
      <c r="F1833">
        <v>1</v>
      </c>
      <c r="G1833" t="s">
        <v>55</v>
      </c>
      <c r="H1833" t="s">
        <v>85</v>
      </c>
      <c r="I1833" t="s">
        <v>1408</v>
      </c>
      <c r="J1833" t="s">
        <v>1355</v>
      </c>
      <c r="K1833" t="s">
        <v>746</v>
      </c>
      <c r="L1833" t="s">
        <v>746</v>
      </c>
      <c r="M1833" t="s">
        <v>746</v>
      </c>
      <c r="N1833" t="s">
        <v>1830</v>
      </c>
      <c r="O1833" t="s">
        <v>45</v>
      </c>
      <c r="P1833">
        <v>3</v>
      </c>
      <c r="Q1833" s="7">
        <v>46248</v>
      </c>
      <c r="R1833" s="7">
        <v>46248</v>
      </c>
      <c r="S1833" s="7">
        <v>46248</v>
      </c>
      <c r="T1833" t="s">
        <v>45</v>
      </c>
      <c r="V1833" t="s">
        <v>2187</v>
      </c>
      <c r="W1833" t="s">
        <v>1830</v>
      </c>
      <c r="X1833" t="s">
        <v>45</v>
      </c>
      <c r="Y1833" t="s">
        <v>45</v>
      </c>
      <c r="Z1833" t="s">
        <v>45</v>
      </c>
      <c r="AA1833" s="7">
        <v>46248</v>
      </c>
      <c r="AB1833" t="s">
        <v>48</v>
      </c>
      <c r="AC1833" t="s">
        <v>1720</v>
      </c>
      <c r="AE1833" s="7">
        <v>46250</v>
      </c>
      <c r="AF1833">
        <v>2</v>
      </c>
      <c r="AH1833" t="s">
        <v>75</v>
      </c>
      <c r="AI1833">
        <v>1</v>
      </c>
      <c r="AJ1833" s="15"/>
      <c r="AK1833" t="s">
        <v>1720</v>
      </c>
      <c r="AL1833" s="16"/>
      <c r="AR1833" s="18" t="str">
        <f>IFERROR(VLOOKUP(K1833,[1]POP!$F:$J,1,0),M1833)</f>
        <v>MORA</v>
      </c>
      <c r="AS1833" s="18" t="str">
        <f t="shared" si="141"/>
        <v>AISSA HARDE</v>
      </c>
      <c r="AT1833" s="19">
        <f t="shared" si="144"/>
        <v>2</v>
      </c>
      <c r="AU1833" s="19">
        <f t="shared" ca="1" si="143"/>
        <v>1</v>
      </c>
    </row>
    <row r="1834" spans="1:47" x14ac:dyDescent="0.3">
      <c r="A1834" t="s">
        <v>2669</v>
      </c>
      <c r="B1834" t="str">
        <f t="shared" si="140"/>
        <v>S32_2026</v>
      </c>
      <c r="C1834" t="str">
        <f t="shared" si="142"/>
        <v>S32_2026</v>
      </c>
      <c r="F1834">
        <v>4</v>
      </c>
      <c r="G1834" t="s">
        <v>55</v>
      </c>
      <c r="H1834" t="s">
        <v>85</v>
      </c>
      <c r="I1834" t="s">
        <v>2670</v>
      </c>
      <c r="J1834" t="s">
        <v>1604</v>
      </c>
      <c r="K1834" t="s">
        <v>746</v>
      </c>
      <c r="L1834" t="s">
        <v>906</v>
      </c>
      <c r="M1834" t="s">
        <v>746</v>
      </c>
      <c r="N1834" t="s">
        <v>117</v>
      </c>
      <c r="O1834" t="s">
        <v>117</v>
      </c>
      <c r="P1834">
        <v>1</v>
      </c>
      <c r="Q1834" s="7">
        <v>46238</v>
      </c>
      <c r="R1834" s="7">
        <v>46239</v>
      </c>
      <c r="S1834" s="7">
        <v>46240</v>
      </c>
      <c r="T1834" t="s">
        <v>117</v>
      </c>
      <c r="V1834" t="s">
        <v>1601</v>
      </c>
      <c r="W1834" t="s">
        <v>1830</v>
      </c>
      <c r="X1834" t="s">
        <v>45</v>
      </c>
      <c r="Y1834" t="s">
        <v>45</v>
      </c>
      <c r="Z1834" t="s">
        <v>45</v>
      </c>
      <c r="AB1834" t="s">
        <v>48</v>
      </c>
      <c r="AE1834" s="7">
        <v>6</v>
      </c>
      <c r="AF1834">
        <v>2</v>
      </c>
      <c r="AH1834" t="s">
        <v>75</v>
      </c>
      <c r="AI1834">
        <v>1</v>
      </c>
      <c r="AJ1834" s="15"/>
      <c r="AL1834" s="16"/>
      <c r="AR1834" s="18" t="str">
        <f>IFERROR(VLOOKUP(K1834,[1]POP!$F:$J,1,0),M1834)</f>
        <v>MORA</v>
      </c>
      <c r="AS1834" s="18" t="str">
        <f t="shared" si="141"/>
        <v xml:space="preserve">Magdeme </v>
      </c>
      <c r="AT1834" s="19">
        <f t="shared" si="144"/>
        <v>2</v>
      </c>
      <c r="AU1834" s="19">
        <f t="shared" ca="1" si="143"/>
        <v>2</v>
      </c>
    </row>
    <row r="1835" spans="1:47" x14ac:dyDescent="0.3">
      <c r="A1835" t="s">
        <v>2671</v>
      </c>
      <c r="B1835" t="str">
        <f t="shared" si="140"/>
        <v>S32_2026</v>
      </c>
      <c r="C1835" t="str">
        <f t="shared" si="142"/>
        <v>S32_2026</v>
      </c>
      <c r="F1835">
        <v>2</v>
      </c>
      <c r="G1835" t="s">
        <v>55</v>
      </c>
      <c r="H1835" t="s">
        <v>85</v>
      </c>
      <c r="I1835" t="s">
        <v>1600</v>
      </c>
      <c r="J1835" t="s">
        <v>1604</v>
      </c>
      <c r="K1835" t="s">
        <v>746</v>
      </c>
      <c r="L1835" t="s">
        <v>906</v>
      </c>
      <c r="M1835" t="s">
        <v>746</v>
      </c>
      <c r="N1835" t="s">
        <v>117</v>
      </c>
      <c r="O1835" t="s">
        <v>675</v>
      </c>
      <c r="P1835">
        <v>1</v>
      </c>
      <c r="Q1835" s="7">
        <v>46238</v>
      </c>
      <c r="R1835" s="7">
        <v>46239</v>
      </c>
      <c r="S1835" s="7">
        <v>46240</v>
      </c>
      <c r="T1835" t="s">
        <v>117</v>
      </c>
      <c r="V1835" t="s">
        <v>1601</v>
      </c>
      <c r="W1835" t="s">
        <v>1830</v>
      </c>
      <c r="X1835" t="s">
        <v>45</v>
      </c>
      <c r="Y1835" t="s">
        <v>45</v>
      </c>
      <c r="Z1835" t="s">
        <v>45</v>
      </c>
      <c r="AB1835" t="s">
        <v>48</v>
      </c>
      <c r="AE1835" s="7">
        <v>46242</v>
      </c>
      <c r="AF1835">
        <v>2</v>
      </c>
      <c r="AH1835" t="s">
        <v>75</v>
      </c>
      <c r="AI1835">
        <v>1</v>
      </c>
      <c r="AJ1835" s="15"/>
      <c r="AL1835" s="16"/>
      <c r="AR1835" s="18" t="str">
        <f>IFERROR(VLOOKUP(K1835,[1]POP!$F:$J,1,0),M1835)</f>
        <v>MORA</v>
      </c>
      <c r="AS1835" s="18" t="str">
        <f t="shared" si="141"/>
        <v xml:space="preserve">Magdeme </v>
      </c>
      <c r="AT1835" s="19">
        <f t="shared" si="144"/>
        <v>2</v>
      </c>
      <c r="AU1835" s="19">
        <f t="shared" ca="1" si="143"/>
        <v>2</v>
      </c>
    </row>
    <row r="1836" spans="1:47" x14ac:dyDescent="0.3">
      <c r="A1836" t="s">
        <v>2672</v>
      </c>
      <c r="B1836" t="str">
        <f t="shared" si="140"/>
        <v>S32_2026</v>
      </c>
      <c r="C1836" t="str">
        <f t="shared" si="142"/>
        <v>S32_2026</v>
      </c>
      <c r="F1836">
        <v>2</v>
      </c>
      <c r="G1836" t="s">
        <v>55</v>
      </c>
      <c r="H1836" t="s">
        <v>85</v>
      </c>
      <c r="I1836" t="s">
        <v>2673</v>
      </c>
      <c r="J1836" t="s">
        <v>1604</v>
      </c>
      <c r="K1836" t="s">
        <v>746</v>
      </c>
      <c r="L1836" t="s">
        <v>906</v>
      </c>
      <c r="M1836" t="s">
        <v>746</v>
      </c>
      <c r="N1836" t="s">
        <v>117</v>
      </c>
      <c r="O1836" t="s">
        <v>117</v>
      </c>
      <c r="P1836">
        <v>1</v>
      </c>
      <c r="Q1836" s="7">
        <v>46238</v>
      </c>
      <c r="R1836" s="7">
        <v>46239</v>
      </c>
      <c r="S1836" s="7">
        <v>46240</v>
      </c>
      <c r="T1836" t="s">
        <v>117</v>
      </c>
      <c r="V1836" t="s">
        <v>1601</v>
      </c>
      <c r="W1836" t="s">
        <v>1830</v>
      </c>
      <c r="X1836" t="s">
        <v>45</v>
      </c>
      <c r="Y1836" t="s">
        <v>45</v>
      </c>
      <c r="Z1836" t="s">
        <v>45</v>
      </c>
      <c r="AB1836" t="s">
        <v>48</v>
      </c>
      <c r="AE1836" s="7">
        <v>46240</v>
      </c>
      <c r="AF1836">
        <v>2</v>
      </c>
      <c r="AH1836" t="s">
        <v>75</v>
      </c>
      <c r="AI1836">
        <v>1</v>
      </c>
      <c r="AJ1836" s="15"/>
      <c r="AL1836" s="16"/>
      <c r="AR1836" s="18" t="str">
        <f>IFERROR(VLOOKUP(K1836,[1]POP!$F:$J,1,0),M1836)</f>
        <v>MORA</v>
      </c>
      <c r="AS1836" s="18" t="str">
        <f t="shared" si="141"/>
        <v xml:space="preserve">Magdeme </v>
      </c>
      <c r="AT1836" s="19">
        <f t="shared" si="144"/>
        <v>2</v>
      </c>
      <c r="AU1836" s="19">
        <f t="shared" ca="1" si="143"/>
        <v>2</v>
      </c>
    </row>
    <row r="1837" spans="1:47" x14ac:dyDescent="0.3">
      <c r="A1837" t="s">
        <v>2674</v>
      </c>
      <c r="B1837" t="str">
        <f t="shared" si="140"/>
        <v>S32_2026</v>
      </c>
      <c r="C1837" t="str">
        <f t="shared" si="142"/>
        <v>S32_2026</v>
      </c>
      <c r="F1837">
        <v>14</v>
      </c>
      <c r="G1837" t="s">
        <v>55</v>
      </c>
      <c r="H1837" t="s">
        <v>706</v>
      </c>
      <c r="I1837" t="s">
        <v>1604</v>
      </c>
      <c r="J1837" t="s">
        <v>1604</v>
      </c>
      <c r="K1837" t="s">
        <v>746</v>
      </c>
      <c r="L1837" t="s">
        <v>906</v>
      </c>
      <c r="M1837" t="s">
        <v>746</v>
      </c>
      <c r="N1837" t="s">
        <v>117</v>
      </c>
      <c r="O1837" t="s">
        <v>117</v>
      </c>
      <c r="P1837">
        <v>3</v>
      </c>
      <c r="Q1837" s="7">
        <v>46239</v>
      </c>
      <c r="R1837" s="7">
        <v>46240</v>
      </c>
      <c r="S1837" s="7">
        <v>46240</v>
      </c>
      <c r="T1837" t="s">
        <v>117</v>
      </c>
      <c r="V1837" t="s">
        <v>1601</v>
      </c>
      <c r="W1837" t="s">
        <v>1830</v>
      </c>
      <c r="X1837" t="s">
        <v>45</v>
      </c>
      <c r="Y1837" t="s">
        <v>45</v>
      </c>
      <c r="Z1837" t="s">
        <v>45</v>
      </c>
      <c r="AB1837" t="s">
        <v>48</v>
      </c>
      <c r="AE1837" s="7">
        <v>46241</v>
      </c>
      <c r="AF1837">
        <v>2</v>
      </c>
      <c r="AH1837" t="s">
        <v>75</v>
      </c>
      <c r="AI1837">
        <v>1</v>
      </c>
      <c r="AJ1837" s="15"/>
      <c r="AL1837" s="16"/>
      <c r="AR1837" s="18" t="str">
        <f>IFERROR(VLOOKUP(K1837,[1]POP!$F:$J,1,0),M1837)</f>
        <v>MORA</v>
      </c>
      <c r="AS1837" s="18" t="str">
        <f t="shared" si="141"/>
        <v xml:space="preserve">Magdeme </v>
      </c>
      <c r="AT1837" s="19">
        <f t="shared" si="144"/>
        <v>2</v>
      </c>
      <c r="AU1837" s="19">
        <f t="shared" ca="1" si="143"/>
        <v>2</v>
      </c>
    </row>
    <row r="1838" spans="1:47" x14ac:dyDescent="0.3">
      <c r="A1838" t="s">
        <v>2675</v>
      </c>
      <c r="B1838" t="str">
        <f t="shared" si="140"/>
        <v>S33_2026</v>
      </c>
      <c r="C1838" t="str">
        <f t="shared" si="142"/>
        <v>S32_2026</v>
      </c>
      <c r="F1838">
        <v>30</v>
      </c>
      <c r="G1838" t="s">
        <v>55</v>
      </c>
      <c r="H1838" t="s">
        <v>2676</v>
      </c>
      <c r="I1838" t="s">
        <v>2677</v>
      </c>
      <c r="J1838" t="s">
        <v>1604</v>
      </c>
      <c r="K1838" t="s">
        <v>746</v>
      </c>
      <c r="L1838" t="s">
        <v>906</v>
      </c>
      <c r="M1838" t="s">
        <v>746</v>
      </c>
      <c r="N1838" t="s">
        <v>117</v>
      </c>
      <c r="O1838" t="s">
        <v>117</v>
      </c>
      <c r="P1838">
        <v>3</v>
      </c>
      <c r="Q1838" s="7">
        <v>46243</v>
      </c>
      <c r="R1838" s="7">
        <v>46244</v>
      </c>
      <c r="S1838" s="7">
        <v>46244</v>
      </c>
      <c r="T1838" t="s">
        <v>117</v>
      </c>
      <c r="V1838" t="s">
        <v>1601</v>
      </c>
      <c r="W1838" t="s">
        <v>668</v>
      </c>
      <c r="X1838" t="s">
        <v>45</v>
      </c>
      <c r="Y1838" t="s">
        <v>45</v>
      </c>
      <c r="Z1838" t="s">
        <v>668</v>
      </c>
      <c r="AB1838" t="s">
        <v>48</v>
      </c>
      <c r="AE1838" s="7">
        <v>46246</v>
      </c>
      <c r="AF1838">
        <v>2</v>
      </c>
      <c r="AH1838" t="s">
        <v>75</v>
      </c>
      <c r="AI1838">
        <v>1</v>
      </c>
      <c r="AJ1838" s="15"/>
      <c r="AL1838" s="16"/>
      <c r="AR1838" s="18" t="str">
        <f>IFERROR(VLOOKUP(K1838,[1]POP!$F:$J,1,0),M1838)</f>
        <v>MORA</v>
      </c>
      <c r="AS1838" s="18" t="str">
        <f t="shared" si="141"/>
        <v xml:space="preserve">Magdeme </v>
      </c>
      <c r="AT1838" s="19">
        <f t="shared" si="144"/>
        <v>2</v>
      </c>
      <c r="AU1838" s="19">
        <f t="shared" ca="1" si="143"/>
        <v>2</v>
      </c>
    </row>
    <row r="1839" spans="1:47" x14ac:dyDescent="0.3">
      <c r="A1839" t="s">
        <v>2678</v>
      </c>
      <c r="B1839" t="str">
        <f t="shared" si="140"/>
        <v>S34_2026</v>
      </c>
      <c r="C1839" t="str">
        <f t="shared" si="142"/>
        <v>S34_2026</v>
      </c>
      <c r="F1839">
        <v>13</v>
      </c>
      <c r="G1839" t="s">
        <v>40</v>
      </c>
      <c r="H1839" t="s">
        <v>56</v>
      </c>
      <c r="I1839" t="s">
        <v>2157</v>
      </c>
      <c r="J1839" t="s">
        <v>746</v>
      </c>
      <c r="K1839" t="s">
        <v>746</v>
      </c>
      <c r="L1839" t="s">
        <v>746</v>
      </c>
      <c r="M1839" t="s">
        <v>746</v>
      </c>
      <c r="N1839" t="s">
        <v>45</v>
      </c>
      <c r="O1839" t="s">
        <v>45</v>
      </c>
      <c r="P1839">
        <v>3</v>
      </c>
      <c r="Q1839" s="7">
        <v>46254</v>
      </c>
      <c r="R1839" s="7">
        <v>46254</v>
      </c>
      <c r="S1839" s="7">
        <v>46254</v>
      </c>
      <c r="T1839" t="s">
        <v>45</v>
      </c>
      <c r="V1839" t="s">
        <v>2187</v>
      </c>
      <c r="W1839" t="s">
        <v>45</v>
      </c>
      <c r="X1839" t="s">
        <v>45</v>
      </c>
      <c r="Y1839" t="s">
        <v>45</v>
      </c>
      <c r="Z1839" t="s">
        <v>45</v>
      </c>
      <c r="AA1839" s="7">
        <v>46254</v>
      </c>
      <c r="AB1839" t="s">
        <v>48</v>
      </c>
      <c r="AC1839" t="s">
        <v>1720</v>
      </c>
      <c r="AE1839" s="7">
        <v>45891</v>
      </c>
      <c r="AF1839">
        <v>2</v>
      </c>
      <c r="AH1839" t="s">
        <v>75</v>
      </c>
      <c r="AI1839">
        <v>1</v>
      </c>
      <c r="AJ1839" s="15"/>
      <c r="AK1839" t="s">
        <v>1720</v>
      </c>
      <c r="AL1839" s="16"/>
      <c r="AR1839" s="18" t="str">
        <f>IFERROR(VLOOKUP(K1839,[1]POP!$F:$J,1,0),M1839)</f>
        <v>MORA</v>
      </c>
      <c r="AS1839" s="18" t="str">
        <f t="shared" si="141"/>
        <v>MORA</v>
      </c>
      <c r="AT1839" s="19">
        <f t="shared" si="144"/>
        <v>2</v>
      </c>
      <c r="AU1839" s="19">
        <f t="shared" ca="1" si="143"/>
        <v>1</v>
      </c>
    </row>
    <row r="1840" spans="1:47" x14ac:dyDescent="0.3">
      <c r="A1840" t="s">
        <v>2679</v>
      </c>
      <c r="B1840" t="str">
        <f t="shared" si="140"/>
        <v>S34_2026</v>
      </c>
      <c r="C1840" t="str">
        <f t="shared" si="142"/>
        <v>S34_2026</v>
      </c>
      <c r="F1840">
        <v>65</v>
      </c>
      <c r="G1840" t="s">
        <v>55</v>
      </c>
      <c r="H1840" t="s">
        <v>70</v>
      </c>
      <c r="I1840" t="s">
        <v>2680</v>
      </c>
      <c r="J1840" t="s">
        <v>746</v>
      </c>
      <c r="K1840" t="s">
        <v>746</v>
      </c>
      <c r="L1840" t="s">
        <v>746</v>
      </c>
      <c r="M1840" t="s">
        <v>746</v>
      </c>
      <c r="N1840" t="s">
        <v>45</v>
      </c>
      <c r="O1840" t="s">
        <v>45</v>
      </c>
      <c r="P1840">
        <v>3</v>
      </c>
      <c r="Q1840" s="7">
        <v>46254</v>
      </c>
      <c r="R1840" s="7">
        <v>46254</v>
      </c>
      <c r="S1840" s="7">
        <v>46254</v>
      </c>
      <c r="T1840" t="s">
        <v>45</v>
      </c>
      <c r="V1840" t="s">
        <v>2187</v>
      </c>
      <c r="W1840" t="s">
        <v>45</v>
      </c>
      <c r="X1840" t="s">
        <v>45</v>
      </c>
      <c r="Y1840" t="s">
        <v>45</v>
      </c>
      <c r="Z1840" t="s">
        <v>45</v>
      </c>
      <c r="AA1840" s="7">
        <v>46254</v>
      </c>
      <c r="AB1840" t="s">
        <v>48</v>
      </c>
      <c r="AC1840" t="s">
        <v>1720</v>
      </c>
      <c r="AE1840" s="7">
        <v>46258</v>
      </c>
      <c r="AF1840">
        <v>2</v>
      </c>
      <c r="AH1840" t="s">
        <v>75</v>
      </c>
      <c r="AI1840">
        <v>1</v>
      </c>
      <c r="AJ1840" s="15"/>
      <c r="AK1840" t="s">
        <v>1720</v>
      </c>
      <c r="AL1840" s="16"/>
      <c r="AR1840" s="18" t="str">
        <f>IFERROR(VLOOKUP(K1840,[1]POP!$F:$J,1,0),M1840)</f>
        <v>MORA</v>
      </c>
      <c r="AS1840" s="18" t="str">
        <f t="shared" si="141"/>
        <v>MORA</v>
      </c>
      <c r="AT1840" s="19">
        <f t="shared" si="144"/>
        <v>2</v>
      </c>
      <c r="AU1840" s="19">
        <f t="shared" ca="1" si="143"/>
        <v>1</v>
      </c>
    </row>
    <row r="1841" spans="1:47" x14ac:dyDescent="0.3">
      <c r="A1841" t="s">
        <v>2681</v>
      </c>
      <c r="B1841" t="str">
        <f t="shared" si="140"/>
        <v>S34_2026</v>
      </c>
      <c r="C1841" t="str">
        <f t="shared" si="142"/>
        <v>S34_2026</v>
      </c>
      <c r="F1841">
        <v>8</v>
      </c>
      <c r="G1841" t="s">
        <v>40</v>
      </c>
      <c r="H1841" t="s">
        <v>56</v>
      </c>
      <c r="I1841" t="s">
        <v>2682</v>
      </c>
      <c r="J1841" t="s">
        <v>746</v>
      </c>
      <c r="K1841" t="s">
        <v>746</v>
      </c>
      <c r="L1841" t="s">
        <v>746</v>
      </c>
      <c r="M1841" t="s">
        <v>746</v>
      </c>
      <c r="N1841" t="s">
        <v>45</v>
      </c>
      <c r="O1841" t="s">
        <v>45</v>
      </c>
      <c r="P1841">
        <v>3</v>
      </c>
      <c r="Q1841" s="7">
        <v>46254</v>
      </c>
      <c r="R1841" s="7">
        <v>46254</v>
      </c>
      <c r="S1841" s="7">
        <v>46254</v>
      </c>
      <c r="T1841" t="s">
        <v>45</v>
      </c>
      <c r="V1841" t="s">
        <v>2187</v>
      </c>
      <c r="W1841" t="s">
        <v>45</v>
      </c>
      <c r="X1841" t="s">
        <v>45</v>
      </c>
      <c r="Y1841" t="s">
        <v>45</v>
      </c>
      <c r="Z1841" t="s">
        <v>45</v>
      </c>
      <c r="AA1841" s="7">
        <v>46254</v>
      </c>
      <c r="AB1841" t="s">
        <v>48</v>
      </c>
      <c r="AC1841" t="s">
        <v>1720</v>
      </c>
      <c r="AH1841" t="s">
        <v>75</v>
      </c>
      <c r="AI1841">
        <v>0</v>
      </c>
      <c r="AJ1841" s="15"/>
      <c r="AK1841" t="s">
        <v>1720</v>
      </c>
      <c r="AL1841" s="16"/>
      <c r="AR1841" s="18" t="str">
        <f>IFERROR(VLOOKUP(K1841,[1]POP!$F:$J,1,0),M1841)</f>
        <v>MORA</v>
      </c>
      <c r="AS1841" s="18" t="str">
        <f t="shared" si="141"/>
        <v>MORA</v>
      </c>
      <c r="AT1841" s="19">
        <f t="shared" si="144"/>
        <v>0</v>
      </c>
      <c r="AU1841" s="19">
        <f t="shared" ca="1" si="143"/>
        <v>1</v>
      </c>
    </row>
    <row r="1842" spans="1:47" x14ac:dyDescent="0.3">
      <c r="A1842" t="s">
        <v>2683</v>
      </c>
      <c r="B1842" t="str">
        <f t="shared" si="140"/>
        <v>S34_2026</v>
      </c>
      <c r="C1842" t="str">
        <f t="shared" si="142"/>
        <v>S34_2026</v>
      </c>
      <c r="F1842">
        <v>12</v>
      </c>
      <c r="G1842" t="s">
        <v>55</v>
      </c>
      <c r="H1842" t="s">
        <v>56</v>
      </c>
      <c r="I1842" t="s">
        <v>2684</v>
      </c>
      <c r="J1842" t="s">
        <v>746</v>
      </c>
      <c r="K1842" t="s">
        <v>746</v>
      </c>
      <c r="L1842" t="s">
        <v>746</v>
      </c>
      <c r="M1842" t="s">
        <v>746</v>
      </c>
      <c r="N1842" t="s">
        <v>45</v>
      </c>
      <c r="O1842" t="s">
        <v>45</v>
      </c>
      <c r="P1842">
        <v>3</v>
      </c>
      <c r="Q1842" s="7">
        <v>46254</v>
      </c>
      <c r="R1842" s="7">
        <v>46254</v>
      </c>
      <c r="S1842" s="7">
        <v>46254</v>
      </c>
      <c r="T1842" t="s">
        <v>45</v>
      </c>
      <c r="V1842" t="s">
        <v>2187</v>
      </c>
      <c r="W1842" t="s">
        <v>45</v>
      </c>
      <c r="X1842" t="s">
        <v>45</v>
      </c>
      <c r="Y1842" t="s">
        <v>45</v>
      </c>
      <c r="Z1842" t="s">
        <v>45</v>
      </c>
      <c r="AA1842" s="7">
        <v>46254</v>
      </c>
      <c r="AB1842" t="s">
        <v>48</v>
      </c>
      <c r="AC1842" t="s">
        <v>1720</v>
      </c>
      <c r="AF1842">
        <v>2</v>
      </c>
      <c r="AH1842" t="s">
        <v>75</v>
      </c>
      <c r="AI1842">
        <v>1</v>
      </c>
      <c r="AJ1842" s="15"/>
      <c r="AK1842" t="s">
        <v>1720</v>
      </c>
      <c r="AL1842" s="16"/>
      <c r="AR1842" s="18" t="str">
        <f>IFERROR(VLOOKUP(K1842,[1]POP!$F:$J,1,0),M1842)</f>
        <v>MORA</v>
      </c>
      <c r="AS1842" s="18" t="str">
        <f t="shared" si="141"/>
        <v>MORA</v>
      </c>
      <c r="AT1842" s="19">
        <f t="shared" si="144"/>
        <v>2</v>
      </c>
      <c r="AU1842" s="19">
        <f t="shared" ca="1" si="143"/>
        <v>1</v>
      </c>
    </row>
    <row r="1843" spans="1:47" x14ac:dyDescent="0.3">
      <c r="A1843" t="s">
        <v>2685</v>
      </c>
      <c r="B1843" t="str">
        <f t="shared" si="140"/>
        <v>S34_2026</v>
      </c>
      <c r="C1843" t="str">
        <f t="shared" si="142"/>
        <v>S34_2026</v>
      </c>
      <c r="F1843">
        <v>33</v>
      </c>
      <c r="G1843" t="s">
        <v>40</v>
      </c>
      <c r="H1843" t="s">
        <v>77</v>
      </c>
      <c r="I1843" t="s">
        <v>2686</v>
      </c>
      <c r="J1843" t="s">
        <v>746</v>
      </c>
      <c r="K1843" t="s">
        <v>746</v>
      </c>
      <c r="L1843" t="s">
        <v>746</v>
      </c>
      <c r="M1843" t="s">
        <v>746</v>
      </c>
      <c r="N1843" t="s">
        <v>2687</v>
      </c>
      <c r="O1843" t="s">
        <v>45</v>
      </c>
      <c r="P1843">
        <v>3</v>
      </c>
      <c r="Q1843" s="7">
        <v>46255</v>
      </c>
      <c r="R1843" s="7">
        <v>46255</v>
      </c>
      <c r="S1843" s="7">
        <v>46255</v>
      </c>
      <c r="T1843" t="s">
        <v>45</v>
      </c>
      <c r="V1843" t="s">
        <v>2187</v>
      </c>
      <c r="W1843" t="s">
        <v>45</v>
      </c>
      <c r="X1843" t="s">
        <v>45</v>
      </c>
      <c r="Y1843" t="s">
        <v>45</v>
      </c>
      <c r="Z1843" t="s">
        <v>45</v>
      </c>
      <c r="AA1843" s="7">
        <v>46255</v>
      </c>
      <c r="AB1843" t="s">
        <v>48</v>
      </c>
      <c r="AC1843" t="s">
        <v>1720</v>
      </c>
      <c r="AH1843" t="s">
        <v>75</v>
      </c>
      <c r="AI1843">
        <v>0</v>
      </c>
      <c r="AJ1843" s="15"/>
      <c r="AK1843" t="s">
        <v>1720</v>
      </c>
      <c r="AL1843" s="16"/>
      <c r="AR1843" s="18" t="str">
        <f>IFERROR(VLOOKUP(K1843,[1]POP!$F:$J,1,0),M1843)</f>
        <v>MORA</v>
      </c>
      <c r="AS1843" s="18" t="str">
        <f t="shared" si="141"/>
        <v>MORA</v>
      </c>
      <c r="AT1843" s="19">
        <f t="shared" si="144"/>
        <v>0</v>
      </c>
      <c r="AU1843" s="19">
        <f t="shared" ca="1" si="143"/>
        <v>1</v>
      </c>
    </row>
    <row r="1844" spans="1:47" x14ac:dyDescent="0.3">
      <c r="A1844" t="s">
        <v>2688</v>
      </c>
      <c r="B1844" t="str">
        <f t="shared" si="140"/>
        <v>S34_2026</v>
      </c>
      <c r="C1844" t="str">
        <f t="shared" si="142"/>
        <v>S34_2026</v>
      </c>
      <c r="F1844">
        <v>24</v>
      </c>
      <c r="G1844" t="s">
        <v>55</v>
      </c>
      <c r="H1844" t="s">
        <v>70</v>
      </c>
      <c r="I1844" t="s">
        <v>902</v>
      </c>
      <c r="J1844" t="s">
        <v>746</v>
      </c>
      <c r="K1844" t="s">
        <v>746</v>
      </c>
      <c r="L1844" t="s">
        <v>746</v>
      </c>
      <c r="M1844" t="s">
        <v>746</v>
      </c>
      <c r="N1844" t="s">
        <v>2687</v>
      </c>
      <c r="O1844" t="s">
        <v>45</v>
      </c>
      <c r="P1844">
        <v>3</v>
      </c>
      <c r="Q1844" s="7">
        <v>46255</v>
      </c>
      <c r="R1844" s="7">
        <v>46255</v>
      </c>
      <c r="S1844" s="7">
        <v>46255</v>
      </c>
      <c r="T1844" t="s">
        <v>45</v>
      </c>
      <c r="V1844" t="s">
        <v>2187</v>
      </c>
      <c r="W1844" t="s">
        <v>45</v>
      </c>
      <c r="X1844" t="s">
        <v>45</v>
      </c>
      <c r="Y1844" t="s">
        <v>45</v>
      </c>
      <c r="Z1844" t="s">
        <v>45</v>
      </c>
      <c r="AA1844" s="7">
        <v>46255</v>
      </c>
      <c r="AB1844" t="s">
        <v>48</v>
      </c>
      <c r="AC1844" t="s">
        <v>1720</v>
      </c>
      <c r="AE1844" s="7">
        <v>46257</v>
      </c>
      <c r="AF1844">
        <v>2</v>
      </c>
      <c r="AH1844" t="s">
        <v>75</v>
      </c>
      <c r="AI1844">
        <v>1</v>
      </c>
      <c r="AJ1844" s="15"/>
      <c r="AK1844" t="s">
        <v>1720</v>
      </c>
      <c r="AL1844" s="16"/>
      <c r="AR1844" s="18" t="str">
        <f>IFERROR(VLOOKUP(K1844,[1]POP!$F:$J,1,0),M1844)</f>
        <v>MORA</v>
      </c>
      <c r="AS1844" s="18" t="str">
        <f t="shared" si="141"/>
        <v>MORA</v>
      </c>
      <c r="AT1844" s="19">
        <f t="shared" si="144"/>
        <v>2</v>
      </c>
      <c r="AU1844" s="19">
        <f t="shared" ca="1" si="143"/>
        <v>1</v>
      </c>
    </row>
    <row r="1845" spans="1:47" x14ac:dyDescent="0.3">
      <c r="A1845" t="s">
        <v>2689</v>
      </c>
      <c r="B1845" t="str">
        <f t="shared" si="140"/>
        <v>S34_2026</v>
      </c>
      <c r="C1845" t="str">
        <f t="shared" si="142"/>
        <v>S34_2026</v>
      </c>
      <c r="F1845">
        <v>16</v>
      </c>
      <c r="G1845" t="s">
        <v>40</v>
      </c>
      <c r="H1845" t="s">
        <v>77</v>
      </c>
      <c r="I1845" t="s">
        <v>1388</v>
      </c>
      <c r="J1845" t="s">
        <v>2155</v>
      </c>
      <c r="K1845" t="s">
        <v>746</v>
      </c>
      <c r="L1845" t="s">
        <v>2155</v>
      </c>
      <c r="M1845" t="s">
        <v>746</v>
      </c>
      <c r="N1845" t="s">
        <v>117</v>
      </c>
      <c r="O1845" t="s">
        <v>117</v>
      </c>
      <c r="P1845">
        <v>3</v>
      </c>
      <c r="Q1845" s="7">
        <v>46254</v>
      </c>
      <c r="R1845" s="7">
        <v>46254</v>
      </c>
      <c r="S1845" s="7">
        <v>46254</v>
      </c>
      <c r="T1845" t="s">
        <v>117</v>
      </c>
      <c r="V1845" t="s">
        <v>2658</v>
      </c>
      <c r="W1845" t="s">
        <v>117</v>
      </c>
      <c r="X1845" t="s">
        <v>117</v>
      </c>
      <c r="Y1845" t="s">
        <v>117</v>
      </c>
      <c r="Z1845" t="s">
        <v>117</v>
      </c>
      <c r="AE1845" s="7">
        <v>46256</v>
      </c>
      <c r="AF1845">
        <v>2</v>
      </c>
      <c r="AH1845" t="s">
        <v>75</v>
      </c>
      <c r="AI1845">
        <v>1</v>
      </c>
      <c r="AJ1845" s="15"/>
      <c r="AL1845" s="16"/>
      <c r="AR1845" s="18" t="str">
        <f>IFERROR(VLOOKUP(K1845,[1]POP!$F:$J,1,0),M1845)</f>
        <v>MORA</v>
      </c>
      <c r="AS1845" s="18" t="str">
        <f t="shared" si="141"/>
        <v>BOUNDERI</v>
      </c>
      <c r="AT1845" s="19">
        <f t="shared" si="144"/>
        <v>2</v>
      </c>
      <c r="AU1845" s="19">
        <f t="shared" ca="1" si="143"/>
        <v>1</v>
      </c>
    </row>
    <row r="1846" spans="1:47" x14ac:dyDescent="0.3">
      <c r="A1846" t="s">
        <v>2690</v>
      </c>
      <c r="B1846" t="str">
        <f t="shared" si="140"/>
        <v>S34_2026</v>
      </c>
      <c r="C1846" t="str">
        <f t="shared" si="142"/>
        <v>S34_2026</v>
      </c>
      <c r="F1846">
        <v>7</v>
      </c>
      <c r="G1846" t="s">
        <v>55</v>
      </c>
      <c r="H1846" t="s">
        <v>85</v>
      </c>
      <c r="I1846" t="s">
        <v>1388</v>
      </c>
      <c r="J1846" t="s">
        <v>2155</v>
      </c>
      <c r="K1846" t="s">
        <v>746</v>
      </c>
      <c r="L1846" t="s">
        <v>2155</v>
      </c>
      <c r="M1846" t="s">
        <v>746</v>
      </c>
      <c r="N1846" t="s">
        <v>117</v>
      </c>
      <c r="O1846" t="s">
        <v>117</v>
      </c>
      <c r="P1846">
        <v>3</v>
      </c>
      <c r="Q1846" s="7">
        <v>46254</v>
      </c>
      <c r="R1846" s="7">
        <v>46254</v>
      </c>
      <c r="S1846" s="7">
        <v>46254</v>
      </c>
      <c r="T1846" t="s">
        <v>117</v>
      </c>
      <c r="V1846" t="s">
        <v>2658</v>
      </c>
      <c r="W1846" t="s">
        <v>117</v>
      </c>
      <c r="X1846" t="s">
        <v>117</v>
      </c>
      <c r="Y1846" t="s">
        <v>117</v>
      </c>
      <c r="Z1846" t="s">
        <v>117</v>
      </c>
      <c r="AE1846" s="7">
        <v>46256</v>
      </c>
      <c r="AF1846">
        <v>2</v>
      </c>
      <c r="AH1846" t="s">
        <v>75</v>
      </c>
      <c r="AI1846">
        <v>1</v>
      </c>
      <c r="AJ1846" s="15"/>
      <c r="AL1846" s="16"/>
      <c r="AR1846" s="18" t="str">
        <f>IFERROR(VLOOKUP(K1846,[1]POP!$F:$J,1,0),M1846)</f>
        <v>MORA</v>
      </c>
      <c r="AS1846" s="18" t="str">
        <f t="shared" si="141"/>
        <v>BOUNDERI</v>
      </c>
      <c r="AT1846" s="19">
        <f t="shared" si="144"/>
        <v>2</v>
      </c>
      <c r="AU1846" s="19">
        <f t="shared" ca="1" si="143"/>
        <v>1</v>
      </c>
    </row>
    <row r="1847" spans="1:47" x14ac:dyDescent="0.3">
      <c r="A1847" t="s">
        <v>2691</v>
      </c>
      <c r="B1847" t="str">
        <f t="shared" si="140"/>
        <v>S34_2026</v>
      </c>
      <c r="C1847" t="str">
        <f t="shared" si="142"/>
        <v>S34_2026</v>
      </c>
      <c r="F1847">
        <v>25</v>
      </c>
      <c r="G1847" t="s">
        <v>40</v>
      </c>
      <c r="H1847" t="s">
        <v>77</v>
      </c>
      <c r="I1847" t="s">
        <v>1388</v>
      </c>
      <c r="J1847" t="s">
        <v>2155</v>
      </c>
      <c r="K1847" t="s">
        <v>746</v>
      </c>
      <c r="L1847" t="s">
        <v>2155</v>
      </c>
      <c r="M1847" t="s">
        <v>746</v>
      </c>
      <c r="N1847" t="s">
        <v>117</v>
      </c>
      <c r="O1847" t="s">
        <v>117</v>
      </c>
      <c r="P1847">
        <v>3</v>
      </c>
      <c r="Q1847" s="7">
        <v>46255</v>
      </c>
      <c r="R1847" s="7">
        <v>46255</v>
      </c>
      <c r="S1847" s="7">
        <v>46255</v>
      </c>
      <c r="T1847" t="s">
        <v>117</v>
      </c>
      <c r="V1847" t="s">
        <v>2658</v>
      </c>
      <c r="W1847" t="s">
        <v>117</v>
      </c>
      <c r="X1847" t="s">
        <v>117</v>
      </c>
      <c r="Y1847" t="s">
        <v>117</v>
      </c>
      <c r="Z1847" t="s">
        <v>117</v>
      </c>
      <c r="AE1847" s="7">
        <v>46256</v>
      </c>
      <c r="AF1847">
        <v>2</v>
      </c>
      <c r="AH1847" t="s">
        <v>75</v>
      </c>
      <c r="AI1847">
        <v>1</v>
      </c>
      <c r="AJ1847" s="15"/>
      <c r="AL1847" s="16"/>
      <c r="AR1847" s="18" t="str">
        <f>IFERROR(VLOOKUP(K1847,[1]POP!$F:$J,1,0),M1847)</f>
        <v>MORA</v>
      </c>
      <c r="AS1847" s="18" t="str">
        <f t="shared" si="141"/>
        <v>BOUNDERI</v>
      </c>
      <c r="AT1847" s="19">
        <f t="shared" si="144"/>
        <v>2</v>
      </c>
      <c r="AU1847" s="19">
        <f t="shared" ca="1" si="143"/>
        <v>1</v>
      </c>
    </row>
    <row r="1848" spans="1:47" x14ac:dyDescent="0.3">
      <c r="A1848" t="s">
        <v>2692</v>
      </c>
      <c r="B1848" t="str">
        <f t="shared" si="140"/>
        <v>S34_2026</v>
      </c>
      <c r="C1848" t="str">
        <f t="shared" si="142"/>
        <v>S34_2026</v>
      </c>
      <c r="F1848">
        <v>4</v>
      </c>
      <c r="G1848" t="s">
        <v>40</v>
      </c>
      <c r="H1848" t="s">
        <v>85</v>
      </c>
      <c r="I1848" t="s">
        <v>1388</v>
      </c>
      <c r="J1848" t="s">
        <v>2155</v>
      </c>
      <c r="K1848" t="s">
        <v>746</v>
      </c>
      <c r="L1848" t="s">
        <v>2155</v>
      </c>
      <c r="M1848" t="s">
        <v>746</v>
      </c>
      <c r="N1848" t="s">
        <v>117</v>
      </c>
      <c r="O1848" t="s">
        <v>117</v>
      </c>
      <c r="P1848">
        <v>3</v>
      </c>
      <c r="Q1848" s="7">
        <v>46255</v>
      </c>
      <c r="R1848" s="7">
        <v>46255</v>
      </c>
      <c r="S1848" s="7">
        <v>46255</v>
      </c>
      <c r="T1848" t="s">
        <v>117</v>
      </c>
      <c r="V1848" t="s">
        <v>2658</v>
      </c>
      <c r="W1848" t="s">
        <v>117</v>
      </c>
      <c r="X1848" t="s">
        <v>117</v>
      </c>
      <c r="Y1848" t="s">
        <v>117</v>
      </c>
      <c r="Z1848" t="s">
        <v>117</v>
      </c>
      <c r="AE1848" s="7">
        <v>46256</v>
      </c>
      <c r="AF1848">
        <v>2</v>
      </c>
      <c r="AH1848" t="s">
        <v>75</v>
      </c>
      <c r="AI1848">
        <v>1</v>
      </c>
      <c r="AJ1848" s="15"/>
      <c r="AL1848" s="16"/>
      <c r="AR1848" s="18" t="str">
        <f>IFERROR(VLOOKUP(K1848,[1]POP!$F:$J,1,0),M1848)</f>
        <v>MORA</v>
      </c>
      <c r="AS1848" s="18" t="str">
        <f t="shared" si="141"/>
        <v>BOUNDERI</v>
      </c>
      <c r="AT1848" s="19">
        <f t="shared" si="144"/>
        <v>2</v>
      </c>
      <c r="AU1848" s="19">
        <f t="shared" ca="1" si="143"/>
        <v>1</v>
      </c>
    </row>
    <row r="1849" spans="1:47" x14ac:dyDescent="0.3">
      <c r="A1849" t="s">
        <v>2693</v>
      </c>
      <c r="B1849" t="str">
        <f t="shared" si="140"/>
        <v>S34_2026</v>
      </c>
      <c r="C1849" t="str">
        <f t="shared" si="142"/>
        <v>S34_2026</v>
      </c>
      <c r="F1849">
        <v>2</v>
      </c>
      <c r="G1849" t="s">
        <v>55</v>
      </c>
      <c r="H1849" t="s">
        <v>85</v>
      </c>
      <c r="I1849" t="s">
        <v>1388</v>
      </c>
      <c r="J1849" t="s">
        <v>2155</v>
      </c>
      <c r="K1849" t="s">
        <v>746</v>
      </c>
      <c r="L1849" t="s">
        <v>2155</v>
      </c>
      <c r="M1849" t="s">
        <v>746</v>
      </c>
      <c r="N1849" t="s">
        <v>117</v>
      </c>
      <c r="O1849" t="s">
        <v>117</v>
      </c>
      <c r="P1849">
        <v>2</v>
      </c>
      <c r="Q1849" s="7">
        <v>46255</v>
      </c>
      <c r="R1849" s="7">
        <v>46255</v>
      </c>
      <c r="S1849" s="7">
        <v>46255</v>
      </c>
      <c r="T1849" t="s">
        <v>117</v>
      </c>
      <c r="V1849" t="s">
        <v>2658</v>
      </c>
      <c r="W1849" t="s">
        <v>117</v>
      </c>
      <c r="X1849" t="s">
        <v>117</v>
      </c>
      <c r="Y1849" t="s">
        <v>117</v>
      </c>
      <c r="Z1849" t="s">
        <v>117</v>
      </c>
      <c r="AE1849" s="7">
        <v>46256</v>
      </c>
      <c r="AF1849">
        <v>2</v>
      </c>
      <c r="AH1849" t="s">
        <v>75</v>
      </c>
      <c r="AI1849">
        <v>1</v>
      </c>
      <c r="AJ1849" s="15"/>
      <c r="AL1849" s="16"/>
      <c r="AR1849" s="18" t="str">
        <f>IFERROR(VLOOKUP(K1849,[1]POP!$F:$J,1,0),M1849)</f>
        <v>MORA</v>
      </c>
      <c r="AS1849" s="18" t="str">
        <f t="shared" si="141"/>
        <v>BOUNDERI</v>
      </c>
      <c r="AT1849" s="19">
        <f t="shared" si="144"/>
        <v>2</v>
      </c>
      <c r="AU1849" s="19">
        <f t="shared" ca="1" si="143"/>
        <v>1</v>
      </c>
    </row>
    <row r="1850" spans="1:47" x14ac:dyDescent="0.3">
      <c r="A1850" t="s">
        <v>2694</v>
      </c>
      <c r="B1850" t="str">
        <f t="shared" si="140"/>
        <v>S34_2026</v>
      </c>
      <c r="C1850" t="str">
        <f t="shared" si="142"/>
        <v>S34_2026</v>
      </c>
      <c r="F1850">
        <v>35</v>
      </c>
      <c r="G1850" t="s">
        <v>55</v>
      </c>
      <c r="H1850" t="s">
        <v>70</v>
      </c>
      <c r="I1850" t="s">
        <v>1388</v>
      </c>
      <c r="J1850" t="s">
        <v>2155</v>
      </c>
      <c r="K1850" t="s">
        <v>746</v>
      </c>
      <c r="L1850" t="s">
        <v>2155</v>
      </c>
      <c r="M1850" t="s">
        <v>746</v>
      </c>
      <c r="N1850" t="s">
        <v>675</v>
      </c>
      <c r="O1850" t="s">
        <v>117</v>
      </c>
      <c r="P1850">
        <v>3</v>
      </c>
      <c r="Q1850" s="7">
        <v>46256</v>
      </c>
      <c r="R1850" s="7">
        <v>46256</v>
      </c>
      <c r="S1850" s="7">
        <v>46256</v>
      </c>
      <c r="T1850" t="s">
        <v>117</v>
      </c>
      <c r="V1850" t="s">
        <v>2658</v>
      </c>
      <c r="W1850" t="s">
        <v>117</v>
      </c>
      <c r="X1850" t="s">
        <v>117</v>
      </c>
      <c r="Y1850" t="s">
        <v>117</v>
      </c>
      <c r="Z1850" t="s">
        <v>117</v>
      </c>
      <c r="AF1850">
        <v>2</v>
      </c>
      <c r="AH1850" t="s">
        <v>75</v>
      </c>
      <c r="AI1850">
        <v>1</v>
      </c>
      <c r="AJ1850" s="15"/>
      <c r="AL1850" s="16"/>
      <c r="AR1850" s="18" t="str">
        <f>IFERROR(VLOOKUP(K1850,[1]POP!$F:$J,1,0),M1850)</f>
        <v>MORA</v>
      </c>
      <c r="AS1850" s="18" t="str">
        <f t="shared" si="141"/>
        <v>BOUNDERI</v>
      </c>
      <c r="AT1850" s="19">
        <f t="shared" si="144"/>
        <v>2</v>
      </c>
      <c r="AU1850" s="19">
        <f t="shared" ca="1" si="143"/>
        <v>1</v>
      </c>
    </row>
    <row r="1851" spans="1:47" x14ac:dyDescent="0.3">
      <c r="A1851" t="s">
        <v>2695</v>
      </c>
      <c r="B1851" t="str">
        <f t="shared" si="140"/>
        <v>S34_2026</v>
      </c>
      <c r="C1851" t="str">
        <f t="shared" si="142"/>
        <v>S34_2026</v>
      </c>
      <c r="F1851">
        <v>5</v>
      </c>
      <c r="G1851" t="s">
        <v>55</v>
      </c>
      <c r="H1851" t="s">
        <v>85</v>
      </c>
      <c r="I1851" t="s">
        <v>2696</v>
      </c>
      <c r="J1851" t="s">
        <v>2155</v>
      </c>
      <c r="K1851" t="s">
        <v>746</v>
      </c>
      <c r="L1851" t="s">
        <v>2155</v>
      </c>
      <c r="M1851" t="s">
        <v>746</v>
      </c>
      <c r="N1851" t="s">
        <v>117</v>
      </c>
      <c r="O1851" t="s">
        <v>117</v>
      </c>
      <c r="P1851">
        <v>3</v>
      </c>
      <c r="Q1851" s="7">
        <v>46256</v>
      </c>
      <c r="R1851" s="7">
        <v>46256</v>
      </c>
      <c r="S1851" s="7">
        <v>46256</v>
      </c>
      <c r="T1851" t="s">
        <v>117</v>
      </c>
      <c r="V1851" t="s">
        <v>2658</v>
      </c>
      <c r="W1851" t="s">
        <v>117</v>
      </c>
      <c r="X1851" t="s">
        <v>117</v>
      </c>
      <c r="Y1851" t="s">
        <v>117</v>
      </c>
      <c r="Z1851" t="s">
        <v>117</v>
      </c>
      <c r="AE1851" s="7">
        <v>46257</v>
      </c>
      <c r="AF1851">
        <v>2</v>
      </c>
      <c r="AH1851" t="s">
        <v>75</v>
      </c>
      <c r="AI1851">
        <v>1</v>
      </c>
      <c r="AJ1851" s="15"/>
      <c r="AL1851" s="16"/>
      <c r="AR1851" s="18" t="str">
        <f>IFERROR(VLOOKUP(K1851,[1]POP!$F:$J,1,0),M1851)</f>
        <v>MORA</v>
      </c>
      <c r="AS1851" s="18" t="str">
        <f t="shared" si="141"/>
        <v>BOUNDERI</v>
      </c>
      <c r="AT1851" s="19">
        <f t="shared" si="144"/>
        <v>2</v>
      </c>
      <c r="AU1851" s="19">
        <f t="shared" ca="1" si="143"/>
        <v>1</v>
      </c>
    </row>
    <row r="1852" spans="1:47" x14ac:dyDescent="0.3">
      <c r="A1852" t="s">
        <v>2697</v>
      </c>
      <c r="B1852" t="str">
        <f t="shared" si="140"/>
        <v>S34_2026</v>
      </c>
      <c r="C1852" t="str">
        <f t="shared" si="142"/>
        <v>S34_2026</v>
      </c>
      <c r="F1852">
        <v>7</v>
      </c>
      <c r="G1852" t="s">
        <v>40</v>
      </c>
      <c r="H1852" t="s">
        <v>85</v>
      </c>
      <c r="I1852" t="s">
        <v>1388</v>
      </c>
      <c r="J1852" t="s">
        <v>2155</v>
      </c>
      <c r="K1852" t="s">
        <v>746</v>
      </c>
      <c r="L1852" t="s">
        <v>2155</v>
      </c>
      <c r="M1852" t="s">
        <v>746</v>
      </c>
      <c r="N1852" t="s">
        <v>117</v>
      </c>
      <c r="O1852" t="s">
        <v>675</v>
      </c>
      <c r="P1852">
        <v>3</v>
      </c>
      <c r="Q1852" s="7">
        <v>46256</v>
      </c>
      <c r="R1852" s="7">
        <v>46256</v>
      </c>
      <c r="S1852" s="7">
        <v>46256</v>
      </c>
      <c r="T1852" t="s">
        <v>117</v>
      </c>
      <c r="V1852" t="s">
        <v>2658</v>
      </c>
      <c r="W1852" t="s">
        <v>117</v>
      </c>
      <c r="X1852" t="s">
        <v>117</v>
      </c>
      <c r="Y1852" t="s">
        <v>117</v>
      </c>
      <c r="Z1852" t="s">
        <v>117</v>
      </c>
      <c r="AF1852">
        <v>2</v>
      </c>
      <c r="AH1852" t="s">
        <v>75</v>
      </c>
      <c r="AI1852">
        <v>1</v>
      </c>
      <c r="AJ1852" s="15"/>
      <c r="AL1852" s="16"/>
      <c r="AR1852" s="18" t="str">
        <f>IFERROR(VLOOKUP(K1852,[1]POP!$F:$J,1,0),M1852)</f>
        <v>MORA</v>
      </c>
      <c r="AS1852" s="18" t="str">
        <f t="shared" si="141"/>
        <v>BOUNDERI</v>
      </c>
      <c r="AT1852" s="19">
        <f t="shared" si="144"/>
        <v>2</v>
      </c>
      <c r="AU1852" s="19">
        <f t="shared" ca="1" si="143"/>
        <v>1</v>
      </c>
    </row>
    <row r="1853" spans="1:47" x14ac:dyDescent="0.3">
      <c r="A1853" t="s">
        <v>2698</v>
      </c>
      <c r="B1853" t="str">
        <f t="shared" si="140"/>
        <v>S34_2026</v>
      </c>
      <c r="C1853" t="str">
        <f t="shared" si="142"/>
        <v>S34_2026</v>
      </c>
      <c r="F1853">
        <v>12</v>
      </c>
      <c r="G1853" t="s">
        <v>40</v>
      </c>
      <c r="H1853" t="s">
        <v>706</v>
      </c>
      <c r="I1853" t="s">
        <v>1388</v>
      </c>
      <c r="J1853" t="s">
        <v>2155</v>
      </c>
      <c r="K1853" t="s">
        <v>746</v>
      </c>
      <c r="L1853" t="s">
        <v>2155</v>
      </c>
      <c r="M1853" t="s">
        <v>746</v>
      </c>
      <c r="N1853" t="s">
        <v>117</v>
      </c>
      <c r="O1853" t="s">
        <v>117</v>
      </c>
      <c r="P1853">
        <v>2</v>
      </c>
      <c r="Q1853" s="7">
        <v>46256</v>
      </c>
      <c r="R1853" s="7">
        <v>46256</v>
      </c>
      <c r="S1853" s="7">
        <v>46256</v>
      </c>
      <c r="T1853" t="s">
        <v>117</v>
      </c>
      <c r="V1853" t="s">
        <v>2658</v>
      </c>
      <c r="W1853" t="s">
        <v>117</v>
      </c>
      <c r="X1853" t="s">
        <v>117</v>
      </c>
      <c r="Y1853" t="s">
        <v>117</v>
      </c>
      <c r="Z1853" t="s">
        <v>117</v>
      </c>
      <c r="AE1853" s="7">
        <v>46257</v>
      </c>
      <c r="AF1853">
        <v>2</v>
      </c>
      <c r="AH1853" t="s">
        <v>75</v>
      </c>
      <c r="AI1853">
        <v>1</v>
      </c>
      <c r="AJ1853" s="15"/>
      <c r="AL1853" s="16"/>
      <c r="AR1853" s="18" t="str">
        <f>IFERROR(VLOOKUP(K1853,[1]POP!$F:$J,1,0),M1853)</f>
        <v>MORA</v>
      </c>
      <c r="AS1853" s="18" t="str">
        <f t="shared" si="141"/>
        <v>BOUNDERI</v>
      </c>
      <c r="AT1853" s="19">
        <f t="shared" si="144"/>
        <v>2</v>
      </c>
      <c r="AU1853" s="19">
        <f t="shared" ca="1" si="143"/>
        <v>1</v>
      </c>
    </row>
    <row r="1854" spans="1:47" x14ac:dyDescent="0.3">
      <c r="A1854" t="s">
        <v>2699</v>
      </c>
      <c r="B1854" t="str">
        <f t="shared" si="140"/>
        <v>S34_2026</v>
      </c>
      <c r="C1854" t="str">
        <f t="shared" si="142"/>
        <v>S34_2026</v>
      </c>
      <c r="F1854">
        <v>23</v>
      </c>
      <c r="G1854" t="s">
        <v>40</v>
      </c>
      <c r="H1854" t="s">
        <v>77</v>
      </c>
      <c r="I1854" t="s">
        <v>1388</v>
      </c>
      <c r="J1854" t="s">
        <v>2155</v>
      </c>
      <c r="K1854" t="s">
        <v>746</v>
      </c>
      <c r="L1854" t="s">
        <v>2155</v>
      </c>
      <c r="M1854" t="s">
        <v>746</v>
      </c>
      <c r="N1854" t="s">
        <v>117</v>
      </c>
      <c r="O1854" t="s">
        <v>117</v>
      </c>
      <c r="P1854">
        <v>2</v>
      </c>
      <c r="Q1854" s="7">
        <v>46256</v>
      </c>
      <c r="R1854" s="7">
        <v>46256</v>
      </c>
      <c r="S1854" s="7">
        <v>46256</v>
      </c>
      <c r="T1854" t="s">
        <v>117</v>
      </c>
      <c r="V1854" t="s">
        <v>2658</v>
      </c>
      <c r="W1854" t="s">
        <v>117</v>
      </c>
      <c r="X1854" t="s">
        <v>117</v>
      </c>
      <c r="Y1854" t="s">
        <v>117</v>
      </c>
      <c r="Z1854" t="s">
        <v>117</v>
      </c>
      <c r="AE1854" s="7">
        <v>46259</v>
      </c>
      <c r="AF1854">
        <v>2</v>
      </c>
      <c r="AH1854" t="s">
        <v>75</v>
      </c>
      <c r="AI1854">
        <v>1</v>
      </c>
      <c r="AJ1854" s="15"/>
      <c r="AL1854" s="16"/>
      <c r="AR1854" s="18" t="str">
        <f>IFERROR(VLOOKUP(K1854,[1]POP!$F:$J,1,0),M1854)</f>
        <v>MORA</v>
      </c>
      <c r="AS1854" s="18" t="str">
        <f t="shared" si="141"/>
        <v>BOUNDERI</v>
      </c>
      <c r="AT1854" s="19">
        <f t="shared" si="144"/>
        <v>2</v>
      </c>
      <c r="AU1854" s="19">
        <f t="shared" ca="1" si="143"/>
        <v>1</v>
      </c>
    </row>
    <row r="1855" spans="1:47" x14ac:dyDescent="0.3">
      <c r="A1855" t="s">
        <v>2700</v>
      </c>
      <c r="B1855" t="str">
        <f t="shared" si="140"/>
        <v>S34_2026</v>
      </c>
      <c r="C1855" t="str">
        <f t="shared" si="142"/>
        <v>S34_2026</v>
      </c>
      <c r="F1855">
        <v>35</v>
      </c>
      <c r="G1855" t="s">
        <v>55</v>
      </c>
      <c r="H1855" t="s">
        <v>70</v>
      </c>
      <c r="I1855" t="s">
        <v>1388</v>
      </c>
      <c r="J1855" t="s">
        <v>2155</v>
      </c>
      <c r="K1855" t="s">
        <v>746</v>
      </c>
      <c r="L1855" t="s">
        <v>2155</v>
      </c>
      <c r="M1855" t="s">
        <v>746</v>
      </c>
      <c r="N1855" t="s">
        <v>117</v>
      </c>
      <c r="O1855" t="s">
        <v>117</v>
      </c>
      <c r="P1855">
        <v>3</v>
      </c>
      <c r="Q1855" s="7">
        <v>46257</v>
      </c>
      <c r="R1855" s="7">
        <v>46257</v>
      </c>
      <c r="S1855" s="7">
        <v>46257</v>
      </c>
      <c r="T1855" t="s">
        <v>117</v>
      </c>
      <c r="V1855" t="s">
        <v>2658</v>
      </c>
      <c r="W1855" t="s">
        <v>117</v>
      </c>
      <c r="X1855" t="s">
        <v>117</v>
      </c>
      <c r="Y1855" t="s">
        <v>117</v>
      </c>
      <c r="Z1855" t="s">
        <v>117</v>
      </c>
      <c r="AE1855" s="7">
        <v>46259</v>
      </c>
      <c r="AF1855">
        <v>2</v>
      </c>
      <c r="AH1855" t="s">
        <v>75</v>
      </c>
      <c r="AI1855">
        <v>1</v>
      </c>
      <c r="AJ1855" s="15"/>
      <c r="AL1855" s="16"/>
      <c r="AR1855" s="18" t="str">
        <f>IFERROR(VLOOKUP(K1855,[1]POP!$F:$J,1,0),M1855)</f>
        <v>MORA</v>
      </c>
      <c r="AS1855" s="18" t="str">
        <f t="shared" si="141"/>
        <v>BOUNDERI</v>
      </c>
      <c r="AT1855" s="19">
        <f t="shared" si="144"/>
        <v>2</v>
      </c>
      <c r="AU1855" s="19">
        <f t="shared" ca="1" si="143"/>
        <v>1</v>
      </c>
    </row>
    <row r="1856" spans="1:47" x14ac:dyDescent="0.3">
      <c r="A1856" t="s">
        <v>2701</v>
      </c>
      <c r="B1856" t="str">
        <f t="shared" si="140"/>
        <v>S34_2026</v>
      </c>
      <c r="C1856" t="str">
        <f t="shared" si="142"/>
        <v>S34_2026</v>
      </c>
      <c r="F1856">
        <v>61</v>
      </c>
      <c r="G1856" t="s">
        <v>40</v>
      </c>
      <c r="H1856" t="s">
        <v>77</v>
      </c>
      <c r="I1856" t="s">
        <v>1711</v>
      </c>
      <c r="J1856" t="s">
        <v>2155</v>
      </c>
      <c r="K1856" t="s">
        <v>746</v>
      </c>
      <c r="L1856" t="s">
        <v>2155</v>
      </c>
      <c r="M1856" t="s">
        <v>746</v>
      </c>
      <c r="N1856" t="s">
        <v>117</v>
      </c>
      <c r="O1856" t="s">
        <v>117</v>
      </c>
      <c r="P1856">
        <v>2</v>
      </c>
      <c r="Q1856" s="7">
        <v>46257</v>
      </c>
      <c r="R1856" s="7">
        <v>46257</v>
      </c>
      <c r="S1856" s="7">
        <v>46257</v>
      </c>
      <c r="T1856" t="s">
        <v>117</v>
      </c>
      <c r="V1856" t="s">
        <v>2658</v>
      </c>
      <c r="W1856" t="s">
        <v>117</v>
      </c>
      <c r="X1856" t="s">
        <v>117</v>
      </c>
      <c r="Y1856" t="s">
        <v>117</v>
      </c>
      <c r="Z1856" t="s">
        <v>117</v>
      </c>
      <c r="AF1856">
        <v>2</v>
      </c>
      <c r="AH1856" t="s">
        <v>75</v>
      </c>
      <c r="AI1856">
        <v>1</v>
      </c>
      <c r="AJ1856" s="15"/>
      <c r="AL1856" s="16"/>
      <c r="AR1856" s="18" t="str">
        <f>IFERROR(VLOOKUP(K1856,[1]POP!$F:$J,1,0),M1856)</f>
        <v>MORA</v>
      </c>
      <c r="AS1856" s="18" t="str">
        <f t="shared" si="141"/>
        <v>BOUNDERI</v>
      </c>
      <c r="AT1856" s="19">
        <f t="shared" si="144"/>
        <v>2</v>
      </c>
      <c r="AU1856" s="19">
        <f t="shared" ca="1" si="143"/>
        <v>1</v>
      </c>
    </row>
    <row r="1857" spans="1:47" x14ac:dyDescent="0.3">
      <c r="A1857" t="s">
        <v>2702</v>
      </c>
      <c r="B1857" t="str">
        <f t="shared" si="140"/>
        <v>S34_2026</v>
      </c>
      <c r="C1857" t="str">
        <f t="shared" si="142"/>
        <v>S34_2026</v>
      </c>
      <c r="F1857">
        <v>21</v>
      </c>
      <c r="G1857" t="s">
        <v>40</v>
      </c>
      <c r="H1857" t="s">
        <v>77</v>
      </c>
      <c r="I1857" t="s">
        <v>1388</v>
      </c>
      <c r="J1857" t="s">
        <v>2155</v>
      </c>
      <c r="K1857" t="s">
        <v>746</v>
      </c>
      <c r="L1857" t="s">
        <v>2155</v>
      </c>
      <c r="M1857" t="s">
        <v>746</v>
      </c>
      <c r="N1857" t="s">
        <v>117</v>
      </c>
      <c r="O1857" t="s">
        <v>663</v>
      </c>
      <c r="P1857">
        <v>3</v>
      </c>
      <c r="Q1857" s="7">
        <v>46257</v>
      </c>
      <c r="R1857" s="7">
        <v>46257</v>
      </c>
      <c r="S1857" s="7">
        <v>46257</v>
      </c>
      <c r="T1857" t="s">
        <v>117</v>
      </c>
      <c r="V1857" t="s">
        <v>2658</v>
      </c>
      <c r="W1857" t="s">
        <v>117</v>
      </c>
      <c r="Y1857" t="s">
        <v>117</v>
      </c>
      <c r="Z1857" t="s">
        <v>117</v>
      </c>
      <c r="AF1857">
        <v>2</v>
      </c>
      <c r="AH1857" t="s">
        <v>75</v>
      </c>
      <c r="AI1857">
        <v>1</v>
      </c>
      <c r="AJ1857" s="15"/>
      <c r="AL1857" s="16"/>
      <c r="AR1857" s="18" t="str">
        <f>IFERROR(VLOOKUP(K1857,[1]POP!$F:$J,1,0),M1857)</f>
        <v>MORA</v>
      </c>
      <c r="AS1857" s="18" t="str">
        <f t="shared" si="141"/>
        <v>BOUNDERI</v>
      </c>
      <c r="AT1857" s="19">
        <f t="shared" si="144"/>
        <v>2</v>
      </c>
      <c r="AU1857" s="19">
        <f t="shared" ca="1" si="143"/>
        <v>1</v>
      </c>
    </row>
    <row r="1858" spans="1:47" x14ac:dyDescent="0.3">
      <c r="A1858" t="s">
        <v>2703</v>
      </c>
      <c r="B1858" t="str">
        <f t="shared" ref="B1858:B1877" si="145">"S"&amp;(IF(_xlfn.ISOWEEKNUM(S1858)&gt;9,_xlfn.ISOWEEKNUM(S1858),_xlfn.CONCAT("0",_xlfn.ISOWEEKNUM(S1858))))&amp;"_"&amp;(YEAR(S1858+26-(_xlfn.ISOWEEKNUM(S1858))))</f>
        <v>S34_2026</v>
      </c>
      <c r="C1858" t="str">
        <f t="shared" si="142"/>
        <v>S34_2026</v>
      </c>
      <c r="F1858">
        <v>38</v>
      </c>
      <c r="G1858" t="s">
        <v>40</v>
      </c>
      <c r="H1858" t="s">
        <v>77</v>
      </c>
      <c r="I1858" t="s">
        <v>2704</v>
      </c>
      <c r="J1858" t="s">
        <v>2704</v>
      </c>
      <c r="K1858" t="s">
        <v>746</v>
      </c>
      <c r="L1858" t="s">
        <v>746</v>
      </c>
      <c r="M1858" t="s">
        <v>746</v>
      </c>
      <c r="N1858" t="s">
        <v>45</v>
      </c>
      <c r="O1858" t="s">
        <v>45</v>
      </c>
      <c r="P1858">
        <v>3</v>
      </c>
      <c r="Q1858" s="7">
        <v>46255</v>
      </c>
      <c r="R1858" s="7">
        <v>46255</v>
      </c>
      <c r="S1858" s="7">
        <v>46255</v>
      </c>
      <c r="T1858" t="s">
        <v>45</v>
      </c>
      <c r="V1858" t="s">
        <v>2187</v>
      </c>
      <c r="W1858" t="s">
        <v>1830</v>
      </c>
      <c r="X1858" t="s">
        <v>45</v>
      </c>
      <c r="Y1858" t="s">
        <v>45</v>
      </c>
      <c r="Z1858" t="s">
        <v>45</v>
      </c>
      <c r="AA1858" s="7">
        <v>46255</v>
      </c>
      <c r="AB1858" t="s">
        <v>48</v>
      </c>
      <c r="AC1858" t="s">
        <v>1720</v>
      </c>
      <c r="AE1858" s="7">
        <v>46258</v>
      </c>
      <c r="AF1858">
        <v>2</v>
      </c>
      <c r="AH1858" t="s">
        <v>75</v>
      </c>
      <c r="AI1858">
        <v>1</v>
      </c>
      <c r="AJ1858" s="15"/>
      <c r="AK1858" t="s">
        <v>1720</v>
      </c>
      <c r="AL1858" s="16"/>
      <c r="AR1858" s="18" t="str">
        <f>IFERROR(VLOOKUP(K1858,[1]POP!$F:$J,1,0),M1858)</f>
        <v>MORA</v>
      </c>
      <c r="AS1858" s="18" t="str">
        <f t="shared" ref="AS1858:AS1921" si="146">IF(AR1858=K1858,J1858,L1858)</f>
        <v xml:space="preserve">KOURGUI </v>
      </c>
      <c r="AT1858" s="19">
        <f t="shared" si="144"/>
        <v>2</v>
      </c>
      <c r="AU1858" s="19">
        <f t="shared" ca="1" si="143"/>
        <v>1</v>
      </c>
    </row>
    <row r="1859" spans="1:47" x14ac:dyDescent="0.3">
      <c r="A1859" t="s">
        <v>2705</v>
      </c>
      <c r="B1859" t="str">
        <f t="shared" si="145"/>
        <v>S34_2026</v>
      </c>
      <c r="C1859" t="str">
        <f t="shared" ref="C1859:C1876" si="147">"S"&amp;(IF(_xlfn.ISOWEEKNUM(Q1859)&gt;9,_xlfn.ISOWEEKNUM(Q1859),_xlfn.CONCAT("0",_xlfn.ISOWEEKNUM(Q1859))))&amp;"_"&amp;(YEAR(Q1859+26-(_xlfn.ISOWEEKNUM(Q1859))))</f>
        <v>S34_2026</v>
      </c>
      <c r="F1859">
        <v>47</v>
      </c>
      <c r="G1859" t="s">
        <v>40</v>
      </c>
      <c r="H1859" t="s">
        <v>77</v>
      </c>
      <c r="I1859" t="s">
        <v>2686</v>
      </c>
      <c r="J1859" t="s">
        <v>2704</v>
      </c>
      <c r="K1859" t="s">
        <v>746</v>
      </c>
      <c r="L1859" t="s">
        <v>746</v>
      </c>
      <c r="M1859" t="s">
        <v>746</v>
      </c>
      <c r="N1859" t="s">
        <v>45</v>
      </c>
      <c r="O1859" t="s">
        <v>45</v>
      </c>
      <c r="P1859">
        <v>3</v>
      </c>
      <c r="Q1859" s="7">
        <v>46257</v>
      </c>
      <c r="R1859" s="7">
        <v>46257</v>
      </c>
      <c r="S1859" s="7">
        <v>46257</v>
      </c>
      <c r="T1859" t="s">
        <v>45</v>
      </c>
      <c r="V1859" t="s">
        <v>2187</v>
      </c>
      <c r="W1859" t="s">
        <v>45</v>
      </c>
      <c r="X1859" t="s">
        <v>45</v>
      </c>
      <c r="Y1859" t="s">
        <v>45</v>
      </c>
      <c r="Z1859" t="s">
        <v>45</v>
      </c>
      <c r="AA1859" s="7">
        <v>46257</v>
      </c>
      <c r="AB1859" t="s">
        <v>48</v>
      </c>
      <c r="AC1859" t="s">
        <v>1720</v>
      </c>
      <c r="AH1859" t="s">
        <v>75</v>
      </c>
      <c r="AI1859">
        <v>0</v>
      </c>
      <c r="AJ1859" s="15"/>
      <c r="AK1859" t="s">
        <v>1720</v>
      </c>
      <c r="AL1859" s="16"/>
      <c r="AR1859" s="18" t="str">
        <f>IFERROR(VLOOKUP(K1859,[1]POP!$F:$J,1,0),M1859)</f>
        <v>MORA</v>
      </c>
      <c r="AS1859" s="18" t="str">
        <f t="shared" si="146"/>
        <v xml:space="preserve">KOURGUI </v>
      </c>
      <c r="AT1859" s="19">
        <f t="shared" si="144"/>
        <v>0</v>
      </c>
      <c r="AU1859" s="19">
        <f t="shared" ref="AU1859:AU1880" ca="1" si="148">IF((TODAY() - R1859)&lt;=21,1,2)</f>
        <v>1</v>
      </c>
    </row>
    <row r="1860" spans="1:47" x14ac:dyDescent="0.3">
      <c r="A1860" t="s">
        <v>2706</v>
      </c>
      <c r="B1860" t="str">
        <f t="shared" si="145"/>
        <v>S34_2026</v>
      </c>
      <c r="C1860" t="str">
        <f t="shared" si="147"/>
        <v>S34_2026</v>
      </c>
      <c r="F1860">
        <v>14</v>
      </c>
      <c r="G1860" t="s">
        <v>40</v>
      </c>
      <c r="H1860" t="s">
        <v>77</v>
      </c>
      <c r="I1860" t="s">
        <v>2707</v>
      </c>
      <c r="J1860" t="s">
        <v>2704</v>
      </c>
      <c r="K1860" t="s">
        <v>746</v>
      </c>
      <c r="L1860" t="s">
        <v>746</v>
      </c>
      <c r="M1860" t="s">
        <v>746</v>
      </c>
      <c r="N1860" t="s">
        <v>45</v>
      </c>
      <c r="O1860" t="s">
        <v>45</v>
      </c>
      <c r="P1860">
        <v>3</v>
      </c>
      <c r="Q1860" s="7">
        <v>46257</v>
      </c>
      <c r="R1860" s="7">
        <v>46257</v>
      </c>
      <c r="S1860" s="7">
        <v>46257</v>
      </c>
      <c r="T1860" t="s">
        <v>45</v>
      </c>
      <c r="V1860" t="s">
        <v>2187</v>
      </c>
      <c r="W1860" t="s">
        <v>45</v>
      </c>
      <c r="X1860" t="s">
        <v>45</v>
      </c>
      <c r="Y1860" t="s">
        <v>45</v>
      </c>
      <c r="Z1860" t="s">
        <v>45</v>
      </c>
      <c r="AA1860" s="7">
        <v>46257</v>
      </c>
      <c r="AB1860" t="s">
        <v>48</v>
      </c>
      <c r="AC1860" t="s">
        <v>74</v>
      </c>
      <c r="AH1860" t="s">
        <v>75</v>
      </c>
      <c r="AI1860">
        <v>0</v>
      </c>
      <c r="AJ1860" s="15"/>
      <c r="AK1860" t="s">
        <v>1720</v>
      </c>
      <c r="AL1860" s="16"/>
      <c r="AR1860" s="18" t="str">
        <f>IFERROR(VLOOKUP(K1860,[1]POP!$F:$J,1,0),M1860)</f>
        <v>MORA</v>
      </c>
      <c r="AS1860" s="18" t="str">
        <f t="shared" si="146"/>
        <v xml:space="preserve">KOURGUI </v>
      </c>
      <c r="AT1860" s="19">
        <f t="shared" ref="AT1860:AT1880" si="149">IF($AI:$AI=2,3,IF($AI:$AI=3,3,IF($AI:$AI=4,3,IF($AI:$AI=1,2,0))))</f>
        <v>0</v>
      </c>
      <c r="AU1860" s="19">
        <f t="shared" ca="1" si="148"/>
        <v>1</v>
      </c>
    </row>
    <row r="1861" spans="1:47" x14ac:dyDescent="0.3">
      <c r="A1861" t="s">
        <v>2708</v>
      </c>
      <c r="B1861" t="str">
        <f t="shared" si="145"/>
        <v>S35_2026</v>
      </c>
      <c r="C1861" t="str">
        <f t="shared" si="147"/>
        <v>S34_2026</v>
      </c>
      <c r="F1861">
        <v>17</v>
      </c>
      <c r="G1861" t="s">
        <v>40</v>
      </c>
      <c r="H1861" t="s">
        <v>56</v>
      </c>
      <c r="I1861" t="s">
        <v>2181</v>
      </c>
      <c r="J1861" t="s">
        <v>902</v>
      </c>
      <c r="K1861" t="s">
        <v>746</v>
      </c>
      <c r="L1861" t="s">
        <v>902</v>
      </c>
      <c r="M1861" t="s">
        <v>746</v>
      </c>
      <c r="N1861" t="s">
        <v>45</v>
      </c>
      <c r="O1861" t="s">
        <v>45</v>
      </c>
      <c r="P1861">
        <v>2</v>
      </c>
      <c r="Q1861" s="7">
        <v>46256</v>
      </c>
      <c r="R1861" s="7">
        <v>46256</v>
      </c>
      <c r="S1861" s="7">
        <v>46258</v>
      </c>
      <c r="T1861" t="s">
        <v>45</v>
      </c>
      <c r="V1861" t="s">
        <v>903</v>
      </c>
      <c r="W1861" t="s">
        <v>117</v>
      </c>
      <c r="X1861" t="s">
        <v>117</v>
      </c>
      <c r="Y1861" t="s">
        <v>117</v>
      </c>
      <c r="Z1861" t="s">
        <v>117</v>
      </c>
      <c r="AE1861" s="7">
        <v>46258</v>
      </c>
      <c r="AF1861">
        <v>2</v>
      </c>
      <c r="AH1861" t="s">
        <v>75</v>
      </c>
      <c r="AI1861">
        <v>1</v>
      </c>
      <c r="AJ1861" s="15"/>
      <c r="AK1861" t="s">
        <v>2709</v>
      </c>
      <c r="AL1861" s="16"/>
      <c r="AR1861" s="18" t="str">
        <f>IFERROR(VLOOKUP(K1861,[1]POP!$F:$J,1,0),M1861)</f>
        <v>MORA</v>
      </c>
      <c r="AS1861" s="18" t="str">
        <f t="shared" si="146"/>
        <v>KOURGUI</v>
      </c>
      <c r="AT1861" s="19">
        <f t="shared" si="149"/>
        <v>2</v>
      </c>
      <c r="AU1861" s="19">
        <f t="shared" ca="1" si="148"/>
        <v>1</v>
      </c>
    </row>
    <row r="1862" spans="1:47" x14ac:dyDescent="0.3">
      <c r="A1862" t="s">
        <v>2710</v>
      </c>
      <c r="B1862" t="str">
        <f t="shared" si="145"/>
        <v>S35_2026</v>
      </c>
      <c r="C1862" t="str">
        <f t="shared" si="147"/>
        <v>S34_2026</v>
      </c>
      <c r="F1862">
        <v>6</v>
      </c>
      <c r="G1862" t="s">
        <v>55</v>
      </c>
      <c r="H1862" t="s">
        <v>56</v>
      </c>
      <c r="I1862" t="s">
        <v>2711</v>
      </c>
      <c r="J1862" t="s">
        <v>902</v>
      </c>
      <c r="K1862" t="s">
        <v>746</v>
      </c>
      <c r="L1862" t="s">
        <v>902</v>
      </c>
      <c r="M1862" t="s">
        <v>746</v>
      </c>
      <c r="N1862" t="s">
        <v>45</v>
      </c>
      <c r="O1862" t="s">
        <v>117</v>
      </c>
      <c r="P1862">
        <v>2</v>
      </c>
      <c r="Q1862" s="7">
        <v>46257</v>
      </c>
      <c r="R1862" s="7">
        <v>46257</v>
      </c>
      <c r="S1862" s="7">
        <v>46258</v>
      </c>
      <c r="T1862" t="s">
        <v>45</v>
      </c>
      <c r="V1862" t="s">
        <v>903</v>
      </c>
      <c r="W1862" t="s">
        <v>117</v>
      </c>
      <c r="X1862" t="s">
        <v>117</v>
      </c>
      <c r="Y1862" t="s">
        <v>117</v>
      </c>
      <c r="Z1862" t="s">
        <v>117</v>
      </c>
      <c r="AH1862" t="s">
        <v>75</v>
      </c>
      <c r="AI1862">
        <v>0</v>
      </c>
      <c r="AJ1862" s="15"/>
      <c r="AK1862" t="s">
        <v>2709</v>
      </c>
      <c r="AL1862" s="16"/>
      <c r="AR1862" s="18" t="str">
        <f>IFERROR(VLOOKUP(K1862,[1]POP!$F:$J,1,0),M1862)</f>
        <v>MORA</v>
      </c>
      <c r="AS1862" s="18" t="str">
        <f t="shared" si="146"/>
        <v>KOURGUI</v>
      </c>
      <c r="AT1862" s="19">
        <f t="shared" si="149"/>
        <v>0</v>
      </c>
      <c r="AU1862" s="19">
        <f t="shared" ca="1" si="148"/>
        <v>1</v>
      </c>
    </row>
    <row r="1863" spans="1:47" x14ac:dyDescent="0.3">
      <c r="A1863" t="s">
        <v>2712</v>
      </c>
      <c r="B1863" t="str">
        <f t="shared" si="145"/>
        <v>S35_2026</v>
      </c>
      <c r="C1863" t="str">
        <f t="shared" si="147"/>
        <v>S34_2026</v>
      </c>
      <c r="F1863">
        <v>16</v>
      </c>
      <c r="G1863" t="s">
        <v>55</v>
      </c>
      <c r="H1863" t="s">
        <v>56</v>
      </c>
      <c r="I1863" t="s">
        <v>2713</v>
      </c>
      <c r="J1863" t="s">
        <v>902</v>
      </c>
      <c r="K1863" t="s">
        <v>746</v>
      </c>
      <c r="L1863" t="s">
        <v>902</v>
      </c>
      <c r="M1863" t="s">
        <v>746</v>
      </c>
      <c r="N1863" t="s">
        <v>45</v>
      </c>
      <c r="O1863" t="s">
        <v>117</v>
      </c>
      <c r="P1863">
        <v>2</v>
      </c>
      <c r="Q1863" s="7">
        <v>46257</v>
      </c>
      <c r="R1863" s="7">
        <v>46257</v>
      </c>
      <c r="S1863" s="7">
        <v>46258</v>
      </c>
      <c r="T1863" t="s">
        <v>45</v>
      </c>
      <c r="V1863" t="s">
        <v>903</v>
      </c>
      <c r="W1863" t="s">
        <v>117</v>
      </c>
      <c r="X1863" t="s">
        <v>117</v>
      </c>
      <c r="Y1863" t="s">
        <v>117</v>
      </c>
      <c r="Z1863" t="s">
        <v>117</v>
      </c>
      <c r="AF1863">
        <v>2</v>
      </c>
      <c r="AH1863" t="s">
        <v>75</v>
      </c>
      <c r="AI1863">
        <v>1</v>
      </c>
      <c r="AJ1863" s="15"/>
      <c r="AK1863" t="s">
        <v>2709</v>
      </c>
      <c r="AL1863" s="16"/>
      <c r="AR1863" s="18" t="str">
        <f>IFERROR(VLOOKUP(K1863,[1]POP!$F:$J,1,0),M1863)</f>
        <v>MORA</v>
      </c>
      <c r="AS1863" s="18" t="str">
        <f t="shared" si="146"/>
        <v>KOURGUI</v>
      </c>
      <c r="AT1863" s="19">
        <f t="shared" si="149"/>
        <v>2</v>
      </c>
      <c r="AU1863" s="19">
        <f t="shared" ca="1" si="148"/>
        <v>1</v>
      </c>
    </row>
    <row r="1864" spans="1:47" x14ac:dyDescent="0.3">
      <c r="A1864" t="s">
        <v>2714</v>
      </c>
      <c r="B1864" t="str">
        <f t="shared" si="145"/>
        <v>S35_2026</v>
      </c>
      <c r="C1864" t="str">
        <f t="shared" si="147"/>
        <v>S34_2026</v>
      </c>
      <c r="F1864">
        <v>20</v>
      </c>
      <c r="G1864" t="s">
        <v>40</v>
      </c>
      <c r="H1864" t="s">
        <v>77</v>
      </c>
      <c r="I1864" t="s">
        <v>2715</v>
      </c>
      <c r="J1864" t="s">
        <v>902</v>
      </c>
      <c r="K1864" t="s">
        <v>746</v>
      </c>
      <c r="L1864" t="s">
        <v>902</v>
      </c>
      <c r="M1864" t="s">
        <v>746</v>
      </c>
      <c r="N1864" t="s">
        <v>45</v>
      </c>
      <c r="O1864" t="s">
        <v>117</v>
      </c>
      <c r="P1864">
        <v>3</v>
      </c>
      <c r="Q1864" s="7">
        <v>46257</v>
      </c>
      <c r="R1864" s="7">
        <v>46257</v>
      </c>
      <c r="S1864" s="7">
        <v>46258</v>
      </c>
      <c r="T1864" t="s">
        <v>45</v>
      </c>
      <c r="V1864" t="s">
        <v>903</v>
      </c>
      <c r="W1864" t="s">
        <v>117</v>
      </c>
      <c r="X1864" t="s">
        <v>117</v>
      </c>
      <c r="Y1864" t="s">
        <v>117</v>
      </c>
      <c r="Z1864" t="s">
        <v>117</v>
      </c>
      <c r="AH1864" t="s">
        <v>75</v>
      </c>
      <c r="AI1864">
        <v>0</v>
      </c>
      <c r="AJ1864" s="15"/>
      <c r="AK1864" t="s">
        <v>2709</v>
      </c>
      <c r="AL1864" s="16"/>
      <c r="AR1864" s="18" t="str">
        <f>IFERROR(VLOOKUP(K1864,[1]POP!$F:$J,1,0),M1864)</f>
        <v>MORA</v>
      </c>
      <c r="AS1864" s="18" t="str">
        <f t="shared" si="146"/>
        <v>KOURGUI</v>
      </c>
      <c r="AT1864" s="19">
        <f t="shared" si="149"/>
        <v>0</v>
      </c>
      <c r="AU1864" s="19">
        <f t="shared" ca="1" si="148"/>
        <v>1</v>
      </c>
    </row>
    <row r="1865" spans="1:47" x14ac:dyDescent="0.3">
      <c r="A1865" t="s">
        <v>2716</v>
      </c>
      <c r="B1865" t="str">
        <f t="shared" si="145"/>
        <v>S35_2026</v>
      </c>
      <c r="C1865" t="str">
        <f t="shared" si="147"/>
        <v>S34_2026</v>
      </c>
      <c r="F1865">
        <v>10</v>
      </c>
      <c r="G1865" t="s">
        <v>55</v>
      </c>
      <c r="H1865" t="s">
        <v>56</v>
      </c>
      <c r="I1865" t="s">
        <v>2181</v>
      </c>
      <c r="J1865" t="s">
        <v>902</v>
      </c>
      <c r="K1865" t="s">
        <v>746</v>
      </c>
      <c r="L1865" t="s">
        <v>902</v>
      </c>
      <c r="M1865" t="s">
        <v>746</v>
      </c>
      <c r="N1865" t="s">
        <v>45</v>
      </c>
      <c r="O1865" t="s">
        <v>117</v>
      </c>
      <c r="P1865">
        <v>3</v>
      </c>
      <c r="Q1865" s="7">
        <v>46256</v>
      </c>
      <c r="R1865" s="7">
        <v>46256</v>
      </c>
      <c r="S1865" s="7">
        <v>46258</v>
      </c>
      <c r="T1865" t="s">
        <v>45</v>
      </c>
      <c r="V1865" t="s">
        <v>903</v>
      </c>
      <c r="W1865" t="s">
        <v>117</v>
      </c>
      <c r="X1865" t="s">
        <v>117</v>
      </c>
      <c r="Y1865" t="s">
        <v>117</v>
      </c>
      <c r="Z1865" t="s">
        <v>117</v>
      </c>
      <c r="AE1865" s="7">
        <v>46259</v>
      </c>
      <c r="AF1865">
        <v>2</v>
      </c>
      <c r="AH1865" t="s">
        <v>75</v>
      </c>
      <c r="AI1865">
        <v>1</v>
      </c>
      <c r="AJ1865" s="15"/>
      <c r="AK1865" t="s">
        <v>2709</v>
      </c>
      <c r="AL1865" s="16"/>
      <c r="AR1865" s="18" t="str">
        <f>IFERROR(VLOOKUP(K1865,[1]POP!$F:$J,1,0),M1865)</f>
        <v>MORA</v>
      </c>
      <c r="AS1865" s="18" t="str">
        <f t="shared" si="146"/>
        <v>KOURGUI</v>
      </c>
      <c r="AT1865" s="19">
        <f t="shared" si="149"/>
        <v>2</v>
      </c>
      <c r="AU1865" s="19">
        <f t="shared" ca="1" si="148"/>
        <v>1</v>
      </c>
    </row>
    <row r="1866" spans="1:47" x14ac:dyDescent="0.3">
      <c r="A1866" t="s">
        <v>2717</v>
      </c>
      <c r="B1866" t="str">
        <f t="shared" si="145"/>
        <v>S35_2026</v>
      </c>
      <c r="C1866" t="str">
        <f t="shared" si="147"/>
        <v>S34_2026</v>
      </c>
      <c r="F1866">
        <v>16</v>
      </c>
      <c r="G1866" t="s">
        <v>40</v>
      </c>
      <c r="H1866" t="s">
        <v>56</v>
      </c>
      <c r="I1866" t="s">
        <v>2181</v>
      </c>
      <c r="J1866" t="s">
        <v>902</v>
      </c>
      <c r="K1866" t="s">
        <v>746</v>
      </c>
      <c r="L1866" t="s">
        <v>902</v>
      </c>
      <c r="M1866" t="s">
        <v>746</v>
      </c>
      <c r="N1866" t="s">
        <v>45</v>
      </c>
      <c r="O1866" t="s">
        <v>117</v>
      </c>
      <c r="P1866">
        <v>2</v>
      </c>
      <c r="Q1866" s="7">
        <v>46257</v>
      </c>
      <c r="R1866" s="7">
        <v>46257</v>
      </c>
      <c r="S1866" s="7">
        <v>46258</v>
      </c>
      <c r="T1866" t="s">
        <v>45</v>
      </c>
      <c r="V1866" t="s">
        <v>903</v>
      </c>
      <c r="W1866" t="s">
        <v>117</v>
      </c>
      <c r="X1866" t="s">
        <v>117</v>
      </c>
      <c r="Y1866" t="s">
        <v>117</v>
      </c>
      <c r="Z1866" t="s">
        <v>117</v>
      </c>
      <c r="AE1866" s="7">
        <v>46258</v>
      </c>
      <c r="AF1866">
        <v>2</v>
      </c>
      <c r="AH1866" t="s">
        <v>75</v>
      </c>
      <c r="AI1866">
        <v>1</v>
      </c>
      <c r="AJ1866" s="15"/>
      <c r="AK1866" t="s">
        <v>2709</v>
      </c>
      <c r="AL1866" s="16"/>
      <c r="AR1866" s="18" t="str">
        <f>IFERROR(VLOOKUP(K1866,[1]POP!$F:$J,1,0),M1866)</f>
        <v>MORA</v>
      </c>
      <c r="AS1866" s="18" t="str">
        <f t="shared" si="146"/>
        <v>KOURGUI</v>
      </c>
      <c r="AT1866" s="19">
        <f t="shared" si="149"/>
        <v>2</v>
      </c>
      <c r="AU1866" s="19">
        <f t="shared" ca="1" si="148"/>
        <v>1</v>
      </c>
    </row>
    <row r="1867" spans="1:47" x14ac:dyDescent="0.3">
      <c r="A1867" t="s">
        <v>2718</v>
      </c>
      <c r="B1867" t="str">
        <f t="shared" si="145"/>
        <v>S35_2026</v>
      </c>
      <c r="C1867" t="str">
        <f t="shared" si="147"/>
        <v>S34_2026</v>
      </c>
      <c r="F1867">
        <v>8</v>
      </c>
      <c r="G1867" t="s">
        <v>55</v>
      </c>
      <c r="H1867" t="s">
        <v>56</v>
      </c>
      <c r="I1867" t="s">
        <v>2181</v>
      </c>
      <c r="J1867" t="s">
        <v>902</v>
      </c>
      <c r="K1867" t="s">
        <v>746</v>
      </c>
      <c r="L1867" t="s">
        <v>902</v>
      </c>
      <c r="M1867" t="s">
        <v>746</v>
      </c>
      <c r="N1867" t="s">
        <v>45</v>
      </c>
      <c r="O1867" t="s">
        <v>117</v>
      </c>
      <c r="P1867">
        <v>2</v>
      </c>
      <c r="Q1867" s="7">
        <v>46257</v>
      </c>
      <c r="R1867" s="7">
        <v>46257</v>
      </c>
      <c r="S1867" s="7">
        <v>46258</v>
      </c>
      <c r="T1867" t="s">
        <v>45</v>
      </c>
      <c r="V1867" t="s">
        <v>903</v>
      </c>
      <c r="W1867" t="s">
        <v>117</v>
      </c>
      <c r="X1867" t="s">
        <v>117</v>
      </c>
      <c r="Y1867" t="s">
        <v>117</v>
      </c>
      <c r="Z1867" t="s">
        <v>117</v>
      </c>
      <c r="AE1867" s="7">
        <v>46258</v>
      </c>
      <c r="AF1867">
        <v>2</v>
      </c>
      <c r="AH1867" t="s">
        <v>75</v>
      </c>
      <c r="AI1867">
        <v>1</v>
      </c>
      <c r="AJ1867" s="15"/>
      <c r="AK1867" t="s">
        <v>2709</v>
      </c>
      <c r="AL1867" s="16"/>
      <c r="AR1867" s="18" t="str">
        <f>IFERROR(VLOOKUP(K1867,[1]POP!$F:$J,1,0),M1867)</f>
        <v>MORA</v>
      </c>
      <c r="AS1867" s="18" t="str">
        <f t="shared" si="146"/>
        <v>KOURGUI</v>
      </c>
      <c r="AT1867" s="19">
        <f t="shared" si="149"/>
        <v>2</v>
      </c>
      <c r="AU1867" s="19">
        <f t="shared" ca="1" si="148"/>
        <v>1</v>
      </c>
    </row>
    <row r="1868" spans="1:47" x14ac:dyDescent="0.3">
      <c r="A1868" t="s">
        <v>2719</v>
      </c>
      <c r="B1868" t="str">
        <f t="shared" si="145"/>
        <v>S34_2026</v>
      </c>
      <c r="C1868" t="str">
        <f t="shared" si="147"/>
        <v>S34_2026</v>
      </c>
      <c r="F1868">
        <v>23</v>
      </c>
      <c r="G1868" t="s">
        <v>40</v>
      </c>
      <c r="H1868" t="s">
        <v>77</v>
      </c>
      <c r="I1868" t="s">
        <v>902</v>
      </c>
      <c r="J1868" t="s">
        <v>902</v>
      </c>
      <c r="K1868" t="s">
        <v>746</v>
      </c>
      <c r="L1868" t="s">
        <v>746</v>
      </c>
      <c r="M1868" t="s">
        <v>746</v>
      </c>
      <c r="N1868" t="s">
        <v>45</v>
      </c>
      <c r="O1868" t="s">
        <v>45</v>
      </c>
      <c r="P1868">
        <v>3</v>
      </c>
      <c r="Q1868" s="7">
        <v>46257</v>
      </c>
      <c r="R1868" s="7">
        <v>46257</v>
      </c>
      <c r="S1868" s="7">
        <v>46257</v>
      </c>
      <c r="T1868" t="s">
        <v>45</v>
      </c>
      <c r="V1868" t="s">
        <v>2187</v>
      </c>
      <c r="W1868" t="s">
        <v>45</v>
      </c>
      <c r="X1868" t="s">
        <v>45</v>
      </c>
      <c r="Y1868" t="s">
        <v>45</v>
      </c>
      <c r="Z1868" t="s">
        <v>45</v>
      </c>
      <c r="AA1868" s="7">
        <v>46257</v>
      </c>
      <c r="AB1868" t="s">
        <v>48</v>
      </c>
      <c r="AC1868" t="s">
        <v>74</v>
      </c>
      <c r="AH1868" t="s">
        <v>75</v>
      </c>
      <c r="AI1868">
        <v>0</v>
      </c>
      <c r="AJ1868" s="15"/>
      <c r="AK1868" t="s">
        <v>1720</v>
      </c>
      <c r="AL1868" s="16"/>
      <c r="AR1868" s="18" t="str">
        <f>IFERROR(VLOOKUP(K1868,[1]POP!$F:$J,1,0),M1868)</f>
        <v>MORA</v>
      </c>
      <c r="AS1868" s="18" t="str">
        <f t="shared" si="146"/>
        <v>KOURGUI</v>
      </c>
      <c r="AT1868" s="19">
        <f t="shared" si="149"/>
        <v>0</v>
      </c>
      <c r="AU1868" s="19">
        <f t="shared" ca="1" si="148"/>
        <v>1</v>
      </c>
    </row>
    <row r="1869" spans="1:47" x14ac:dyDescent="0.3">
      <c r="A1869" t="s">
        <v>2720</v>
      </c>
      <c r="B1869" t="str">
        <f t="shared" si="145"/>
        <v>S34_2026</v>
      </c>
      <c r="C1869" t="str">
        <f t="shared" si="147"/>
        <v>S34_2026</v>
      </c>
      <c r="F1869">
        <v>37</v>
      </c>
      <c r="G1869" t="s">
        <v>40</v>
      </c>
      <c r="H1869" t="s">
        <v>77</v>
      </c>
      <c r="I1869" t="s">
        <v>902</v>
      </c>
      <c r="J1869" t="s">
        <v>902</v>
      </c>
      <c r="K1869" t="s">
        <v>746</v>
      </c>
      <c r="L1869" t="s">
        <v>746</v>
      </c>
      <c r="M1869" t="s">
        <v>746</v>
      </c>
      <c r="N1869" t="s">
        <v>45</v>
      </c>
      <c r="O1869" t="s">
        <v>45</v>
      </c>
      <c r="P1869">
        <v>3</v>
      </c>
      <c r="Q1869" s="7">
        <v>46257</v>
      </c>
      <c r="R1869" s="7">
        <v>46257</v>
      </c>
      <c r="S1869" s="7">
        <v>46257</v>
      </c>
      <c r="T1869" t="s">
        <v>45</v>
      </c>
      <c r="V1869" t="s">
        <v>2187</v>
      </c>
      <c r="W1869" t="s">
        <v>45</v>
      </c>
      <c r="X1869" t="s">
        <v>45</v>
      </c>
      <c r="Y1869" t="s">
        <v>45</v>
      </c>
      <c r="Z1869" t="s">
        <v>45</v>
      </c>
      <c r="AA1869" s="7">
        <v>46257</v>
      </c>
      <c r="AB1869" t="s">
        <v>48</v>
      </c>
      <c r="AC1869" t="s">
        <v>74</v>
      </c>
      <c r="AH1869" t="s">
        <v>75</v>
      </c>
      <c r="AI1869">
        <v>0</v>
      </c>
      <c r="AJ1869" s="15"/>
      <c r="AK1869" t="s">
        <v>1720</v>
      </c>
      <c r="AL1869" s="16"/>
      <c r="AR1869" s="18" t="str">
        <f>IFERROR(VLOOKUP(K1869,[1]POP!$F:$J,1,0),M1869)</f>
        <v>MORA</v>
      </c>
      <c r="AS1869" s="18" t="str">
        <f t="shared" si="146"/>
        <v>KOURGUI</v>
      </c>
      <c r="AT1869" s="19">
        <f t="shared" si="149"/>
        <v>0</v>
      </c>
      <c r="AU1869" s="19">
        <f t="shared" ca="1" si="148"/>
        <v>1</v>
      </c>
    </row>
    <row r="1870" spans="1:47" x14ac:dyDescent="0.3">
      <c r="A1870" t="s">
        <v>2721</v>
      </c>
      <c r="B1870" t="str">
        <f t="shared" si="145"/>
        <v>S34_2026</v>
      </c>
      <c r="C1870" t="str">
        <f t="shared" si="147"/>
        <v>S34_2026</v>
      </c>
      <c r="F1870">
        <v>40</v>
      </c>
      <c r="G1870" t="s">
        <v>55</v>
      </c>
      <c r="H1870" t="s">
        <v>70</v>
      </c>
      <c r="I1870" t="s">
        <v>2686</v>
      </c>
      <c r="J1870" t="s">
        <v>902</v>
      </c>
      <c r="K1870" t="s">
        <v>746</v>
      </c>
      <c r="L1870" t="s">
        <v>746</v>
      </c>
      <c r="M1870" t="s">
        <v>746</v>
      </c>
      <c r="N1870" t="s">
        <v>45</v>
      </c>
      <c r="O1870" t="s">
        <v>45</v>
      </c>
      <c r="P1870">
        <v>3</v>
      </c>
      <c r="Q1870" s="7">
        <v>46257</v>
      </c>
      <c r="R1870" s="7">
        <v>46257</v>
      </c>
      <c r="S1870" s="7">
        <v>46257</v>
      </c>
      <c r="T1870" t="s">
        <v>45</v>
      </c>
      <c r="V1870" t="s">
        <v>2187</v>
      </c>
      <c r="W1870" t="s">
        <v>45</v>
      </c>
      <c r="X1870" t="s">
        <v>45</v>
      </c>
      <c r="Y1870" t="s">
        <v>45</v>
      </c>
      <c r="Z1870" t="s">
        <v>45</v>
      </c>
      <c r="AA1870" s="7">
        <v>46257</v>
      </c>
      <c r="AB1870" t="s">
        <v>48</v>
      </c>
      <c r="AC1870" t="s">
        <v>74</v>
      </c>
      <c r="AF1870">
        <v>3</v>
      </c>
      <c r="AH1870" t="s">
        <v>75</v>
      </c>
      <c r="AI1870">
        <v>2</v>
      </c>
      <c r="AJ1870" s="15"/>
      <c r="AK1870" t="s">
        <v>1720</v>
      </c>
      <c r="AL1870" s="16"/>
      <c r="AR1870" s="18" t="str">
        <f>IFERROR(VLOOKUP(K1870,[1]POP!$F:$J,1,0),M1870)</f>
        <v>MORA</v>
      </c>
      <c r="AS1870" s="18" t="str">
        <f t="shared" si="146"/>
        <v>KOURGUI</v>
      </c>
      <c r="AT1870" s="19">
        <f t="shared" si="149"/>
        <v>3</v>
      </c>
      <c r="AU1870" s="19">
        <f t="shared" ca="1" si="148"/>
        <v>1</v>
      </c>
    </row>
    <row r="1871" spans="1:47" x14ac:dyDescent="0.3">
      <c r="A1871" t="s">
        <v>2722</v>
      </c>
      <c r="B1871" t="str">
        <f t="shared" si="145"/>
        <v>S35_2026</v>
      </c>
      <c r="C1871" t="str">
        <f t="shared" si="147"/>
        <v>S35_2026</v>
      </c>
      <c r="F1871">
        <v>9</v>
      </c>
      <c r="G1871" t="s">
        <v>55</v>
      </c>
      <c r="H1871" t="s">
        <v>56</v>
      </c>
      <c r="I1871" t="s">
        <v>2686</v>
      </c>
      <c r="J1871" t="s">
        <v>2723</v>
      </c>
      <c r="K1871" t="s">
        <v>746</v>
      </c>
      <c r="L1871" t="s">
        <v>746</v>
      </c>
      <c r="M1871" t="s">
        <v>746</v>
      </c>
      <c r="N1871" t="s">
        <v>45</v>
      </c>
      <c r="O1871" t="s">
        <v>45</v>
      </c>
      <c r="P1871">
        <v>3</v>
      </c>
      <c r="Q1871" s="7">
        <v>46258</v>
      </c>
      <c r="R1871" s="7">
        <v>46258</v>
      </c>
      <c r="S1871" s="7">
        <v>46258</v>
      </c>
      <c r="T1871" t="s">
        <v>45</v>
      </c>
      <c r="V1871" t="s">
        <v>2187</v>
      </c>
      <c r="W1871" t="s">
        <v>45</v>
      </c>
      <c r="X1871" t="s">
        <v>45</v>
      </c>
      <c r="Y1871" t="s">
        <v>45</v>
      </c>
      <c r="Z1871" t="s">
        <v>45</v>
      </c>
      <c r="AA1871" s="7">
        <v>46258</v>
      </c>
      <c r="AB1871" t="s">
        <v>48</v>
      </c>
      <c r="AC1871" t="s">
        <v>74</v>
      </c>
      <c r="AH1871" t="s">
        <v>75</v>
      </c>
      <c r="AI1871">
        <v>0</v>
      </c>
      <c r="AJ1871" s="15"/>
      <c r="AK1871" t="s">
        <v>1720</v>
      </c>
      <c r="AL1871" s="16"/>
      <c r="AR1871" s="18" t="str">
        <f>IFERROR(VLOOKUP(K1871,[1]POP!$F:$J,1,0),M1871)</f>
        <v>MORA</v>
      </c>
      <c r="AS1871" s="18" t="str">
        <f t="shared" si="146"/>
        <v>KOUGUI</v>
      </c>
      <c r="AT1871" s="19">
        <f t="shared" si="149"/>
        <v>0</v>
      </c>
      <c r="AU1871" s="19">
        <f t="shared" ca="1" si="148"/>
        <v>1</v>
      </c>
    </row>
    <row r="1872" spans="1:47" x14ac:dyDescent="0.3">
      <c r="A1872" t="s">
        <v>2724</v>
      </c>
      <c r="B1872" t="str">
        <f t="shared" si="145"/>
        <v>S35_2026</v>
      </c>
      <c r="C1872" t="str">
        <f t="shared" si="147"/>
        <v>S35_2026</v>
      </c>
      <c r="F1872">
        <v>22</v>
      </c>
      <c r="G1872" t="s">
        <v>40</v>
      </c>
      <c r="H1872" t="s">
        <v>77</v>
      </c>
      <c r="I1872" t="s">
        <v>2725</v>
      </c>
      <c r="J1872" t="s">
        <v>746</v>
      </c>
      <c r="K1872" t="s">
        <v>746</v>
      </c>
      <c r="L1872" t="s">
        <v>746</v>
      </c>
      <c r="M1872" t="s">
        <v>746</v>
      </c>
      <c r="N1872" t="s">
        <v>45</v>
      </c>
      <c r="O1872" t="s">
        <v>45</v>
      </c>
      <c r="P1872">
        <v>3</v>
      </c>
      <c r="Q1872" s="7">
        <v>46258</v>
      </c>
      <c r="R1872" s="7">
        <v>46258</v>
      </c>
      <c r="S1872" s="7">
        <v>46258</v>
      </c>
      <c r="T1872" t="s">
        <v>45</v>
      </c>
      <c r="V1872" t="s">
        <v>2187</v>
      </c>
      <c r="W1872" t="s">
        <v>45</v>
      </c>
      <c r="X1872" t="s">
        <v>45</v>
      </c>
      <c r="Y1872" t="s">
        <v>45</v>
      </c>
      <c r="Z1872" t="s">
        <v>45</v>
      </c>
      <c r="AA1872" s="7">
        <v>46258</v>
      </c>
      <c r="AB1872" t="s">
        <v>48</v>
      </c>
      <c r="AC1872" t="s">
        <v>74</v>
      </c>
      <c r="AH1872" t="s">
        <v>75</v>
      </c>
      <c r="AI1872">
        <v>0</v>
      </c>
      <c r="AJ1872" s="15"/>
      <c r="AK1872" t="s">
        <v>1720</v>
      </c>
      <c r="AL1872" s="16"/>
      <c r="AR1872" s="18" t="str">
        <f>IFERROR(VLOOKUP(K1872,[1]POP!$F:$J,1,0),M1872)</f>
        <v>MORA</v>
      </c>
      <c r="AS1872" s="18" t="str">
        <f t="shared" si="146"/>
        <v>MORA</v>
      </c>
      <c r="AT1872" s="19">
        <f t="shared" si="149"/>
        <v>0</v>
      </c>
      <c r="AU1872" s="19">
        <f t="shared" ca="1" si="148"/>
        <v>1</v>
      </c>
    </row>
    <row r="1873" spans="1:47" x14ac:dyDescent="0.3">
      <c r="A1873" t="s">
        <v>2726</v>
      </c>
      <c r="B1873" t="str">
        <f t="shared" si="145"/>
        <v>S34_2026</v>
      </c>
      <c r="C1873" t="str">
        <f t="shared" si="147"/>
        <v>S34_2026</v>
      </c>
      <c r="E1873">
        <v>698791886</v>
      </c>
      <c r="F1873">
        <v>13</v>
      </c>
      <c r="G1873" t="s">
        <v>55</v>
      </c>
      <c r="H1873" t="s">
        <v>56</v>
      </c>
      <c r="I1873" t="s">
        <v>2727</v>
      </c>
      <c r="J1873" t="s">
        <v>2728</v>
      </c>
      <c r="K1873" t="s">
        <v>746</v>
      </c>
      <c r="L1873" t="s">
        <v>2729</v>
      </c>
      <c r="M1873" t="s">
        <v>746</v>
      </c>
      <c r="N1873" t="s">
        <v>663</v>
      </c>
      <c r="O1873" t="s">
        <v>663</v>
      </c>
      <c r="P1873">
        <v>3</v>
      </c>
      <c r="Q1873" s="7">
        <v>46251</v>
      </c>
      <c r="R1873" s="7">
        <v>46251</v>
      </c>
      <c r="S1873" s="7">
        <v>46252</v>
      </c>
      <c r="T1873" t="s">
        <v>45</v>
      </c>
      <c r="V1873" t="s">
        <v>2730</v>
      </c>
      <c r="W1873" t="s">
        <v>663</v>
      </c>
      <c r="X1873" t="s">
        <v>663</v>
      </c>
      <c r="Y1873" t="s">
        <v>663</v>
      </c>
      <c r="Z1873" t="s">
        <v>663</v>
      </c>
      <c r="AA1873" s="7">
        <v>46252</v>
      </c>
      <c r="AB1873" t="s">
        <v>48</v>
      </c>
      <c r="AC1873" t="s">
        <v>74</v>
      </c>
      <c r="AF1873">
        <v>2</v>
      </c>
      <c r="AH1873" t="s">
        <v>75</v>
      </c>
      <c r="AI1873">
        <v>1</v>
      </c>
      <c r="AJ1873" s="15"/>
      <c r="AK1873" t="s">
        <v>664</v>
      </c>
      <c r="AL1873" s="16"/>
      <c r="AR1873" s="18" t="str">
        <f>IFERROR(VLOOKUP(K1873,[1]POP!$F:$J,1,0),M1873)</f>
        <v>MORA</v>
      </c>
      <c r="AS1873" s="18" t="str">
        <f t="shared" si="146"/>
        <v>DJOUNDE</v>
      </c>
      <c r="AT1873" s="19">
        <f t="shared" si="149"/>
        <v>2</v>
      </c>
      <c r="AU1873" s="19">
        <f t="shared" ca="1" si="148"/>
        <v>1</v>
      </c>
    </row>
    <row r="1874" spans="1:47" x14ac:dyDescent="0.3">
      <c r="A1874" t="s">
        <v>2731</v>
      </c>
      <c r="B1874" t="str">
        <f t="shared" si="145"/>
        <v>S35_2026</v>
      </c>
      <c r="C1874" t="str">
        <f t="shared" si="147"/>
        <v>S35_2026</v>
      </c>
      <c r="F1874">
        <v>30</v>
      </c>
      <c r="G1874" t="s">
        <v>40</v>
      </c>
      <c r="H1874" t="s">
        <v>1912</v>
      </c>
      <c r="I1874" t="s">
        <v>2185</v>
      </c>
      <c r="J1874" t="s">
        <v>902</v>
      </c>
      <c r="K1874" t="s">
        <v>746</v>
      </c>
      <c r="L1874" t="s">
        <v>902</v>
      </c>
      <c r="M1874" t="s">
        <v>746</v>
      </c>
      <c r="N1874" t="s">
        <v>45</v>
      </c>
      <c r="O1874" t="s">
        <v>117</v>
      </c>
      <c r="P1874">
        <v>2</v>
      </c>
      <c r="Q1874" s="7">
        <v>46259</v>
      </c>
      <c r="R1874" s="7">
        <v>46259</v>
      </c>
      <c r="S1874" s="7">
        <v>46259</v>
      </c>
      <c r="T1874" t="s">
        <v>45</v>
      </c>
      <c r="V1874" t="s">
        <v>903</v>
      </c>
      <c r="W1874" t="s">
        <v>117</v>
      </c>
      <c r="X1874" t="s">
        <v>117</v>
      </c>
      <c r="Y1874" t="s">
        <v>117</v>
      </c>
      <c r="Z1874" t="s">
        <v>668</v>
      </c>
      <c r="AH1874" t="s">
        <v>75</v>
      </c>
      <c r="AI1874">
        <v>0</v>
      </c>
      <c r="AJ1874" s="15"/>
      <c r="AK1874" t="s">
        <v>2709</v>
      </c>
      <c r="AL1874" s="16"/>
      <c r="AR1874" s="18" t="str">
        <f>IFERROR(VLOOKUP(K1874,[1]POP!$F:$J,1,0),M1874)</f>
        <v>MORA</v>
      </c>
      <c r="AS1874" s="18" t="str">
        <f t="shared" si="146"/>
        <v>KOURGUI</v>
      </c>
      <c r="AT1874" s="19">
        <f t="shared" si="149"/>
        <v>0</v>
      </c>
      <c r="AU1874" s="19">
        <f t="shared" ca="1" si="148"/>
        <v>1</v>
      </c>
    </row>
    <row r="1875" spans="1:47" x14ac:dyDescent="0.3">
      <c r="A1875" t="s">
        <v>2732</v>
      </c>
      <c r="B1875" t="str">
        <f t="shared" si="145"/>
        <v>S35_2026</v>
      </c>
      <c r="C1875" t="str">
        <f t="shared" si="147"/>
        <v>S35_2026</v>
      </c>
      <c r="F1875">
        <v>60</v>
      </c>
      <c r="G1875" t="s">
        <v>40</v>
      </c>
      <c r="H1875" t="s">
        <v>1912</v>
      </c>
      <c r="I1875" t="s">
        <v>2733</v>
      </c>
      <c r="J1875" t="s">
        <v>902</v>
      </c>
      <c r="K1875" t="s">
        <v>746</v>
      </c>
      <c r="L1875" t="s">
        <v>902</v>
      </c>
      <c r="M1875" t="s">
        <v>746</v>
      </c>
      <c r="N1875" t="s">
        <v>45</v>
      </c>
      <c r="O1875" t="s">
        <v>117</v>
      </c>
      <c r="P1875">
        <v>2</v>
      </c>
      <c r="Q1875" s="7">
        <v>46259</v>
      </c>
      <c r="R1875" s="7">
        <v>46259</v>
      </c>
      <c r="S1875" s="7">
        <v>46259</v>
      </c>
      <c r="T1875" t="s">
        <v>45</v>
      </c>
      <c r="V1875" t="s">
        <v>903</v>
      </c>
      <c r="W1875" t="s">
        <v>117</v>
      </c>
      <c r="X1875" t="s">
        <v>117</v>
      </c>
      <c r="Y1875" t="s">
        <v>117</v>
      </c>
      <c r="Z1875" t="s">
        <v>668</v>
      </c>
      <c r="AH1875" t="s">
        <v>75</v>
      </c>
      <c r="AI1875">
        <v>0</v>
      </c>
      <c r="AJ1875" s="15"/>
      <c r="AK1875" t="s">
        <v>2709</v>
      </c>
      <c r="AL1875" s="16"/>
      <c r="AR1875" s="18" t="str">
        <f>IFERROR(VLOOKUP(K1875,[1]POP!$F:$J,1,0),M1875)</f>
        <v>MORA</v>
      </c>
      <c r="AS1875" s="18" t="str">
        <f t="shared" si="146"/>
        <v>KOURGUI</v>
      </c>
      <c r="AT1875" s="19">
        <f t="shared" si="149"/>
        <v>0</v>
      </c>
      <c r="AU1875" s="19">
        <f t="shared" ca="1" si="148"/>
        <v>1</v>
      </c>
    </row>
    <row r="1876" spans="1:47" x14ac:dyDescent="0.3">
      <c r="A1876" t="s">
        <v>2734</v>
      </c>
      <c r="B1876" t="str">
        <f t="shared" si="145"/>
        <v>S35_2026</v>
      </c>
      <c r="C1876" t="e">
        <f t="shared" si="147"/>
        <v>#NUM!</v>
      </c>
      <c r="F1876">
        <v>45</v>
      </c>
      <c r="G1876" t="s">
        <v>55</v>
      </c>
      <c r="H1876" t="s">
        <v>70</v>
      </c>
      <c r="I1876" t="s">
        <v>1388</v>
      </c>
      <c r="J1876" t="s">
        <v>1389</v>
      </c>
      <c r="K1876" t="s">
        <v>746</v>
      </c>
      <c r="L1876" t="s">
        <v>2155</v>
      </c>
      <c r="M1876" t="s">
        <v>746</v>
      </c>
      <c r="N1876" t="s">
        <v>117</v>
      </c>
      <c r="O1876" t="s">
        <v>117</v>
      </c>
      <c r="P1876">
        <v>2</v>
      </c>
      <c r="R1876" s="7">
        <v>46260</v>
      </c>
      <c r="S1876" s="7">
        <v>46260</v>
      </c>
      <c r="T1876" t="s">
        <v>117</v>
      </c>
      <c r="V1876" t="s">
        <v>2658</v>
      </c>
      <c r="W1876" t="s">
        <v>117</v>
      </c>
      <c r="X1876" t="s">
        <v>117</v>
      </c>
      <c r="Y1876" t="s">
        <v>117</v>
      </c>
      <c r="Z1876" t="s">
        <v>117</v>
      </c>
      <c r="AH1876" t="s">
        <v>75</v>
      </c>
      <c r="AI1876">
        <v>0</v>
      </c>
      <c r="AJ1876" s="15"/>
      <c r="AL1876" s="16"/>
      <c r="AR1876" s="18" t="str">
        <f>IFERROR(VLOOKUP(K1876,[1]POP!$F:$J,1,0),M1876)</f>
        <v>MORA</v>
      </c>
      <c r="AS1876" s="18" t="str">
        <f t="shared" si="146"/>
        <v xml:space="preserve">bounderi </v>
      </c>
      <c r="AT1876" s="19">
        <f t="shared" si="149"/>
        <v>0</v>
      </c>
      <c r="AU1876" s="19">
        <f t="shared" ca="1" si="148"/>
        <v>1</v>
      </c>
    </row>
    <row r="1877" spans="1:47" x14ac:dyDescent="0.3">
      <c r="A1877" t="s">
        <v>38</v>
      </c>
      <c r="B1877" t="str">
        <f t="shared" si="145"/>
        <v>S35_2026</v>
      </c>
      <c r="C1877" t="str">
        <f>"S"&amp;(IF(_xlfn.ISOWEEKNUM(Q1877)&gt;9,_xlfn.ISOWEEKNUM(Q1877),_xlfn.CONCAT("0",_xlfn.ISOWEEKNUM(Q1877))))&amp;"_"&amp;(YEAR(Q1877+26-(_xlfn.ISOWEEKNUM(Q1877))))</f>
        <v>S35_2026</v>
      </c>
      <c r="D1877" t="s">
        <v>2735</v>
      </c>
      <c r="E1877">
        <v>697528226</v>
      </c>
      <c r="F1877">
        <v>56</v>
      </c>
      <c r="G1877" t="s">
        <v>40</v>
      </c>
      <c r="H1877" t="s">
        <v>1924</v>
      </c>
      <c r="I1877" t="s">
        <v>2736</v>
      </c>
      <c r="J1877" t="s">
        <v>2079</v>
      </c>
      <c r="K1877" t="s">
        <v>2079</v>
      </c>
      <c r="L1877" t="s">
        <v>2737</v>
      </c>
      <c r="M1877" t="s">
        <v>2738</v>
      </c>
      <c r="N1877" t="s">
        <v>45</v>
      </c>
      <c r="O1877" t="s">
        <v>46</v>
      </c>
      <c r="P1877">
        <v>2</v>
      </c>
      <c r="Q1877" s="7">
        <v>46258</v>
      </c>
      <c r="R1877" s="7">
        <v>46259</v>
      </c>
      <c r="S1877" s="7">
        <v>46262</v>
      </c>
      <c r="T1877" t="s">
        <v>150</v>
      </c>
      <c r="U1877" t="s">
        <v>1081</v>
      </c>
      <c r="X1877" t="s">
        <v>45</v>
      </c>
      <c r="AA1877" s="7">
        <v>46202</v>
      </c>
      <c r="AB1877" t="s">
        <v>48</v>
      </c>
      <c r="AC1877" t="s">
        <v>45</v>
      </c>
      <c r="AD1877" t="s">
        <v>48</v>
      </c>
      <c r="AF1877">
        <v>3</v>
      </c>
      <c r="AG1877" t="s">
        <v>2739</v>
      </c>
      <c r="AH1877" t="s">
        <v>51</v>
      </c>
      <c r="AI1877">
        <v>3</v>
      </c>
      <c r="AJ1877" s="8">
        <v>46260</v>
      </c>
      <c r="AK1877" t="s">
        <v>52</v>
      </c>
      <c r="AL1877" t="s">
        <v>96</v>
      </c>
      <c r="AM1877"/>
      <c r="AN1877" t="s">
        <v>74</v>
      </c>
      <c r="AO1877" t="s">
        <v>45</v>
      </c>
      <c r="AP1877">
        <v>6</v>
      </c>
      <c r="AQ1877" t="s">
        <v>45</v>
      </c>
      <c r="AR1877" s="18" t="str">
        <f>IFERROR(VLOOKUP(K1877,[1]POP!$F:$J,1,0),M1877)</f>
        <v>Garoua 1</v>
      </c>
      <c r="AS1877" s="18" t="str">
        <f t="shared" si="146"/>
        <v>Kollere</v>
      </c>
      <c r="AT1877" s="19">
        <f>IF($AI:$AI=2,3,IF($AI:$AI=3,3,IF($AI:$AI=4,3,IF($AI:$AI=1,2,0))))</f>
        <v>3</v>
      </c>
      <c r="AU1877" s="19">
        <f ca="1">IF((TODAY() - R1877)&lt;=21,1,2)</f>
        <v>1</v>
      </c>
    </row>
    <row r="1878" spans="1:47" x14ac:dyDescent="0.3">
      <c r="AR1878" s="18">
        <f>IFERROR(VLOOKUP(K1878,[1]POP!$F:$J,1,0),M1878)</f>
        <v>0</v>
      </c>
      <c r="AS1878" s="18">
        <f t="shared" si="146"/>
        <v>0</v>
      </c>
      <c r="AT1878" s="19">
        <f t="shared" si="149"/>
        <v>0</v>
      </c>
      <c r="AU1878" s="19">
        <f t="shared" ca="1" si="148"/>
        <v>2</v>
      </c>
    </row>
    <row r="1879" spans="1:47" x14ac:dyDescent="0.3">
      <c r="AR1879" s="18">
        <f>IFERROR(VLOOKUP(K1879,[1]POP!$F:$J,1,0),M1879)</f>
        <v>0</v>
      </c>
      <c r="AS1879" s="18">
        <f t="shared" si="146"/>
        <v>0</v>
      </c>
      <c r="AT1879" s="19">
        <f t="shared" si="149"/>
        <v>0</v>
      </c>
      <c r="AU1879" s="19">
        <f t="shared" ca="1" si="148"/>
        <v>2</v>
      </c>
    </row>
    <row r="1880" spans="1:47" x14ac:dyDescent="0.3">
      <c r="AR1880" s="18">
        <f>IFERROR(VLOOKUP(K1880,[1]POP!$F:$J,1,0),M1880)</f>
        <v>0</v>
      </c>
      <c r="AS1880" s="18">
        <f t="shared" si="146"/>
        <v>0</v>
      </c>
      <c r="AT1880" s="19">
        <f t="shared" si="149"/>
        <v>0</v>
      </c>
      <c r="AU1880" s="19">
        <f t="shared" ca="1" si="148"/>
        <v>2</v>
      </c>
    </row>
  </sheetData>
  <conditionalFormatting sqref="D1">
    <cfRule type="duplicateValues" dxfId="1" priority="1"/>
    <cfRule type="duplicateValues" dxfId="0" priority="2"/>
  </conditionalFormatting>
  <dataValidations count="1">
    <dataValidation type="date" operator="greaterThan" allowBlank="1" showInputMessage="1" showErrorMessage="1" errorTitle="Wrong format of date" error="If no date is known or the case is still sick:_x000a_Just leave the cell empty. _x000a_No need to type &quot;pending&quot; or similar._x000a_ _x000a_When entering dates: _x000a_Make sure to use for dates: DD.MM.YY. _x000a_ _x000a_When copying and pasting dates: _x000a_Make sure to insert &quot;values only&quot;." promptTitle="date of outcome" prompt="Type date of outcome, i.e. when case was declared recoverd or died._x000a_Use the format DD.MM.YY._x000a__x000a_If no date is known or if the case is still sick: _x000a_Just leave cell empty." sqref="AJ371:AJ499 AJ4:AJ366" xr:uid="{3DF59499-C66C-4DA8-AB94-EC8A1CE98392}">
      <formula1>43101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manuella EFEMBA</dc:creator>
  <cp:lastModifiedBy>manuella EFEMBA</cp:lastModifiedBy>
  <dcterms:created xsi:type="dcterms:W3CDTF">2026-09-02T12:20:52Z</dcterms:created>
  <dcterms:modified xsi:type="dcterms:W3CDTF">2026-09-02T12:21:46Z</dcterms:modified>
</cp:coreProperties>
</file>