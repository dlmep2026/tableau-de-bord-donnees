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pox\Projet R\DATA\"/>
    </mc:Choice>
  </mc:AlternateContent>
  <xr:revisionPtr revIDLastSave="0" documentId="13_ncr:1_{271CEC24-8E26-462F-A4B1-E406C553B2F7}" xr6:coauthVersionLast="47" xr6:coauthVersionMax="47" xr10:uidLastSave="{00000000-0000-0000-0000-000000000000}"/>
  <bookViews>
    <workbookView xWindow="-110" yWindow="-110" windowWidth="19420" windowHeight="11020" xr2:uid="{580C795E-163B-47BA-AB2B-A08020A503E1}"/>
  </bookViews>
  <sheets>
    <sheet name="LL_MPOX" sheetId="2" r:id="rId1"/>
  </sheets>
  <externalReferences>
    <externalReference r:id="rId2"/>
    <externalReference r:id="rId3"/>
  </externalReferences>
  <definedNames>
    <definedName name="_xlnm._FilterDatabase" localSheetId="0" hidden="1">LL_MPOX!$A$1:$DC$706</definedName>
    <definedName name="Akonolinga" localSheetId="0">[1]LISTE!#REF!</definedName>
    <definedName name="Akonolinga">[2]LISTE!#REF!</definedName>
    <definedName name="Awae" localSheetId="0">[1]LISTE!#REF!</definedName>
    <definedName name="Awae">[2]LISTE!#REF!</definedName>
    <definedName name="Ayos" localSheetId="0">[1]LISTE!#REF!</definedName>
    <definedName name="Ayos">[2]LISTE!#REF!</definedName>
    <definedName name="Bafia" localSheetId="0">[1]LISTE!#REF!</definedName>
    <definedName name="Bafia">[2]LISTE!#REF!</definedName>
    <definedName name="Biyem_Assi" localSheetId="0">[1]LISTE!#REF!</definedName>
    <definedName name="Biyem_Assi">[2]LISTE!#REF!</definedName>
    <definedName name="Cite_Verte" localSheetId="0">[1]LISTE!#REF!</definedName>
    <definedName name="Cite_Verte">[2]LISTE!#REF!</definedName>
    <definedName name="Djoungolo" localSheetId="0">[1]LISTE!#REF!</definedName>
    <definedName name="Djoungolo">[2]LISTE!#REF!</definedName>
    <definedName name="Ebebda" localSheetId="0">[1]LISTE!#REF!</definedName>
    <definedName name="Ebebda">[2]LISTE!#REF!</definedName>
    <definedName name="Efoulan" localSheetId="0">[1]LISTE!#REF!</definedName>
    <definedName name="Efoulan">[2]LISTE!#REF!</definedName>
    <definedName name="Elig_Mfomo" localSheetId="0">[1]LISTE!#REF!</definedName>
    <definedName name="Elig_Mfomo">[2]LISTE!#REF!</definedName>
    <definedName name="Eseka" localSheetId="0">[1]LISTE!#REF!</definedName>
    <definedName name="Eseka">[2]LISTE!#REF!</definedName>
    <definedName name="Esse" localSheetId="0">[1]LISTE!#REF!</definedName>
    <definedName name="Esse">[2]LISTE!#REF!</definedName>
    <definedName name="Evodoula" localSheetId="0">[1]LISTE!#REF!</definedName>
    <definedName name="Evodoula">[2]LISTE!#REF!</definedName>
    <definedName name="Mbalmayo" localSheetId="0">[1]LISTE!#REF!</definedName>
    <definedName name="Mbalmayo">[2]LISTE!#REF!</definedName>
    <definedName name="Mbandjock" localSheetId="0">[1]LISTE!#REF!</definedName>
    <definedName name="Mbandjock">[2]LISTE!#REF!</definedName>
    <definedName name="Mbankomo" localSheetId="0">[1]LISTE!#REF!</definedName>
    <definedName name="Mbankomo">[2]LISTE!#REF!</definedName>
    <definedName name="Mfou" localSheetId="0">[1]LISTE!#REF!</definedName>
    <definedName name="Mfou">[2]LISTE!#REF!</definedName>
    <definedName name="Monatele" localSheetId="0">[1]LISTE!#REF!</definedName>
    <definedName name="Monatele">[2]LISTE!#REF!</definedName>
    <definedName name="Mvog_Ada" localSheetId="0">[1]LISTE!#REF!</definedName>
    <definedName name="Mvog_Ada">[2]LISTE!#REF!</definedName>
    <definedName name="Nanga_Eboko" localSheetId="0">[1]LISTE!#REF!</definedName>
    <definedName name="Nanga_Eboko">[2]LISTE!#REF!</definedName>
    <definedName name="Ndikinimeki" localSheetId="0">[1]LISTE!#REF!</definedName>
    <definedName name="Ndikinimeki">[2]LISTE!#REF!</definedName>
    <definedName name="Ngog_Mapubi" localSheetId="0">[1]LISTE!#REF!</definedName>
    <definedName name="Ngog_Mapubi">[2]LISTE!#REF!</definedName>
    <definedName name="Ngoumou" localSheetId="0">[1]LISTE!#REF!</definedName>
    <definedName name="Ngoumou">[2]LISTE!#REF!</definedName>
    <definedName name="Nkolbisson" localSheetId="0">[1]LISTE!#REF!</definedName>
    <definedName name="Nkolbisson">[2]LISTE!#REF!</definedName>
    <definedName name="Nkolndongo" localSheetId="0">[1]LISTE!#REF!</definedName>
    <definedName name="Nkolndongo">[2]LISTE!#REF!</definedName>
    <definedName name="Ntui" localSheetId="0">[1]LISTE!#REF!</definedName>
    <definedName name="Ntui">[2]LISTE!#REF!</definedName>
    <definedName name="Obala" localSheetId="0">[1]LISTE!#REF!</definedName>
    <definedName name="Obala">[2]LISTE!#REF!</definedName>
    <definedName name="Odza" localSheetId="0">[1]LISTE!#REF!</definedName>
    <definedName name="Odza">[2]LISTE!#REF!</definedName>
    <definedName name="Okola" localSheetId="0">[1]LISTE!#REF!</definedName>
    <definedName name="Okola">[2]LISTE!#REF!</definedName>
    <definedName name="Saa" localSheetId="0">[1]LISTE!#REF!</definedName>
    <definedName name="Saa">[2]LISTE!#REF!</definedName>
    <definedName name="Soa" localSheetId="0">[1]LISTE!#REF!</definedName>
    <definedName name="Soa">[2]LISTE!#REF!</definedName>
    <definedName name="Yoko" localSheetId="0">[1]LISTE!#REF!</definedName>
    <definedName name="Yoko">[2]LISTE!#REF!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Y707" i="2" l="1"/>
  <c r="BL707" i="2"/>
  <c r="C707" i="2"/>
  <c r="B707" i="2"/>
  <c r="CY706" i="2"/>
  <c r="BO706" i="2"/>
  <c r="BL706" i="2"/>
  <c r="C706" i="2"/>
  <c r="B706" i="2"/>
  <c r="CY705" i="2"/>
  <c r="BO705" i="2"/>
  <c r="BL705" i="2"/>
  <c r="C705" i="2"/>
  <c r="B705" i="2"/>
  <c r="CY704" i="2"/>
  <c r="BO704" i="2"/>
  <c r="BL704" i="2"/>
  <c r="C704" i="2"/>
  <c r="B704" i="2"/>
  <c r="CY703" i="2"/>
  <c r="BO703" i="2"/>
  <c r="BL703" i="2"/>
  <c r="C703" i="2"/>
  <c r="B703" i="2"/>
  <c r="CY702" i="2"/>
  <c r="BO702" i="2"/>
  <c r="BL702" i="2"/>
  <c r="C702" i="2"/>
  <c r="B702" i="2"/>
  <c r="CY701" i="2"/>
  <c r="BO701" i="2"/>
  <c r="BL701" i="2"/>
  <c r="C701" i="2"/>
  <c r="B701" i="2"/>
  <c r="CY700" i="2"/>
  <c r="BO700" i="2"/>
  <c r="BL700" i="2"/>
  <c r="C700" i="2"/>
  <c r="B700" i="2"/>
  <c r="CY699" i="2"/>
  <c r="BO699" i="2"/>
  <c r="BL699" i="2"/>
  <c r="BJ699" i="2"/>
  <c r="C699" i="2"/>
  <c r="B699" i="2"/>
  <c r="CY698" i="2"/>
  <c r="BO698" i="2"/>
  <c r="BL698" i="2"/>
  <c r="BJ698" i="2"/>
  <c r="C698" i="2"/>
  <c r="B698" i="2"/>
  <c r="CY697" i="2"/>
  <c r="BO697" i="2"/>
  <c r="BL697" i="2"/>
  <c r="BJ697" i="2"/>
  <c r="C697" i="2"/>
  <c r="B697" i="2"/>
  <c r="CY696" i="2"/>
  <c r="BO696" i="2"/>
  <c r="BL696" i="2"/>
  <c r="BJ696" i="2"/>
  <c r="C696" i="2"/>
  <c r="B696" i="2"/>
  <c r="CY695" i="2"/>
  <c r="BO695" i="2"/>
  <c r="BL695" i="2"/>
  <c r="BJ695" i="2"/>
  <c r="C695" i="2"/>
  <c r="B695" i="2"/>
  <c r="CY694" i="2"/>
  <c r="BO694" i="2"/>
  <c r="BL694" i="2"/>
  <c r="BJ694" i="2"/>
  <c r="C694" i="2"/>
  <c r="B694" i="2"/>
  <c r="CY693" i="2"/>
  <c r="BO693" i="2"/>
  <c r="BL693" i="2"/>
  <c r="BJ693" i="2"/>
  <c r="C693" i="2"/>
  <c r="B693" i="2"/>
  <c r="CY692" i="2"/>
  <c r="BO692" i="2"/>
  <c r="BL692" i="2"/>
  <c r="BJ692" i="2"/>
  <c r="C692" i="2"/>
  <c r="B692" i="2"/>
  <c r="CY691" i="2"/>
  <c r="BO691" i="2"/>
  <c r="BL691" i="2"/>
  <c r="BJ691" i="2"/>
  <c r="C691" i="2"/>
  <c r="B691" i="2"/>
  <c r="CY690" i="2"/>
  <c r="BO690" i="2"/>
  <c r="BL690" i="2"/>
  <c r="BJ690" i="2"/>
  <c r="C690" i="2"/>
  <c r="B690" i="2"/>
  <c r="CY689" i="2"/>
  <c r="BO689" i="2"/>
  <c r="BL689" i="2"/>
  <c r="BJ689" i="2"/>
  <c r="C689" i="2"/>
  <c r="B689" i="2"/>
  <c r="CY688" i="2"/>
  <c r="BO688" i="2"/>
  <c r="BL688" i="2"/>
  <c r="BJ688" i="2"/>
  <c r="C688" i="2"/>
  <c r="B688" i="2"/>
  <c r="CY687" i="2"/>
  <c r="BO687" i="2"/>
  <c r="BL687" i="2"/>
  <c r="BJ687" i="2"/>
  <c r="C687" i="2"/>
  <c r="B687" i="2"/>
  <c r="CY686" i="2"/>
  <c r="BO686" i="2"/>
  <c r="BL686" i="2"/>
  <c r="BJ686" i="2"/>
  <c r="C686" i="2"/>
  <c r="B686" i="2"/>
  <c r="CY685" i="2"/>
  <c r="BO685" i="2"/>
  <c r="BL685" i="2"/>
  <c r="BJ685" i="2"/>
  <c r="C685" i="2"/>
  <c r="B685" i="2"/>
  <c r="CY684" i="2"/>
  <c r="BO684" i="2"/>
  <c r="BL684" i="2"/>
  <c r="BJ684" i="2"/>
  <c r="C684" i="2"/>
  <c r="B684" i="2"/>
  <c r="CY683" i="2"/>
  <c r="BO683" i="2"/>
  <c r="BL683" i="2"/>
  <c r="BJ683" i="2"/>
  <c r="C683" i="2"/>
  <c r="B683" i="2"/>
  <c r="CY682" i="2"/>
  <c r="BO682" i="2"/>
  <c r="BL682" i="2"/>
  <c r="BJ682" i="2"/>
  <c r="C682" i="2"/>
  <c r="B682" i="2"/>
  <c r="CY681" i="2"/>
  <c r="BO681" i="2"/>
  <c r="BL681" i="2"/>
  <c r="BJ681" i="2"/>
  <c r="C681" i="2"/>
  <c r="B681" i="2"/>
  <c r="CY680" i="2"/>
  <c r="BO680" i="2"/>
  <c r="BL680" i="2"/>
  <c r="BJ680" i="2"/>
  <c r="C680" i="2"/>
  <c r="B680" i="2"/>
  <c r="CY679" i="2"/>
  <c r="BO679" i="2"/>
  <c r="BL679" i="2"/>
  <c r="BJ679" i="2"/>
  <c r="C679" i="2"/>
  <c r="B679" i="2"/>
  <c r="CY678" i="2"/>
  <c r="BO678" i="2"/>
  <c r="BL678" i="2"/>
  <c r="BJ678" i="2"/>
  <c r="C678" i="2"/>
  <c r="B678" i="2"/>
  <c r="CY677" i="2"/>
  <c r="BO677" i="2"/>
  <c r="BL677" i="2"/>
  <c r="BJ677" i="2"/>
  <c r="C677" i="2"/>
  <c r="B677" i="2"/>
  <c r="CY676" i="2"/>
  <c r="BO676" i="2"/>
  <c r="BL676" i="2"/>
  <c r="BJ676" i="2"/>
  <c r="C676" i="2"/>
  <c r="B676" i="2"/>
  <c r="CY675" i="2"/>
  <c r="BO675" i="2"/>
  <c r="BL675" i="2"/>
  <c r="BJ675" i="2"/>
  <c r="C675" i="2"/>
  <c r="B675" i="2"/>
  <c r="CY674" i="2"/>
  <c r="BO674" i="2"/>
  <c r="BL674" i="2"/>
  <c r="BJ674" i="2"/>
  <c r="C674" i="2"/>
  <c r="B674" i="2"/>
  <c r="CY673" i="2"/>
  <c r="BO673" i="2"/>
  <c r="BL673" i="2"/>
  <c r="BJ673" i="2"/>
  <c r="C673" i="2"/>
  <c r="B673" i="2"/>
  <c r="CY672" i="2"/>
  <c r="BO672" i="2"/>
  <c r="BL672" i="2"/>
  <c r="BJ672" i="2"/>
  <c r="C672" i="2"/>
  <c r="B672" i="2"/>
  <c r="CY671" i="2"/>
  <c r="BO671" i="2"/>
  <c r="BL671" i="2"/>
  <c r="BJ671" i="2"/>
  <c r="C671" i="2"/>
  <c r="B671" i="2"/>
  <c r="CY670" i="2"/>
  <c r="BO670" i="2"/>
  <c r="BL670" i="2"/>
  <c r="BJ670" i="2"/>
  <c r="C670" i="2"/>
  <c r="B670" i="2"/>
  <c r="CY669" i="2"/>
  <c r="BO669" i="2"/>
  <c r="BL669" i="2"/>
  <c r="BJ669" i="2"/>
  <c r="C669" i="2"/>
  <c r="B669" i="2"/>
  <c r="CY668" i="2"/>
  <c r="BO668" i="2"/>
  <c r="BL668" i="2"/>
  <c r="BJ668" i="2"/>
  <c r="C668" i="2"/>
  <c r="B668" i="2"/>
  <c r="CY667" i="2"/>
  <c r="BO667" i="2"/>
  <c r="BL667" i="2"/>
  <c r="BJ667" i="2"/>
  <c r="C667" i="2"/>
  <c r="B667" i="2"/>
  <c r="CY666" i="2"/>
  <c r="BO666" i="2"/>
  <c r="BL666" i="2"/>
  <c r="BJ666" i="2"/>
  <c r="C666" i="2"/>
  <c r="B666" i="2"/>
  <c r="CY665" i="2"/>
  <c r="BO665" i="2"/>
  <c r="BL665" i="2"/>
  <c r="BJ665" i="2"/>
  <c r="C665" i="2"/>
  <c r="B665" i="2"/>
  <c r="CY664" i="2"/>
  <c r="BO664" i="2"/>
  <c r="BL664" i="2"/>
  <c r="BJ664" i="2"/>
  <c r="C664" i="2"/>
  <c r="B664" i="2"/>
  <c r="CY663" i="2"/>
  <c r="BO663" i="2"/>
  <c r="BL663" i="2"/>
  <c r="BJ663" i="2"/>
  <c r="C663" i="2"/>
  <c r="B663" i="2"/>
  <c r="CY662" i="2"/>
  <c r="BO662" i="2"/>
  <c r="BL662" i="2"/>
  <c r="BJ662" i="2"/>
  <c r="C662" i="2"/>
  <c r="B662" i="2"/>
  <c r="CY661" i="2"/>
  <c r="BO661" i="2"/>
  <c r="BL661" i="2"/>
  <c r="BJ661" i="2"/>
  <c r="C661" i="2"/>
  <c r="B661" i="2"/>
  <c r="CY660" i="2"/>
  <c r="BO660" i="2"/>
  <c r="BL660" i="2"/>
  <c r="BJ660" i="2"/>
  <c r="C660" i="2"/>
  <c r="B660" i="2"/>
  <c r="CY659" i="2"/>
  <c r="BO659" i="2"/>
  <c r="BL659" i="2"/>
  <c r="BJ659" i="2"/>
  <c r="C659" i="2"/>
  <c r="B659" i="2"/>
  <c r="CY658" i="2"/>
  <c r="BO658" i="2"/>
  <c r="BL658" i="2"/>
  <c r="BJ658" i="2"/>
  <c r="C658" i="2"/>
  <c r="B658" i="2"/>
  <c r="CY657" i="2"/>
  <c r="BO657" i="2"/>
  <c r="BL657" i="2"/>
  <c r="BJ657" i="2"/>
  <c r="C657" i="2"/>
  <c r="B657" i="2"/>
  <c r="CY656" i="2"/>
  <c r="BO656" i="2"/>
  <c r="BL656" i="2"/>
  <c r="BJ656" i="2"/>
  <c r="C656" i="2"/>
  <c r="B656" i="2"/>
  <c r="CY655" i="2"/>
  <c r="BO655" i="2"/>
  <c r="BL655" i="2"/>
  <c r="BJ655" i="2"/>
  <c r="C655" i="2"/>
  <c r="B655" i="2"/>
  <c r="CY654" i="2"/>
  <c r="BO654" i="2"/>
  <c r="BL654" i="2"/>
  <c r="BJ654" i="2"/>
  <c r="C654" i="2"/>
  <c r="B654" i="2"/>
  <c r="CY653" i="2"/>
  <c r="BO653" i="2"/>
  <c r="BL653" i="2"/>
  <c r="BJ653" i="2"/>
  <c r="C653" i="2"/>
  <c r="B653" i="2"/>
  <c r="CY652" i="2"/>
  <c r="BO652" i="2"/>
  <c r="BL652" i="2"/>
  <c r="BJ652" i="2"/>
  <c r="C652" i="2"/>
  <c r="B652" i="2"/>
  <c r="CY651" i="2"/>
  <c r="BO651" i="2"/>
  <c r="BL651" i="2"/>
  <c r="BJ651" i="2"/>
  <c r="C651" i="2"/>
  <c r="B651" i="2"/>
  <c r="CY650" i="2"/>
  <c r="BO650" i="2"/>
  <c r="BL650" i="2"/>
  <c r="BJ650" i="2"/>
  <c r="C650" i="2"/>
  <c r="B650" i="2"/>
  <c r="CY649" i="2"/>
  <c r="BO649" i="2"/>
  <c r="BL649" i="2"/>
  <c r="BJ649" i="2"/>
  <c r="C649" i="2"/>
  <c r="B649" i="2"/>
  <c r="CY648" i="2"/>
  <c r="BO648" i="2"/>
  <c r="BL648" i="2"/>
  <c r="BJ648" i="2"/>
  <c r="C648" i="2"/>
  <c r="B648" i="2"/>
  <c r="CY647" i="2"/>
  <c r="BO647" i="2"/>
  <c r="BL647" i="2"/>
  <c r="BJ647" i="2"/>
  <c r="C647" i="2"/>
  <c r="B647" i="2"/>
  <c r="CY646" i="2"/>
  <c r="BO646" i="2"/>
  <c r="BL646" i="2"/>
  <c r="BJ646" i="2"/>
  <c r="C646" i="2"/>
  <c r="B646" i="2"/>
  <c r="CY645" i="2"/>
  <c r="BO645" i="2"/>
  <c r="BL645" i="2"/>
  <c r="BJ645" i="2"/>
  <c r="C645" i="2"/>
  <c r="B645" i="2"/>
  <c r="CY644" i="2"/>
  <c r="BO644" i="2"/>
  <c r="BL644" i="2"/>
  <c r="BJ644" i="2"/>
  <c r="C644" i="2"/>
  <c r="B644" i="2"/>
  <c r="CY643" i="2"/>
  <c r="BO643" i="2"/>
  <c r="BL643" i="2"/>
  <c r="BJ643" i="2"/>
  <c r="C643" i="2"/>
  <c r="B643" i="2"/>
  <c r="CY642" i="2"/>
  <c r="BO642" i="2"/>
  <c r="BL642" i="2"/>
  <c r="BJ642" i="2"/>
  <c r="C642" i="2"/>
  <c r="B642" i="2"/>
  <c r="CY641" i="2"/>
  <c r="BO641" i="2"/>
  <c r="BL641" i="2"/>
  <c r="BJ641" i="2"/>
  <c r="C641" i="2"/>
  <c r="B641" i="2"/>
  <c r="CY640" i="2"/>
  <c r="BO640" i="2"/>
  <c r="BL640" i="2"/>
  <c r="BJ640" i="2"/>
  <c r="C640" i="2"/>
  <c r="B640" i="2"/>
  <c r="CY639" i="2"/>
  <c r="BO639" i="2"/>
  <c r="BL639" i="2"/>
  <c r="BJ639" i="2"/>
  <c r="C639" i="2"/>
  <c r="B639" i="2"/>
  <c r="CY638" i="2"/>
  <c r="BO638" i="2"/>
  <c r="BL638" i="2"/>
  <c r="BJ638" i="2"/>
  <c r="C638" i="2"/>
  <c r="B638" i="2"/>
  <c r="CY637" i="2"/>
  <c r="BO637" i="2"/>
  <c r="BL637" i="2"/>
  <c r="BJ637" i="2"/>
  <c r="C637" i="2"/>
  <c r="B637" i="2"/>
  <c r="CY636" i="2"/>
  <c r="BO636" i="2"/>
  <c r="BL636" i="2"/>
  <c r="BJ636" i="2"/>
  <c r="C636" i="2"/>
  <c r="B636" i="2"/>
  <c r="CY635" i="2"/>
  <c r="BO635" i="2"/>
  <c r="BL635" i="2"/>
  <c r="BJ635" i="2"/>
  <c r="C635" i="2"/>
  <c r="B635" i="2"/>
  <c r="CY634" i="2"/>
  <c r="BO634" i="2"/>
  <c r="BL634" i="2"/>
  <c r="BJ634" i="2"/>
  <c r="C634" i="2"/>
  <c r="B634" i="2"/>
  <c r="CY633" i="2"/>
  <c r="BO633" i="2"/>
  <c r="BL633" i="2"/>
  <c r="BJ633" i="2"/>
  <c r="C633" i="2"/>
  <c r="B633" i="2"/>
  <c r="CY632" i="2"/>
  <c r="BO632" i="2"/>
  <c r="BL632" i="2"/>
  <c r="BJ632" i="2"/>
  <c r="C632" i="2"/>
  <c r="B632" i="2"/>
  <c r="CY631" i="2"/>
  <c r="BO631" i="2"/>
  <c r="BL631" i="2"/>
  <c r="BJ631" i="2"/>
  <c r="C631" i="2"/>
  <c r="B631" i="2"/>
  <c r="CY630" i="2"/>
  <c r="BO630" i="2"/>
  <c r="BL630" i="2"/>
  <c r="BJ630" i="2"/>
  <c r="C630" i="2"/>
  <c r="B630" i="2"/>
  <c r="CY629" i="2"/>
  <c r="BO629" i="2"/>
  <c r="BL629" i="2"/>
  <c r="BJ629" i="2"/>
  <c r="C629" i="2"/>
  <c r="B629" i="2"/>
  <c r="CY628" i="2"/>
  <c r="BO628" i="2"/>
  <c r="BL628" i="2"/>
  <c r="BJ628" i="2"/>
  <c r="C628" i="2"/>
  <c r="B628" i="2"/>
  <c r="CY627" i="2"/>
  <c r="BO627" i="2"/>
  <c r="BL627" i="2"/>
  <c r="BJ627" i="2"/>
  <c r="C627" i="2"/>
  <c r="B627" i="2"/>
  <c r="CY626" i="2"/>
  <c r="BO626" i="2"/>
  <c r="BL626" i="2"/>
  <c r="BJ626" i="2"/>
  <c r="C626" i="2"/>
  <c r="B626" i="2"/>
  <c r="CY625" i="2"/>
  <c r="BO625" i="2"/>
  <c r="BL625" i="2"/>
  <c r="BJ625" i="2"/>
  <c r="C625" i="2"/>
  <c r="B625" i="2"/>
  <c r="CY624" i="2"/>
  <c r="BO624" i="2"/>
  <c r="BL624" i="2"/>
  <c r="BJ624" i="2"/>
  <c r="C624" i="2"/>
  <c r="B624" i="2"/>
  <c r="CY623" i="2"/>
  <c r="BO623" i="2"/>
  <c r="BL623" i="2"/>
  <c r="BJ623" i="2"/>
  <c r="C623" i="2"/>
  <c r="B623" i="2"/>
  <c r="CY622" i="2"/>
  <c r="BO622" i="2"/>
  <c r="BL622" i="2"/>
  <c r="BJ622" i="2"/>
  <c r="C622" i="2"/>
  <c r="B622" i="2"/>
  <c r="CY621" i="2"/>
  <c r="BO621" i="2"/>
  <c r="BL621" i="2"/>
  <c r="BJ621" i="2"/>
  <c r="C621" i="2"/>
  <c r="B621" i="2"/>
  <c r="CY620" i="2"/>
  <c r="BO620" i="2"/>
  <c r="BL620" i="2"/>
  <c r="BJ620" i="2"/>
  <c r="C620" i="2"/>
  <c r="B620" i="2"/>
  <c r="CY619" i="2"/>
  <c r="BO619" i="2"/>
  <c r="BL619" i="2"/>
  <c r="BJ619" i="2"/>
  <c r="C619" i="2"/>
  <c r="B619" i="2"/>
  <c r="CY618" i="2"/>
  <c r="BO618" i="2"/>
  <c r="BL618" i="2"/>
  <c r="BJ618" i="2"/>
  <c r="C618" i="2"/>
  <c r="B618" i="2"/>
  <c r="CY617" i="2"/>
  <c r="BO617" i="2"/>
  <c r="BL617" i="2"/>
  <c r="BJ617" i="2"/>
  <c r="C617" i="2"/>
  <c r="B617" i="2"/>
  <c r="CY616" i="2"/>
  <c r="BO616" i="2"/>
  <c r="BL616" i="2"/>
  <c r="BJ616" i="2"/>
  <c r="C616" i="2"/>
  <c r="B616" i="2"/>
  <c r="CY615" i="2"/>
  <c r="BO615" i="2"/>
  <c r="BL615" i="2"/>
  <c r="BJ615" i="2"/>
  <c r="C615" i="2"/>
  <c r="B615" i="2"/>
  <c r="CY614" i="2"/>
  <c r="BO614" i="2"/>
  <c r="BL614" i="2"/>
  <c r="BJ614" i="2"/>
  <c r="C614" i="2"/>
  <c r="B614" i="2"/>
  <c r="CY613" i="2"/>
  <c r="BO613" i="2"/>
  <c r="BL613" i="2"/>
  <c r="BJ613" i="2"/>
  <c r="C613" i="2"/>
  <c r="B613" i="2"/>
  <c r="CY612" i="2"/>
  <c r="BO612" i="2"/>
  <c r="BL612" i="2"/>
  <c r="BJ612" i="2"/>
  <c r="C612" i="2"/>
  <c r="B612" i="2"/>
  <c r="CY611" i="2"/>
  <c r="BO611" i="2"/>
  <c r="BL611" i="2"/>
  <c r="BJ611" i="2"/>
  <c r="C611" i="2"/>
  <c r="B611" i="2"/>
  <c r="CY610" i="2"/>
  <c r="BO610" i="2"/>
  <c r="BL610" i="2"/>
  <c r="BJ610" i="2"/>
  <c r="C610" i="2"/>
  <c r="B610" i="2"/>
  <c r="CY609" i="2"/>
  <c r="BO609" i="2"/>
  <c r="BL609" i="2"/>
  <c r="BJ609" i="2"/>
  <c r="C609" i="2"/>
  <c r="B609" i="2"/>
  <c r="CY608" i="2"/>
  <c r="BO608" i="2"/>
  <c r="BL608" i="2"/>
  <c r="BJ608" i="2"/>
  <c r="C608" i="2"/>
  <c r="B608" i="2"/>
  <c r="CY607" i="2"/>
  <c r="BO607" i="2"/>
  <c r="BL607" i="2"/>
  <c r="BJ607" i="2"/>
  <c r="C607" i="2"/>
  <c r="B607" i="2"/>
  <c r="CY606" i="2"/>
  <c r="BO606" i="2"/>
  <c r="BL606" i="2"/>
  <c r="BJ606" i="2"/>
  <c r="C606" i="2"/>
  <c r="B606" i="2"/>
  <c r="CY605" i="2"/>
  <c r="BO605" i="2"/>
  <c r="BL605" i="2"/>
  <c r="BJ605" i="2"/>
  <c r="C605" i="2"/>
  <c r="B605" i="2"/>
  <c r="CY604" i="2"/>
  <c r="BO604" i="2"/>
  <c r="BL604" i="2"/>
  <c r="C604" i="2"/>
  <c r="B604" i="2"/>
  <c r="CY603" i="2"/>
  <c r="BO603" i="2"/>
  <c r="BL603" i="2"/>
  <c r="C603" i="2"/>
  <c r="B603" i="2"/>
  <c r="CY602" i="2"/>
  <c r="BO602" i="2"/>
  <c r="BL602" i="2"/>
  <c r="BJ602" i="2"/>
  <c r="C602" i="2"/>
  <c r="B602" i="2"/>
  <c r="CY601" i="2"/>
  <c r="BO601" i="2"/>
  <c r="BL601" i="2"/>
  <c r="C601" i="2"/>
  <c r="B601" i="2"/>
  <c r="CY600" i="2"/>
  <c r="BO600" i="2"/>
  <c r="BL600" i="2"/>
  <c r="C600" i="2"/>
  <c r="B600" i="2"/>
  <c r="CY599" i="2"/>
  <c r="BO599" i="2"/>
  <c r="BL599" i="2"/>
  <c r="BJ599" i="2"/>
  <c r="C599" i="2"/>
  <c r="B599" i="2"/>
  <c r="CY598" i="2"/>
  <c r="BO598" i="2"/>
  <c r="BL598" i="2"/>
  <c r="C598" i="2"/>
  <c r="B598" i="2"/>
  <c r="CY597" i="2"/>
  <c r="BO597" i="2"/>
  <c r="BL597" i="2"/>
  <c r="BJ597" i="2"/>
  <c r="C597" i="2"/>
  <c r="B597" i="2"/>
  <c r="CY596" i="2"/>
  <c r="BO596" i="2"/>
  <c r="BL596" i="2"/>
  <c r="BJ596" i="2"/>
  <c r="C596" i="2"/>
  <c r="B596" i="2"/>
  <c r="CY595" i="2"/>
  <c r="BO595" i="2"/>
  <c r="BL595" i="2"/>
  <c r="BJ595" i="2"/>
  <c r="C595" i="2"/>
  <c r="B595" i="2"/>
  <c r="CY594" i="2"/>
  <c r="BO594" i="2"/>
  <c r="BL594" i="2"/>
  <c r="BJ594" i="2"/>
  <c r="C594" i="2"/>
  <c r="B594" i="2"/>
  <c r="CY593" i="2"/>
  <c r="BO593" i="2"/>
  <c r="BL593" i="2"/>
  <c r="BJ593" i="2"/>
  <c r="C593" i="2"/>
  <c r="B593" i="2"/>
  <c r="CY592" i="2"/>
  <c r="BO592" i="2"/>
  <c r="BL592" i="2"/>
  <c r="BJ592" i="2"/>
  <c r="C592" i="2"/>
  <c r="B592" i="2"/>
  <c r="CY591" i="2"/>
  <c r="BO591" i="2"/>
  <c r="BL591" i="2"/>
  <c r="BJ591" i="2"/>
  <c r="C591" i="2"/>
  <c r="B591" i="2"/>
  <c r="CY590" i="2"/>
  <c r="BO590" i="2"/>
  <c r="BL590" i="2"/>
  <c r="BJ590" i="2"/>
  <c r="C590" i="2"/>
  <c r="B590" i="2"/>
  <c r="CY589" i="2"/>
  <c r="BO589" i="2"/>
  <c r="BL589" i="2"/>
  <c r="BJ589" i="2"/>
  <c r="C589" i="2"/>
  <c r="B589" i="2"/>
  <c r="CY588" i="2"/>
  <c r="BO588" i="2"/>
  <c r="BL588" i="2"/>
  <c r="BJ588" i="2"/>
  <c r="C588" i="2"/>
  <c r="B588" i="2"/>
  <c r="CY587" i="2"/>
  <c r="BO587" i="2"/>
  <c r="BL587" i="2"/>
  <c r="BJ587" i="2"/>
  <c r="C587" i="2"/>
  <c r="B587" i="2"/>
  <c r="CY586" i="2"/>
  <c r="BO586" i="2"/>
  <c r="BL586" i="2"/>
  <c r="BJ586" i="2"/>
  <c r="C586" i="2"/>
  <c r="B586" i="2"/>
  <c r="CY585" i="2"/>
  <c r="BO585" i="2"/>
  <c r="BL585" i="2"/>
  <c r="BJ585" i="2"/>
  <c r="C585" i="2"/>
  <c r="B585" i="2"/>
  <c r="CY584" i="2"/>
  <c r="BO584" i="2"/>
  <c r="BL584" i="2"/>
  <c r="BJ584" i="2"/>
  <c r="C584" i="2"/>
  <c r="B584" i="2"/>
  <c r="CY583" i="2"/>
  <c r="BO583" i="2"/>
  <c r="BL583" i="2"/>
  <c r="BJ583" i="2"/>
  <c r="C583" i="2"/>
  <c r="B583" i="2"/>
  <c r="CY582" i="2"/>
  <c r="BO582" i="2"/>
  <c r="BL582" i="2"/>
  <c r="BJ582" i="2"/>
  <c r="C582" i="2"/>
  <c r="B582" i="2"/>
  <c r="CY581" i="2"/>
  <c r="BO581" i="2"/>
  <c r="BL581" i="2"/>
  <c r="BJ581" i="2"/>
  <c r="C581" i="2"/>
  <c r="B581" i="2"/>
  <c r="CY580" i="2"/>
  <c r="BO580" i="2"/>
  <c r="BL580" i="2"/>
  <c r="BJ580" i="2"/>
  <c r="C580" i="2"/>
  <c r="B580" i="2"/>
  <c r="CY579" i="2"/>
  <c r="BO579" i="2"/>
  <c r="BL579" i="2"/>
  <c r="BJ579" i="2"/>
  <c r="C579" i="2"/>
  <c r="B579" i="2"/>
  <c r="CY578" i="2"/>
  <c r="BO578" i="2"/>
  <c r="BL578" i="2"/>
  <c r="BJ578" i="2"/>
  <c r="C578" i="2"/>
  <c r="B578" i="2"/>
  <c r="CY577" i="2"/>
  <c r="BO577" i="2"/>
  <c r="BL577" i="2"/>
  <c r="BJ577" i="2"/>
  <c r="C577" i="2"/>
  <c r="B577" i="2"/>
  <c r="CY576" i="2"/>
  <c r="BO576" i="2"/>
  <c r="BL576" i="2"/>
  <c r="BJ576" i="2"/>
  <c r="C576" i="2"/>
  <c r="B576" i="2"/>
  <c r="CY575" i="2"/>
  <c r="BO575" i="2"/>
  <c r="BL575" i="2"/>
  <c r="BJ575" i="2"/>
  <c r="C575" i="2"/>
  <c r="B575" i="2"/>
  <c r="CY574" i="2"/>
  <c r="BO574" i="2"/>
  <c r="BL574" i="2"/>
  <c r="BJ574" i="2"/>
  <c r="C574" i="2"/>
  <c r="B574" i="2"/>
  <c r="CY573" i="2"/>
  <c r="BO573" i="2"/>
  <c r="BL573" i="2"/>
  <c r="BJ573" i="2"/>
  <c r="C573" i="2"/>
  <c r="B573" i="2"/>
  <c r="CY572" i="2"/>
  <c r="BO572" i="2"/>
  <c r="BL572" i="2"/>
  <c r="BJ572" i="2"/>
  <c r="C572" i="2"/>
  <c r="B572" i="2"/>
  <c r="CY571" i="2"/>
  <c r="BO571" i="2"/>
  <c r="BL571" i="2"/>
  <c r="BJ571" i="2"/>
  <c r="C571" i="2"/>
  <c r="B571" i="2"/>
  <c r="CY570" i="2"/>
  <c r="BO570" i="2"/>
  <c r="BL570" i="2"/>
  <c r="BJ570" i="2"/>
  <c r="C570" i="2"/>
  <c r="B570" i="2"/>
  <c r="CY569" i="2"/>
  <c r="BO569" i="2"/>
  <c r="BL569" i="2"/>
  <c r="BJ569" i="2"/>
  <c r="C569" i="2"/>
  <c r="B569" i="2"/>
  <c r="CY568" i="2"/>
  <c r="BO568" i="2"/>
  <c r="BL568" i="2"/>
  <c r="BJ568" i="2"/>
  <c r="C568" i="2"/>
  <c r="B568" i="2"/>
  <c r="CY567" i="2"/>
  <c r="BO567" i="2"/>
  <c r="BL567" i="2"/>
  <c r="BJ567" i="2"/>
  <c r="C567" i="2"/>
  <c r="B567" i="2"/>
  <c r="CY566" i="2"/>
  <c r="BO566" i="2"/>
  <c r="BL566" i="2"/>
  <c r="BJ566" i="2"/>
  <c r="C566" i="2"/>
  <c r="B566" i="2"/>
  <c r="CY565" i="2"/>
  <c r="BO565" i="2"/>
  <c r="BL565" i="2"/>
  <c r="BJ565" i="2"/>
  <c r="C565" i="2"/>
  <c r="B565" i="2"/>
  <c r="CY564" i="2"/>
  <c r="BO564" i="2"/>
  <c r="BL564" i="2"/>
  <c r="BJ564" i="2"/>
  <c r="C564" i="2"/>
  <c r="B564" i="2"/>
  <c r="CY563" i="2"/>
  <c r="BO563" i="2"/>
  <c r="BL563" i="2"/>
  <c r="BJ563" i="2"/>
  <c r="C563" i="2"/>
  <c r="B563" i="2"/>
  <c r="CY562" i="2"/>
  <c r="BO562" i="2"/>
  <c r="BL562" i="2"/>
  <c r="BJ562" i="2"/>
  <c r="C562" i="2"/>
  <c r="B562" i="2"/>
  <c r="CY561" i="2"/>
  <c r="BO561" i="2"/>
  <c r="BL561" i="2"/>
  <c r="BJ561" i="2"/>
  <c r="C561" i="2"/>
  <c r="B561" i="2"/>
  <c r="CY560" i="2"/>
  <c r="BO560" i="2"/>
  <c r="BL560" i="2"/>
  <c r="BJ560" i="2"/>
  <c r="C560" i="2"/>
  <c r="B560" i="2"/>
  <c r="CY559" i="2"/>
  <c r="BO559" i="2"/>
  <c r="BL559" i="2"/>
  <c r="BJ559" i="2"/>
  <c r="C559" i="2"/>
  <c r="B559" i="2"/>
  <c r="CY558" i="2"/>
  <c r="BO558" i="2"/>
  <c r="BL558" i="2"/>
  <c r="BJ558" i="2"/>
  <c r="C558" i="2"/>
  <c r="B558" i="2"/>
  <c r="CY557" i="2"/>
  <c r="BO557" i="2"/>
  <c r="BL557" i="2"/>
  <c r="BJ557" i="2"/>
  <c r="C557" i="2"/>
  <c r="B557" i="2"/>
  <c r="CY556" i="2"/>
  <c r="BO556" i="2"/>
  <c r="BL556" i="2"/>
  <c r="BJ556" i="2"/>
  <c r="C556" i="2"/>
  <c r="B556" i="2"/>
  <c r="CY555" i="2"/>
  <c r="BO555" i="2"/>
  <c r="BL555" i="2"/>
  <c r="BJ555" i="2"/>
  <c r="C555" i="2"/>
  <c r="B555" i="2"/>
  <c r="CY554" i="2"/>
  <c r="BO554" i="2"/>
  <c r="BL554" i="2"/>
  <c r="BJ554" i="2"/>
  <c r="C554" i="2"/>
  <c r="B554" i="2"/>
  <c r="CY553" i="2"/>
  <c r="BO553" i="2"/>
  <c r="BL553" i="2"/>
  <c r="BJ553" i="2"/>
  <c r="C553" i="2"/>
  <c r="B553" i="2"/>
  <c r="CY552" i="2"/>
  <c r="BO552" i="2"/>
  <c r="BL552" i="2"/>
  <c r="BJ552" i="2"/>
  <c r="C552" i="2"/>
  <c r="B552" i="2"/>
  <c r="CY551" i="2"/>
  <c r="BO551" i="2"/>
  <c r="BL551" i="2"/>
  <c r="BJ551" i="2"/>
  <c r="C551" i="2"/>
  <c r="B551" i="2"/>
  <c r="CY550" i="2"/>
  <c r="BO550" i="2"/>
  <c r="BL550" i="2"/>
  <c r="BJ550" i="2"/>
  <c r="C550" i="2"/>
  <c r="B550" i="2"/>
  <c r="CY549" i="2"/>
  <c r="BO549" i="2"/>
  <c r="BL549" i="2"/>
  <c r="BJ549" i="2"/>
  <c r="C549" i="2"/>
  <c r="B549" i="2"/>
  <c r="CY548" i="2"/>
  <c r="BO548" i="2"/>
  <c r="BL548" i="2"/>
  <c r="BJ548" i="2"/>
  <c r="C548" i="2"/>
  <c r="B548" i="2"/>
  <c r="CY547" i="2"/>
  <c r="BO547" i="2"/>
  <c r="BL547" i="2"/>
  <c r="BJ547" i="2"/>
  <c r="C547" i="2"/>
  <c r="B547" i="2"/>
  <c r="CY546" i="2"/>
  <c r="BO546" i="2"/>
  <c r="BL546" i="2"/>
  <c r="BJ546" i="2"/>
  <c r="C546" i="2"/>
  <c r="B546" i="2"/>
  <c r="CY545" i="2"/>
  <c r="BO545" i="2"/>
  <c r="BL545" i="2"/>
  <c r="BJ545" i="2"/>
  <c r="C545" i="2"/>
  <c r="B545" i="2"/>
  <c r="CY544" i="2"/>
  <c r="BO544" i="2"/>
  <c r="BL544" i="2"/>
  <c r="BJ544" i="2"/>
  <c r="C544" i="2"/>
  <c r="B544" i="2"/>
  <c r="CY543" i="2"/>
  <c r="BO543" i="2"/>
  <c r="BL543" i="2"/>
  <c r="BJ543" i="2"/>
  <c r="C543" i="2"/>
  <c r="B543" i="2"/>
  <c r="CY542" i="2"/>
  <c r="BO542" i="2"/>
  <c r="BL542" i="2"/>
  <c r="BJ542" i="2"/>
  <c r="C542" i="2"/>
  <c r="B542" i="2"/>
  <c r="CY541" i="2"/>
  <c r="BO541" i="2"/>
  <c r="BL541" i="2"/>
  <c r="BJ541" i="2"/>
  <c r="C541" i="2"/>
  <c r="B541" i="2"/>
  <c r="CY540" i="2"/>
  <c r="BO540" i="2"/>
  <c r="BL540" i="2"/>
  <c r="BJ540" i="2"/>
  <c r="C540" i="2"/>
  <c r="B540" i="2"/>
  <c r="CY539" i="2"/>
  <c r="BO539" i="2"/>
  <c r="BL539" i="2"/>
  <c r="BJ539" i="2"/>
  <c r="C539" i="2"/>
  <c r="B539" i="2"/>
  <c r="CY538" i="2"/>
  <c r="BO538" i="2"/>
  <c r="BL538" i="2"/>
  <c r="BJ538" i="2"/>
  <c r="C538" i="2"/>
  <c r="B538" i="2"/>
  <c r="CY537" i="2"/>
  <c r="BO537" i="2"/>
  <c r="BL537" i="2"/>
  <c r="BJ537" i="2"/>
  <c r="C537" i="2"/>
  <c r="B537" i="2"/>
  <c r="CY536" i="2"/>
  <c r="BO536" i="2"/>
  <c r="BL536" i="2"/>
  <c r="BJ536" i="2"/>
  <c r="C536" i="2"/>
  <c r="B536" i="2"/>
  <c r="CY535" i="2"/>
  <c r="BO535" i="2"/>
  <c r="BL535" i="2"/>
  <c r="BJ535" i="2"/>
  <c r="C535" i="2"/>
  <c r="B535" i="2"/>
  <c r="CY534" i="2"/>
  <c r="BO534" i="2"/>
  <c r="BL534" i="2"/>
  <c r="BJ534" i="2"/>
  <c r="C534" i="2"/>
  <c r="B534" i="2"/>
  <c r="CY533" i="2"/>
  <c r="BO533" i="2"/>
  <c r="BL533" i="2"/>
  <c r="BJ533" i="2"/>
  <c r="C533" i="2"/>
  <c r="B533" i="2"/>
  <c r="CY532" i="2"/>
  <c r="BO532" i="2"/>
  <c r="BL532" i="2"/>
  <c r="BJ532" i="2"/>
  <c r="C532" i="2"/>
  <c r="B532" i="2"/>
  <c r="CY531" i="2"/>
  <c r="BO531" i="2"/>
  <c r="BL531" i="2"/>
  <c r="BJ531" i="2"/>
  <c r="C531" i="2"/>
  <c r="B531" i="2"/>
  <c r="CY530" i="2"/>
  <c r="BO530" i="2"/>
  <c r="BL530" i="2"/>
  <c r="BJ530" i="2"/>
  <c r="C530" i="2"/>
  <c r="B530" i="2"/>
  <c r="CY529" i="2"/>
  <c r="BO529" i="2"/>
  <c r="BL529" i="2"/>
  <c r="BJ529" i="2"/>
  <c r="C529" i="2"/>
  <c r="B529" i="2"/>
  <c r="CY528" i="2"/>
  <c r="BO528" i="2"/>
  <c r="BL528" i="2"/>
  <c r="BJ528" i="2"/>
  <c r="C528" i="2"/>
  <c r="B528" i="2"/>
  <c r="CY527" i="2"/>
  <c r="BO527" i="2"/>
  <c r="BL527" i="2"/>
  <c r="BJ527" i="2"/>
  <c r="C527" i="2"/>
  <c r="B527" i="2"/>
  <c r="CY526" i="2"/>
  <c r="BO526" i="2"/>
  <c r="BL526" i="2"/>
  <c r="BJ526" i="2"/>
  <c r="C526" i="2"/>
  <c r="B526" i="2"/>
  <c r="CY525" i="2"/>
  <c r="BO525" i="2"/>
  <c r="BL525" i="2"/>
  <c r="BJ525" i="2"/>
  <c r="C525" i="2"/>
  <c r="B525" i="2"/>
  <c r="CY524" i="2"/>
  <c r="BO524" i="2"/>
  <c r="BL524" i="2"/>
  <c r="BJ524" i="2"/>
  <c r="C524" i="2"/>
  <c r="B524" i="2"/>
  <c r="CY523" i="2"/>
  <c r="BO523" i="2"/>
  <c r="BL523" i="2"/>
  <c r="BJ523" i="2"/>
  <c r="C523" i="2"/>
  <c r="B523" i="2"/>
  <c r="CY522" i="2"/>
  <c r="BO522" i="2"/>
  <c r="BL522" i="2"/>
  <c r="BJ522" i="2"/>
  <c r="C522" i="2"/>
  <c r="B522" i="2"/>
  <c r="CY521" i="2"/>
  <c r="BO521" i="2"/>
  <c r="BL521" i="2"/>
  <c r="BJ521" i="2"/>
  <c r="C521" i="2"/>
  <c r="B521" i="2"/>
  <c r="CY520" i="2"/>
  <c r="BO520" i="2"/>
  <c r="BL520" i="2"/>
  <c r="BJ520" i="2"/>
  <c r="C520" i="2"/>
  <c r="B520" i="2"/>
  <c r="CY519" i="2"/>
  <c r="BO519" i="2"/>
  <c r="BL519" i="2"/>
  <c r="BJ519" i="2"/>
  <c r="C519" i="2"/>
  <c r="B519" i="2"/>
  <c r="CY518" i="2"/>
  <c r="BO518" i="2"/>
  <c r="BL518" i="2"/>
  <c r="BJ518" i="2"/>
  <c r="C518" i="2"/>
  <c r="B518" i="2"/>
  <c r="CY517" i="2"/>
  <c r="BO517" i="2"/>
  <c r="BL517" i="2"/>
  <c r="BJ517" i="2"/>
  <c r="C517" i="2"/>
  <c r="B517" i="2"/>
  <c r="CY516" i="2"/>
  <c r="BO516" i="2"/>
  <c r="BL516" i="2"/>
  <c r="BJ516" i="2"/>
  <c r="C516" i="2"/>
  <c r="B516" i="2"/>
  <c r="CY515" i="2"/>
  <c r="BO515" i="2"/>
  <c r="BL515" i="2"/>
  <c r="BJ515" i="2"/>
  <c r="C515" i="2"/>
  <c r="B515" i="2"/>
  <c r="CY514" i="2"/>
  <c r="BO514" i="2"/>
  <c r="BL514" i="2"/>
  <c r="BJ514" i="2"/>
  <c r="C514" i="2"/>
  <c r="B514" i="2"/>
  <c r="CY513" i="2"/>
  <c r="BO513" i="2"/>
  <c r="BL513" i="2"/>
  <c r="BJ513" i="2"/>
  <c r="C513" i="2"/>
  <c r="B513" i="2"/>
  <c r="CY512" i="2"/>
  <c r="BO512" i="2"/>
  <c r="BL512" i="2"/>
  <c r="BJ512" i="2"/>
  <c r="C512" i="2"/>
  <c r="B512" i="2"/>
  <c r="CY511" i="2"/>
  <c r="BO511" i="2"/>
  <c r="BL511" i="2"/>
  <c r="BJ511" i="2"/>
  <c r="C511" i="2"/>
  <c r="B511" i="2"/>
  <c r="CY510" i="2"/>
  <c r="BO510" i="2"/>
  <c r="BL510" i="2"/>
  <c r="BJ510" i="2"/>
  <c r="C510" i="2"/>
  <c r="B510" i="2"/>
  <c r="CY509" i="2"/>
  <c r="BO509" i="2"/>
  <c r="BL509" i="2"/>
  <c r="BJ509" i="2"/>
  <c r="C509" i="2"/>
  <c r="B509" i="2"/>
  <c r="CY508" i="2"/>
  <c r="BO508" i="2"/>
  <c r="BL508" i="2"/>
  <c r="BJ508" i="2"/>
  <c r="C508" i="2"/>
  <c r="B508" i="2"/>
  <c r="CY507" i="2"/>
  <c r="BO507" i="2"/>
  <c r="BL507" i="2"/>
  <c r="BJ507" i="2"/>
  <c r="C507" i="2"/>
  <c r="B507" i="2"/>
  <c r="CY506" i="2"/>
  <c r="BO506" i="2"/>
  <c r="BL506" i="2"/>
  <c r="BJ506" i="2"/>
  <c r="C506" i="2"/>
  <c r="B506" i="2"/>
  <c r="CY505" i="2"/>
  <c r="BO505" i="2"/>
  <c r="BL505" i="2"/>
  <c r="BJ505" i="2"/>
  <c r="C505" i="2"/>
  <c r="B505" i="2"/>
  <c r="CY504" i="2"/>
  <c r="BO504" i="2"/>
  <c r="BL504" i="2"/>
  <c r="BJ504" i="2"/>
  <c r="C504" i="2"/>
  <c r="B504" i="2"/>
  <c r="CY503" i="2"/>
  <c r="BO503" i="2"/>
  <c r="BL503" i="2"/>
  <c r="BJ503" i="2"/>
  <c r="C503" i="2"/>
  <c r="B503" i="2"/>
  <c r="CY502" i="2"/>
  <c r="BO502" i="2"/>
  <c r="BL502" i="2"/>
  <c r="BJ502" i="2"/>
  <c r="C502" i="2"/>
  <c r="B502" i="2"/>
  <c r="CY501" i="2"/>
  <c r="BO501" i="2"/>
  <c r="BL501" i="2"/>
  <c r="BJ501" i="2"/>
  <c r="C501" i="2"/>
  <c r="B501" i="2"/>
  <c r="CY500" i="2"/>
  <c r="BO500" i="2"/>
  <c r="BL500" i="2"/>
  <c r="BJ500" i="2"/>
  <c r="C500" i="2"/>
  <c r="B500" i="2"/>
  <c r="CY499" i="2"/>
  <c r="BO499" i="2"/>
  <c r="BL499" i="2"/>
  <c r="BJ499" i="2"/>
  <c r="C499" i="2"/>
  <c r="B499" i="2"/>
  <c r="CY498" i="2"/>
  <c r="BO498" i="2"/>
  <c r="BL498" i="2"/>
  <c r="BJ498" i="2"/>
  <c r="C498" i="2"/>
  <c r="B498" i="2"/>
  <c r="CY497" i="2"/>
  <c r="BO497" i="2"/>
  <c r="BL497" i="2"/>
  <c r="BJ497" i="2"/>
  <c r="C497" i="2"/>
  <c r="B497" i="2"/>
  <c r="CY496" i="2"/>
  <c r="BO496" i="2"/>
  <c r="BL496" i="2"/>
  <c r="BJ496" i="2"/>
  <c r="C496" i="2"/>
  <c r="B496" i="2"/>
  <c r="CY495" i="2"/>
  <c r="BO495" i="2"/>
  <c r="BL495" i="2"/>
  <c r="BJ495" i="2"/>
  <c r="C495" i="2"/>
  <c r="B495" i="2"/>
  <c r="CY494" i="2"/>
  <c r="BO494" i="2"/>
  <c r="BL494" i="2"/>
  <c r="BJ494" i="2"/>
  <c r="C494" i="2"/>
  <c r="B494" i="2"/>
  <c r="CY493" i="2"/>
  <c r="BO493" i="2"/>
  <c r="BL493" i="2"/>
  <c r="BJ493" i="2"/>
  <c r="C493" i="2"/>
  <c r="B493" i="2"/>
  <c r="CY492" i="2"/>
  <c r="BO492" i="2"/>
  <c r="BL492" i="2"/>
  <c r="BJ492" i="2"/>
  <c r="C492" i="2"/>
  <c r="B492" i="2"/>
  <c r="CY491" i="2"/>
  <c r="BO491" i="2"/>
  <c r="BL491" i="2"/>
  <c r="BJ491" i="2"/>
  <c r="C491" i="2"/>
  <c r="B491" i="2"/>
  <c r="CY490" i="2"/>
  <c r="BO490" i="2"/>
  <c r="BL490" i="2"/>
  <c r="BJ490" i="2"/>
  <c r="C490" i="2"/>
  <c r="B490" i="2"/>
  <c r="CY489" i="2"/>
  <c r="BO489" i="2"/>
  <c r="BL489" i="2"/>
  <c r="BJ489" i="2"/>
  <c r="C489" i="2"/>
  <c r="B489" i="2"/>
  <c r="CY488" i="2"/>
  <c r="CU488" i="2"/>
  <c r="CT488" i="2"/>
  <c r="BO488" i="2"/>
  <c r="BL488" i="2"/>
  <c r="BJ488" i="2"/>
  <c r="C488" i="2"/>
  <c r="B488" i="2"/>
  <c r="CY487" i="2"/>
  <c r="CV487" i="2"/>
  <c r="CU487" i="2"/>
  <c r="CT487" i="2"/>
  <c r="CS487" i="2"/>
  <c r="CR487" i="2"/>
  <c r="BO487" i="2"/>
  <c r="BL487" i="2"/>
  <c r="BJ487" i="2"/>
  <c r="C487" i="2"/>
  <c r="B487" i="2"/>
  <c r="CY486" i="2"/>
  <c r="CV486" i="2"/>
  <c r="CU486" i="2"/>
  <c r="CT486" i="2"/>
  <c r="CS486" i="2"/>
  <c r="CR486" i="2"/>
  <c r="BO486" i="2"/>
  <c r="BL486" i="2"/>
  <c r="BJ486" i="2"/>
  <c r="C486" i="2"/>
  <c r="B486" i="2"/>
  <c r="CY485" i="2"/>
  <c r="CV485" i="2"/>
  <c r="CU485" i="2"/>
  <c r="CT485" i="2"/>
  <c r="CS485" i="2"/>
  <c r="CR485" i="2"/>
  <c r="BO485" i="2"/>
  <c r="BL485" i="2"/>
  <c r="BJ485" i="2"/>
  <c r="C485" i="2"/>
  <c r="B485" i="2"/>
  <c r="CY484" i="2"/>
  <c r="CV484" i="2"/>
  <c r="CU484" i="2"/>
  <c r="CT484" i="2"/>
  <c r="CS484" i="2"/>
  <c r="CR484" i="2"/>
  <c r="BO484" i="2"/>
  <c r="BL484" i="2"/>
  <c r="BJ484" i="2"/>
  <c r="C484" i="2"/>
  <c r="B484" i="2"/>
  <c r="CY483" i="2"/>
  <c r="CV483" i="2"/>
  <c r="CU483" i="2"/>
  <c r="CT483" i="2"/>
  <c r="CS483" i="2"/>
  <c r="CR483" i="2"/>
  <c r="BO483" i="2"/>
  <c r="BL483" i="2"/>
  <c r="BJ483" i="2"/>
  <c r="C483" i="2"/>
  <c r="B483" i="2"/>
  <c r="CY482" i="2"/>
  <c r="CV482" i="2"/>
  <c r="CU482" i="2"/>
  <c r="CT482" i="2"/>
  <c r="CS482" i="2"/>
  <c r="CR482" i="2"/>
  <c r="BO482" i="2"/>
  <c r="BL482" i="2"/>
  <c r="BJ482" i="2"/>
  <c r="C482" i="2"/>
  <c r="B482" i="2"/>
  <c r="CY481" i="2"/>
  <c r="CV481" i="2"/>
  <c r="CU481" i="2"/>
  <c r="CT481" i="2"/>
  <c r="CS481" i="2"/>
  <c r="CR481" i="2"/>
  <c r="BO481" i="2"/>
  <c r="BL481" i="2"/>
  <c r="BJ481" i="2"/>
  <c r="C481" i="2"/>
  <c r="B481" i="2"/>
  <c r="CY480" i="2"/>
  <c r="CV480" i="2"/>
  <c r="CT480" i="2"/>
  <c r="CS480" i="2"/>
  <c r="CR480" i="2"/>
  <c r="BO480" i="2"/>
  <c r="BL480" i="2"/>
  <c r="BJ480" i="2"/>
  <c r="C480" i="2"/>
  <c r="B480" i="2"/>
  <c r="CY479" i="2"/>
  <c r="CV479" i="2"/>
  <c r="CT479" i="2"/>
  <c r="CS479" i="2"/>
  <c r="CR479" i="2"/>
  <c r="BO479" i="2"/>
  <c r="BL479" i="2"/>
  <c r="BJ479" i="2"/>
  <c r="C479" i="2"/>
  <c r="B479" i="2"/>
  <c r="CY478" i="2"/>
  <c r="CV478" i="2"/>
  <c r="CT478" i="2"/>
  <c r="CS478" i="2"/>
  <c r="CR478" i="2"/>
  <c r="BO478" i="2"/>
  <c r="BL478" i="2"/>
  <c r="BJ478" i="2"/>
  <c r="C478" i="2"/>
  <c r="B478" i="2"/>
  <c r="CY477" i="2"/>
  <c r="CV477" i="2"/>
  <c r="CT477" i="2"/>
  <c r="CS477" i="2"/>
  <c r="CR477" i="2"/>
  <c r="BO477" i="2"/>
  <c r="BL477" i="2"/>
  <c r="BJ477" i="2"/>
  <c r="C477" i="2"/>
  <c r="B477" i="2"/>
  <c r="CY476" i="2"/>
  <c r="CV476" i="2"/>
  <c r="CU476" i="2"/>
  <c r="CT476" i="2"/>
  <c r="CS476" i="2"/>
  <c r="CR476" i="2"/>
  <c r="BO476" i="2"/>
  <c r="BL476" i="2"/>
  <c r="BJ476" i="2"/>
  <c r="C476" i="2"/>
  <c r="B476" i="2"/>
  <c r="CY475" i="2"/>
  <c r="CV475" i="2"/>
  <c r="CU475" i="2"/>
  <c r="CT475" i="2"/>
  <c r="CS475" i="2"/>
  <c r="CR475" i="2"/>
  <c r="BO475" i="2"/>
  <c r="BL475" i="2"/>
  <c r="BJ475" i="2"/>
  <c r="C475" i="2"/>
  <c r="B475" i="2"/>
  <c r="CY474" i="2"/>
  <c r="CV474" i="2"/>
  <c r="CU474" i="2"/>
  <c r="CT474" i="2"/>
  <c r="CS474" i="2"/>
  <c r="CR474" i="2"/>
  <c r="BO474" i="2"/>
  <c r="BL474" i="2"/>
  <c r="BJ474" i="2"/>
  <c r="C474" i="2"/>
  <c r="B474" i="2"/>
  <c r="CY473" i="2"/>
  <c r="CV473" i="2"/>
  <c r="CU473" i="2"/>
  <c r="CT473" i="2"/>
  <c r="CS473" i="2"/>
  <c r="CR473" i="2"/>
  <c r="BO473" i="2"/>
  <c r="BL473" i="2"/>
  <c r="BJ473" i="2"/>
  <c r="C473" i="2"/>
  <c r="B473" i="2"/>
  <c r="CY472" i="2"/>
  <c r="CV472" i="2"/>
  <c r="CU472" i="2"/>
  <c r="CT472" i="2"/>
  <c r="CS472" i="2"/>
  <c r="CR472" i="2"/>
  <c r="BO472" i="2"/>
  <c r="BL472" i="2"/>
  <c r="BJ472" i="2"/>
  <c r="C472" i="2"/>
  <c r="B472" i="2"/>
  <c r="CY471" i="2"/>
  <c r="CV471" i="2"/>
  <c r="CU471" i="2"/>
  <c r="CT471" i="2"/>
  <c r="CS471" i="2"/>
  <c r="CR471" i="2"/>
  <c r="BO471" i="2"/>
  <c r="BL471" i="2"/>
  <c r="BJ471" i="2"/>
  <c r="C471" i="2"/>
  <c r="B471" i="2"/>
  <c r="CY470" i="2"/>
  <c r="CV470" i="2"/>
  <c r="CU470" i="2"/>
  <c r="CT470" i="2"/>
  <c r="CS470" i="2"/>
  <c r="CR470" i="2"/>
  <c r="BO470" i="2"/>
  <c r="BL470" i="2"/>
  <c r="BJ470" i="2"/>
  <c r="C470" i="2"/>
  <c r="B470" i="2"/>
  <c r="CY469" i="2"/>
  <c r="CV469" i="2"/>
  <c r="CU469" i="2"/>
  <c r="CT469" i="2"/>
  <c r="CS469" i="2"/>
  <c r="CR469" i="2"/>
  <c r="BO469" i="2"/>
  <c r="BL469" i="2"/>
  <c r="BJ469" i="2"/>
  <c r="C469" i="2"/>
  <c r="B469" i="2"/>
  <c r="CY468" i="2"/>
  <c r="CV468" i="2"/>
  <c r="CU468" i="2"/>
  <c r="CT468" i="2"/>
  <c r="CS468" i="2"/>
  <c r="CR468" i="2"/>
  <c r="BO468" i="2"/>
  <c r="BL468" i="2"/>
  <c r="BJ468" i="2"/>
  <c r="C468" i="2"/>
  <c r="B468" i="2"/>
  <c r="CY467" i="2"/>
  <c r="CV467" i="2"/>
  <c r="CU467" i="2"/>
  <c r="CT467" i="2"/>
  <c r="CS467" i="2"/>
  <c r="CR467" i="2"/>
  <c r="BO467" i="2"/>
  <c r="BL467" i="2"/>
  <c r="BJ467" i="2"/>
  <c r="C467" i="2"/>
  <c r="B467" i="2"/>
  <c r="CY466" i="2"/>
  <c r="CV466" i="2"/>
  <c r="CU466" i="2"/>
  <c r="CT466" i="2"/>
  <c r="CS466" i="2"/>
  <c r="CR466" i="2"/>
  <c r="BO466" i="2"/>
  <c r="BL466" i="2"/>
  <c r="BJ466" i="2"/>
  <c r="C466" i="2"/>
  <c r="B466" i="2"/>
  <c r="CY465" i="2"/>
  <c r="CV465" i="2"/>
  <c r="CU465" i="2"/>
  <c r="CT465" i="2"/>
  <c r="CS465" i="2"/>
  <c r="CR465" i="2"/>
  <c r="BO465" i="2"/>
  <c r="BL465" i="2"/>
  <c r="BJ465" i="2"/>
  <c r="C465" i="2"/>
  <c r="B465" i="2"/>
  <c r="CY464" i="2"/>
  <c r="CV464" i="2"/>
  <c r="CU464" i="2"/>
  <c r="CT464" i="2"/>
  <c r="CS464" i="2"/>
  <c r="CR464" i="2"/>
  <c r="BO464" i="2"/>
  <c r="BL464" i="2"/>
  <c r="BJ464" i="2"/>
  <c r="C464" i="2"/>
  <c r="B464" i="2"/>
  <c r="CY463" i="2"/>
  <c r="CV463" i="2"/>
  <c r="CU463" i="2"/>
  <c r="CT463" i="2"/>
  <c r="CS463" i="2"/>
  <c r="CR463" i="2"/>
  <c r="BO463" i="2"/>
  <c r="BL463" i="2"/>
  <c r="BJ463" i="2"/>
  <c r="C463" i="2"/>
  <c r="B463" i="2"/>
  <c r="CY462" i="2"/>
  <c r="CV462" i="2"/>
  <c r="CU462" i="2"/>
  <c r="CT462" i="2"/>
  <c r="CS462" i="2"/>
  <c r="CR462" i="2"/>
  <c r="BO462" i="2"/>
  <c r="BL462" i="2"/>
  <c r="BJ462" i="2"/>
  <c r="C462" i="2"/>
  <c r="B462" i="2"/>
  <c r="CY461" i="2"/>
  <c r="CV461" i="2"/>
  <c r="CU461" i="2"/>
  <c r="CT461" i="2"/>
  <c r="CS461" i="2"/>
  <c r="CR461" i="2"/>
  <c r="BO461" i="2"/>
  <c r="BL461" i="2"/>
  <c r="BJ461" i="2"/>
  <c r="C461" i="2"/>
  <c r="B461" i="2"/>
  <c r="CY460" i="2"/>
  <c r="CV460" i="2"/>
  <c r="CU460" i="2"/>
  <c r="CT460" i="2"/>
  <c r="CS460" i="2"/>
  <c r="CR460" i="2"/>
  <c r="BO460" i="2"/>
  <c r="BL460" i="2"/>
  <c r="BJ460" i="2"/>
  <c r="C460" i="2"/>
  <c r="B460" i="2"/>
  <c r="CY459" i="2"/>
  <c r="CV459" i="2"/>
  <c r="CU459" i="2"/>
  <c r="CT459" i="2"/>
  <c r="CS459" i="2"/>
  <c r="CR459" i="2"/>
  <c r="BO459" i="2"/>
  <c r="BL459" i="2"/>
  <c r="BJ459" i="2"/>
  <c r="C459" i="2"/>
  <c r="B459" i="2"/>
  <c r="CY458" i="2"/>
  <c r="CV458" i="2"/>
  <c r="CT458" i="2"/>
  <c r="CS458" i="2"/>
  <c r="CR458" i="2"/>
  <c r="BO458" i="2"/>
  <c r="BL458" i="2"/>
  <c r="BJ458" i="2"/>
  <c r="C458" i="2"/>
  <c r="B458" i="2"/>
  <c r="CY457" i="2"/>
  <c r="CV457" i="2"/>
  <c r="CU457" i="2"/>
  <c r="CT457" i="2"/>
  <c r="CS457" i="2"/>
  <c r="CR457" i="2"/>
  <c r="BO457" i="2"/>
  <c r="BL457" i="2"/>
  <c r="BJ457" i="2"/>
  <c r="C457" i="2"/>
  <c r="B457" i="2"/>
  <c r="CY456" i="2"/>
  <c r="CV456" i="2"/>
  <c r="CU456" i="2"/>
  <c r="CT456" i="2"/>
  <c r="CS456" i="2"/>
  <c r="CR456" i="2"/>
  <c r="BO456" i="2"/>
  <c r="BL456" i="2"/>
  <c r="BJ456" i="2"/>
  <c r="C456" i="2"/>
  <c r="B456" i="2"/>
  <c r="CY455" i="2"/>
  <c r="CV455" i="2"/>
  <c r="CU455" i="2"/>
  <c r="CT455" i="2"/>
  <c r="CS455" i="2"/>
  <c r="CR455" i="2"/>
  <c r="BO455" i="2"/>
  <c r="BL455" i="2"/>
  <c r="BJ455" i="2"/>
  <c r="C455" i="2"/>
  <c r="B455" i="2"/>
  <c r="CY454" i="2"/>
  <c r="CV454" i="2"/>
  <c r="CU454" i="2"/>
  <c r="CT454" i="2"/>
  <c r="CS454" i="2"/>
  <c r="CR454" i="2"/>
  <c r="BO454" i="2"/>
  <c r="BL454" i="2"/>
  <c r="BJ454" i="2"/>
  <c r="C454" i="2"/>
  <c r="B454" i="2"/>
  <c r="CY453" i="2"/>
  <c r="CV453" i="2"/>
  <c r="CU453" i="2"/>
  <c r="CT453" i="2"/>
  <c r="CS453" i="2"/>
  <c r="CR453" i="2"/>
  <c r="BO453" i="2"/>
  <c r="BL453" i="2"/>
  <c r="BJ453" i="2"/>
  <c r="C453" i="2"/>
  <c r="B453" i="2"/>
  <c r="CY452" i="2"/>
  <c r="CV452" i="2"/>
  <c r="CU452" i="2"/>
  <c r="CT452" i="2"/>
  <c r="CS452" i="2"/>
  <c r="CR452" i="2"/>
  <c r="BO452" i="2"/>
  <c r="BL452" i="2"/>
  <c r="BJ452" i="2"/>
  <c r="C452" i="2"/>
  <c r="B452" i="2"/>
  <c r="CY451" i="2"/>
  <c r="CV451" i="2"/>
  <c r="CU451" i="2"/>
  <c r="CT451" i="2"/>
  <c r="CS451" i="2"/>
  <c r="CR451" i="2"/>
  <c r="BO451" i="2"/>
  <c r="BL451" i="2"/>
  <c r="BJ451" i="2"/>
  <c r="C451" i="2"/>
  <c r="B451" i="2"/>
  <c r="CY450" i="2"/>
  <c r="CV450" i="2"/>
  <c r="CT450" i="2"/>
  <c r="CS450" i="2"/>
  <c r="CR450" i="2"/>
  <c r="BO450" i="2"/>
  <c r="BL450" i="2"/>
  <c r="BJ450" i="2"/>
  <c r="C450" i="2"/>
  <c r="B450" i="2"/>
  <c r="CY449" i="2"/>
  <c r="CV449" i="2"/>
  <c r="CU449" i="2"/>
  <c r="CT449" i="2"/>
  <c r="CS449" i="2"/>
  <c r="CR449" i="2"/>
  <c r="BO449" i="2"/>
  <c r="BL449" i="2"/>
  <c r="BJ449" i="2"/>
  <c r="C449" i="2"/>
  <c r="B449" i="2"/>
  <c r="CY448" i="2"/>
  <c r="CV448" i="2"/>
  <c r="CU448" i="2"/>
  <c r="CT448" i="2"/>
  <c r="CS448" i="2"/>
  <c r="CR448" i="2"/>
  <c r="BO448" i="2"/>
  <c r="BL448" i="2"/>
  <c r="BJ448" i="2"/>
  <c r="C448" i="2"/>
  <c r="B448" i="2"/>
  <c r="CY447" i="2"/>
  <c r="CV447" i="2"/>
  <c r="CU447" i="2"/>
  <c r="CT447" i="2"/>
  <c r="CS447" i="2"/>
  <c r="CR447" i="2"/>
  <c r="BO447" i="2"/>
  <c r="BL447" i="2"/>
  <c r="BJ447" i="2"/>
  <c r="C447" i="2"/>
  <c r="B447" i="2"/>
  <c r="CY446" i="2"/>
  <c r="CV446" i="2"/>
  <c r="CU446" i="2"/>
  <c r="CT446" i="2"/>
  <c r="CS446" i="2"/>
  <c r="CR446" i="2"/>
  <c r="BO446" i="2"/>
  <c r="BL446" i="2"/>
  <c r="BJ446" i="2"/>
  <c r="C446" i="2"/>
  <c r="B446" i="2"/>
  <c r="CY445" i="2"/>
  <c r="CV445" i="2"/>
  <c r="CU445" i="2"/>
  <c r="CT445" i="2"/>
  <c r="CS445" i="2"/>
  <c r="CR445" i="2"/>
  <c r="BO445" i="2"/>
  <c r="BL445" i="2"/>
  <c r="BJ445" i="2"/>
  <c r="C445" i="2"/>
  <c r="B445" i="2"/>
  <c r="CY444" i="2"/>
  <c r="CV444" i="2"/>
  <c r="CU444" i="2"/>
  <c r="CT444" i="2"/>
  <c r="CS444" i="2"/>
  <c r="CR444" i="2"/>
  <c r="BO444" i="2"/>
  <c r="BJ444" i="2"/>
  <c r="C444" i="2"/>
  <c r="B444" i="2"/>
  <c r="CY443" i="2"/>
  <c r="CV443" i="2"/>
  <c r="CU443" i="2"/>
  <c r="CT443" i="2"/>
  <c r="CS443" i="2"/>
  <c r="CR443" i="2"/>
  <c r="BO443" i="2"/>
  <c r="BJ443" i="2"/>
  <c r="C443" i="2"/>
  <c r="B443" i="2"/>
  <c r="CY442" i="2"/>
  <c r="CV442" i="2"/>
  <c r="CU442" i="2"/>
  <c r="CT442" i="2"/>
  <c r="CS442" i="2"/>
  <c r="CR442" i="2"/>
  <c r="BO442" i="2"/>
  <c r="BJ442" i="2"/>
  <c r="C442" i="2"/>
  <c r="B442" i="2"/>
  <c r="CY441" i="2"/>
  <c r="CV441" i="2"/>
  <c r="CU441" i="2"/>
  <c r="CT441" i="2"/>
  <c r="CS441" i="2"/>
  <c r="CR441" i="2"/>
  <c r="BO441" i="2"/>
  <c r="BJ441" i="2"/>
  <c r="C441" i="2"/>
  <c r="B441" i="2"/>
  <c r="CY440" i="2"/>
  <c r="CV440" i="2"/>
  <c r="CU440" i="2"/>
  <c r="CT440" i="2"/>
  <c r="CS440" i="2"/>
  <c r="CR440" i="2"/>
  <c r="BO440" i="2"/>
  <c r="BJ440" i="2"/>
  <c r="C440" i="2"/>
  <c r="B440" i="2"/>
  <c r="CY439" i="2"/>
  <c r="CV439" i="2"/>
  <c r="CU439" i="2"/>
  <c r="CT439" i="2"/>
  <c r="CS439" i="2"/>
  <c r="CR439" i="2"/>
  <c r="BO439" i="2"/>
  <c r="BJ439" i="2"/>
  <c r="C439" i="2"/>
  <c r="B439" i="2"/>
  <c r="CY438" i="2"/>
  <c r="CV438" i="2"/>
  <c r="CU438" i="2"/>
  <c r="CT438" i="2"/>
  <c r="CS438" i="2"/>
  <c r="CR438" i="2"/>
  <c r="BO438" i="2"/>
  <c r="BJ438" i="2"/>
  <c r="C438" i="2"/>
  <c r="B438" i="2"/>
  <c r="CY437" i="2"/>
  <c r="CV437" i="2"/>
  <c r="CU437" i="2"/>
  <c r="CT437" i="2"/>
  <c r="CS437" i="2"/>
  <c r="CR437" i="2"/>
  <c r="BO437" i="2"/>
  <c r="BJ437" i="2"/>
  <c r="C437" i="2"/>
  <c r="B437" i="2"/>
  <c r="CY436" i="2"/>
  <c r="CV436" i="2"/>
  <c r="CU436" i="2"/>
  <c r="CT436" i="2"/>
  <c r="CS436" i="2"/>
  <c r="CR436" i="2"/>
  <c r="BO436" i="2"/>
  <c r="BL436" i="2"/>
  <c r="BJ436" i="2"/>
  <c r="C436" i="2"/>
  <c r="B436" i="2"/>
  <c r="CY435" i="2"/>
  <c r="CV435" i="2"/>
  <c r="CU435" i="2"/>
  <c r="CT435" i="2"/>
  <c r="CS435" i="2"/>
  <c r="CR435" i="2"/>
  <c r="BO435" i="2"/>
  <c r="BL435" i="2"/>
  <c r="BJ435" i="2"/>
  <c r="C435" i="2"/>
  <c r="B435" i="2"/>
  <c r="CY434" i="2"/>
  <c r="CV434" i="2"/>
  <c r="CU434" i="2"/>
  <c r="CT434" i="2"/>
  <c r="CS434" i="2"/>
  <c r="CR434" i="2"/>
  <c r="BO434" i="2"/>
  <c r="BL434" i="2"/>
  <c r="BJ434" i="2"/>
  <c r="C434" i="2"/>
  <c r="B434" i="2"/>
  <c r="CY433" i="2"/>
  <c r="CV433" i="2"/>
  <c r="CU433" i="2"/>
  <c r="CT433" i="2"/>
  <c r="CS433" i="2"/>
  <c r="CR433" i="2"/>
  <c r="BO433" i="2"/>
  <c r="BL433" i="2"/>
  <c r="BJ433" i="2"/>
  <c r="C433" i="2"/>
  <c r="B433" i="2"/>
  <c r="CY432" i="2"/>
  <c r="CV432" i="2"/>
  <c r="CU432" i="2"/>
  <c r="CT432" i="2"/>
  <c r="CS432" i="2"/>
  <c r="CR432" i="2"/>
  <c r="BO432" i="2"/>
  <c r="BL432" i="2"/>
  <c r="BJ432" i="2"/>
  <c r="C432" i="2"/>
  <c r="B432" i="2"/>
  <c r="CY431" i="2"/>
  <c r="CV431" i="2"/>
  <c r="CU431" i="2"/>
  <c r="CT431" i="2"/>
  <c r="CS431" i="2"/>
  <c r="CR431" i="2"/>
  <c r="BO431" i="2"/>
  <c r="BL431" i="2"/>
  <c r="BJ431" i="2"/>
  <c r="C431" i="2"/>
  <c r="B431" i="2"/>
  <c r="CY430" i="2"/>
  <c r="CV430" i="2"/>
  <c r="CU430" i="2"/>
  <c r="CT430" i="2"/>
  <c r="CS430" i="2"/>
  <c r="CR430" i="2"/>
  <c r="BO430" i="2"/>
  <c r="BL430" i="2"/>
  <c r="BJ430" i="2"/>
  <c r="C430" i="2"/>
  <c r="B430" i="2"/>
  <c r="CY429" i="2"/>
  <c r="CV429" i="2"/>
  <c r="CU429" i="2"/>
  <c r="CT429" i="2"/>
  <c r="CS429" i="2"/>
  <c r="CR429" i="2"/>
  <c r="BO429" i="2"/>
  <c r="BL429" i="2"/>
  <c r="BJ429" i="2"/>
  <c r="C429" i="2"/>
  <c r="B429" i="2"/>
  <c r="CY428" i="2"/>
  <c r="CV428" i="2"/>
  <c r="CU428" i="2"/>
  <c r="CT428" i="2"/>
  <c r="CS428" i="2"/>
  <c r="CR428" i="2"/>
  <c r="BO428" i="2"/>
  <c r="BL428" i="2"/>
  <c r="BJ428" i="2"/>
  <c r="C428" i="2"/>
  <c r="B428" i="2"/>
  <c r="CY427" i="2"/>
  <c r="CV427" i="2"/>
  <c r="CU427" i="2"/>
  <c r="CT427" i="2"/>
  <c r="CS427" i="2"/>
  <c r="CR427" i="2"/>
  <c r="BO427" i="2"/>
  <c r="BL427" i="2"/>
  <c r="BJ427" i="2"/>
  <c r="C427" i="2"/>
  <c r="B427" i="2"/>
  <c r="CY426" i="2"/>
  <c r="CV426" i="2"/>
  <c r="CU426" i="2"/>
  <c r="CT426" i="2"/>
  <c r="CS426" i="2"/>
  <c r="CR426" i="2"/>
  <c r="BO426" i="2"/>
  <c r="BL426" i="2"/>
  <c r="BJ426" i="2"/>
  <c r="C426" i="2"/>
  <c r="B426" i="2"/>
  <c r="CY425" i="2"/>
  <c r="CV425" i="2"/>
  <c r="CU425" i="2"/>
  <c r="CT425" i="2"/>
  <c r="CS425" i="2"/>
  <c r="CR425" i="2"/>
  <c r="BO425" i="2"/>
  <c r="BL425" i="2"/>
  <c r="BJ425" i="2"/>
  <c r="C425" i="2"/>
  <c r="B425" i="2"/>
  <c r="CY424" i="2"/>
  <c r="CV424" i="2"/>
  <c r="CU424" i="2"/>
  <c r="CT424" i="2"/>
  <c r="CS424" i="2"/>
  <c r="CR424" i="2"/>
  <c r="BO424" i="2"/>
  <c r="BL424" i="2"/>
  <c r="BJ424" i="2"/>
  <c r="C424" i="2"/>
  <c r="B424" i="2"/>
  <c r="CY423" i="2"/>
  <c r="CV423" i="2"/>
  <c r="CU423" i="2"/>
  <c r="CT423" i="2"/>
  <c r="CS423" i="2"/>
  <c r="CR423" i="2"/>
  <c r="BO423" i="2"/>
  <c r="BL423" i="2"/>
  <c r="BJ423" i="2"/>
  <c r="C423" i="2"/>
  <c r="B423" i="2"/>
  <c r="CY422" i="2"/>
  <c r="CV422" i="2"/>
  <c r="CU422" i="2"/>
  <c r="CT422" i="2"/>
  <c r="CS422" i="2"/>
  <c r="CR422" i="2"/>
  <c r="BO422" i="2"/>
  <c r="BL422" i="2"/>
  <c r="BJ422" i="2"/>
  <c r="C422" i="2"/>
  <c r="B422" i="2"/>
  <c r="CY421" i="2"/>
  <c r="CV421" i="2"/>
  <c r="CU421" i="2"/>
  <c r="CT421" i="2"/>
  <c r="CS421" i="2"/>
  <c r="CR421" i="2"/>
  <c r="BO421" i="2"/>
  <c r="BL421" i="2"/>
  <c r="BJ421" i="2"/>
  <c r="C421" i="2"/>
  <c r="B421" i="2"/>
  <c r="CY420" i="2"/>
  <c r="CV420" i="2"/>
  <c r="CU420" i="2"/>
  <c r="CT420" i="2"/>
  <c r="CS420" i="2"/>
  <c r="CR420" i="2"/>
  <c r="BO420" i="2"/>
  <c r="BL420" i="2"/>
  <c r="BJ420" i="2"/>
  <c r="C420" i="2"/>
  <c r="B420" i="2"/>
  <c r="CY419" i="2"/>
  <c r="CV419" i="2"/>
  <c r="CU419" i="2"/>
  <c r="CT419" i="2"/>
  <c r="CS419" i="2"/>
  <c r="CR419" i="2"/>
  <c r="BO419" i="2"/>
  <c r="BL419" i="2"/>
  <c r="BJ419" i="2"/>
  <c r="C419" i="2"/>
  <c r="B419" i="2"/>
  <c r="CY418" i="2"/>
  <c r="CV418" i="2"/>
  <c r="CU418" i="2"/>
  <c r="CT418" i="2"/>
  <c r="CS418" i="2"/>
  <c r="CR418" i="2"/>
  <c r="BO418" i="2"/>
  <c r="BL418" i="2"/>
  <c r="BJ418" i="2"/>
  <c r="C418" i="2"/>
  <c r="B418" i="2"/>
  <c r="CY417" i="2"/>
  <c r="CV417" i="2"/>
  <c r="CU417" i="2"/>
  <c r="CT417" i="2"/>
  <c r="CS417" i="2"/>
  <c r="CR417" i="2"/>
  <c r="BO417" i="2"/>
  <c r="BL417" i="2"/>
  <c r="BJ417" i="2"/>
  <c r="C417" i="2"/>
  <c r="B417" i="2"/>
  <c r="CY416" i="2"/>
  <c r="CV416" i="2"/>
  <c r="CU416" i="2"/>
  <c r="CT416" i="2"/>
  <c r="CS416" i="2"/>
  <c r="CR416" i="2"/>
  <c r="BO416" i="2"/>
  <c r="BL416" i="2"/>
  <c r="BJ416" i="2"/>
  <c r="C416" i="2"/>
  <c r="B416" i="2"/>
  <c r="CY415" i="2"/>
  <c r="CV415" i="2"/>
  <c r="CU415" i="2"/>
  <c r="CT415" i="2"/>
  <c r="CS415" i="2"/>
  <c r="CR415" i="2"/>
  <c r="BO415" i="2"/>
  <c r="BL415" i="2"/>
  <c r="BJ415" i="2"/>
  <c r="C415" i="2"/>
  <c r="B415" i="2"/>
  <c r="CY414" i="2"/>
  <c r="CV414" i="2"/>
  <c r="CU414" i="2"/>
  <c r="CT414" i="2"/>
  <c r="CS414" i="2"/>
  <c r="CR414" i="2"/>
  <c r="BO414" i="2"/>
  <c r="BL414" i="2"/>
  <c r="BJ414" i="2"/>
  <c r="C414" i="2"/>
  <c r="B414" i="2"/>
  <c r="CY413" i="2"/>
  <c r="CV413" i="2"/>
  <c r="CU413" i="2"/>
  <c r="CS413" i="2"/>
  <c r="CR413" i="2"/>
  <c r="BO413" i="2"/>
  <c r="BL413" i="2"/>
  <c r="BJ413" i="2"/>
  <c r="C413" i="2"/>
  <c r="B413" i="2"/>
  <c r="CY412" i="2"/>
  <c r="CV412" i="2"/>
  <c r="CU412" i="2"/>
  <c r="CT412" i="2"/>
  <c r="CS412" i="2"/>
  <c r="CR412" i="2"/>
  <c r="BO412" i="2"/>
  <c r="BL412" i="2"/>
  <c r="BJ412" i="2"/>
  <c r="C412" i="2"/>
  <c r="B412" i="2"/>
  <c r="CY411" i="2"/>
  <c r="CV411" i="2"/>
  <c r="CU411" i="2"/>
  <c r="CT411" i="2"/>
  <c r="CS411" i="2"/>
  <c r="CR411" i="2"/>
  <c r="BO411" i="2"/>
  <c r="BL411" i="2"/>
  <c r="BJ411" i="2"/>
  <c r="C411" i="2"/>
  <c r="B411" i="2"/>
  <c r="CY410" i="2"/>
  <c r="CV410" i="2"/>
  <c r="CU410" i="2"/>
  <c r="CT410" i="2"/>
  <c r="CS410" i="2"/>
  <c r="CR410" i="2"/>
  <c r="BO410" i="2"/>
  <c r="BL410" i="2"/>
  <c r="BJ410" i="2"/>
  <c r="C410" i="2"/>
  <c r="B410" i="2"/>
  <c r="CY409" i="2"/>
  <c r="CV409" i="2"/>
  <c r="CU409" i="2"/>
  <c r="CT409" i="2"/>
  <c r="CS409" i="2"/>
  <c r="CR409" i="2"/>
  <c r="BO409" i="2"/>
  <c r="BL409" i="2"/>
  <c r="BJ409" i="2"/>
  <c r="C409" i="2"/>
  <c r="B409" i="2"/>
  <c r="CY408" i="2"/>
  <c r="CV408" i="2"/>
  <c r="CU408" i="2"/>
  <c r="CT408" i="2"/>
  <c r="CS408" i="2"/>
  <c r="CR408" i="2"/>
  <c r="BO408" i="2"/>
  <c r="BL408" i="2"/>
  <c r="BJ408" i="2"/>
  <c r="C408" i="2"/>
  <c r="B408" i="2"/>
  <c r="CY407" i="2"/>
  <c r="CV407" i="2"/>
  <c r="CU407" i="2"/>
  <c r="CT407" i="2"/>
  <c r="CS407" i="2"/>
  <c r="CR407" i="2"/>
  <c r="BO407" i="2"/>
  <c r="BL407" i="2"/>
  <c r="BJ407" i="2"/>
  <c r="C407" i="2"/>
  <c r="B407" i="2"/>
  <c r="CY406" i="2"/>
  <c r="CV406" i="2"/>
  <c r="CU406" i="2"/>
  <c r="CT406" i="2"/>
  <c r="CS406" i="2"/>
  <c r="CR406" i="2"/>
  <c r="BO406" i="2"/>
  <c r="BL406" i="2"/>
  <c r="BJ406" i="2"/>
  <c r="C406" i="2"/>
  <c r="B406" i="2"/>
  <c r="CY405" i="2"/>
  <c r="CV405" i="2"/>
  <c r="CU405" i="2"/>
  <c r="CT405" i="2"/>
  <c r="CS405" i="2"/>
  <c r="CR405" i="2"/>
  <c r="BO405" i="2"/>
  <c r="BL405" i="2"/>
  <c r="BJ405" i="2"/>
  <c r="C405" i="2"/>
  <c r="B405" i="2"/>
  <c r="CY404" i="2"/>
  <c r="CV404" i="2"/>
  <c r="CU404" i="2"/>
  <c r="CT404" i="2"/>
  <c r="CS404" i="2"/>
  <c r="CR404" i="2"/>
  <c r="BO404" i="2"/>
  <c r="BL404" i="2"/>
  <c r="BJ404" i="2"/>
  <c r="C404" i="2"/>
  <c r="B404" i="2"/>
  <c r="CY403" i="2"/>
  <c r="CV403" i="2"/>
  <c r="CU403" i="2"/>
  <c r="CT403" i="2"/>
  <c r="CS403" i="2"/>
  <c r="CR403" i="2"/>
  <c r="BO403" i="2"/>
  <c r="BL403" i="2"/>
  <c r="BJ403" i="2"/>
  <c r="C403" i="2"/>
  <c r="B403" i="2"/>
  <c r="CY402" i="2"/>
  <c r="CV402" i="2"/>
  <c r="CU402" i="2"/>
  <c r="CT402" i="2"/>
  <c r="CS402" i="2"/>
  <c r="CR402" i="2"/>
  <c r="BO402" i="2"/>
  <c r="BL402" i="2"/>
  <c r="BJ402" i="2"/>
  <c r="C402" i="2"/>
  <c r="B402" i="2"/>
  <c r="CY401" i="2"/>
  <c r="CV401" i="2"/>
  <c r="CU401" i="2"/>
  <c r="CT401" i="2"/>
  <c r="CS401" i="2"/>
  <c r="CR401" i="2"/>
  <c r="BO401" i="2"/>
  <c r="BL401" i="2"/>
  <c r="BJ401" i="2"/>
  <c r="C401" i="2"/>
  <c r="B401" i="2"/>
  <c r="CY400" i="2"/>
  <c r="CV400" i="2"/>
  <c r="CU400" i="2"/>
  <c r="CT400" i="2"/>
  <c r="CS400" i="2"/>
  <c r="CR400" i="2"/>
  <c r="BO400" i="2"/>
  <c r="BL400" i="2"/>
  <c r="BJ400" i="2"/>
  <c r="C400" i="2"/>
  <c r="B400" i="2"/>
  <c r="CY399" i="2"/>
  <c r="CV399" i="2"/>
  <c r="CU399" i="2"/>
  <c r="CT399" i="2"/>
  <c r="CS399" i="2"/>
  <c r="CR399" i="2"/>
  <c r="BO399" i="2"/>
  <c r="BL399" i="2"/>
  <c r="BJ399" i="2"/>
  <c r="C399" i="2"/>
  <c r="B399" i="2"/>
  <c r="CY398" i="2"/>
  <c r="CV398" i="2"/>
  <c r="CU398" i="2"/>
  <c r="CT398" i="2"/>
  <c r="CS398" i="2"/>
  <c r="CR398" i="2"/>
  <c r="BO398" i="2"/>
  <c r="BL398" i="2"/>
  <c r="BJ398" i="2"/>
  <c r="C398" i="2"/>
  <c r="B398" i="2"/>
  <c r="CY397" i="2"/>
  <c r="CV397" i="2"/>
  <c r="CU397" i="2"/>
  <c r="CT397" i="2"/>
  <c r="CS397" i="2"/>
  <c r="CR397" i="2"/>
  <c r="BO397" i="2"/>
  <c r="BL397" i="2"/>
  <c r="BJ397" i="2"/>
  <c r="C397" i="2"/>
  <c r="B397" i="2"/>
  <c r="CY396" i="2"/>
  <c r="CV396" i="2"/>
  <c r="CU396" i="2"/>
  <c r="CT396" i="2"/>
  <c r="CS396" i="2"/>
  <c r="CR396" i="2"/>
  <c r="BO396" i="2"/>
  <c r="BL396" i="2"/>
  <c r="BJ396" i="2"/>
  <c r="C396" i="2"/>
  <c r="B396" i="2"/>
  <c r="CY395" i="2"/>
  <c r="CV395" i="2"/>
  <c r="CU395" i="2"/>
  <c r="CT395" i="2"/>
  <c r="CS395" i="2"/>
  <c r="CR395" i="2"/>
  <c r="BO395" i="2"/>
  <c r="BL395" i="2"/>
  <c r="BJ395" i="2"/>
  <c r="C395" i="2"/>
  <c r="B395" i="2"/>
  <c r="CY394" i="2"/>
  <c r="CV394" i="2"/>
  <c r="CU394" i="2"/>
  <c r="CT394" i="2"/>
  <c r="CS394" i="2"/>
  <c r="CR394" i="2"/>
  <c r="BO394" i="2"/>
  <c r="BL394" i="2"/>
  <c r="BJ394" i="2"/>
  <c r="C394" i="2"/>
  <c r="B394" i="2"/>
  <c r="CY393" i="2"/>
  <c r="CV393" i="2"/>
  <c r="CU393" i="2"/>
  <c r="CS393" i="2"/>
  <c r="CR393" i="2"/>
  <c r="BO393" i="2"/>
  <c r="BL393" i="2"/>
  <c r="BJ393" i="2"/>
  <c r="C393" i="2"/>
  <c r="B393" i="2"/>
  <c r="CY392" i="2"/>
  <c r="CV392" i="2"/>
  <c r="CU392" i="2"/>
  <c r="CT392" i="2"/>
  <c r="CS392" i="2"/>
  <c r="CR392" i="2"/>
  <c r="BO392" i="2"/>
  <c r="BL392" i="2"/>
  <c r="BJ392" i="2"/>
  <c r="C392" i="2"/>
  <c r="B392" i="2"/>
  <c r="CY391" i="2"/>
  <c r="CV391" i="2"/>
  <c r="CU391" i="2"/>
  <c r="CT391" i="2"/>
  <c r="CS391" i="2"/>
  <c r="CR391" i="2"/>
  <c r="BO391" i="2"/>
  <c r="BL391" i="2"/>
  <c r="BJ391" i="2"/>
  <c r="C391" i="2"/>
  <c r="B391" i="2"/>
  <c r="CY390" i="2"/>
  <c r="CV390" i="2"/>
  <c r="CU390" i="2"/>
  <c r="CT390" i="2"/>
  <c r="CS390" i="2"/>
  <c r="CR390" i="2"/>
  <c r="BO390" i="2"/>
  <c r="BL390" i="2"/>
  <c r="BJ390" i="2"/>
  <c r="C390" i="2"/>
  <c r="B390" i="2"/>
  <c r="CY389" i="2"/>
  <c r="CV389" i="2"/>
  <c r="CU389" i="2"/>
  <c r="CT389" i="2"/>
  <c r="CS389" i="2"/>
  <c r="CR389" i="2"/>
  <c r="BO389" i="2"/>
  <c r="BL389" i="2"/>
  <c r="BJ389" i="2"/>
  <c r="C389" i="2"/>
  <c r="B389" i="2"/>
  <c r="CY388" i="2"/>
  <c r="CV388" i="2"/>
  <c r="CU388" i="2"/>
  <c r="CT388" i="2"/>
  <c r="CS388" i="2"/>
  <c r="CR388" i="2"/>
  <c r="BO388" i="2"/>
  <c r="BL388" i="2"/>
  <c r="BJ388" i="2"/>
  <c r="C388" i="2"/>
  <c r="B388" i="2"/>
  <c r="CY387" i="2"/>
  <c r="CV387" i="2"/>
  <c r="CU387" i="2"/>
  <c r="CT387" i="2"/>
  <c r="CS387" i="2"/>
  <c r="CR387" i="2"/>
  <c r="BO387" i="2"/>
  <c r="BL387" i="2"/>
  <c r="BJ387" i="2"/>
  <c r="C387" i="2"/>
  <c r="B387" i="2"/>
  <c r="CY386" i="2"/>
  <c r="CV386" i="2"/>
  <c r="CT386" i="2"/>
  <c r="CS386" i="2"/>
  <c r="CR386" i="2"/>
  <c r="BO386" i="2"/>
  <c r="BL386" i="2"/>
  <c r="BJ386" i="2"/>
  <c r="C386" i="2"/>
  <c r="B386" i="2"/>
  <c r="CY385" i="2"/>
  <c r="CV385" i="2"/>
  <c r="CU385" i="2"/>
  <c r="CT385" i="2"/>
  <c r="CS385" i="2"/>
  <c r="CR385" i="2"/>
  <c r="BO385" i="2"/>
  <c r="BL385" i="2"/>
  <c r="BJ385" i="2"/>
  <c r="C385" i="2"/>
  <c r="B385" i="2"/>
  <c r="CY384" i="2"/>
  <c r="CV384" i="2"/>
  <c r="CU384" i="2"/>
  <c r="CT384" i="2"/>
  <c r="CS384" i="2"/>
  <c r="CR384" i="2"/>
  <c r="BO384" i="2"/>
  <c r="BL384" i="2"/>
  <c r="BJ384" i="2"/>
  <c r="C384" i="2"/>
  <c r="B384" i="2"/>
  <c r="CY383" i="2"/>
  <c r="CV383" i="2"/>
  <c r="CT383" i="2"/>
  <c r="CS383" i="2"/>
  <c r="CR383" i="2"/>
  <c r="BO383" i="2"/>
  <c r="BL383" i="2"/>
  <c r="BJ383" i="2"/>
  <c r="C383" i="2"/>
  <c r="B383" i="2"/>
  <c r="CY382" i="2"/>
  <c r="CV382" i="2"/>
  <c r="CT382" i="2"/>
  <c r="CS382" i="2"/>
  <c r="CR382" i="2"/>
  <c r="BO382" i="2"/>
  <c r="BL382" i="2"/>
  <c r="BJ382" i="2"/>
  <c r="C382" i="2"/>
  <c r="B382" i="2"/>
  <c r="CY381" i="2"/>
  <c r="CV381" i="2"/>
  <c r="CU381" i="2"/>
  <c r="CS381" i="2"/>
  <c r="BO381" i="2"/>
  <c r="BL381" i="2"/>
  <c r="BJ381" i="2"/>
  <c r="C381" i="2"/>
  <c r="B381" i="2"/>
  <c r="CY380" i="2"/>
  <c r="CV380" i="2"/>
  <c r="CU380" i="2"/>
  <c r="CT380" i="2"/>
  <c r="CS380" i="2"/>
  <c r="CR380" i="2"/>
  <c r="BO380" i="2"/>
  <c r="BL380" i="2"/>
  <c r="BJ380" i="2"/>
  <c r="C380" i="2"/>
  <c r="B380" i="2"/>
  <c r="CY379" i="2"/>
  <c r="CV379" i="2"/>
  <c r="CU379" i="2"/>
  <c r="CT379" i="2"/>
  <c r="CS379" i="2"/>
  <c r="CR379" i="2"/>
  <c r="BO379" i="2"/>
  <c r="BL379" i="2"/>
  <c r="BJ379" i="2"/>
  <c r="C379" i="2"/>
  <c r="B379" i="2"/>
  <c r="CY378" i="2"/>
  <c r="CV378" i="2"/>
  <c r="CU378" i="2"/>
  <c r="CT378" i="2"/>
  <c r="CS378" i="2"/>
  <c r="CR378" i="2"/>
  <c r="BO378" i="2"/>
  <c r="BL378" i="2"/>
  <c r="BJ378" i="2"/>
  <c r="C378" i="2"/>
  <c r="B378" i="2"/>
  <c r="CY377" i="2"/>
  <c r="CV377" i="2"/>
  <c r="CU377" i="2"/>
  <c r="CT377" i="2"/>
  <c r="CS377" i="2"/>
  <c r="CR377" i="2"/>
  <c r="BO377" i="2"/>
  <c r="BL377" i="2"/>
  <c r="BJ377" i="2"/>
  <c r="C377" i="2"/>
  <c r="B377" i="2"/>
  <c r="CY376" i="2"/>
  <c r="CV376" i="2"/>
  <c r="CU376" i="2"/>
  <c r="CT376" i="2"/>
  <c r="CS376" i="2"/>
  <c r="CR376" i="2"/>
  <c r="BO376" i="2"/>
  <c r="BL376" i="2"/>
  <c r="BJ376" i="2"/>
  <c r="C376" i="2"/>
  <c r="B376" i="2"/>
  <c r="CY375" i="2"/>
  <c r="CV375" i="2"/>
  <c r="CU375" i="2"/>
  <c r="CT375" i="2"/>
  <c r="CS375" i="2"/>
  <c r="CR375" i="2"/>
  <c r="BO375" i="2"/>
  <c r="BL375" i="2"/>
  <c r="BJ375" i="2"/>
  <c r="C375" i="2"/>
  <c r="B375" i="2"/>
  <c r="CY374" i="2"/>
  <c r="CV374" i="2"/>
  <c r="CU374" i="2"/>
  <c r="CT374" i="2"/>
  <c r="CS374" i="2"/>
  <c r="CR374" i="2"/>
  <c r="BO374" i="2"/>
  <c r="BL374" i="2"/>
  <c r="BJ374" i="2"/>
  <c r="C374" i="2"/>
  <c r="B374" i="2"/>
  <c r="CY373" i="2"/>
  <c r="CV373" i="2"/>
  <c r="CS373" i="2"/>
  <c r="CR373" i="2"/>
  <c r="BO373" i="2"/>
  <c r="BL373" i="2"/>
  <c r="BJ373" i="2"/>
  <c r="C373" i="2"/>
  <c r="B373" i="2"/>
  <c r="CY372" i="2"/>
  <c r="CV372" i="2"/>
  <c r="CU372" i="2"/>
  <c r="CT372" i="2"/>
  <c r="CS372" i="2"/>
  <c r="CR372" i="2"/>
  <c r="BO372" i="2"/>
  <c r="BL372" i="2"/>
  <c r="BJ372" i="2"/>
  <c r="C372" i="2"/>
  <c r="B372" i="2"/>
  <c r="CY371" i="2"/>
  <c r="CV371" i="2"/>
  <c r="CU371" i="2"/>
  <c r="CT371" i="2"/>
  <c r="CS371" i="2"/>
  <c r="CR371" i="2"/>
  <c r="BO371" i="2"/>
  <c r="BL371" i="2"/>
  <c r="BJ371" i="2"/>
  <c r="C371" i="2"/>
  <c r="B371" i="2"/>
  <c r="CY370" i="2"/>
  <c r="CV370" i="2"/>
  <c r="CU370" i="2"/>
  <c r="CT370" i="2"/>
  <c r="CS370" i="2"/>
  <c r="CR370" i="2"/>
  <c r="BO370" i="2"/>
  <c r="BL370" i="2"/>
  <c r="BJ370" i="2"/>
  <c r="C370" i="2"/>
  <c r="B370" i="2"/>
  <c r="CY369" i="2"/>
  <c r="CV369" i="2"/>
  <c r="CU369" i="2"/>
  <c r="CT369" i="2"/>
  <c r="CS369" i="2"/>
  <c r="CR369" i="2"/>
  <c r="BO369" i="2"/>
  <c r="BL369" i="2"/>
  <c r="BJ369" i="2"/>
  <c r="C369" i="2"/>
  <c r="B369" i="2"/>
  <c r="CY368" i="2"/>
  <c r="CV368" i="2"/>
  <c r="CU368" i="2"/>
  <c r="CT368" i="2"/>
  <c r="CS368" i="2"/>
  <c r="CR368" i="2"/>
  <c r="BO368" i="2"/>
  <c r="BL368" i="2"/>
  <c r="BJ368" i="2"/>
  <c r="C368" i="2"/>
  <c r="B368" i="2"/>
  <c r="CY367" i="2"/>
  <c r="CV367" i="2"/>
  <c r="CT367" i="2"/>
  <c r="CS367" i="2"/>
  <c r="CR367" i="2"/>
  <c r="BO367" i="2"/>
  <c r="BL367" i="2"/>
  <c r="BJ367" i="2"/>
  <c r="C367" i="2"/>
  <c r="B367" i="2"/>
  <c r="CY366" i="2"/>
  <c r="CV366" i="2"/>
  <c r="CU366" i="2"/>
  <c r="CT366" i="2"/>
  <c r="CS366" i="2"/>
  <c r="CR366" i="2"/>
  <c r="BO366" i="2"/>
  <c r="BL366" i="2"/>
  <c r="BJ366" i="2"/>
  <c r="C366" i="2"/>
  <c r="B366" i="2"/>
  <c r="CY365" i="2"/>
  <c r="CV365" i="2"/>
  <c r="CU365" i="2"/>
  <c r="CT365" i="2"/>
  <c r="CS365" i="2"/>
  <c r="CR365" i="2"/>
  <c r="BO365" i="2"/>
  <c r="BL365" i="2"/>
  <c r="BJ365" i="2"/>
  <c r="C365" i="2"/>
  <c r="B365" i="2"/>
  <c r="CY364" i="2"/>
  <c r="CV364" i="2"/>
  <c r="CU364" i="2"/>
  <c r="CT364" i="2"/>
  <c r="CS364" i="2"/>
  <c r="CR364" i="2"/>
  <c r="BO364" i="2"/>
  <c r="BL364" i="2"/>
  <c r="BJ364" i="2"/>
  <c r="C364" i="2"/>
  <c r="B364" i="2"/>
  <c r="CY363" i="2"/>
  <c r="CV363" i="2"/>
  <c r="CU363" i="2"/>
  <c r="CT363" i="2"/>
  <c r="CS363" i="2"/>
  <c r="CR363" i="2"/>
  <c r="BO363" i="2"/>
  <c r="BL363" i="2"/>
  <c r="BJ363" i="2"/>
  <c r="C363" i="2"/>
  <c r="B363" i="2"/>
  <c r="CY362" i="2"/>
  <c r="CV362" i="2"/>
  <c r="CU362" i="2"/>
  <c r="CT362" i="2"/>
  <c r="CS362" i="2"/>
  <c r="CR362" i="2"/>
  <c r="BO362" i="2"/>
  <c r="BL362" i="2"/>
  <c r="BJ362" i="2"/>
  <c r="C362" i="2"/>
  <c r="B362" i="2"/>
  <c r="CY361" i="2"/>
  <c r="CV361" i="2"/>
  <c r="CU361" i="2"/>
  <c r="CT361" i="2"/>
  <c r="CS361" i="2"/>
  <c r="CR361" i="2"/>
  <c r="BO361" i="2"/>
  <c r="BL361" i="2"/>
  <c r="BJ361" i="2"/>
  <c r="C361" i="2"/>
  <c r="B361" i="2"/>
  <c r="CY360" i="2"/>
  <c r="CV360" i="2"/>
  <c r="CU360" i="2"/>
  <c r="CT360" i="2"/>
  <c r="CS360" i="2"/>
  <c r="CR360" i="2"/>
  <c r="BO360" i="2"/>
  <c r="BL360" i="2"/>
  <c r="BJ360" i="2"/>
  <c r="C360" i="2"/>
  <c r="B360" i="2"/>
  <c r="CY359" i="2"/>
  <c r="CV359" i="2"/>
  <c r="CU359" i="2"/>
  <c r="CT359" i="2"/>
  <c r="CS359" i="2"/>
  <c r="CR359" i="2"/>
  <c r="BO359" i="2"/>
  <c r="BL359" i="2"/>
  <c r="BJ359" i="2"/>
  <c r="C359" i="2"/>
  <c r="B359" i="2"/>
  <c r="CY358" i="2"/>
  <c r="CV358" i="2"/>
  <c r="CU358" i="2"/>
  <c r="CT358" i="2"/>
  <c r="CS358" i="2"/>
  <c r="CR358" i="2"/>
  <c r="BO358" i="2"/>
  <c r="BL358" i="2"/>
  <c r="BJ358" i="2"/>
  <c r="C358" i="2"/>
  <c r="B358" i="2"/>
  <c r="CY357" i="2"/>
  <c r="CV357" i="2"/>
  <c r="CU357" i="2"/>
  <c r="CT357" i="2"/>
  <c r="CS357" i="2"/>
  <c r="CR357" i="2"/>
  <c r="BO357" i="2"/>
  <c r="BL357" i="2"/>
  <c r="BJ357" i="2"/>
  <c r="C357" i="2"/>
  <c r="B357" i="2"/>
  <c r="CY356" i="2"/>
  <c r="CV356" i="2"/>
  <c r="CU356" i="2"/>
  <c r="CT356" i="2"/>
  <c r="CS356" i="2"/>
  <c r="CR356" i="2"/>
  <c r="BO356" i="2"/>
  <c r="BL356" i="2"/>
  <c r="BJ356" i="2"/>
  <c r="C356" i="2"/>
  <c r="B356" i="2"/>
  <c r="CY355" i="2"/>
  <c r="CV355" i="2"/>
  <c r="CU355" i="2"/>
  <c r="CT355" i="2"/>
  <c r="CS355" i="2"/>
  <c r="CR355" i="2"/>
  <c r="BO355" i="2"/>
  <c r="BL355" i="2"/>
  <c r="BJ355" i="2"/>
  <c r="C355" i="2"/>
  <c r="B355" i="2"/>
  <c r="CY354" i="2"/>
  <c r="CV354" i="2"/>
  <c r="CU354" i="2"/>
  <c r="CT354" i="2"/>
  <c r="CS354" i="2"/>
  <c r="CR354" i="2"/>
  <c r="BO354" i="2"/>
  <c r="BL354" i="2"/>
  <c r="BJ354" i="2"/>
  <c r="C354" i="2"/>
  <c r="B354" i="2"/>
  <c r="CY353" i="2"/>
  <c r="CV353" i="2"/>
  <c r="CU353" i="2"/>
  <c r="CT353" i="2"/>
  <c r="CS353" i="2"/>
  <c r="CR353" i="2"/>
  <c r="BO353" i="2"/>
  <c r="BL353" i="2"/>
  <c r="BJ353" i="2"/>
  <c r="C353" i="2"/>
  <c r="B353" i="2"/>
  <c r="CY352" i="2"/>
  <c r="CV352" i="2"/>
  <c r="CU352" i="2"/>
  <c r="CT352" i="2"/>
  <c r="CS352" i="2"/>
  <c r="CR352" i="2"/>
  <c r="BO352" i="2"/>
  <c r="BL352" i="2"/>
  <c r="BJ352" i="2"/>
  <c r="C352" i="2"/>
  <c r="B352" i="2"/>
  <c r="CY351" i="2"/>
  <c r="CV351" i="2"/>
  <c r="CU351" i="2"/>
  <c r="CT351" i="2"/>
  <c r="CS351" i="2"/>
  <c r="CR351" i="2"/>
  <c r="BO351" i="2"/>
  <c r="BL351" i="2"/>
  <c r="BJ351" i="2"/>
  <c r="C351" i="2"/>
  <c r="B351" i="2"/>
  <c r="CY350" i="2"/>
  <c r="CV350" i="2"/>
  <c r="CU350" i="2"/>
  <c r="CT350" i="2"/>
  <c r="CS350" i="2"/>
  <c r="CR350" i="2"/>
  <c r="BO350" i="2"/>
  <c r="BL350" i="2"/>
  <c r="BJ350" i="2"/>
  <c r="C350" i="2"/>
  <c r="B350" i="2"/>
  <c r="CY349" i="2"/>
  <c r="CV349" i="2"/>
  <c r="CU349" i="2"/>
  <c r="CT349" i="2"/>
  <c r="CS349" i="2"/>
  <c r="CR349" i="2"/>
  <c r="BO349" i="2"/>
  <c r="BL349" i="2"/>
  <c r="BJ349" i="2"/>
  <c r="C349" i="2"/>
  <c r="B349" i="2"/>
  <c r="CY348" i="2"/>
  <c r="CV348" i="2"/>
  <c r="CU348" i="2"/>
  <c r="CT348" i="2"/>
  <c r="CS348" i="2"/>
  <c r="CR348" i="2"/>
  <c r="BO348" i="2"/>
  <c r="BL348" i="2"/>
  <c r="BJ348" i="2"/>
  <c r="C348" i="2"/>
  <c r="B348" i="2"/>
  <c r="CY347" i="2"/>
  <c r="CV347" i="2"/>
  <c r="CU347" i="2"/>
  <c r="CT347" i="2"/>
  <c r="CS347" i="2"/>
  <c r="CR347" i="2"/>
  <c r="BO347" i="2"/>
  <c r="BL347" i="2"/>
  <c r="BJ347" i="2"/>
  <c r="C347" i="2"/>
  <c r="B347" i="2"/>
  <c r="CY346" i="2"/>
  <c r="CV346" i="2"/>
  <c r="CU346" i="2"/>
  <c r="CT346" i="2"/>
  <c r="CS346" i="2"/>
  <c r="CR346" i="2"/>
  <c r="BO346" i="2"/>
  <c r="BL346" i="2"/>
  <c r="BJ346" i="2"/>
  <c r="C346" i="2"/>
  <c r="B346" i="2"/>
  <c r="CY345" i="2"/>
  <c r="CV345" i="2"/>
  <c r="CU345" i="2"/>
  <c r="CT345" i="2"/>
  <c r="CS345" i="2"/>
  <c r="CR345" i="2"/>
  <c r="BO345" i="2"/>
  <c r="BL345" i="2"/>
  <c r="BJ345" i="2"/>
  <c r="C345" i="2"/>
  <c r="B345" i="2"/>
  <c r="CY344" i="2"/>
  <c r="CV344" i="2"/>
  <c r="CU344" i="2"/>
  <c r="CT344" i="2"/>
  <c r="CS344" i="2"/>
  <c r="CR344" i="2"/>
  <c r="BO344" i="2"/>
  <c r="BL344" i="2"/>
  <c r="BJ344" i="2"/>
  <c r="C344" i="2"/>
  <c r="B344" i="2"/>
  <c r="CY343" i="2"/>
  <c r="CV343" i="2"/>
  <c r="CU343" i="2"/>
  <c r="CT343" i="2"/>
  <c r="CS343" i="2"/>
  <c r="CR343" i="2"/>
  <c r="BO343" i="2"/>
  <c r="BL343" i="2"/>
  <c r="BJ343" i="2"/>
  <c r="C343" i="2"/>
  <c r="B343" i="2"/>
  <c r="CY342" i="2"/>
  <c r="CV342" i="2"/>
  <c r="CU342" i="2"/>
  <c r="CT342" i="2"/>
  <c r="CS342" i="2"/>
  <c r="CR342" i="2"/>
  <c r="BO342" i="2"/>
  <c r="BL342" i="2"/>
  <c r="BJ342" i="2"/>
  <c r="C342" i="2"/>
  <c r="B342" i="2"/>
  <c r="CY341" i="2"/>
  <c r="CV341" i="2"/>
  <c r="CU341" i="2"/>
  <c r="CT341" i="2"/>
  <c r="CS341" i="2"/>
  <c r="CR341" i="2"/>
  <c r="BO341" i="2"/>
  <c r="BL341" i="2"/>
  <c r="BJ341" i="2"/>
  <c r="C341" i="2"/>
  <c r="B341" i="2"/>
  <c r="CY340" i="2"/>
  <c r="CV340" i="2"/>
  <c r="CU340" i="2"/>
  <c r="CT340" i="2"/>
  <c r="CS340" i="2"/>
  <c r="CR340" i="2"/>
  <c r="BO340" i="2"/>
  <c r="BL340" i="2"/>
  <c r="BJ340" i="2"/>
  <c r="C340" i="2"/>
  <c r="B340" i="2"/>
  <c r="CY339" i="2"/>
  <c r="CV339" i="2"/>
  <c r="CT339" i="2"/>
  <c r="CS339" i="2"/>
  <c r="CR339" i="2"/>
  <c r="BO339" i="2"/>
  <c r="BL339" i="2"/>
  <c r="BJ339" i="2"/>
  <c r="C339" i="2"/>
  <c r="B339" i="2"/>
  <c r="CY338" i="2"/>
  <c r="CV338" i="2"/>
  <c r="CU338" i="2"/>
  <c r="CT338" i="2"/>
  <c r="CS338" i="2"/>
  <c r="CR338" i="2"/>
  <c r="BO338" i="2"/>
  <c r="BL338" i="2"/>
  <c r="BJ338" i="2"/>
  <c r="C338" i="2"/>
  <c r="B338" i="2"/>
  <c r="CY337" i="2"/>
  <c r="CV337" i="2"/>
  <c r="CT337" i="2"/>
  <c r="CS337" i="2"/>
  <c r="CR337" i="2"/>
  <c r="BO337" i="2"/>
  <c r="BL337" i="2"/>
  <c r="BJ337" i="2"/>
  <c r="C337" i="2"/>
  <c r="B337" i="2"/>
  <c r="CY336" i="2"/>
  <c r="CV336" i="2"/>
  <c r="CT336" i="2"/>
  <c r="CS336" i="2"/>
  <c r="CR336" i="2"/>
  <c r="BO336" i="2"/>
  <c r="BL336" i="2"/>
  <c r="BJ336" i="2"/>
  <c r="C336" i="2"/>
  <c r="B336" i="2"/>
  <c r="CY335" i="2"/>
  <c r="CV335" i="2"/>
  <c r="CU335" i="2"/>
  <c r="CT335" i="2"/>
  <c r="CS335" i="2"/>
  <c r="CR335" i="2"/>
  <c r="BO335" i="2"/>
  <c r="BL335" i="2"/>
  <c r="BJ335" i="2"/>
  <c r="C335" i="2"/>
  <c r="B335" i="2"/>
  <c r="CY334" i="2"/>
  <c r="CV334" i="2"/>
  <c r="CU334" i="2"/>
  <c r="CT334" i="2"/>
  <c r="CS334" i="2"/>
  <c r="CR334" i="2"/>
  <c r="BO334" i="2"/>
  <c r="BL334" i="2"/>
  <c r="BJ334" i="2"/>
  <c r="C334" i="2"/>
  <c r="B334" i="2"/>
  <c r="CY333" i="2"/>
  <c r="CV333" i="2"/>
  <c r="CU333" i="2"/>
  <c r="CT333" i="2"/>
  <c r="CS333" i="2"/>
  <c r="CR333" i="2"/>
  <c r="BO333" i="2"/>
  <c r="BL333" i="2"/>
  <c r="BJ333" i="2"/>
  <c r="C333" i="2"/>
  <c r="B333" i="2"/>
  <c r="CY332" i="2"/>
  <c r="CV332" i="2"/>
  <c r="CU332" i="2"/>
  <c r="CT332" i="2"/>
  <c r="CS332" i="2"/>
  <c r="CR332" i="2"/>
  <c r="BO332" i="2"/>
  <c r="BL332" i="2"/>
  <c r="BJ332" i="2"/>
  <c r="C332" i="2"/>
  <c r="B332" i="2"/>
  <c r="CY331" i="2"/>
  <c r="CV331" i="2"/>
  <c r="CU331" i="2"/>
  <c r="CT331" i="2"/>
  <c r="CS331" i="2"/>
  <c r="CR331" i="2"/>
  <c r="BO331" i="2"/>
  <c r="BL331" i="2"/>
  <c r="BJ331" i="2"/>
  <c r="C331" i="2"/>
  <c r="B331" i="2"/>
  <c r="CY330" i="2"/>
  <c r="CV330" i="2"/>
  <c r="CU330" i="2"/>
  <c r="CT330" i="2"/>
  <c r="CS330" i="2"/>
  <c r="CR330" i="2"/>
  <c r="BO330" i="2"/>
  <c r="BL330" i="2"/>
  <c r="BJ330" i="2"/>
  <c r="C330" i="2"/>
  <c r="B330" i="2"/>
  <c r="CY329" i="2"/>
  <c r="CV329" i="2"/>
  <c r="CU329" i="2"/>
  <c r="CT329" i="2"/>
  <c r="CS329" i="2"/>
  <c r="CR329" i="2"/>
  <c r="BO329" i="2"/>
  <c r="BL329" i="2"/>
  <c r="BJ329" i="2"/>
  <c r="C329" i="2"/>
  <c r="B329" i="2"/>
  <c r="CY328" i="2"/>
  <c r="CV328" i="2"/>
  <c r="CT328" i="2"/>
  <c r="CS328" i="2"/>
  <c r="CR328" i="2"/>
  <c r="BO328" i="2"/>
  <c r="BL328" i="2"/>
  <c r="BJ328" i="2"/>
  <c r="C328" i="2"/>
  <c r="B328" i="2"/>
  <c r="CY327" i="2"/>
  <c r="CV327" i="2"/>
  <c r="CU327" i="2"/>
  <c r="CT327" i="2"/>
  <c r="CS327" i="2"/>
  <c r="CR327" i="2"/>
  <c r="BO327" i="2"/>
  <c r="BL327" i="2"/>
  <c r="BJ327" i="2"/>
  <c r="C327" i="2"/>
  <c r="B327" i="2"/>
  <c r="CY326" i="2"/>
  <c r="CV326" i="2"/>
  <c r="CU326" i="2"/>
  <c r="CT326" i="2"/>
  <c r="CS326" i="2"/>
  <c r="CR326" i="2"/>
  <c r="BO326" i="2"/>
  <c r="BL326" i="2"/>
  <c r="BJ326" i="2"/>
  <c r="C326" i="2"/>
  <c r="B326" i="2"/>
  <c r="CY325" i="2"/>
  <c r="CV325" i="2"/>
  <c r="CU325" i="2"/>
  <c r="CT325" i="2"/>
  <c r="CS325" i="2"/>
  <c r="CR325" i="2"/>
  <c r="BO325" i="2"/>
  <c r="BL325" i="2"/>
  <c r="BJ325" i="2"/>
  <c r="C325" i="2"/>
  <c r="B325" i="2"/>
  <c r="CY324" i="2"/>
  <c r="CV324" i="2"/>
  <c r="CT324" i="2"/>
  <c r="CS324" i="2"/>
  <c r="CR324" i="2"/>
  <c r="BO324" i="2"/>
  <c r="BL324" i="2"/>
  <c r="BJ324" i="2"/>
  <c r="C324" i="2"/>
  <c r="B324" i="2"/>
  <c r="CY323" i="2"/>
  <c r="CV323" i="2"/>
  <c r="CU323" i="2"/>
  <c r="CT323" i="2"/>
  <c r="CS323" i="2"/>
  <c r="CR323" i="2"/>
  <c r="CO323" i="2"/>
  <c r="BO323" i="2"/>
  <c r="BL323" i="2"/>
  <c r="BJ323" i="2"/>
  <c r="C323" i="2"/>
  <c r="B323" i="2"/>
  <c r="CY322" i="2"/>
  <c r="CV322" i="2"/>
  <c r="CU322" i="2"/>
  <c r="CT322" i="2"/>
  <c r="CS322" i="2"/>
  <c r="CR322" i="2"/>
  <c r="CO322" i="2"/>
  <c r="BO322" i="2"/>
  <c r="BL322" i="2"/>
  <c r="BJ322" i="2"/>
  <c r="C322" i="2"/>
  <c r="B322" i="2"/>
  <c r="CY321" i="2"/>
  <c r="CV321" i="2"/>
  <c r="CU321" i="2"/>
  <c r="CT321" i="2"/>
  <c r="CS321" i="2"/>
  <c r="CR321" i="2"/>
  <c r="CO321" i="2"/>
  <c r="BO321" i="2"/>
  <c r="BL321" i="2"/>
  <c r="BJ321" i="2"/>
  <c r="C321" i="2"/>
  <c r="B321" i="2"/>
  <c r="CY320" i="2"/>
  <c r="CV320" i="2"/>
  <c r="CU320" i="2"/>
  <c r="CT320" i="2"/>
  <c r="CS320" i="2"/>
  <c r="CR320" i="2"/>
  <c r="CO320" i="2"/>
  <c r="BO320" i="2"/>
  <c r="BL320" i="2"/>
  <c r="BJ320" i="2"/>
  <c r="C320" i="2"/>
  <c r="B320" i="2"/>
  <c r="CY319" i="2"/>
  <c r="CV319" i="2"/>
  <c r="CU319" i="2"/>
  <c r="CT319" i="2"/>
  <c r="CS319" i="2"/>
  <c r="CR319" i="2"/>
  <c r="CO319" i="2"/>
  <c r="BO319" i="2"/>
  <c r="BL319" i="2"/>
  <c r="BJ319" i="2"/>
  <c r="C319" i="2"/>
  <c r="B319" i="2"/>
  <c r="CY318" i="2"/>
  <c r="CV318" i="2"/>
  <c r="CU318" i="2"/>
  <c r="CT318" i="2"/>
  <c r="CS318" i="2"/>
  <c r="CR318" i="2"/>
  <c r="CO318" i="2"/>
  <c r="BO318" i="2"/>
  <c r="BL318" i="2"/>
  <c r="BJ318" i="2"/>
  <c r="C318" i="2"/>
  <c r="B318" i="2"/>
  <c r="CY317" i="2"/>
  <c r="CV317" i="2"/>
  <c r="CU317" i="2"/>
  <c r="CT317" i="2"/>
  <c r="CS317" i="2"/>
  <c r="CR317" i="2"/>
  <c r="CO317" i="2"/>
  <c r="BO317" i="2"/>
  <c r="BL317" i="2"/>
  <c r="BJ317" i="2"/>
  <c r="C317" i="2"/>
  <c r="B317" i="2"/>
  <c r="CY316" i="2"/>
  <c r="CV316" i="2"/>
  <c r="CU316" i="2"/>
  <c r="CT316" i="2"/>
  <c r="CS316" i="2"/>
  <c r="CR316" i="2"/>
  <c r="CO316" i="2"/>
  <c r="BO316" i="2"/>
  <c r="BL316" i="2"/>
  <c r="BJ316" i="2"/>
  <c r="C316" i="2"/>
  <c r="B316" i="2"/>
  <c r="CY315" i="2"/>
  <c r="CV315" i="2"/>
  <c r="CU315" i="2"/>
  <c r="CT315" i="2"/>
  <c r="CS315" i="2"/>
  <c r="CR315" i="2"/>
  <c r="CO315" i="2"/>
  <c r="BO315" i="2"/>
  <c r="BL315" i="2"/>
  <c r="BJ315" i="2"/>
  <c r="C315" i="2"/>
  <c r="B315" i="2"/>
  <c r="CY314" i="2"/>
  <c r="CV314" i="2"/>
  <c r="CU314" i="2"/>
  <c r="CT314" i="2"/>
  <c r="CS314" i="2"/>
  <c r="CR314" i="2"/>
  <c r="CO314" i="2"/>
  <c r="BO314" i="2"/>
  <c r="BL314" i="2"/>
  <c r="BJ314" i="2"/>
  <c r="C314" i="2"/>
  <c r="B314" i="2"/>
  <c r="CY313" i="2"/>
  <c r="CV313" i="2"/>
  <c r="CU313" i="2"/>
  <c r="CT313" i="2"/>
  <c r="CS313" i="2"/>
  <c r="CR313" i="2"/>
  <c r="CO313" i="2"/>
  <c r="BO313" i="2"/>
  <c r="BL313" i="2"/>
  <c r="BJ313" i="2"/>
  <c r="C313" i="2"/>
  <c r="B313" i="2"/>
  <c r="CY312" i="2"/>
  <c r="CV312" i="2"/>
  <c r="CT312" i="2"/>
  <c r="CS312" i="2"/>
  <c r="CR312" i="2"/>
  <c r="CO312" i="2"/>
  <c r="BO312" i="2"/>
  <c r="BL312" i="2"/>
  <c r="BJ312" i="2"/>
  <c r="C312" i="2"/>
  <c r="B312" i="2"/>
  <c r="CY311" i="2"/>
  <c r="CV311" i="2"/>
  <c r="CU311" i="2"/>
  <c r="CT311" i="2"/>
  <c r="CS311" i="2"/>
  <c r="CR311" i="2"/>
  <c r="CO311" i="2"/>
  <c r="BO311" i="2"/>
  <c r="BL311" i="2"/>
  <c r="BJ311" i="2"/>
  <c r="C311" i="2"/>
  <c r="B311" i="2"/>
  <c r="CY310" i="2"/>
  <c r="CV310" i="2"/>
  <c r="CU310" i="2"/>
  <c r="CT310" i="2"/>
  <c r="CS310" i="2"/>
  <c r="CR310" i="2"/>
  <c r="CO310" i="2"/>
  <c r="BO310" i="2"/>
  <c r="BL310" i="2"/>
  <c r="BJ310" i="2"/>
  <c r="C310" i="2"/>
  <c r="B310" i="2"/>
  <c r="CY309" i="2"/>
  <c r="CV309" i="2"/>
  <c r="CT309" i="2"/>
  <c r="CS309" i="2"/>
  <c r="CR309" i="2"/>
  <c r="CO309" i="2"/>
  <c r="BO309" i="2"/>
  <c r="BL309" i="2"/>
  <c r="BJ309" i="2"/>
  <c r="C309" i="2"/>
  <c r="B309" i="2"/>
  <c r="CY308" i="2"/>
  <c r="CV308" i="2"/>
  <c r="CU308" i="2"/>
  <c r="CT308" i="2"/>
  <c r="CS308" i="2"/>
  <c r="CR308" i="2"/>
  <c r="CO308" i="2"/>
  <c r="BO308" i="2"/>
  <c r="BL308" i="2"/>
  <c r="BJ308" i="2"/>
  <c r="C308" i="2"/>
  <c r="B308" i="2"/>
  <c r="CY307" i="2"/>
  <c r="CV307" i="2"/>
  <c r="CT307" i="2"/>
  <c r="CS307" i="2"/>
  <c r="CR307" i="2"/>
  <c r="CO307" i="2"/>
  <c r="BO307" i="2"/>
  <c r="BL307" i="2"/>
  <c r="BJ307" i="2"/>
  <c r="C307" i="2"/>
  <c r="B307" i="2"/>
  <c r="CY306" i="2"/>
  <c r="CV306" i="2"/>
  <c r="CT306" i="2"/>
  <c r="CS306" i="2"/>
  <c r="CR306" i="2"/>
  <c r="CO306" i="2"/>
  <c r="BO306" i="2"/>
  <c r="BL306" i="2"/>
  <c r="BJ306" i="2"/>
  <c r="C306" i="2"/>
  <c r="B306" i="2"/>
  <c r="CY305" i="2"/>
  <c r="CV305" i="2"/>
  <c r="CU305" i="2"/>
  <c r="CT305" i="2"/>
  <c r="CS305" i="2"/>
  <c r="CR305" i="2"/>
  <c r="CO305" i="2"/>
  <c r="BO305" i="2"/>
  <c r="BL305" i="2"/>
  <c r="BJ305" i="2"/>
  <c r="C305" i="2"/>
  <c r="B305" i="2"/>
  <c r="CY304" i="2"/>
  <c r="CV304" i="2"/>
  <c r="CT304" i="2"/>
  <c r="CS304" i="2"/>
  <c r="CR304" i="2"/>
  <c r="CO304" i="2"/>
  <c r="BO304" i="2"/>
  <c r="BL304" i="2"/>
  <c r="BJ304" i="2"/>
  <c r="C304" i="2"/>
  <c r="B304" i="2"/>
  <c r="CY303" i="2"/>
  <c r="CV303" i="2"/>
  <c r="CU303" i="2"/>
  <c r="CT303" i="2"/>
  <c r="CS303" i="2"/>
  <c r="CR303" i="2"/>
  <c r="CO303" i="2"/>
  <c r="BO303" i="2"/>
  <c r="BL303" i="2"/>
  <c r="BJ303" i="2"/>
  <c r="C303" i="2"/>
  <c r="B303" i="2"/>
  <c r="CY302" i="2"/>
  <c r="CV302" i="2"/>
  <c r="CU302" i="2"/>
  <c r="CT302" i="2"/>
  <c r="CS302" i="2"/>
  <c r="CR302" i="2"/>
  <c r="CO302" i="2"/>
  <c r="BO302" i="2"/>
  <c r="BL302" i="2"/>
  <c r="BJ302" i="2"/>
  <c r="C302" i="2"/>
  <c r="B302" i="2"/>
  <c r="CY301" i="2"/>
  <c r="CV301" i="2"/>
  <c r="CU301" i="2"/>
  <c r="CT301" i="2"/>
  <c r="CS301" i="2"/>
  <c r="CR301" i="2"/>
  <c r="CO301" i="2"/>
  <c r="BO301" i="2"/>
  <c r="BL301" i="2"/>
  <c r="BJ301" i="2"/>
  <c r="C301" i="2"/>
  <c r="B301" i="2"/>
  <c r="CY300" i="2"/>
  <c r="CV300" i="2"/>
  <c r="CU300" i="2"/>
  <c r="CT300" i="2"/>
  <c r="CS300" i="2"/>
  <c r="CR300" i="2"/>
  <c r="CO300" i="2"/>
  <c r="BO300" i="2"/>
  <c r="BL300" i="2"/>
  <c r="BJ300" i="2"/>
  <c r="C300" i="2"/>
  <c r="B300" i="2"/>
  <c r="CY299" i="2"/>
  <c r="CV299" i="2"/>
  <c r="CU299" i="2"/>
  <c r="CT299" i="2"/>
  <c r="CS299" i="2"/>
  <c r="CR299" i="2"/>
  <c r="CO299" i="2"/>
  <c r="BO299" i="2"/>
  <c r="BL299" i="2"/>
  <c r="BJ299" i="2"/>
  <c r="C299" i="2"/>
  <c r="B299" i="2"/>
  <c r="CY298" i="2"/>
  <c r="CV298" i="2"/>
  <c r="CT298" i="2"/>
  <c r="CS298" i="2"/>
  <c r="CR298" i="2"/>
  <c r="CO298" i="2"/>
  <c r="BO298" i="2"/>
  <c r="BL298" i="2"/>
  <c r="BJ298" i="2"/>
  <c r="C298" i="2"/>
  <c r="B298" i="2"/>
  <c r="CY297" i="2"/>
  <c r="CV297" i="2"/>
  <c r="CU297" i="2"/>
  <c r="CT297" i="2"/>
  <c r="CS297" i="2"/>
  <c r="CR297" i="2"/>
  <c r="CO297" i="2"/>
  <c r="BO297" i="2"/>
  <c r="BL297" i="2"/>
  <c r="BJ297" i="2"/>
  <c r="C297" i="2"/>
  <c r="B297" i="2"/>
  <c r="CY296" i="2"/>
  <c r="CV296" i="2"/>
  <c r="CU296" i="2"/>
  <c r="CT296" i="2"/>
  <c r="CS296" i="2"/>
  <c r="CR296" i="2"/>
  <c r="CO296" i="2"/>
  <c r="BO296" i="2"/>
  <c r="BL296" i="2"/>
  <c r="BJ296" i="2"/>
  <c r="C296" i="2"/>
  <c r="B296" i="2"/>
  <c r="CY295" i="2"/>
  <c r="CV295" i="2"/>
  <c r="CU295" i="2"/>
  <c r="CT295" i="2"/>
  <c r="CS295" i="2"/>
  <c r="CR295" i="2"/>
  <c r="CO295" i="2"/>
  <c r="BO295" i="2"/>
  <c r="BL295" i="2"/>
  <c r="BJ295" i="2"/>
  <c r="C295" i="2"/>
  <c r="B295" i="2"/>
  <c r="CY294" i="2"/>
  <c r="CV294" i="2"/>
  <c r="CU294" i="2"/>
  <c r="CT294" i="2"/>
  <c r="CS294" i="2"/>
  <c r="CR294" i="2"/>
  <c r="CO294" i="2"/>
  <c r="BO294" i="2"/>
  <c r="BL294" i="2"/>
  <c r="BJ294" i="2"/>
  <c r="C294" i="2"/>
  <c r="B294" i="2"/>
  <c r="CY293" i="2"/>
  <c r="CV293" i="2"/>
  <c r="CU293" i="2"/>
  <c r="CT293" i="2"/>
  <c r="CS293" i="2"/>
  <c r="CR293" i="2"/>
  <c r="CO293" i="2"/>
  <c r="BO293" i="2"/>
  <c r="BL293" i="2"/>
  <c r="BJ293" i="2"/>
  <c r="C293" i="2"/>
  <c r="B293" i="2"/>
  <c r="CY292" i="2"/>
  <c r="CV292" i="2"/>
  <c r="CU292" i="2"/>
  <c r="CT292" i="2"/>
  <c r="CS292" i="2"/>
  <c r="CR292" i="2"/>
  <c r="CO292" i="2"/>
  <c r="BO292" i="2"/>
  <c r="BL292" i="2"/>
  <c r="BJ292" i="2"/>
  <c r="C292" i="2"/>
  <c r="B292" i="2"/>
  <c r="CY291" i="2"/>
  <c r="CV291" i="2"/>
  <c r="CU291" i="2"/>
  <c r="CT291" i="2"/>
  <c r="CS291" i="2"/>
  <c r="CR291" i="2"/>
  <c r="CO291" i="2"/>
  <c r="BO291" i="2"/>
  <c r="BL291" i="2"/>
  <c r="BJ291" i="2"/>
  <c r="C291" i="2"/>
  <c r="B291" i="2"/>
  <c r="CY290" i="2"/>
  <c r="CV290" i="2"/>
  <c r="CU290" i="2"/>
  <c r="CT290" i="2"/>
  <c r="CS290" i="2"/>
  <c r="CR290" i="2"/>
  <c r="CO290" i="2"/>
  <c r="BO290" i="2"/>
  <c r="BL290" i="2"/>
  <c r="BJ290" i="2"/>
  <c r="C290" i="2"/>
  <c r="B290" i="2"/>
  <c r="CY289" i="2"/>
  <c r="CV289" i="2"/>
  <c r="CU289" i="2"/>
  <c r="CT289" i="2"/>
  <c r="CS289" i="2"/>
  <c r="CR289" i="2"/>
  <c r="CO289" i="2"/>
  <c r="BO289" i="2"/>
  <c r="BL289" i="2"/>
  <c r="BJ289" i="2"/>
  <c r="C289" i="2"/>
  <c r="B289" i="2"/>
  <c r="CY288" i="2"/>
  <c r="CV288" i="2"/>
  <c r="CU288" i="2"/>
  <c r="CT288" i="2"/>
  <c r="CS288" i="2"/>
  <c r="CR288" i="2"/>
  <c r="CO288" i="2"/>
  <c r="BO288" i="2"/>
  <c r="BL288" i="2"/>
  <c r="BJ288" i="2"/>
  <c r="C288" i="2"/>
  <c r="B288" i="2"/>
  <c r="CY287" i="2"/>
  <c r="CV287" i="2"/>
  <c r="CU287" i="2"/>
  <c r="CT287" i="2"/>
  <c r="CS287" i="2"/>
  <c r="CR287" i="2"/>
  <c r="CO287" i="2"/>
  <c r="BO287" i="2"/>
  <c r="BL287" i="2"/>
  <c r="BJ287" i="2"/>
  <c r="C287" i="2"/>
  <c r="B287" i="2"/>
  <c r="CY286" i="2"/>
  <c r="CV286" i="2"/>
  <c r="CU286" i="2"/>
  <c r="CT286" i="2"/>
  <c r="CS286" i="2"/>
  <c r="CR286" i="2"/>
  <c r="CO286" i="2"/>
  <c r="BO286" i="2"/>
  <c r="BL286" i="2"/>
  <c r="BJ286" i="2"/>
  <c r="C286" i="2"/>
  <c r="B286" i="2"/>
  <c r="CY285" i="2"/>
  <c r="CV285" i="2"/>
  <c r="CU285" i="2"/>
  <c r="CT285" i="2"/>
  <c r="CS285" i="2"/>
  <c r="CR285" i="2"/>
  <c r="CO285" i="2"/>
  <c r="BO285" i="2"/>
  <c r="BL285" i="2"/>
  <c r="BJ285" i="2"/>
  <c r="C285" i="2"/>
  <c r="B285" i="2"/>
  <c r="CY284" i="2"/>
  <c r="CV284" i="2"/>
  <c r="CU284" i="2"/>
  <c r="CT284" i="2"/>
  <c r="CS284" i="2"/>
  <c r="CR284" i="2"/>
  <c r="CO284" i="2"/>
  <c r="BO284" i="2"/>
  <c r="BL284" i="2"/>
  <c r="BJ284" i="2"/>
  <c r="C284" i="2"/>
  <c r="B284" i="2"/>
  <c r="CY283" i="2"/>
  <c r="CV283" i="2"/>
  <c r="CU283" i="2"/>
  <c r="CT283" i="2"/>
  <c r="CS283" i="2"/>
  <c r="CR283" i="2"/>
  <c r="CO283" i="2"/>
  <c r="BO283" i="2"/>
  <c r="BL283" i="2"/>
  <c r="BJ283" i="2"/>
  <c r="C283" i="2"/>
  <c r="B283" i="2"/>
  <c r="CY282" i="2"/>
  <c r="CV282" i="2"/>
  <c r="CU282" i="2"/>
  <c r="CT282" i="2"/>
  <c r="CS282" i="2"/>
  <c r="CR282" i="2"/>
  <c r="CO282" i="2"/>
  <c r="BO282" i="2"/>
  <c r="BL282" i="2"/>
  <c r="BJ282" i="2"/>
  <c r="C282" i="2"/>
  <c r="B282" i="2"/>
  <c r="CY281" i="2"/>
  <c r="CV281" i="2"/>
  <c r="CU281" i="2"/>
  <c r="CT281" i="2"/>
  <c r="CS281" i="2"/>
  <c r="CR281" i="2"/>
  <c r="CO281" i="2"/>
  <c r="BO281" i="2"/>
  <c r="BL281" i="2"/>
  <c r="BJ281" i="2"/>
  <c r="C281" i="2"/>
  <c r="B281" i="2"/>
  <c r="CY280" i="2"/>
  <c r="CV280" i="2"/>
  <c r="CU280" i="2"/>
  <c r="CT280" i="2"/>
  <c r="CS280" i="2"/>
  <c r="CR280" i="2"/>
  <c r="CO280" i="2"/>
  <c r="BO280" i="2"/>
  <c r="BL280" i="2"/>
  <c r="BJ280" i="2"/>
  <c r="C280" i="2"/>
  <c r="B280" i="2"/>
  <c r="CY279" i="2"/>
  <c r="CV279" i="2"/>
  <c r="CU279" i="2"/>
  <c r="CT279" i="2"/>
  <c r="CS279" i="2"/>
  <c r="CR279" i="2"/>
  <c r="CO279" i="2"/>
  <c r="BO279" i="2"/>
  <c r="BL279" i="2"/>
  <c r="BJ279" i="2"/>
  <c r="C279" i="2"/>
  <c r="B279" i="2"/>
  <c r="CY278" i="2"/>
  <c r="CV278" i="2"/>
  <c r="CT278" i="2"/>
  <c r="CS278" i="2"/>
  <c r="CR278" i="2"/>
  <c r="CO278" i="2"/>
  <c r="BO278" i="2"/>
  <c r="BL278" i="2"/>
  <c r="BJ278" i="2"/>
  <c r="C278" i="2"/>
  <c r="B278" i="2"/>
  <c r="CY277" i="2"/>
  <c r="CV277" i="2"/>
  <c r="CT277" i="2"/>
  <c r="CS277" i="2"/>
  <c r="CR277" i="2"/>
  <c r="CO277" i="2"/>
  <c r="BO277" i="2"/>
  <c r="BL277" i="2"/>
  <c r="BJ277" i="2"/>
  <c r="C277" i="2"/>
  <c r="B277" i="2"/>
  <c r="CY276" i="2"/>
  <c r="CV276" i="2"/>
  <c r="CU276" i="2"/>
  <c r="CT276" i="2"/>
  <c r="CS276" i="2"/>
  <c r="CR276" i="2"/>
  <c r="CO276" i="2"/>
  <c r="BO276" i="2"/>
  <c r="BL276" i="2"/>
  <c r="BJ276" i="2"/>
  <c r="C276" i="2"/>
  <c r="B276" i="2"/>
  <c r="CY275" i="2"/>
  <c r="CV275" i="2"/>
  <c r="CU275" i="2"/>
  <c r="CT275" i="2"/>
  <c r="CS275" i="2"/>
  <c r="CR275" i="2"/>
  <c r="CO275" i="2"/>
  <c r="BO275" i="2"/>
  <c r="BL275" i="2"/>
  <c r="BJ275" i="2"/>
  <c r="C275" i="2"/>
  <c r="B275" i="2"/>
  <c r="CY274" i="2"/>
  <c r="CV274" i="2"/>
  <c r="CU274" i="2"/>
  <c r="CT274" i="2"/>
  <c r="CS274" i="2"/>
  <c r="CR274" i="2"/>
  <c r="CO274" i="2"/>
  <c r="BO274" i="2"/>
  <c r="BL274" i="2"/>
  <c r="BJ274" i="2"/>
  <c r="C274" i="2"/>
  <c r="B274" i="2"/>
  <c r="CY273" i="2"/>
  <c r="CV273" i="2"/>
  <c r="CU273" i="2"/>
  <c r="CT273" i="2"/>
  <c r="CS273" i="2"/>
  <c r="CR273" i="2"/>
  <c r="CO273" i="2"/>
  <c r="BO273" i="2"/>
  <c r="BL273" i="2"/>
  <c r="BJ273" i="2"/>
  <c r="C273" i="2"/>
  <c r="B273" i="2"/>
  <c r="CY272" i="2"/>
  <c r="CV272" i="2"/>
  <c r="CU272" i="2"/>
  <c r="CT272" i="2"/>
  <c r="CS272" i="2"/>
  <c r="CR272" i="2"/>
  <c r="CO272" i="2"/>
  <c r="BO272" i="2"/>
  <c r="BL272" i="2"/>
  <c r="BJ272" i="2"/>
  <c r="C272" i="2"/>
  <c r="B272" i="2"/>
  <c r="CY271" i="2"/>
  <c r="CV271" i="2"/>
  <c r="CU271" i="2"/>
  <c r="CT271" i="2"/>
  <c r="CS271" i="2"/>
  <c r="CR271" i="2"/>
  <c r="CO271" i="2"/>
  <c r="BO271" i="2"/>
  <c r="BL271" i="2"/>
  <c r="BJ271" i="2"/>
  <c r="C271" i="2"/>
  <c r="B271" i="2"/>
  <c r="CY270" i="2"/>
  <c r="CV270" i="2"/>
  <c r="CU270" i="2"/>
  <c r="CT270" i="2"/>
  <c r="CS270" i="2"/>
  <c r="CR270" i="2"/>
  <c r="CO270" i="2"/>
  <c r="BO270" i="2"/>
  <c r="BL270" i="2"/>
  <c r="BJ270" i="2"/>
  <c r="C270" i="2"/>
  <c r="B270" i="2"/>
  <c r="CY269" i="2"/>
  <c r="CV269" i="2"/>
  <c r="CU269" i="2"/>
  <c r="CT269" i="2"/>
  <c r="CS269" i="2"/>
  <c r="CR269" i="2"/>
  <c r="CO269" i="2"/>
  <c r="BO269" i="2"/>
  <c r="BL269" i="2"/>
  <c r="BJ269" i="2"/>
  <c r="C269" i="2"/>
  <c r="B269" i="2"/>
  <c r="CY268" i="2"/>
  <c r="CV268" i="2"/>
  <c r="CU268" i="2"/>
  <c r="CT268" i="2"/>
  <c r="CS268" i="2"/>
  <c r="CR268" i="2"/>
  <c r="CO268" i="2"/>
  <c r="BO268" i="2"/>
  <c r="BL268" i="2"/>
  <c r="BJ268" i="2"/>
  <c r="C268" i="2"/>
  <c r="B268" i="2"/>
  <c r="CY267" i="2"/>
  <c r="CV267" i="2"/>
  <c r="CU267" i="2"/>
  <c r="CT267" i="2"/>
  <c r="CS267" i="2"/>
  <c r="CR267" i="2"/>
  <c r="CO267" i="2"/>
  <c r="BO267" i="2"/>
  <c r="BL267" i="2"/>
  <c r="BJ267" i="2"/>
  <c r="C267" i="2"/>
  <c r="B267" i="2"/>
  <c r="CY266" i="2"/>
  <c r="CV266" i="2"/>
  <c r="CU266" i="2"/>
  <c r="CT266" i="2"/>
  <c r="CS266" i="2"/>
  <c r="CR266" i="2"/>
  <c r="CO266" i="2"/>
  <c r="BO266" i="2"/>
  <c r="BL266" i="2"/>
  <c r="BJ266" i="2"/>
  <c r="C266" i="2"/>
  <c r="B266" i="2"/>
  <c r="CY265" i="2"/>
  <c r="CV265" i="2"/>
  <c r="CU265" i="2"/>
  <c r="CT265" i="2"/>
  <c r="CS265" i="2"/>
  <c r="CR265" i="2"/>
  <c r="CO265" i="2"/>
  <c r="BO265" i="2"/>
  <c r="BL265" i="2"/>
  <c r="BJ265" i="2"/>
  <c r="C265" i="2"/>
  <c r="B265" i="2"/>
  <c r="CY264" i="2"/>
  <c r="CV264" i="2"/>
  <c r="CU264" i="2"/>
  <c r="CT264" i="2"/>
  <c r="CS264" i="2"/>
  <c r="CR264" i="2"/>
  <c r="CO264" i="2"/>
  <c r="BO264" i="2"/>
  <c r="BL264" i="2"/>
  <c r="BJ264" i="2"/>
  <c r="C264" i="2"/>
  <c r="B264" i="2"/>
  <c r="CY263" i="2"/>
  <c r="CV263" i="2"/>
  <c r="CU263" i="2"/>
  <c r="CT263" i="2"/>
  <c r="CS263" i="2"/>
  <c r="CR263" i="2"/>
  <c r="CO263" i="2"/>
  <c r="BO263" i="2"/>
  <c r="BL263" i="2"/>
  <c r="BJ263" i="2"/>
  <c r="C263" i="2"/>
  <c r="B263" i="2"/>
  <c r="CY262" i="2"/>
  <c r="CV262" i="2"/>
  <c r="CU262" i="2"/>
  <c r="CT262" i="2"/>
  <c r="CS262" i="2"/>
  <c r="CR262" i="2"/>
  <c r="CO262" i="2"/>
  <c r="BO262" i="2"/>
  <c r="BL262" i="2"/>
  <c r="BJ262" i="2"/>
  <c r="C262" i="2"/>
  <c r="B262" i="2"/>
  <c r="CY261" i="2"/>
  <c r="CV261" i="2"/>
  <c r="CU261" i="2"/>
  <c r="CT261" i="2"/>
  <c r="CS261" i="2"/>
  <c r="CR261" i="2"/>
  <c r="CO261" i="2"/>
  <c r="BO261" i="2"/>
  <c r="BL261" i="2"/>
  <c r="BJ261" i="2"/>
  <c r="C261" i="2"/>
  <c r="B261" i="2"/>
  <c r="CY260" i="2"/>
  <c r="CV260" i="2"/>
  <c r="CU260" i="2"/>
  <c r="CT260" i="2"/>
  <c r="CS260" i="2"/>
  <c r="CR260" i="2"/>
  <c r="CO260" i="2"/>
  <c r="BO260" i="2"/>
  <c r="BL260" i="2"/>
  <c r="BJ260" i="2"/>
  <c r="C260" i="2"/>
  <c r="B260" i="2"/>
  <c r="CY259" i="2"/>
  <c r="CV259" i="2"/>
  <c r="CU259" i="2"/>
  <c r="CT259" i="2"/>
  <c r="CS259" i="2"/>
  <c r="CR259" i="2"/>
  <c r="CO259" i="2"/>
  <c r="BO259" i="2"/>
  <c r="BL259" i="2"/>
  <c r="BJ259" i="2"/>
  <c r="C259" i="2"/>
  <c r="B259" i="2"/>
  <c r="CY258" i="2"/>
  <c r="CV258" i="2"/>
  <c r="CU258" i="2"/>
  <c r="CT258" i="2"/>
  <c r="CS258" i="2"/>
  <c r="CR258" i="2"/>
  <c r="CO258" i="2"/>
  <c r="BO258" i="2"/>
  <c r="BL258" i="2"/>
  <c r="BJ258" i="2"/>
  <c r="C258" i="2"/>
  <c r="B258" i="2"/>
  <c r="CY257" i="2"/>
  <c r="CV257" i="2"/>
  <c r="CU257" i="2"/>
  <c r="CT257" i="2"/>
  <c r="CS257" i="2"/>
  <c r="CR257" i="2"/>
  <c r="CO257" i="2"/>
  <c r="BO257" i="2"/>
  <c r="BL257" i="2"/>
  <c r="BJ257" i="2"/>
  <c r="C257" i="2"/>
  <c r="B257" i="2"/>
  <c r="CY256" i="2"/>
  <c r="CV256" i="2"/>
  <c r="CU256" i="2"/>
  <c r="CT256" i="2"/>
  <c r="CS256" i="2"/>
  <c r="CR256" i="2"/>
  <c r="CO256" i="2"/>
  <c r="BO256" i="2"/>
  <c r="BL256" i="2"/>
  <c r="BJ256" i="2"/>
  <c r="C256" i="2"/>
  <c r="B256" i="2"/>
  <c r="CY255" i="2"/>
  <c r="CV255" i="2"/>
  <c r="CU255" i="2"/>
  <c r="CT255" i="2"/>
  <c r="CS255" i="2"/>
  <c r="CR255" i="2"/>
  <c r="CO255" i="2"/>
  <c r="BO255" i="2"/>
  <c r="BL255" i="2"/>
  <c r="BJ255" i="2"/>
  <c r="C255" i="2"/>
  <c r="B255" i="2"/>
  <c r="CY254" i="2"/>
  <c r="CV254" i="2"/>
  <c r="CU254" i="2"/>
  <c r="CT254" i="2"/>
  <c r="CS254" i="2"/>
  <c r="CR254" i="2"/>
  <c r="CO254" i="2"/>
  <c r="BO254" i="2"/>
  <c r="BL254" i="2"/>
  <c r="BJ254" i="2"/>
  <c r="C254" i="2"/>
  <c r="B254" i="2"/>
  <c r="CY253" i="2"/>
  <c r="CV253" i="2"/>
  <c r="CU253" i="2"/>
  <c r="CT253" i="2"/>
  <c r="CS253" i="2"/>
  <c r="CR253" i="2"/>
  <c r="CO253" i="2"/>
  <c r="BO253" i="2"/>
  <c r="BL253" i="2"/>
  <c r="BJ253" i="2"/>
  <c r="C253" i="2"/>
  <c r="B253" i="2"/>
  <c r="CY252" i="2"/>
  <c r="CV252" i="2"/>
  <c r="CU252" i="2"/>
  <c r="CT252" i="2"/>
  <c r="CS252" i="2"/>
  <c r="CR252" i="2"/>
  <c r="CO252" i="2"/>
  <c r="BO252" i="2"/>
  <c r="BL252" i="2"/>
  <c r="BJ252" i="2"/>
  <c r="C252" i="2"/>
  <c r="B252" i="2"/>
  <c r="CY251" i="2"/>
  <c r="CV251" i="2"/>
  <c r="CU251" i="2"/>
  <c r="CT251" i="2"/>
  <c r="CS251" i="2"/>
  <c r="CR251" i="2"/>
  <c r="CO251" i="2"/>
  <c r="BO251" i="2"/>
  <c r="BL251" i="2"/>
  <c r="BJ251" i="2"/>
  <c r="C251" i="2"/>
  <c r="B251" i="2"/>
  <c r="CY250" i="2"/>
  <c r="CV250" i="2"/>
  <c r="CT250" i="2"/>
  <c r="CS250" i="2"/>
  <c r="CR250" i="2"/>
  <c r="CO250" i="2"/>
  <c r="BO250" i="2"/>
  <c r="BL250" i="2"/>
  <c r="BJ250" i="2"/>
  <c r="C250" i="2"/>
  <c r="B250" i="2"/>
  <c r="CY249" i="2"/>
  <c r="CV249" i="2"/>
  <c r="CT249" i="2"/>
  <c r="CS249" i="2"/>
  <c r="CR249" i="2"/>
  <c r="CO249" i="2"/>
  <c r="BO249" i="2"/>
  <c r="BL249" i="2"/>
  <c r="BJ249" i="2"/>
  <c r="C249" i="2"/>
  <c r="B249" i="2"/>
  <c r="CY248" i="2"/>
  <c r="CV248" i="2"/>
  <c r="CT248" i="2"/>
  <c r="CS248" i="2"/>
  <c r="CR248" i="2"/>
  <c r="CO248" i="2"/>
  <c r="BO248" i="2"/>
  <c r="BL248" i="2"/>
  <c r="BJ248" i="2"/>
  <c r="C248" i="2"/>
  <c r="B248" i="2"/>
  <c r="CY247" i="2"/>
  <c r="CV247" i="2"/>
  <c r="CT247" i="2"/>
  <c r="CS247" i="2"/>
  <c r="CR247" i="2"/>
  <c r="CO247" i="2"/>
  <c r="BO247" i="2"/>
  <c r="BL247" i="2"/>
  <c r="BJ247" i="2"/>
  <c r="C247" i="2"/>
  <c r="B247" i="2"/>
  <c r="CY246" i="2"/>
  <c r="CV246" i="2"/>
  <c r="CT246" i="2"/>
  <c r="CS246" i="2"/>
  <c r="CR246" i="2"/>
  <c r="CO246" i="2"/>
  <c r="BO246" i="2"/>
  <c r="BL246" i="2"/>
  <c r="BJ246" i="2"/>
  <c r="C246" i="2"/>
  <c r="B246" i="2"/>
  <c r="CY245" i="2"/>
  <c r="CV245" i="2"/>
  <c r="CT245" i="2"/>
  <c r="CS245" i="2"/>
  <c r="CR245" i="2"/>
  <c r="CO245" i="2"/>
  <c r="BO245" i="2"/>
  <c r="BL245" i="2"/>
  <c r="BJ245" i="2"/>
  <c r="C245" i="2"/>
  <c r="B245" i="2"/>
  <c r="CY244" i="2"/>
  <c r="CV244" i="2"/>
  <c r="CT244" i="2"/>
  <c r="CS244" i="2"/>
  <c r="CR244" i="2"/>
  <c r="CO244" i="2"/>
  <c r="BO244" i="2"/>
  <c r="BL244" i="2"/>
  <c r="BJ244" i="2"/>
  <c r="C244" i="2"/>
  <c r="B244" i="2"/>
  <c r="CY243" i="2"/>
  <c r="CV243" i="2"/>
  <c r="CT243" i="2"/>
  <c r="CS243" i="2"/>
  <c r="CR243" i="2"/>
  <c r="CO243" i="2"/>
  <c r="BO243" i="2"/>
  <c r="BL243" i="2"/>
  <c r="BJ243" i="2"/>
  <c r="C243" i="2"/>
  <c r="B243" i="2"/>
  <c r="CY242" i="2"/>
  <c r="CV242" i="2"/>
  <c r="CT242" i="2"/>
  <c r="CS242" i="2"/>
  <c r="CR242" i="2"/>
  <c r="CO242" i="2"/>
  <c r="BO242" i="2"/>
  <c r="BL242" i="2"/>
  <c r="BJ242" i="2"/>
  <c r="C242" i="2"/>
  <c r="B242" i="2"/>
  <c r="CY241" i="2"/>
  <c r="CV241" i="2"/>
  <c r="CT241" i="2"/>
  <c r="CS241" i="2"/>
  <c r="CR241" i="2"/>
  <c r="CO241" i="2"/>
  <c r="BO241" i="2"/>
  <c r="BL241" i="2"/>
  <c r="BJ241" i="2"/>
  <c r="C241" i="2"/>
  <c r="B241" i="2"/>
  <c r="CY240" i="2"/>
  <c r="CV240" i="2"/>
  <c r="CT240" i="2"/>
  <c r="CS240" i="2"/>
  <c r="CR240" i="2"/>
  <c r="CO240" i="2"/>
  <c r="BO240" i="2"/>
  <c r="BL240" i="2"/>
  <c r="BJ240" i="2"/>
  <c r="C240" i="2"/>
  <c r="B240" i="2"/>
  <c r="CY239" i="2"/>
  <c r="CV239" i="2"/>
  <c r="CU239" i="2"/>
  <c r="CT239" i="2"/>
  <c r="CS239" i="2"/>
  <c r="CR239" i="2"/>
  <c r="CO239" i="2"/>
  <c r="BO239" i="2"/>
  <c r="BL239" i="2"/>
  <c r="BJ239" i="2"/>
  <c r="C239" i="2"/>
  <c r="B239" i="2"/>
  <c r="CY238" i="2"/>
  <c r="CV238" i="2"/>
  <c r="CU238" i="2"/>
  <c r="CT238" i="2"/>
  <c r="CS238" i="2"/>
  <c r="CR238" i="2"/>
  <c r="CO238" i="2"/>
  <c r="BO238" i="2"/>
  <c r="BL238" i="2"/>
  <c r="BJ238" i="2"/>
  <c r="C238" i="2"/>
  <c r="B238" i="2"/>
  <c r="CY237" i="2"/>
  <c r="CV237" i="2"/>
  <c r="CU237" i="2"/>
  <c r="CT237" i="2"/>
  <c r="CS237" i="2"/>
  <c r="CR237" i="2"/>
  <c r="CO237" i="2"/>
  <c r="BO237" i="2"/>
  <c r="BL237" i="2"/>
  <c r="BJ237" i="2"/>
  <c r="C237" i="2"/>
  <c r="B237" i="2"/>
  <c r="CY236" i="2"/>
  <c r="CV236" i="2"/>
  <c r="CU236" i="2"/>
  <c r="CT236" i="2"/>
  <c r="CS236" i="2"/>
  <c r="CR236" i="2"/>
  <c r="CO236" i="2"/>
  <c r="BO236" i="2"/>
  <c r="BL236" i="2"/>
  <c r="BJ236" i="2"/>
  <c r="C236" i="2"/>
  <c r="B236" i="2"/>
  <c r="CY235" i="2"/>
  <c r="CV235" i="2"/>
  <c r="CU235" i="2"/>
  <c r="CS235" i="2"/>
  <c r="CR235" i="2"/>
  <c r="CO235" i="2"/>
  <c r="BO235" i="2"/>
  <c r="BL235" i="2"/>
  <c r="BJ235" i="2"/>
  <c r="C235" i="2"/>
  <c r="B235" i="2"/>
  <c r="CY234" i="2"/>
  <c r="CV234" i="2"/>
  <c r="CT234" i="2"/>
  <c r="CS234" i="2"/>
  <c r="CR234" i="2"/>
  <c r="CO234" i="2"/>
  <c r="BO234" i="2"/>
  <c r="BL234" i="2"/>
  <c r="BJ234" i="2"/>
  <c r="C234" i="2"/>
  <c r="B234" i="2"/>
  <c r="CY233" i="2"/>
  <c r="CV233" i="2"/>
  <c r="CU233" i="2"/>
  <c r="CT233" i="2"/>
  <c r="CS233" i="2"/>
  <c r="CR233" i="2"/>
  <c r="CO233" i="2"/>
  <c r="BO233" i="2"/>
  <c r="BL233" i="2"/>
  <c r="BJ233" i="2"/>
  <c r="C233" i="2"/>
  <c r="B233" i="2"/>
  <c r="CY232" i="2"/>
  <c r="CV232" i="2"/>
  <c r="CU232" i="2"/>
  <c r="CS232" i="2"/>
  <c r="CR232" i="2"/>
  <c r="CO232" i="2"/>
  <c r="BO232" i="2"/>
  <c r="BL232" i="2"/>
  <c r="BJ232" i="2"/>
  <c r="C232" i="2"/>
  <c r="B232" i="2"/>
  <c r="CY231" i="2"/>
  <c r="CV231" i="2"/>
  <c r="CT231" i="2"/>
  <c r="CS231" i="2"/>
  <c r="CR231" i="2"/>
  <c r="CO231" i="2"/>
  <c r="BO231" i="2"/>
  <c r="BL231" i="2"/>
  <c r="BJ231" i="2"/>
  <c r="C231" i="2"/>
  <c r="B231" i="2"/>
  <c r="CY230" i="2"/>
  <c r="CV230" i="2"/>
  <c r="CU230" i="2"/>
  <c r="CT230" i="2"/>
  <c r="CS230" i="2"/>
  <c r="CR230" i="2"/>
  <c r="CO230" i="2"/>
  <c r="BO230" i="2"/>
  <c r="BL230" i="2"/>
  <c r="BJ230" i="2"/>
  <c r="C230" i="2"/>
  <c r="B230" i="2"/>
  <c r="CY229" i="2"/>
  <c r="CV229" i="2"/>
  <c r="CT229" i="2"/>
  <c r="CS229" i="2"/>
  <c r="CR229" i="2"/>
  <c r="CO229" i="2"/>
  <c r="BO229" i="2"/>
  <c r="BL229" i="2"/>
  <c r="BJ229" i="2"/>
  <c r="C229" i="2"/>
  <c r="B229" i="2"/>
  <c r="CY228" i="2"/>
  <c r="CV228" i="2"/>
  <c r="CU228" i="2"/>
  <c r="CT228" i="2"/>
  <c r="CS228" i="2"/>
  <c r="CR228" i="2"/>
  <c r="CO228" i="2"/>
  <c r="BO228" i="2"/>
  <c r="BL228" i="2"/>
  <c r="BJ228" i="2"/>
  <c r="C228" i="2"/>
  <c r="B228" i="2"/>
  <c r="CY227" i="2"/>
  <c r="CV227" i="2"/>
  <c r="CU227" i="2"/>
  <c r="CT227" i="2"/>
  <c r="CS227" i="2"/>
  <c r="CR227" i="2"/>
  <c r="CO227" i="2"/>
  <c r="BO227" i="2"/>
  <c r="BL227" i="2"/>
  <c r="BJ227" i="2"/>
  <c r="C227" i="2"/>
  <c r="B227" i="2"/>
  <c r="CY226" i="2"/>
  <c r="CV226" i="2"/>
  <c r="CU226" i="2"/>
  <c r="CT226" i="2"/>
  <c r="CS226" i="2"/>
  <c r="CR226" i="2"/>
  <c r="CO226" i="2"/>
  <c r="BO226" i="2"/>
  <c r="BL226" i="2"/>
  <c r="BJ226" i="2"/>
  <c r="C226" i="2"/>
  <c r="B226" i="2"/>
  <c r="CY225" i="2"/>
  <c r="CV225" i="2"/>
  <c r="CU225" i="2"/>
  <c r="CT225" i="2"/>
  <c r="CS225" i="2"/>
  <c r="CR225" i="2"/>
  <c r="CO225" i="2"/>
  <c r="BO225" i="2"/>
  <c r="BL225" i="2"/>
  <c r="BJ225" i="2"/>
  <c r="C225" i="2"/>
  <c r="B225" i="2"/>
  <c r="CY224" i="2"/>
  <c r="CV224" i="2"/>
  <c r="CU224" i="2"/>
  <c r="CT224" i="2"/>
  <c r="CS224" i="2"/>
  <c r="CR224" i="2"/>
  <c r="CO224" i="2"/>
  <c r="BO224" i="2"/>
  <c r="BL224" i="2"/>
  <c r="BJ224" i="2"/>
  <c r="C224" i="2"/>
  <c r="B224" i="2"/>
  <c r="CY223" i="2"/>
  <c r="CV223" i="2"/>
  <c r="CU223" i="2"/>
  <c r="CT223" i="2"/>
  <c r="CS223" i="2"/>
  <c r="CR223" i="2"/>
  <c r="CO223" i="2"/>
  <c r="BO223" i="2"/>
  <c r="BL223" i="2"/>
  <c r="BJ223" i="2"/>
  <c r="C223" i="2"/>
  <c r="B223" i="2"/>
  <c r="CY222" i="2"/>
  <c r="CV222" i="2"/>
  <c r="CU222" i="2"/>
  <c r="CT222" i="2"/>
  <c r="CS222" i="2"/>
  <c r="CR222" i="2"/>
  <c r="CO222" i="2"/>
  <c r="BO222" i="2"/>
  <c r="BL222" i="2"/>
  <c r="BJ222" i="2"/>
  <c r="C222" i="2"/>
  <c r="B222" i="2"/>
  <c r="CY221" i="2"/>
  <c r="CV221" i="2"/>
  <c r="CU221" i="2"/>
  <c r="CT221" i="2"/>
  <c r="CS221" i="2"/>
  <c r="CR221" i="2"/>
  <c r="CO221" i="2"/>
  <c r="BO221" i="2"/>
  <c r="BL221" i="2"/>
  <c r="BJ221" i="2"/>
  <c r="C221" i="2"/>
  <c r="B221" i="2"/>
  <c r="CY220" i="2"/>
  <c r="CV220" i="2"/>
  <c r="CU220" i="2"/>
  <c r="CT220" i="2"/>
  <c r="CS220" i="2"/>
  <c r="CR220" i="2"/>
  <c r="CO220" i="2"/>
  <c r="BO220" i="2"/>
  <c r="BL220" i="2"/>
  <c r="BJ220" i="2"/>
  <c r="C220" i="2"/>
  <c r="B220" i="2"/>
  <c r="CY219" i="2"/>
  <c r="CV219" i="2"/>
  <c r="CU219" i="2"/>
  <c r="CT219" i="2"/>
  <c r="CS219" i="2"/>
  <c r="CR219" i="2"/>
  <c r="CO219" i="2"/>
  <c r="BO219" i="2"/>
  <c r="BL219" i="2"/>
  <c r="BJ219" i="2"/>
  <c r="C219" i="2"/>
  <c r="B219" i="2"/>
  <c r="CY218" i="2"/>
  <c r="CV218" i="2"/>
  <c r="CU218" i="2"/>
  <c r="CT218" i="2"/>
  <c r="CS218" i="2"/>
  <c r="CR218" i="2"/>
  <c r="CO218" i="2"/>
  <c r="BO218" i="2"/>
  <c r="BL218" i="2"/>
  <c r="BJ218" i="2"/>
  <c r="C218" i="2"/>
  <c r="B218" i="2"/>
  <c r="CY217" i="2"/>
  <c r="CV217" i="2"/>
  <c r="CU217" i="2"/>
  <c r="CT217" i="2"/>
  <c r="CS217" i="2"/>
  <c r="CR217" i="2"/>
  <c r="CO217" i="2"/>
  <c r="BO217" i="2"/>
  <c r="BL217" i="2"/>
  <c r="BJ217" i="2"/>
  <c r="C217" i="2"/>
  <c r="B217" i="2"/>
  <c r="CY216" i="2"/>
  <c r="CV216" i="2"/>
  <c r="CU216" i="2"/>
  <c r="CT216" i="2"/>
  <c r="CS216" i="2"/>
  <c r="CR216" i="2"/>
  <c r="CO216" i="2"/>
  <c r="BO216" i="2"/>
  <c r="BL216" i="2"/>
  <c r="BJ216" i="2"/>
  <c r="C216" i="2"/>
  <c r="B216" i="2"/>
  <c r="CY215" i="2"/>
  <c r="CV215" i="2"/>
  <c r="CU215" i="2"/>
  <c r="CT215" i="2"/>
  <c r="CS215" i="2"/>
  <c r="CR215" i="2"/>
  <c r="CO215" i="2"/>
  <c r="BO215" i="2"/>
  <c r="BL215" i="2"/>
  <c r="BJ215" i="2"/>
  <c r="C215" i="2"/>
  <c r="B215" i="2"/>
  <c r="CY214" i="2"/>
  <c r="CV214" i="2"/>
  <c r="CU214" i="2"/>
  <c r="CT214" i="2"/>
  <c r="CS214" i="2"/>
  <c r="CR214" i="2"/>
  <c r="CO214" i="2"/>
  <c r="BO214" i="2"/>
  <c r="BL214" i="2"/>
  <c r="BJ214" i="2"/>
  <c r="C214" i="2"/>
  <c r="B214" i="2"/>
  <c r="CY213" i="2"/>
  <c r="CV213" i="2"/>
  <c r="CU213" i="2"/>
  <c r="CT213" i="2"/>
  <c r="CS213" i="2"/>
  <c r="CR213" i="2"/>
  <c r="CO213" i="2"/>
  <c r="BO213" i="2"/>
  <c r="BL213" i="2"/>
  <c r="BJ213" i="2"/>
  <c r="C213" i="2"/>
  <c r="B213" i="2"/>
  <c r="CY212" i="2"/>
  <c r="CV212" i="2"/>
  <c r="CU212" i="2"/>
  <c r="CT212" i="2"/>
  <c r="CS212" i="2"/>
  <c r="CR212" i="2"/>
  <c r="CO212" i="2"/>
  <c r="BO212" i="2"/>
  <c r="BL212" i="2"/>
  <c r="BJ212" i="2"/>
  <c r="C212" i="2"/>
  <c r="B212" i="2"/>
  <c r="CY211" i="2"/>
  <c r="CV211" i="2"/>
  <c r="CU211" i="2"/>
  <c r="CT211" i="2"/>
  <c r="CS211" i="2"/>
  <c r="CR211" i="2"/>
  <c r="CO211" i="2"/>
  <c r="BO211" i="2"/>
  <c r="BL211" i="2"/>
  <c r="BJ211" i="2"/>
  <c r="C211" i="2"/>
  <c r="B211" i="2"/>
  <c r="CY210" i="2"/>
  <c r="CV210" i="2"/>
  <c r="CU210" i="2"/>
  <c r="CT210" i="2"/>
  <c r="CS210" i="2"/>
  <c r="CR210" i="2"/>
  <c r="CO210" i="2"/>
  <c r="BO210" i="2"/>
  <c r="BL210" i="2"/>
  <c r="BJ210" i="2"/>
  <c r="C210" i="2"/>
  <c r="B210" i="2"/>
  <c r="CY209" i="2"/>
  <c r="CV209" i="2"/>
  <c r="CU209" i="2"/>
  <c r="CT209" i="2"/>
  <c r="CS209" i="2"/>
  <c r="CR209" i="2"/>
  <c r="CO209" i="2"/>
  <c r="BO209" i="2"/>
  <c r="BL209" i="2"/>
  <c r="BJ209" i="2"/>
  <c r="C209" i="2"/>
  <c r="B209" i="2"/>
  <c r="CY208" i="2"/>
  <c r="CV208" i="2"/>
  <c r="CU208" i="2"/>
  <c r="CT208" i="2"/>
  <c r="CS208" i="2"/>
  <c r="CR208" i="2"/>
  <c r="CO208" i="2"/>
  <c r="BO208" i="2"/>
  <c r="BL208" i="2"/>
  <c r="BJ208" i="2"/>
  <c r="C208" i="2"/>
  <c r="B208" i="2"/>
  <c r="CY207" i="2"/>
  <c r="CV207" i="2"/>
  <c r="CU207" i="2"/>
  <c r="CT207" i="2"/>
  <c r="CS207" i="2"/>
  <c r="CR207" i="2"/>
  <c r="CO207" i="2"/>
  <c r="BO207" i="2"/>
  <c r="BL207" i="2"/>
  <c r="BJ207" i="2"/>
  <c r="C207" i="2"/>
  <c r="B207" i="2"/>
  <c r="CY206" i="2"/>
  <c r="CV206" i="2"/>
  <c r="CU206" i="2"/>
  <c r="CT206" i="2"/>
  <c r="CS206" i="2"/>
  <c r="CR206" i="2"/>
  <c r="CO206" i="2"/>
  <c r="BO206" i="2"/>
  <c r="BL206" i="2"/>
  <c r="BJ206" i="2"/>
  <c r="C206" i="2"/>
  <c r="B206" i="2"/>
  <c r="CY205" i="2"/>
  <c r="CV205" i="2"/>
  <c r="CU205" i="2"/>
  <c r="CT205" i="2"/>
  <c r="CS205" i="2"/>
  <c r="CR205" i="2"/>
  <c r="CO205" i="2"/>
  <c r="BO205" i="2"/>
  <c r="BL205" i="2"/>
  <c r="BJ205" i="2"/>
  <c r="C205" i="2"/>
  <c r="B205" i="2"/>
  <c r="CY204" i="2"/>
  <c r="CV204" i="2"/>
  <c r="CU204" i="2"/>
  <c r="CT204" i="2"/>
  <c r="CS204" i="2"/>
  <c r="CR204" i="2"/>
  <c r="CO204" i="2"/>
  <c r="BO204" i="2"/>
  <c r="BL204" i="2"/>
  <c r="BJ204" i="2"/>
  <c r="C204" i="2"/>
  <c r="B204" i="2"/>
  <c r="CY203" i="2"/>
  <c r="CV203" i="2"/>
  <c r="CU203" i="2"/>
  <c r="CT203" i="2"/>
  <c r="CS203" i="2"/>
  <c r="CR203" i="2"/>
  <c r="CO203" i="2"/>
  <c r="BO203" i="2"/>
  <c r="BL203" i="2"/>
  <c r="BJ203" i="2"/>
  <c r="C203" i="2"/>
  <c r="B203" i="2"/>
  <c r="CY202" i="2"/>
  <c r="CV202" i="2"/>
  <c r="CU202" i="2"/>
  <c r="CT202" i="2"/>
  <c r="CS202" i="2"/>
  <c r="CR202" i="2"/>
  <c r="CO202" i="2"/>
  <c r="BO202" i="2"/>
  <c r="BL202" i="2"/>
  <c r="BJ202" i="2"/>
  <c r="C202" i="2"/>
  <c r="B202" i="2"/>
  <c r="CY201" i="2"/>
  <c r="CV201" i="2"/>
  <c r="CU201" i="2"/>
  <c r="CT201" i="2"/>
  <c r="CS201" i="2"/>
  <c r="CR201" i="2"/>
  <c r="CO201" i="2"/>
  <c r="BO201" i="2"/>
  <c r="BL201" i="2"/>
  <c r="BJ201" i="2"/>
  <c r="C201" i="2"/>
  <c r="B201" i="2"/>
  <c r="CY200" i="2"/>
  <c r="CV200" i="2"/>
  <c r="CU200" i="2"/>
  <c r="CT200" i="2"/>
  <c r="CS200" i="2"/>
  <c r="CR200" i="2"/>
  <c r="CO200" i="2"/>
  <c r="BO200" i="2"/>
  <c r="BL200" i="2"/>
  <c r="BJ200" i="2"/>
  <c r="C200" i="2"/>
  <c r="B200" i="2"/>
  <c r="CY199" i="2"/>
  <c r="CV199" i="2"/>
  <c r="CU199" i="2"/>
  <c r="CT199" i="2"/>
  <c r="CS199" i="2"/>
  <c r="CR199" i="2"/>
  <c r="CO199" i="2"/>
  <c r="BO199" i="2"/>
  <c r="BL199" i="2"/>
  <c r="BJ199" i="2"/>
  <c r="C199" i="2"/>
  <c r="B199" i="2"/>
  <c r="CY198" i="2"/>
  <c r="CV198" i="2"/>
  <c r="CU198" i="2"/>
  <c r="CT198" i="2"/>
  <c r="CS198" i="2"/>
  <c r="CR198" i="2"/>
  <c r="CO198" i="2"/>
  <c r="BO198" i="2"/>
  <c r="BL198" i="2"/>
  <c r="BJ198" i="2"/>
  <c r="C198" i="2"/>
  <c r="B198" i="2"/>
  <c r="CY197" i="2"/>
  <c r="CV197" i="2"/>
  <c r="CU197" i="2"/>
  <c r="CT197" i="2"/>
  <c r="CS197" i="2"/>
  <c r="CR197" i="2"/>
  <c r="CO197" i="2"/>
  <c r="BO197" i="2"/>
  <c r="BL197" i="2"/>
  <c r="BJ197" i="2"/>
  <c r="C197" i="2"/>
  <c r="B197" i="2"/>
  <c r="CY196" i="2"/>
  <c r="CV196" i="2"/>
  <c r="CU196" i="2"/>
  <c r="CT196" i="2"/>
  <c r="CS196" i="2"/>
  <c r="CR196" i="2"/>
  <c r="CO196" i="2"/>
  <c r="BO196" i="2"/>
  <c r="BL196" i="2"/>
  <c r="BJ196" i="2"/>
  <c r="C196" i="2"/>
  <c r="B196" i="2"/>
  <c r="CY195" i="2"/>
  <c r="CV195" i="2"/>
  <c r="CU195" i="2"/>
  <c r="CT195" i="2"/>
  <c r="CS195" i="2"/>
  <c r="CR195" i="2"/>
  <c r="CO195" i="2"/>
  <c r="BO195" i="2"/>
  <c r="BL195" i="2"/>
  <c r="BJ195" i="2"/>
  <c r="C195" i="2"/>
  <c r="B195" i="2"/>
  <c r="CY194" i="2"/>
  <c r="CV194" i="2"/>
  <c r="CU194" i="2"/>
  <c r="CT194" i="2"/>
  <c r="CS194" i="2"/>
  <c r="CR194" i="2"/>
  <c r="CO194" i="2"/>
  <c r="BO194" i="2"/>
  <c r="BL194" i="2"/>
  <c r="BJ194" i="2"/>
  <c r="C194" i="2"/>
  <c r="B194" i="2"/>
  <c r="CY193" i="2"/>
  <c r="CV193" i="2"/>
  <c r="CU193" i="2"/>
  <c r="CT193" i="2"/>
  <c r="CS193" i="2"/>
  <c r="CR193" i="2"/>
  <c r="CO193" i="2"/>
  <c r="BO193" i="2"/>
  <c r="BL193" i="2"/>
  <c r="BJ193" i="2"/>
  <c r="C193" i="2"/>
  <c r="B193" i="2"/>
  <c r="CY192" i="2"/>
  <c r="CV192" i="2"/>
  <c r="CU192" i="2"/>
  <c r="CT192" i="2"/>
  <c r="CS192" i="2"/>
  <c r="CR192" i="2"/>
  <c r="CO192" i="2"/>
  <c r="BO192" i="2"/>
  <c r="BL192" i="2"/>
  <c r="BJ192" i="2"/>
  <c r="C192" i="2"/>
  <c r="B192" i="2"/>
  <c r="CY191" i="2"/>
  <c r="CV191" i="2"/>
  <c r="CU191" i="2"/>
  <c r="CT191" i="2"/>
  <c r="CS191" i="2"/>
  <c r="CR191" i="2"/>
  <c r="CO191" i="2"/>
  <c r="BO191" i="2"/>
  <c r="BL191" i="2"/>
  <c r="BJ191" i="2"/>
  <c r="C191" i="2"/>
  <c r="B191" i="2"/>
  <c r="CY190" i="2"/>
  <c r="CV190" i="2"/>
  <c r="CU190" i="2"/>
  <c r="CT190" i="2"/>
  <c r="CS190" i="2"/>
  <c r="CR190" i="2"/>
  <c r="CO190" i="2"/>
  <c r="BO190" i="2"/>
  <c r="BL190" i="2"/>
  <c r="BJ190" i="2"/>
  <c r="C190" i="2"/>
  <c r="B190" i="2"/>
  <c r="CY189" i="2"/>
  <c r="CV189" i="2"/>
  <c r="CU189" i="2"/>
  <c r="CT189" i="2"/>
  <c r="CS189" i="2"/>
  <c r="CR189" i="2"/>
  <c r="CO189" i="2"/>
  <c r="BO189" i="2"/>
  <c r="BL189" i="2"/>
  <c r="BJ189" i="2"/>
  <c r="C189" i="2"/>
  <c r="B189" i="2"/>
  <c r="CY188" i="2"/>
  <c r="CV188" i="2"/>
  <c r="CU188" i="2"/>
  <c r="CT188" i="2"/>
  <c r="CS188" i="2"/>
  <c r="CR188" i="2"/>
  <c r="CO188" i="2"/>
  <c r="BO188" i="2"/>
  <c r="BL188" i="2"/>
  <c r="BJ188" i="2"/>
  <c r="C188" i="2"/>
  <c r="B188" i="2"/>
  <c r="CY187" i="2"/>
  <c r="CV187" i="2"/>
  <c r="CU187" i="2"/>
  <c r="CT187" i="2"/>
  <c r="CS187" i="2"/>
  <c r="CR187" i="2"/>
  <c r="CO187" i="2"/>
  <c r="BO187" i="2"/>
  <c r="BL187" i="2"/>
  <c r="BJ187" i="2"/>
  <c r="C187" i="2"/>
  <c r="B187" i="2"/>
  <c r="CY186" i="2"/>
  <c r="CV186" i="2"/>
  <c r="CU186" i="2"/>
  <c r="CT186" i="2"/>
  <c r="CS186" i="2"/>
  <c r="CR186" i="2"/>
  <c r="CO186" i="2"/>
  <c r="BO186" i="2"/>
  <c r="BL186" i="2"/>
  <c r="BJ186" i="2"/>
  <c r="C186" i="2"/>
  <c r="B186" i="2"/>
  <c r="CY185" i="2"/>
  <c r="CV185" i="2"/>
  <c r="CU185" i="2"/>
  <c r="CT185" i="2"/>
  <c r="CS185" i="2"/>
  <c r="CR185" i="2"/>
  <c r="CO185" i="2"/>
  <c r="BO185" i="2"/>
  <c r="BL185" i="2"/>
  <c r="BJ185" i="2"/>
  <c r="C185" i="2"/>
  <c r="B185" i="2"/>
  <c r="CY184" i="2"/>
  <c r="CV184" i="2"/>
  <c r="CU184" i="2"/>
  <c r="CT184" i="2"/>
  <c r="CS184" i="2"/>
  <c r="CR184" i="2"/>
  <c r="CO184" i="2"/>
  <c r="BO184" i="2"/>
  <c r="BL184" i="2"/>
  <c r="BJ184" i="2"/>
  <c r="C184" i="2"/>
  <c r="B184" i="2"/>
  <c r="CY183" i="2"/>
  <c r="CV183" i="2"/>
  <c r="CU183" i="2"/>
  <c r="CT183" i="2"/>
  <c r="CS183" i="2"/>
  <c r="CR183" i="2"/>
  <c r="CO183" i="2"/>
  <c r="BO183" i="2"/>
  <c r="BL183" i="2"/>
  <c r="BJ183" i="2"/>
  <c r="C183" i="2"/>
  <c r="B183" i="2"/>
  <c r="CY182" i="2"/>
  <c r="CV182" i="2"/>
  <c r="CU182" i="2"/>
  <c r="CT182" i="2"/>
  <c r="CS182" i="2"/>
  <c r="CR182" i="2"/>
  <c r="CO182" i="2"/>
  <c r="BO182" i="2"/>
  <c r="BL182" i="2"/>
  <c r="BJ182" i="2"/>
  <c r="C182" i="2"/>
  <c r="B182" i="2"/>
  <c r="CY181" i="2"/>
  <c r="CV181" i="2"/>
  <c r="CU181" i="2"/>
  <c r="CT181" i="2"/>
  <c r="CS181" i="2"/>
  <c r="CR181" i="2"/>
  <c r="CO181" i="2"/>
  <c r="BO181" i="2"/>
  <c r="BL181" i="2"/>
  <c r="BJ181" i="2"/>
  <c r="BH181" i="2"/>
  <c r="C181" i="2"/>
  <c r="B181" i="2"/>
  <c r="CY180" i="2"/>
  <c r="CV180" i="2"/>
  <c r="CU180" i="2"/>
  <c r="CT180" i="2"/>
  <c r="CS180" i="2"/>
  <c r="CR180" i="2"/>
  <c r="CO180" i="2"/>
  <c r="BL180" i="2"/>
  <c r="BJ180" i="2"/>
  <c r="C180" i="2"/>
  <c r="B180" i="2"/>
  <c r="CY179" i="2"/>
  <c r="CV179" i="2"/>
  <c r="CU179" i="2"/>
  <c r="CT179" i="2"/>
  <c r="CS179" i="2"/>
  <c r="CR179" i="2"/>
  <c r="CO179" i="2"/>
  <c r="BL179" i="2"/>
  <c r="BJ179" i="2"/>
  <c r="C179" i="2"/>
  <c r="B179" i="2"/>
  <c r="CY178" i="2"/>
  <c r="CV178" i="2"/>
  <c r="CU178" i="2"/>
  <c r="CT178" i="2"/>
  <c r="CS178" i="2"/>
  <c r="CR178" i="2"/>
  <c r="CO178" i="2"/>
  <c r="BL178" i="2"/>
  <c r="BJ178" i="2"/>
  <c r="C178" i="2"/>
  <c r="B178" i="2"/>
  <c r="CY177" i="2"/>
  <c r="CV177" i="2"/>
  <c r="CU177" i="2"/>
  <c r="CT177" i="2"/>
  <c r="CS177" i="2"/>
  <c r="CR177" i="2"/>
  <c r="CO177" i="2"/>
  <c r="BO177" i="2"/>
  <c r="BL177" i="2"/>
  <c r="BJ177" i="2"/>
  <c r="BH177" i="2"/>
  <c r="C177" i="2"/>
  <c r="B177" i="2"/>
  <c r="CY176" i="2"/>
  <c r="CV176" i="2"/>
  <c r="CU176" i="2"/>
  <c r="CT176" i="2"/>
  <c r="CS176" i="2"/>
  <c r="CR176" i="2"/>
  <c r="CO176" i="2"/>
  <c r="BO176" i="2"/>
  <c r="BL176" i="2"/>
  <c r="BJ176" i="2"/>
  <c r="BH176" i="2"/>
  <c r="C176" i="2"/>
  <c r="B176" i="2"/>
  <c r="CY175" i="2"/>
  <c r="CV175" i="2"/>
  <c r="CU175" i="2"/>
  <c r="CT175" i="2"/>
  <c r="CS175" i="2"/>
  <c r="CR175" i="2"/>
  <c r="CO175" i="2"/>
  <c r="BO175" i="2"/>
  <c r="BL175" i="2"/>
  <c r="BJ175" i="2"/>
  <c r="BH175" i="2"/>
  <c r="C175" i="2"/>
  <c r="B175" i="2"/>
  <c r="CY174" i="2"/>
  <c r="CV174" i="2"/>
  <c r="CU174" i="2"/>
  <c r="CT174" i="2"/>
  <c r="CS174" i="2"/>
  <c r="CR174" i="2"/>
  <c r="CO174" i="2"/>
  <c r="BO174" i="2"/>
  <c r="BL174" i="2"/>
  <c r="BJ174" i="2"/>
  <c r="BH174" i="2"/>
  <c r="C174" i="2"/>
  <c r="B174" i="2"/>
  <c r="CY173" i="2"/>
  <c r="CV173" i="2"/>
  <c r="CU173" i="2"/>
  <c r="CT173" i="2"/>
  <c r="CS173" i="2"/>
  <c r="CR173" i="2"/>
  <c r="CO173" i="2"/>
  <c r="BO173" i="2"/>
  <c r="BL173" i="2"/>
  <c r="BJ173" i="2"/>
  <c r="BH173" i="2"/>
  <c r="C173" i="2"/>
  <c r="B173" i="2"/>
  <c r="CY172" i="2"/>
  <c r="CV172" i="2"/>
  <c r="CU172" i="2"/>
  <c r="CT172" i="2"/>
  <c r="CS172" i="2"/>
  <c r="CR172" i="2"/>
  <c r="CO172" i="2"/>
  <c r="BO172" i="2"/>
  <c r="BL172" i="2"/>
  <c r="BJ172" i="2"/>
  <c r="BH172" i="2"/>
  <c r="C172" i="2"/>
  <c r="B172" i="2"/>
  <c r="CY171" i="2"/>
  <c r="CV171" i="2"/>
  <c r="CU171" i="2"/>
  <c r="CT171" i="2"/>
  <c r="CS171" i="2"/>
  <c r="CR171" i="2"/>
  <c r="CO171" i="2"/>
  <c r="BO171" i="2"/>
  <c r="BL171" i="2"/>
  <c r="BJ171" i="2"/>
  <c r="BH171" i="2"/>
  <c r="C171" i="2"/>
  <c r="B171" i="2"/>
  <c r="CY170" i="2"/>
  <c r="CV170" i="2"/>
  <c r="CU170" i="2"/>
  <c r="CT170" i="2"/>
  <c r="CS170" i="2"/>
  <c r="CR170" i="2"/>
  <c r="CO170" i="2"/>
  <c r="BO170" i="2"/>
  <c r="BL170" i="2"/>
  <c r="BJ170" i="2"/>
  <c r="BH170" i="2"/>
  <c r="C170" i="2"/>
  <c r="B170" i="2"/>
  <c r="CY169" i="2"/>
  <c r="CV169" i="2"/>
  <c r="CU169" i="2"/>
  <c r="CT169" i="2"/>
  <c r="CS169" i="2"/>
  <c r="CR169" i="2"/>
  <c r="CO169" i="2"/>
  <c r="BO169" i="2"/>
  <c r="BL169" i="2"/>
  <c r="BJ169" i="2"/>
  <c r="BH169" i="2"/>
  <c r="C169" i="2"/>
  <c r="B169" i="2"/>
  <c r="CY168" i="2"/>
  <c r="CV168" i="2"/>
  <c r="CU168" i="2"/>
  <c r="CT168" i="2"/>
  <c r="CS168" i="2"/>
  <c r="CR168" i="2"/>
  <c r="CO168" i="2"/>
  <c r="BO168" i="2"/>
  <c r="BL168" i="2"/>
  <c r="BJ168" i="2"/>
  <c r="BH168" i="2"/>
  <c r="C168" i="2"/>
  <c r="B168" i="2"/>
  <c r="CY167" i="2"/>
  <c r="CV167" i="2"/>
  <c r="CU167" i="2"/>
  <c r="CT167" i="2"/>
  <c r="CS167" i="2"/>
  <c r="CR167" i="2"/>
  <c r="CO167" i="2"/>
  <c r="BO167" i="2"/>
  <c r="BL167" i="2"/>
  <c r="BJ167" i="2"/>
  <c r="BH167" i="2"/>
  <c r="C167" i="2"/>
  <c r="B167" i="2"/>
  <c r="CY166" i="2"/>
  <c r="CV166" i="2"/>
  <c r="CU166" i="2"/>
  <c r="CT166" i="2"/>
  <c r="CS166" i="2"/>
  <c r="CR166" i="2"/>
  <c r="CO166" i="2"/>
  <c r="BO166" i="2"/>
  <c r="BL166" i="2"/>
  <c r="BJ166" i="2"/>
  <c r="BH166" i="2"/>
  <c r="C166" i="2"/>
  <c r="B166" i="2"/>
  <c r="CY165" i="2"/>
  <c r="CV165" i="2"/>
  <c r="CU165" i="2"/>
  <c r="CT165" i="2"/>
  <c r="CS165" i="2"/>
  <c r="CR165" i="2"/>
  <c r="CO165" i="2"/>
  <c r="BO165" i="2"/>
  <c r="BL165" i="2"/>
  <c r="BJ165" i="2"/>
  <c r="BH165" i="2"/>
  <c r="C165" i="2"/>
  <c r="B165" i="2"/>
  <c r="CY164" i="2"/>
  <c r="CV164" i="2"/>
  <c r="CU164" i="2"/>
  <c r="CT164" i="2"/>
  <c r="CS164" i="2"/>
  <c r="CR164" i="2"/>
  <c r="CO164" i="2"/>
  <c r="BO164" i="2"/>
  <c r="BL164" i="2"/>
  <c r="BJ164" i="2"/>
  <c r="BH164" i="2"/>
  <c r="C164" i="2"/>
  <c r="B164" i="2"/>
  <c r="CY163" i="2"/>
  <c r="CV163" i="2"/>
  <c r="CU163" i="2"/>
  <c r="CT163" i="2"/>
  <c r="CS163" i="2"/>
  <c r="CR163" i="2"/>
  <c r="CO163" i="2"/>
  <c r="BO163" i="2"/>
  <c r="BL163" i="2"/>
  <c r="BJ163" i="2"/>
  <c r="BH163" i="2"/>
  <c r="C163" i="2"/>
  <c r="B163" i="2"/>
  <c r="CY162" i="2"/>
  <c r="CV162" i="2"/>
  <c r="CU162" i="2"/>
  <c r="CT162" i="2"/>
  <c r="CS162" i="2"/>
  <c r="CR162" i="2"/>
  <c r="CO162" i="2"/>
  <c r="BO162" i="2"/>
  <c r="BL162" i="2"/>
  <c r="BJ162" i="2"/>
  <c r="BH162" i="2"/>
  <c r="C162" i="2"/>
  <c r="B162" i="2"/>
  <c r="CY161" i="2"/>
  <c r="CV161" i="2"/>
  <c r="CU161" i="2"/>
  <c r="CT161" i="2"/>
  <c r="CS161" i="2"/>
  <c r="CR161" i="2"/>
  <c r="CO161" i="2"/>
  <c r="BO161" i="2"/>
  <c r="BL161" i="2"/>
  <c r="BJ161" i="2"/>
  <c r="BH161" i="2"/>
  <c r="C161" i="2"/>
  <c r="B161" i="2"/>
  <c r="CY160" i="2"/>
  <c r="CV160" i="2"/>
  <c r="CU160" i="2"/>
  <c r="CT160" i="2"/>
  <c r="CS160" i="2"/>
  <c r="CR160" i="2"/>
  <c r="CO160" i="2"/>
  <c r="BO160" i="2"/>
  <c r="BL160" i="2"/>
  <c r="BJ160" i="2"/>
  <c r="BH160" i="2"/>
  <c r="C160" i="2"/>
  <c r="B160" i="2"/>
  <c r="CY159" i="2"/>
  <c r="CV159" i="2"/>
  <c r="CU159" i="2"/>
  <c r="CT159" i="2"/>
  <c r="CS159" i="2"/>
  <c r="CR159" i="2"/>
  <c r="CO159" i="2"/>
  <c r="BO159" i="2"/>
  <c r="BL159" i="2"/>
  <c r="BJ159" i="2"/>
  <c r="BH159" i="2"/>
  <c r="C159" i="2"/>
  <c r="B159" i="2"/>
  <c r="CY158" i="2"/>
  <c r="CV158" i="2"/>
  <c r="CU158" i="2"/>
  <c r="CT158" i="2"/>
  <c r="CS158" i="2"/>
  <c r="CR158" i="2"/>
  <c r="CO158" i="2"/>
  <c r="BO158" i="2"/>
  <c r="BL158" i="2"/>
  <c r="BJ158" i="2"/>
  <c r="BH158" i="2"/>
  <c r="C158" i="2"/>
  <c r="B158" i="2"/>
  <c r="CY157" i="2"/>
  <c r="CV157" i="2"/>
  <c r="CU157" i="2"/>
  <c r="CT157" i="2"/>
  <c r="CS157" i="2"/>
  <c r="CR157" i="2"/>
  <c r="CO157" i="2"/>
  <c r="BO157" i="2"/>
  <c r="BL157" i="2"/>
  <c r="BJ157" i="2"/>
  <c r="BH157" i="2"/>
  <c r="C157" i="2"/>
  <c r="B157" i="2"/>
  <c r="CY156" i="2"/>
  <c r="CV156" i="2"/>
  <c r="CU156" i="2"/>
  <c r="CT156" i="2"/>
  <c r="CS156" i="2"/>
  <c r="CR156" i="2"/>
  <c r="CO156" i="2"/>
  <c r="BO156" i="2"/>
  <c r="BL156" i="2"/>
  <c r="BJ156" i="2"/>
  <c r="BH156" i="2"/>
  <c r="C156" i="2"/>
  <c r="B156" i="2"/>
  <c r="CY155" i="2"/>
  <c r="CV155" i="2"/>
  <c r="CU155" i="2"/>
  <c r="CT155" i="2"/>
  <c r="CS155" i="2"/>
  <c r="CR155" i="2"/>
  <c r="CO155" i="2"/>
  <c r="BO155" i="2"/>
  <c r="BL155" i="2"/>
  <c r="BJ155" i="2"/>
  <c r="BH155" i="2"/>
  <c r="C155" i="2"/>
  <c r="B155" i="2"/>
  <c r="CY154" i="2"/>
  <c r="CV154" i="2"/>
  <c r="CU154" i="2"/>
  <c r="CT154" i="2"/>
  <c r="CS154" i="2"/>
  <c r="CR154" i="2"/>
  <c r="CO154" i="2"/>
  <c r="BO154" i="2"/>
  <c r="BL154" i="2"/>
  <c r="BJ154" i="2"/>
  <c r="BH154" i="2"/>
  <c r="C154" i="2"/>
  <c r="B154" i="2"/>
  <c r="CY153" i="2"/>
  <c r="CV153" i="2"/>
  <c r="CU153" i="2"/>
  <c r="CT153" i="2"/>
  <c r="CS153" i="2"/>
  <c r="CR153" i="2"/>
  <c r="CO153" i="2"/>
  <c r="BO153" i="2"/>
  <c r="BL153" i="2"/>
  <c r="BJ153" i="2"/>
  <c r="BH153" i="2"/>
  <c r="C153" i="2"/>
  <c r="B153" i="2"/>
  <c r="CY152" i="2"/>
  <c r="CV152" i="2"/>
  <c r="CU152" i="2"/>
  <c r="CT152" i="2"/>
  <c r="CS152" i="2"/>
  <c r="CR152" i="2"/>
  <c r="CO152" i="2"/>
  <c r="BO152" i="2"/>
  <c r="BL152" i="2"/>
  <c r="BJ152" i="2"/>
  <c r="BH152" i="2"/>
  <c r="C152" i="2"/>
  <c r="B152" i="2"/>
  <c r="CY151" i="2"/>
  <c r="CV151" i="2"/>
  <c r="CU151" i="2"/>
  <c r="CT151" i="2"/>
  <c r="CS151" i="2"/>
  <c r="CR151" i="2"/>
  <c r="CO151" i="2"/>
  <c r="BO151" i="2"/>
  <c r="BL151" i="2"/>
  <c r="BJ151" i="2"/>
  <c r="BH151" i="2"/>
  <c r="C151" i="2"/>
  <c r="B151" i="2"/>
  <c r="CY150" i="2"/>
  <c r="CV150" i="2"/>
  <c r="CU150" i="2"/>
  <c r="CT150" i="2"/>
  <c r="CS150" i="2"/>
  <c r="CR150" i="2"/>
  <c r="CO150" i="2"/>
  <c r="BO150" i="2"/>
  <c r="BL150" i="2"/>
  <c r="BJ150" i="2"/>
  <c r="BH150" i="2"/>
  <c r="C150" i="2"/>
  <c r="B150" i="2"/>
  <c r="CY149" i="2"/>
  <c r="CV149" i="2"/>
  <c r="CU149" i="2"/>
  <c r="CT149" i="2"/>
  <c r="CS149" i="2"/>
  <c r="CR149" i="2"/>
  <c r="CO149" i="2"/>
  <c r="BO149" i="2"/>
  <c r="BL149" i="2"/>
  <c r="BJ149" i="2"/>
  <c r="BH149" i="2"/>
  <c r="C149" i="2"/>
  <c r="B149" i="2"/>
  <c r="CY148" i="2"/>
  <c r="CV148" i="2"/>
  <c r="CU148" i="2"/>
  <c r="CT148" i="2"/>
  <c r="CS148" i="2"/>
  <c r="CR148" i="2"/>
  <c r="CO148" i="2"/>
  <c r="BO148" i="2"/>
  <c r="BL148" i="2"/>
  <c r="BJ148" i="2"/>
  <c r="BH148" i="2"/>
  <c r="C148" i="2"/>
  <c r="B148" i="2"/>
  <c r="CY147" i="2"/>
  <c r="CV147" i="2"/>
  <c r="CU147" i="2"/>
  <c r="CT147" i="2"/>
  <c r="CS147" i="2"/>
  <c r="CR147" i="2"/>
  <c r="CO147" i="2"/>
  <c r="BO147" i="2"/>
  <c r="BL147" i="2"/>
  <c r="BJ147" i="2"/>
  <c r="BH147" i="2"/>
  <c r="C147" i="2"/>
  <c r="B147" i="2"/>
  <c r="CY146" i="2"/>
  <c r="CV146" i="2"/>
  <c r="CU146" i="2"/>
  <c r="CT146" i="2"/>
  <c r="CS146" i="2"/>
  <c r="CR146" i="2"/>
  <c r="CO146" i="2"/>
  <c r="BO146" i="2"/>
  <c r="BL146" i="2"/>
  <c r="BJ146" i="2"/>
  <c r="BH146" i="2"/>
  <c r="C146" i="2"/>
  <c r="B146" i="2"/>
  <c r="CY145" i="2"/>
  <c r="CV145" i="2"/>
  <c r="CU145" i="2"/>
  <c r="CT145" i="2"/>
  <c r="CS145" i="2"/>
  <c r="CR145" i="2"/>
  <c r="CO145" i="2"/>
  <c r="BO145" i="2"/>
  <c r="BL145" i="2"/>
  <c r="BJ145" i="2"/>
  <c r="BH145" i="2"/>
  <c r="C145" i="2"/>
  <c r="B145" i="2"/>
  <c r="CY144" i="2"/>
  <c r="CV144" i="2"/>
  <c r="CU144" i="2"/>
  <c r="CT144" i="2"/>
  <c r="CS144" i="2"/>
  <c r="CR144" i="2"/>
  <c r="CO144" i="2"/>
  <c r="BO144" i="2"/>
  <c r="BL144" i="2"/>
  <c r="BJ144" i="2"/>
  <c r="BH144" i="2"/>
  <c r="C144" i="2"/>
  <c r="B144" i="2"/>
  <c r="CY143" i="2"/>
  <c r="CV143" i="2"/>
  <c r="CU143" i="2"/>
  <c r="CT143" i="2"/>
  <c r="CS143" i="2"/>
  <c r="CR143" i="2"/>
  <c r="CO143" i="2"/>
  <c r="BO143" i="2"/>
  <c r="BL143" i="2"/>
  <c r="BJ143" i="2"/>
  <c r="BH143" i="2"/>
  <c r="C143" i="2"/>
  <c r="B143" i="2"/>
  <c r="CY142" i="2"/>
  <c r="CV142" i="2"/>
  <c r="CU142" i="2"/>
  <c r="CT142" i="2"/>
  <c r="CS142" i="2"/>
  <c r="CR142" i="2"/>
  <c r="CO142" i="2"/>
  <c r="BO142" i="2"/>
  <c r="BL142" i="2"/>
  <c r="BJ142" i="2"/>
  <c r="BH142" i="2"/>
  <c r="C142" i="2"/>
  <c r="B142" i="2"/>
  <c r="CY141" i="2"/>
  <c r="CV141" i="2"/>
  <c r="CU141" i="2"/>
  <c r="CT141" i="2"/>
  <c r="CS141" i="2"/>
  <c r="CR141" i="2"/>
  <c r="CO141" i="2"/>
  <c r="BO141" i="2"/>
  <c r="BL141" i="2"/>
  <c r="BJ141" i="2"/>
  <c r="BH141" i="2"/>
  <c r="C141" i="2"/>
  <c r="B141" i="2"/>
  <c r="CY140" i="2"/>
  <c r="CV140" i="2"/>
  <c r="CU140" i="2"/>
  <c r="CT140" i="2"/>
  <c r="CS140" i="2"/>
  <c r="CR140" i="2"/>
  <c r="CO140" i="2"/>
  <c r="BO140" i="2"/>
  <c r="BL140" i="2"/>
  <c r="BJ140" i="2"/>
  <c r="BH140" i="2"/>
  <c r="C140" i="2"/>
  <c r="B140" i="2"/>
  <c r="CY139" i="2"/>
  <c r="CV139" i="2"/>
  <c r="CU139" i="2"/>
  <c r="CT139" i="2"/>
  <c r="CS139" i="2"/>
  <c r="CR139" i="2"/>
  <c r="CO139" i="2"/>
  <c r="BO139" i="2"/>
  <c r="BL139" i="2"/>
  <c r="BJ139" i="2"/>
  <c r="BH139" i="2"/>
  <c r="C139" i="2"/>
  <c r="B139" i="2"/>
  <c r="CY138" i="2"/>
  <c r="CV138" i="2"/>
  <c r="CU138" i="2"/>
  <c r="CT138" i="2"/>
  <c r="CS138" i="2"/>
  <c r="CR138" i="2"/>
  <c r="CO138" i="2"/>
  <c r="BO138" i="2"/>
  <c r="BL138" i="2"/>
  <c r="BJ138" i="2"/>
  <c r="BH138" i="2"/>
  <c r="C138" i="2"/>
  <c r="B138" i="2"/>
  <c r="CY137" i="2"/>
  <c r="CV137" i="2"/>
  <c r="CU137" i="2"/>
  <c r="CT137" i="2"/>
  <c r="CS137" i="2"/>
  <c r="CR137" i="2"/>
  <c r="CO137" i="2"/>
  <c r="BO137" i="2"/>
  <c r="BL137" i="2"/>
  <c r="BJ137" i="2"/>
  <c r="BH137" i="2"/>
  <c r="C137" i="2"/>
  <c r="B137" i="2"/>
  <c r="CY136" i="2"/>
  <c r="CV136" i="2"/>
  <c r="CU136" i="2"/>
  <c r="CT136" i="2"/>
  <c r="CS136" i="2"/>
  <c r="CR136" i="2"/>
  <c r="CO136" i="2"/>
  <c r="BO136" i="2"/>
  <c r="BL136" i="2"/>
  <c r="BJ136" i="2"/>
  <c r="BH136" i="2"/>
  <c r="C136" i="2"/>
  <c r="B136" i="2"/>
  <c r="CY135" i="2"/>
  <c r="CV135" i="2"/>
  <c r="CU135" i="2"/>
  <c r="CT135" i="2"/>
  <c r="CS135" i="2"/>
  <c r="CR135" i="2"/>
  <c r="CO135" i="2"/>
  <c r="BO135" i="2"/>
  <c r="BL135" i="2"/>
  <c r="BJ135" i="2"/>
  <c r="BH135" i="2"/>
  <c r="C135" i="2"/>
  <c r="B135" i="2"/>
  <c r="CY134" i="2"/>
  <c r="CV134" i="2"/>
  <c r="CU134" i="2"/>
  <c r="CT134" i="2"/>
  <c r="CS134" i="2"/>
  <c r="CR134" i="2"/>
  <c r="CO134" i="2"/>
  <c r="BO134" i="2"/>
  <c r="BL134" i="2"/>
  <c r="BJ134" i="2"/>
  <c r="BH134" i="2"/>
  <c r="C134" i="2"/>
  <c r="B134" i="2"/>
  <c r="CY133" i="2"/>
  <c r="CV133" i="2"/>
  <c r="CU133" i="2"/>
  <c r="CT133" i="2"/>
  <c r="CS133" i="2"/>
  <c r="CR133" i="2"/>
  <c r="CO133" i="2"/>
  <c r="BO133" i="2"/>
  <c r="BL133" i="2"/>
  <c r="BJ133" i="2"/>
  <c r="BH133" i="2"/>
  <c r="C133" i="2"/>
  <c r="B133" i="2"/>
  <c r="CY132" i="2"/>
  <c r="CV132" i="2"/>
  <c r="CU132" i="2"/>
  <c r="CT132" i="2"/>
  <c r="CS132" i="2"/>
  <c r="CR132" i="2"/>
  <c r="CO132" i="2"/>
  <c r="BO132" i="2"/>
  <c r="BL132" i="2"/>
  <c r="BJ132" i="2"/>
  <c r="BH132" i="2"/>
  <c r="C132" i="2"/>
  <c r="B132" i="2"/>
  <c r="CY131" i="2"/>
  <c r="CV131" i="2"/>
  <c r="CU131" i="2"/>
  <c r="CT131" i="2"/>
  <c r="CS131" i="2"/>
  <c r="CR131" i="2"/>
  <c r="CO131" i="2"/>
  <c r="BO131" i="2"/>
  <c r="BL131" i="2"/>
  <c r="BJ131" i="2"/>
  <c r="BH131" i="2"/>
  <c r="C131" i="2"/>
  <c r="B131" i="2"/>
  <c r="CY130" i="2"/>
  <c r="CV130" i="2"/>
  <c r="CU130" i="2"/>
  <c r="CT130" i="2"/>
  <c r="CS130" i="2"/>
  <c r="CR130" i="2"/>
  <c r="CO130" i="2"/>
  <c r="BO130" i="2"/>
  <c r="BL130" i="2"/>
  <c r="BJ130" i="2"/>
  <c r="BH130" i="2"/>
  <c r="C130" i="2"/>
  <c r="B130" i="2"/>
  <c r="CY129" i="2"/>
  <c r="CV129" i="2"/>
  <c r="CU129" i="2"/>
  <c r="CT129" i="2"/>
  <c r="CS129" i="2"/>
  <c r="CR129" i="2"/>
  <c r="CO129" i="2"/>
  <c r="BO129" i="2"/>
  <c r="BL129" i="2"/>
  <c r="BJ129" i="2"/>
  <c r="BH129" i="2"/>
  <c r="C129" i="2"/>
  <c r="B129" i="2"/>
  <c r="CY128" i="2"/>
  <c r="CV128" i="2"/>
  <c r="CU128" i="2"/>
  <c r="CT128" i="2"/>
  <c r="CS128" i="2"/>
  <c r="CR128" i="2"/>
  <c r="CO128" i="2"/>
  <c r="BO128" i="2"/>
  <c r="BL128" i="2"/>
  <c r="BJ128" i="2"/>
  <c r="BH128" i="2"/>
  <c r="C128" i="2"/>
  <c r="B128" i="2"/>
  <c r="CY127" i="2"/>
  <c r="CV127" i="2"/>
  <c r="CU127" i="2"/>
  <c r="CT127" i="2"/>
  <c r="CS127" i="2"/>
  <c r="CR127" i="2"/>
  <c r="CO127" i="2"/>
  <c r="BO127" i="2"/>
  <c r="BL127" i="2"/>
  <c r="BJ127" i="2"/>
  <c r="BH127" i="2"/>
  <c r="C127" i="2"/>
  <c r="B127" i="2"/>
  <c r="CY126" i="2"/>
  <c r="CV126" i="2"/>
  <c r="CU126" i="2"/>
  <c r="CT126" i="2"/>
  <c r="CS126" i="2"/>
  <c r="CR126" i="2"/>
  <c r="CO126" i="2"/>
  <c r="BO126" i="2"/>
  <c r="BL126" i="2"/>
  <c r="BJ126" i="2"/>
  <c r="BH126" i="2"/>
  <c r="C126" i="2"/>
  <c r="B126" i="2"/>
  <c r="CY125" i="2"/>
  <c r="CV125" i="2"/>
  <c r="CU125" i="2"/>
  <c r="CT125" i="2"/>
  <c r="CS125" i="2"/>
  <c r="CR125" i="2"/>
  <c r="CO125" i="2"/>
  <c r="BO125" i="2"/>
  <c r="BL125" i="2"/>
  <c r="BJ125" i="2"/>
  <c r="BH125" i="2"/>
  <c r="C125" i="2"/>
  <c r="B125" i="2"/>
  <c r="CY124" i="2"/>
  <c r="CV124" i="2"/>
  <c r="CU124" i="2"/>
  <c r="CT124" i="2"/>
  <c r="CS124" i="2"/>
  <c r="CR124" i="2"/>
  <c r="CO124" i="2"/>
  <c r="BO124" i="2"/>
  <c r="BL124" i="2"/>
  <c r="BJ124" i="2"/>
  <c r="BH124" i="2"/>
  <c r="C124" i="2"/>
  <c r="B124" i="2"/>
  <c r="CY123" i="2"/>
  <c r="CV123" i="2"/>
  <c r="CU123" i="2"/>
  <c r="CT123" i="2"/>
  <c r="CS123" i="2"/>
  <c r="CR123" i="2"/>
  <c r="CO123" i="2"/>
  <c r="BO123" i="2"/>
  <c r="BL123" i="2"/>
  <c r="BJ123" i="2"/>
  <c r="BH123" i="2"/>
  <c r="C123" i="2"/>
  <c r="B123" i="2"/>
  <c r="CY122" i="2"/>
  <c r="CV122" i="2"/>
  <c r="CU122" i="2"/>
  <c r="CT122" i="2"/>
  <c r="CS122" i="2"/>
  <c r="CR122" i="2"/>
  <c r="CO122" i="2"/>
  <c r="BO122" i="2"/>
  <c r="BL122" i="2"/>
  <c r="BJ122" i="2"/>
  <c r="BH122" i="2"/>
  <c r="C122" i="2"/>
  <c r="B122" i="2"/>
  <c r="CY121" i="2"/>
  <c r="CV121" i="2"/>
  <c r="CU121" i="2"/>
  <c r="CT121" i="2"/>
  <c r="CS121" i="2"/>
  <c r="CR121" i="2"/>
  <c r="CO121" i="2"/>
  <c r="BO121" i="2"/>
  <c r="BL121" i="2"/>
  <c r="BJ121" i="2"/>
  <c r="BH121" i="2"/>
  <c r="C121" i="2"/>
  <c r="B121" i="2"/>
  <c r="CY120" i="2"/>
  <c r="CV120" i="2"/>
  <c r="CU120" i="2"/>
  <c r="CT120" i="2"/>
  <c r="CS120" i="2"/>
  <c r="CR120" i="2"/>
  <c r="CO120" i="2"/>
  <c r="BO120" i="2"/>
  <c r="BL120" i="2"/>
  <c r="BJ120" i="2"/>
  <c r="BH120" i="2"/>
  <c r="C120" i="2"/>
  <c r="B120" i="2"/>
  <c r="CY119" i="2"/>
  <c r="CV119" i="2"/>
  <c r="CU119" i="2"/>
  <c r="CT119" i="2"/>
  <c r="CS119" i="2"/>
  <c r="CR119" i="2"/>
  <c r="CO119" i="2"/>
  <c r="BO119" i="2"/>
  <c r="BL119" i="2"/>
  <c r="BJ119" i="2"/>
  <c r="BH119" i="2"/>
  <c r="C119" i="2"/>
  <c r="B119" i="2"/>
  <c r="CY118" i="2"/>
  <c r="CV118" i="2"/>
  <c r="CU118" i="2"/>
  <c r="CT118" i="2"/>
  <c r="CS118" i="2"/>
  <c r="CR118" i="2"/>
  <c r="CO118" i="2"/>
  <c r="BO118" i="2"/>
  <c r="BL118" i="2"/>
  <c r="BJ118" i="2"/>
  <c r="BH118" i="2"/>
  <c r="C118" i="2"/>
  <c r="B118" i="2"/>
  <c r="CY117" i="2"/>
  <c r="CV117" i="2"/>
  <c r="CU117" i="2"/>
  <c r="CT117" i="2"/>
  <c r="CS117" i="2"/>
  <c r="CR117" i="2"/>
  <c r="CO117" i="2"/>
  <c r="BO117" i="2"/>
  <c r="BL117" i="2"/>
  <c r="BJ117" i="2"/>
  <c r="BH117" i="2"/>
  <c r="C117" i="2"/>
  <c r="B117" i="2"/>
  <c r="CY116" i="2"/>
  <c r="CV116" i="2"/>
  <c r="CU116" i="2"/>
  <c r="CT116" i="2"/>
  <c r="CS116" i="2"/>
  <c r="CR116" i="2"/>
  <c r="CO116" i="2"/>
  <c r="BO116" i="2"/>
  <c r="BL116" i="2"/>
  <c r="BJ116" i="2"/>
  <c r="BH116" i="2"/>
  <c r="C116" i="2"/>
  <c r="B116" i="2"/>
  <c r="CY115" i="2"/>
  <c r="CV115" i="2"/>
  <c r="CU115" i="2"/>
  <c r="CT115" i="2"/>
  <c r="CS115" i="2"/>
  <c r="CR115" i="2"/>
  <c r="CO115" i="2"/>
  <c r="BO115" i="2"/>
  <c r="BL115" i="2"/>
  <c r="BJ115" i="2"/>
  <c r="BH115" i="2"/>
  <c r="C115" i="2"/>
  <c r="B115" i="2"/>
  <c r="CY114" i="2"/>
  <c r="CV114" i="2"/>
  <c r="CU114" i="2"/>
  <c r="CT114" i="2"/>
  <c r="CS114" i="2"/>
  <c r="CR114" i="2"/>
  <c r="CO114" i="2"/>
  <c r="BO114" i="2"/>
  <c r="BL114" i="2"/>
  <c r="BJ114" i="2"/>
  <c r="BH114" i="2"/>
  <c r="C114" i="2"/>
  <c r="B114" i="2"/>
  <c r="CY113" i="2"/>
  <c r="CV113" i="2"/>
  <c r="CU113" i="2"/>
  <c r="CT113" i="2"/>
  <c r="CS113" i="2"/>
  <c r="CR113" i="2"/>
  <c r="CO113" i="2"/>
  <c r="BO113" i="2"/>
  <c r="BL113" i="2"/>
  <c r="BJ113" i="2"/>
  <c r="BH113" i="2"/>
  <c r="C113" i="2"/>
  <c r="B113" i="2"/>
  <c r="CY112" i="2"/>
  <c r="CV112" i="2"/>
  <c r="CU112" i="2"/>
  <c r="CT112" i="2"/>
  <c r="CS112" i="2"/>
  <c r="CR112" i="2"/>
  <c r="CO112" i="2"/>
  <c r="BO112" i="2"/>
  <c r="BL112" i="2"/>
  <c r="BJ112" i="2"/>
  <c r="BH112" i="2"/>
  <c r="C112" i="2"/>
  <c r="B112" i="2"/>
  <c r="CY111" i="2"/>
  <c r="CV111" i="2"/>
  <c r="CU111" i="2"/>
  <c r="CT111" i="2"/>
  <c r="CS111" i="2"/>
  <c r="CR111" i="2"/>
  <c r="CO111" i="2"/>
  <c r="BO111" i="2"/>
  <c r="BL111" i="2"/>
  <c r="BJ111" i="2"/>
  <c r="BH111" i="2"/>
  <c r="C111" i="2"/>
  <c r="B111" i="2"/>
  <c r="CY110" i="2"/>
  <c r="CV110" i="2"/>
  <c r="CU110" i="2"/>
  <c r="CT110" i="2"/>
  <c r="CS110" i="2"/>
  <c r="CR110" i="2"/>
  <c r="CO110" i="2"/>
  <c r="BO110" i="2"/>
  <c r="BL110" i="2"/>
  <c r="BJ110" i="2"/>
  <c r="BH110" i="2"/>
  <c r="C110" i="2"/>
  <c r="B110" i="2"/>
  <c r="CY109" i="2"/>
  <c r="CV109" i="2"/>
  <c r="CU109" i="2"/>
  <c r="CT109" i="2"/>
  <c r="CS109" i="2"/>
  <c r="CR109" i="2"/>
  <c r="CO109" i="2"/>
  <c r="BO109" i="2"/>
  <c r="BL109" i="2"/>
  <c r="BJ109" i="2"/>
  <c r="BH109" i="2"/>
  <c r="C109" i="2"/>
  <c r="B109" i="2"/>
  <c r="CY108" i="2"/>
  <c r="CV108" i="2"/>
  <c r="CU108" i="2"/>
  <c r="CT108" i="2"/>
  <c r="CS108" i="2"/>
  <c r="CR108" i="2"/>
  <c r="CO108" i="2"/>
  <c r="BO108" i="2"/>
  <c r="BL108" i="2"/>
  <c r="BJ108" i="2"/>
  <c r="BH108" i="2"/>
  <c r="C108" i="2"/>
  <c r="B108" i="2"/>
  <c r="CY107" i="2"/>
  <c r="CV107" i="2"/>
  <c r="CU107" i="2"/>
  <c r="CT107" i="2"/>
  <c r="CS107" i="2"/>
  <c r="CR107" i="2"/>
  <c r="CO107" i="2"/>
  <c r="BO107" i="2"/>
  <c r="BL107" i="2"/>
  <c r="BJ107" i="2"/>
  <c r="BH107" i="2"/>
  <c r="C107" i="2"/>
  <c r="B107" i="2"/>
  <c r="CY106" i="2"/>
  <c r="CV106" i="2"/>
  <c r="CU106" i="2"/>
  <c r="CT106" i="2"/>
  <c r="CS106" i="2"/>
  <c r="CR106" i="2"/>
  <c r="CO106" i="2"/>
  <c r="BO106" i="2"/>
  <c r="BL106" i="2"/>
  <c r="BJ106" i="2"/>
  <c r="BH106" i="2"/>
  <c r="C106" i="2"/>
  <c r="B106" i="2"/>
  <c r="CY105" i="2"/>
  <c r="CV105" i="2"/>
  <c r="CU105" i="2"/>
  <c r="CT105" i="2"/>
  <c r="CS105" i="2"/>
  <c r="CR105" i="2"/>
  <c r="CO105" i="2"/>
  <c r="BO105" i="2"/>
  <c r="BL105" i="2"/>
  <c r="BJ105" i="2"/>
  <c r="BH105" i="2"/>
  <c r="C105" i="2"/>
  <c r="B105" i="2"/>
  <c r="CY104" i="2"/>
  <c r="CV104" i="2"/>
  <c r="CU104" i="2"/>
  <c r="CT104" i="2"/>
  <c r="CS104" i="2"/>
  <c r="CR104" i="2"/>
  <c r="CO104" i="2"/>
  <c r="BO104" i="2"/>
  <c r="BL104" i="2"/>
  <c r="BJ104" i="2"/>
  <c r="BH104" i="2"/>
  <c r="C104" i="2"/>
  <c r="B104" i="2"/>
  <c r="CY103" i="2"/>
  <c r="CV103" i="2"/>
  <c r="CU103" i="2"/>
  <c r="CT103" i="2"/>
  <c r="CS103" i="2"/>
  <c r="CR103" i="2"/>
  <c r="CO103" i="2"/>
  <c r="BO103" i="2"/>
  <c r="BL103" i="2"/>
  <c r="BJ103" i="2"/>
  <c r="BH103" i="2"/>
  <c r="C103" i="2"/>
  <c r="B103" i="2"/>
  <c r="CY102" i="2"/>
  <c r="CV102" i="2"/>
  <c r="CU102" i="2"/>
  <c r="CT102" i="2"/>
  <c r="CS102" i="2"/>
  <c r="CR102" i="2"/>
  <c r="CO102" i="2"/>
  <c r="BO102" i="2"/>
  <c r="BL102" i="2"/>
  <c r="BJ102" i="2"/>
  <c r="BH102" i="2"/>
  <c r="C102" i="2"/>
  <c r="B102" i="2"/>
  <c r="CY101" i="2"/>
  <c r="CV101" i="2"/>
  <c r="CU101" i="2"/>
  <c r="CT101" i="2"/>
  <c r="CS101" i="2"/>
  <c r="CR101" i="2"/>
  <c r="CO101" i="2"/>
  <c r="BO101" i="2"/>
  <c r="BL101" i="2"/>
  <c r="BJ101" i="2"/>
  <c r="BH101" i="2"/>
  <c r="C101" i="2"/>
  <c r="B101" i="2"/>
  <c r="CY100" i="2"/>
  <c r="CV100" i="2"/>
  <c r="CU100" i="2"/>
  <c r="CT100" i="2"/>
  <c r="CS100" i="2"/>
  <c r="CR100" i="2"/>
  <c r="CO100" i="2"/>
  <c r="BO100" i="2"/>
  <c r="BL100" i="2"/>
  <c r="BJ100" i="2"/>
  <c r="BH100" i="2"/>
  <c r="C100" i="2"/>
  <c r="B100" i="2"/>
  <c r="CY99" i="2"/>
  <c r="CV99" i="2"/>
  <c r="CU99" i="2"/>
  <c r="CT99" i="2"/>
  <c r="CS99" i="2"/>
  <c r="CR99" i="2"/>
  <c r="CO99" i="2"/>
  <c r="BO99" i="2"/>
  <c r="BL99" i="2"/>
  <c r="BJ99" i="2"/>
  <c r="BH99" i="2"/>
  <c r="C99" i="2"/>
  <c r="B99" i="2"/>
  <c r="CY98" i="2"/>
  <c r="CV98" i="2"/>
  <c r="CU98" i="2"/>
  <c r="CT98" i="2"/>
  <c r="CS98" i="2"/>
  <c r="CR98" i="2"/>
  <c r="CO98" i="2"/>
  <c r="BO98" i="2"/>
  <c r="BL98" i="2"/>
  <c r="BJ98" i="2"/>
  <c r="BH98" i="2"/>
  <c r="C98" i="2"/>
  <c r="B98" i="2"/>
  <c r="CY97" i="2"/>
  <c r="CV97" i="2"/>
  <c r="CU97" i="2"/>
  <c r="CT97" i="2"/>
  <c r="CS97" i="2"/>
  <c r="CR97" i="2"/>
  <c r="CO97" i="2"/>
  <c r="BO97" i="2"/>
  <c r="BL97" i="2"/>
  <c r="BJ97" i="2"/>
  <c r="BH97" i="2"/>
  <c r="C97" i="2"/>
  <c r="B97" i="2"/>
  <c r="CY96" i="2"/>
  <c r="CV96" i="2"/>
  <c r="CU96" i="2"/>
  <c r="CT96" i="2"/>
  <c r="CS96" i="2"/>
  <c r="CR96" i="2"/>
  <c r="CO96" i="2"/>
  <c r="BO96" i="2"/>
  <c r="BL96" i="2"/>
  <c r="BJ96" i="2"/>
  <c r="BH96" i="2"/>
  <c r="C96" i="2"/>
  <c r="B96" i="2"/>
  <c r="CY95" i="2"/>
  <c r="CV95" i="2"/>
  <c r="CU95" i="2"/>
  <c r="CT95" i="2"/>
  <c r="CS95" i="2"/>
  <c r="CR95" i="2"/>
  <c r="CO95" i="2"/>
  <c r="BO95" i="2"/>
  <c r="BL95" i="2"/>
  <c r="BJ95" i="2"/>
  <c r="BH95" i="2"/>
  <c r="C95" i="2"/>
  <c r="B95" i="2"/>
  <c r="CY94" i="2"/>
  <c r="CV94" i="2"/>
  <c r="CU94" i="2"/>
  <c r="CT94" i="2"/>
  <c r="CS94" i="2"/>
  <c r="CR94" i="2"/>
  <c r="CO94" i="2"/>
  <c r="BO94" i="2"/>
  <c r="BL94" i="2"/>
  <c r="BJ94" i="2"/>
  <c r="BH94" i="2"/>
  <c r="C94" i="2"/>
  <c r="B94" i="2"/>
  <c r="CY93" i="2"/>
  <c r="CV93" i="2"/>
  <c r="CU93" i="2"/>
  <c r="CT93" i="2"/>
  <c r="CS93" i="2"/>
  <c r="CR93" i="2"/>
  <c r="CO93" i="2"/>
  <c r="BO93" i="2"/>
  <c r="BL93" i="2"/>
  <c r="BJ93" i="2"/>
  <c r="BH93" i="2"/>
  <c r="C93" i="2"/>
  <c r="B93" i="2"/>
  <c r="CY92" i="2"/>
  <c r="CV92" i="2"/>
  <c r="CU92" i="2"/>
  <c r="CT92" i="2"/>
  <c r="CS92" i="2"/>
  <c r="CR92" i="2"/>
  <c r="CO92" i="2"/>
  <c r="BO92" i="2"/>
  <c r="BL92" i="2"/>
  <c r="BJ92" i="2"/>
  <c r="BH92" i="2"/>
  <c r="C92" i="2"/>
  <c r="B92" i="2"/>
  <c r="CY91" i="2"/>
  <c r="CV91" i="2"/>
  <c r="CU91" i="2"/>
  <c r="CT91" i="2"/>
  <c r="CS91" i="2"/>
  <c r="CR91" i="2"/>
  <c r="CO91" i="2"/>
  <c r="BO91" i="2"/>
  <c r="BL91" i="2"/>
  <c r="BJ91" i="2"/>
  <c r="BH91" i="2"/>
  <c r="C91" i="2"/>
  <c r="B91" i="2"/>
  <c r="CY90" i="2"/>
  <c r="CV90" i="2"/>
  <c r="CU90" i="2"/>
  <c r="CT90" i="2"/>
  <c r="CS90" i="2"/>
  <c r="CR90" i="2"/>
  <c r="CO90" i="2"/>
  <c r="BO90" i="2"/>
  <c r="BL90" i="2"/>
  <c r="BJ90" i="2"/>
  <c r="BH90" i="2"/>
  <c r="C90" i="2"/>
  <c r="B90" i="2"/>
  <c r="CY89" i="2"/>
  <c r="CV89" i="2"/>
  <c r="CU89" i="2"/>
  <c r="CT89" i="2"/>
  <c r="CS89" i="2"/>
  <c r="CR89" i="2"/>
  <c r="CO89" i="2"/>
  <c r="BO89" i="2"/>
  <c r="BL89" i="2"/>
  <c r="BJ89" i="2"/>
  <c r="BH89" i="2"/>
  <c r="C89" i="2"/>
  <c r="B89" i="2"/>
  <c r="CY88" i="2"/>
  <c r="CV88" i="2"/>
  <c r="CU88" i="2"/>
  <c r="CT88" i="2"/>
  <c r="CS88" i="2"/>
  <c r="CR88" i="2"/>
  <c r="CO88" i="2"/>
  <c r="BO88" i="2"/>
  <c r="BL88" i="2"/>
  <c r="BJ88" i="2"/>
  <c r="BH88" i="2"/>
  <c r="C88" i="2"/>
  <c r="B88" i="2"/>
  <c r="CY87" i="2"/>
  <c r="CV87" i="2"/>
  <c r="CU87" i="2"/>
  <c r="CT87" i="2"/>
  <c r="CS87" i="2"/>
  <c r="CR87" i="2"/>
  <c r="CO87" i="2"/>
  <c r="BO87" i="2"/>
  <c r="BL87" i="2"/>
  <c r="BJ87" i="2"/>
  <c r="BH87" i="2"/>
  <c r="C87" i="2"/>
  <c r="B87" i="2"/>
  <c r="CY86" i="2"/>
  <c r="CV86" i="2"/>
  <c r="CU86" i="2"/>
  <c r="CT86" i="2"/>
  <c r="CS86" i="2"/>
  <c r="CR86" i="2"/>
  <c r="CO86" i="2"/>
  <c r="BO86" i="2"/>
  <c r="BL86" i="2"/>
  <c r="BJ86" i="2"/>
  <c r="BH86" i="2"/>
  <c r="C86" i="2"/>
  <c r="B86" i="2"/>
  <c r="CY85" i="2"/>
  <c r="CV85" i="2"/>
  <c r="CU85" i="2"/>
  <c r="CT85" i="2"/>
  <c r="CS85" i="2"/>
  <c r="CR85" i="2"/>
  <c r="CO85" i="2"/>
  <c r="BO85" i="2"/>
  <c r="BL85" i="2"/>
  <c r="BJ85" i="2"/>
  <c r="BH85" i="2"/>
  <c r="C85" i="2"/>
  <c r="B85" i="2"/>
  <c r="CY84" i="2"/>
  <c r="CV84" i="2"/>
  <c r="CU84" i="2"/>
  <c r="CT84" i="2"/>
  <c r="CS84" i="2"/>
  <c r="CR84" i="2"/>
  <c r="CO84" i="2"/>
  <c r="BO84" i="2"/>
  <c r="BL84" i="2"/>
  <c r="BJ84" i="2"/>
  <c r="BH84" i="2"/>
  <c r="C84" i="2"/>
  <c r="B84" i="2"/>
  <c r="CY83" i="2"/>
  <c r="CV83" i="2"/>
  <c r="CU83" i="2"/>
  <c r="CT83" i="2"/>
  <c r="CS83" i="2"/>
  <c r="CR83" i="2"/>
  <c r="CO83" i="2"/>
  <c r="BO83" i="2"/>
  <c r="BL83" i="2"/>
  <c r="BJ83" i="2"/>
  <c r="C83" i="2"/>
  <c r="B83" i="2"/>
  <c r="CY82" i="2"/>
  <c r="CV82" i="2"/>
  <c r="CU82" i="2"/>
  <c r="CT82" i="2"/>
  <c r="CS82" i="2"/>
  <c r="CR82" i="2"/>
  <c r="CO82" i="2"/>
  <c r="BO82" i="2"/>
  <c r="BL82" i="2"/>
  <c r="BJ82" i="2"/>
  <c r="BH82" i="2"/>
  <c r="C82" i="2"/>
  <c r="B82" i="2"/>
  <c r="CY81" i="2"/>
  <c r="CV81" i="2"/>
  <c r="CU81" i="2"/>
  <c r="CT81" i="2"/>
  <c r="CS81" i="2"/>
  <c r="CR81" i="2"/>
  <c r="CO81" i="2"/>
  <c r="BO81" i="2"/>
  <c r="BL81" i="2"/>
  <c r="BJ81" i="2"/>
  <c r="BH81" i="2"/>
  <c r="C81" i="2"/>
  <c r="B81" i="2"/>
  <c r="CY80" i="2"/>
  <c r="CV80" i="2"/>
  <c r="CU80" i="2"/>
  <c r="CT80" i="2"/>
  <c r="CS80" i="2"/>
  <c r="CR80" i="2"/>
  <c r="CO80" i="2"/>
  <c r="BO80" i="2"/>
  <c r="BL80" i="2"/>
  <c r="BJ80" i="2"/>
  <c r="BH80" i="2"/>
  <c r="C80" i="2"/>
  <c r="B80" i="2"/>
  <c r="CY79" i="2"/>
  <c r="CV79" i="2"/>
  <c r="CU79" i="2"/>
  <c r="CT79" i="2"/>
  <c r="CS79" i="2"/>
  <c r="CR79" i="2"/>
  <c r="CO79" i="2"/>
  <c r="BO79" i="2"/>
  <c r="BL79" i="2"/>
  <c r="BJ79" i="2"/>
  <c r="BH79" i="2"/>
  <c r="C79" i="2"/>
  <c r="B79" i="2"/>
  <c r="CY78" i="2"/>
  <c r="CV78" i="2"/>
  <c r="CU78" i="2"/>
  <c r="CT78" i="2"/>
  <c r="CS78" i="2"/>
  <c r="CR78" i="2"/>
  <c r="CO78" i="2"/>
  <c r="BO78" i="2"/>
  <c r="BL78" i="2"/>
  <c r="BJ78" i="2"/>
  <c r="BH78" i="2"/>
  <c r="C78" i="2"/>
  <c r="B78" i="2"/>
  <c r="CY77" i="2"/>
  <c r="CV77" i="2"/>
  <c r="CU77" i="2"/>
  <c r="CT77" i="2"/>
  <c r="CS77" i="2"/>
  <c r="CR77" i="2"/>
  <c r="CO77" i="2"/>
  <c r="BO77" i="2"/>
  <c r="BL77" i="2"/>
  <c r="BJ77" i="2"/>
  <c r="BH77" i="2"/>
  <c r="C77" i="2"/>
  <c r="B77" i="2"/>
  <c r="CY76" i="2"/>
  <c r="CV76" i="2"/>
  <c r="CU76" i="2"/>
  <c r="CT76" i="2"/>
  <c r="CS76" i="2"/>
  <c r="CR76" i="2"/>
  <c r="CO76" i="2"/>
  <c r="BO76" i="2"/>
  <c r="BL76" i="2"/>
  <c r="BJ76" i="2"/>
  <c r="BH76" i="2"/>
  <c r="C76" i="2"/>
  <c r="B76" i="2"/>
  <c r="CY75" i="2"/>
  <c r="CV75" i="2"/>
  <c r="CU75" i="2"/>
  <c r="CT75" i="2"/>
  <c r="CS75" i="2"/>
  <c r="CR75" i="2"/>
  <c r="CO75" i="2"/>
  <c r="BO75" i="2"/>
  <c r="BL75" i="2"/>
  <c r="BJ75" i="2"/>
  <c r="BH75" i="2"/>
  <c r="C75" i="2"/>
  <c r="B75" i="2"/>
  <c r="CY74" i="2"/>
  <c r="CV74" i="2"/>
  <c r="CU74" i="2"/>
  <c r="CT74" i="2"/>
  <c r="CS74" i="2"/>
  <c r="CR74" i="2"/>
  <c r="CO74" i="2"/>
  <c r="BO74" i="2"/>
  <c r="BL74" i="2"/>
  <c r="BJ74" i="2"/>
  <c r="BH74" i="2"/>
  <c r="C74" i="2"/>
  <c r="B74" i="2"/>
  <c r="CY73" i="2"/>
  <c r="CV73" i="2"/>
  <c r="CU73" i="2"/>
  <c r="CT73" i="2"/>
  <c r="CS73" i="2"/>
  <c r="CR73" i="2"/>
  <c r="CO73" i="2"/>
  <c r="BO73" i="2"/>
  <c r="BL73" i="2"/>
  <c r="BJ73" i="2"/>
  <c r="BH73" i="2"/>
  <c r="C73" i="2"/>
  <c r="B73" i="2"/>
  <c r="CY72" i="2"/>
  <c r="CV72" i="2"/>
  <c r="CU72" i="2"/>
  <c r="CT72" i="2"/>
  <c r="CS72" i="2"/>
  <c r="CR72" i="2"/>
  <c r="CO72" i="2"/>
  <c r="BO72" i="2"/>
  <c r="BL72" i="2"/>
  <c r="BJ72" i="2"/>
  <c r="BH72" i="2"/>
  <c r="C72" i="2"/>
  <c r="B72" i="2"/>
  <c r="CY71" i="2"/>
  <c r="CV71" i="2"/>
  <c r="CU71" i="2"/>
  <c r="CT71" i="2"/>
  <c r="CS71" i="2"/>
  <c r="CR71" i="2"/>
  <c r="CO71" i="2"/>
  <c r="BO71" i="2"/>
  <c r="BL71" i="2"/>
  <c r="BJ71" i="2"/>
  <c r="C71" i="2"/>
  <c r="B71" i="2"/>
  <c r="CY70" i="2"/>
  <c r="CV70" i="2"/>
  <c r="CU70" i="2"/>
  <c r="CT70" i="2"/>
  <c r="CS70" i="2"/>
  <c r="CR70" i="2"/>
  <c r="CO70" i="2"/>
  <c r="BO70" i="2"/>
  <c r="BL70" i="2"/>
  <c r="BJ70" i="2"/>
  <c r="C70" i="2"/>
  <c r="B70" i="2"/>
  <c r="CY69" i="2"/>
  <c r="CV69" i="2"/>
  <c r="CU69" i="2"/>
  <c r="CT69" i="2"/>
  <c r="CS69" i="2"/>
  <c r="CR69" i="2"/>
  <c r="CO69" i="2"/>
  <c r="BO69" i="2"/>
  <c r="BL69" i="2"/>
  <c r="BJ69" i="2"/>
  <c r="C69" i="2"/>
  <c r="B69" i="2"/>
  <c r="CY68" i="2"/>
  <c r="CV68" i="2"/>
  <c r="CU68" i="2"/>
  <c r="CT68" i="2"/>
  <c r="CS68" i="2"/>
  <c r="CR68" i="2"/>
  <c r="CO68" i="2"/>
  <c r="BO68" i="2"/>
  <c r="BL68" i="2"/>
  <c r="BJ68" i="2"/>
  <c r="BH68" i="2"/>
  <c r="C68" i="2"/>
  <c r="B68" i="2"/>
  <c r="CY67" i="2"/>
  <c r="CV67" i="2"/>
  <c r="CU67" i="2"/>
  <c r="CT67" i="2"/>
  <c r="CS67" i="2"/>
  <c r="CR67" i="2"/>
  <c r="CO67" i="2"/>
  <c r="BO67" i="2"/>
  <c r="BL67" i="2"/>
  <c r="BJ67" i="2"/>
  <c r="BH67" i="2"/>
  <c r="C67" i="2"/>
  <c r="B67" i="2"/>
  <c r="CY66" i="2"/>
  <c r="CV66" i="2"/>
  <c r="CU66" i="2"/>
  <c r="CT66" i="2"/>
  <c r="CS66" i="2"/>
  <c r="CR66" i="2"/>
  <c r="CO66" i="2"/>
  <c r="BO66" i="2"/>
  <c r="BL66" i="2"/>
  <c r="BJ66" i="2"/>
  <c r="BH66" i="2"/>
  <c r="C66" i="2"/>
  <c r="B66" i="2"/>
  <c r="CY65" i="2"/>
  <c r="CV65" i="2"/>
  <c r="CU65" i="2"/>
  <c r="CT65" i="2"/>
  <c r="CS65" i="2"/>
  <c r="CR65" i="2"/>
  <c r="CO65" i="2"/>
  <c r="BO65" i="2"/>
  <c r="BL65" i="2"/>
  <c r="BJ65" i="2"/>
  <c r="BH65" i="2"/>
  <c r="C65" i="2"/>
  <c r="B65" i="2"/>
  <c r="CY64" i="2"/>
  <c r="CV64" i="2"/>
  <c r="CU64" i="2"/>
  <c r="CT64" i="2"/>
  <c r="CS64" i="2"/>
  <c r="CR64" i="2"/>
  <c r="CO64" i="2"/>
  <c r="BO64" i="2"/>
  <c r="BL64" i="2"/>
  <c r="BJ64" i="2"/>
  <c r="BH64" i="2"/>
  <c r="C64" i="2"/>
  <c r="B64" i="2"/>
  <c r="CY63" i="2"/>
  <c r="CV63" i="2"/>
  <c r="CU63" i="2"/>
  <c r="CT63" i="2"/>
  <c r="CS63" i="2"/>
  <c r="CR63" i="2"/>
  <c r="CO63" i="2"/>
  <c r="BO63" i="2"/>
  <c r="BL63" i="2"/>
  <c r="BJ63" i="2"/>
  <c r="BH63" i="2"/>
  <c r="C63" i="2"/>
  <c r="B63" i="2"/>
  <c r="CY62" i="2"/>
  <c r="CV62" i="2"/>
  <c r="CU62" i="2"/>
  <c r="CT62" i="2"/>
  <c r="CS62" i="2"/>
  <c r="CR62" i="2"/>
  <c r="CO62" i="2"/>
  <c r="BO62" i="2"/>
  <c r="BL62" i="2"/>
  <c r="BJ62" i="2"/>
  <c r="BH62" i="2"/>
  <c r="C62" i="2"/>
  <c r="B62" i="2"/>
  <c r="CY61" i="2"/>
  <c r="CV61" i="2"/>
  <c r="CU61" i="2"/>
  <c r="CT61" i="2"/>
  <c r="CS61" i="2"/>
  <c r="CR61" i="2"/>
  <c r="CO61" i="2"/>
  <c r="BO61" i="2"/>
  <c r="BL61" i="2"/>
  <c r="BJ61" i="2"/>
  <c r="BH61" i="2"/>
  <c r="C61" i="2"/>
  <c r="B61" i="2"/>
  <c r="CY60" i="2"/>
  <c r="CV60" i="2"/>
  <c r="CU60" i="2"/>
  <c r="CT60" i="2"/>
  <c r="CS60" i="2"/>
  <c r="CR60" i="2"/>
  <c r="CO60" i="2"/>
  <c r="BO60" i="2"/>
  <c r="BL60" i="2"/>
  <c r="BJ60" i="2"/>
  <c r="BH60" i="2"/>
  <c r="C60" i="2"/>
  <c r="B60" i="2"/>
  <c r="CY59" i="2"/>
  <c r="CV59" i="2"/>
  <c r="CU59" i="2"/>
  <c r="CT59" i="2"/>
  <c r="CS59" i="2"/>
  <c r="CR59" i="2"/>
  <c r="CO59" i="2"/>
  <c r="BO59" i="2"/>
  <c r="BL59" i="2"/>
  <c r="BJ59" i="2"/>
  <c r="BH59" i="2"/>
  <c r="C59" i="2"/>
  <c r="B59" i="2"/>
  <c r="CY58" i="2"/>
  <c r="CV58" i="2"/>
  <c r="CU58" i="2"/>
  <c r="CT58" i="2"/>
  <c r="CS58" i="2"/>
  <c r="CR58" i="2"/>
  <c r="CO58" i="2"/>
  <c r="BO58" i="2"/>
  <c r="BL58" i="2"/>
  <c r="BJ58" i="2"/>
  <c r="BH58" i="2"/>
  <c r="C58" i="2"/>
  <c r="B58" i="2"/>
  <c r="CY57" i="2"/>
  <c r="CV57" i="2"/>
  <c r="CU57" i="2"/>
  <c r="CT57" i="2"/>
  <c r="CS57" i="2"/>
  <c r="CR57" i="2"/>
  <c r="CO57" i="2"/>
  <c r="BO57" i="2"/>
  <c r="BL57" i="2"/>
  <c r="BJ57" i="2"/>
  <c r="BH57" i="2"/>
  <c r="C57" i="2"/>
  <c r="B57" i="2"/>
  <c r="CY56" i="2"/>
  <c r="CV56" i="2"/>
  <c r="CU56" i="2"/>
  <c r="CT56" i="2"/>
  <c r="CS56" i="2"/>
  <c r="CR56" i="2"/>
  <c r="CO56" i="2"/>
  <c r="BO56" i="2"/>
  <c r="BL56" i="2"/>
  <c r="BJ56" i="2"/>
  <c r="BH56" i="2"/>
  <c r="C56" i="2"/>
  <c r="B56" i="2"/>
  <c r="CY55" i="2"/>
  <c r="CV55" i="2"/>
  <c r="CU55" i="2"/>
  <c r="CT55" i="2"/>
  <c r="CS55" i="2"/>
  <c r="CR55" i="2"/>
  <c r="CO55" i="2"/>
  <c r="BO55" i="2"/>
  <c r="BL55" i="2"/>
  <c r="BJ55" i="2"/>
  <c r="BH55" i="2"/>
  <c r="C55" i="2"/>
  <c r="B55" i="2"/>
  <c r="CY54" i="2"/>
  <c r="CV54" i="2"/>
  <c r="CU54" i="2"/>
  <c r="CT54" i="2"/>
  <c r="CS54" i="2"/>
  <c r="CR54" i="2"/>
  <c r="CO54" i="2"/>
  <c r="BO54" i="2"/>
  <c r="BL54" i="2"/>
  <c r="BJ54" i="2"/>
  <c r="BH54" i="2"/>
  <c r="C54" i="2"/>
  <c r="B54" i="2"/>
  <c r="CY53" i="2"/>
  <c r="CV53" i="2"/>
  <c r="CU53" i="2"/>
  <c r="CT53" i="2"/>
  <c r="CS53" i="2"/>
  <c r="CR53" i="2"/>
  <c r="CO53" i="2"/>
  <c r="BO53" i="2"/>
  <c r="BL53" i="2"/>
  <c r="BJ53" i="2"/>
  <c r="BH53" i="2"/>
  <c r="C53" i="2"/>
  <c r="B53" i="2"/>
  <c r="CY52" i="2"/>
  <c r="CV52" i="2"/>
  <c r="CU52" i="2"/>
  <c r="CT52" i="2"/>
  <c r="CS52" i="2"/>
  <c r="CR52" i="2"/>
  <c r="CO52" i="2"/>
  <c r="BO52" i="2"/>
  <c r="BL52" i="2"/>
  <c r="BJ52" i="2"/>
  <c r="BH52" i="2"/>
  <c r="C52" i="2"/>
  <c r="B52" i="2"/>
  <c r="CY51" i="2"/>
  <c r="CV51" i="2"/>
  <c r="CU51" i="2"/>
  <c r="CT51" i="2"/>
  <c r="CS51" i="2"/>
  <c r="CR51" i="2"/>
  <c r="CO51" i="2"/>
  <c r="BO51" i="2"/>
  <c r="BL51" i="2"/>
  <c r="BJ51" i="2"/>
  <c r="BH51" i="2"/>
  <c r="C51" i="2"/>
  <c r="B51" i="2"/>
  <c r="CY50" i="2"/>
  <c r="CV50" i="2"/>
  <c r="CU50" i="2"/>
  <c r="CT50" i="2"/>
  <c r="CS50" i="2"/>
  <c r="CR50" i="2"/>
  <c r="CO50" i="2"/>
  <c r="BO50" i="2"/>
  <c r="BL50" i="2"/>
  <c r="BJ50" i="2"/>
  <c r="BH50" i="2"/>
  <c r="C50" i="2"/>
  <c r="B50" i="2"/>
  <c r="CY49" i="2"/>
  <c r="CV49" i="2"/>
  <c r="CU49" i="2"/>
  <c r="CT49" i="2"/>
  <c r="CS49" i="2"/>
  <c r="CR49" i="2"/>
  <c r="CO49" i="2"/>
  <c r="BO49" i="2"/>
  <c r="BL49" i="2"/>
  <c r="BJ49" i="2"/>
  <c r="BH49" i="2"/>
  <c r="C49" i="2"/>
  <c r="B49" i="2"/>
  <c r="CY48" i="2"/>
  <c r="CV48" i="2"/>
  <c r="CU48" i="2"/>
  <c r="CT48" i="2"/>
  <c r="CS48" i="2"/>
  <c r="CR48" i="2"/>
  <c r="CO48" i="2"/>
  <c r="BO48" i="2"/>
  <c r="BL48" i="2"/>
  <c r="BJ48" i="2"/>
  <c r="BH48" i="2"/>
  <c r="C48" i="2"/>
  <c r="B48" i="2"/>
  <c r="CY47" i="2"/>
  <c r="CV47" i="2"/>
  <c r="CU47" i="2"/>
  <c r="CT47" i="2"/>
  <c r="CS47" i="2"/>
  <c r="CR47" i="2"/>
  <c r="CO47" i="2"/>
  <c r="BO47" i="2"/>
  <c r="BL47" i="2"/>
  <c r="BJ47" i="2"/>
  <c r="BH47" i="2"/>
  <c r="C47" i="2"/>
  <c r="B47" i="2"/>
  <c r="CY46" i="2"/>
  <c r="CV46" i="2"/>
  <c r="CU46" i="2"/>
  <c r="CT46" i="2"/>
  <c r="CS46" i="2"/>
  <c r="CR46" i="2"/>
  <c r="CO46" i="2"/>
  <c r="BO46" i="2"/>
  <c r="BL46" i="2"/>
  <c r="BJ46" i="2"/>
  <c r="BH46" i="2"/>
  <c r="C46" i="2"/>
  <c r="B46" i="2"/>
  <c r="CY45" i="2"/>
  <c r="CV45" i="2"/>
  <c r="CU45" i="2"/>
  <c r="CT45" i="2"/>
  <c r="CS45" i="2"/>
  <c r="CR45" i="2"/>
  <c r="CO45" i="2"/>
  <c r="BO45" i="2"/>
  <c r="BL45" i="2"/>
  <c r="BJ45" i="2"/>
  <c r="BH45" i="2"/>
  <c r="C45" i="2"/>
  <c r="B45" i="2"/>
  <c r="CY44" i="2"/>
  <c r="CV44" i="2"/>
  <c r="CU44" i="2"/>
  <c r="CT44" i="2"/>
  <c r="CS44" i="2"/>
  <c r="CR44" i="2"/>
  <c r="CO44" i="2"/>
  <c r="BO44" i="2"/>
  <c r="BL44" i="2"/>
  <c r="BJ44" i="2"/>
  <c r="BH44" i="2"/>
  <c r="C44" i="2"/>
  <c r="B44" i="2"/>
  <c r="CY43" i="2"/>
  <c r="CV43" i="2"/>
  <c r="CU43" i="2"/>
  <c r="CT43" i="2"/>
  <c r="CS43" i="2"/>
  <c r="CR43" i="2"/>
  <c r="CO43" i="2"/>
  <c r="BO43" i="2"/>
  <c r="BL43" i="2"/>
  <c r="BJ43" i="2"/>
  <c r="BH43" i="2"/>
  <c r="C43" i="2"/>
  <c r="B43" i="2"/>
  <c r="CY42" i="2"/>
  <c r="CV42" i="2"/>
  <c r="CU42" i="2"/>
  <c r="CT42" i="2"/>
  <c r="CS42" i="2"/>
  <c r="CR42" i="2"/>
  <c r="CO42" i="2"/>
  <c r="BO42" i="2"/>
  <c r="BL42" i="2"/>
  <c r="BJ42" i="2"/>
  <c r="BH42" i="2"/>
  <c r="C42" i="2"/>
  <c r="B42" i="2"/>
  <c r="CY41" i="2"/>
  <c r="CV41" i="2"/>
  <c r="CU41" i="2"/>
  <c r="CT41" i="2"/>
  <c r="CS41" i="2"/>
  <c r="CR41" i="2"/>
  <c r="CO41" i="2"/>
  <c r="BO41" i="2"/>
  <c r="BL41" i="2"/>
  <c r="BJ41" i="2"/>
  <c r="BH41" i="2"/>
  <c r="C41" i="2"/>
  <c r="B41" i="2"/>
  <c r="CY40" i="2"/>
  <c r="CV40" i="2"/>
  <c r="CU40" i="2"/>
  <c r="CT40" i="2"/>
  <c r="CS40" i="2"/>
  <c r="CR40" i="2"/>
  <c r="CO40" i="2"/>
  <c r="BO40" i="2"/>
  <c r="BL40" i="2"/>
  <c r="BJ40" i="2"/>
  <c r="BH40" i="2"/>
  <c r="C40" i="2"/>
  <c r="B40" i="2"/>
  <c r="CY39" i="2"/>
  <c r="CV39" i="2"/>
  <c r="CU39" i="2"/>
  <c r="CT39" i="2"/>
  <c r="CS39" i="2"/>
  <c r="CR39" i="2"/>
  <c r="CO39" i="2"/>
  <c r="BO39" i="2"/>
  <c r="BL39" i="2"/>
  <c r="BJ39" i="2"/>
  <c r="BH39" i="2"/>
  <c r="C39" i="2"/>
  <c r="B39" i="2"/>
  <c r="CY38" i="2"/>
  <c r="CV38" i="2"/>
  <c r="CU38" i="2"/>
  <c r="CT38" i="2"/>
  <c r="CS38" i="2"/>
  <c r="CR38" i="2"/>
  <c r="CO38" i="2"/>
  <c r="BO38" i="2"/>
  <c r="BL38" i="2"/>
  <c r="BJ38" i="2"/>
  <c r="BH38" i="2"/>
  <c r="C38" i="2"/>
  <c r="B38" i="2"/>
  <c r="CY37" i="2"/>
  <c r="CV37" i="2"/>
  <c r="CU37" i="2"/>
  <c r="CT37" i="2"/>
  <c r="CS37" i="2"/>
  <c r="CR37" i="2"/>
  <c r="CO37" i="2"/>
  <c r="BO37" i="2"/>
  <c r="BL37" i="2"/>
  <c r="BJ37" i="2"/>
  <c r="BH37" i="2"/>
  <c r="C37" i="2"/>
  <c r="B37" i="2"/>
  <c r="CY36" i="2"/>
  <c r="CV36" i="2"/>
  <c r="CU36" i="2"/>
  <c r="CT36" i="2"/>
  <c r="CS36" i="2"/>
  <c r="CR36" i="2"/>
  <c r="CO36" i="2"/>
  <c r="BO36" i="2"/>
  <c r="BL36" i="2"/>
  <c r="BJ36" i="2"/>
  <c r="BH36" i="2"/>
  <c r="C36" i="2"/>
  <c r="B36" i="2"/>
  <c r="CY35" i="2"/>
  <c r="CV35" i="2"/>
  <c r="CU35" i="2"/>
  <c r="CT35" i="2"/>
  <c r="CS35" i="2"/>
  <c r="CR35" i="2"/>
  <c r="CO35" i="2"/>
  <c r="BO35" i="2"/>
  <c r="BL35" i="2"/>
  <c r="BJ35" i="2"/>
  <c r="BH35" i="2"/>
  <c r="C35" i="2"/>
  <c r="B35" i="2"/>
  <c r="CY34" i="2"/>
  <c r="CV34" i="2"/>
  <c r="CU34" i="2"/>
  <c r="CT34" i="2"/>
  <c r="CS34" i="2"/>
  <c r="CR34" i="2"/>
  <c r="CO34" i="2"/>
  <c r="BO34" i="2"/>
  <c r="BL34" i="2"/>
  <c r="BJ34" i="2"/>
  <c r="BH34" i="2"/>
  <c r="C34" i="2"/>
  <c r="B34" i="2"/>
  <c r="CY33" i="2"/>
  <c r="CV33" i="2"/>
  <c r="CU33" i="2"/>
  <c r="CT33" i="2"/>
  <c r="CS33" i="2"/>
  <c r="CR33" i="2"/>
  <c r="CO33" i="2"/>
  <c r="BO33" i="2"/>
  <c r="BL33" i="2"/>
  <c r="BJ33" i="2"/>
  <c r="BH33" i="2"/>
  <c r="C33" i="2"/>
  <c r="B33" i="2"/>
  <c r="CY32" i="2"/>
  <c r="CV32" i="2"/>
  <c r="CU32" i="2"/>
  <c r="CT32" i="2"/>
  <c r="CS32" i="2"/>
  <c r="CR32" i="2"/>
  <c r="CO32" i="2"/>
  <c r="BO32" i="2"/>
  <c r="BL32" i="2"/>
  <c r="BJ32" i="2"/>
  <c r="BH32" i="2"/>
  <c r="C32" i="2"/>
  <c r="B32" i="2"/>
  <c r="CY31" i="2"/>
  <c r="CV31" i="2"/>
  <c r="CU31" i="2"/>
  <c r="CS31" i="2"/>
  <c r="CR31" i="2"/>
  <c r="CO31" i="2"/>
  <c r="BO31" i="2"/>
  <c r="BL31" i="2"/>
  <c r="BJ31" i="2"/>
  <c r="BH31" i="2"/>
  <c r="C31" i="2"/>
  <c r="B31" i="2"/>
  <c r="CY30" i="2"/>
  <c r="CV30" i="2"/>
  <c r="CU30" i="2"/>
  <c r="CS30" i="2"/>
  <c r="CR30" i="2"/>
  <c r="CO30" i="2"/>
  <c r="BO30" i="2"/>
  <c r="BL30" i="2"/>
  <c r="BJ30" i="2"/>
  <c r="BH30" i="2"/>
  <c r="C30" i="2"/>
  <c r="B30" i="2"/>
  <c r="CY29" i="2"/>
  <c r="CV29" i="2"/>
  <c r="CU29" i="2"/>
  <c r="CT29" i="2"/>
  <c r="CS29" i="2"/>
  <c r="CR29" i="2"/>
  <c r="CO29" i="2"/>
  <c r="BO29" i="2"/>
  <c r="BL29" i="2"/>
  <c r="BJ29" i="2"/>
  <c r="BH29" i="2"/>
  <c r="C29" i="2"/>
  <c r="B29" i="2"/>
  <c r="CY28" i="2"/>
  <c r="CV28" i="2"/>
  <c r="CU28" i="2"/>
  <c r="CT28" i="2"/>
  <c r="CS28" i="2"/>
  <c r="CR28" i="2"/>
  <c r="CO28" i="2"/>
  <c r="BO28" i="2"/>
  <c r="BL28" i="2"/>
  <c r="BJ28" i="2"/>
  <c r="BH28" i="2"/>
  <c r="C28" i="2"/>
  <c r="B28" i="2"/>
  <c r="CY27" i="2"/>
  <c r="CV27" i="2"/>
  <c r="CU27" i="2"/>
  <c r="CT27" i="2"/>
  <c r="CS27" i="2"/>
  <c r="CR27" i="2"/>
  <c r="CO27" i="2"/>
  <c r="BO27" i="2"/>
  <c r="BL27" i="2"/>
  <c r="BJ27" i="2"/>
  <c r="BH27" i="2"/>
  <c r="C27" i="2"/>
  <c r="B27" i="2"/>
  <c r="CY26" i="2"/>
  <c r="CV26" i="2"/>
  <c r="CU26" i="2"/>
  <c r="CT26" i="2"/>
  <c r="CS26" i="2"/>
  <c r="CR26" i="2"/>
  <c r="CO26" i="2"/>
  <c r="BO26" i="2"/>
  <c r="BL26" i="2"/>
  <c r="BJ26" i="2"/>
  <c r="BH26" i="2"/>
  <c r="C26" i="2"/>
  <c r="B26" i="2"/>
  <c r="CY25" i="2"/>
  <c r="CV25" i="2"/>
  <c r="CU25" i="2"/>
  <c r="CT25" i="2"/>
  <c r="CS25" i="2"/>
  <c r="CR25" i="2"/>
  <c r="CO25" i="2"/>
  <c r="BO25" i="2"/>
  <c r="BL25" i="2"/>
  <c r="BJ25" i="2"/>
  <c r="BH25" i="2"/>
  <c r="C25" i="2"/>
  <c r="B25" i="2"/>
  <c r="CY24" i="2"/>
  <c r="CV24" i="2"/>
  <c r="CU24" i="2"/>
  <c r="CT24" i="2"/>
  <c r="CS24" i="2"/>
  <c r="CR24" i="2"/>
  <c r="CO24" i="2"/>
  <c r="BO24" i="2"/>
  <c r="BL24" i="2"/>
  <c r="BJ24" i="2"/>
  <c r="BH24" i="2"/>
  <c r="C24" i="2"/>
  <c r="B24" i="2"/>
  <c r="CY23" i="2"/>
  <c r="CV23" i="2"/>
  <c r="CU23" i="2"/>
  <c r="CT23" i="2"/>
  <c r="CS23" i="2"/>
  <c r="CR23" i="2"/>
  <c r="CO23" i="2"/>
  <c r="BO23" i="2"/>
  <c r="BL23" i="2"/>
  <c r="BJ23" i="2"/>
  <c r="BH23" i="2"/>
  <c r="C23" i="2"/>
  <c r="B23" i="2"/>
  <c r="CY22" i="2"/>
  <c r="CV22" i="2"/>
  <c r="CU22" i="2"/>
  <c r="CT22" i="2"/>
  <c r="CS22" i="2"/>
  <c r="CR22" i="2"/>
  <c r="CO22" i="2"/>
  <c r="BO22" i="2"/>
  <c r="BL22" i="2"/>
  <c r="BJ22" i="2"/>
  <c r="BH22" i="2"/>
  <c r="C22" i="2"/>
  <c r="B22" i="2"/>
  <c r="CY21" i="2"/>
  <c r="CV21" i="2"/>
  <c r="CU21" i="2"/>
  <c r="CT21" i="2"/>
  <c r="CS21" i="2"/>
  <c r="CR21" i="2"/>
  <c r="CO21" i="2"/>
  <c r="BO21" i="2"/>
  <c r="BL21" i="2"/>
  <c r="BJ21" i="2"/>
  <c r="BH21" i="2"/>
  <c r="C21" i="2"/>
  <c r="B21" i="2"/>
  <c r="CY20" i="2"/>
  <c r="CV20" i="2"/>
  <c r="CU20" i="2"/>
  <c r="CT20" i="2"/>
  <c r="CS20" i="2"/>
  <c r="CR20" i="2"/>
  <c r="CO20" i="2"/>
  <c r="BO20" i="2"/>
  <c r="BL20" i="2"/>
  <c r="BJ20" i="2"/>
  <c r="BH20" i="2"/>
  <c r="C20" i="2"/>
  <c r="B20" i="2"/>
  <c r="CY19" i="2"/>
  <c r="CV19" i="2"/>
  <c r="CU19" i="2"/>
  <c r="CT19" i="2"/>
  <c r="CS19" i="2"/>
  <c r="CR19" i="2"/>
  <c r="CO19" i="2"/>
  <c r="BO19" i="2"/>
  <c r="BL19" i="2"/>
  <c r="BJ19" i="2"/>
  <c r="BH19" i="2"/>
  <c r="C19" i="2"/>
  <c r="B19" i="2"/>
  <c r="CY18" i="2"/>
  <c r="CV18" i="2"/>
  <c r="CU18" i="2"/>
  <c r="CT18" i="2"/>
  <c r="CS18" i="2"/>
  <c r="CR18" i="2"/>
  <c r="CO18" i="2"/>
  <c r="BO18" i="2"/>
  <c r="BL18" i="2"/>
  <c r="BJ18" i="2"/>
  <c r="BH18" i="2"/>
  <c r="C18" i="2"/>
  <c r="B18" i="2"/>
  <c r="CY17" i="2"/>
  <c r="CV17" i="2"/>
  <c r="CU17" i="2"/>
  <c r="CT17" i="2"/>
  <c r="CS17" i="2"/>
  <c r="CR17" i="2"/>
  <c r="CO17" i="2"/>
  <c r="BO17" i="2"/>
  <c r="BL17" i="2"/>
  <c r="BJ17" i="2"/>
  <c r="BH17" i="2"/>
  <c r="C17" i="2"/>
  <c r="B17" i="2"/>
  <c r="CY16" i="2"/>
  <c r="CV16" i="2"/>
  <c r="CU16" i="2"/>
  <c r="CT16" i="2"/>
  <c r="CS16" i="2"/>
  <c r="CR16" i="2"/>
  <c r="CO16" i="2"/>
  <c r="BO16" i="2"/>
  <c r="BL16" i="2"/>
  <c r="BJ16" i="2"/>
  <c r="BH16" i="2"/>
  <c r="C16" i="2"/>
  <c r="B16" i="2"/>
  <c r="CY15" i="2"/>
  <c r="CV15" i="2"/>
  <c r="CU15" i="2"/>
  <c r="CT15" i="2"/>
  <c r="CS15" i="2"/>
  <c r="CR15" i="2"/>
  <c r="CO15" i="2"/>
  <c r="BO15" i="2"/>
  <c r="BL15" i="2"/>
  <c r="BJ15" i="2"/>
  <c r="BH15" i="2"/>
  <c r="C15" i="2"/>
  <c r="B15" i="2"/>
  <c r="CY14" i="2"/>
  <c r="CV14" i="2"/>
  <c r="CU14" i="2"/>
  <c r="CT14" i="2"/>
  <c r="CS14" i="2"/>
  <c r="CR14" i="2"/>
  <c r="CO14" i="2"/>
  <c r="BO14" i="2"/>
  <c r="BL14" i="2"/>
  <c r="BJ14" i="2"/>
  <c r="BH14" i="2"/>
  <c r="C14" i="2"/>
  <c r="B14" i="2"/>
  <c r="CY13" i="2"/>
  <c r="CV13" i="2"/>
  <c r="CU13" i="2"/>
  <c r="CT13" i="2"/>
  <c r="CS13" i="2"/>
  <c r="CR13" i="2"/>
  <c r="CO13" i="2"/>
  <c r="BO13" i="2"/>
  <c r="BL13" i="2"/>
  <c r="BJ13" i="2"/>
  <c r="BH13" i="2"/>
  <c r="C13" i="2"/>
  <c r="B13" i="2"/>
  <c r="CY12" i="2"/>
  <c r="CV12" i="2"/>
  <c r="CU12" i="2"/>
  <c r="CT12" i="2"/>
  <c r="CS12" i="2"/>
  <c r="CR12" i="2"/>
  <c r="CO12" i="2"/>
  <c r="BO12" i="2"/>
  <c r="BL12" i="2"/>
  <c r="BJ12" i="2"/>
  <c r="BH12" i="2"/>
  <c r="C12" i="2"/>
  <c r="B12" i="2"/>
  <c r="CY11" i="2"/>
  <c r="CV11" i="2"/>
  <c r="CU11" i="2"/>
  <c r="CT11" i="2"/>
  <c r="CS11" i="2"/>
  <c r="CR11" i="2"/>
  <c r="CO11" i="2"/>
  <c r="BO11" i="2"/>
  <c r="BL11" i="2"/>
  <c r="BJ11" i="2"/>
  <c r="BH11" i="2"/>
  <c r="C11" i="2"/>
  <c r="B11" i="2"/>
  <c r="CY10" i="2"/>
  <c r="CV10" i="2"/>
  <c r="CU10" i="2"/>
  <c r="CT10" i="2"/>
  <c r="CS10" i="2"/>
  <c r="CR10" i="2"/>
  <c r="CO10" i="2"/>
  <c r="BO10" i="2"/>
  <c r="BL10" i="2"/>
  <c r="BJ10" i="2"/>
  <c r="BH10" i="2"/>
  <c r="C10" i="2"/>
  <c r="B10" i="2"/>
  <c r="CY9" i="2"/>
  <c r="CV9" i="2"/>
  <c r="CU9" i="2"/>
  <c r="CT9" i="2"/>
  <c r="CS9" i="2"/>
  <c r="CR9" i="2"/>
  <c r="CO9" i="2"/>
  <c r="BO9" i="2"/>
  <c r="BL9" i="2"/>
  <c r="BJ9" i="2"/>
  <c r="BH9" i="2"/>
  <c r="C9" i="2"/>
  <c r="B9" i="2"/>
  <c r="CY8" i="2"/>
  <c r="CV8" i="2"/>
  <c r="CU8" i="2"/>
  <c r="CT8" i="2"/>
  <c r="CS8" i="2"/>
  <c r="CR8" i="2"/>
  <c r="CO8" i="2"/>
  <c r="BO8" i="2"/>
  <c r="BL8" i="2"/>
  <c r="BJ8" i="2"/>
  <c r="BH8" i="2"/>
  <c r="C8" i="2"/>
  <c r="B8" i="2"/>
  <c r="CY7" i="2"/>
  <c r="CV7" i="2"/>
  <c r="CU7" i="2"/>
  <c r="CT7" i="2"/>
  <c r="CS7" i="2"/>
  <c r="CR7" i="2"/>
  <c r="CO7" i="2"/>
  <c r="BO7" i="2"/>
  <c r="BL7" i="2"/>
  <c r="BJ7" i="2"/>
  <c r="BH7" i="2"/>
  <c r="C7" i="2"/>
  <c r="B7" i="2"/>
  <c r="CY6" i="2"/>
  <c r="CV6" i="2"/>
  <c r="CU6" i="2"/>
  <c r="CT6" i="2"/>
  <c r="CS6" i="2"/>
  <c r="CR6" i="2"/>
  <c r="CO6" i="2"/>
  <c r="BO6" i="2"/>
  <c r="BL6" i="2"/>
  <c r="BJ6" i="2"/>
  <c r="BH6" i="2"/>
  <c r="C6" i="2"/>
  <c r="B6" i="2"/>
  <c r="CY5" i="2"/>
  <c r="CV5" i="2"/>
  <c r="CU5" i="2"/>
  <c r="CT5" i="2"/>
  <c r="CS5" i="2"/>
  <c r="CR5" i="2"/>
  <c r="CO5" i="2"/>
  <c r="BO5" i="2"/>
  <c r="BL5" i="2"/>
  <c r="BJ5" i="2"/>
  <c r="BH5" i="2"/>
  <c r="C5" i="2"/>
  <c r="B5" i="2"/>
  <c r="CY4" i="2"/>
  <c r="CV4" i="2"/>
  <c r="CU4" i="2"/>
  <c r="CT4" i="2"/>
  <c r="CS4" i="2"/>
  <c r="CR4" i="2"/>
  <c r="CO4" i="2"/>
  <c r="BO4" i="2"/>
  <c r="BL4" i="2"/>
  <c r="BJ4" i="2"/>
  <c r="BH4" i="2"/>
  <c r="C4" i="2"/>
  <c r="B4" i="2"/>
  <c r="CY3" i="2"/>
  <c r="CV3" i="2"/>
  <c r="CU3" i="2"/>
  <c r="CT3" i="2"/>
  <c r="CS3" i="2"/>
  <c r="CR3" i="2"/>
  <c r="CO3" i="2"/>
  <c r="BO3" i="2"/>
  <c r="BL3" i="2"/>
  <c r="BJ3" i="2"/>
  <c r="BH3" i="2"/>
  <c r="C3" i="2"/>
  <c r="B3" i="2"/>
  <c r="CY2" i="2"/>
  <c r="CV2" i="2"/>
  <c r="CU2" i="2"/>
  <c r="CT2" i="2"/>
  <c r="CS2" i="2"/>
  <c r="CR2" i="2"/>
  <c r="CO2" i="2"/>
  <c r="BO2" i="2"/>
  <c r="BL2" i="2"/>
  <c r="BJ2" i="2"/>
  <c r="BH2" i="2"/>
  <c r="C2" i="2"/>
  <c r="B2" i="2"/>
</calcChain>
</file>

<file path=xl/sharedStrings.xml><?xml version="1.0" encoding="utf-8"?>
<sst xmlns="http://schemas.openxmlformats.org/spreadsheetml/2006/main" count="27298" uniqueCount="2609">
  <si>
    <t>N° ID</t>
  </si>
  <si>
    <t>Epi_week date notification niveau central</t>
  </si>
  <si>
    <t>Epiweek date symptoms</t>
  </si>
  <si>
    <t>Date de notification niveau central</t>
  </si>
  <si>
    <t>Sexe</t>
  </si>
  <si>
    <t>Age</t>
  </si>
  <si>
    <t>Profession</t>
  </si>
  <si>
    <t>Statut du cas (vivant, decede)</t>
  </si>
  <si>
    <t>Si DCD, date de décès</t>
  </si>
  <si>
    <t>Hospitalisation</t>
  </si>
  <si>
    <t>Si oui date d'hospitalisation</t>
  </si>
  <si>
    <t>Region de notification</t>
  </si>
  <si>
    <t>District de notification</t>
  </si>
  <si>
    <t>Aire de santé de notification</t>
  </si>
  <si>
    <t>FOSA de notification</t>
  </si>
  <si>
    <t>Village ou quartier de résidence</t>
  </si>
  <si>
    <t>DS d'origine</t>
  </si>
  <si>
    <t>Date apparition 1er symptôme</t>
  </si>
  <si>
    <t>Date de début de fièvre</t>
  </si>
  <si>
    <t>Date de début d'éruptions</t>
  </si>
  <si>
    <t>Nbre d'eruption</t>
  </si>
  <si>
    <t>Tout le corps</t>
  </si>
  <si>
    <t>Tete</t>
  </si>
  <si>
    <t>Main</t>
  </si>
  <si>
    <t>Pied</t>
  </si>
  <si>
    <t>Dos</t>
  </si>
  <si>
    <t>Organe genital</t>
  </si>
  <si>
    <t>Torse</t>
  </si>
  <si>
    <t xml:space="preserve"> Autre Localisation des éruptions</t>
  </si>
  <si>
    <t>Nombre d'éruptions</t>
  </si>
  <si>
    <t>Fièvre</t>
  </si>
  <si>
    <t>Adénopathie</t>
  </si>
  <si>
    <t>Douleurs</t>
  </si>
  <si>
    <t>Dysphagie</t>
  </si>
  <si>
    <t>Complications</t>
  </si>
  <si>
    <t>Commorbidité</t>
  </si>
  <si>
    <t>Voyage récent avant le début des symptômes moins de 21 jours</t>
  </si>
  <si>
    <t>Exposition à un cas confirmé ou probable</t>
  </si>
  <si>
    <t>Exposition à un animal</t>
  </si>
  <si>
    <t>Notion de partenanires sexuels multiples</t>
  </si>
  <si>
    <t>Notion de vaccination contre la variole du singe</t>
  </si>
  <si>
    <t>N° IDLAB</t>
  </si>
  <si>
    <t>Date de réception</t>
  </si>
  <si>
    <t>ELISA</t>
  </si>
  <si>
    <t>PCR</t>
  </si>
  <si>
    <t>Résultat</t>
  </si>
  <si>
    <t>Outcome (1=Malade,2=Guéri, 3=Décédé)</t>
  </si>
  <si>
    <t>Date outcome</t>
  </si>
  <si>
    <t>CLADE</t>
  </si>
  <si>
    <t>Variant</t>
  </si>
  <si>
    <t>Commentaire</t>
  </si>
  <si>
    <t>Prelevement effectué</t>
  </si>
  <si>
    <t>Date de prelevement</t>
  </si>
  <si>
    <t>Type de prelevement</t>
  </si>
  <si>
    <t>Numéro</t>
  </si>
  <si>
    <t>AIRE DE SANTE D'ORIGINE</t>
  </si>
  <si>
    <t>VARICELLE</t>
  </si>
  <si>
    <t>Epi_week date décès</t>
  </si>
  <si>
    <t>DATE CONFIRMATION</t>
  </si>
  <si>
    <t>Epi_week date confirmation</t>
  </si>
  <si>
    <t>Region d'origine</t>
  </si>
  <si>
    <t>Epi_week date prelevement</t>
  </si>
  <si>
    <t>Nationalité</t>
  </si>
  <si>
    <t>Rendu résultat laboratoire</t>
  </si>
  <si>
    <t>Epi_week date testing</t>
  </si>
  <si>
    <t>ANALYSE</t>
  </si>
  <si>
    <t>Laboratoire</t>
  </si>
  <si>
    <t>Statut sérologique VIH (OUI/NON)</t>
  </si>
  <si>
    <t>Recherche active</t>
  </si>
  <si>
    <t>Date de prelevement LNSP</t>
  </si>
  <si>
    <t>Date reception
LNSP</t>
  </si>
  <si>
    <t>Analyse LNSP</t>
  </si>
  <si>
    <t>Date testing
LNSP</t>
  </si>
  <si>
    <t>RESULTAT
LNSP</t>
  </si>
  <si>
    <t>Date de prelevement CPC</t>
  </si>
  <si>
    <t>Date reception
CPC</t>
  </si>
  <si>
    <t>Analyse CPC</t>
  </si>
  <si>
    <t>Date testing
CPC</t>
  </si>
  <si>
    <t>RESULTAT
CPC</t>
  </si>
  <si>
    <t>Date de prelevement LAQUINTINIE</t>
  </si>
  <si>
    <t>Date reception
LAQUINTINIE</t>
  </si>
  <si>
    <t>Analyse LAQUINTINIE</t>
  </si>
  <si>
    <t>Date testing
LAQUINTINIE</t>
  </si>
  <si>
    <t>RESULTAT</t>
  </si>
  <si>
    <t xml:space="preserve">Retesting
LNSP </t>
  </si>
  <si>
    <t>Clade retesting</t>
  </si>
  <si>
    <t>Sous Clade</t>
  </si>
  <si>
    <t>Date de Prélevement retesting</t>
  </si>
  <si>
    <t>Date de confirmation retesting</t>
  </si>
  <si>
    <t>ECHANTILLON RETESTING</t>
  </si>
  <si>
    <t>CALCUL</t>
  </si>
  <si>
    <t>Date de notification au DS</t>
  </si>
  <si>
    <t>COINFECTION
MPOX
VARICELLE</t>
  </si>
  <si>
    <t>Reçus 
24h</t>
  </si>
  <si>
    <t>Disponible
24h</t>
  </si>
  <si>
    <t>detection</t>
  </si>
  <si>
    <t>IND Notification</t>
  </si>
  <si>
    <t>IND confirmation des cas</t>
  </si>
  <si>
    <t>COINFECTION MPOX VIH</t>
  </si>
  <si>
    <t>Date apparition 1er symptôme 2</t>
  </si>
  <si>
    <t>Epiweek date symptoms 2</t>
  </si>
  <si>
    <t>LIEN EPIDEMIOLOGIQUE</t>
  </si>
  <si>
    <t>COMMENTAIRE</t>
  </si>
  <si>
    <t>CAS COMPATIBLE</t>
  </si>
  <si>
    <t>Classification finale</t>
  </si>
  <si>
    <t>CMR_CE_MPOX_CIT_001</t>
  </si>
  <si>
    <t>Feminin</t>
  </si>
  <si>
    <t>ELEVE</t>
  </si>
  <si>
    <t>Vivant</t>
  </si>
  <si>
    <t>oui</t>
  </si>
  <si>
    <t>INCONNU</t>
  </si>
  <si>
    <t>Centre</t>
  </si>
  <si>
    <t>CITE VERTE</t>
  </si>
  <si>
    <t>CENTRE MERE ENFANT</t>
  </si>
  <si>
    <t>OUI</t>
  </si>
  <si>
    <t>NEGATIF</t>
  </si>
  <si>
    <t>ECOUVILLON CUTANE</t>
  </si>
  <si>
    <t>CENTRE</t>
  </si>
  <si>
    <t>CPC</t>
  </si>
  <si>
    <t>PAS INCLUS</t>
  </si>
  <si>
    <t>NON-CAS</t>
  </si>
  <si>
    <t>CMR_CE_MPOX_CIT_002</t>
  </si>
  <si>
    <t>CMR_LT_MPOX_YAB_001</t>
  </si>
  <si>
    <t>Masculin</t>
  </si>
  <si>
    <t>PECHEUR/CHASSEUR</t>
  </si>
  <si>
    <t>DECEDE</t>
  </si>
  <si>
    <t>Littoral</t>
  </si>
  <si>
    <t>Cité des palmiers</t>
  </si>
  <si>
    <t>HDCP</t>
  </si>
  <si>
    <t>YINGUI</t>
  </si>
  <si>
    <t>YABASSI</t>
  </si>
  <si>
    <t>adénopathie</t>
  </si>
  <si>
    <t>NON</t>
  </si>
  <si>
    <t>24V-0057</t>
  </si>
  <si>
    <t>POSITIF</t>
  </si>
  <si>
    <t>CLADE 2</t>
  </si>
  <si>
    <t>sang,ecouvillon cutané</t>
  </si>
  <si>
    <t>LITTORAL</t>
  </si>
  <si>
    <t>PER</t>
  </si>
  <si>
    <t>CONFIRME</t>
  </si>
  <si>
    <t>CMR_CE_MPOX_AYO_001</t>
  </si>
  <si>
    <t>NOURISSON</t>
  </si>
  <si>
    <t>NSP</t>
  </si>
  <si>
    <t>AYOS</t>
  </si>
  <si>
    <t>KOBJOMBO SOUS PREFECTURE</t>
  </si>
  <si>
    <t>CMR_LT_MPOX_BAN_001</t>
  </si>
  <si>
    <t>BANGUE</t>
  </si>
  <si>
    <t>BONAMOUSSADI</t>
  </si>
  <si>
    <t>Clinique des Citées</t>
  </si>
  <si>
    <t>TERMINUS</t>
  </si>
  <si>
    <t>non</t>
  </si>
  <si>
    <t>conjonctivite</t>
  </si>
  <si>
    <t>GUERI</t>
  </si>
  <si>
    <t>Ecouvillon cutané;croute et sang</t>
  </si>
  <si>
    <t>CMR_LT_MPOX_LOG_001</t>
  </si>
  <si>
    <t>Japoma</t>
  </si>
  <si>
    <t>YASSA</t>
  </si>
  <si>
    <t>Hopital Gopero</t>
  </si>
  <si>
    <t>Logbaba</t>
  </si>
  <si>
    <t>CAMEROUNAISE</t>
  </si>
  <si>
    <t>COMPATIBLE</t>
  </si>
  <si>
    <t>CMR_NW_MPOX_NJI_001</t>
  </si>
  <si>
    <t>Agriculteur</t>
  </si>
  <si>
    <t>Nord_Ouest</t>
  </si>
  <si>
    <t>NJIKWA</t>
  </si>
  <si>
    <t>BASSA</t>
  </si>
  <si>
    <t>BAKWA</t>
  </si>
  <si>
    <t>Njikwa</t>
  </si>
  <si>
    <t>24V-02975</t>
  </si>
  <si>
    <t>SANG</t>
  </si>
  <si>
    <t>NORD-OUEST</t>
  </si>
  <si>
    <t>CMR_NO_MPOX_TOU_001</t>
  </si>
  <si>
    <t>Berger</t>
  </si>
  <si>
    <t>Nord</t>
  </si>
  <si>
    <t>Touboro</t>
  </si>
  <si>
    <t>Mbaimboum</t>
  </si>
  <si>
    <t>Sogbe-Bonaye</t>
  </si>
  <si>
    <t>24V-01787</t>
  </si>
  <si>
    <t>ECOUVILLON CUTANE, CROUTE, SANG</t>
  </si>
  <si>
    <t>MBAIMBOUM</t>
  </si>
  <si>
    <t>NORD</t>
  </si>
  <si>
    <t>CMR_SW_MPOX_MBO_001</t>
  </si>
  <si>
    <t>Sud_Ouest</t>
  </si>
  <si>
    <t>Mbonge</t>
  </si>
  <si>
    <t>NA</t>
  </si>
  <si>
    <t>24V-01612</t>
  </si>
  <si>
    <t>MBONGE</t>
  </si>
  <si>
    <t>SUD-OUEST</t>
  </si>
  <si>
    <t>CMR_SW_MPOX_MBO_002</t>
  </si>
  <si>
    <t>Menagere</t>
  </si>
  <si>
    <t>CMR_SW_MPOX_MBO_003</t>
  </si>
  <si>
    <t>24V-01613</t>
  </si>
  <si>
    <t>CMR_SW_MPOX_LIM_001</t>
  </si>
  <si>
    <t>BUEA</t>
  </si>
  <si>
    <t>Buea Road</t>
  </si>
  <si>
    <t>Limbe Stanne</t>
  </si>
  <si>
    <t>Limbe</t>
  </si>
  <si>
    <t>24V-2221</t>
  </si>
  <si>
    <t>CMR_SW_MPOX_BUE_001</t>
  </si>
  <si>
    <t>BETINGI</t>
  </si>
  <si>
    <t>CMR_LT_MPOX_BAN_002</t>
  </si>
  <si>
    <t>Agent Banque</t>
  </si>
  <si>
    <t>CITE DES PALMIERS</t>
  </si>
  <si>
    <t>HGD</t>
  </si>
  <si>
    <t>MAKEPE CNPS</t>
  </si>
  <si>
    <t>CMR_AD_MPOX_NGU_001</t>
  </si>
  <si>
    <t>ADAMAOUA</t>
  </si>
  <si>
    <t>NGAOUNDERE URBAIN</t>
  </si>
  <si>
    <t>BOUMDJERE</t>
  </si>
  <si>
    <t>GADAMABANGA</t>
  </si>
  <si>
    <t>CROUTE, SANG</t>
  </si>
  <si>
    <t>CMR_LT_MPOX_CDP_001</t>
  </si>
  <si>
    <t>Ndoghem2</t>
  </si>
  <si>
    <t>SSDCDP</t>
  </si>
  <si>
    <t>bonamoutongo dernier poteau</t>
  </si>
  <si>
    <t>Cite des palmiers</t>
  </si>
  <si>
    <t>adenopathie</t>
  </si>
  <si>
    <t>sang ecouvillon cutané</t>
  </si>
  <si>
    <t>CMR_NO_MPOX_NJI_002</t>
  </si>
  <si>
    <t>Bamenda</t>
  </si>
  <si>
    <t>AZIRE</t>
  </si>
  <si>
    <t>Hopital régional de Bamenda</t>
  </si>
  <si>
    <t>24V-00317</t>
  </si>
  <si>
    <t>Sang</t>
  </si>
  <si>
    <t>CMR_SW_MPOX_MBO_004</t>
  </si>
  <si>
    <t>kombone</t>
  </si>
  <si>
    <t>NAKE</t>
  </si>
  <si>
    <t>24V-3455</t>
  </si>
  <si>
    <t>KOMBONE</t>
  </si>
  <si>
    <t>CMR_SW_MPOX_MBO_005</t>
  </si>
  <si>
    <t>Dibongue</t>
  </si>
  <si>
    <t>24V-03452</t>
  </si>
  <si>
    <t>CMR_SW_MPOX_MBO_006</t>
  </si>
  <si>
    <t>Foe Bakunda</t>
  </si>
  <si>
    <t>mbonge</t>
  </si>
  <si>
    <t>24V-3453</t>
  </si>
  <si>
    <t>CMR_SW_MPOX_MBO_007</t>
  </si>
  <si>
    <t>KOTTO BAROMBI</t>
  </si>
  <si>
    <t>CMR_SW_MPOX_MBO_008</t>
  </si>
  <si>
    <t>CMR_NW_MPOX_BAF_001</t>
  </si>
  <si>
    <t>BAFUT</t>
  </si>
  <si>
    <t>MBAKONG</t>
  </si>
  <si>
    <t>HD BAFUT</t>
  </si>
  <si>
    <t>CROUTE</t>
  </si>
  <si>
    <t>CMR_SW_MPOX_MBO_009</t>
  </si>
  <si>
    <t>KWAKWA</t>
  </si>
  <si>
    <t>24-07028</t>
  </si>
  <si>
    <t>CMR_EN_MPOX_KOU_001</t>
  </si>
  <si>
    <t>Extreme_Nord</t>
  </si>
  <si>
    <t>KOUSSERI</t>
  </si>
  <si>
    <t>MADIAKO</t>
  </si>
  <si>
    <t>CMA Logone-Birni</t>
  </si>
  <si>
    <t>NON MENTIONNE</t>
  </si>
  <si>
    <t>EXTREME-NORD</t>
  </si>
  <si>
    <t>CMR_EN_MPOX_KOU_002</t>
  </si>
  <si>
    <t>DARSALA</t>
  </si>
  <si>
    <t>24V-7344</t>
  </si>
  <si>
    <t>CMR_EN_MPOX_KOU_003</t>
  </si>
  <si>
    <t>CMR_LT_MPOX_CDP_002</t>
  </si>
  <si>
    <t>AUCUNE</t>
  </si>
  <si>
    <t>PK8</t>
  </si>
  <si>
    <t>ECOUVILLON CUTANE, SANG</t>
  </si>
  <si>
    <t>CMR_SW_MPOX_LIM_002</t>
  </si>
  <si>
    <t>LIMBE</t>
  </si>
  <si>
    <t>limbe</t>
  </si>
  <si>
    <t>CMR_SW_MPOX_MBO_010</t>
  </si>
  <si>
    <t>CMR_SW_MPOX_KON_001</t>
  </si>
  <si>
    <t>Konye</t>
  </si>
  <si>
    <t>WONE</t>
  </si>
  <si>
    <t>CMR_SW_MPOX_KON_002</t>
  </si>
  <si>
    <t>24V-08313</t>
  </si>
  <si>
    <t>CMR_CE_MPOX_BAF_001</t>
  </si>
  <si>
    <t>BAFIA</t>
  </si>
  <si>
    <t>BOKITO</t>
  </si>
  <si>
    <t>CMA BOKITO</t>
  </si>
  <si>
    <t>TCHEKOS</t>
  </si>
  <si>
    <t>24V-8642</t>
  </si>
  <si>
    <t>Sang, ecouvillon CUTANE, croutes</t>
  </si>
  <si>
    <t>CMR_AD_MPOX_NGU_002</t>
  </si>
  <si>
    <t>Adamaoua</t>
  </si>
  <si>
    <t>Boumdjere</t>
  </si>
  <si>
    <t>HBN</t>
  </si>
  <si>
    <t>PK17</t>
  </si>
  <si>
    <t>24V-8673</t>
  </si>
  <si>
    <t>ECOUVILLON CUTANE, ECOUVILLON OROPHARYNGE</t>
  </si>
  <si>
    <t>CMR_NO_MPOX_TOU_002</t>
  </si>
  <si>
    <t>Mafare</t>
  </si>
  <si>
    <t>CSI Mafare</t>
  </si>
  <si>
    <t>Mafare_Mbali</t>
  </si>
  <si>
    <t>24V-8797</t>
  </si>
  <si>
    <t>MAFARE</t>
  </si>
  <si>
    <t>CMR_LT_MPOX_JAP_001</t>
  </si>
  <si>
    <t>JAPOMA</t>
  </si>
  <si>
    <t>HD JAPOMA</t>
  </si>
  <si>
    <t>RAS</t>
  </si>
  <si>
    <t>Sang, ecouvillon, croutes</t>
  </si>
  <si>
    <t>CMR_NW_MPOX_BAM_001</t>
  </si>
  <si>
    <t>NGOMGBAM</t>
  </si>
  <si>
    <t>BAMENDA</t>
  </si>
  <si>
    <t>24V-08871</t>
  </si>
  <si>
    <t>CMR_LT_MPOX_CDP_003</t>
  </si>
  <si>
    <t>Etudiant</t>
  </si>
  <si>
    <t>24V-08738</t>
  </si>
  <si>
    <t>CMR_CE_MPOX_MVO_001</t>
  </si>
  <si>
    <t>MESSA</t>
  </si>
  <si>
    <t>ESSOS</t>
  </si>
  <si>
    <t>MVOG ADA</t>
  </si>
  <si>
    <t>CMR_CE_MPOX_DJO_001</t>
  </si>
  <si>
    <t>Djoungolo</t>
  </si>
  <si>
    <t>MBALLA 2</t>
  </si>
  <si>
    <t>HJH</t>
  </si>
  <si>
    <t>Mballa 2</t>
  </si>
  <si>
    <t>DJOUNGOLO</t>
  </si>
  <si>
    <t>SANG, ECOUVILLON CUTANE, CROUTE</t>
  </si>
  <si>
    <t>CMR_SU_MPOX_SAN_001</t>
  </si>
  <si>
    <t>Akonolinga</t>
  </si>
  <si>
    <t>Akonolinga Urbain</t>
  </si>
  <si>
    <t>HD AKONOLINGA</t>
  </si>
  <si>
    <t>Eden</t>
  </si>
  <si>
    <t>Sangmelima</t>
  </si>
  <si>
    <t>24V-08896</t>
  </si>
  <si>
    <t>SUD</t>
  </si>
  <si>
    <t>CMR_CE_MPOX_ESE_001</t>
  </si>
  <si>
    <t>MENAGERE</t>
  </si>
  <si>
    <t>Eseka</t>
  </si>
  <si>
    <t>MAKAK</t>
  </si>
  <si>
    <t>EPC Libamba</t>
  </si>
  <si>
    <t>LIBAMBA</t>
  </si>
  <si>
    <t>ESEKA</t>
  </si>
  <si>
    <t>douleursabdominales, absces buccaux</t>
  </si>
  <si>
    <t>ecouvillon et croutes</t>
  </si>
  <si>
    <t>CMR_CE_MPOX_DJO_002</t>
  </si>
  <si>
    <t>TONGOLO</t>
  </si>
  <si>
    <t>24V-8925</t>
  </si>
  <si>
    <t>SANG, ECOUVILLON CUTANE</t>
  </si>
  <si>
    <t>CMR_LT_MPOX_CDP_004</t>
  </si>
  <si>
    <t>VIGILE</t>
  </si>
  <si>
    <t>CMA BONAMOUSSASI</t>
  </si>
  <si>
    <t>24V-9069</t>
  </si>
  <si>
    <t>sang;ecouvillon des croutes;prelevement des lesions fraiches</t>
  </si>
  <si>
    <t>LOGBESSOU 2</t>
  </si>
  <si>
    <t>CMR_NW_MPOX_BAM_002</t>
  </si>
  <si>
    <t>NITOP</t>
  </si>
  <si>
    <t>CMR_NW_MPOX_BAM_003</t>
  </si>
  <si>
    <t>CMR_LT_MPOX_CDP_005</t>
  </si>
  <si>
    <t>24V-9068</t>
  </si>
  <si>
    <t>sang,prelelevement lesions fraiches</t>
  </si>
  <si>
    <t>CMR_CE_MPOX_BIY_001</t>
  </si>
  <si>
    <t>BIYEM-ASSI</t>
  </si>
  <si>
    <t>SIMBOC</t>
  </si>
  <si>
    <t>CM MARIE IMMACULEE</t>
  </si>
  <si>
    <t>MBANDOUMOU</t>
  </si>
  <si>
    <t>OBESITE</t>
  </si>
  <si>
    <t>MENDONG</t>
  </si>
  <si>
    <t>CMR_CE_MPOX_BIY_002</t>
  </si>
  <si>
    <t>24V-9171</t>
  </si>
  <si>
    <t>CMR_LT_MPOX_BON_001</t>
  </si>
  <si>
    <t>BONASSAMA</t>
  </si>
  <si>
    <t>BONAMIKANO</t>
  </si>
  <si>
    <t>HD BONASSAMA</t>
  </si>
  <si>
    <t>DERRIERE OLIVE SCHOOL</t>
  </si>
  <si>
    <t>24V-9256</t>
  </si>
  <si>
    <t>NT</t>
  </si>
  <si>
    <t>CMR_NO_MPOX_TOU_003</t>
  </si>
  <si>
    <t>Personnel de sante</t>
  </si>
  <si>
    <t>TOUBORO</t>
  </si>
  <si>
    <t>MAOURE</t>
  </si>
  <si>
    <t>CMR_NO_MPOX_GAR2_001</t>
  </si>
  <si>
    <t>GAROUA 2</t>
  </si>
  <si>
    <t>TAKASKO</t>
  </si>
  <si>
    <t>CSI NGALBIATE</t>
  </si>
  <si>
    <t>NGALBIDJI 2</t>
  </si>
  <si>
    <t>24V-9305</t>
  </si>
  <si>
    <t>ECOUVILLON, CROUTE, SANG</t>
  </si>
  <si>
    <t>CMR_EN_MPOX_MOZ_001</t>
  </si>
  <si>
    <t>Planteur</t>
  </si>
  <si>
    <t>MOZOGO</t>
  </si>
  <si>
    <t>GOUZDA-VREKET</t>
  </si>
  <si>
    <t>CSI GOUZDA-VREKET</t>
  </si>
  <si>
    <t>MEDEGUER</t>
  </si>
  <si>
    <t>Adénopathie inguinale et axillaire</t>
  </si>
  <si>
    <t>24V-9341</t>
  </si>
  <si>
    <t xml:space="preserve">CROUTES, ÉCOUVILLON </t>
  </si>
  <si>
    <t>Gouzda Vreket</t>
  </si>
  <si>
    <t>CMR_CE_MPOX_NDI_001</t>
  </si>
  <si>
    <t>NDIKINIMEKI</t>
  </si>
  <si>
    <t>NDOKOWANEN</t>
  </si>
  <si>
    <t>HD NDIKINIMEKI</t>
  </si>
  <si>
    <t>REGROUPEMENT</t>
  </si>
  <si>
    <t>pas encore</t>
  </si>
  <si>
    <t>adénopathie cervicale</t>
  </si>
  <si>
    <t>24V-9286</t>
  </si>
  <si>
    <t>SANG, écouvillon</t>
  </si>
  <si>
    <t>CMR_CE_MPOX_AYO_002</t>
  </si>
  <si>
    <t>NDELLE</t>
  </si>
  <si>
    <t>CSI AYOS URBAIN</t>
  </si>
  <si>
    <t>NYABEWO'O</t>
  </si>
  <si>
    <t xml:space="preserve">   R. A. S</t>
  </si>
  <si>
    <t xml:space="preserve">     R. A. S</t>
  </si>
  <si>
    <t>SANG,ecouvillons</t>
  </si>
  <si>
    <t>CMR_EN_MPOX_MAR2_001</t>
  </si>
  <si>
    <t>MAROUA 2</t>
  </si>
  <si>
    <t>LOPERE</t>
  </si>
  <si>
    <t>DJOUDANDOU</t>
  </si>
  <si>
    <t>24V-9349</t>
  </si>
  <si>
    <t>CMR_CE_MPOX_BIY_003</t>
  </si>
  <si>
    <t>HCY</t>
  </si>
  <si>
    <t>NKOLBIKOK</t>
  </si>
  <si>
    <t>CMR_EN_MPOX_MAR3_001</t>
  </si>
  <si>
    <t>MAROUA 3</t>
  </si>
  <si>
    <t>DJARENGOL KODEK</t>
  </si>
  <si>
    <t>CSPP Djarengol Kodek</t>
  </si>
  <si>
    <t>TCHALL OUDI</t>
  </si>
  <si>
    <t>24V-09562</t>
  </si>
  <si>
    <t>ECOUVILLON CUTANE, SANG, ECOUVILLON OROPHARYNGE</t>
  </si>
  <si>
    <t>KODEK</t>
  </si>
  <si>
    <t>CMR_LT_MPOX_BON_002</t>
  </si>
  <si>
    <t>CADRE</t>
  </si>
  <si>
    <t>DERRIERE LYCEE POLYVALENT</t>
  </si>
  <si>
    <t>CMR_SW_MPOX_TOM_001</t>
  </si>
  <si>
    <t>Tombel</t>
  </si>
  <si>
    <t>TOMBEL TOWN</t>
  </si>
  <si>
    <t>TOMBEL</t>
  </si>
  <si>
    <t>24V-9529</t>
  </si>
  <si>
    <t>CMR_CE_MPOX_MVO_002</t>
  </si>
  <si>
    <t>MVOG ADA 1</t>
  </si>
  <si>
    <t>DJOUNGOLO 10</t>
  </si>
  <si>
    <t>24V-09350</t>
  </si>
  <si>
    <t>CMR_CE_MPOX_CIT_003</t>
  </si>
  <si>
    <t>COMMERCANT</t>
  </si>
  <si>
    <t>HD CITE VERTE</t>
  </si>
  <si>
    <t>CMR_CE_MPOX_MVO_003</t>
  </si>
  <si>
    <t>tsinga</t>
  </si>
  <si>
    <t>ECOUVILLONS, CROUTE</t>
  </si>
  <si>
    <t>CMR_CE_MPOX_BIY_004</t>
  </si>
  <si>
    <t>CAMP SIC</t>
  </si>
  <si>
    <t>CMR_CE_MPOX_CIT_004</t>
  </si>
  <si>
    <t>BOUCHER</t>
  </si>
  <si>
    <t>MOKOLO</t>
  </si>
  <si>
    <t>MOKOLO ELOBI</t>
  </si>
  <si>
    <t>CMR_CE_MPOX_MVO_004</t>
  </si>
  <si>
    <t>NORD 2</t>
  </si>
  <si>
    <t>24V-09531</t>
  </si>
  <si>
    <t>ECOUVILLON, CROUTE</t>
  </si>
  <si>
    <t>CMR_CE_MPOX_ODZ_001</t>
  </si>
  <si>
    <t>ODZA</t>
  </si>
  <si>
    <t>CMR_CE_MPOX_NDI_002</t>
  </si>
  <si>
    <t>SANG, OROPHARYNGE</t>
  </si>
  <si>
    <t>Ndokowanen</t>
  </si>
  <si>
    <t>NON TESTE</t>
  </si>
  <si>
    <t>LNSP</t>
  </si>
  <si>
    <t>Non</t>
  </si>
  <si>
    <t>IND</t>
  </si>
  <si>
    <t>CMR_CE_MPOX_NDI_003</t>
  </si>
  <si>
    <t xml:space="preserve">Ndokobandelemac </t>
  </si>
  <si>
    <t>ECOUVILLON OROPHARYNGE</t>
  </si>
  <si>
    <t>II</t>
  </si>
  <si>
    <t>IIb</t>
  </si>
  <si>
    <t>LESIONS CUTANEES</t>
  </si>
  <si>
    <t>CMR_CE_MPOX_NDI_004</t>
  </si>
  <si>
    <t>OROPHARYNGE</t>
  </si>
  <si>
    <t>CMR_CE_MPOX_NDI_005</t>
  </si>
  <si>
    <t>NDIKITOLE</t>
  </si>
  <si>
    <t>CLADE 1</t>
  </si>
  <si>
    <t>SANG, ECOUVILLON CUTANE, ECOUVILLON OROPHARYNGE</t>
  </si>
  <si>
    <t>NDIKINEMEKI</t>
  </si>
  <si>
    <t>I</t>
  </si>
  <si>
    <t>Ib</t>
  </si>
  <si>
    <t>CMR_CE_MPOX_NDI_006</t>
  </si>
  <si>
    <t>NITOUKOU</t>
  </si>
  <si>
    <t>CMA DE NITOUKOU</t>
  </si>
  <si>
    <t>ALENG</t>
  </si>
  <si>
    <t>24V-5044</t>
  </si>
  <si>
    <t>CROUTES</t>
  </si>
  <si>
    <t>CMR_CE_MPOX_NDI_007</t>
  </si>
  <si>
    <t>KIBOUM 1</t>
  </si>
  <si>
    <t>BOUTOUROU</t>
  </si>
  <si>
    <t>CMR_CE_MPOX_NDI_008</t>
  </si>
  <si>
    <t>BOGNOMBANG</t>
  </si>
  <si>
    <t>CMR_CE_MPOX_NDI_009</t>
  </si>
  <si>
    <t>NDOKONONOHO</t>
  </si>
  <si>
    <t>CMR_CE_MPOX_NDI_010</t>
  </si>
  <si>
    <t>CMR_CE_MPOX_NDI_011</t>
  </si>
  <si>
    <t>CMR_CE_MPOX_NDI_012</t>
  </si>
  <si>
    <t>CMR_CE_MPOX_NDI_013</t>
  </si>
  <si>
    <t>CMR_CE_MPOX_NDI_014</t>
  </si>
  <si>
    <t>MENUISIER</t>
  </si>
  <si>
    <t>SANG, ECOUVILLON OROPHARYNGE</t>
  </si>
  <si>
    <t>CMR_CE_MPOX_NDI_015</t>
  </si>
  <si>
    <t>CMR_CE_MPOX_NDI_016</t>
  </si>
  <si>
    <t>CMR_CE_MPOX_AWA_001</t>
  </si>
  <si>
    <t>AWAE</t>
  </si>
  <si>
    <t>HD AWAE</t>
  </si>
  <si>
    <t>Mimbang</t>
  </si>
  <si>
    <t>Awae</t>
  </si>
  <si>
    <t>VIH</t>
  </si>
  <si>
    <t>24V-9668</t>
  </si>
  <si>
    <t>SANG, ECOUVILLON, CROUTE</t>
  </si>
  <si>
    <t>MIMBANG</t>
  </si>
  <si>
    <t>CMR_CE_MPOX_NKD_001</t>
  </si>
  <si>
    <t>TOPOGRAPHE</t>
  </si>
  <si>
    <t>EKOUNOU 1</t>
  </si>
  <si>
    <t>CH NICOLAS BANE</t>
  </si>
  <si>
    <t>MIMBOMANE</t>
  </si>
  <si>
    <t>NKOLNDONGO</t>
  </si>
  <si>
    <t>FESSSES</t>
  </si>
  <si>
    <t>24V-9669</t>
  </si>
  <si>
    <t>MIMBOMAN</t>
  </si>
  <si>
    <t>CMR_CE_MPOX_MFO_001</t>
  </si>
  <si>
    <t>NKOABANG</t>
  </si>
  <si>
    <t>MFOU</t>
  </si>
  <si>
    <t>24V-9805</t>
  </si>
  <si>
    <t>ECOUVILLON CUTANE, CROUTE</t>
  </si>
  <si>
    <t>CMR_CE_MPOX_DJO_003</t>
  </si>
  <si>
    <t>CMEFONDATION CHANTAL BIYA</t>
  </si>
  <si>
    <t>NKOZOA</t>
  </si>
  <si>
    <t>24V-9806</t>
  </si>
  <si>
    <t>CMR_AD_MPOX_MEI_001</t>
  </si>
  <si>
    <t>MEIGANGA</t>
  </si>
  <si>
    <t>HBA de Meiganga</t>
  </si>
  <si>
    <t>meiganga</t>
  </si>
  <si>
    <t>CMR_EN_MPOX_MAR2_002</t>
  </si>
  <si>
    <t>Djoulgouf</t>
  </si>
  <si>
    <t>MAYEL IBBE</t>
  </si>
  <si>
    <t>ECOUVILLON CUTANE, ECOUVILLON OROPHARYNGE, CROUTE</t>
  </si>
  <si>
    <t>BOULARE</t>
  </si>
  <si>
    <t>CMR_NO_MPOX_TCH_001</t>
  </si>
  <si>
    <t>TCHOLLIRE</t>
  </si>
  <si>
    <t>HORMBALI</t>
  </si>
  <si>
    <t>SASSA PETEL</t>
  </si>
  <si>
    <t>24V-09846</t>
  </si>
  <si>
    <t>CMR_SU_MPOX_AMB_001</t>
  </si>
  <si>
    <t>AMBAM</t>
  </si>
  <si>
    <t>MEFOUP</t>
  </si>
  <si>
    <t>MBELEMAN</t>
  </si>
  <si>
    <t>SANG, CROUTE</t>
  </si>
  <si>
    <t>CMR_NO_MPOX_TCH_002</t>
  </si>
  <si>
    <t>24V-09845</t>
  </si>
  <si>
    <t>CMR_SU_MPOX_AMB_002</t>
  </si>
  <si>
    <t>CMR_NO_MPOX_TCH_003</t>
  </si>
  <si>
    <t>CMR_LT_MPOX_LOG_002</t>
  </si>
  <si>
    <t>LOGBABA</t>
  </si>
  <si>
    <t>NDOGPASSI 2</t>
  </si>
  <si>
    <t>24V-09986</t>
  </si>
  <si>
    <t>CMR_NO_MPOX_GUI_001</t>
  </si>
  <si>
    <t>GUIDER</t>
  </si>
  <si>
    <t>MATAFAL</t>
  </si>
  <si>
    <t>24V-10115</t>
  </si>
  <si>
    <t>ECOUVILLON VASICULE</t>
  </si>
  <si>
    <t>CMR_CE_MPOX_CIT_005</t>
  </si>
  <si>
    <t>24V-10114</t>
  </si>
  <si>
    <t>CMR_ES_MPOX_MBA_001</t>
  </si>
  <si>
    <t>EST</t>
  </si>
  <si>
    <t>BERTOUA</t>
  </si>
  <si>
    <t>CHR BERTOUA</t>
  </si>
  <si>
    <t>MBANG CBEC</t>
  </si>
  <si>
    <t>MBANG</t>
  </si>
  <si>
    <t>24V-10151</t>
  </si>
  <si>
    <t>ECOUVILLON CUTANE, ECOUVILLON, CROUTE</t>
  </si>
  <si>
    <t>MBANG SUD</t>
  </si>
  <si>
    <t>CMR_ES_MPOX_MBA_002</t>
  </si>
  <si>
    <t>24V-10150</t>
  </si>
  <si>
    <t>ECOUVILLON CUTANE, ECOUVILLON</t>
  </si>
  <si>
    <t>CMR_ES_MPOX_MBA_003</t>
  </si>
  <si>
    <t>COIFFEUR</t>
  </si>
  <si>
    <t>24V-10152</t>
  </si>
  <si>
    <t>CMR_CE_MPOX_ODZ_002</t>
  </si>
  <si>
    <t>24V-10291</t>
  </si>
  <si>
    <t>CMR_CE_MPOX_DJO_004</t>
  </si>
  <si>
    <t>CHAUFFEUR</t>
  </si>
  <si>
    <t>TSINGA VILLAGE</t>
  </si>
  <si>
    <t>FONDATION MERE MARTINE</t>
  </si>
  <si>
    <t>MAISON NKOLNDONGO</t>
  </si>
  <si>
    <t>24V-10210</t>
  </si>
  <si>
    <t>CMR_CE_MPOX_OKO_001</t>
  </si>
  <si>
    <t>MECANICIEN</t>
  </si>
  <si>
    <t>HDCV</t>
  </si>
  <si>
    <t>LEBOUDI</t>
  </si>
  <si>
    <t>OKOLA</t>
  </si>
  <si>
    <t>24V-10404</t>
  </si>
  <si>
    <t>CMR_LT_MPOX_CDP_006</t>
  </si>
  <si>
    <t>24V-10486</t>
  </si>
  <si>
    <t>CMR_ES_MPOX_KET_001</t>
  </si>
  <si>
    <t>KETTE</t>
  </si>
  <si>
    <t>24V-10480</t>
  </si>
  <si>
    <t>CMR_CE_MPOX_DJO_005</t>
  </si>
  <si>
    <t>CS CORDIAL</t>
  </si>
  <si>
    <t>24V-10461</t>
  </si>
  <si>
    <t>CMR_NW_MPOX_BAM_004</t>
  </si>
  <si>
    <t>ARTISTE</t>
  </si>
  <si>
    <t>REGIONAL HOSPITAL BAMENDA</t>
  </si>
  <si>
    <t>MAKUMA</t>
  </si>
  <si>
    <t>CONJONCTIVITE</t>
  </si>
  <si>
    <t>24V-10562</t>
  </si>
  <si>
    <t>CMR_CE_MPOX_NDI_017</t>
  </si>
  <si>
    <t>ILOBI</t>
  </si>
  <si>
    <t>24V-10536</t>
  </si>
  <si>
    <t>CMR_CE_MPOX_NGO_001</t>
  </si>
  <si>
    <t>NGOG-MAPUBI</t>
  </si>
  <si>
    <t>MATOMB</t>
  </si>
  <si>
    <t>CMA MATOMB</t>
  </si>
  <si>
    <t>24V-10535</t>
  </si>
  <si>
    <t>CMR_CE_MPOX_NKD_002</t>
  </si>
  <si>
    <t>CMR_CE_MPOX_AYO_003</t>
  </si>
  <si>
    <t>FANG BILOUN</t>
  </si>
  <si>
    <t>24V-10747</t>
  </si>
  <si>
    <t>CMR_LT_MPOX_CDP_007</t>
  </si>
  <si>
    <t>Nyalla-CP</t>
  </si>
  <si>
    <t>PK10</t>
  </si>
  <si>
    <t>24V-10666</t>
  </si>
  <si>
    <t>DIKAHE</t>
  </si>
  <si>
    <t>CMR_NO_MPOX_TCH_004</t>
  </si>
  <si>
    <t>DJABA</t>
  </si>
  <si>
    <t>MAMGUENWA</t>
  </si>
  <si>
    <t>24V-10748</t>
  </si>
  <si>
    <t>CMR_CE_MPOX_NGO_002</t>
  </si>
  <si>
    <t>24V-10895</t>
  </si>
  <si>
    <t>CMR_SW_MPOX_LIM_003</t>
  </si>
  <si>
    <t>CHARPENTIER</t>
  </si>
  <si>
    <t>TIKO</t>
  </si>
  <si>
    <t>MUTENGENE</t>
  </si>
  <si>
    <t>BAPTIST HOSPITAL MUTENGENE</t>
  </si>
  <si>
    <t>CASSAWA FARM</t>
  </si>
  <si>
    <t>24V-10896</t>
  </si>
  <si>
    <t>BOTA</t>
  </si>
  <si>
    <t>CMR_CE_MPOX_DJO_006</t>
  </si>
  <si>
    <t>EFOULAN</t>
  </si>
  <si>
    <t>NSIMEYONG 1</t>
  </si>
  <si>
    <t>FONDATION GRACE DIVINE</t>
  </si>
  <si>
    <t>SANTA BARBARA</t>
  </si>
  <si>
    <t>24V-11081</t>
  </si>
  <si>
    <t>EMANA</t>
  </si>
  <si>
    <t>CMR_CE_MPOX_NDI_018</t>
  </si>
  <si>
    <t>Boutourou</t>
  </si>
  <si>
    <t>KIBOUM</t>
  </si>
  <si>
    <t>24V-11080</t>
  </si>
  <si>
    <t>CMR_SW_MPOX_MBO_011</t>
  </si>
  <si>
    <t>Sud_OuEST</t>
  </si>
  <si>
    <t>Community</t>
  </si>
  <si>
    <t>Banjare</t>
  </si>
  <si>
    <t>29/10/2024</t>
  </si>
  <si>
    <t>24V-11615</t>
  </si>
  <si>
    <t>CMR_SW_MPOX_MBO_012</t>
  </si>
  <si>
    <t>Dikome</t>
  </si>
  <si>
    <t>24V-11616</t>
  </si>
  <si>
    <t>CMR_SW_MPOX_MBO_013</t>
  </si>
  <si>
    <t>24V-11617</t>
  </si>
  <si>
    <t>CMR_LT_MPOX_CDP_008</t>
  </si>
  <si>
    <t>Ndogbong-CP</t>
  </si>
  <si>
    <t>24V-11576</t>
  </si>
  <si>
    <t>CMR_SW_MPOX_KUS_001</t>
  </si>
  <si>
    <t>KUMBA SOUTH</t>
  </si>
  <si>
    <t>24V-11543</t>
  </si>
  <si>
    <t>CMR_NW_MPOX_NJI_003</t>
  </si>
  <si>
    <t>KUTTIN</t>
  </si>
  <si>
    <t>kuttin (EKLABA)</t>
  </si>
  <si>
    <t>CMR_SW_MPOX_TIK_001</t>
  </si>
  <si>
    <t>Tiko</t>
  </si>
  <si>
    <t>24V-12248</t>
  </si>
  <si>
    <t>CMR_SW_MPOX_MBO_014</t>
  </si>
  <si>
    <t>Boa Balondo</t>
  </si>
  <si>
    <t>ecouvillon</t>
  </si>
  <si>
    <t>Nigeriane</t>
  </si>
  <si>
    <t>CMR_SW_MPOX_MBO_015</t>
  </si>
  <si>
    <t>CMR_SW_MPOX_MBO_016</t>
  </si>
  <si>
    <t>CMR_SW_MPOX_MBO_017</t>
  </si>
  <si>
    <t>CMR_SW_MPOX_MBO_018</t>
  </si>
  <si>
    <t>CMR_SW_MPOX_MBO_019</t>
  </si>
  <si>
    <t>BONGARE</t>
  </si>
  <si>
    <t>24V-12690</t>
  </si>
  <si>
    <t>CMR_SW_MPOX_MBO_020</t>
  </si>
  <si>
    <t>24V-12688</t>
  </si>
  <si>
    <t>CMR_SW_MPOX_MBO_021</t>
  </si>
  <si>
    <t>CMR_SW_MPOX_MBO_022</t>
  </si>
  <si>
    <t>24V-12689</t>
  </si>
  <si>
    <t>CMR_CE_MPOX_AKO_001</t>
  </si>
  <si>
    <t>NKOZE</t>
  </si>
  <si>
    <t>MEKONO</t>
  </si>
  <si>
    <t>AKONOLINGA</t>
  </si>
  <si>
    <t>24V-12527</t>
  </si>
  <si>
    <t>CMR_CE_MPOX_MBA_001</t>
  </si>
  <si>
    <t>MBANKOMO</t>
  </si>
  <si>
    <t>MBANKOMO 1</t>
  </si>
  <si>
    <t>HD DE MBANKOMO</t>
  </si>
  <si>
    <t>NOMAYOS</t>
  </si>
  <si>
    <t>24V-12528</t>
  </si>
  <si>
    <t>ECOUVILLON</t>
  </si>
  <si>
    <t>CMR_LT_MPOX_MAN_001</t>
  </si>
  <si>
    <t>FUMEUSE DE POISSON</t>
  </si>
  <si>
    <t>MANOKA</t>
  </si>
  <si>
    <t>CAP CAMEROUN</t>
  </si>
  <si>
    <t>24V-12555</t>
  </si>
  <si>
    <t>CMR_LT_MPOX_MAN_002</t>
  </si>
  <si>
    <t>MARCHE</t>
  </si>
  <si>
    <t>24V-12541</t>
  </si>
  <si>
    <t>CMR_LT_MPOX_MAN_003</t>
  </si>
  <si>
    <t>24V-12554</t>
  </si>
  <si>
    <t>CMR_CE_MPOX_CIT_006</t>
  </si>
  <si>
    <t>MILLITAIRE</t>
  </si>
  <si>
    <t>ELIG-EFFA</t>
  </si>
  <si>
    <t>CHUY</t>
  </si>
  <si>
    <t>BRIQUETTERIE</t>
  </si>
  <si>
    <t>24V-12553</t>
  </si>
  <si>
    <t>TCHADIEN</t>
  </si>
  <si>
    <t>CMR_CE_MPOX_MFO_002</t>
  </si>
  <si>
    <t>ASC</t>
  </si>
  <si>
    <t>NSIMALEN</t>
  </si>
  <si>
    <t>24V-12740</t>
  </si>
  <si>
    <t>CMR_NO_MPOX_TCH_005</t>
  </si>
  <si>
    <t>24V-12696</t>
  </si>
  <si>
    <t>CMR_CE_MPOX_NGO_003</t>
  </si>
  <si>
    <t>MANDOUMBA</t>
  </si>
  <si>
    <t>LINGONGOG</t>
  </si>
  <si>
    <t>24V-13199</t>
  </si>
  <si>
    <t>MANDOUMA</t>
  </si>
  <si>
    <t>CMR_CE_MPOX_NGO_004</t>
  </si>
  <si>
    <t>24V-13198</t>
  </si>
  <si>
    <t>CMR_CE_MPOX_NGO_005</t>
  </si>
  <si>
    <t>BOT-MAKAK</t>
  </si>
  <si>
    <t>HD BOT-MAKAK</t>
  </si>
  <si>
    <t>24V-12989</t>
  </si>
  <si>
    <t>CMR_SW_MPOX_TOM_002</t>
  </si>
  <si>
    <t>SUD_OUEST</t>
  </si>
  <si>
    <t>EBONJI</t>
  </si>
  <si>
    <t xml:space="preserve"> </t>
  </si>
  <si>
    <t>24V-13059</t>
  </si>
  <si>
    <t>CMR_SW_MPOX_TOM_003</t>
  </si>
  <si>
    <t>24V-13060</t>
  </si>
  <si>
    <t>CMR_SW_MPOX_TOM_004</t>
  </si>
  <si>
    <t>24V-13061</t>
  </si>
  <si>
    <t>CMR_SW_MPOX_MBO_023</t>
  </si>
  <si>
    <t>Kotto Barombi</t>
  </si>
  <si>
    <t>24V-13097</t>
  </si>
  <si>
    <t>CMR_SW_MPOX_MBO_024</t>
  </si>
  <si>
    <t>24V-13098</t>
  </si>
  <si>
    <t>CMR_SW_MPOX_MBO_025</t>
  </si>
  <si>
    <t>24V-12687</t>
  </si>
  <si>
    <t>CMR_CE_MPOX_NGO_006</t>
  </si>
  <si>
    <t>24V-13200</t>
  </si>
  <si>
    <t>CMR_NW_MPOX_BAF_002</t>
  </si>
  <si>
    <t>24V-13290</t>
  </si>
  <si>
    <t>SANG, CROUTE, ECOUVILLON</t>
  </si>
  <si>
    <t>CMR_NW_MPOX_BAF_003</t>
  </si>
  <si>
    <t>24V-13289</t>
  </si>
  <si>
    <t>SANG, ECOUVILLON</t>
  </si>
  <si>
    <t>CMR_LT_MPOX_POU_001</t>
  </si>
  <si>
    <t>POUMA</t>
  </si>
  <si>
    <t>NKONGA</t>
  </si>
  <si>
    <t>CMR_CE_MPOX_EBE_001</t>
  </si>
  <si>
    <t>CREUSEUR DE SABLE</t>
  </si>
  <si>
    <t>EBEBDA</t>
  </si>
  <si>
    <t>DJOUNYAT</t>
  </si>
  <si>
    <t>NOTRE DAME DU BON SECOURS</t>
  </si>
  <si>
    <t>25V-0057</t>
  </si>
  <si>
    <t>SANG, ECOUVILLON OROPHARYNGE, CROUTE</t>
  </si>
  <si>
    <t>CMR_NW_MPOX_BAM_005</t>
  </si>
  <si>
    <t>24V-13596</t>
  </si>
  <si>
    <t>CMR_SW_MPOX_KUS_002</t>
  </si>
  <si>
    <t>KUMBA</t>
  </si>
  <si>
    <t>25V-1221</t>
  </si>
  <si>
    <t>kumba</t>
  </si>
  <si>
    <t>CMR_SW_MPOX_KUS_003</t>
  </si>
  <si>
    <t>25V-1217</t>
  </si>
  <si>
    <t>CMR_SW_MPOX_KUS_004</t>
  </si>
  <si>
    <t xml:space="preserve">KUMBA </t>
  </si>
  <si>
    <t>25V-1218</t>
  </si>
  <si>
    <t>CMR_SW_MPOX_KUS_005</t>
  </si>
  <si>
    <t>NPHL-MPOX-S144</t>
  </si>
  <si>
    <t>CMR_SW_MPOX_KUS_006</t>
  </si>
  <si>
    <t>CMR_SW_MPOX_KUS_007</t>
  </si>
  <si>
    <t>25V-0381</t>
  </si>
  <si>
    <t>CMR_EN_MPOX_GOU_001</t>
  </si>
  <si>
    <t>COUTURIER</t>
  </si>
  <si>
    <t>GOULFEY</t>
  </si>
  <si>
    <t>CMR_EN_MPOX_GOU_002</t>
  </si>
  <si>
    <t>CMR_NW_MPOX_BAT_001</t>
  </si>
  <si>
    <t>BATIBO</t>
  </si>
  <si>
    <t>BIFANG</t>
  </si>
  <si>
    <t>25V-0530</t>
  </si>
  <si>
    <t>CMR_NW_MPOX_BAT_002</t>
  </si>
  <si>
    <t>25V-0529</t>
  </si>
  <si>
    <t>CMR_CE_MPOX_EFO_001</t>
  </si>
  <si>
    <t>NFANDENA</t>
  </si>
  <si>
    <t>25V-0764</t>
  </si>
  <si>
    <t>CMR_SW_MPOX_TIK_002</t>
  </si>
  <si>
    <t>25V-0726</t>
  </si>
  <si>
    <t>CMR_CE_MPOX_EFO_002</t>
  </si>
  <si>
    <t>25V-0820</t>
  </si>
  <si>
    <t>CMR_SW_MPOX_MBO_026</t>
  </si>
  <si>
    <t>25V-0993</t>
  </si>
  <si>
    <t>CMR_SW_MPOX_MBO_027</t>
  </si>
  <si>
    <t>25V-0992</t>
  </si>
  <si>
    <t>CMR_OU_MPOX_BAH_001</t>
  </si>
  <si>
    <t>OUEST</t>
  </si>
  <si>
    <t>BAHAM</t>
  </si>
  <si>
    <t>Bahiala Cheffou</t>
  </si>
  <si>
    <t>HD BAHAM</t>
  </si>
  <si>
    <t>25V-1410</t>
  </si>
  <si>
    <t>CMR_CE_MPOX_NKO_001</t>
  </si>
  <si>
    <t>STAGIAIRE BUREAUTIQUE</t>
  </si>
  <si>
    <t>NKOLBISSON</t>
  </si>
  <si>
    <t>OYOMABANG</t>
  </si>
  <si>
    <t>CLINIQUE LA PASSERELLE</t>
  </si>
  <si>
    <t>25V-1478</t>
  </si>
  <si>
    <t>CMR_OU_MPOX_MIF_001</t>
  </si>
  <si>
    <t>MIFI</t>
  </si>
  <si>
    <t>FAMLA</t>
  </si>
  <si>
    <t>25V-1411</t>
  </si>
  <si>
    <t>CMR_NW_MPOX_WUM_001</t>
  </si>
  <si>
    <t>WUM</t>
  </si>
  <si>
    <t>WUM URBAIN</t>
  </si>
  <si>
    <t>25V-1585</t>
  </si>
  <si>
    <t>SERUM</t>
  </si>
  <si>
    <t>CMR_NO_MPOX_FIG_001</t>
  </si>
  <si>
    <t>FIGUIL</t>
  </si>
  <si>
    <t>HD FIGUIL</t>
  </si>
  <si>
    <t>25V-1460</t>
  </si>
  <si>
    <t>CMR_LT_MPOX_JAP_002</t>
  </si>
  <si>
    <t>25V-1965</t>
  </si>
  <si>
    <t>CMR_SW_MPOX_MBO_028</t>
  </si>
  <si>
    <t>FEMME DE MAISON</t>
  </si>
  <si>
    <t>CMR_SW_MPOX_MBO_029</t>
  </si>
  <si>
    <t>CMR_SW_MPOX_KUS_008</t>
  </si>
  <si>
    <t>kumba south</t>
  </si>
  <si>
    <t>CMR_SW_MPOX_MBO_030</t>
  </si>
  <si>
    <t>25V-2146</t>
  </si>
  <si>
    <t>CMR_CE_MPOX_EFO_003</t>
  </si>
  <si>
    <t>EFOULAN 2</t>
  </si>
  <si>
    <t>25V-2419</t>
  </si>
  <si>
    <t>CMR_SW_MPOX_MBO_031</t>
  </si>
  <si>
    <t>KAMBONE</t>
  </si>
  <si>
    <t>25V-02464</t>
  </si>
  <si>
    <t>CMR_SW_MPOX_MBO_032</t>
  </si>
  <si>
    <t>25V-02463</t>
  </si>
  <si>
    <t>CMR_NO_MPOX_GAR1_001</t>
  </si>
  <si>
    <t>VIVANT</t>
  </si>
  <si>
    <t>GAROUA 1</t>
  </si>
  <si>
    <t>OURO-LABBO</t>
  </si>
  <si>
    <t>25V-02769</t>
  </si>
  <si>
    <t>OURO LABBO</t>
  </si>
  <si>
    <t>CMR_SW_MPOX_TIK_003</t>
  </si>
  <si>
    <t>25V-03112</t>
  </si>
  <si>
    <t>CMR_NW_MPOX_OKU_001</t>
  </si>
  <si>
    <t>OKU</t>
  </si>
  <si>
    <t>25V-02811</t>
  </si>
  <si>
    <t>CMR_NW_MPOX_FUN_001</t>
  </si>
  <si>
    <t>FUNDONG</t>
  </si>
  <si>
    <t>25V-03369</t>
  </si>
  <si>
    <t>CMR_CE_MPOX_BIY_005</t>
  </si>
  <si>
    <t>MVOG-BETSI</t>
  </si>
  <si>
    <t>ST AUCELESTIN</t>
  </si>
  <si>
    <t>CMR_LT_MPOX_NEW_001</t>
  </si>
  <si>
    <t>POLICIER</t>
  </si>
  <si>
    <t>NEWBELL</t>
  </si>
  <si>
    <t>CAMP YABASSI</t>
  </si>
  <si>
    <t>BOIS DE SINGE</t>
  </si>
  <si>
    <t>CMR_OU_MPOX_MBO_001</t>
  </si>
  <si>
    <t>MBOUDA</t>
  </si>
  <si>
    <t>MBOUDA OUEST</t>
  </si>
  <si>
    <t>CMR_CE_MPOX_DJO_007</t>
  </si>
  <si>
    <t>25V-04993</t>
  </si>
  <si>
    <t>OLEMBE</t>
  </si>
  <si>
    <t>CMR_SW_MPOX_KUS_009</t>
  </si>
  <si>
    <t>KUMBA ROAD</t>
  </si>
  <si>
    <t>CMR_NW_MPOX_NDO_001</t>
  </si>
  <si>
    <t>NDOP</t>
  </si>
  <si>
    <t>25V-05928</t>
  </si>
  <si>
    <t>BAMENKA</t>
  </si>
  <si>
    <t>CMR_NW_MPOX_BAM_006</t>
  </si>
  <si>
    <t>25V-06489</t>
  </si>
  <si>
    <t>CMR_SU_MPOX_AMB_003</t>
  </si>
  <si>
    <t>25V-06376</t>
  </si>
  <si>
    <t>CMR_CE_MPOX_AYO_004</t>
  </si>
  <si>
    <t>NYAMVOUDOU</t>
  </si>
  <si>
    <t>CMR_CE_MPOX_AYO_005</t>
  </si>
  <si>
    <t>MBAKA</t>
  </si>
  <si>
    <t>CSI MBAKA</t>
  </si>
  <si>
    <t>25V-08041</t>
  </si>
  <si>
    <t>ECOUVILLON/SANG</t>
  </si>
  <si>
    <t>NNEMEYONG</t>
  </si>
  <si>
    <t>Ia</t>
  </si>
  <si>
    <t>CMR_CE_MPOX_AYO_006</t>
  </si>
  <si>
    <t>ENSEIGNANT</t>
  </si>
  <si>
    <t>25V-8192</t>
  </si>
  <si>
    <t>CMR_CE_MPOX_AYO_007</t>
  </si>
  <si>
    <t>25V-8193</t>
  </si>
  <si>
    <t>CMR_CE_MPOX_AYO_008</t>
  </si>
  <si>
    <t>SALLA</t>
  </si>
  <si>
    <t>CSI SALLA</t>
  </si>
  <si>
    <t>25V-08752</t>
  </si>
  <si>
    <t>CMR_CE_MPOX_AYO_009</t>
  </si>
  <si>
    <t>Ndélé</t>
  </si>
  <si>
    <t>CSI NDELLE</t>
  </si>
  <si>
    <t>25V-08751</t>
  </si>
  <si>
    <t>CMR_SU_MPOX_KRI_001</t>
  </si>
  <si>
    <t>TRANSPORTEUR</t>
  </si>
  <si>
    <t>KRIBI</t>
  </si>
  <si>
    <t>GRAND BATANGA</t>
  </si>
  <si>
    <t>HOPITAL D'EBOME</t>
  </si>
  <si>
    <t>25V-08821</t>
  </si>
  <si>
    <t>AFAN MABE</t>
  </si>
  <si>
    <t>CMR_CE_MPOX_AYO_010</t>
  </si>
  <si>
    <t>25V-09048</t>
  </si>
  <si>
    <t>656 19 15 25</t>
  </si>
  <si>
    <t>CMR_SW_MPOX_TOM_005</t>
  </si>
  <si>
    <t>25V-09113</t>
  </si>
  <si>
    <t>CMR_NW_MPOX_BAM_007</t>
  </si>
  <si>
    <t>25V-10114</t>
  </si>
  <si>
    <t>CMR_SW_MPOX_MBO_033</t>
  </si>
  <si>
    <t>CMR_SW_MPOX_MBO_034</t>
  </si>
  <si>
    <t>CMR_SW_MPOX_MBO_035</t>
  </si>
  <si>
    <t>CMR_SW_MPOX_MBO_036</t>
  </si>
  <si>
    <t>CMR_SW_MPOX_MBO_037</t>
  </si>
  <si>
    <t>CMR_NO_MPOX_TCH_006</t>
  </si>
  <si>
    <t>CSI BAOUSSI</t>
  </si>
  <si>
    <t>BAOUSSI</t>
  </si>
  <si>
    <t>CMR_CE_MPOX_AYO_011</t>
  </si>
  <si>
    <t xml:space="preserve">Efoufoup </t>
  </si>
  <si>
    <t>Oui</t>
  </si>
  <si>
    <t>Efoufoup</t>
  </si>
  <si>
    <t>CMR_CE_MPOX_AYO_012</t>
  </si>
  <si>
    <t>Kobdombo</t>
  </si>
  <si>
    <t>CMR_CE_MPOX_AYO_013</t>
  </si>
  <si>
    <t>NON (Ech non conforme)</t>
  </si>
  <si>
    <t>CMR_CE_MPOX_AYO_014</t>
  </si>
  <si>
    <t xml:space="preserve">Ayos urbain </t>
  </si>
  <si>
    <t>Ayos urbain</t>
  </si>
  <si>
    <t>CMR_CE_MPOX_AYO_015</t>
  </si>
  <si>
    <t xml:space="preserve">Ayos Urbain </t>
  </si>
  <si>
    <t>CMR_CE_MPOX_AYO_016</t>
  </si>
  <si>
    <t>Enfant</t>
  </si>
  <si>
    <t>Mbaka</t>
  </si>
  <si>
    <t>CMR_CE_MPOX_AYO_017</t>
  </si>
  <si>
    <t>NSP/DNK</t>
  </si>
  <si>
    <t>CMR_NW_MPOX_NJI_004</t>
  </si>
  <si>
    <t>JAMBE</t>
  </si>
  <si>
    <t>CMR_NW_MPOX_NJI_005</t>
  </si>
  <si>
    <t>CMR_NW_MPOX_NJI_006</t>
  </si>
  <si>
    <t>CMR_NW_MPOX_NJI_007</t>
  </si>
  <si>
    <t>CMR_NW_MPOX_NJI_008</t>
  </si>
  <si>
    <t>CMR_NW_MPOX_NJI_009</t>
  </si>
  <si>
    <t>CMR_SU_MPOX_KRI_002</t>
  </si>
  <si>
    <t>HOPITAL EBOME DE KRIBI</t>
  </si>
  <si>
    <t>MAKAWOU</t>
  </si>
  <si>
    <t>25V-11503</t>
  </si>
  <si>
    <t>CMR_SW_MPOX_TIK_004</t>
  </si>
  <si>
    <t>CMR_NW_MPOX_NJI_010</t>
  </si>
  <si>
    <t>25V-11739</t>
  </si>
  <si>
    <t>CMR_SW_MPOX_AKW_001</t>
  </si>
  <si>
    <t>AKWAYA</t>
  </si>
  <si>
    <t>NPHL-MPOX-S2</t>
  </si>
  <si>
    <t>CMR_LT_MPOX_CDP_009</t>
  </si>
  <si>
    <t>METIER DE COMMUNICATION</t>
  </si>
  <si>
    <t>HD CITE DES PALMIERS</t>
  </si>
  <si>
    <t>PK13</t>
  </si>
  <si>
    <t>ECOUVILLON, SANG, CROUTE</t>
  </si>
  <si>
    <t>SODIKOMBO</t>
  </si>
  <si>
    <t>LAQUINTINIE</t>
  </si>
  <si>
    <t>CMR_SW_MPOX_BAM_001</t>
  </si>
  <si>
    <t>BAMUSSO</t>
  </si>
  <si>
    <t>CMR_LT_MPOX_LOG_003</t>
  </si>
  <si>
    <t>Logbaba centre</t>
  </si>
  <si>
    <t>CMR_LT_MPOX_NEW_002</t>
  </si>
  <si>
    <t>NEWBELL BAMILEKE</t>
  </si>
  <si>
    <t>NEWBELL ANCIEN ETAGE</t>
  </si>
  <si>
    <t>SEBENJONGO</t>
  </si>
  <si>
    <t>CMR_NW_MPOX_BAT_003</t>
  </si>
  <si>
    <t>WIDIKUM</t>
  </si>
  <si>
    <t>CMR_LT_MPOX_BON_003</t>
  </si>
  <si>
    <t>PLASMA, CROUTE</t>
  </si>
  <si>
    <t>NGWELE</t>
  </si>
  <si>
    <t>HLD</t>
  </si>
  <si>
    <t>CMR_LT_MPOX_ABO_001</t>
  </si>
  <si>
    <t>ABO</t>
  </si>
  <si>
    <t>SOUZA</t>
  </si>
  <si>
    <t>CMR_LT_MPOX_DEI_001</t>
  </si>
  <si>
    <t>CHEMINOT</t>
  </si>
  <si>
    <t>DEIDO</t>
  </si>
  <si>
    <t>NEW DEIDO</t>
  </si>
  <si>
    <t>CMR_LT_MPOX_DEI_002</t>
  </si>
  <si>
    <t>GRAND MOULIN</t>
  </si>
  <si>
    <t>CROUTE, ECOUVILLON, SANG</t>
  </si>
  <si>
    <t>CMR_LT_MPOX_DEI_003</t>
  </si>
  <si>
    <t>PHOTOGRAPHE</t>
  </si>
  <si>
    <t>VIH/SIDA</t>
  </si>
  <si>
    <t>Contact de Nkwayep Youfang</t>
  </si>
  <si>
    <t>PROBABLE</t>
  </si>
  <si>
    <t>CMR_SW_MPOX_AKW_002</t>
  </si>
  <si>
    <t>AKWA</t>
  </si>
  <si>
    <t>CMR_SW_MPOX_AKW_003</t>
  </si>
  <si>
    <t>Akwaya</t>
  </si>
  <si>
    <t>Contact de EA</t>
  </si>
  <si>
    <t>CMR_SW_MPOX_AKW_004</t>
  </si>
  <si>
    <t>Akwa</t>
  </si>
  <si>
    <t>Sang, ecuvillonage</t>
  </si>
  <si>
    <t>CMR_SW_MPOX_AKW_005</t>
  </si>
  <si>
    <t>CMR_SW_MPOX_AKW_006</t>
  </si>
  <si>
    <t>CMR_SW_MPOX_AKW_007</t>
  </si>
  <si>
    <t>CMR_SW_MPOX_AKW_008</t>
  </si>
  <si>
    <t>LESSIONS CUTANEES</t>
  </si>
  <si>
    <t>CMR_SW_MPOX_AKW_009</t>
  </si>
  <si>
    <t>CMR_SW_MPOX_AKW_010</t>
  </si>
  <si>
    <t>CMR_SW_MPOX_AKW_011</t>
  </si>
  <si>
    <t>AMEH</t>
  </si>
  <si>
    <t>CMR_SW_MPOX_AKW_012</t>
  </si>
  <si>
    <t>CMR_CE_MPOX_AYO_018</t>
  </si>
  <si>
    <t>AYOS URBAIN</t>
  </si>
  <si>
    <t>EBABODO</t>
  </si>
  <si>
    <t>CMR_LT_MPOX_DEI_004</t>
  </si>
  <si>
    <t>Bepanda TSF</t>
  </si>
  <si>
    <t>CMA Bepanda</t>
  </si>
  <si>
    <t>Sic cacao</t>
  </si>
  <si>
    <t>CMR_LT_MPOX_DEI_005</t>
  </si>
  <si>
    <t>Bepanda tapis rouge</t>
  </si>
  <si>
    <t>CMR_LT_MPOX_DEI_006</t>
  </si>
  <si>
    <t>Bepanda boulangerie de la paix</t>
  </si>
  <si>
    <t>CMR_LT_MPOX_DEI_007</t>
  </si>
  <si>
    <t>CMR_LT_MPOX_NYL_001</t>
  </si>
  <si>
    <t>Village</t>
  </si>
  <si>
    <t>CMR_LT_MPOX_JAP_003</t>
  </si>
  <si>
    <t>Cite sic</t>
  </si>
  <si>
    <t>Hopital protestant Cité sic</t>
  </si>
  <si>
    <t>Nyalla Pariso</t>
  </si>
  <si>
    <t>japoma</t>
  </si>
  <si>
    <t>CMR_LT_MPOX_DEI_008</t>
  </si>
  <si>
    <t>Ndog-Passi</t>
  </si>
  <si>
    <t>CMR_LT_MPOX_DEI_009</t>
  </si>
  <si>
    <t>Cité SIC</t>
  </si>
  <si>
    <t>CMR_LT_MPOX_DEI_010</t>
  </si>
  <si>
    <t>Ange Raphael</t>
  </si>
  <si>
    <t>CMR_LT_MPOX_DEI_011</t>
  </si>
  <si>
    <t>BP Cité</t>
  </si>
  <si>
    <t>CMR_LT_MPOX_NYL_002</t>
  </si>
  <si>
    <t>CMR_LT_MPOX_DEI_012</t>
  </si>
  <si>
    <t>Deido</t>
  </si>
  <si>
    <t>HD Deido</t>
  </si>
  <si>
    <t>Rue kotto</t>
  </si>
  <si>
    <t>CMR_LT_MPOX_DEI_013</t>
  </si>
  <si>
    <t>Akwa Nord</t>
  </si>
  <si>
    <t>CMR_LT_MPOX_DEI_014</t>
  </si>
  <si>
    <t>CMR_LT_MPOX_BAN_003</t>
  </si>
  <si>
    <t>Makepe</t>
  </si>
  <si>
    <t>LOGPOM MAKEPE</t>
  </si>
  <si>
    <t>CMR_LT_MPOX_BAN_004</t>
  </si>
  <si>
    <t>CMR_LT_MPOX_DEI_015</t>
  </si>
  <si>
    <t>CMR_LT_MPOX_DEI_016</t>
  </si>
  <si>
    <t>CMA Cité Sic</t>
  </si>
  <si>
    <t>Cité Sic</t>
  </si>
  <si>
    <t>CMR_LT_MPOX_CDP_010</t>
  </si>
  <si>
    <t>GENIE MADIBA</t>
  </si>
  <si>
    <t>JAPOMA SOUS-MANGUIER</t>
  </si>
  <si>
    <t xml:space="preserve">ZONE ANALE, VISAGE, </t>
  </si>
  <si>
    <t>CMR_LT_MPOX_BOK_001</t>
  </si>
  <si>
    <t>BOKO</t>
  </si>
  <si>
    <t>699677484/677524081</t>
  </si>
  <si>
    <t>Bobongo</t>
  </si>
  <si>
    <t>CMR_SW_MPOX_TOM_006</t>
  </si>
  <si>
    <t>LOUM</t>
  </si>
  <si>
    <t>HD DE LOUM</t>
  </si>
  <si>
    <t>CMR_LT_MPOX_JAP_004</t>
  </si>
  <si>
    <t>HD japoma</t>
  </si>
  <si>
    <t>CMR_LT_MPOX_JAP_005</t>
  </si>
  <si>
    <t>CMR_LT_MPOX_JAP_006</t>
  </si>
  <si>
    <t>Yassa</t>
  </si>
  <si>
    <t>CMA dibamba</t>
  </si>
  <si>
    <t>CMR_LT_MPOX_JAP_007</t>
  </si>
  <si>
    <t>CMR_LT_MPOX_CDP_011</t>
  </si>
  <si>
    <t>BRAS, JAMBE</t>
  </si>
  <si>
    <t>CMR_LT_MPOX_CDP_012</t>
  </si>
  <si>
    <t>TRONC, VISAGE</t>
  </si>
  <si>
    <t>CMR_LT_MPOX_LOG_004</t>
  </si>
  <si>
    <t>Ndokoti</t>
  </si>
  <si>
    <t>CMA Ndokoti</t>
  </si>
  <si>
    <t>Pk 8 (ESG Campus À)</t>
  </si>
  <si>
    <t>Ndogbati</t>
  </si>
  <si>
    <t>CMR_LT_MPOX_LOG_005</t>
  </si>
  <si>
    <t>Centre de santé Sainte Agnès</t>
  </si>
  <si>
    <t>Cité de la Paix</t>
  </si>
  <si>
    <t>CMR_LT_MPOX_LOG_006</t>
  </si>
  <si>
    <t>HD Logbaba</t>
  </si>
  <si>
    <t>CMR_LT_MPOX_NYL_003</t>
  </si>
  <si>
    <t>Saint Michel</t>
  </si>
  <si>
    <t>Hôpital Catholique Saint Paul de Douala</t>
  </si>
  <si>
    <t>Barcelone</t>
  </si>
  <si>
    <t>NYLON</t>
  </si>
  <si>
    <t>CMR_LT_MPOX_LOG_007</t>
  </si>
  <si>
    <t>TZF ( à proximité du CMA Ndokoti)</t>
  </si>
  <si>
    <t>CMR_LT_MPOX_NEW_003</t>
  </si>
  <si>
    <t>Newbell</t>
  </si>
  <si>
    <t>Mbam Ewondo</t>
  </si>
  <si>
    <t>CS St Martin de Porres</t>
  </si>
  <si>
    <t>New bell</t>
  </si>
  <si>
    <t>CMR_LT_MPOX_NEW_004</t>
  </si>
  <si>
    <t>Nkololoun</t>
  </si>
  <si>
    <t>Mboppi Baptist Hospital</t>
  </si>
  <si>
    <t>CMR_LT_MPOX_NEW_005</t>
  </si>
  <si>
    <t>CMR_LT_MPOX_NEW_006</t>
  </si>
  <si>
    <t>CMR_LT_MPOX_CDP_013</t>
  </si>
  <si>
    <t>Detenu</t>
  </si>
  <si>
    <t>INFIRMERIE PRISON CENTRALE DOUALA NGOMA</t>
  </si>
  <si>
    <t>CMR_LT_MPOX_CDP_014</t>
  </si>
  <si>
    <t>CMR_LT_MPOX_CDP_015</t>
  </si>
  <si>
    <t>CMR_LT_MPOX_LOG_008</t>
  </si>
  <si>
    <t>HOPITAL GENERAL DE DOUALA</t>
  </si>
  <si>
    <t>CMR_LT_MPOX_CDP_016</t>
  </si>
  <si>
    <t>CMR_LT_MPOX_CDP_017</t>
  </si>
  <si>
    <t>CMR_LT_MPOX_CDP_018</t>
  </si>
  <si>
    <t>CMR_LT_MPOX_CDP_019</t>
  </si>
  <si>
    <t>CMR_LT_MPOX_CDP_020</t>
  </si>
  <si>
    <t>CMR_LT_MPOX_CDP_021</t>
  </si>
  <si>
    <t>CMR_CE_MPOX_OBA_001</t>
  </si>
  <si>
    <t>OBALA</t>
  </si>
  <si>
    <t>HD OBALA</t>
  </si>
  <si>
    <t>CMR_LT_MPOX_DEI_017</t>
  </si>
  <si>
    <t>NDOGBON</t>
  </si>
  <si>
    <t>VISAGE, BRAS</t>
  </si>
  <si>
    <t>26V-0334</t>
  </si>
  <si>
    <t>NDOGBONG</t>
  </si>
  <si>
    <t>CMR_LT_MPOX_BAN_005</t>
  </si>
  <si>
    <t>Bangue</t>
  </si>
  <si>
    <t>Bonamoussadi</t>
  </si>
  <si>
    <t>CMA Bonamoussadi</t>
  </si>
  <si>
    <t>CMR_LT_MPOX_BAN_006</t>
  </si>
  <si>
    <t>Logpom</t>
  </si>
  <si>
    <t>CMR_LT_MPOX_DEI_018</t>
  </si>
  <si>
    <t>Hôpital adlucem de Bonamoussadi</t>
  </si>
  <si>
    <t>Bepanda</t>
  </si>
  <si>
    <t>BEPANDA TSF</t>
  </si>
  <si>
    <t>CMR_CE_MPOX_SOA_001</t>
  </si>
  <si>
    <t>CME-FCB</t>
  </si>
  <si>
    <t>AKAK</t>
  </si>
  <si>
    <t>SOA</t>
  </si>
  <si>
    <t>26V-00268</t>
  </si>
  <si>
    <t>SANG, CROUTE, ECOUVILLON CUTANE</t>
  </si>
  <si>
    <t>659151713/699966477</t>
  </si>
  <si>
    <t>EBANG</t>
  </si>
  <si>
    <t>CMR_CE_MPOX_ODZ_003</t>
  </si>
  <si>
    <t>26V-0298</t>
  </si>
  <si>
    <t>CMR_CE_MPOX_BIY_006</t>
  </si>
  <si>
    <t>SIMBOCK</t>
  </si>
  <si>
    <t>CM NOTRE DAME DU ROSAIRE SIMBOCK</t>
  </si>
  <si>
    <t>MAETUR</t>
  </si>
  <si>
    <t>CMR_ES_MPOX_ABO_001</t>
  </si>
  <si>
    <t>ABONG MBANG</t>
  </si>
  <si>
    <t>MINDOUROU</t>
  </si>
  <si>
    <t>CME MINDOUROU</t>
  </si>
  <si>
    <t>MINDOUROU(CENTRE VILLE)</t>
  </si>
  <si>
    <t>BRAS</t>
  </si>
  <si>
    <t>CROUTE, PUSTULE, OROPHARYNGE</t>
  </si>
  <si>
    <t>671108333/653274015</t>
  </si>
  <si>
    <t>Mindourou (Abong Mbang)</t>
  </si>
  <si>
    <t>CMR_CE_MPOX_DJO_008</t>
  </si>
  <si>
    <t>ELIG-ESSONO</t>
  </si>
  <si>
    <t>CMA ELIG-ESSONO</t>
  </si>
  <si>
    <t>ETOA MEKI</t>
  </si>
  <si>
    <t>676930703/699382349</t>
  </si>
  <si>
    <t>Etoa  Meki</t>
  </si>
  <si>
    <t>CMR_LT_MPOX_BON_004</t>
  </si>
  <si>
    <t>HOP CATH ST ALBERT LEGRAND</t>
  </si>
  <si>
    <t>NKOMBA</t>
  </si>
  <si>
    <t>CMR_CE_MPOX_DJO_009</t>
  </si>
  <si>
    <t>HD OLEMBE</t>
  </si>
  <si>
    <t>CMR_CE_MPOX_AYO_019</t>
  </si>
  <si>
    <t>BEKOUNGOU</t>
  </si>
  <si>
    <t>JAMBE, VISAGE</t>
  </si>
  <si>
    <t>NPHL-MPOX-S109</t>
  </si>
  <si>
    <t>CMR_CE_MPOX_ODZ_004</t>
  </si>
  <si>
    <t>MVAN</t>
  </si>
  <si>
    <t>MVAN(COMPLEXE BEAC)</t>
  </si>
  <si>
    <t>26V-00570</t>
  </si>
  <si>
    <t>CHINOISE</t>
  </si>
  <si>
    <t>CMR_CE_MPOX_BIY_007</t>
  </si>
  <si>
    <t>BIYEM-ASSI 1</t>
  </si>
  <si>
    <t>HD BIYEM-ASSI</t>
  </si>
  <si>
    <t>MBALGON</t>
  </si>
  <si>
    <t>NPHL-MPOX-S108</t>
  </si>
  <si>
    <t>674739739/680021056</t>
  </si>
  <si>
    <t>BIYEM ASSI 1</t>
  </si>
  <si>
    <t>CMR_CE_MPOX_AYO_020</t>
  </si>
  <si>
    <t>BIWO</t>
  </si>
  <si>
    <t>NPHL-MPOX-S112</t>
  </si>
  <si>
    <t>CMR_CE_MPOX_AYO_021</t>
  </si>
  <si>
    <t>BRAS, VISAGE</t>
  </si>
  <si>
    <t>NPHL-MPOX-S111</t>
  </si>
  <si>
    <t>CMR_CE_MPOX_AYO_022</t>
  </si>
  <si>
    <t>NPHL-MPOX-S110</t>
  </si>
  <si>
    <t>CMR_LT_MPOX_JAP_008</t>
  </si>
  <si>
    <t>TOTAL NKOLBONG</t>
  </si>
  <si>
    <t>26V-00715</t>
  </si>
  <si>
    <t>JAPOMA YAMBON</t>
  </si>
  <si>
    <t>CMR_LT_MPOX_NYL_004</t>
  </si>
  <si>
    <t>VILLAGE ENTREE LYCEE</t>
  </si>
  <si>
    <t>VISAGE, BRAS, PAUME DES MAINS</t>
  </si>
  <si>
    <t>26V-007114</t>
  </si>
  <si>
    <t>ECOUVILLON CUTANE, CROUTE, SANG, ECOUVILLON OROPHARYNGE</t>
  </si>
  <si>
    <t>NDOGPASSI 3 ZR</t>
  </si>
  <si>
    <t>CMR_LT_MPOX_LOG_009</t>
  </si>
  <si>
    <t>ETUDIANT</t>
  </si>
  <si>
    <t>CITE DE LA PAIX</t>
  </si>
  <si>
    <t>PAUME DES MAINS, PLANTE DES PIEDS, JAMBE, BRAS</t>
  </si>
  <si>
    <t>NPHL-MPOX-S117</t>
  </si>
  <si>
    <t>Ndogssimbi</t>
  </si>
  <si>
    <t>CMR_LT_MPOX_NKO_001</t>
  </si>
  <si>
    <t>NKONGSAMBA</t>
  </si>
  <si>
    <t>EKOL-MBENG</t>
  </si>
  <si>
    <t>EBOUMI</t>
  </si>
  <si>
    <t>NPHL-MPOX-S115</t>
  </si>
  <si>
    <t>Ekol Mbeng</t>
  </si>
  <si>
    <t>CMR_LT_MPOX_NKO_002</t>
  </si>
  <si>
    <t>JAMBE, BRAS, VISAGE</t>
  </si>
  <si>
    <t>NPHL-MPOX-S116</t>
  </si>
  <si>
    <t>CMR_CE_MPOX_DJO_010</t>
  </si>
  <si>
    <t>NPHL-MPOX-S113</t>
  </si>
  <si>
    <t>SANG, CROUTES</t>
  </si>
  <si>
    <t>CMR_LT_MPOX_BAN_007</t>
  </si>
  <si>
    <t>RETRAITE</t>
  </si>
  <si>
    <t>BONAMOUSSADI CARREFOUR</t>
  </si>
  <si>
    <t>NPHL-MPOX-S114</t>
  </si>
  <si>
    <t>CMR_SW_MPOX_TIK_005</t>
  </si>
  <si>
    <t>HOLFORTH</t>
  </si>
  <si>
    <t>NPHL-MPOX-S121</t>
  </si>
  <si>
    <t>ECOUVILLON, SANG</t>
  </si>
  <si>
    <t>Holforth</t>
  </si>
  <si>
    <t>CMR_LT_MPOX_DIB_001</t>
  </si>
  <si>
    <t>DIBOMBARI</t>
  </si>
  <si>
    <t>NKAPA</t>
  </si>
  <si>
    <t>NPHL-MPOX-S118</t>
  </si>
  <si>
    <t>CMR_CE_MPOX_EFO_004</t>
  </si>
  <si>
    <t>NGOA EKELLE</t>
  </si>
  <si>
    <t>QUARTIER ADMINISTRATIF(VALLEE DE LA MORT)</t>
  </si>
  <si>
    <t>NPHL-MPOX-S120</t>
  </si>
  <si>
    <t>CROUTE, ECOUVILLON CUTANE, ECOUVILLON OROPHARYNGE</t>
  </si>
  <si>
    <t>CMR_ES_MPOX_MES_001</t>
  </si>
  <si>
    <t>MESSAMENA</t>
  </si>
  <si>
    <t>SOMALOMO</t>
  </si>
  <si>
    <t>NKOE</t>
  </si>
  <si>
    <t>EKOM</t>
  </si>
  <si>
    <t>CMR_LT_MPOX_NYL_005</t>
  </si>
  <si>
    <t>VISAGE</t>
  </si>
  <si>
    <t>NPHL-MPOX-S119</t>
  </si>
  <si>
    <t>CMR_SW_MPOX_AKW_013</t>
  </si>
  <si>
    <t>AKURU</t>
  </si>
  <si>
    <t>EOBABI</t>
  </si>
  <si>
    <t>NPHL-MPOX-S129</t>
  </si>
  <si>
    <t>CMR_SW_MPOX_AKW_014</t>
  </si>
  <si>
    <t>NPHL-MPOX-S122</t>
  </si>
  <si>
    <t>CMR_SW_MPOX_AKW_015</t>
  </si>
  <si>
    <t>NPHL-MPOX-S123</t>
  </si>
  <si>
    <t>CMR_SW_MPOX_AKW_016</t>
  </si>
  <si>
    <t>NPHL-MPOX-S127</t>
  </si>
  <si>
    <t>CMR_LT_MPOX_BON_005</t>
  </si>
  <si>
    <t>BILINGUE</t>
  </si>
  <si>
    <t>NANGA</t>
  </si>
  <si>
    <t>NPHL-MPOX-S148</t>
  </si>
  <si>
    <t>CMR_SW_MPOX_KUN_001</t>
  </si>
  <si>
    <t>KUMBA NORTH</t>
  </si>
  <si>
    <t>PULLETIN</t>
  </si>
  <si>
    <t>BAPTIST HC KUMBA</t>
  </si>
  <si>
    <t>CMR_ES_MPOX_YOK_001</t>
  </si>
  <si>
    <t>YOKADOUMA</t>
  </si>
  <si>
    <t>Bangue (Yokadouma)</t>
  </si>
  <si>
    <t>CSI BANGUE</t>
  </si>
  <si>
    <t>MIMBON MIMBON</t>
  </si>
  <si>
    <t>NPHL-MPOX-S150</t>
  </si>
  <si>
    <t>BANGUE(YOKADOUMA)</t>
  </si>
  <si>
    <t>CMR_ES_MPOX_MES_002</t>
  </si>
  <si>
    <t>NGOULMAKONG</t>
  </si>
  <si>
    <t>DOUME</t>
  </si>
  <si>
    <t>NPHL-MPOX-S176</t>
  </si>
  <si>
    <t>CMR_LT_MPOX_JAP_009</t>
  </si>
  <si>
    <t>CMA NDOGPASSI 3 ZR</t>
  </si>
  <si>
    <t>NYALLA KAMBO</t>
  </si>
  <si>
    <t>CUISSE</t>
  </si>
  <si>
    <t>CMR_LT_MPOX_NEW_007</t>
  </si>
  <si>
    <t>BARCELONE</t>
  </si>
  <si>
    <t>DISPENSAIRE CATHOLIQUE DE BARCELONE</t>
  </si>
  <si>
    <t>NKOLMITAG</t>
  </si>
  <si>
    <t>FACE</t>
  </si>
  <si>
    <t>NPHL-MPOX-S151</t>
  </si>
  <si>
    <t>CMR_LT_MPOX_BAN_008</t>
  </si>
  <si>
    <t>MAKEPE CAMBO RENYE</t>
  </si>
  <si>
    <t>NPHL-MPOX-S147</t>
  </si>
  <si>
    <t>CMR_CE_MPOX_DJO_011</t>
  </si>
  <si>
    <t>CSI EMANA</t>
  </si>
  <si>
    <t>26V-1164</t>
  </si>
  <si>
    <t>CMR_CE_MPOX_NGO_007</t>
  </si>
  <si>
    <t>BOUMNYEBEL</t>
  </si>
  <si>
    <t>CSI BOUMNYEBEL</t>
  </si>
  <si>
    <t>DIABETE</t>
  </si>
  <si>
    <t>NPHL-MPOX-S149</t>
  </si>
  <si>
    <t>NTOULENG</t>
  </si>
  <si>
    <t>CMR_CE_MPOX_AYO_023</t>
  </si>
  <si>
    <t>NGONDO</t>
  </si>
  <si>
    <t>EN COURS D'ANALYSE</t>
  </si>
  <si>
    <t>CMR_LT_MPOX_BAN_009</t>
  </si>
  <si>
    <t>CMA BONAMOUSSADI</t>
  </si>
  <si>
    <t>DALLAS</t>
  </si>
  <si>
    <t>LOGBESSOU 1</t>
  </si>
  <si>
    <t>CMR_LT_MPOX_CDP_022</t>
  </si>
  <si>
    <t>NDOGHEM 2</t>
  </si>
  <si>
    <t>PK12 NJOH NJOH</t>
  </si>
  <si>
    <t>NPHL-MPOX-S152</t>
  </si>
  <si>
    <t>LESIONS CUTANEES, ECOUVILLON OROPHARYNGE</t>
  </si>
  <si>
    <t>CMR_CE_MPOX_DJO_012</t>
  </si>
  <si>
    <t>26V-1197</t>
  </si>
  <si>
    <t>CMR_LT_MPOX_BON_006</t>
  </si>
  <si>
    <t>BONENDALE</t>
  </si>
  <si>
    <t>HOPE International Services</t>
  </si>
  <si>
    <t>GRAND TOWN</t>
  </si>
  <si>
    <t>NPHL-MPOX-S155</t>
  </si>
  <si>
    <t>SANG, ECOUVILLON CUTANE , CROUTE</t>
  </si>
  <si>
    <t>CMR_CE_MPOX_NKD_003</t>
  </si>
  <si>
    <t>ELOUNDOU</t>
  </si>
  <si>
    <t>NPHL-MPOX-S164</t>
  </si>
  <si>
    <t>CMR_SW_MPOX_AKW_017</t>
  </si>
  <si>
    <t xml:space="preserve">ILAND </t>
  </si>
  <si>
    <t>NPHL-MPOX-S177</t>
  </si>
  <si>
    <t>CMR_SW_MPOX_AKW_018</t>
  </si>
  <si>
    <t>ESHOBI</t>
  </si>
  <si>
    <t>NPHL-MPOX-S158</t>
  </si>
  <si>
    <t>CMR_SW_MPOX_AKW_019</t>
  </si>
  <si>
    <t>NPHL-MPOX-S170</t>
  </si>
  <si>
    <t>CMR_SW_MPOX_AKW_020</t>
  </si>
  <si>
    <t>NPHL-MPOX-S172</t>
  </si>
  <si>
    <t>CMR_SW_MPOX_AKW_021</t>
  </si>
  <si>
    <t>NCHUMBA</t>
  </si>
  <si>
    <t>NPHL-MPOX-S156</t>
  </si>
  <si>
    <t>CMR_SW_MPOX_AKW_022</t>
  </si>
  <si>
    <t>NPHL-MPOX-S173</t>
  </si>
  <si>
    <t>CMR_SW_MPOX_AKW_023</t>
  </si>
  <si>
    <t>NPHL-MPOX-S169</t>
  </si>
  <si>
    <t>CMR_SW_MPOX_AKW_024</t>
  </si>
  <si>
    <t>NPHL-MPOX-S159</t>
  </si>
  <si>
    <t>CMR_SW_MPOX_AKW_025</t>
  </si>
  <si>
    <t>NPHL-MPOX-S167</t>
  </si>
  <si>
    <t>CMR_SW_MPOX_AKW_026</t>
  </si>
  <si>
    <t>NPHL-MPOX-S175</t>
  </si>
  <si>
    <t>CMR_SW_MPOX_AKW_027</t>
  </si>
  <si>
    <t>NPHL-MPOX-S160</t>
  </si>
  <si>
    <t>CMR_SW_MPOX_AKW_028</t>
  </si>
  <si>
    <t>MANKOH</t>
  </si>
  <si>
    <t>N0N</t>
  </si>
  <si>
    <t>CMR_SW_MPOX_AKW_029</t>
  </si>
  <si>
    <t>NPHL-MPOX-S157</t>
  </si>
  <si>
    <t>CMR_SW_MPOX_AKW_030</t>
  </si>
  <si>
    <t>NPHL-MPOX-S174</t>
  </si>
  <si>
    <t>CMR_SW_MPOX_AKW_031</t>
  </si>
  <si>
    <t>TAVA</t>
  </si>
  <si>
    <t>NPHL-MPOX-S162</t>
  </si>
  <si>
    <t>CMR_SW_MPOX_AKW_032</t>
  </si>
  <si>
    <t>NPHL-MPOX-S166</t>
  </si>
  <si>
    <t>CMR_SW_MPOX_AKW_033</t>
  </si>
  <si>
    <t>NPHL-MPOX-S171</t>
  </si>
  <si>
    <t>CMR_SW_MPOX_AKW_034</t>
  </si>
  <si>
    <t>NPHL-MPOX-S168</t>
  </si>
  <si>
    <t>CMR_SW_MPOX_AKW_035</t>
  </si>
  <si>
    <t>NPHL-MPOX-S163</t>
  </si>
  <si>
    <t>CMR_SW_MPOX_AKW_036</t>
  </si>
  <si>
    <t>UNKOWN</t>
  </si>
  <si>
    <t>NPHL-MPOX-S165</t>
  </si>
  <si>
    <t>CMR_LT_MPOX_DEI_019</t>
  </si>
  <si>
    <t>NKONGMONDO</t>
  </si>
  <si>
    <t>BONADIBONG</t>
  </si>
  <si>
    <t>NPHL-MPOX-S180</t>
  </si>
  <si>
    <t>AKWA 2</t>
  </si>
  <si>
    <t>CMR_AD_MPOX_MEI_002</t>
  </si>
  <si>
    <t>NORD CIFAN</t>
  </si>
  <si>
    <t>CMMS</t>
  </si>
  <si>
    <t>PITOA (MEIGANGA)</t>
  </si>
  <si>
    <t>JAME, BRAS, VISAGE</t>
  </si>
  <si>
    <t>NPHL-MPOX-S185</t>
  </si>
  <si>
    <t>ECOUVILLON CUTANE, SANG, CROUTE, ECOUVILLON OROPHARYNGE</t>
  </si>
  <si>
    <t>MEIGANGA PUBLIC</t>
  </si>
  <si>
    <t>CMR_CE_MPOX_AYO_024</t>
  </si>
  <si>
    <t>HOPITAL REGIONAL AYOS</t>
  </si>
  <si>
    <t>26V-1854</t>
  </si>
  <si>
    <t>CMR_CE_MPOX_AYO_025</t>
  </si>
  <si>
    <t>JAMBE, BRAS</t>
  </si>
  <si>
    <t>26V-1853</t>
  </si>
  <si>
    <t>CMR_NW_MPOX_BAT_004</t>
  </si>
  <si>
    <t>BATIBO URBAN</t>
  </si>
  <si>
    <t>BATIBO DISTRICT HOSPITAL</t>
  </si>
  <si>
    <t>EFIT</t>
  </si>
  <si>
    <t>26V-1852</t>
  </si>
  <si>
    <t>ECOUVILLON CUTANR, SANG</t>
  </si>
  <si>
    <t>CMR_CE_MPOX_CIT_007</t>
  </si>
  <si>
    <t>OFFICIER DE POLICE</t>
  </si>
  <si>
    <t>ECOLE DE POLICE</t>
  </si>
  <si>
    <t>26V-1838</t>
  </si>
  <si>
    <t>CMR_CE_MPOX_DJO_013</t>
  </si>
  <si>
    <t>EPC DJOUNGOLO</t>
  </si>
  <si>
    <t>26V-1929</t>
  </si>
  <si>
    <t>CMR_NW_MPOX_BEN_001</t>
  </si>
  <si>
    <t>BENAKUMA</t>
  </si>
  <si>
    <t>NPHL-MPOX-S179</t>
  </si>
  <si>
    <t>CMR_NW_MPOX_BEN_002</t>
  </si>
  <si>
    <t>BAWORO</t>
  </si>
  <si>
    <t>CSI DE BAWORO</t>
  </si>
  <si>
    <t>BAKERE</t>
  </si>
  <si>
    <t>NPHL-MPOX-S178</t>
  </si>
  <si>
    <t>CMR_CE_MPOX_OBA_002</t>
  </si>
  <si>
    <t>NPHL-MPOX-S181</t>
  </si>
  <si>
    <t>CMR_LT_MPOX_CDP_023</t>
  </si>
  <si>
    <t>AGENT D'ENTRETIEN</t>
  </si>
  <si>
    <t>CDP</t>
  </si>
  <si>
    <t>FACE,CUISSE</t>
  </si>
  <si>
    <t>NPHL-MPOX-S182</t>
  </si>
  <si>
    <t>ECOUVILLON CUTANE,CROUTE,ECOUVILLON OROPHARYNGE</t>
  </si>
  <si>
    <t>CMR_LT_MPOX_DEI_020</t>
  </si>
  <si>
    <t>26V-1930</t>
  </si>
  <si>
    <t>CMR_SW_MPOX_MBO_038</t>
  </si>
  <si>
    <t>MISSIC</t>
  </si>
  <si>
    <t>NPHL-MPOX-S188</t>
  </si>
  <si>
    <t>CMR_SW_MPOX_MBO_039</t>
  </si>
  <si>
    <t>NPHL-MPOW-S190</t>
  </si>
  <si>
    <t>CMR_SW_MPOX_TOK_001</t>
  </si>
  <si>
    <t>TOKO</t>
  </si>
  <si>
    <t>MADIE NGOLO</t>
  </si>
  <si>
    <t>COU</t>
  </si>
  <si>
    <t>NPHL-MPOX-S187</t>
  </si>
  <si>
    <t>SANG, ECOUVILLON OROPHARYNGE, ECOUVILLON CUTANE</t>
  </si>
  <si>
    <t>CMR_SW_MPOX_TOK_002</t>
  </si>
  <si>
    <t>NPHL-MPOX-S189</t>
  </si>
  <si>
    <t>CMR_LT_MPOX_BAN_010</t>
  </si>
  <si>
    <t>CHODRONIER</t>
  </si>
  <si>
    <t>LOGBESSOU 1 FACE STATION PETROLEX</t>
  </si>
  <si>
    <t>NPHL-MPOX-S186</t>
  </si>
  <si>
    <t>CMR_NO_MPOX_GAR1_002</t>
  </si>
  <si>
    <t>NASSARAO</t>
  </si>
  <si>
    <t>OUNTCHOUGA</t>
  </si>
  <si>
    <t>NPHL-MPOX-S192</t>
  </si>
  <si>
    <t>CMR_CE_MPOX_ESE_002</t>
  </si>
  <si>
    <t>NPHL-MPOX-S191</t>
  </si>
  <si>
    <t>CMR_CE_MPOX_ESE_003</t>
  </si>
  <si>
    <t>CSI UIE</t>
  </si>
  <si>
    <t>CMR_LT_MPOX_YAB_002</t>
  </si>
  <si>
    <t>BONEPOUPA</t>
  </si>
  <si>
    <t>CSI BONEPOUPA</t>
  </si>
  <si>
    <t>NDOKAMA</t>
  </si>
  <si>
    <t>NPHL-MPOX-S193</t>
  </si>
  <si>
    <t>CROUTE, ECOUVILLON OROPHARYNGE</t>
  </si>
  <si>
    <t>CMR_CE_MPOX_DJO_014</t>
  </si>
  <si>
    <t>NPHL-MPOX-S195</t>
  </si>
  <si>
    <t>CROUTE, ECOUVILLON DE VESSICULE</t>
  </si>
  <si>
    <t>CMR_NW_MPOX_BAT_005</t>
  </si>
  <si>
    <t>EBENDE</t>
  </si>
  <si>
    <t>26V-2878</t>
  </si>
  <si>
    <t>ECOUVILLON CUTANE, SANG, CROUTE</t>
  </si>
  <si>
    <t>CMR_LT_MPOX_DEI_021</t>
  </si>
  <si>
    <t>ANUS</t>
  </si>
  <si>
    <t>NPHL-MPOX-S198</t>
  </si>
  <si>
    <t>CMR_LT_MPOX_DEI_022</t>
  </si>
  <si>
    <t>NPHL-MPOX-S196</t>
  </si>
  <si>
    <t>CMR_LT_MPOX_DEI_023</t>
  </si>
  <si>
    <t>BALI</t>
  </si>
  <si>
    <t>NPHL-MPOX-S197</t>
  </si>
  <si>
    <t>BONANJO</t>
  </si>
  <si>
    <t>CMR_NW_MPOX_BAT_006</t>
  </si>
  <si>
    <t>26V-2879</t>
  </si>
  <si>
    <t>CMR_CE_MPOX_MVO_005</t>
  </si>
  <si>
    <t>NGOULMEKONG</t>
  </si>
  <si>
    <t>CM ESPOIR</t>
  </si>
  <si>
    <t>GRAND CHNATIER FOURIER</t>
  </si>
  <si>
    <t>26V-2544</t>
  </si>
  <si>
    <t>NGOULMEKONG 1</t>
  </si>
  <si>
    <t>CMR_LT_MPOX_NEW_008</t>
  </si>
  <si>
    <t>MASCULIN</t>
  </si>
  <si>
    <t>PRISON CENTRALE DE NEW BELL</t>
  </si>
  <si>
    <t>NPHL-MPOX-S199</t>
  </si>
  <si>
    <t>CMR_LT_MPOX_DEI_024</t>
  </si>
  <si>
    <t>NPHL-MPOX-S203</t>
  </si>
  <si>
    <t>ECOUVILLON CUTANE,ECOUVILLON OROPHARYNGE</t>
  </si>
  <si>
    <t>CMR_LT_MPOX_NYL_006</t>
  </si>
  <si>
    <t>NDOGPASSI 3 MARCHE</t>
  </si>
  <si>
    <t>NPHL-MPOX-S204</t>
  </si>
  <si>
    <t>NDOGPASSI 3 CENTRE</t>
  </si>
  <si>
    <t>CMR_LT_MPOX_CDP_024</t>
  </si>
  <si>
    <t>HD CDP</t>
  </si>
  <si>
    <t>PK 12</t>
  </si>
  <si>
    <t>NPHL-MPOX-S201</t>
  </si>
  <si>
    <t>CMR_LT_MPOX_BAN_011</t>
  </si>
  <si>
    <t>AD LUCEM BONAMOUSSADI</t>
  </si>
  <si>
    <t>MAKEPE BM</t>
  </si>
  <si>
    <t>NPHL-MPOX-S202</t>
  </si>
  <si>
    <t>CMR_LT_MPOX_NGM_001</t>
  </si>
  <si>
    <t>SOUDEUR</t>
  </si>
  <si>
    <t>NGAMBE</t>
  </si>
  <si>
    <t>SONG MBENGUE</t>
  </si>
  <si>
    <t>CSI BOTKO</t>
  </si>
  <si>
    <t>BOTKO</t>
  </si>
  <si>
    <t>NPHL-MPOX-S200</t>
  </si>
  <si>
    <t>ECOUVILLON CUTANE, CROUTES</t>
  </si>
  <si>
    <t>CMR_SW_MPOX_KUS_010</t>
  </si>
  <si>
    <t>KUMBA REGIONAL HOSPITAL</t>
  </si>
  <si>
    <t>CASSAMBLANCA JONES 2</t>
  </si>
  <si>
    <t>VISAGE, BRAS, JAMBE</t>
  </si>
  <si>
    <t>NPHL-MPOX-S208</t>
  </si>
  <si>
    <t>KUMBA STATION</t>
  </si>
  <si>
    <t>CMR_SW_MPOX_KUN_002</t>
  </si>
  <si>
    <t>LAWYER SOUTH STREET</t>
  </si>
  <si>
    <t>NPHL-MPOX-S217</t>
  </si>
  <si>
    <t>KUMBA TOWN</t>
  </si>
  <si>
    <t>CMR_SW_MPOX_KUN_003</t>
  </si>
  <si>
    <t>FIANGO</t>
  </si>
  <si>
    <t>NPHL-MPOX-S219</t>
  </si>
  <si>
    <t>CMR_SW_MPOX_KUN_004</t>
  </si>
  <si>
    <t>NPHL-MPOX-S218</t>
  </si>
  <si>
    <t>CMR_SW_MPOX_KUN_005</t>
  </si>
  <si>
    <t>KUMBA MILE</t>
  </si>
  <si>
    <t>NPHL-MPOX-S209</t>
  </si>
  <si>
    <t>CMR_CE_MPOX_EFO_005</t>
  </si>
  <si>
    <t>EFOULAN 1</t>
  </si>
  <si>
    <t>DAMAS</t>
  </si>
  <si>
    <t>NPHL-MPOX-S205</t>
  </si>
  <si>
    <t>CMR_LT_MPOX_JAP_010</t>
  </si>
  <si>
    <t>FESSIER</t>
  </si>
  <si>
    <t>NPHL-MPOX-S206</t>
  </si>
  <si>
    <t>CMR_LT_MPOX_CDP_025</t>
  </si>
  <si>
    <t>SOUS PROFESSION</t>
  </si>
  <si>
    <t>CITE_DES_PALMIERS</t>
  </si>
  <si>
    <t>PK 10</t>
  </si>
  <si>
    <t>NPHL-MPOX-S214</t>
  </si>
  <si>
    <t>CMR_LT_MPOX_YAB_003</t>
  </si>
  <si>
    <t>CHASSEUR/PLANTEUR</t>
  </si>
  <si>
    <t>LONGTOKA</t>
  </si>
  <si>
    <t>CSI LONGTOKA</t>
  </si>
  <si>
    <t>BONADISSAKE</t>
  </si>
  <si>
    <t>NPHL-MPOX-S216</t>
  </si>
  <si>
    <t>CROUTES, SECRETIONS OROPHARYNGEES, SECRETIONS DES VESICULES</t>
  </si>
  <si>
    <t>CMR_NW_MPOX_BAT_007</t>
  </si>
  <si>
    <t>NJINYEN</t>
  </si>
  <si>
    <t>NPHL-MPOX-S222</t>
  </si>
  <si>
    <t>CMR_NW_MPOX_BAT_008</t>
  </si>
  <si>
    <t>NPHL-MPOX-S223</t>
  </si>
  <si>
    <t>CMR_NW_MPOX_BAT_009</t>
  </si>
  <si>
    <t>NPHL-MPOX-S221</t>
  </si>
  <si>
    <t>CMR_NW_MPOX_BAT_010</t>
  </si>
  <si>
    <t>NPHL-MPOX-S220</t>
  </si>
  <si>
    <t>CMR_CE_MPOX_NKD_004</t>
  </si>
  <si>
    <t>NKOLNDONGO 2</t>
  </si>
  <si>
    <t>BA'ABA</t>
  </si>
  <si>
    <t>MIMBOMAN 1</t>
  </si>
  <si>
    <t>CMR_LT_MPOX_NYL_007</t>
  </si>
  <si>
    <t>TERGAL</t>
  </si>
  <si>
    <t>NPHL-MPOX-S210</t>
  </si>
  <si>
    <t>CMR_LT_MPOX_BAN_012</t>
  </si>
  <si>
    <t>REALISATEUR</t>
  </si>
  <si>
    <t>CM RAPHA</t>
  </si>
  <si>
    <t>PK 15 BARRIERE</t>
  </si>
  <si>
    <t>NPHL-MPOX-S213</t>
  </si>
  <si>
    <t>ECOUVILLON CUTANE,CROUTES</t>
  </si>
  <si>
    <t>CMR_LT_MPOX_NEW_009</t>
  </si>
  <si>
    <t>ELECTRICIEN</t>
  </si>
  <si>
    <t>NKOLOLOUN</t>
  </si>
  <si>
    <t>CMA NKOLOLOUN</t>
  </si>
  <si>
    <t>KASSALAFAM</t>
  </si>
  <si>
    <t>DOS</t>
  </si>
  <si>
    <t>NPHL-MPOX-S224</t>
  </si>
  <si>
    <t>CMR_LT_MPOX_DEI_025</t>
  </si>
  <si>
    <t>MAKEA</t>
  </si>
  <si>
    <t>NPHL-MPOX-S207</t>
  </si>
  <si>
    <t>CMR_LT_MPOX_DEI_026</t>
  </si>
  <si>
    <t>NPHL-MPOX-S212</t>
  </si>
  <si>
    <t>CMR_LT_MPOX_DEI_027</t>
  </si>
  <si>
    <t>TECHNICIEN</t>
  </si>
  <si>
    <t>NPHL-MPOX-S211</t>
  </si>
  <si>
    <t>CMR_LT_MPOX_NYL_008</t>
  </si>
  <si>
    <t>NDOGPASSI3</t>
  </si>
  <si>
    <t>NPHL-MPOX-S215</t>
  </si>
  <si>
    <t>CMR_NW_MPOX_BAT_011</t>
  </si>
  <si>
    <t>26V-2868</t>
  </si>
  <si>
    <t>CMR_NW_MPOX_BAT_012</t>
  </si>
  <si>
    <t>26V-2877</t>
  </si>
  <si>
    <t>CMR_NW_MPOX_BAT_013</t>
  </si>
  <si>
    <t>26V-2876</t>
  </si>
  <si>
    <t>CMR_NW_MPOX_BAT_014</t>
  </si>
  <si>
    <t>26V-2875</t>
  </si>
  <si>
    <t>CMR_NW_MPOX_BAT_015</t>
  </si>
  <si>
    <t>26V-2874</t>
  </si>
  <si>
    <t>CMR_NW_MPOX_BAT_016</t>
  </si>
  <si>
    <t>26V-2873</t>
  </si>
  <si>
    <t>CMR_NW_MPOX_BAT_017</t>
  </si>
  <si>
    <t>26V-2872</t>
  </si>
  <si>
    <t>CMR_NW_MPOX_BAT_018</t>
  </si>
  <si>
    <t>26V-2871</t>
  </si>
  <si>
    <t>CMR_NW_MPOX_BAT_019</t>
  </si>
  <si>
    <t>26V-2870</t>
  </si>
  <si>
    <t>CMR_NW_MPOX_BAT_020</t>
  </si>
  <si>
    <t>26V-2869</t>
  </si>
  <si>
    <t>CMR_CE_MPOX_DJO_015</t>
  </si>
  <si>
    <t>HOPITAL EPC DJOUNGOLO</t>
  </si>
  <si>
    <t>26V-3279</t>
  </si>
  <si>
    <t>CMR_LT_MPOX_DEI_028</t>
  </si>
  <si>
    <t>COMMERCANTE</t>
  </si>
  <si>
    <t>BESSENGUE</t>
  </si>
  <si>
    <t>NPHL-MPOX-S225</t>
  </si>
  <si>
    <t>CMR_CE_MPOX_DJO_016</t>
  </si>
  <si>
    <t>26V-3281</t>
  </si>
  <si>
    <t>CMR_CE_MPOX_BIY_008</t>
  </si>
  <si>
    <t>INGENIEUR</t>
  </si>
  <si>
    <t>JOUVENCE</t>
  </si>
  <si>
    <t>NSIMEYONG 2</t>
  </si>
  <si>
    <t>CMR_SW_MPOX_LIM_004</t>
  </si>
  <si>
    <t>ISOKOLO</t>
  </si>
  <si>
    <t>NPHL-MPOX-S226</t>
  </si>
  <si>
    <t>BATOKE</t>
  </si>
  <si>
    <t>CMR_LT_MPOX_DEI_029</t>
  </si>
  <si>
    <t>ELECTROMECANICIEN</t>
  </si>
  <si>
    <t>HOPITAL AD LUCEM BONAMOUSSADI</t>
  </si>
  <si>
    <t>AKWA-NORD FACE SANTA LUCIA</t>
  </si>
  <si>
    <t>NPHL-MPOX-S227</t>
  </si>
  <si>
    <t>AKWA NORD</t>
  </si>
  <si>
    <t>S15_2026</t>
  </si>
  <si>
    <t>CMR_LT_MPOX_NEW_010</t>
  </si>
  <si>
    <t>NEW BELL ( PHARMACIE DE LA MOSQUEE)</t>
  </si>
  <si>
    <t>NPHL-MPOX-S228</t>
  </si>
  <si>
    <t>NEW_BELL BAMILEKE</t>
  </si>
  <si>
    <t>CMR_LT_MPOX_DEI_030</t>
  </si>
  <si>
    <t>BEPANDA SAFARI</t>
  </si>
  <si>
    <t>NPHL-MPOX-S229</t>
  </si>
  <si>
    <t>CMR_LT_MPOX_JAP_011</t>
  </si>
  <si>
    <t>AGRICULTRICE</t>
  </si>
  <si>
    <t>JAPOMA CHATEAU</t>
  </si>
  <si>
    <t>NPHL-MPOX-S230</t>
  </si>
  <si>
    <t>CMR_LT_MPOX_NEW_011</t>
  </si>
  <si>
    <t>NEW_BELL</t>
  </si>
  <si>
    <t>NPHL-MPOX-S231</t>
  </si>
  <si>
    <t>CMR_CE_MPOX_MFO_003</t>
  </si>
  <si>
    <t>NKONGOA 2</t>
  </si>
  <si>
    <t>CS LA SOLIDARITE</t>
  </si>
  <si>
    <t>NKILGOG</t>
  </si>
  <si>
    <t>26V-3280</t>
  </si>
  <si>
    <t>S15_2027</t>
  </si>
  <si>
    <t>CMR_OU_MPOX_KOU_001</t>
  </si>
  <si>
    <t>KOUOPTAMO</t>
  </si>
  <si>
    <t>KOUPAKA</t>
  </si>
  <si>
    <t>CS NJOGNON</t>
  </si>
  <si>
    <t>NJOGNON</t>
  </si>
  <si>
    <t>NPHL-MPOX-S232</t>
  </si>
  <si>
    <t>KOUPARA</t>
  </si>
  <si>
    <t>S15_2028</t>
  </si>
  <si>
    <t>CMR_OU_MPOX_DSC_001</t>
  </si>
  <si>
    <t>DSCHANG</t>
  </si>
  <si>
    <t>NDOH DJUTITSA</t>
  </si>
  <si>
    <t>CMA NDOH</t>
  </si>
  <si>
    <t>MEZET</t>
  </si>
  <si>
    <t>PALUDISME (GE+)</t>
  </si>
  <si>
    <t>NPHL-MPOX-S235</t>
  </si>
  <si>
    <t>NDOH DJUTITZA</t>
  </si>
  <si>
    <t>S15_2029</t>
  </si>
  <si>
    <t>CMR_LT_MPOX_LOU_001</t>
  </si>
  <si>
    <t>LOUM CHANTIER</t>
  </si>
  <si>
    <t>CSI LOUM CHANTIER</t>
  </si>
  <si>
    <t>ROUTE BAKOSSI</t>
  </si>
  <si>
    <t>NPHL-MPOX-S234</t>
  </si>
  <si>
    <t>ECOUVILLON CUTANE,ECOUVILLON OROPHARYNGE, SANGUIN</t>
  </si>
  <si>
    <t>LOUM 3</t>
  </si>
  <si>
    <t>CMR_LT_MPOX_BOK_002</t>
  </si>
  <si>
    <t>HD NYLON</t>
  </si>
  <si>
    <t>NGODI BAKOKO</t>
  </si>
  <si>
    <t>NPHL-MPOX-S233</t>
  </si>
  <si>
    <t>ECOUVILLON CUTANE,ECOUVILLON OROPHARYNGE, CROUTES</t>
  </si>
  <si>
    <t>CMR_OU_MPOX_KEK_001</t>
  </si>
  <si>
    <t>KEKEM</t>
  </si>
  <si>
    <t>HD KEKEM</t>
  </si>
  <si>
    <t>MOUMEE</t>
  </si>
  <si>
    <t>VISAGE, JAMBE</t>
  </si>
  <si>
    <t>NPHL-MPOX-S236</t>
  </si>
  <si>
    <t>CMR_CE_MPOX_DJO_017</t>
  </si>
  <si>
    <t>TSINGA-VILLAGE</t>
  </si>
  <si>
    <t>NPHL-MPOX-S239</t>
  </si>
  <si>
    <t>CMR_CE_MPOX_AYO_026</t>
  </si>
  <si>
    <t>NKOLKA'A</t>
  </si>
  <si>
    <t>NPHL-MPOX-S247</t>
  </si>
  <si>
    <t>CMR_CE_MPOX_EFO_006</t>
  </si>
  <si>
    <t>PHC NSIMEYONG</t>
  </si>
  <si>
    <t>AHALA 1</t>
  </si>
  <si>
    <t>CMR_CE_MPOX_DJO_018</t>
  </si>
  <si>
    <t>CHEFFERIE PARCOURS VITAE</t>
  </si>
  <si>
    <t>CMR_LT_MPOX_DEI_031</t>
  </si>
  <si>
    <t>CONSEILLER CLIENTELE</t>
  </si>
  <si>
    <t>NPHL-MPOX-S237</t>
  </si>
  <si>
    <t>CITE SIC</t>
  </si>
  <si>
    <t>CMR_LT_MPOX_BON_007</t>
  </si>
  <si>
    <t>TECHNICIEN EN BATIMENT</t>
  </si>
  <si>
    <t>NPHL-MPOX-S238</t>
  </si>
  <si>
    <t>MAMBANDA</t>
  </si>
  <si>
    <t>CMR_LT_MPOX_DEI_032</t>
  </si>
  <si>
    <t>NPHL-MPOX-S246</t>
  </si>
  <si>
    <t>CMR_CE_MPOX_DJO_019</t>
  </si>
  <si>
    <t>NPHL-MPOX-S248</t>
  </si>
  <si>
    <t>CMR_LT_MPOX_DEI_033</t>
  </si>
  <si>
    <t>HOPITAL LAQUINTINIE DE DOUALA</t>
  </si>
  <si>
    <t>BEPANDA YONYON</t>
  </si>
  <si>
    <t>NPHL-MPOX-S242</t>
  </si>
  <si>
    <t>CMR_LT_MPOX_DEI_034</t>
  </si>
  <si>
    <t>CHAUFFEUR CAMION</t>
  </si>
  <si>
    <t>DCD</t>
  </si>
  <si>
    <t>MABANDA</t>
  </si>
  <si>
    <t>NPHL-MPOX-S243</t>
  </si>
  <si>
    <t>CMR_LT_MPOX_YAB_004</t>
  </si>
  <si>
    <t>CS JACKO MISS</t>
  </si>
  <si>
    <t>MANGOULE 1</t>
  </si>
  <si>
    <t>NOB</t>
  </si>
  <si>
    <t>NPHL-MPOX-S244</t>
  </si>
  <si>
    <t>CMR_LT_MPOX_EDE_001</t>
  </si>
  <si>
    <t>EDEA</t>
  </si>
  <si>
    <t>PLATEAU ADMINISTRATIF</t>
  </si>
  <si>
    <t>HRAE</t>
  </si>
  <si>
    <t>MBANDA</t>
  </si>
  <si>
    <t>NPHL-MPOX-S245</t>
  </si>
  <si>
    <t>CMR_CE_MPOX_DJO_020</t>
  </si>
  <si>
    <t>PUSTULE</t>
  </si>
  <si>
    <t>CMR_NW_MPOX_BEN_003</t>
  </si>
  <si>
    <t>BENAKUMA DH</t>
  </si>
  <si>
    <t>BUYI</t>
  </si>
  <si>
    <t>CMR_LT_MPOX_JAP_012</t>
  </si>
  <si>
    <t>BAFANG</t>
  </si>
  <si>
    <t>MANILLE</t>
  </si>
  <si>
    <t>AD LUCEM BAKANG-BAFANG</t>
  </si>
  <si>
    <t>BADAMKA</t>
  </si>
  <si>
    <t>NPHL-MPOX-S255</t>
  </si>
  <si>
    <t>CMR_LT_MPOX_BON_008</t>
  </si>
  <si>
    <t>GRAND HANGAR</t>
  </si>
  <si>
    <t>CMMM ASAS</t>
  </si>
  <si>
    <t>FACE TOTAL NOUVELLE</t>
  </si>
  <si>
    <t>NPHL-MPOX-S253</t>
  </si>
  <si>
    <t>CMR_CE_MPOX_ESE_004</t>
  </si>
  <si>
    <t>DELANGUE</t>
  </si>
  <si>
    <t>HD DELANGUE</t>
  </si>
  <si>
    <t>SONG BONG</t>
  </si>
  <si>
    <t>NPHL-MPOX-S252</t>
  </si>
  <si>
    <t>SONGMBONG</t>
  </si>
  <si>
    <t>CMR_LT_MPOX_NYL_009</t>
  </si>
  <si>
    <t>NDOGPASSI 3</t>
  </si>
  <si>
    <t>NPHL-MPOX-S254</t>
  </si>
  <si>
    <t>CMR_CE_MPOX_DJO_021</t>
  </si>
  <si>
    <t>NPHL-MPOX-S250</t>
  </si>
  <si>
    <t>CMR_CE_MPOX_DJO_022</t>
  </si>
  <si>
    <t>NPHL-MPOX-S251</t>
  </si>
  <si>
    <t>CMR_CE_MPOX_DJO_023</t>
  </si>
  <si>
    <t>MESSASSI (ZEKE, ZEKE)</t>
  </si>
  <si>
    <t>NPHL-MPOX-S259</t>
  </si>
  <si>
    <t>NKOLONDOM</t>
  </si>
  <si>
    <t>CMR_CE_MPOX_DJO_024</t>
  </si>
  <si>
    <t>NPHL-MPOX-S261</t>
  </si>
  <si>
    <t>CMR_CE_MPOX_DJO_025</t>
  </si>
  <si>
    <t>NPHL-MPOX-S260</t>
  </si>
  <si>
    <t>CMR_CE_MPOX_DJO_026</t>
  </si>
  <si>
    <t>NPHL-MPOX-S258</t>
  </si>
  <si>
    <t>CMR_AD_MPOX_NGR_001</t>
  </si>
  <si>
    <t>AGRICULTEUR</t>
  </si>
  <si>
    <t>NGAOUNDERE RURAL</t>
  </si>
  <si>
    <t>GANGASSAO</t>
  </si>
  <si>
    <t>CSI MBANG FOULBE</t>
  </si>
  <si>
    <t>KANA DJABBE</t>
  </si>
  <si>
    <t>NPHL-MPOX-S256</t>
  </si>
  <si>
    <t>GANGASSAOU</t>
  </si>
  <si>
    <t>CMR_NO_MPOX_GAR1_003</t>
  </si>
  <si>
    <t>KOLLERE</t>
  </si>
  <si>
    <t>HRG</t>
  </si>
  <si>
    <t>KANADI</t>
  </si>
  <si>
    <t>NPHL-MPOX-S266</t>
  </si>
  <si>
    <t>OURO KANADI</t>
  </si>
  <si>
    <t>CMR_EN_MPOX_MAR2_003</t>
  </si>
  <si>
    <t>DOUALARE</t>
  </si>
  <si>
    <t>LAINDE</t>
  </si>
  <si>
    <t>MALNUTRITION</t>
  </si>
  <si>
    <t>NPHL-MPOX-S262</t>
  </si>
  <si>
    <t>DOUALARE 1</t>
  </si>
  <si>
    <t>CMR_CE_MPOX_MBK_001</t>
  </si>
  <si>
    <t>MBANDJOCK</t>
  </si>
  <si>
    <t>NKOTENG 1</t>
  </si>
  <si>
    <t>HOPITAL BAPTISTE DE NKOTENG</t>
  </si>
  <si>
    <t>NKOTENG</t>
  </si>
  <si>
    <t>TUBERCULOSE</t>
  </si>
  <si>
    <t>CMR_SW_MPOX_TIK_006</t>
  </si>
  <si>
    <t>NPHL-MPOX-S257</t>
  </si>
  <si>
    <t>CMR_CE_MPOX_NFA_001</t>
  </si>
  <si>
    <t>NKOLAFAMBA</t>
  </si>
  <si>
    <t>NKOABANG 1</t>
  </si>
  <si>
    <t>HOPITAL CATHOLIQUE DE NKOABANG</t>
  </si>
  <si>
    <t>NKOMBASSI</t>
  </si>
  <si>
    <t>NPHL-MPOX-S263</t>
  </si>
  <si>
    <t>CMR_CE_MPOX_NFA_002</t>
  </si>
  <si>
    <t>NPHL-MPOX-S264</t>
  </si>
  <si>
    <t>LIEN AVEC LE CC MANTO IDA CHLOE</t>
  </si>
  <si>
    <t>CMR_CE_MPOX_NFA_003</t>
  </si>
  <si>
    <t>NPHL-MPOX-S265</t>
  </si>
  <si>
    <t>CMR_CE_MPOX_NFA_004</t>
  </si>
  <si>
    <t>CMR_LT_MPOX_BON_009</t>
  </si>
  <si>
    <t>CMR_LT_MPOX_NEW_012</t>
  </si>
  <si>
    <t>CMR_LT_MPOX_CDP_026</t>
  </si>
  <si>
    <t xml:space="preserve">ETUDIANTE EN MEDECINE </t>
  </si>
  <si>
    <t>PK14</t>
  </si>
  <si>
    <t>CMR_LT_MPOX_NEW_013</t>
  </si>
  <si>
    <t>DEBROUILLARD</t>
  </si>
  <si>
    <t>NGANGUE</t>
  </si>
  <si>
    <t>CS MARIE REINE</t>
  </si>
  <si>
    <t>NGANGUE MAISON BLANCHE</t>
  </si>
  <si>
    <t>CMR_LT_MPOX_CDP_027</t>
  </si>
  <si>
    <t>CMR_LT_MPOX_NYL_010</t>
  </si>
  <si>
    <t>DEBROULLARD</t>
  </si>
  <si>
    <t>NPHL-MPOX-S267</t>
  </si>
  <si>
    <t>CMR_CE_MPOX_MVO_006</t>
  </si>
  <si>
    <t>ELEVEUR (TRACOM)</t>
  </si>
  <si>
    <t>CMR_EN_MPOX_KOU_004</t>
  </si>
  <si>
    <t>PAGUI</t>
  </si>
  <si>
    <t>HRAK</t>
  </si>
  <si>
    <t>MADAGASCAR</t>
  </si>
  <si>
    <t>PAGUI 1</t>
  </si>
  <si>
    <t>CMR_LT_MPOX_BON_010</t>
  </si>
  <si>
    <t>VENDEUR</t>
  </si>
  <si>
    <t>CMR_LT_MPOX_DEI_035</t>
  </si>
  <si>
    <t>CMR_LT_MPOX_BAN_013</t>
  </si>
  <si>
    <t>PEINTRE</t>
  </si>
  <si>
    <t>KOTTO</t>
  </si>
  <si>
    <t>CMR_LT_MPOX_MBG_036</t>
  </si>
  <si>
    <t>MBANGA</t>
  </si>
  <si>
    <t>DIKOUMA</t>
  </si>
  <si>
    <t>PRISON CENTRALE DE MBANGA</t>
  </si>
  <si>
    <t>PRISON</t>
  </si>
  <si>
    <t>CMR_LT_MPOX_NYL_011</t>
  </si>
  <si>
    <t>HD NEW BELL</t>
  </si>
  <si>
    <t>BRAZAVILLE,HOTEL BARCELONE</t>
  </si>
  <si>
    <t>SUP 100</t>
  </si>
  <si>
    <t>CMR_LT_MPOX_NKO_003</t>
  </si>
  <si>
    <t>EKOL MBENG</t>
  </si>
  <si>
    <t>CSI EKOL MBENG</t>
  </si>
  <si>
    <t>CRTV</t>
  </si>
  <si>
    <t>EKANGTE</t>
  </si>
  <si>
    <t>CMR_LT_MPOX_DEI_036</t>
  </si>
  <si>
    <t>CHEF D ENTREPRISE</t>
  </si>
  <si>
    <t>BONELEKE</t>
  </si>
  <si>
    <t>ECOUVILLON CUTANE, ECOUVILLON NASOPHARYNGE</t>
  </si>
  <si>
    <t>CMR_LT_MPOX_NYL_012</t>
  </si>
  <si>
    <t>DAKAR</t>
  </si>
  <si>
    <t>PVVS</t>
  </si>
  <si>
    <t>ECOUVILLON CUTANE,  ECOUVILLON NASOPHARYNGE</t>
  </si>
  <si>
    <t>CMR_LT_MPOX_NEW_014</t>
  </si>
  <si>
    <t>PHOTO GOLDEN KM5</t>
  </si>
  <si>
    <t>&gt;50</t>
  </si>
  <si>
    <t>CMR_NW_MPOX_FUN_002</t>
  </si>
  <si>
    <t>ELEVEUR</t>
  </si>
  <si>
    <t>NDAWARA</t>
  </si>
  <si>
    <t>NDAWARA IHC</t>
  </si>
  <si>
    <t>26V-4566</t>
  </si>
  <si>
    <t>CMR_NW_MPOX_BAT_021</t>
  </si>
  <si>
    <t>MBEMI</t>
  </si>
  <si>
    <t>NPHL-MPOX-S270</t>
  </si>
  <si>
    <t>Ashong Wumunyam</t>
  </si>
  <si>
    <t>CMR_NW_MPOX_BEN_004</t>
  </si>
  <si>
    <t>BENAGUDI</t>
  </si>
  <si>
    <t>26V-4801</t>
  </si>
  <si>
    <t>CMR_CE_MPOX_SOA_002</t>
  </si>
  <si>
    <t>ETODIANT</t>
  </si>
  <si>
    <t>SOA ENTREE EGLISE</t>
  </si>
  <si>
    <t>26V-4791</t>
  </si>
  <si>
    <t>SOA 1</t>
  </si>
  <si>
    <t>CMR_LT_MPOX_JAP_013</t>
  </si>
  <si>
    <t>CMR_LT_MPOX_NEW_015</t>
  </si>
  <si>
    <t>CALL BOXEUR</t>
  </si>
  <si>
    <t>NEW BELL</t>
  </si>
  <si>
    <t>CMR_LT_MPOX_NEW_016</t>
  </si>
  <si>
    <t>NEW BELL CONGO</t>
  </si>
  <si>
    <t>CMR_SU_MPOX_AMB_004</t>
  </si>
  <si>
    <t>MEYO-CENTRE</t>
  </si>
  <si>
    <t>OKONG</t>
  </si>
  <si>
    <t>NPHL-MPOX-S269</t>
  </si>
  <si>
    <t>NDJAZENG</t>
  </si>
  <si>
    <t>CMR_LT_MPOX_NEW_017</t>
  </si>
  <si>
    <t>CROUPIER</t>
  </si>
  <si>
    <t>HOPITAL AD LUCEM</t>
  </si>
  <si>
    <t>MBAM EWONDO  PHARMACIE SAINTE ANNE</t>
  </si>
  <si>
    <t>MBAM EWONDO</t>
  </si>
  <si>
    <t>CMR_OU_MPOX_MIF_002</t>
  </si>
  <si>
    <t>TYO</t>
  </si>
  <si>
    <t>CS BENEDICTE</t>
  </si>
  <si>
    <t>TYO-VILLE</t>
  </si>
  <si>
    <t>NPHL-MPOX-S271</t>
  </si>
  <si>
    <t>CMR_LT_MPOX_CDP_028</t>
  </si>
  <si>
    <t>ENSEIGNANTE</t>
  </si>
  <si>
    <t>PK 14</t>
  </si>
  <si>
    <t>CMR_LT_MPOX_DEI_037</t>
  </si>
  <si>
    <t>CMR_OU_MPOX_BAN_001</t>
  </si>
  <si>
    <t>BANGOURAIN</t>
  </si>
  <si>
    <t>KOUMENGBA</t>
  </si>
  <si>
    <t>CS BON SECOUR</t>
  </si>
  <si>
    <t>NGOUNOUN 1</t>
  </si>
  <si>
    <t>NPHL-MPOX-S275</t>
  </si>
  <si>
    <t>CMR_NO_MPOX_GAR1_004</t>
  </si>
  <si>
    <t>MINSPORT</t>
  </si>
  <si>
    <t>SOUARI</t>
  </si>
  <si>
    <t>CSI SOUARI</t>
  </si>
  <si>
    <t>SABONGARI</t>
  </si>
  <si>
    <t>NPHL-MPOX-S274</t>
  </si>
  <si>
    <t>CMR_EN_MPOX_KOU_005</t>
  </si>
  <si>
    <t>CHC MADAGASCAR</t>
  </si>
  <si>
    <t>NGOUMATI</t>
  </si>
  <si>
    <t>NPHL-MPOX-S272</t>
  </si>
  <si>
    <t>HILE HAOUSSA 1</t>
  </si>
  <si>
    <t>CMR_NW_MPOX_BAT_022</t>
  </si>
  <si>
    <t>NYENNEBA</t>
  </si>
  <si>
    <t>GROSSESSE</t>
  </si>
  <si>
    <t>26V-05382</t>
  </si>
  <si>
    <t>CMR_OU_MPOX_DSC_002</t>
  </si>
  <si>
    <t>NPHL-MPOX-S273</t>
  </si>
  <si>
    <t>FOMOPEA</t>
  </si>
  <si>
    <t>CMR_SW_MPOX_BUE_002</t>
  </si>
  <si>
    <t>REGUIONAL HOSPITAL BUEA</t>
  </si>
  <si>
    <t>BUEA(STREET 7)</t>
  </si>
  <si>
    <t>NPHL-MPOX-S276</t>
  </si>
  <si>
    <t>BUEA ROAD</t>
  </si>
  <si>
    <t>CMR_LT_MPOX_DEI_038</t>
  </si>
  <si>
    <t>CHEF D'ENTREPRISE</t>
  </si>
  <si>
    <t>BOKO PLAGE</t>
  </si>
  <si>
    <t>CMR_LT_MPOX_YAB_039</t>
  </si>
  <si>
    <t>COMMERCANTE ET CULTIVATRICE</t>
  </si>
  <si>
    <t>BONDISSAKE</t>
  </si>
  <si>
    <t>CROUTE, ECOUVILLON OROPHARYNGE ET VESICULES</t>
  </si>
  <si>
    <t>CMR_LT_MPOX_YAB_040</t>
  </si>
  <si>
    <t>CMR_LT_MPOX_DEI_039</t>
  </si>
  <si>
    <t>CMR_CE_MPOX_MFO_004</t>
  </si>
  <si>
    <t>NKOLANGA CITE</t>
  </si>
  <si>
    <t>NPHL-MPOX-S277</t>
  </si>
  <si>
    <t>ECOUVILLON CUTANE, ECOUVILLON OROPHARYNE, CROUTE</t>
  </si>
  <si>
    <t>CMR_EN_MPOX_MAR2_004</t>
  </si>
  <si>
    <t>HOPITAL REGIONAL DE MAROUA</t>
  </si>
  <si>
    <t>OURO KESSOUM</t>
  </si>
  <si>
    <t>NPHL-MPOX-S284</t>
  </si>
  <si>
    <t>OURO TADA</t>
  </si>
  <si>
    <t>CMR_OU_MPOX_DSC_003</t>
  </si>
  <si>
    <t>FONAKEUKEU</t>
  </si>
  <si>
    <t>CS TOUTSANG</t>
  </si>
  <si>
    <t>TOUTSANG</t>
  </si>
  <si>
    <t>NPHL-MPOX-279</t>
  </si>
  <si>
    <t>CMR_OU_MPOX_DSC_004</t>
  </si>
  <si>
    <t>NPHL-MPOX-S278</t>
  </si>
  <si>
    <t>CMR_OU_MPOX_DSC_005</t>
  </si>
  <si>
    <t>NPHL-MPOX-S280</t>
  </si>
  <si>
    <t>CMR_LT_MPOX_NEW_018</t>
  </si>
  <si>
    <t>CS LA CONFIANCE</t>
  </si>
  <si>
    <t>ANCIEN ETAGE</t>
  </si>
  <si>
    <t>CMR_SU_MPOX_MEY_001</t>
  </si>
  <si>
    <t>MEYOMESSALA</t>
  </si>
  <si>
    <t>MVOMEKA'A</t>
  </si>
  <si>
    <t>NPHL-MPOX-S281</t>
  </si>
  <si>
    <t>CMR_LT_MPOX_CDP_029</t>
  </si>
  <si>
    <t>NDOGBONG-CP</t>
  </si>
  <si>
    <t>DS CDP</t>
  </si>
  <si>
    <t>ECOUVILLON CUTANE,ECOUVILLON PHARYNGE , CROUTES</t>
  </si>
  <si>
    <t>CMR_LT_MPOX_CDP_030</t>
  </si>
  <si>
    <t>INFORMATICIEN</t>
  </si>
  <si>
    <t>ECOUVILLON CUTANE,ECOUVILLON PHARYNGE,CROUTES</t>
  </si>
  <si>
    <t>CMR_LT_MPOX_CDP_031</t>
  </si>
  <si>
    <t>ECOUVILLON PHARYNGE,ECOUVILLON CUTANE(organs genitaux)</t>
  </si>
  <si>
    <t>CMR_LT_MPOX_NEW_019</t>
  </si>
  <si>
    <t>&gt; 50</t>
  </si>
  <si>
    <t>ECOUVILLON OROPHARYNGE, ECOUVILLON CUTANE</t>
  </si>
  <si>
    <t>CMR_LT_MPOX_DEI_040</t>
  </si>
  <si>
    <t>HOTESSE</t>
  </si>
  <si>
    <t>&lt; 50</t>
  </si>
  <si>
    <t>CMR_LT_MPOX_NEW_020</t>
  </si>
  <si>
    <t>BOIS DE SINGES</t>
  </si>
  <si>
    <t>CSI ISMAEL</t>
  </si>
  <si>
    <t>CMR_LT_MPOX_ABO_002</t>
  </si>
  <si>
    <t>CHASSEUR</t>
  </si>
  <si>
    <t>HD DIBOMBARI</t>
  </si>
  <si>
    <t>QUARTIER HAOUSSA</t>
  </si>
  <si>
    <t>&gt; 100</t>
  </si>
  <si>
    <t>ECOUVILLON OROPHARYNGE, ECOUVILLON CUTANE, CROUTE</t>
  </si>
  <si>
    <t>CMR_CE_MPOX_MVO_007</t>
  </si>
  <si>
    <t>TOLIER</t>
  </si>
  <si>
    <t>SOSAC</t>
  </si>
  <si>
    <t>NGOUSSO</t>
  </si>
  <si>
    <t>BRAS, JAMBE, VISAGE</t>
  </si>
  <si>
    <t>NPHL-MPOX-S286</t>
  </si>
  <si>
    <t>NGOUSSO 1</t>
  </si>
  <si>
    <t>CMR_CE_MPOX_BIY_009</t>
  </si>
  <si>
    <t>BIYEM ASSI</t>
  </si>
  <si>
    <t>MVOG BETSI</t>
  </si>
  <si>
    <t>ETOUG EBE</t>
  </si>
  <si>
    <t>NPHL-MPOX-S285</t>
  </si>
  <si>
    <t>MVOG BETSI 1</t>
  </si>
  <si>
    <t>CMR_CE_MPOX_MVO_009</t>
  </si>
  <si>
    <t>NKOLMESSENG</t>
  </si>
  <si>
    <t>CMA NKOLMESSENG</t>
  </si>
  <si>
    <t>NPHL-MPOX-S291</t>
  </si>
  <si>
    <t>NKOLMESSENG 1</t>
  </si>
  <si>
    <t>CMR_LT_MPOX_YAB_041</t>
  </si>
  <si>
    <t>FORESTIER</t>
  </si>
  <si>
    <t>HOPITAL DE DISTRICT</t>
  </si>
  <si>
    <t>BEBONDO</t>
  </si>
  <si>
    <t>&gt; 50</t>
  </si>
  <si>
    <t>ECOUVILLON CUTANEE, CROUTE</t>
  </si>
  <si>
    <t>BENGA</t>
  </si>
  <si>
    <t>CMR_SW_MPOX_BUE_003</t>
  </si>
  <si>
    <t>NPHL-MPOX-S282</t>
  </si>
  <si>
    <t>CMR_CE_MPOX_NAN_001</t>
  </si>
  <si>
    <t>NANGA EBOKO</t>
  </si>
  <si>
    <t>HRA NANGA EBOKO</t>
  </si>
  <si>
    <t>WASSA MTSE</t>
  </si>
  <si>
    <t>NPHL-MPOX-S288</t>
  </si>
  <si>
    <t>CMR_LT_MPOX_BAN_014</t>
  </si>
  <si>
    <t>VETERINAIRE</t>
  </si>
  <si>
    <t>AEROPORT</t>
  </si>
  <si>
    <t>VISAGE, VENTRE</t>
  </si>
  <si>
    <t>CMR_SW_MPOX_BUE_015</t>
  </si>
  <si>
    <t>MUEA</t>
  </si>
  <si>
    <t>HD MUEA</t>
  </si>
  <si>
    <t>MUEA 2Y5</t>
  </si>
  <si>
    <t>NPHL-MPOX-S287</t>
  </si>
  <si>
    <t>CMR_LT_MPOX_NEW_021</t>
  </si>
  <si>
    <t>NEW BELL BAMILEKE EGLISE BANDJOUN</t>
  </si>
  <si>
    <t>CMR_LT_MPOX_MAN_004</t>
  </si>
  <si>
    <t>LOUM 1</t>
  </si>
  <si>
    <t>FONDATION LOUM SANTE</t>
  </si>
  <si>
    <t>NLOHE</t>
  </si>
  <si>
    <t>MANJO</t>
  </si>
  <si>
    <t>&gt; 51</t>
  </si>
  <si>
    <t>ECOUVILLON CUTANEE, SANG</t>
  </si>
  <si>
    <t>N'LOHE</t>
  </si>
  <si>
    <t>CMR_LT_MPOX_CDP_032</t>
  </si>
  <si>
    <t>BEEDI</t>
  </si>
  <si>
    <t>ECOUVILLON CUTANEE,SANG;CROUTE</t>
  </si>
  <si>
    <t>CMR_LT_MPOX_NYL_013</t>
  </si>
  <si>
    <t>ECOUVILLON OROPHARYNGE, CROUTE</t>
  </si>
  <si>
    <t>CMR_LT_MPOX_BOK_003</t>
  </si>
  <si>
    <t>SABLIER</t>
  </si>
  <si>
    <t>ENTREE BILLES</t>
  </si>
  <si>
    <t>CMR_LT_MPOX_NEW_022</t>
  </si>
  <si>
    <t>Lien avec le CC YERIMA HASSAN</t>
  </si>
  <si>
    <t>CMR_LT_MPOX_ABO_003</t>
  </si>
  <si>
    <t>KOMPINA</t>
  </si>
  <si>
    <t>CMR_SU_MPOX_KRI_003</t>
  </si>
  <si>
    <t>ESTHETICIENNE</t>
  </si>
  <si>
    <t>AFANMABE</t>
  </si>
  <si>
    <t>CMA AFAN MABE</t>
  </si>
  <si>
    <t>ANTENNE ORANGE</t>
  </si>
  <si>
    <t>CMR_NW_MPOX_TUB_001</t>
  </si>
  <si>
    <t>TUBAH</t>
  </si>
  <si>
    <t>BAMBILI</t>
  </si>
  <si>
    <t>BAMBILI CMA</t>
  </si>
  <si>
    <t>NPHL-MPOX-S289</t>
  </si>
  <si>
    <t>LNSP/CPC</t>
  </si>
  <si>
    <t>CMR_NW_MPOX_FUN_003</t>
  </si>
  <si>
    <t>MEJANG</t>
  </si>
  <si>
    <t>MBINGO HOSPITAL</t>
  </si>
  <si>
    <t>MBINGO 1</t>
  </si>
  <si>
    <t>NPHL-MPOX-S290</t>
  </si>
  <si>
    <t>CMR_OU_MPOX_MIF_003</t>
  </si>
  <si>
    <t>LAFE BALENG</t>
  </si>
  <si>
    <t>CMA LAFE</t>
  </si>
  <si>
    <t>TCHITCHAP</t>
  </si>
  <si>
    <t>NPHL-MPOX-S295</t>
  </si>
  <si>
    <t>CMR_NO_MPOX_GAR2_002</t>
  </si>
  <si>
    <t>COMMUNICATION</t>
  </si>
  <si>
    <t>ROUMDE ADJIA</t>
  </si>
  <si>
    <t>CLINIQUE VISION</t>
  </si>
  <si>
    <t>MAROUARE</t>
  </si>
  <si>
    <t>NPHL-MPOX-S293</t>
  </si>
  <si>
    <t>POUMPOUMRE</t>
  </si>
  <si>
    <t>CMR_SW_MPOX_BUE_016</t>
  </si>
  <si>
    <t>BUSINESS</t>
  </si>
  <si>
    <t>GREAD SOPPO IHC</t>
  </si>
  <si>
    <t>GREAT SOPPO</t>
  </si>
  <si>
    <t>NPHL-MPOX-S298</t>
  </si>
  <si>
    <t>CMR_SW_MPOX_BUE_017</t>
  </si>
  <si>
    <t>NPHL-MPOX-S296</t>
  </si>
  <si>
    <t>CMR_SW_MPOX_BUE_018</t>
  </si>
  <si>
    <t>NPHL-MPOX-S297</t>
  </si>
  <si>
    <t>CMR_SW_MPOX_BUE_019</t>
  </si>
  <si>
    <t>DOIGTS</t>
  </si>
  <si>
    <t>NPHL-MPOX-S299</t>
  </si>
  <si>
    <t>CMR_SW_MPOX_KON_003</t>
  </si>
  <si>
    <t>KONYE</t>
  </si>
  <si>
    <t>IKILIWINDI</t>
  </si>
  <si>
    <t>NPHL-MPOX-S300</t>
  </si>
  <si>
    <t>CMR_CE_MPOX_NGO_008</t>
  </si>
  <si>
    <t>CS EP NTOULENG</t>
  </si>
  <si>
    <t>NPHL-MPOX-S304</t>
  </si>
  <si>
    <t>CMR_OU_MPOX_DSC_006</t>
  </si>
  <si>
    <t>SITEU</t>
  </si>
  <si>
    <t>HOPITAL ST VINCENT</t>
  </si>
  <si>
    <t>FOREKE</t>
  </si>
  <si>
    <t>NPHL-MPOX-S308</t>
  </si>
  <si>
    <t>CMR_SU_MPOX_MEY_002</t>
  </si>
  <si>
    <t>HOPITAL REGIONAL ANNEXE DE MEYOMESSALA</t>
  </si>
  <si>
    <t>NPHL-MPOX-S301</t>
  </si>
  <si>
    <t>CMR_OU_MPOX_FOU_001</t>
  </si>
  <si>
    <t>FOUMBAN</t>
  </si>
  <si>
    <t>FOUMBAN SUD</t>
  </si>
  <si>
    <t>HRA FOUMBAN</t>
  </si>
  <si>
    <t>NPHL-MPOX-S302</t>
  </si>
  <si>
    <t>CMR_SW_MPOX_TIK_007</t>
  </si>
  <si>
    <t>DOIGT, FACE</t>
  </si>
  <si>
    <t>NPHL-MPOX-S303</t>
  </si>
  <si>
    <t>CMR_SW_MPOX_LIM_005</t>
  </si>
  <si>
    <t>DHL BOTA</t>
  </si>
  <si>
    <t>NPHL-MPOX-S307</t>
  </si>
  <si>
    <t>CMR_SW_MPOX_MB0_040</t>
  </si>
  <si>
    <t>NPHL-MPOX-S305</t>
  </si>
  <si>
    <t>CMR_SW_MPOX_MB0_041</t>
  </si>
  <si>
    <t>NPHL-MPOX-S306</t>
  </si>
  <si>
    <t>CMR_NW_MPOX_BAM_008</t>
  </si>
  <si>
    <t>RH BAMENDA</t>
  </si>
  <si>
    <t>ALAKUMA</t>
  </si>
  <si>
    <t>NPHL-MPOX-S310</t>
  </si>
  <si>
    <t>CMR_NW_MPOX_KUE_001</t>
  </si>
  <si>
    <t>SIMTRESS</t>
  </si>
  <si>
    <t>KUMBO EAST</t>
  </si>
  <si>
    <t>KWANSO</t>
  </si>
  <si>
    <t>KWANSO IHC</t>
  </si>
  <si>
    <t>KITUMKETEYIKI</t>
  </si>
  <si>
    <t>NPHL-MPOX-S309</t>
  </si>
  <si>
    <t>CMR_LT_MPOX_NEW_023</t>
  </si>
  <si>
    <t>NOURISSON DE 14 JOURS</t>
  </si>
  <si>
    <t>&gt; 100</t>
  </si>
  <si>
    <t>ECOUVILLON CUTANEE</t>
  </si>
  <si>
    <t>CMR_LT_MPOX_JAP_014</t>
  </si>
  <si>
    <t>MEDECIN GENERALISTE</t>
  </si>
  <si>
    <t>NYALLA</t>
  </si>
  <si>
    <t>CMR_AD_MPOX_TIB_001</t>
  </si>
  <si>
    <t>ORPAILLEUR</t>
  </si>
  <si>
    <t>ENIA</t>
  </si>
  <si>
    <t>HRB</t>
  </si>
  <si>
    <t>TIBATI</t>
  </si>
  <si>
    <t>NPHL-MPOX-S311</t>
  </si>
  <si>
    <t>TONGO (TIBATI)</t>
  </si>
  <si>
    <t>CMR_LT_MPOX_BON_011</t>
  </si>
  <si>
    <t>CMR_LT_MPOX_NEW_024</t>
  </si>
  <si>
    <t>NOURRISSON DE 1mois 21Jours</t>
  </si>
  <si>
    <t>NEW BELL CASINO</t>
  </si>
  <si>
    <t>CMR_LT_MPOX_NEW_025</t>
  </si>
  <si>
    <t>CMR_LT_MPOX_BAN_015</t>
  </si>
  <si>
    <t>Hopital laquintinine de Douala</t>
  </si>
  <si>
    <t>Lendi,quartier general</t>
  </si>
  <si>
    <t>CMR_LT_MPOX_LOG_010</t>
  </si>
  <si>
    <t>COIFFEUSE</t>
  </si>
  <si>
    <t>Vers le commissariat 14ème, Ndogpassi</t>
  </si>
  <si>
    <t>CMR_LT_MPOX_BAN_016</t>
  </si>
  <si>
    <t>COMPTABLE</t>
  </si>
  <si>
    <t>LOGPOM</t>
  </si>
  <si>
    <t>CMR_LT_MPOX_BOK_004</t>
  </si>
  <si>
    <t>CPSMS</t>
  </si>
  <si>
    <t>BOKO PLAGE 1</t>
  </si>
  <si>
    <t>CMR_EN_MPOX_MAR1_001</t>
  </si>
  <si>
    <t>Djarengol Kodek</t>
  </si>
  <si>
    <t>KAKANGO KATNAL</t>
  </si>
  <si>
    <t>MAROUA 1</t>
  </si>
  <si>
    <t>NPHL-MPOX-S312</t>
  </si>
  <si>
    <t>Katoual</t>
  </si>
  <si>
    <t>CMR_NW_MPOX_BAM3_001</t>
  </si>
  <si>
    <t>BAMENDA 3</t>
  </si>
  <si>
    <t>NKWEN URBAN</t>
  </si>
  <si>
    <t>NDAMUKONG STREET</t>
  </si>
  <si>
    <t>26V-06394</t>
  </si>
  <si>
    <t>CMR_NW_MPOX_BAM3_002</t>
  </si>
  <si>
    <t>26V-06393</t>
  </si>
  <si>
    <t>CMR_OU_MPOX_DSC_007</t>
  </si>
  <si>
    <t>CSI FOMEPEA</t>
  </si>
  <si>
    <t>TOUGLA-FOMOPEA</t>
  </si>
  <si>
    <t>NPHL-MPOX-S316</t>
  </si>
  <si>
    <t>CMR_CE_MPOX_MBK_002</t>
  </si>
  <si>
    <t>CM SOSUCAM 1</t>
  </si>
  <si>
    <t>MEMBRA 2</t>
  </si>
  <si>
    <t>NPHL-MPOX-S315</t>
  </si>
  <si>
    <t>CMR_OU_MPOX_KOU_002</t>
  </si>
  <si>
    <t>DJELENG</t>
  </si>
  <si>
    <t>CS AD LUCEM DJELENG</t>
  </si>
  <si>
    <t>NPHL-MPOX-S314</t>
  </si>
  <si>
    <t>CMR_LT_MPOX_NYL_014</t>
  </si>
  <si>
    <t>ENTREPRENEUR</t>
  </si>
  <si>
    <t>DIBOUM</t>
  </si>
  <si>
    <t xml:space="preserve">CMA DIBOUM </t>
  </si>
  <si>
    <t>LOGMAYANGUI</t>
  </si>
  <si>
    <t>CMR_CE_MPOX_BIY_010</t>
  </si>
  <si>
    <t xml:space="preserve">Littoral </t>
  </si>
  <si>
    <t>Melong</t>
  </si>
  <si>
    <t>Melong Centre</t>
  </si>
  <si>
    <t>HD MELONG</t>
  </si>
  <si>
    <t xml:space="preserve">Croûte </t>
  </si>
  <si>
    <t>Simbock 1</t>
  </si>
  <si>
    <t>CMR_LT_MPOX_NKO_004</t>
  </si>
  <si>
    <t>NOURRISSON</t>
  </si>
  <si>
    <t xml:space="preserve">Nkongsamba </t>
  </si>
  <si>
    <t>Ekel Mbeng</t>
  </si>
  <si>
    <t>HR NKONSAMBA</t>
  </si>
  <si>
    <t>EKEL-MBENG</t>
  </si>
  <si>
    <t>Croute/Oro</t>
  </si>
  <si>
    <t>CMR_LT_MPOX_BAN_017</t>
  </si>
  <si>
    <t xml:space="preserve">Bangue </t>
  </si>
  <si>
    <t>FIN GOUDRON BANGUE</t>
  </si>
  <si>
    <t>Croûte/Oro</t>
  </si>
  <si>
    <t>CMR_LT_MPOX_JAP_015</t>
  </si>
  <si>
    <t>Boko</t>
  </si>
  <si>
    <t>Ngodi Bokoko</t>
  </si>
  <si>
    <t>CMR_CE_MPOX_NKO_002</t>
  </si>
  <si>
    <t>EKOREZOCK</t>
  </si>
  <si>
    <t>NKOLAFAME</t>
  </si>
  <si>
    <t>CMR_SW_MPOX_LIM_006</t>
  </si>
  <si>
    <t>ZOUE 2</t>
  </si>
  <si>
    <t>REGIONAL HOSPITAL LIMBE</t>
  </si>
  <si>
    <t>MILE H</t>
  </si>
  <si>
    <t>NPHL-MPOX-S313</t>
  </si>
  <si>
    <t>MOLIWE</t>
  </si>
  <si>
    <t>CMR_LT_MPOX_NEW_026</t>
  </si>
  <si>
    <t xml:space="preserve">ECOUVILLON CUTANE </t>
  </si>
  <si>
    <t>CMR_LT_MPOX_LOG_011</t>
  </si>
  <si>
    <t>COMMERCIALE</t>
  </si>
  <si>
    <t>NDOGSIMBI</t>
  </si>
  <si>
    <t>ECOUVILLON CUTANE CROUTE</t>
  </si>
  <si>
    <t>NDOGSSIMBI</t>
  </si>
  <si>
    <t>CMR_LT_MPOX_JAP_016</t>
  </si>
  <si>
    <t>BICHE</t>
  </si>
  <si>
    <t>NYALLA CHATEAU</t>
  </si>
  <si>
    <t>CMR_CE_MPOX_AYO_027</t>
  </si>
  <si>
    <t>MBOKE</t>
  </si>
  <si>
    <t>26V-06528</t>
  </si>
  <si>
    <t>CLADE 1 ET 2</t>
  </si>
  <si>
    <t>CMR_LT_MPOX_LOG_012</t>
  </si>
  <si>
    <t xml:space="preserve">NON </t>
  </si>
  <si>
    <t>CMR_LT_MPOX_BAN_018</t>
  </si>
  <si>
    <t>HCNDA DE LOGPOM</t>
  </si>
  <si>
    <t>PK 15</t>
  </si>
  <si>
    <t>O</t>
  </si>
  <si>
    <t>CMR_OU_MPOX_DSC_008</t>
  </si>
  <si>
    <t>NPHL-MPOX-S317</t>
  </si>
  <si>
    <t>CMR_LT_MPOX_LOG_013</t>
  </si>
  <si>
    <t>CMA DIBOUM</t>
  </si>
  <si>
    <t>ECOUVILLON OROPHARYNGE,ECOUVILLON CUTANE</t>
  </si>
  <si>
    <t>CMR_LT_MPOX_DEI_041</t>
  </si>
  <si>
    <t>CS IVA</t>
  </si>
  <si>
    <t>BEPANDA BONEWONDA</t>
  </si>
  <si>
    <t>CMR_LT_MPOX_DEI_042</t>
  </si>
  <si>
    <t>CMR_LT_MPOX_NYL_015</t>
  </si>
  <si>
    <t>DISPENSAIRE CATHOLIQUE BARCELONE</t>
  </si>
  <si>
    <t>MALADE</t>
  </si>
  <si>
    <t>ECOUVILLON OROPHARYNGE, CROUTE CUTANE</t>
  </si>
  <si>
    <t>CMR_SU_MPOX_KRI_004</t>
  </si>
  <si>
    <t>TALLA</t>
  </si>
  <si>
    <t>MPANGON COTON</t>
  </si>
  <si>
    <t>26V-06555</t>
  </si>
  <si>
    <t>TALA</t>
  </si>
  <si>
    <t>CMR_CE_MPOX_NDI_019</t>
  </si>
  <si>
    <t>26V-06554</t>
  </si>
  <si>
    <t>MAKENENE 1</t>
  </si>
  <si>
    <t>CMR_LT_MPOX_DEI_043</t>
  </si>
  <si>
    <t>BEPANDA CAMTEL</t>
  </si>
  <si>
    <t>BEPANDA OMNISPORTS</t>
  </si>
  <si>
    <t>CMR_NW_MPOX_BAM3_003</t>
  </si>
  <si>
    <t>NEW ROAD</t>
  </si>
  <si>
    <t>NPHL-MPOX-S331</t>
  </si>
  <si>
    <t>CMR_CE_MPOX_NDI_020</t>
  </si>
  <si>
    <t>NPHL-MPOX-S330</t>
  </si>
  <si>
    <t>CMR_LT_MPOX_BAN_019</t>
  </si>
  <si>
    <t>HD DE BANGUE</t>
  </si>
  <si>
    <t xml:space="preserve">BANGUE REPERE </t>
  </si>
  <si>
    <t>ECOUVILLON CUTANEE, CROUTE, SANG</t>
  </si>
  <si>
    <t>CMR_CE_MPOX_NFA_006</t>
  </si>
  <si>
    <t>H EPC DJOUNGOLO</t>
  </si>
  <si>
    <t>NPHL-MPOX-S322</t>
  </si>
  <si>
    <t>CMR_SW_MPOX_BUE_020</t>
  </si>
  <si>
    <t>RADITANY HOSPITAL</t>
  </si>
  <si>
    <t>NEW LAYOUT</t>
  </si>
  <si>
    <t>CMR_SU_MPOX_SAN_002</t>
  </si>
  <si>
    <t>SANGMELIMA</t>
  </si>
  <si>
    <t>ELOM-YEMFEK</t>
  </si>
  <si>
    <t>MEYOS-YEMVENG</t>
  </si>
  <si>
    <t>NPHL-MPOX-S321</t>
  </si>
  <si>
    <t>ELOM-YEMFECK</t>
  </si>
  <si>
    <t>CMR_OU_MPOX_FOU_002</t>
  </si>
  <si>
    <t>KILOMBO</t>
  </si>
  <si>
    <t>CMR_CE_MPOX_NFA_007</t>
  </si>
  <si>
    <t>NPHL-MPOX-S323</t>
  </si>
  <si>
    <t>CMR_LT_MPOX_NYL_016</t>
  </si>
  <si>
    <t>MACON</t>
  </si>
  <si>
    <t>VISAGE, HANCHE GAUCHE,PAUME DES MAINS</t>
  </si>
  <si>
    <t>ECOUVILLON CUTANNE,CROUTE CUTANE</t>
  </si>
  <si>
    <t>CMR_LT_MPOX_NEW_027</t>
  </si>
  <si>
    <t>CS SOLIDARITE</t>
  </si>
  <si>
    <t>DERRIERE HOTEL LITTORAL</t>
  </si>
  <si>
    <t>CMR_LT_MPOX_ABO_004</t>
  </si>
  <si>
    <t>CDC KOMPINA</t>
  </si>
  <si>
    <t>CMR_CE_MPOX_NDI_021</t>
  </si>
  <si>
    <t>NYOKON</t>
  </si>
  <si>
    <t>CSI NYOKON</t>
  </si>
  <si>
    <t>KINDINE-NDE</t>
  </si>
  <si>
    <t>CMR_CE_MPOX_AYO_028</t>
  </si>
  <si>
    <t>CSI MBOKE</t>
  </si>
  <si>
    <t>26V-06736</t>
  </si>
  <si>
    <t>CMR_CE_MPOX_AKO_002</t>
  </si>
  <si>
    <t>EKAN</t>
  </si>
  <si>
    <t>NPHL-MPOX-S326</t>
  </si>
  <si>
    <t>AKONOLINGA URBAIN</t>
  </si>
  <si>
    <t>CMR_CE_MPOX_AKO_003</t>
  </si>
  <si>
    <t>NPHL-MPOX-S324</t>
  </si>
  <si>
    <t>CMR_CE_MPOX_AKO_004</t>
  </si>
  <si>
    <t>NPHL-MPOX-S327</t>
  </si>
  <si>
    <t>CMR_CE_MPOX_AKO_005</t>
  </si>
  <si>
    <t>NPHL-MPOX-S328</t>
  </si>
  <si>
    <t>CMR_CE_MPOX_AKO_006</t>
  </si>
  <si>
    <t>NPHL-MPOX-S325</t>
  </si>
  <si>
    <t>CMR_NW_MPOX_NJI_011</t>
  </si>
  <si>
    <t>BASSA IHC</t>
  </si>
  <si>
    <t>BASSA (DANGSI)</t>
  </si>
  <si>
    <t>26V-06704</t>
  </si>
  <si>
    <t>CMR_LT_MPOX_BAN_020</t>
  </si>
  <si>
    <t>JAPOMA MBANGA</t>
  </si>
  <si>
    <t>CS FAITHFUL</t>
  </si>
  <si>
    <t>MAKEPE</t>
  </si>
  <si>
    <t>ECOUVILLON CUTANE,CROUTE ET SANG</t>
  </si>
  <si>
    <t>MAKEPE MISSOKE</t>
  </si>
  <si>
    <t>CMR_LT_MPOX_DEI_045</t>
  </si>
  <si>
    <t xml:space="preserve">ECOUVILLON CUTANE,CROUTE </t>
  </si>
  <si>
    <t>CMR_LT_MPOX_ABO_005</t>
  </si>
  <si>
    <t>CAISSIERE</t>
  </si>
  <si>
    <t>CARE CENTER</t>
  </si>
  <si>
    <t>BONABONG 1</t>
  </si>
  <si>
    <t>NPHL-MPOX-S343</t>
  </si>
  <si>
    <t>CMR_LT_MPOX_NYL_017</t>
  </si>
  <si>
    <t>CS MISERICORDE</t>
  </si>
  <si>
    <t>ENTREE BILLE</t>
  </si>
  <si>
    <t>LESIONS</t>
  </si>
  <si>
    <t>CMR_LT_MPOX_DEI_046</t>
  </si>
  <si>
    <t>FRIGORISTE</t>
  </si>
  <si>
    <t>MARCHE MISSOKE</t>
  </si>
  <si>
    <t>CMR_SU_MPOX_KRI_005</t>
  </si>
  <si>
    <t>Mpangou petit marché</t>
  </si>
  <si>
    <t>CMR_SU_MPOX_KRI_007</t>
  </si>
  <si>
    <t>CM Insolafrica</t>
  </si>
  <si>
    <t>Mpagou derrière COTCO</t>
  </si>
  <si>
    <t>CMR_CE_MPOX_MFO_005</t>
  </si>
  <si>
    <t>CENTRE MEDICALE SAINTE DOMINIQUE</t>
  </si>
  <si>
    <t>ESSAZOC NSIMALEN</t>
  </si>
  <si>
    <t>NPHL-MPOX-S332</t>
  </si>
  <si>
    <t>CMR_LT_MPOX_JAP_017</t>
  </si>
  <si>
    <t>CONTENAIRE BLEU JAPOMA</t>
  </si>
  <si>
    <t>CMR_LT_MPOX_LOG_014</t>
  </si>
  <si>
    <t>PERSONNEL DE SANTE</t>
  </si>
  <si>
    <t>ECOUVILLON CUTANE, ECOUVILLON OROPHARINGE</t>
  </si>
  <si>
    <t>NDOGBATI</t>
  </si>
  <si>
    <t>CMR_SW_MPOX_TIK_008</t>
  </si>
  <si>
    <t>LIKOMBA</t>
  </si>
  <si>
    <t>CDC COHAGE</t>
  </si>
  <si>
    <t>KOMPINA-CAMP 1</t>
  </si>
  <si>
    <t>ECOUVILLON OROPHARYNGE, LESIONS</t>
  </si>
  <si>
    <t>HLD/LNSP</t>
  </si>
  <si>
    <t>CMR_CE_MPOX_SOA_003</t>
  </si>
  <si>
    <t>HD MESSASSI</t>
  </si>
  <si>
    <t>NPHL-MPOX-S339</t>
  </si>
  <si>
    <t>CMR_LT_MPOX_JAP_018</t>
  </si>
  <si>
    <t>NYALA-NKOLBONG</t>
  </si>
  <si>
    <t>CMR_SU_MPOX_EBO_001</t>
  </si>
  <si>
    <t>CHEF CHANTIER</t>
  </si>
  <si>
    <t>EBOLOWA</t>
  </si>
  <si>
    <t>ENONGAL</t>
  </si>
  <si>
    <t>HR EBOLOWA</t>
  </si>
  <si>
    <t>NDJAFOP</t>
  </si>
  <si>
    <t>NPHL-MPOX-S333</t>
  </si>
  <si>
    <t>CMR_CE_MPOX_AYO_029</t>
  </si>
  <si>
    <t>PASTEUR</t>
  </si>
  <si>
    <t>GASCHIGA</t>
  </si>
  <si>
    <t>HD GASCHIGA</t>
  </si>
  <si>
    <t>BAROUMAG</t>
  </si>
  <si>
    <t>NPHL-MPOX-S335</t>
  </si>
  <si>
    <t>CMR_SU_MPOX_KRI_008</t>
  </si>
  <si>
    <t>Kribi</t>
  </si>
  <si>
    <t>CM INSOLAFRICA</t>
  </si>
  <si>
    <t xml:space="preserve">Lésions </t>
  </si>
  <si>
    <t>CMR_SU_MPOX_NIE_001</t>
  </si>
  <si>
    <t xml:space="preserve">Niete </t>
  </si>
  <si>
    <t>Village II</t>
  </si>
  <si>
    <t>Niete</t>
  </si>
  <si>
    <t>Socapalm</t>
  </si>
  <si>
    <t>CMR_SU_MPOX_NIE_002</t>
  </si>
  <si>
    <t>Village  II</t>
  </si>
  <si>
    <t>CMR_SU_MPOX_KRI_009</t>
  </si>
  <si>
    <t xml:space="preserve">Kribi </t>
  </si>
  <si>
    <t>Nlende-Dibe</t>
  </si>
  <si>
    <t>Grand-Batanga</t>
  </si>
  <si>
    <t>CMR_SU_MPOX_KRI_010</t>
  </si>
  <si>
    <t>CMR_SU_MPOX_KRI_011</t>
  </si>
  <si>
    <t>CSI NLENDE DIBE</t>
  </si>
  <si>
    <t>CMR_SU_MPOX_KRI_012</t>
  </si>
  <si>
    <t>Mpangou</t>
  </si>
  <si>
    <t>AISELLES</t>
  </si>
  <si>
    <t>CMR_SU_MPOX_EBO_002</t>
  </si>
  <si>
    <t>MELANGUE 1</t>
  </si>
  <si>
    <t>NGOA ZIPE</t>
  </si>
  <si>
    <t>NPHL-MPOX-S341</t>
  </si>
  <si>
    <t>CMR_SU_MPOX_EBO_003</t>
  </si>
  <si>
    <t>CMA EFOULAN</t>
  </si>
  <si>
    <t>NSAT</t>
  </si>
  <si>
    <t>NPHL-MPOX-S340</t>
  </si>
  <si>
    <t>CMR_EN_MPOX_KOU_006</t>
  </si>
  <si>
    <t>CSP LA VOLONTE</t>
  </si>
  <si>
    <t>MAINANI</t>
  </si>
  <si>
    <t>NPHL-MPOX-S337</t>
  </si>
  <si>
    <t>CMR_OU_MPOX_BAN_002</t>
  </si>
  <si>
    <t>CSI KOUMENGBA</t>
  </si>
  <si>
    <t>CHEFFERIE KOUMENGBA</t>
  </si>
  <si>
    <t>NPHL-MPOX-S336</t>
  </si>
  <si>
    <t>CMR_SW_MPOX_TIK_009</t>
  </si>
  <si>
    <t>BAPTIST HOPITAL MUTENGENE</t>
  </si>
  <si>
    <t>STREET 7 TIKO</t>
  </si>
  <si>
    <t>NPHL-MPOX-S338</t>
  </si>
  <si>
    <t>CMR_LT_MPOX_BAN_021</t>
  </si>
  <si>
    <t>LOGISTICIEN</t>
  </si>
  <si>
    <t>LOGPOM BASSONG COLLEGE ADONAI</t>
  </si>
  <si>
    <t>NPHL-MPOX-S342</t>
  </si>
  <si>
    <t>CMR_NW_MPOX_KUE_002</t>
  </si>
  <si>
    <t>KITUMKETIYKI</t>
  </si>
  <si>
    <t>NPHL-MPOX-S346</t>
  </si>
  <si>
    <t>CMR_LT_MPOX_BOK_005</t>
  </si>
  <si>
    <t>NEW TOWN AEREPORT</t>
  </si>
  <si>
    <t>NPHL-MPOX-S350</t>
  </si>
  <si>
    <t>NEWTOWN AIRPORT</t>
  </si>
  <si>
    <t>CMR_LT_MPOX_NYL_018</t>
  </si>
  <si>
    <t>BRAZAVILLE (NETOYCAM)</t>
  </si>
  <si>
    <t>SOBOUM</t>
  </si>
  <si>
    <t>CMR_LT_MPOX_DIB_002</t>
  </si>
  <si>
    <t>BEKOKO</t>
  </si>
  <si>
    <t>NPHL-MPOX-S344</t>
  </si>
  <si>
    <t>CMR_SU_MPOX_EBO_004</t>
  </si>
  <si>
    <t>NPHL-MPOX-S345</t>
  </si>
  <si>
    <t>CMR_SU_MPOX_EBO_005</t>
  </si>
  <si>
    <t>CMR_SU_MPOX_EBO_006</t>
  </si>
  <si>
    <t>MVOG-MBIA</t>
  </si>
  <si>
    <t>NPHL-MPOX-S351</t>
  </si>
  <si>
    <t>CMR_OU_MPOX_DSC_009</t>
  </si>
  <si>
    <t>FIALA FOREKE</t>
  </si>
  <si>
    <t>CS DE L'UNITE</t>
  </si>
  <si>
    <t>NGUI</t>
  </si>
  <si>
    <t>NPHL-MPOX-S355</t>
  </si>
  <si>
    <t>CMR_SU_MPOX_EBO_007</t>
  </si>
  <si>
    <t>DISPENSAIRE URBAIN</t>
  </si>
  <si>
    <t>CSI URBAIN N°1 EBOLOWA</t>
  </si>
  <si>
    <t>JOHN HALT</t>
  </si>
  <si>
    <t>CMR_SU_MPOX_LOL_001</t>
  </si>
  <si>
    <t>LOLODORF</t>
  </si>
  <si>
    <t>MANGOUMA</t>
  </si>
  <si>
    <t>CMR_SU_MPOX_ZOE_001</t>
  </si>
  <si>
    <t>ZOETELE</t>
  </si>
  <si>
    <t>EKOMBITE</t>
  </si>
  <si>
    <t>WOABETE</t>
  </si>
  <si>
    <t>CMR_NW_MPOX_BEN_005</t>
  </si>
  <si>
    <t>BENANGE</t>
  </si>
  <si>
    <t>CMR_SU_MPOX_ZOE_002</t>
  </si>
  <si>
    <t>CMR_EN_MPOX_KOU_007</t>
  </si>
  <si>
    <t xml:space="preserve">Kousseri </t>
  </si>
  <si>
    <t>CSPC MADAGASCAR</t>
  </si>
  <si>
    <t xml:space="preserve">Mainani </t>
  </si>
  <si>
    <t>CMR_EN_MPOX_KOU_008</t>
  </si>
  <si>
    <t>CMR_EN_MPOX_KOU_009</t>
  </si>
  <si>
    <t>CMR_LT_MPOX_NYL_019</t>
  </si>
  <si>
    <t>DIBOUM 2 DERRIERE EEC</t>
  </si>
  <si>
    <t>COUDE</t>
  </si>
  <si>
    <t>ECOUVILLON CUTANEE, CROUTE CUTANEE</t>
  </si>
  <si>
    <t>CMR_LT_MPOX_NEW_028</t>
  </si>
  <si>
    <t>GESTIONNAIRE DES DONNEES</t>
  </si>
  <si>
    <t>CMR_EN_MPOX_KOU_010</t>
  </si>
  <si>
    <t>ZINA</t>
  </si>
  <si>
    <t>Lieu de voyage</t>
  </si>
  <si>
    <t>Nom de l'animal</t>
  </si>
  <si>
    <t>NPHL-MPOX-S356</t>
  </si>
  <si>
    <t>HRA KOUSSERI</t>
  </si>
  <si>
    <t>HOLOM</t>
  </si>
  <si>
    <t>KOATAFA TCHAD</t>
  </si>
  <si>
    <t>CMR_LT_MPOX_BAN_022</t>
  </si>
  <si>
    <t>BANQUIER</t>
  </si>
  <si>
    <t>LOGPOM BASSON MAISON JUMELLE</t>
  </si>
  <si>
    <t>CMR_LT_MPOX_DEI_047</t>
  </si>
  <si>
    <t>deido</t>
  </si>
  <si>
    <t>akwa II</t>
  </si>
  <si>
    <t>Bepanda CASSMANGO</t>
  </si>
  <si>
    <t>CMR_LT_MPOX_JAP_019</t>
  </si>
  <si>
    <t xml:space="preserve">deido </t>
  </si>
  <si>
    <t>yassa DERRIERE BROLI</t>
  </si>
  <si>
    <t>écouvillon</t>
  </si>
  <si>
    <t>yassa</t>
  </si>
  <si>
    <t>1a</t>
  </si>
  <si>
    <t>CMR_LT_MPOX_DEI_048</t>
  </si>
  <si>
    <t>Bepanda RUE DES PAVES GENERAL VOYAGES</t>
  </si>
  <si>
    <t>CMR_SU_MPOX_KRI_013</t>
  </si>
  <si>
    <t>kribi</t>
  </si>
  <si>
    <t xml:space="preserve">Afan Mabe </t>
  </si>
  <si>
    <t>afan mabe</t>
  </si>
  <si>
    <t xml:space="preserve">negatif </t>
  </si>
  <si>
    <t>CMR_SU_MPOX_KRI_014</t>
  </si>
  <si>
    <t>HRA KRIBI</t>
  </si>
  <si>
    <t>nkolbiten</t>
  </si>
  <si>
    <t>CMR_SU_MPOX_KRI_015</t>
  </si>
  <si>
    <t>mpangou</t>
  </si>
  <si>
    <t>CMR_NW_MPOX_BAT_023</t>
  </si>
  <si>
    <t>GUKA</t>
  </si>
  <si>
    <t>NPHL-MPOX-S370</t>
  </si>
  <si>
    <t>CMR_OU_MPOX_DSC_010</t>
  </si>
  <si>
    <t>HRA DSCHANG</t>
  </si>
  <si>
    <t>NGUI-MINGMETO</t>
  </si>
  <si>
    <t>CAS CONTACT DU CAS NANDONG MEKONTSO YUNIS</t>
  </si>
  <si>
    <t>CMR_LT_MPOX_CDP_033</t>
  </si>
  <si>
    <t>NYALLA-CP</t>
  </si>
  <si>
    <t>PK9 derriére le centre éducatif du chateau</t>
  </si>
  <si>
    <t>ECOUVILLON CUTANE,CROUTES, ECOUVILLON PHARYNGE</t>
  </si>
  <si>
    <t>CAS CONTACT DU CAS KINGUE SAMUEL</t>
  </si>
  <si>
    <t>CMR_LT_MPOX_CDP_034</t>
  </si>
  <si>
    <t>PK9 derrière le centre éducatif du chateau</t>
  </si>
  <si>
    <t>ECOUVILLON CUTANE, CROUTES, ECOUVILLON PHARYNGE</t>
  </si>
  <si>
    <t>CMR_CE_MPOX_DJO_027</t>
  </si>
  <si>
    <t>HOTELLERIE</t>
  </si>
  <si>
    <t>HD DJOUNGOLO</t>
  </si>
  <si>
    <t>NPHL-MPOX-S369</t>
  </si>
  <si>
    <t>CMR_NW_MPOX_BAT_024</t>
  </si>
  <si>
    <t>NPHL-MPOX-S357</t>
  </si>
  <si>
    <t>ECOUVILLLON CUTANE</t>
  </si>
  <si>
    <t>CMR_SW_MPOX_BAN_001</t>
  </si>
  <si>
    <t>BANGEM</t>
  </si>
  <si>
    <t>MUAMBONG</t>
  </si>
  <si>
    <t>BANGEM DISTRICT HOSPITAL</t>
  </si>
  <si>
    <t>NZIMBIG</t>
  </si>
  <si>
    <t>CMR_OU_MPOX_KEK_002</t>
  </si>
  <si>
    <t>BANWA</t>
  </si>
  <si>
    <t>CMA BANWA</t>
  </si>
  <si>
    <t>FOYONG</t>
  </si>
  <si>
    <t>NPHL-MPOX-S366</t>
  </si>
  <si>
    <t>CMR_SW_MPOX_KUN_006</t>
  </si>
  <si>
    <t>KUMBA BAPTIST HOSPITAL</t>
  </si>
  <si>
    <t>METTA QUATER</t>
  </si>
  <si>
    <t>CMR_SW_MPOX_LIM_007</t>
  </si>
  <si>
    <t>RH LIMBE</t>
  </si>
  <si>
    <t>WATUTU</t>
  </si>
  <si>
    <t>NPHL-MPOX-S364</t>
  </si>
  <si>
    <t>BOJONGO</t>
  </si>
  <si>
    <t>CMR_SW_MPOX_KUN_007</t>
  </si>
  <si>
    <t>NPHL-MPOX-S371</t>
  </si>
  <si>
    <t>CMR_SU_MPOX_KYO_001</t>
  </si>
  <si>
    <t>KYE OSSI</t>
  </si>
  <si>
    <t>KYE OSSI URBAIN</t>
  </si>
  <si>
    <t>CS TROIS NATIONS</t>
  </si>
  <si>
    <t>ESSABEN</t>
  </si>
  <si>
    <t>NPHL-MPOX-S362</t>
  </si>
  <si>
    <t>CMR_SU_MPOX_SAN_003</t>
  </si>
  <si>
    <t>GARDIEN</t>
  </si>
  <si>
    <t>NKOLNGUET</t>
  </si>
  <si>
    <t>MANG</t>
  </si>
  <si>
    <t>ABSENCE D'HYGIENE</t>
  </si>
  <si>
    <t>NPHL-MPOX-S358</t>
  </si>
  <si>
    <t>CMR_SU_MPOX_ZOE_003</t>
  </si>
  <si>
    <t>EBAMINA</t>
  </si>
  <si>
    <t>CSI MEBA</t>
  </si>
  <si>
    <t>MEBA (NKOLMEKOK)</t>
  </si>
  <si>
    <t>PROSTATITE</t>
  </si>
  <si>
    <t>NPHL-MPOX-S359</t>
  </si>
  <si>
    <t>CMR_SU_MPOX_EBO_008</t>
  </si>
  <si>
    <t>BIBA 1</t>
  </si>
  <si>
    <t>CS NKOENVONE</t>
  </si>
  <si>
    <t>ASSO'ASSENG</t>
  </si>
  <si>
    <t>NPHL-MPOX-S360</t>
  </si>
  <si>
    <t>CMR_SU_MPOX_EBO_009</t>
  </si>
  <si>
    <t>CSI BIBA 1</t>
  </si>
  <si>
    <t>NPHL-MPOX-S361</t>
  </si>
  <si>
    <t>CMR_SU_MPOX_EBO_010</t>
  </si>
  <si>
    <t>MEYO VILLE</t>
  </si>
  <si>
    <t>ALAM PARTS</t>
  </si>
  <si>
    <t>CMR_SU_MPOX_EBO_011</t>
  </si>
  <si>
    <t>FONCTIONNAIRE</t>
  </si>
  <si>
    <t>CM POLICE</t>
  </si>
  <si>
    <t>MEBAE</t>
  </si>
  <si>
    <t>NPHL-MPOX-S363</t>
  </si>
  <si>
    <t>CMR_SU_MPOX_EBO_012</t>
  </si>
  <si>
    <t>CSI MEFAK</t>
  </si>
  <si>
    <t>MBEKOMO</t>
  </si>
  <si>
    <t>PALUDISME</t>
  </si>
  <si>
    <t>NPHL-MPOX-S368</t>
  </si>
  <si>
    <t>CMR_SU_MPOX_EBO_013</t>
  </si>
  <si>
    <t>NPHL-MPOX-S365</t>
  </si>
  <si>
    <t>CMR_SU_MPOX_EBO_014</t>
  </si>
  <si>
    <t>MEFAK</t>
  </si>
  <si>
    <t>AISELLE DROITE</t>
  </si>
  <si>
    <t>NPHL-MPOX-S367</t>
  </si>
  <si>
    <t>CMR_SU_MPOX_KRI_016</t>
  </si>
  <si>
    <t>cma afan mabe</t>
  </si>
  <si>
    <t>CMR_SU_MPOX_NIE_003</t>
  </si>
  <si>
    <t>niete</t>
  </si>
  <si>
    <t>socapalm</t>
  </si>
  <si>
    <t>negatif</t>
  </si>
  <si>
    <t>CMR_SU_MPOX_KRI_017</t>
  </si>
  <si>
    <t>talla</t>
  </si>
  <si>
    <t>CMR_LT_MPOX_NEW_029</t>
  </si>
  <si>
    <t>AGENT COMMERCIAL</t>
  </si>
  <si>
    <t>new bell</t>
  </si>
  <si>
    <t>nkongmondo</t>
  </si>
  <si>
    <t>HOPITAL AD LUCEM BALI</t>
  </si>
  <si>
    <t>shell new bell</t>
  </si>
  <si>
    <t xml:space="preserve">Oro/Lésions </t>
  </si>
  <si>
    <t>nylon</t>
  </si>
  <si>
    <t>barcelone nylon</t>
  </si>
  <si>
    <t>camp yabassi</t>
  </si>
  <si>
    <t>LEVRES</t>
  </si>
  <si>
    <t>CMR_SU_MPOX_KRI_018</t>
  </si>
  <si>
    <t xml:space="preserve">kribi </t>
  </si>
  <si>
    <t>dombe</t>
  </si>
  <si>
    <t>talla/dombe</t>
  </si>
  <si>
    <t>CMR_SU_MPOX_KRI_019</t>
  </si>
  <si>
    <t xml:space="preserve">niete </t>
  </si>
  <si>
    <t>hevecam II</t>
  </si>
  <si>
    <t>CMR_EN_MPOX_KOU_011</t>
  </si>
  <si>
    <t>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</si>
</sst>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;@"/>
    <numFmt numFmtId="165" formatCode="[$]dd/mm/yyyy;@"/>
    <numFmt numFmtId="166" formatCode="d/m/yyyy"/>
  </numFmts>
  <fonts count="20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0"/>
      <color theme="1"/>
      <name val="Cambria"/>
      <family val="1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000000"/>
      <name val="Tahoma"/>
      <family val="2"/>
    </font>
    <font>
      <sz val="1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165" fontId="3" fillId="2" borderId="1" xfId="0" applyNumberFormat="1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center"/>
    </xf>
    <xf numFmtId="14" fontId="0" fillId="0" borderId="0" xfId="0" applyNumberFormat="1"/>
    <xf numFmtId="0" fontId="0" fillId="0" borderId="0" xfId="0" applyAlignment="1">
      <alignment horizontal="right"/>
    </xf>
    <xf numFmtId="0" fontId="0" fillId="0" borderId="3" xfId="0" applyBorder="1"/>
    <xf numFmtId="14" fontId="0" fillId="0" borderId="0" xfId="0" applyNumberFormat="1" applyAlignment="1">
      <alignment horizontal="right"/>
    </xf>
    <xf numFmtId="166" fontId="0" fillId="0" borderId="0" xfId="0" applyNumberForma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14" fontId="5" fillId="0" borderId="0" xfId="0" applyNumberFormat="1" applyFont="1" applyAlignment="1">
      <alignment horizontal="right" wrapText="1"/>
    </xf>
    <xf numFmtId="0" fontId="0" fillId="0" borderId="0" xfId="0" applyAlignment="1">
      <alignment wrapText="1"/>
    </xf>
    <xf numFmtId="14" fontId="0" fillId="0" borderId="4" xfId="0" applyNumberFormat="1" applyBorder="1"/>
    <xf numFmtId="0" fontId="0" fillId="0" borderId="4" xfId="0" applyBorder="1"/>
    <xf numFmtId="0" fontId="6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/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" fillId="0" borderId="0" xfId="1" applyFont="1" applyFill="1" applyAlignment="1"/>
    <xf numFmtId="14" fontId="9" fillId="0" borderId="0" xfId="0" applyNumberFormat="1" applyFont="1" applyAlignment="1">
      <alignment horizontal="right"/>
    </xf>
    <xf numFmtId="0" fontId="9" fillId="0" borderId="0" xfId="0" applyFont="1"/>
    <xf numFmtId="14" fontId="9" fillId="0" borderId="0" xfId="0" applyNumberFormat="1" applyFont="1"/>
    <xf numFmtId="0" fontId="9" fillId="0" borderId="3" xfId="0" applyFont="1" applyBorder="1"/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  <xf numFmtId="0" fontId="1" fillId="0" borderId="6" xfId="0" applyFont="1" applyBorder="1"/>
    <xf numFmtId="0" fontId="11" fillId="0" borderId="0" xfId="0" applyFont="1" applyAlignment="1">
      <alignment wrapText="1"/>
    </xf>
    <xf numFmtId="14" fontId="12" fillId="0" borderId="0" xfId="0" applyNumberFormat="1" applyFont="1"/>
    <xf numFmtId="0" fontId="12" fillId="0" borderId="0" xfId="0" applyFont="1"/>
    <xf numFmtId="14" fontId="13" fillId="0" borderId="0" xfId="0" applyNumberFormat="1" applyFont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6" fillId="0" borderId="0" xfId="0" applyNumberFormat="1" applyFont="1"/>
    <xf numFmtId="0" fontId="6" fillId="0" borderId="0" xfId="0" applyFont="1" applyAlignment="1">
      <alignment horizontal="center" vertical="center"/>
    </xf>
    <xf numFmtId="0" fontId="14" fillId="0" borderId="0" xfId="0" applyFont="1"/>
    <xf numFmtId="14" fontId="0" fillId="0" borderId="0" xfId="0" applyNumberFormat="1" applyAlignment="1">
      <alignment horizontal="center"/>
    </xf>
    <xf numFmtId="0" fontId="15" fillId="0" borderId="0" xfId="0" applyFont="1"/>
    <xf numFmtId="0" fontId="16" fillId="0" borderId="0" xfId="0" applyFont="1"/>
    <xf numFmtId="14" fontId="16" fillId="0" borderId="0" xfId="0" applyNumberFormat="1" applyFont="1"/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17" fillId="0" borderId="0" xfId="0" applyFont="1"/>
    <xf numFmtId="14" fontId="18" fillId="0" borderId="0" xfId="0" applyNumberFormat="1" applyFont="1" applyAlignment="1">
      <alignment vertical="center"/>
    </xf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right"/>
    </xf>
    <xf numFmtId="14" fontId="19" fillId="0" borderId="0" xfId="0" applyNumberFormat="1" applyFont="1"/>
    <xf numFmtId="0" fontId="19" fillId="0" borderId="0" xfId="0" applyFont="1"/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0" xfId="0" applyFill="1"/>
    <xf numFmtId="1" fontId="0" fillId="0" borderId="0" xfId="0" applyNumberFormat="1" applyAlignment="1">
      <alignment horizontal="center"/>
    </xf>
  </cellXfs>
  <cellStyles count="2">
    <cellStyle name="Lien hypertexte" xfId="1" builtinId="8"/>
    <cellStyle name="Normal" xfId="0" builtinId="0"/>
  </cellStyles>
  <dxfs count="3835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E598"/>
        </patternFill>
      </fill>
    </dxf>
    <dxf>
      <fill>
        <patternFill>
          <bgColor rgb="FFFFE598"/>
        </patternFill>
      </fill>
    </dxf>
    <dxf>
      <fill>
        <patternFill>
          <bgColor rgb="FFFFE598"/>
        </patternFill>
      </fill>
    </dxf>
    <dxf>
      <fill>
        <patternFill>
          <bgColor rgb="FFFFE59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E598"/>
        </patternFill>
      </fill>
    </dxf>
    <dxf>
      <fill>
        <patternFill>
          <bgColor rgb="FFFFE598"/>
        </patternFill>
      </fill>
    </dxf>
    <dxf>
      <fill>
        <patternFill>
          <bgColor rgb="FFFFE598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RIS\Downloads\LL_MPOX_NATIONAL_20260817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RIS\Downloads\LL_MPOX_NATIONAL_202608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TCD"/>
      <sheetName val="LL_MPOX"/>
      <sheetName val="EPICURVE 2"/>
      <sheetName val="ANALYSE"/>
      <sheetName val="LABO"/>
      <sheetName val="Profession"/>
      <sheetName val="District d'origine"/>
      <sheetName val="EPICUVE"/>
      <sheetName val="AGE SEX"/>
      <sheetName val="PRELEVEMENT"/>
      <sheetName val="VARICELLES"/>
      <sheetName val="STATUT SEROLOGIQUE"/>
      <sheetName val="VACCINATION"/>
      <sheetName val="CARTE"/>
      <sheetName val="LITTORAL"/>
      <sheetName val="Sud-Ouest"/>
      <sheetName val="CENTRE"/>
      <sheetName val="EST"/>
      <sheetName val="NORD-OUEST"/>
      <sheetName val="OUEST"/>
      <sheetName val="EN"/>
      <sheetName val="SUD"/>
      <sheetName val="AS d'orig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TCD"/>
      <sheetName val="LL_MPOX"/>
      <sheetName val="EPICURVE 2"/>
      <sheetName val="ANALYSE"/>
      <sheetName val="LABO"/>
      <sheetName val="Profession"/>
      <sheetName val="District d'origine"/>
      <sheetName val="EPICUVE"/>
      <sheetName val="AGE SEX"/>
      <sheetName val="PRELEVEMENT"/>
      <sheetName val="VARICELLES"/>
      <sheetName val="STATUT SEROLOGIQUE"/>
      <sheetName val="VACCINATION"/>
      <sheetName val="CARTE"/>
      <sheetName val="LITTORAL"/>
      <sheetName val="Sud-Ouest"/>
      <sheetName val="CENTRE"/>
      <sheetName val="EST"/>
      <sheetName val="NORD-OUEST"/>
      <sheetName val="OUEST"/>
      <sheetName val="EN"/>
      <sheetName val="SUD"/>
      <sheetName val="AS d'orig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void%20selection.select(%20%22GsUrYzK3gMA%22%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C048-C9FD-45B4-A21A-C508AACF3847}">
  <dimension ref="A1:DC707"/>
  <sheetViews>
    <sheetView tabSelected="1" zoomScale="50" zoomScaleNormal="50" workbookViewId="0">
      <pane xSplit="4" ySplit="1" topLeftCell="E285" activePane="bottomRight" state="frozen"/>
      <selection pane="topRight" activeCell="F1" sqref="F1"/>
      <selection pane="bottomLeft" activeCell="A2" sqref="A2"/>
      <selection pane="bottomRight" activeCell="G295" sqref="G295"/>
    </sheetView>
  </sheetViews>
  <sheetFormatPr baseColWidth="10" defaultColWidth="11" defaultRowHeight="15.5" x14ac:dyDescent="0.35"/>
  <cols>
    <col min="1" max="1" width="24.75" bestFit="1" customWidth="1"/>
    <col min="2" max="2" width="14.58203125" customWidth="1"/>
    <col min="3" max="3" width="10.83203125" customWidth="1"/>
    <col min="4" max="4" width="13.83203125" customWidth="1"/>
    <col min="6" max="6" width="11" style="24"/>
    <col min="7" max="7" width="22.08203125" customWidth="1"/>
    <col min="8" max="8" width="12.75" customWidth="1"/>
    <col min="9" max="9" width="12.83203125" customWidth="1"/>
    <col min="10" max="10" width="13.9140625" customWidth="1"/>
    <col min="11" max="11" width="16.58203125" customWidth="1"/>
    <col min="12" max="12" width="19" customWidth="1"/>
    <col min="13" max="13" width="21.83203125" customWidth="1"/>
    <col min="14" max="14" width="21.08203125" customWidth="1"/>
    <col min="15" max="15" width="27" customWidth="1"/>
    <col min="16" max="16" width="40.25" customWidth="1"/>
    <col min="17" max="17" width="21.08203125" customWidth="1"/>
    <col min="18" max="18" width="15.33203125" customWidth="1"/>
    <col min="19" max="19" width="14.83203125" customWidth="1"/>
    <col min="20" max="20" width="13.33203125" customWidth="1"/>
    <col min="21" max="21" width="11" customWidth="1"/>
    <col min="22" max="22" width="14.33203125" customWidth="1"/>
    <col min="23" max="35" width="11" customWidth="1"/>
    <col min="36" max="36" width="15.5" customWidth="1"/>
    <col min="37" max="38" width="17" customWidth="1"/>
    <col min="39" max="39" width="16.08203125" customWidth="1"/>
    <col min="40" max="41" width="11" customWidth="1"/>
    <col min="42" max="42" width="15.58203125" customWidth="1"/>
    <col min="43" max="43" width="15.33203125" customWidth="1"/>
    <col min="44" max="44" width="16.08203125" customWidth="1"/>
    <col min="45" max="45" width="13.25" customWidth="1"/>
    <col min="46" max="47" width="11" customWidth="1"/>
    <col min="48" max="48" width="15" customWidth="1"/>
    <col min="49" max="50" width="14.08203125" customWidth="1"/>
    <col min="51" max="51" width="18.75" customWidth="1"/>
    <col min="52" max="52" width="9.08203125" customWidth="1"/>
    <col min="53" max="53" width="11.33203125" style="13" customWidth="1"/>
    <col min="54" max="54" width="12.83203125" customWidth="1"/>
    <col min="55" max="55" width="14.1640625" customWidth="1"/>
    <col min="56" max="56" width="62.4140625" bestFit="1" customWidth="1"/>
    <col min="57" max="57" width="22.6640625" customWidth="1"/>
    <col min="58" max="58" width="22.08203125" customWidth="1"/>
    <col min="59" max="59" width="12.6640625" customWidth="1"/>
    <col min="60" max="60" width="11" customWidth="1"/>
    <col min="61" max="61" width="15.9140625" customWidth="1"/>
    <col min="62" max="62" width="14.33203125" customWidth="1"/>
    <col min="63" max="63" width="15.08203125" bestFit="1" customWidth="1"/>
    <col min="64" max="64" width="29.25" customWidth="1"/>
    <col min="65" max="65" width="15.25" customWidth="1"/>
    <col min="66" max="66" width="13.25" customWidth="1"/>
    <col min="67" max="67" width="15" customWidth="1"/>
    <col min="68" max="68" width="11" customWidth="1"/>
    <col min="69" max="69" width="12.1640625" customWidth="1"/>
    <col min="70" max="70" width="11" customWidth="1"/>
    <col min="71" max="71" width="7.5" customWidth="1"/>
    <col min="72" max="72" width="6.33203125" hidden="1" customWidth="1"/>
    <col min="73" max="73" width="7.33203125" hidden="1" customWidth="1"/>
    <col min="74" max="74" width="5.5" hidden="1" customWidth="1"/>
    <col min="75" max="75" width="7.08203125" hidden="1" customWidth="1"/>
    <col min="76" max="76" width="4.33203125" hidden="1" customWidth="1"/>
    <col min="77" max="77" width="4.25" hidden="1" customWidth="1"/>
    <col min="78" max="78" width="4.75" hidden="1" customWidth="1"/>
    <col min="79" max="79" width="5.08203125" hidden="1" customWidth="1"/>
    <col min="80" max="80" width="6.08203125" hidden="1" customWidth="1"/>
    <col min="81" max="81" width="9.75" hidden="1" customWidth="1"/>
    <col min="82" max="82" width="6.25" hidden="1" customWidth="1"/>
    <col min="83" max="83" width="8.75" hidden="1" customWidth="1"/>
    <col min="84" max="84" width="7.08203125" hidden="1" customWidth="1"/>
    <col min="85" max="85" width="7.5" hidden="1" customWidth="1"/>
    <col min="86" max="86" width="4.58203125" hidden="1" customWidth="1"/>
    <col min="87" max="87" width="9.4140625" customWidth="1"/>
    <col min="88" max="88" width="6.9140625" customWidth="1"/>
    <col min="89" max="89" width="8.5" customWidth="1"/>
    <col min="90" max="90" width="13" customWidth="1"/>
    <col min="91" max="91" width="11.33203125" customWidth="1"/>
    <col min="92" max="92" width="13.33203125" customWidth="1"/>
    <col min="93" max="93" width="33.4140625" bestFit="1" customWidth="1"/>
    <col min="94" max="94" width="13" customWidth="1"/>
    <col min="95" max="95" width="10.08203125" customWidth="1"/>
    <col min="96" max="96" width="11.5" customWidth="1"/>
    <col min="97" max="100" width="10.08203125" customWidth="1"/>
    <col min="101" max="101" width="7.75" customWidth="1"/>
    <col min="102" max="102" width="15.83203125" customWidth="1"/>
    <col min="103" max="103" width="11.83203125" customWidth="1"/>
    <col min="104" max="104" width="17.33203125" customWidth="1"/>
    <col min="105" max="105" width="14.9140625" customWidth="1"/>
    <col min="106" max="106" width="13.58203125" customWidth="1"/>
    <col min="107" max="107" width="18.33203125" bestFit="1" customWidth="1"/>
  </cols>
  <sheetData>
    <row r="1" spans="1:107" s="9" customFormat="1" ht="69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2463</v>
      </c>
      <c r="AM1" s="1" t="s">
        <v>37</v>
      </c>
      <c r="AN1" s="1" t="s">
        <v>38</v>
      </c>
      <c r="AO1" s="1" t="s">
        <v>2464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3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6" t="s">
        <v>69</v>
      </c>
      <c r="BU1" s="6" t="s">
        <v>70</v>
      </c>
      <c r="BV1" s="6" t="s">
        <v>71</v>
      </c>
      <c r="BW1" s="6" t="s">
        <v>72</v>
      </c>
      <c r="BX1" s="6" t="s">
        <v>73</v>
      </c>
      <c r="BY1" s="7" t="s">
        <v>74</v>
      </c>
      <c r="BZ1" s="7" t="s">
        <v>75</v>
      </c>
      <c r="CA1" s="7" t="s">
        <v>76</v>
      </c>
      <c r="CB1" s="7" t="s">
        <v>77</v>
      </c>
      <c r="CC1" s="7" t="s">
        <v>78</v>
      </c>
      <c r="CD1" s="8" t="s">
        <v>79</v>
      </c>
      <c r="CE1" s="8" t="s">
        <v>80</v>
      </c>
      <c r="CF1" s="8" t="s">
        <v>81</v>
      </c>
      <c r="CG1" s="8" t="s">
        <v>82</v>
      </c>
      <c r="CH1" s="8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9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</row>
    <row r="2" spans="1:107" x14ac:dyDescent="0.35">
      <c r="A2" t="s">
        <v>105</v>
      </c>
      <c r="B2" s="10" t="str">
        <f t="shared" ref="B2:B64" si="0">IFERROR("S"&amp;(IF(_xlfn.ISOWEEKNUM(D2)&gt;0,_xlfn.ISOWEEKNUM(D2),_xlfn.CONCAT("0",_xlfn.ISOWEEKNUM(D2))))&amp;"_"&amp;(YEAR(D2+26-(_xlfn.ISOWEEKNUM(D2)))),"")</f>
        <v>S1_2024</v>
      </c>
      <c r="C2" s="10" t="str">
        <f t="shared" ref="C2:C64" si="1">IFERROR("S"&amp;(IF(_xlfn.ISOWEEKNUM(R2)&gt;0,_xlfn.ISOWEEKNUM(R2),_xlfn.CONCAT("0",_xlfn.ISOWEEKNUM(R2))))&amp;"_"&amp;(YEAR(R2+26-(_xlfn.ISOWEEKNUM(R2)))),"")</f>
        <v>S1_2024</v>
      </c>
      <c r="D2" s="11">
        <v>45292</v>
      </c>
      <c r="E2" t="s">
        <v>106</v>
      </c>
      <c r="F2">
        <v>9</v>
      </c>
      <c r="G2" t="s">
        <v>107</v>
      </c>
      <c r="H2" t="s">
        <v>108</v>
      </c>
      <c r="J2" t="s">
        <v>109</v>
      </c>
      <c r="K2" s="12" t="s">
        <v>110</v>
      </c>
      <c r="L2" t="s">
        <v>111</v>
      </c>
      <c r="M2" t="s">
        <v>112</v>
      </c>
      <c r="N2" t="s">
        <v>110</v>
      </c>
      <c r="O2" t="s">
        <v>113</v>
      </c>
      <c r="P2" t="s">
        <v>110</v>
      </c>
      <c r="Q2" t="s">
        <v>112</v>
      </c>
      <c r="R2" s="11">
        <v>45292</v>
      </c>
      <c r="S2" s="11">
        <v>45292</v>
      </c>
      <c r="T2" s="11">
        <v>45292</v>
      </c>
      <c r="AS2" s="11">
        <v>45292</v>
      </c>
      <c r="AU2" t="s">
        <v>114</v>
      </c>
      <c r="AV2" t="s">
        <v>115</v>
      </c>
      <c r="BB2" t="s">
        <v>114</v>
      </c>
      <c r="BC2" s="11">
        <v>45292</v>
      </c>
      <c r="BD2" t="s">
        <v>116</v>
      </c>
      <c r="BG2" t="s">
        <v>114</v>
      </c>
      <c r="BH2" t="str">
        <f t="shared" ref="BH2:BH64" si="2">IFERROR("S"&amp;(IF(_xlfn.ISOWEEKNUM(I2)&gt;0,_xlfn.ISOWEEKNUM(I2),_xlfn.CONCAT("0",_xlfn.ISOWEEKNUM(I2))))&amp;"_"&amp;(YEAR(I2+26-(_xlfn.ISOWEEKNUM(I2)))),"")</f>
        <v/>
      </c>
      <c r="BJ2" t="str">
        <f t="shared" ref="BJ2:BJ64" si="3">IFERROR("S"&amp;(IF(_xlfn.ISOWEEKNUM(BI2)&gt;0,_xlfn.ISOWEEKNUM(BI2),_xlfn.CONCAT("0",_xlfn.ISOWEEKNUM(BI2))))&amp;"_"&amp;(YEAR(BI2+26-(_xlfn.ISOWEEKNUM(BI2)))),"")</f>
        <v/>
      </c>
      <c r="BK2" t="s">
        <v>117</v>
      </c>
      <c r="BL2" t="str">
        <f t="shared" ref="BL2:BL64" si="4">IFERROR("S"&amp;(IF(_xlfn.ISOWEEKNUM(BC2)&gt;0,_xlfn.ISOWEEKNUM(BC2),_xlfn.CONCAT("0",_xlfn.ISOWEEKNUM(BC2))))&amp;"_"&amp;(YEAR(BC2+26-(_xlfn.ISOWEEKNUM(BC2)))),"")</f>
        <v>S1_2024</v>
      </c>
      <c r="BN2" s="11">
        <v>45292</v>
      </c>
      <c r="BO2" t="str">
        <f t="shared" ref="BO2:BO64" si="5">IFERROR("S"&amp;(IF(_xlfn.ISOWEEKNUM(BN2)&gt;0,_xlfn.ISOWEEKNUM(BN2),_xlfn.CONCAT("0",_xlfn.ISOWEEKNUM(BN2))))&amp;"_"&amp;(YEAR(BN2+26-(_xlfn.ISOWEEKNUM(BN2)))),"")</f>
        <v>S1_2024</v>
      </c>
      <c r="BP2" t="s">
        <v>114</v>
      </c>
      <c r="BQ2" t="s">
        <v>118</v>
      </c>
      <c r="BU2" s="11"/>
      <c r="BW2" s="11"/>
      <c r="BX2" s="11"/>
      <c r="BY2" s="11"/>
      <c r="BZ2" s="11"/>
      <c r="CB2" s="11"/>
      <c r="CC2" s="11"/>
      <c r="CD2" s="11"/>
      <c r="CE2" s="11"/>
      <c r="CG2" s="11"/>
      <c r="CI2" t="s">
        <v>119</v>
      </c>
      <c r="CO2" t="str">
        <f t="shared" ref="CO2:CO65" si="6">AV2&amp;CI2</f>
        <v>NEGATIFPAS INCLUS</v>
      </c>
      <c r="CP2" s="11">
        <v>45292</v>
      </c>
      <c r="CR2">
        <f>IF(BP2="Non","",IF(BP2="","",AS2-BC2))</f>
        <v>0</v>
      </c>
      <c r="CS2">
        <f>IF(BP2="Non","",IF(BP2="","",BN2-AS2))</f>
        <v>0</v>
      </c>
      <c r="CT2">
        <f t="shared" ref="CT2:CT29" si="7">CP2-CX2</f>
        <v>0</v>
      </c>
      <c r="CU2" t="e">
        <f>IF(J2="Non","",IF(J2="","",CP2-K2))</f>
        <v>#VALUE!</v>
      </c>
      <c r="CV2" t="str">
        <f>IF(AV2="POSITIF",BI2-CX2,"")</f>
        <v/>
      </c>
      <c r="CX2" s="11">
        <v>45292</v>
      </c>
      <c r="CY2" t="str">
        <f>IFERROR("S"&amp;(IF(_xlfn.ISOWEEKNUM(CX2)&gt;0,_xlfn.ISOWEEKNUM(CX2),_xlfn.CONCAT("0",_xlfn.ISOWEEKNUM(CX2))))&amp;"_"&amp;(YEAR(CX2+26-(_xlfn.ISOWEEKNUM(CX2)))),"")</f>
        <v>S1_2024</v>
      </c>
      <c r="DC2" t="s">
        <v>120</v>
      </c>
    </row>
    <row r="3" spans="1:107" x14ac:dyDescent="0.35">
      <c r="A3" t="s">
        <v>121</v>
      </c>
      <c r="B3" s="10" t="str">
        <f t="shared" si="0"/>
        <v>S1_2024</v>
      </c>
      <c r="C3" s="10" t="str">
        <f t="shared" si="1"/>
        <v>S1_2024</v>
      </c>
      <c r="D3" s="11">
        <v>45292</v>
      </c>
      <c r="E3" t="s">
        <v>106</v>
      </c>
      <c r="F3">
        <v>7</v>
      </c>
      <c r="G3" t="s">
        <v>107</v>
      </c>
      <c r="H3" t="s">
        <v>108</v>
      </c>
      <c r="J3" t="s">
        <v>109</v>
      </c>
      <c r="K3" s="12" t="s">
        <v>110</v>
      </c>
      <c r="L3" t="s">
        <v>111</v>
      </c>
      <c r="M3" t="s">
        <v>112</v>
      </c>
      <c r="N3" t="s">
        <v>110</v>
      </c>
      <c r="O3" t="s">
        <v>113</v>
      </c>
      <c r="P3" t="s">
        <v>110</v>
      </c>
      <c r="Q3" t="s">
        <v>112</v>
      </c>
      <c r="R3" s="11">
        <v>45292</v>
      </c>
      <c r="S3" s="11">
        <v>45292</v>
      </c>
      <c r="T3" s="11">
        <v>45292</v>
      </c>
      <c r="AS3" s="11">
        <v>45292</v>
      </c>
      <c r="AU3" t="s">
        <v>114</v>
      </c>
      <c r="AV3" t="s">
        <v>115</v>
      </c>
      <c r="BB3" t="s">
        <v>114</v>
      </c>
      <c r="BC3" s="11">
        <v>45292</v>
      </c>
      <c r="BD3" t="s">
        <v>116</v>
      </c>
      <c r="BG3" t="s">
        <v>114</v>
      </c>
      <c r="BH3" t="str">
        <f t="shared" si="2"/>
        <v/>
      </c>
      <c r="BJ3" t="str">
        <f t="shared" si="3"/>
        <v/>
      </c>
      <c r="BK3" t="s">
        <v>117</v>
      </c>
      <c r="BL3" t="str">
        <f t="shared" si="4"/>
        <v>S1_2024</v>
      </c>
      <c r="BN3" s="11">
        <v>45292</v>
      </c>
      <c r="BO3" t="str">
        <f t="shared" si="5"/>
        <v>S1_2024</v>
      </c>
      <c r="BP3" t="s">
        <v>114</v>
      </c>
      <c r="BQ3" t="s">
        <v>118</v>
      </c>
      <c r="BU3" s="11"/>
      <c r="BW3" s="11"/>
      <c r="BX3" s="11"/>
      <c r="BY3" s="11"/>
      <c r="BZ3" s="11"/>
      <c r="CB3" s="11"/>
      <c r="CC3" s="11"/>
      <c r="CD3" s="11"/>
      <c r="CE3" s="11"/>
      <c r="CG3" s="11"/>
      <c r="CI3" t="s">
        <v>119</v>
      </c>
      <c r="CO3" t="str">
        <f t="shared" si="6"/>
        <v>NEGATIFPAS INCLUS</v>
      </c>
      <c r="CP3" s="11">
        <v>45292</v>
      </c>
      <c r="CR3">
        <f t="shared" ref="CR3:CR66" si="8">IF(BP3="Non","",IF(BP3="","",AS3-BC3))</f>
        <v>0</v>
      </c>
      <c r="CS3">
        <f t="shared" ref="CS3:CS66" si="9">IF(BP3="Non","",IF(BP3="","",BN3-AS3))</f>
        <v>0</v>
      </c>
      <c r="CT3">
        <f t="shared" si="7"/>
        <v>0</v>
      </c>
      <c r="CU3" t="e">
        <f t="shared" ref="CU3:CU66" si="10">IF(J3="Non","",IF(J3="","",CP3-K3))</f>
        <v>#VALUE!</v>
      </c>
      <c r="CV3" t="str">
        <f t="shared" ref="CV3:CV66" si="11">IF(AV3="POSITIF",BI3-CX3,"")</f>
        <v/>
      </c>
      <c r="CX3" s="11">
        <v>45292</v>
      </c>
      <c r="CY3" t="str">
        <f t="shared" ref="CY3:CY65" si="12">IFERROR("S"&amp;(IF(_xlfn.ISOWEEKNUM(CX3)&gt;0,_xlfn.ISOWEEKNUM(CX3),_xlfn.CONCAT("0",_xlfn.ISOWEEKNUM(CX3))))&amp;"_"&amp;(YEAR(CX3+26-(_xlfn.ISOWEEKNUM(CX3)))),"")</f>
        <v>S1_2024</v>
      </c>
      <c r="DC3" t="s">
        <v>120</v>
      </c>
    </row>
    <row r="4" spans="1:107" x14ac:dyDescent="0.35">
      <c r="A4" t="s">
        <v>122</v>
      </c>
      <c r="B4" s="10" t="str">
        <f t="shared" si="0"/>
        <v>S2_2024</v>
      </c>
      <c r="C4" s="10" t="str">
        <f t="shared" si="1"/>
        <v>S1_2024</v>
      </c>
      <c r="D4" s="11">
        <v>45299</v>
      </c>
      <c r="E4" t="s">
        <v>123</v>
      </c>
      <c r="F4">
        <v>22</v>
      </c>
      <c r="G4" t="s">
        <v>124</v>
      </c>
      <c r="H4" t="s">
        <v>125</v>
      </c>
      <c r="I4" s="11">
        <v>45305</v>
      </c>
      <c r="J4" t="s">
        <v>109</v>
      </c>
      <c r="K4" s="14">
        <v>45299</v>
      </c>
      <c r="L4" t="s">
        <v>126</v>
      </c>
      <c r="M4" t="s">
        <v>127</v>
      </c>
      <c r="N4" t="s">
        <v>110</v>
      </c>
      <c r="O4" t="s">
        <v>128</v>
      </c>
      <c r="P4" t="s">
        <v>129</v>
      </c>
      <c r="Q4" t="s">
        <v>130</v>
      </c>
      <c r="R4" s="11">
        <v>45293</v>
      </c>
      <c r="S4" s="11">
        <v>45295</v>
      </c>
      <c r="T4" s="11">
        <v>45293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D4" t="s">
        <v>114</v>
      </c>
      <c r="AE4" t="s">
        <v>114</v>
      </c>
      <c r="AF4" t="s">
        <v>109</v>
      </c>
      <c r="AG4" t="s">
        <v>109</v>
      </c>
      <c r="AJ4" t="s">
        <v>131</v>
      </c>
      <c r="AM4" t="s">
        <v>114</v>
      </c>
      <c r="AN4" t="s">
        <v>114</v>
      </c>
      <c r="AQ4" t="s">
        <v>132</v>
      </c>
      <c r="AR4" t="s">
        <v>133</v>
      </c>
      <c r="AS4" s="11">
        <v>45299</v>
      </c>
      <c r="AU4" t="s">
        <v>114</v>
      </c>
      <c r="AV4" t="s">
        <v>134</v>
      </c>
      <c r="AW4" t="s">
        <v>125</v>
      </c>
      <c r="AY4" t="s">
        <v>135</v>
      </c>
      <c r="BB4" t="s">
        <v>114</v>
      </c>
      <c r="BC4" s="11">
        <v>45299</v>
      </c>
      <c r="BD4" t="s">
        <v>136</v>
      </c>
      <c r="BH4" t="str">
        <f t="shared" si="2"/>
        <v>S2_2024</v>
      </c>
      <c r="BI4" s="11">
        <v>45299</v>
      </c>
      <c r="BJ4" t="str">
        <f t="shared" si="3"/>
        <v>S2_2024</v>
      </c>
      <c r="BK4" t="s">
        <v>137</v>
      </c>
      <c r="BL4" t="str">
        <f t="shared" si="4"/>
        <v>S2_2024</v>
      </c>
      <c r="BN4" s="11">
        <v>45299</v>
      </c>
      <c r="BO4" t="str">
        <f t="shared" si="5"/>
        <v>S2_2024</v>
      </c>
      <c r="BP4" t="s">
        <v>114</v>
      </c>
      <c r="BQ4" t="s">
        <v>118</v>
      </c>
      <c r="BW4" s="11"/>
      <c r="BX4" s="11"/>
      <c r="BY4" s="11"/>
      <c r="CB4" s="11"/>
      <c r="CC4" s="11"/>
      <c r="CD4" s="11"/>
      <c r="CG4" s="11"/>
      <c r="CI4" t="s">
        <v>119</v>
      </c>
      <c r="CK4" t="s">
        <v>138</v>
      </c>
      <c r="CO4" t="str">
        <f t="shared" si="6"/>
        <v>POSITIFPAS INCLUS</v>
      </c>
      <c r="CP4" s="11">
        <v>45299</v>
      </c>
      <c r="CR4">
        <f t="shared" si="8"/>
        <v>0</v>
      </c>
      <c r="CS4">
        <f t="shared" si="9"/>
        <v>0</v>
      </c>
      <c r="CT4">
        <f t="shared" si="7"/>
        <v>6</v>
      </c>
      <c r="CU4">
        <f t="shared" si="10"/>
        <v>0</v>
      </c>
      <c r="CV4">
        <f t="shared" si="11"/>
        <v>6</v>
      </c>
      <c r="CX4" s="11">
        <v>45293</v>
      </c>
      <c r="CY4" t="str">
        <f t="shared" si="12"/>
        <v>S1_2024</v>
      </c>
      <c r="DC4" t="s">
        <v>139</v>
      </c>
    </row>
    <row r="5" spans="1:107" x14ac:dyDescent="0.35">
      <c r="A5" t="s">
        <v>140</v>
      </c>
      <c r="B5" s="10" t="str">
        <f t="shared" si="0"/>
        <v>S2_2024</v>
      </c>
      <c r="C5" s="10" t="str">
        <f t="shared" si="1"/>
        <v>S51_2023</v>
      </c>
      <c r="D5" s="11">
        <v>45303</v>
      </c>
      <c r="E5" t="s">
        <v>123</v>
      </c>
      <c r="F5">
        <v>0.9</v>
      </c>
      <c r="G5" t="s">
        <v>141</v>
      </c>
      <c r="H5" t="s">
        <v>108</v>
      </c>
      <c r="J5" t="s">
        <v>142</v>
      </c>
      <c r="K5" s="14"/>
      <c r="L5" t="s">
        <v>111</v>
      </c>
      <c r="M5" t="s">
        <v>143</v>
      </c>
      <c r="N5" t="s">
        <v>110</v>
      </c>
      <c r="P5" t="s">
        <v>144</v>
      </c>
      <c r="Q5" t="s">
        <v>143</v>
      </c>
      <c r="R5" s="11">
        <v>45280</v>
      </c>
      <c r="S5" s="11">
        <v>45303</v>
      </c>
      <c r="T5" s="11">
        <v>45280</v>
      </c>
      <c r="AE5" t="s">
        <v>114</v>
      </c>
      <c r="AS5" s="11">
        <v>45303</v>
      </c>
      <c r="AU5" t="s">
        <v>114</v>
      </c>
      <c r="AV5" t="s">
        <v>115</v>
      </c>
      <c r="BB5" t="s">
        <v>114</v>
      </c>
      <c r="BC5" s="11">
        <v>45303</v>
      </c>
      <c r="BD5" t="s">
        <v>116</v>
      </c>
      <c r="BG5" t="s">
        <v>132</v>
      </c>
      <c r="BH5" t="str">
        <f t="shared" si="2"/>
        <v/>
      </c>
      <c r="BJ5" t="str">
        <f t="shared" si="3"/>
        <v/>
      </c>
      <c r="BK5" t="s">
        <v>117</v>
      </c>
      <c r="BL5" t="str">
        <f t="shared" si="4"/>
        <v>S2_2024</v>
      </c>
      <c r="BN5" s="11">
        <v>45303</v>
      </c>
      <c r="BO5" t="str">
        <f t="shared" si="5"/>
        <v>S2_2024</v>
      </c>
      <c r="BP5" t="s">
        <v>114</v>
      </c>
      <c r="BQ5" t="s">
        <v>118</v>
      </c>
      <c r="BU5" s="11"/>
      <c r="BW5" s="11"/>
      <c r="BX5" s="11"/>
      <c r="BY5" s="11"/>
      <c r="BZ5" s="11"/>
      <c r="CB5" s="11"/>
      <c r="CC5" s="11"/>
      <c r="CD5" s="11"/>
      <c r="CE5" s="11"/>
      <c r="CG5" s="11"/>
      <c r="CI5" t="s">
        <v>119</v>
      </c>
      <c r="CO5" t="str">
        <f t="shared" si="6"/>
        <v>NEGATIFPAS INCLUS</v>
      </c>
      <c r="CP5" s="11">
        <v>45303</v>
      </c>
      <c r="CR5">
        <f t="shared" si="8"/>
        <v>0</v>
      </c>
      <c r="CS5">
        <f t="shared" si="9"/>
        <v>0</v>
      </c>
      <c r="CT5">
        <f t="shared" si="7"/>
        <v>23</v>
      </c>
      <c r="CU5">
        <f t="shared" si="10"/>
        <v>45303</v>
      </c>
      <c r="CV5" t="str">
        <f t="shared" si="11"/>
        <v/>
      </c>
      <c r="CX5" s="11">
        <v>45280</v>
      </c>
      <c r="CY5" t="str">
        <f t="shared" si="12"/>
        <v>S51_2023</v>
      </c>
      <c r="DC5" t="s">
        <v>120</v>
      </c>
    </row>
    <row r="6" spans="1:107" x14ac:dyDescent="0.35">
      <c r="A6" t="s">
        <v>145</v>
      </c>
      <c r="B6" s="10" t="str">
        <f t="shared" si="0"/>
        <v>S3_2024</v>
      </c>
      <c r="C6" s="10" t="str">
        <f t="shared" si="1"/>
        <v>S2_2024</v>
      </c>
      <c r="D6" s="11">
        <v>45307</v>
      </c>
      <c r="E6" t="s">
        <v>123</v>
      </c>
      <c r="F6">
        <v>24</v>
      </c>
      <c r="G6" t="s">
        <v>107</v>
      </c>
      <c r="H6" t="s">
        <v>108</v>
      </c>
      <c r="J6" t="s">
        <v>109</v>
      </c>
      <c r="K6" s="14">
        <v>45307</v>
      </c>
      <c r="L6" t="s">
        <v>126</v>
      </c>
      <c r="M6" t="s">
        <v>146</v>
      </c>
      <c r="N6" t="s">
        <v>147</v>
      </c>
      <c r="O6" t="s">
        <v>148</v>
      </c>
      <c r="P6" t="s">
        <v>149</v>
      </c>
      <c r="Q6" t="s">
        <v>146</v>
      </c>
      <c r="R6" s="11">
        <v>45302</v>
      </c>
      <c r="S6" s="11">
        <v>45302</v>
      </c>
      <c r="T6" s="11">
        <v>45303</v>
      </c>
      <c r="V6" t="s">
        <v>109</v>
      </c>
      <c r="W6" t="s">
        <v>109</v>
      </c>
      <c r="X6" t="s">
        <v>109</v>
      </c>
      <c r="Y6" t="s">
        <v>109</v>
      </c>
      <c r="Z6" t="s">
        <v>150</v>
      </c>
      <c r="AA6" t="s">
        <v>150</v>
      </c>
      <c r="AB6" t="s">
        <v>109</v>
      </c>
      <c r="AD6" t="s">
        <v>114</v>
      </c>
      <c r="AE6" t="s">
        <v>114</v>
      </c>
      <c r="AG6" t="s">
        <v>109</v>
      </c>
      <c r="AJ6" t="s">
        <v>151</v>
      </c>
      <c r="AM6" t="s">
        <v>114</v>
      </c>
      <c r="AN6" t="s">
        <v>132</v>
      </c>
      <c r="AQ6" t="s">
        <v>132</v>
      </c>
      <c r="AS6" s="11">
        <v>45308</v>
      </c>
      <c r="AU6" t="s">
        <v>114</v>
      </c>
      <c r="AV6" t="s">
        <v>115</v>
      </c>
      <c r="AW6" t="s">
        <v>152</v>
      </c>
      <c r="BB6" t="s">
        <v>114</v>
      </c>
      <c r="BC6" s="11">
        <v>45307</v>
      </c>
      <c r="BD6" t="s">
        <v>153</v>
      </c>
      <c r="BF6" t="s">
        <v>147</v>
      </c>
      <c r="BH6" t="str">
        <f t="shared" si="2"/>
        <v/>
      </c>
      <c r="BJ6" t="str">
        <f t="shared" si="3"/>
        <v/>
      </c>
      <c r="BK6" t="s">
        <v>137</v>
      </c>
      <c r="BL6" t="str">
        <f t="shared" si="4"/>
        <v>S3_2024</v>
      </c>
      <c r="BN6" s="11">
        <v>45307</v>
      </c>
      <c r="BO6" t="str">
        <f t="shared" si="5"/>
        <v>S3_2024</v>
      </c>
      <c r="BP6" t="s">
        <v>114</v>
      </c>
      <c r="BQ6" t="s">
        <v>118</v>
      </c>
      <c r="BU6" s="11"/>
      <c r="BW6" s="11"/>
      <c r="BX6" s="11"/>
      <c r="BY6" s="11"/>
      <c r="BZ6" s="11"/>
      <c r="CB6" s="11"/>
      <c r="CC6" s="11"/>
      <c r="CD6" s="11"/>
      <c r="CE6" s="11"/>
      <c r="CG6" s="11"/>
      <c r="CI6" t="s">
        <v>119</v>
      </c>
      <c r="CO6" t="str">
        <f t="shared" si="6"/>
        <v>NEGATIFPAS INCLUS</v>
      </c>
      <c r="CP6" s="11">
        <v>45307</v>
      </c>
      <c r="CR6">
        <f t="shared" si="8"/>
        <v>1</v>
      </c>
      <c r="CS6">
        <f t="shared" si="9"/>
        <v>-1</v>
      </c>
      <c r="CT6">
        <f t="shared" si="7"/>
        <v>5</v>
      </c>
      <c r="CU6">
        <f t="shared" si="10"/>
        <v>0</v>
      </c>
      <c r="CV6" t="str">
        <f t="shared" si="11"/>
        <v/>
      </c>
      <c r="CX6" s="11">
        <v>45302</v>
      </c>
      <c r="CY6" t="str">
        <f t="shared" si="12"/>
        <v>S2_2024</v>
      </c>
      <c r="DC6" t="s">
        <v>120</v>
      </c>
    </row>
    <row r="7" spans="1:107" x14ac:dyDescent="0.35">
      <c r="A7" t="s">
        <v>154</v>
      </c>
      <c r="B7" s="10" t="str">
        <f t="shared" si="0"/>
        <v>S6_2024</v>
      </c>
      <c r="C7" s="10" t="str">
        <f t="shared" si="1"/>
        <v>S6_2024</v>
      </c>
      <c r="D7" s="11">
        <v>45332</v>
      </c>
      <c r="E7" t="s">
        <v>123</v>
      </c>
      <c r="F7">
        <v>3</v>
      </c>
      <c r="G7" t="s">
        <v>141</v>
      </c>
      <c r="H7" t="s">
        <v>108</v>
      </c>
      <c r="J7" t="s">
        <v>109</v>
      </c>
      <c r="K7" s="12" t="s">
        <v>110</v>
      </c>
      <c r="L7" t="s">
        <v>126</v>
      </c>
      <c r="M7" t="s">
        <v>155</v>
      </c>
      <c r="N7" t="s">
        <v>156</v>
      </c>
      <c r="O7" t="s">
        <v>157</v>
      </c>
      <c r="P7" t="s">
        <v>110</v>
      </c>
      <c r="Q7" t="s">
        <v>158</v>
      </c>
      <c r="R7" s="11">
        <v>45328</v>
      </c>
      <c r="S7" s="11">
        <v>45328</v>
      </c>
      <c r="T7" s="11">
        <v>45328</v>
      </c>
      <c r="W7" t="s">
        <v>114</v>
      </c>
      <c r="Z7" t="s">
        <v>114</v>
      </c>
      <c r="AG7" t="s">
        <v>114</v>
      </c>
      <c r="BH7" t="str">
        <f t="shared" si="2"/>
        <v/>
      </c>
      <c r="BJ7" t="str">
        <f t="shared" si="3"/>
        <v/>
      </c>
      <c r="BK7" t="s">
        <v>137</v>
      </c>
      <c r="BL7" t="str">
        <f t="shared" si="4"/>
        <v/>
      </c>
      <c r="BM7" t="s">
        <v>159</v>
      </c>
      <c r="BO7" t="str">
        <f t="shared" si="5"/>
        <v/>
      </c>
      <c r="CI7" t="s">
        <v>119</v>
      </c>
      <c r="CO7" t="str">
        <f t="shared" si="6"/>
        <v>PAS INCLUS</v>
      </c>
      <c r="CP7" s="11">
        <v>45332</v>
      </c>
      <c r="CR7" t="str">
        <f t="shared" si="8"/>
        <v/>
      </c>
      <c r="CS7" t="str">
        <f t="shared" si="9"/>
        <v/>
      </c>
      <c r="CT7">
        <f t="shared" si="7"/>
        <v>4</v>
      </c>
      <c r="CU7" t="e">
        <f t="shared" si="10"/>
        <v>#VALUE!</v>
      </c>
      <c r="CV7" t="str">
        <f t="shared" si="11"/>
        <v/>
      </c>
      <c r="CX7" s="11">
        <v>45328</v>
      </c>
      <c r="CY7" t="str">
        <f t="shared" si="12"/>
        <v>S6_2024</v>
      </c>
      <c r="DB7" t="s">
        <v>114</v>
      </c>
      <c r="DC7" t="s">
        <v>160</v>
      </c>
    </row>
    <row r="8" spans="1:107" x14ac:dyDescent="0.35">
      <c r="A8" t="s">
        <v>161</v>
      </c>
      <c r="B8" s="10" t="str">
        <f t="shared" si="0"/>
        <v>S6_2024</v>
      </c>
      <c r="C8" s="10" t="str">
        <f t="shared" si="1"/>
        <v>S4_2024</v>
      </c>
      <c r="D8" s="11">
        <v>45332</v>
      </c>
      <c r="E8" t="s">
        <v>123</v>
      </c>
      <c r="F8">
        <v>30</v>
      </c>
      <c r="G8" t="s">
        <v>162</v>
      </c>
      <c r="H8" t="s">
        <v>108</v>
      </c>
      <c r="J8" t="s">
        <v>114</v>
      </c>
      <c r="K8" s="14">
        <v>45321</v>
      </c>
      <c r="L8" t="s">
        <v>163</v>
      </c>
      <c r="M8" t="s">
        <v>164</v>
      </c>
      <c r="N8" t="s">
        <v>165</v>
      </c>
      <c r="P8" t="s">
        <v>166</v>
      </c>
      <c r="Q8" t="s">
        <v>167</v>
      </c>
      <c r="R8" s="11">
        <v>45319</v>
      </c>
      <c r="S8" s="11">
        <v>45319</v>
      </c>
      <c r="T8" s="11">
        <v>45321</v>
      </c>
      <c r="V8" t="s">
        <v>114</v>
      </c>
      <c r="W8" t="s">
        <v>114</v>
      </c>
      <c r="X8" t="s">
        <v>114</v>
      </c>
      <c r="Y8" t="s">
        <v>114</v>
      </c>
      <c r="AB8" t="s">
        <v>114</v>
      </c>
      <c r="AE8" t="s">
        <v>114</v>
      </c>
      <c r="AK8" t="s">
        <v>114</v>
      </c>
      <c r="AM8" t="s">
        <v>114</v>
      </c>
      <c r="AN8" t="s">
        <v>114</v>
      </c>
      <c r="AQ8" t="s">
        <v>142</v>
      </c>
      <c r="AR8" t="s">
        <v>168</v>
      </c>
      <c r="AS8" s="11">
        <v>45321</v>
      </c>
      <c r="AU8" t="s">
        <v>114</v>
      </c>
      <c r="AV8" t="s">
        <v>134</v>
      </c>
      <c r="AW8" t="s">
        <v>152</v>
      </c>
      <c r="AY8" t="s">
        <v>135</v>
      </c>
      <c r="BB8" t="s">
        <v>114</v>
      </c>
      <c r="BC8" s="11">
        <v>45321</v>
      </c>
      <c r="BD8" t="s">
        <v>169</v>
      </c>
      <c r="BF8" t="s">
        <v>165</v>
      </c>
      <c r="BH8" t="str">
        <f t="shared" si="2"/>
        <v/>
      </c>
      <c r="BI8" s="11">
        <v>45464</v>
      </c>
      <c r="BJ8" t="str">
        <f t="shared" si="3"/>
        <v>S25_2024</v>
      </c>
      <c r="BK8" t="s">
        <v>170</v>
      </c>
      <c r="BL8" t="str">
        <f t="shared" si="4"/>
        <v>S5_2024</v>
      </c>
      <c r="BN8" s="11">
        <v>45321</v>
      </c>
      <c r="BO8" t="str">
        <f t="shared" si="5"/>
        <v>S5_2024</v>
      </c>
      <c r="BP8" t="s">
        <v>114</v>
      </c>
      <c r="BQ8" t="s">
        <v>118</v>
      </c>
      <c r="BW8" s="11"/>
      <c r="BX8" s="11"/>
      <c r="BY8" s="11"/>
      <c r="CB8" s="11"/>
      <c r="CC8" s="11"/>
      <c r="CD8" s="11"/>
      <c r="CG8" s="11"/>
      <c r="CI8" t="s">
        <v>119</v>
      </c>
      <c r="CK8" t="s">
        <v>138</v>
      </c>
      <c r="CO8" t="str">
        <f t="shared" si="6"/>
        <v>POSITIFPAS INCLUS</v>
      </c>
      <c r="CP8" s="11">
        <v>45321</v>
      </c>
      <c r="CR8">
        <f t="shared" si="8"/>
        <v>0</v>
      </c>
      <c r="CS8">
        <f t="shared" si="9"/>
        <v>0</v>
      </c>
      <c r="CT8">
        <f t="shared" si="7"/>
        <v>2</v>
      </c>
      <c r="CU8">
        <f t="shared" si="10"/>
        <v>0</v>
      </c>
      <c r="CV8">
        <f t="shared" si="11"/>
        <v>145</v>
      </c>
      <c r="CX8" s="11">
        <v>45319</v>
      </c>
      <c r="CY8" t="str">
        <f t="shared" si="12"/>
        <v>S4_2024</v>
      </c>
      <c r="DC8" t="s">
        <v>139</v>
      </c>
    </row>
    <row r="9" spans="1:107" x14ac:dyDescent="0.35">
      <c r="A9" t="s">
        <v>171</v>
      </c>
      <c r="B9" s="10" t="str">
        <f t="shared" si="0"/>
        <v>S8_2024</v>
      </c>
      <c r="C9" s="10" t="str">
        <f t="shared" si="1"/>
        <v>S7_2024</v>
      </c>
      <c r="D9" s="11">
        <v>45341</v>
      </c>
      <c r="E9" t="s">
        <v>123</v>
      </c>
      <c r="F9">
        <v>39</v>
      </c>
      <c r="G9" t="s">
        <v>172</v>
      </c>
      <c r="H9" t="s">
        <v>108</v>
      </c>
      <c r="J9" t="s">
        <v>114</v>
      </c>
      <c r="K9" s="14">
        <v>45339</v>
      </c>
      <c r="L9" t="s">
        <v>173</v>
      </c>
      <c r="M9" t="s">
        <v>174</v>
      </c>
      <c r="N9" t="s">
        <v>175</v>
      </c>
      <c r="P9" t="s">
        <v>176</v>
      </c>
      <c r="Q9" t="s">
        <v>174</v>
      </c>
      <c r="R9" s="11">
        <v>45335</v>
      </c>
      <c r="S9" s="11">
        <v>45335</v>
      </c>
      <c r="T9" s="11">
        <v>45337</v>
      </c>
      <c r="W9" t="s">
        <v>114</v>
      </c>
      <c r="Z9" t="s">
        <v>114</v>
      </c>
      <c r="AB9" t="s">
        <v>114</v>
      </c>
      <c r="AE9" t="s">
        <v>114</v>
      </c>
      <c r="AG9" t="s">
        <v>114</v>
      </c>
      <c r="AK9" t="s">
        <v>132</v>
      </c>
      <c r="AM9" t="s">
        <v>114</v>
      </c>
      <c r="AN9" t="s">
        <v>114</v>
      </c>
      <c r="AQ9" t="s">
        <v>132</v>
      </c>
      <c r="AR9" t="s">
        <v>177</v>
      </c>
      <c r="AU9" t="s">
        <v>114</v>
      </c>
      <c r="AV9" t="s">
        <v>115</v>
      </c>
      <c r="BB9" t="s">
        <v>114</v>
      </c>
      <c r="BC9" s="11">
        <v>45341</v>
      </c>
      <c r="BD9" t="s">
        <v>178</v>
      </c>
      <c r="BF9" t="s">
        <v>179</v>
      </c>
      <c r="BH9" t="str">
        <f t="shared" si="2"/>
        <v/>
      </c>
      <c r="BJ9" t="str">
        <f t="shared" si="3"/>
        <v/>
      </c>
      <c r="BK9" t="s">
        <v>180</v>
      </c>
      <c r="BL9" t="str">
        <f t="shared" si="4"/>
        <v>S8_2024</v>
      </c>
      <c r="BM9" t="s">
        <v>159</v>
      </c>
      <c r="BN9" s="11">
        <v>45341</v>
      </c>
      <c r="BO9" t="str">
        <f t="shared" si="5"/>
        <v>S8_2024</v>
      </c>
      <c r="BP9" t="s">
        <v>114</v>
      </c>
      <c r="BQ9" t="s">
        <v>118</v>
      </c>
      <c r="BW9" s="11"/>
      <c r="BX9" s="11"/>
      <c r="BY9" s="11"/>
      <c r="CB9" s="11"/>
      <c r="CC9" s="11"/>
      <c r="CD9" s="11"/>
      <c r="CG9" s="11"/>
      <c r="CI9" t="s">
        <v>119</v>
      </c>
      <c r="CO9" t="str">
        <f t="shared" si="6"/>
        <v>NEGATIFPAS INCLUS</v>
      </c>
      <c r="CP9" s="11">
        <v>45341</v>
      </c>
      <c r="CR9">
        <f t="shared" si="8"/>
        <v>-45341</v>
      </c>
      <c r="CS9">
        <f t="shared" si="9"/>
        <v>45341</v>
      </c>
      <c r="CT9">
        <f t="shared" si="7"/>
        <v>6</v>
      </c>
      <c r="CU9">
        <f t="shared" si="10"/>
        <v>2</v>
      </c>
      <c r="CV9" t="str">
        <f t="shared" si="11"/>
        <v/>
      </c>
      <c r="CX9" s="11">
        <v>45335</v>
      </c>
      <c r="CY9" t="str">
        <f t="shared" si="12"/>
        <v>S7_2024</v>
      </c>
      <c r="DC9" t="s">
        <v>120</v>
      </c>
    </row>
    <row r="10" spans="1:107" x14ac:dyDescent="0.35">
      <c r="A10" t="s">
        <v>181</v>
      </c>
      <c r="B10" s="10" t="str">
        <f t="shared" si="0"/>
        <v>S8_2024</v>
      </c>
      <c r="C10" s="10" t="str">
        <f t="shared" si="1"/>
        <v>S8_2024</v>
      </c>
      <c r="D10" s="11">
        <v>45347</v>
      </c>
      <c r="E10" t="s">
        <v>123</v>
      </c>
      <c r="F10">
        <v>22</v>
      </c>
      <c r="G10" t="s">
        <v>162</v>
      </c>
      <c r="H10" t="s">
        <v>108</v>
      </c>
      <c r="J10" t="s">
        <v>132</v>
      </c>
      <c r="K10" s="12"/>
      <c r="L10" t="s">
        <v>182</v>
      </c>
      <c r="M10" t="s">
        <v>183</v>
      </c>
      <c r="N10" t="s">
        <v>183</v>
      </c>
      <c r="O10" t="s">
        <v>184</v>
      </c>
      <c r="P10" t="s">
        <v>183</v>
      </c>
      <c r="Q10" t="s">
        <v>183</v>
      </c>
      <c r="R10" s="11">
        <v>45344</v>
      </c>
      <c r="S10" s="11">
        <v>45344</v>
      </c>
      <c r="T10" s="11">
        <v>45344</v>
      </c>
      <c r="W10" t="s">
        <v>114</v>
      </c>
      <c r="X10" t="s">
        <v>114</v>
      </c>
      <c r="AK10" t="s">
        <v>132</v>
      </c>
      <c r="AM10" t="s">
        <v>114</v>
      </c>
      <c r="AN10" t="s">
        <v>114</v>
      </c>
      <c r="AQ10" t="s">
        <v>114</v>
      </c>
      <c r="AR10" t="s">
        <v>185</v>
      </c>
      <c r="AU10" t="s">
        <v>114</v>
      </c>
      <c r="AV10" t="s">
        <v>115</v>
      </c>
      <c r="BB10" t="s">
        <v>114</v>
      </c>
      <c r="BC10" s="11">
        <v>45303</v>
      </c>
      <c r="BD10" t="s">
        <v>169</v>
      </c>
      <c r="BF10" t="s">
        <v>186</v>
      </c>
      <c r="BH10" t="str">
        <f t="shared" si="2"/>
        <v/>
      </c>
      <c r="BJ10" t="str">
        <f t="shared" si="3"/>
        <v/>
      </c>
      <c r="BK10" t="s">
        <v>187</v>
      </c>
      <c r="BL10" t="str">
        <f t="shared" si="4"/>
        <v>S2_2024</v>
      </c>
      <c r="BM10" t="s">
        <v>159</v>
      </c>
      <c r="BN10" s="11">
        <v>45303</v>
      </c>
      <c r="BO10" t="str">
        <f t="shared" si="5"/>
        <v>S2_2024</v>
      </c>
      <c r="BP10" t="s">
        <v>114</v>
      </c>
      <c r="BQ10" t="s">
        <v>118</v>
      </c>
      <c r="BW10" s="11"/>
      <c r="BX10" s="11"/>
      <c r="BY10" s="11"/>
      <c r="CB10" s="11"/>
      <c r="CC10" s="11"/>
      <c r="CD10" s="11"/>
      <c r="CG10" s="11"/>
      <c r="CI10" t="s">
        <v>119</v>
      </c>
      <c r="CO10" t="str">
        <f t="shared" si="6"/>
        <v>NEGATIFPAS INCLUS</v>
      </c>
      <c r="CP10" s="11">
        <v>45303</v>
      </c>
      <c r="CR10">
        <f t="shared" si="8"/>
        <v>-45303</v>
      </c>
      <c r="CS10">
        <f t="shared" si="9"/>
        <v>45303</v>
      </c>
      <c r="CT10">
        <f t="shared" si="7"/>
        <v>-41</v>
      </c>
      <c r="CU10" t="str">
        <f t="shared" si="10"/>
        <v/>
      </c>
      <c r="CV10" t="str">
        <f t="shared" si="11"/>
        <v/>
      </c>
      <c r="CX10" s="11">
        <v>45344</v>
      </c>
      <c r="CY10" t="str">
        <f t="shared" si="12"/>
        <v>S8_2024</v>
      </c>
      <c r="DC10" t="s">
        <v>160</v>
      </c>
    </row>
    <row r="11" spans="1:107" x14ac:dyDescent="0.35">
      <c r="A11" t="s">
        <v>188</v>
      </c>
      <c r="B11" s="10" t="str">
        <f t="shared" si="0"/>
        <v>S8_2024</v>
      </c>
      <c r="C11" s="10" t="str">
        <f t="shared" si="1"/>
        <v>S8_2024</v>
      </c>
      <c r="D11" s="11">
        <v>45347</v>
      </c>
      <c r="E11" t="s">
        <v>106</v>
      </c>
      <c r="F11">
        <v>23</v>
      </c>
      <c r="G11" t="s">
        <v>189</v>
      </c>
      <c r="H11" t="s">
        <v>108</v>
      </c>
      <c r="J11" t="s">
        <v>114</v>
      </c>
      <c r="K11" s="12" t="s">
        <v>110</v>
      </c>
      <c r="L11" t="s">
        <v>182</v>
      </c>
      <c r="M11" t="s">
        <v>183</v>
      </c>
      <c r="N11" t="s">
        <v>183</v>
      </c>
      <c r="O11" t="s">
        <v>110</v>
      </c>
      <c r="P11" t="s">
        <v>183</v>
      </c>
      <c r="Q11" t="s">
        <v>183</v>
      </c>
      <c r="R11" s="11">
        <v>45342</v>
      </c>
      <c r="S11" s="11">
        <v>45342</v>
      </c>
      <c r="T11" s="11">
        <v>45345</v>
      </c>
      <c r="W11" t="s">
        <v>114</v>
      </c>
      <c r="X11" t="s">
        <v>114</v>
      </c>
      <c r="AK11" t="s">
        <v>132</v>
      </c>
      <c r="AM11" t="s">
        <v>114</v>
      </c>
      <c r="AN11" t="s">
        <v>114</v>
      </c>
      <c r="AQ11" t="s">
        <v>132</v>
      </c>
      <c r="AU11" t="s">
        <v>114</v>
      </c>
      <c r="AV11" t="s">
        <v>115</v>
      </c>
      <c r="BB11" t="s">
        <v>114</v>
      </c>
      <c r="BC11" s="11">
        <v>45349</v>
      </c>
      <c r="BD11" t="s">
        <v>116</v>
      </c>
      <c r="BF11" t="s">
        <v>186</v>
      </c>
      <c r="BH11" t="str">
        <f t="shared" si="2"/>
        <v/>
      </c>
      <c r="BJ11" t="str">
        <f t="shared" si="3"/>
        <v/>
      </c>
      <c r="BK11" t="s">
        <v>187</v>
      </c>
      <c r="BL11" t="str">
        <f t="shared" si="4"/>
        <v>S9_2024</v>
      </c>
      <c r="BN11" s="11">
        <v>45349</v>
      </c>
      <c r="BO11" t="str">
        <f t="shared" si="5"/>
        <v>S9_2024</v>
      </c>
      <c r="BP11" t="s">
        <v>114</v>
      </c>
      <c r="BQ11" t="s">
        <v>118</v>
      </c>
      <c r="BW11" s="11"/>
      <c r="BX11" s="11"/>
      <c r="BY11" s="11"/>
      <c r="CB11" s="11"/>
      <c r="CC11" s="11"/>
      <c r="CD11" s="11"/>
      <c r="CG11" s="11"/>
      <c r="CI11" t="s">
        <v>119</v>
      </c>
      <c r="CO11" t="str">
        <f t="shared" si="6"/>
        <v>NEGATIFPAS INCLUS</v>
      </c>
      <c r="CP11" s="11">
        <v>45347</v>
      </c>
      <c r="CR11">
        <f t="shared" si="8"/>
        <v>-45349</v>
      </c>
      <c r="CS11">
        <f t="shared" si="9"/>
        <v>45349</v>
      </c>
      <c r="CT11">
        <f t="shared" si="7"/>
        <v>5</v>
      </c>
      <c r="CU11" t="e">
        <f t="shared" si="10"/>
        <v>#VALUE!</v>
      </c>
      <c r="CV11" t="str">
        <f t="shared" si="11"/>
        <v/>
      </c>
      <c r="CX11" s="11">
        <v>45342</v>
      </c>
      <c r="CY11" t="str">
        <f t="shared" si="12"/>
        <v>S8_2024</v>
      </c>
      <c r="DC11" t="s">
        <v>120</v>
      </c>
    </row>
    <row r="12" spans="1:107" x14ac:dyDescent="0.35">
      <c r="A12" t="s">
        <v>190</v>
      </c>
      <c r="B12" s="10" t="str">
        <f t="shared" si="0"/>
        <v>S8_2024</v>
      </c>
      <c r="C12" s="10" t="str">
        <f t="shared" si="1"/>
        <v>S7_2024</v>
      </c>
      <c r="D12" s="11">
        <v>45347</v>
      </c>
      <c r="E12" t="s">
        <v>123</v>
      </c>
      <c r="F12">
        <v>56</v>
      </c>
      <c r="G12" t="s">
        <v>162</v>
      </c>
      <c r="H12" t="s">
        <v>108</v>
      </c>
      <c r="J12" t="s">
        <v>132</v>
      </c>
      <c r="K12" s="14"/>
      <c r="L12" t="s">
        <v>182</v>
      </c>
      <c r="M12" t="s">
        <v>183</v>
      </c>
      <c r="N12" t="s">
        <v>183</v>
      </c>
      <c r="O12" t="s">
        <v>184</v>
      </c>
      <c r="P12" t="s">
        <v>183</v>
      </c>
      <c r="Q12" t="s">
        <v>183</v>
      </c>
      <c r="R12" s="11">
        <v>45340</v>
      </c>
      <c r="S12" s="11">
        <v>45340</v>
      </c>
      <c r="T12" s="11">
        <v>45342</v>
      </c>
      <c r="W12" t="s">
        <v>114</v>
      </c>
      <c r="Y12" t="s">
        <v>114</v>
      </c>
      <c r="AE12" t="s">
        <v>114</v>
      </c>
      <c r="AG12" t="s">
        <v>114</v>
      </c>
      <c r="AK12" t="s">
        <v>132</v>
      </c>
      <c r="AM12" t="s">
        <v>114</v>
      </c>
      <c r="AN12" t="s">
        <v>114</v>
      </c>
      <c r="AQ12" t="s">
        <v>132</v>
      </c>
      <c r="AR12" t="s">
        <v>191</v>
      </c>
      <c r="BB12" t="s">
        <v>114</v>
      </c>
      <c r="BC12" s="12" t="s">
        <v>110</v>
      </c>
      <c r="BF12" t="s">
        <v>186</v>
      </c>
      <c r="BH12" t="str">
        <f t="shared" si="2"/>
        <v/>
      </c>
      <c r="BJ12" t="str">
        <f t="shared" si="3"/>
        <v/>
      </c>
      <c r="BK12" t="s">
        <v>187</v>
      </c>
      <c r="BL12" t="str">
        <f t="shared" si="4"/>
        <v/>
      </c>
      <c r="BM12" t="s">
        <v>159</v>
      </c>
      <c r="BO12" t="str">
        <f t="shared" si="5"/>
        <v/>
      </c>
      <c r="CI12" t="s">
        <v>119</v>
      </c>
      <c r="CO12" t="str">
        <f t="shared" si="6"/>
        <v>PAS INCLUS</v>
      </c>
      <c r="CP12" s="11">
        <v>45347</v>
      </c>
      <c r="CR12" t="str">
        <f t="shared" si="8"/>
        <v/>
      </c>
      <c r="CS12" t="str">
        <f t="shared" si="9"/>
        <v/>
      </c>
      <c r="CT12">
        <f t="shared" si="7"/>
        <v>7</v>
      </c>
      <c r="CU12" t="str">
        <f t="shared" si="10"/>
        <v/>
      </c>
      <c r="CV12" t="str">
        <f t="shared" si="11"/>
        <v/>
      </c>
      <c r="CX12" s="11">
        <v>45340</v>
      </c>
      <c r="CY12" t="str">
        <f t="shared" si="12"/>
        <v>S7_2024</v>
      </c>
      <c r="DC12" t="s">
        <v>160</v>
      </c>
    </row>
    <row r="13" spans="1:107" x14ac:dyDescent="0.35">
      <c r="A13" t="s">
        <v>192</v>
      </c>
      <c r="B13" s="10" t="str">
        <f t="shared" si="0"/>
        <v>S10_2024</v>
      </c>
      <c r="C13" s="10" t="str">
        <f t="shared" si="1"/>
        <v>S10_2024</v>
      </c>
      <c r="D13" s="11">
        <v>45360</v>
      </c>
      <c r="E13" t="s">
        <v>106</v>
      </c>
      <c r="F13">
        <v>13</v>
      </c>
      <c r="G13" t="s">
        <v>107</v>
      </c>
      <c r="H13" t="s">
        <v>108</v>
      </c>
      <c r="J13" t="s">
        <v>114</v>
      </c>
      <c r="K13" s="14">
        <v>45360</v>
      </c>
      <c r="L13" t="s">
        <v>182</v>
      </c>
      <c r="M13" t="s">
        <v>193</v>
      </c>
      <c r="N13" t="s">
        <v>194</v>
      </c>
      <c r="P13" t="s">
        <v>195</v>
      </c>
      <c r="Q13" t="s">
        <v>196</v>
      </c>
      <c r="R13" s="11">
        <v>45359</v>
      </c>
      <c r="S13" s="11">
        <v>45359</v>
      </c>
      <c r="T13" s="11">
        <v>45359</v>
      </c>
      <c r="V13" t="s">
        <v>114</v>
      </c>
      <c r="W13" t="s">
        <v>114</v>
      </c>
      <c r="X13" t="s">
        <v>114</v>
      </c>
      <c r="AK13" t="s">
        <v>132</v>
      </c>
      <c r="AM13" t="s">
        <v>114</v>
      </c>
      <c r="AN13" t="s">
        <v>132</v>
      </c>
      <c r="AR13" t="s">
        <v>197</v>
      </c>
      <c r="AU13" t="s">
        <v>114</v>
      </c>
      <c r="AV13" t="s">
        <v>115</v>
      </c>
      <c r="BB13" t="s">
        <v>114</v>
      </c>
      <c r="BC13" s="11">
        <v>45362</v>
      </c>
      <c r="BD13" t="s">
        <v>169</v>
      </c>
      <c r="BG13" t="s">
        <v>114</v>
      </c>
      <c r="BH13" t="str">
        <f t="shared" si="2"/>
        <v/>
      </c>
      <c r="BJ13" t="str">
        <f t="shared" si="3"/>
        <v/>
      </c>
      <c r="BK13" t="s">
        <v>187</v>
      </c>
      <c r="BL13" t="str">
        <f t="shared" si="4"/>
        <v>S11_2024</v>
      </c>
      <c r="BN13" s="11">
        <v>45362</v>
      </c>
      <c r="BO13" t="str">
        <f t="shared" si="5"/>
        <v>S11_2024</v>
      </c>
      <c r="BP13" t="s">
        <v>114</v>
      </c>
      <c r="BQ13" t="s">
        <v>118</v>
      </c>
      <c r="BW13" s="11"/>
      <c r="BX13" s="11"/>
      <c r="BY13" s="11"/>
      <c r="CB13" s="11"/>
      <c r="CC13" s="11"/>
      <c r="CD13" s="11"/>
      <c r="CG13" s="11"/>
      <c r="CI13" t="s">
        <v>119</v>
      </c>
      <c r="CO13" t="str">
        <f t="shared" si="6"/>
        <v>NEGATIFPAS INCLUS</v>
      </c>
      <c r="CP13" s="11">
        <v>45360</v>
      </c>
      <c r="CR13">
        <f t="shared" si="8"/>
        <v>-45362</v>
      </c>
      <c r="CS13">
        <f t="shared" si="9"/>
        <v>45362</v>
      </c>
      <c r="CT13">
        <f t="shared" si="7"/>
        <v>1</v>
      </c>
      <c r="CU13">
        <f t="shared" si="10"/>
        <v>0</v>
      </c>
      <c r="CV13" t="str">
        <f t="shared" si="11"/>
        <v/>
      </c>
      <c r="CX13" s="11">
        <v>45359</v>
      </c>
      <c r="CY13" t="str">
        <f t="shared" si="12"/>
        <v>S10_2024</v>
      </c>
      <c r="DC13" t="s">
        <v>160</v>
      </c>
    </row>
    <row r="14" spans="1:107" x14ac:dyDescent="0.35">
      <c r="A14" t="s">
        <v>198</v>
      </c>
      <c r="B14" s="10" t="str">
        <f t="shared" si="0"/>
        <v>S11_2024</v>
      </c>
      <c r="C14" s="10" t="str">
        <f t="shared" si="1"/>
        <v>S10_2024</v>
      </c>
      <c r="D14" s="11">
        <v>45362</v>
      </c>
      <c r="E14" t="s">
        <v>106</v>
      </c>
      <c r="F14">
        <v>37</v>
      </c>
      <c r="G14" t="s">
        <v>162</v>
      </c>
      <c r="H14" t="s">
        <v>108</v>
      </c>
      <c r="J14" t="s">
        <v>114</v>
      </c>
      <c r="K14" s="14">
        <v>45362</v>
      </c>
      <c r="L14" t="s">
        <v>182</v>
      </c>
      <c r="M14" t="s">
        <v>193</v>
      </c>
      <c r="N14" t="s">
        <v>194</v>
      </c>
      <c r="P14" t="s">
        <v>199</v>
      </c>
      <c r="Q14" t="s">
        <v>193</v>
      </c>
      <c r="R14" s="11">
        <v>45358</v>
      </c>
      <c r="S14" s="11">
        <v>45362</v>
      </c>
      <c r="T14" s="11">
        <v>45358</v>
      </c>
      <c r="W14" t="s">
        <v>114</v>
      </c>
      <c r="X14" t="s">
        <v>114</v>
      </c>
      <c r="AA14" t="s">
        <v>114</v>
      </c>
      <c r="AB14" t="s">
        <v>114</v>
      </c>
      <c r="AE14" t="s">
        <v>114</v>
      </c>
      <c r="AK14" t="s">
        <v>132</v>
      </c>
      <c r="AM14" t="s">
        <v>132</v>
      </c>
      <c r="AN14" t="s">
        <v>132</v>
      </c>
      <c r="AU14" t="s">
        <v>114</v>
      </c>
      <c r="AV14" t="s">
        <v>115</v>
      </c>
      <c r="BB14" t="s">
        <v>114</v>
      </c>
      <c r="BC14" s="11">
        <v>45362</v>
      </c>
      <c r="BD14" t="s">
        <v>169</v>
      </c>
      <c r="BH14" t="str">
        <f t="shared" si="2"/>
        <v/>
      </c>
      <c r="BJ14" t="str">
        <f t="shared" si="3"/>
        <v/>
      </c>
      <c r="BK14" t="s">
        <v>187</v>
      </c>
      <c r="BL14" t="str">
        <f t="shared" si="4"/>
        <v>S11_2024</v>
      </c>
      <c r="BM14" t="s">
        <v>159</v>
      </c>
      <c r="BN14" s="11">
        <v>45362</v>
      </c>
      <c r="BO14" t="str">
        <f t="shared" si="5"/>
        <v>S11_2024</v>
      </c>
      <c r="BP14" t="s">
        <v>114</v>
      </c>
      <c r="BQ14" t="s">
        <v>118</v>
      </c>
      <c r="BW14" s="11"/>
      <c r="BX14" s="11"/>
      <c r="BY14" s="11"/>
      <c r="CB14" s="11"/>
      <c r="CC14" s="11"/>
      <c r="CD14" s="11"/>
      <c r="CG14" s="11"/>
      <c r="CI14" t="s">
        <v>119</v>
      </c>
      <c r="CO14" t="str">
        <f t="shared" si="6"/>
        <v>NEGATIFPAS INCLUS</v>
      </c>
      <c r="CP14" s="11">
        <v>45362</v>
      </c>
      <c r="CR14">
        <f t="shared" si="8"/>
        <v>-45362</v>
      </c>
      <c r="CS14">
        <f t="shared" si="9"/>
        <v>45362</v>
      </c>
      <c r="CT14">
        <f t="shared" si="7"/>
        <v>4</v>
      </c>
      <c r="CU14">
        <f t="shared" si="10"/>
        <v>0</v>
      </c>
      <c r="CV14" t="str">
        <f t="shared" si="11"/>
        <v/>
      </c>
      <c r="CX14" s="11">
        <v>45358</v>
      </c>
      <c r="CY14" t="str">
        <f t="shared" si="12"/>
        <v>S10_2024</v>
      </c>
      <c r="DC14" t="s">
        <v>160</v>
      </c>
    </row>
    <row r="15" spans="1:107" x14ac:dyDescent="0.35">
      <c r="A15" t="s">
        <v>200</v>
      </c>
      <c r="B15" s="10" t="str">
        <f t="shared" si="0"/>
        <v>S12_2024</v>
      </c>
      <c r="C15" s="10" t="str">
        <f t="shared" si="1"/>
        <v>S11_2024</v>
      </c>
      <c r="D15" s="11">
        <v>45371</v>
      </c>
      <c r="E15" t="s">
        <v>106</v>
      </c>
      <c r="F15">
        <v>35</v>
      </c>
      <c r="G15" t="s">
        <v>201</v>
      </c>
      <c r="H15" t="s">
        <v>108</v>
      </c>
      <c r="J15" t="s">
        <v>109</v>
      </c>
      <c r="K15" s="12" t="s">
        <v>110</v>
      </c>
      <c r="L15" t="s">
        <v>126</v>
      </c>
      <c r="M15" t="s">
        <v>127</v>
      </c>
      <c r="N15" t="s">
        <v>202</v>
      </c>
      <c r="O15" t="s">
        <v>203</v>
      </c>
      <c r="P15" t="s">
        <v>204</v>
      </c>
      <c r="Q15" t="s">
        <v>146</v>
      </c>
      <c r="R15" s="11">
        <v>45367</v>
      </c>
      <c r="S15" s="11">
        <v>45367</v>
      </c>
      <c r="T15" s="11">
        <v>45369</v>
      </c>
      <c r="V15" t="s">
        <v>109</v>
      </c>
      <c r="W15" t="s">
        <v>109</v>
      </c>
      <c r="X15" t="s">
        <v>150</v>
      </c>
      <c r="Y15" t="s">
        <v>150</v>
      </c>
      <c r="Z15" t="s">
        <v>150</v>
      </c>
      <c r="AA15" t="s">
        <v>109</v>
      </c>
      <c r="AB15" t="s">
        <v>109</v>
      </c>
      <c r="AD15" t="s">
        <v>114</v>
      </c>
      <c r="AE15" t="s">
        <v>114</v>
      </c>
      <c r="AG15" t="s">
        <v>150</v>
      </c>
      <c r="AM15" t="s">
        <v>114</v>
      </c>
      <c r="AN15" t="s">
        <v>132</v>
      </c>
      <c r="AQ15" t="s">
        <v>132</v>
      </c>
      <c r="AU15" t="s">
        <v>114</v>
      </c>
      <c r="AV15" t="s">
        <v>115</v>
      </c>
      <c r="AW15" t="s">
        <v>152</v>
      </c>
      <c r="BB15" t="s">
        <v>114</v>
      </c>
      <c r="BC15" s="11">
        <v>45371</v>
      </c>
      <c r="BD15" t="s">
        <v>136</v>
      </c>
      <c r="BH15" t="str">
        <f t="shared" si="2"/>
        <v/>
      </c>
      <c r="BJ15" t="str">
        <f t="shared" si="3"/>
        <v/>
      </c>
      <c r="BK15" t="s">
        <v>137</v>
      </c>
      <c r="BL15" t="str">
        <f t="shared" si="4"/>
        <v>S12_2024</v>
      </c>
      <c r="BM15" t="s">
        <v>159</v>
      </c>
      <c r="BN15" s="11">
        <v>45371</v>
      </c>
      <c r="BO15" t="str">
        <f t="shared" si="5"/>
        <v>S12_2024</v>
      </c>
      <c r="BP15" t="s">
        <v>114</v>
      </c>
      <c r="BQ15" t="s">
        <v>118</v>
      </c>
      <c r="BW15" s="11"/>
      <c r="BX15" s="11"/>
      <c r="BY15" s="11"/>
      <c r="CB15" s="11"/>
      <c r="CC15" s="11"/>
      <c r="CD15" s="11"/>
      <c r="CG15" s="11"/>
      <c r="CI15" t="s">
        <v>119</v>
      </c>
      <c r="CO15" t="str">
        <f t="shared" si="6"/>
        <v>NEGATIFPAS INCLUS</v>
      </c>
      <c r="CP15" s="11">
        <v>45371</v>
      </c>
      <c r="CR15">
        <f t="shared" si="8"/>
        <v>-45371</v>
      </c>
      <c r="CS15">
        <f t="shared" si="9"/>
        <v>45371</v>
      </c>
      <c r="CT15">
        <f t="shared" si="7"/>
        <v>4</v>
      </c>
      <c r="CU15" t="e">
        <f t="shared" si="10"/>
        <v>#VALUE!</v>
      </c>
      <c r="CV15" t="str">
        <f t="shared" si="11"/>
        <v/>
      </c>
      <c r="CX15" s="11">
        <v>45367</v>
      </c>
      <c r="CY15" t="str">
        <f t="shared" si="12"/>
        <v>S11_2024</v>
      </c>
      <c r="DC15" t="s">
        <v>120</v>
      </c>
    </row>
    <row r="16" spans="1:107" x14ac:dyDescent="0.35">
      <c r="A16" t="s">
        <v>205</v>
      </c>
      <c r="B16" s="10" t="str">
        <f t="shared" si="0"/>
        <v>S13_2024</v>
      </c>
      <c r="C16" s="10" t="str">
        <f t="shared" si="1"/>
        <v>S12_2024</v>
      </c>
      <c r="D16" s="11">
        <v>45379</v>
      </c>
      <c r="E16" t="s">
        <v>123</v>
      </c>
      <c r="F16">
        <v>7</v>
      </c>
      <c r="G16" t="s">
        <v>107</v>
      </c>
      <c r="H16" t="s">
        <v>108</v>
      </c>
      <c r="J16" t="s">
        <v>114</v>
      </c>
      <c r="K16" s="14">
        <v>45374</v>
      </c>
      <c r="L16" t="s">
        <v>206</v>
      </c>
      <c r="M16" t="s">
        <v>207</v>
      </c>
      <c r="N16" t="s">
        <v>208</v>
      </c>
      <c r="P16" t="s">
        <v>209</v>
      </c>
      <c r="Q16" t="s">
        <v>207</v>
      </c>
      <c r="R16" s="11">
        <v>45374</v>
      </c>
      <c r="S16" s="11">
        <v>45374</v>
      </c>
      <c r="T16" s="11">
        <v>45374</v>
      </c>
      <c r="V16" t="s">
        <v>114</v>
      </c>
      <c r="W16" t="s">
        <v>114</v>
      </c>
      <c r="X16" t="s">
        <v>114</v>
      </c>
      <c r="Y16" t="s">
        <v>114</v>
      </c>
      <c r="AB16" t="s">
        <v>114</v>
      </c>
      <c r="AE16" t="s">
        <v>114</v>
      </c>
      <c r="AK16" t="s">
        <v>132</v>
      </c>
      <c r="AM16" t="s">
        <v>132</v>
      </c>
      <c r="AN16" t="s">
        <v>132</v>
      </c>
      <c r="AS16" s="11">
        <v>45390</v>
      </c>
      <c r="AU16" t="s">
        <v>114</v>
      </c>
      <c r="AV16" t="s">
        <v>115</v>
      </c>
      <c r="BB16" t="s">
        <v>114</v>
      </c>
      <c r="BC16" s="11">
        <v>45379</v>
      </c>
      <c r="BD16" t="s">
        <v>210</v>
      </c>
      <c r="BF16" t="s">
        <v>207</v>
      </c>
      <c r="BG16" t="s">
        <v>114</v>
      </c>
      <c r="BH16" t="str">
        <f t="shared" si="2"/>
        <v/>
      </c>
      <c r="BJ16" t="str">
        <f t="shared" si="3"/>
        <v/>
      </c>
      <c r="BK16" t="s">
        <v>206</v>
      </c>
      <c r="BL16" t="str">
        <f t="shared" si="4"/>
        <v>S13_2024</v>
      </c>
      <c r="BN16" s="11">
        <v>45379</v>
      </c>
      <c r="BO16" t="str">
        <f t="shared" si="5"/>
        <v>S13_2024</v>
      </c>
      <c r="BP16" t="s">
        <v>114</v>
      </c>
      <c r="BQ16" t="s">
        <v>118</v>
      </c>
      <c r="BU16" s="11"/>
      <c r="BW16" s="11"/>
      <c r="BX16" s="11"/>
      <c r="BY16" s="11"/>
      <c r="BZ16" s="11"/>
      <c r="CB16" s="11"/>
      <c r="CC16" s="11"/>
      <c r="CD16" s="11"/>
      <c r="CE16" s="11"/>
      <c r="CG16" s="11"/>
      <c r="CI16" t="s">
        <v>119</v>
      </c>
      <c r="CO16" t="str">
        <f t="shared" si="6"/>
        <v>NEGATIFPAS INCLUS</v>
      </c>
      <c r="CP16" s="11">
        <v>45379</v>
      </c>
      <c r="CR16">
        <f t="shared" si="8"/>
        <v>11</v>
      </c>
      <c r="CS16">
        <f t="shared" si="9"/>
        <v>-11</v>
      </c>
      <c r="CT16">
        <f t="shared" si="7"/>
        <v>5</v>
      </c>
      <c r="CU16">
        <f t="shared" si="10"/>
        <v>5</v>
      </c>
      <c r="CV16" t="str">
        <f t="shared" si="11"/>
        <v/>
      </c>
      <c r="CX16" s="11">
        <v>45374</v>
      </c>
      <c r="CY16" t="str">
        <f t="shared" si="12"/>
        <v>S12_2024</v>
      </c>
      <c r="DC16" t="s">
        <v>120</v>
      </c>
    </row>
    <row r="17" spans="1:107" x14ac:dyDescent="0.35">
      <c r="A17" t="s">
        <v>211</v>
      </c>
      <c r="B17" s="10" t="str">
        <f t="shared" si="0"/>
        <v>S14_2024</v>
      </c>
      <c r="C17" s="10" t="str">
        <f t="shared" si="1"/>
        <v>S13_2024</v>
      </c>
      <c r="D17" s="11">
        <v>45384</v>
      </c>
      <c r="E17" t="s">
        <v>106</v>
      </c>
      <c r="F17">
        <v>5</v>
      </c>
      <c r="G17" t="s">
        <v>107</v>
      </c>
      <c r="H17" t="s">
        <v>108</v>
      </c>
      <c r="J17" t="s">
        <v>109</v>
      </c>
      <c r="K17" s="12" t="s">
        <v>110</v>
      </c>
      <c r="L17" t="s">
        <v>126</v>
      </c>
      <c r="M17" t="s">
        <v>127</v>
      </c>
      <c r="N17" t="s">
        <v>212</v>
      </c>
      <c r="O17" t="s">
        <v>213</v>
      </c>
      <c r="P17" t="s">
        <v>214</v>
      </c>
      <c r="Q17" t="s">
        <v>215</v>
      </c>
      <c r="R17" s="11">
        <v>45377</v>
      </c>
      <c r="T17" s="11">
        <v>45377</v>
      </c>
      <c r="V17" t="s">
        <v>114</v>
      </c>
      <c r="W17" t="s">
        <v>132</v>
      </c>
      <c r="X17" t="s">
        <v>114</v>
      </c>
      <c r="Y17" t="s">
        <v>114</v>
      </c>
      <c r="Z17" t="s">
        <v>150</v>
      </c>
      <c r="AA17" t="s">
        <v>114</v>
      </c>
      <c r="AB17" t="s">
        <v>114</v>
      </c>
      <c r="AD17" t="s">
        <v>114</v>
      </c>
      <c r="AE17" t="s">
        <v>114</v>
      </c>
      <c r="AF17" t="s">
        <v>109</v>
      </c>
      <c r="AG17" t="s">
        <v>132</v>
      </c>
      <c r="AJ17" t="s">
        <v>216</v>
      </c>
      <c r="AM17" t="s">
        <v>132</v>
      </c>
      <c r="AN17" t="s">
        <v>114</v>
      </c>
      <c r="AQ17" t="s">
        <v>132</v>
      </c>
      <c r="AS17" s="11">
        <v>45385</v>
      </c>
      <c r="AU17" t="s">
        <v>114</v>
      </c>
      <c r="AV17" t="s">
        <v>115</v>
      </c>
      <c r="AW17" t="s">
        <v>152</v>
      </c>
      <c r="BB17" t="s">
        <v>114</v>
      </c>
      <c r="BC17" s="11">
        <v>45384</v>
      </c>
      <c r="BD17" t="s">
        <v>217</v>
      </c>
      <c r="BG17" t="s">
        <v>114</v>
      </c>
      <c r="BH17" t="str">
        <f t="shared" si="2"/>
        <v/>
      </c>
      <c r="BJ17" t="str">
        <f t="shared" si="3"/>
        <v/>
      </c>
      <c r="BK17" t="s">
        <v>137</v>
      </c>
      <c r="BL17" t="str">
        <f t="shared" si="4"/>
        <v>S14_2024</v>
      </c>
      <c r="BN17" s="11">
        <v>45384</v>
      </c>
      <c r="BO17" t="str">
        <f t="shared" si="5"/>
        <v>S14_2024</v>
      </c>
      <c r="BP17" t="s">
        <v>114</v>
      </c>
      <c r="BQ17" t="s">
        <v>118</v>
      </c>
      <c r="BU17" s="11"/>
      <c r="BW17" s="11"/>
      <c r="BX17" s="11"/>
      <c r="BY17" s="11"/>
      <c r="BZ17" s="11"/>
      <c r="CB17" s="11"/>
      <c r="CC17" s="11"/>
      <c r="CD17" s="11"/>
      <c r="CE17" s="11"/>
      <c r="CG17" s="11"/>
      <c r="CI17" t="s">
        <v>119</v>
      </c>
      <c r="CO17" t="str">
        <f t="shared" si="6"/>
        <v>NEGATIFPAS INCLUS</v>
      </c>
      <c r="CP17" s="11">
        <v>45384</v>
      </c>
      <c r="CR17">
        <f t="shared" si="8"/>
        <v>1</v>
      </c>
      <c r="CS17">
        <f t="shared" si="9"/>
        <v>-1</v>
      </c>
      <c r="CT17">
        <f t="shared" si="7"/>
        <v>7</v>
      </c>
      <c r="CU17" t="e">
        <f t="shared" si="10"/>
        <v>#VALUE!</v>
      </c>
      <c r="CV17" t="str">
        <f t="shared" si="11"/>
        <v/>
      </c>
      <c r="CX17" s="11">
        <v>45377</v>
      </c>
      <c r="CY17" t="str">
        <f t="shared" si="12"/>
        <v>S13_2024</v>
      </c>
      <c r="DC17" t="s">
        <v>120</v>
      </c>
    </row>
    <row r="18" spans="1:107" x14ac:dyDescent="0.35">
      <c r="A18" t="s">
        <v>218</v>
      </c>
      <c r="B18" s="10" t="str">
        <f t="shared" si="0"/>
        <v>S14_2024</v>
      </c>
      <c r="C18" s="10" t="str">
        <f t="shared" si="1"/>
        <v>S2_2024</v>
      </c>
      <c r="D18" s="11">
        <v>45384</v>
      </c>
      <c r="E18" t="s">
        <v>123</v>
      </c>
      <c r="F18">
        <v>76</v>
      </c>
      <c r="G18" t="s">
        <v>162</v>
      </c>
      <c r="H18" t="s">
        <v>125</v>
      </c>
      <c r="I18" s="11">
        <v>45384</v>
      </c>
      <c r="J18" t="s">
        <v>114</v>
      </c>
      <c r="K18" s="14">
        <v>45302</v>
      </c>
      <c r="L18" t="s">
        <v>163</v>
      </c>
      <c r="M18" t="s">
        <v>219</v>
      </c>
      <c r="N18" t="s">
        <v>220</v>
      </c>
      <c r="O18" t="s">
        <v>221</v>
      </c>
      <c r="P18" t="s">
        <v>110</v>
      </c>
      <c r="Q18" t="s">
        <v>167</v>
      </c>
      <c r="R18" s="11">
        <v>45302</v>
      </c>
      <c r="S18" s="11">
        <v>45302</v>
      </c>
      <c r="T18" s="11">
        <v>45302</v>
      </c>
      <c r="AR18" t="s">
        <v>222</v>
      </c>
      <c r="AS18" s="11">
        <v>45303</v>
      </c>
      <c r="AU18" t="s">
        <v>114</v>
      </c>
      <c r="AV18" t="s">
        <v>134</v>
      </c>
      <c r="AW18" t="s">
        <v>125</v>
      </c>
      <c r="AY18" t="s">
        <v>135</v>
      </c>
      <c r="BB18" t="s">
        <v>114</v>
      </c>
      <c r="BC18" s="11">
        <v>45303</v>
      </c>
      <c r="BD18" t="s">
        <v>223</v>
      </c>
      <c r="BF18" t="s">
        <v>165</v>
      </c>
      <c r="BH18" t="str">
        <f t="shared" si="2"/>
        <v>S14_2024</v>
      </c>
      <c r="BI18" s="11">
        <v>45384</v>
      </c>
      <c r="BJ18" t="str">
        <f t="shared" si="3"/>
        <v>S14_2024</v>
      </c>
      <c r="BK18" t="s">
        <v>170</v>
      </c>
      <c r="BL18" t="str">
        <f t="shared" si="4"/>
        <v>S2_2024</v>
      </c>
      <c r="BN18" s="11">
        <v>45303</v>
      </c>
      <c r="BO18" t="str">
        <f t="shared" si="5"/>
        <v>S2_2024</v>
      </c>
      <c r="BP18" t="s">
        <v>114</v>
      </c>
      <c r="BQ18" t="s">
        <v>118</v>
      </c>
      <c r="BW18" s="11"/>
      <c r="BX18" s="11"/>
      <c r="BY18" s="11"/>
      <c r="CB18" s="11"/>
      <c r="CC18" s="11"/>
      <c r="CD18" s="11"/>
      <c r="CG18" s="11"/>
      <c r="CI18" t="s">
        <v>119</v>
      </c>
      <c r="CK18" t="s">
        <v>138</v>
      </c>
      <c r="CO18" t="str">
        <f t="shared" si="6"/>
        <v>POSITIFPAS INCLUS</v>
      </c>
      <c r="CP18" s="11">
        <v>45303</v>
      </c>
      <c r="CR18">
        <f t="shared" si="8"/>
        <v>0</v>
      </c>
      <c r="CS18">
        <f t="shared" si="9"/>
        <v>0</v>
      </c>
      <c r="CT18">
        <f t="shared" si="7"/>
        <v>1</v>
      </c>
      <c r="CU18">
        <f t="shared" si="10"/>
        <v>1</v>
      </c>
      <c r="CV18">
        <f t="shared" si="11"/>
        <v>82</v>
      </c>
      <c r="CX18" s="11">
        <v>45302</v>
      </c>
      <c r="CY18" t="str">
        <f t="shared" si="12"/>
        <v>S2_2024</v>
      </c>
      <c r="DC18" t="s">
        <v>139</v>
      </c>
    </row>
    <row r="19" spans="1:107" x14ac:dyDescent="0.35">
      <c r="A19" t="s">
        <v>224</v>
      </c>
      <c r="B19" s="10" t="str">
        <f t="shared" si="0"/>
        <v>S15_2024</v>
      </c>
      <c r="C19" s="10" t="str">
        <f t="shared" si="1"/>
        <v>S14_2024</v>
      </c>
      <c r="D19" s="11">
        <v>45390</v>
      </c>
      <c r="E19" t="s">
        <v>123</v>
      </c>
      <c r="F19">
        <v>15</v>
      </c>
      <c r="G19" t="s">
        <v>162</v>
      </c>
      <c r="H19" t="s">
        <v>108</v>
      </c>
      <c r="J19" t="s">
        <v>142</v>
      </c>
      <c r="K19" s="12"/>
      <c r="L19" t="s">
        <v>182</v>
      </c>
      <c r="M19" t="s">
        <v>183</v>
      </c>
      <c r="N19" t="s">
        <v>225</v>
      </c>
      <c r="P19" t="s">
        <v>226</v>
      </c>
      <c r="Q19" t="s">
        <v>183</v>
      </c>
      <c r="R19" s="11">
        <v>45385</v>
      </c>
      <c r="S19" s="11">
        <v>45385</v>
      </c>
      <c r="T19" s="11">
        <v>45385</v>
      </c>
      <c r="AK19" t="s">
        <v>132</v>
      </c>
      <c r="AM19" t="s">
        <v>114</v>
      </c>
      <c r="AN19" t="s">
        <v>114</v>
      </c>
      <c r="AQ19" t="s">
        <v>132</v>
      </c>
      <c r="AR19" t="s">
        <v>227</v>
      </c>
      <c r="AS19" s="11">
        <v>45392</v>
      </c>
      <c r="AU19" t="s">
        <v>114</v>
      </c>
      <c r="AV19" t="s">
        <v>134</v>
      </c>
      <c r="AW19" t="s">
        <v>152</v>
      </c>
      <c r="AY19" t="s">
        <v>135</v>
      </c>
      <c r="BB19" t="s">
        <v>114</v>
      </c>
      <c r="BC19" s="11">
        <v>45392</v>
      </c>
      <c r="BD19" t="s">
        <v>116</v>
      </c>
      <c r="BF19" t="s">
        <v>228</v>
      </c>
      <c r="BG19" t="s">
        <v>132</v>
      </c>
      <c r="BH19" t="str">
        <f t="shared" si="2"/>
        <v/>
      </c>
      <c r="BI19" s="11">
        <v>45475</v>
      </c>
      <c r="BJ19" t="str">
        <f t="shared" si="3"/>
        <v>S27_2024</v>
      </c>
      <c r="BK19" t="s">
        <v>187</v>
      </c>
      <c r="BL19" t="str">
        <f t="shared" si="4"/>
        <v>S15_2024</v>
      </c>
      <c r="BN19" s="11">
        <v>45392</v>
      </c>
      <c r="BO19" t="str">
        <f t="shared" si="5"/>
        <v>S15_2024</v>
      </c>
      <c r="BP19" t="s">
        <v>114</v>
      </c>
      <c r="BQ19" t="s">
        <v>118</v>
      </c>
      <c r="BW19" s="11"/>
      <c r="BX19" s="11"/>
      <c r="BY19" s="11"/>
      <c r="CB19" s="11"/>
      <c r="CC19" s="11"/>
      <c r="CD19" s="11"/>
      <c r="CG19" s="11"/>
      <c r="CI19" t="s">
        <v>119</v>
      </c>
      <c r="CK19" t="s">
        <v>138</v>
      </c>
      <c r="CO19" t="str">
        <f t="shared" si="6"/>
        <v>POSITIFPAS INCLUS</v>
      </c>
      <c r="CP19" s="11">
        <v>45390</v>
      </c>
      <c r="CR19">
        <f t="shared" si="8"/>
        <v>0</v>
      </c>
      <c r="CS19">
        <f t="shared" si="9"/>
        <v>0</v>
      </c>
      <c r="CT19">
        <f t="shared" si="7"/>
        <v>5</v>
      </c>
      <c r="CU19">
        <f t="shared" si="10"/>
        <v>45390</v>
      </c>
      <c r="CV19">
        <f t="shared" si="11"/>
        <v>90</v>
      </c>
      <c r="CX19" s="11">
        <v>45385</v>
      </c>
      <c r="CY19" t="str">
        <f t="shared" si="12"/>
        <v>S14_2024</v>
      </c>
      <c r="DC19" t="s">
        <v>139</v>
      </c>
    </row>
    <row r="20" spans="1:107" x14ac:dyDescent="0.35">
      <c r="A20" t="s">
        <v>229</v>
      </c>
      <c r="B20" s="10" t="str">
        <f t="shared" si="0"/>
        <v>S15_2024</v>
      </c>
      <c r="C20" s="10" t="str">
        <f t="shared" si="1"/>
        <v>S13_2024</v>
      </c>
      <c r="D20" s="11">
        <v>45390</v>
      </c>
      <c r="E20" t="s">
        <v>106</v>
      </c>
      <c r="F20">
        <v>19</v>
      </c>
      <c r="G20" t="s">
        <v>162</v>
      </c>
      <c r="H20" t="s">
        <v>108</v>
      </c>
      <c r="J20" t="s">
        <v>114</v>
      </c>
      <c r="K20" s="12" t="s">
        <v>110</v>
      </c>
      <c r="L20" t="s">
        <v>182</v>
      </c>
      <c r="M20" t="s">
        <v>183</v>
      </c>
      <c r="N20" t="s">
        <v>110</v>
      </c>
      <c r="O20" t="s">
        <v>110</v>
      </c>
      <c r="P20" t="s">
        <v>230</v>
      </c>
      <c r="Q20" t="s">
        <v>183</v>
      </c>
      <c r="R20" s="11">
        <v>45379</v>
      </c>
      <c r="S20" s="11">
        <v>45379</v>
      </c>
      <c r="T20" s="11">
        <v>45384</v>
      </c>
      <c r="W20" t="s">
        <v>114</v>
      </c>
      <c r="X20" t="s">
        <v>114</v>
      </c>
      <c r="AB20" t="s">
        <v>114</v>
      </c>
      <c r="AE20" t="s">
        <v>114</v>
      </c>
      <c r="AG20" t="s">
        <v>114</v>
      </c>
      <c r="AQ20" t="s">
        <v>132</v>
      </c>
      <c r="AR20" t="s">
        <v>231</v>
      </c>
      <c r="AS20" s="11">
        <v>45394</v>
      </c>
      <c r="AU20" t="s">
        <v>114</v>
      </c>
      <c r="AV20" t="s">
        <v>115</v>
      </c>
      <c r="BB20" t="s">
        <v>114</v>
      </c>
      <c r="BC20" s="11">
        <v>45392</v>
      </c>
      <c r="BG20" t="s">
        <v>132</v>
      </c>
      <c r="BH20" t="str">
        <f t="shared" si="2"/>
        <v/>
      </c>
      <c r="BJ20" t="str">
        <f t="shared" si="3"/>
        <v/>
      </c>
      <c r="BK20" t="s">
        <v>187</v>
      </c>
      <c r="BL20" t="str">
        <f t="shared" si="4"/>
        <v>S15_2024</v>
      </c>
      <c r="BN20" s="11">
        <v>45392</v>
      </c>
      <c r="BO20" t="str">
        <f t="shared" si="5"/>
        <v>S15_2024</v>
      </c>
      <c r="BP20" t="s">
        <v>114</v>
      </c>
      <c r="BQ20" t="s">
        <v>118</v>
      </c>
      <c r="BU20" s="11"/>
      <c r="BW20" s="11"/>
      <c r="BX20" s="11"/>
      <c r="BY20" s="11"/>
      <c r="BZ20" s="11"/>
      <c r="CB20" s="11"/>
      <c r="CC20" s="11"/>
      <c r="CD20" s="11"/>
      <c r="CE20" s="11"/>
      <c r="CG20" s="11"/>
      <c r="CI20" t="s">
        <v>119</v>
      </c>
      <c r="CO20" t="str">
        <f t="shared" si="6"/>
        <v>NEGATIFPAS INCLUS</v>
      </c>
      <c r="CP20" s="11">
        <v>45390</v>
      </c>
      <c r="CR20">
        <f t="shared" si="8"/>
        <v>2</v>
      </c>
      <c r="CS20">
        <f t="shared" si="9"/>
        <v>-2</v>
      </c>
      <c r="CT20">
        <f t="shared" si="7"/>
        <v>11</v>
      </c>
      <c r="CU20" t="e">
        <f t="shared" si="10"/>
        <v>#VALUE!</v>
      </c>
      <c r="CV20" t="str">
        <f t="shared" si="11"/>
        <v/>
      </c>
      <c r="CX20" s="11">
        <v>45379</v>
      </c>
      <c r="CY20" t="str">
        <f t="shared" si="12"/>
        <v>S13_2024</v>
      </c>
      <c r="DC20" t="s">
        <v>160</v>
      </c>
    </row>
    <row r="21" spans="1:107" x14ac:dyDescent="0.35">
      <c r="A21" t="s">
        <v>232</v>
      </c>
      <c r="B21" s="10" t="str">
        <f t="shared" si="0"/>
        <v>S15_2024</v>
      </c>
      <c r="C21" s="10" t="str">
        <f t="shared" si="1"/>
        <v>S13_2024</v>
      </c>
      <c r="D21" s="11">
        <v>45391</v>
      </c>
      <c r="E21" t="s">
        <v>106</v>
      </c>
      <c r="F21">
        <v>23</v>
      </c>
      <c r="G21" t="s">
        <v>162</v>
      </c>
      <c r="H21" t="s">
        <v>108</v>
      </c>
      <c r="J21" t="s">
        <v>132</v>
      </c>
      <c r="K21" s="12"/>
      <c r="L21" t="s">
        <v>182</v>
      </c>
      <c r="M21" t="s">
        <v>183</v>
      </c>
      <c r="O21" t="s">
        <v>184</v>
      </c>
      <c r="P21" t="s">
        <v>233</v>
      </c>
      <c r="Q21" t="s">
        <v>234</v>
      </c>
      <c r="R21" s="11">
        <v>45380</v>
      </c>
      <c r="S21" s="11">
        <v>45380</v>
      </c>
      <c r="T21" s="11">
        <v>45380</v>
      </c>
      <c r="W21" t="s">
        <v>114</v>
      </c>
      <c r="X21" t="s">
        <v>114</v>
      </c>
      <c r="Y21" t="s">
        <v>114</v>
      </c>
      <c r="AB21" t="s">
        <v>114</v>
      </c>
      <c r="AG21" t="s">
        <v>114</v>
      </c>
      <c r="AQ21" t="s">
        <v>132</v>
      </c>
      <c r="AR21" t="s">
        <v>235</v>
      </c>
      <c r="AS21" s="11">
        <v>45394</v>
      </c>
      <c r="AU21" t="s">
        <v>114</v>
      </c>
      <c r="AV21" t="s">
        <v>134</v>
      </c>
      <c r="AW21" t="s">
        <v>152</v>
      </c>
      <c r="AY21" t="s">
        <v>135</v>
      </c>
      <c r="BB21" t="s">
        <v>114</v>
      </c>
      <c r="BC21" s="11">
        <v>45392</v>
      </c>
      <c r="BG21" t="s">
        <v>132</v>
      </c>
      <c r="BH21" t="str">
        <f t="shared" si="2"/>
        <v/>
      </c>
      <c r="BI21" s="11">
        <v>45475</v>
      </c>
      <c r="BJ21" t="str">
        <f t="shared" si="3"/>
        <v>S27_2024</v>
      </c>
      <c r="BK21" t="s">
        <v>187</v>
      </c>
      <c r="BL21" t="str">
        <f t="shared" si="4"/>
        <v>S15_2024</v>
      </c>
      <c r="BN21" s="11">
        <v>45392</v>
      </c>
      <c r="BO21" t="str">
        <f t="shared" si="5"/>
        <v>S15_2024</v>
      </c>
      <c r="BP21" t="s">
        <v>114</v>
      </c>
      <c r="BQ21" t="s">
        <v>118</v>
      </c>
      <c r="BU21" s="11"/>
      <c r="BW21" s="11"/>
      <c r="BX21" s="11"/>
      <c r="BY21" s="11"/>
      <c r="BZ21" s="11"/>
      <c r="CB21" s="11"/>
      <c r="CC21" s="11"/>
      <c r="CD21" s="11"/>
      <c r="CE21" s="11"/>
      <c r="CG21" s="11"/>
      <c r="CI21" t="s">
        <v>119</v>
      </c>
      <c r="CK21" t="s">
        <v>138</v>
      </c>
      <c r="CO21" t="str">
        <f t="shared" si="6"/>
        <v>POSITIFPAS INCLUS</v>
      </c>
      <c r="CP21" s="11">
        <v>45391</v>
      </c>
      <c r="CR21">
        <f t="shared" si="8"/>
        <v>2</v>
      </c>
      <c r="CS21">
        <f t="shared" si="9"/>
        <v>-2</v>
      </c>
      <c r="CT21">
        <f t="shared" si="7"/>
        <v>11</v>
      </c>
      <c r="CU21" t="str">
        <f t="shared" si="10"/>
        <v/>
      </c>
      <c r="CV21">
        <f t="shared" si="11"/>
        <v>95</v>
      </c>
      <c r="CX21" s="11">
        <v>45380</v>
      </c>
      <c r="CY21" t="str">
        <f t="shared" si="12"/>
        <v>S13_2024</v>
      </c>
      <c r="DC21" t="s">
        <v>139</v>
      </c>
    </row>
    <row r="22" spans="1:107" x14ac:dyDescent="0.35">
      <c r="A22" t="s">
        <v>236</v>
      </c>
      <c r="B22" s="10" t="str">
        <f t="shared" si="0"/>
        <v>S15_2024</v>
      </c>
      <c r="C22" s="10" t="str">
        <f t="shared" si="1"/>
        <v>S14_2024</v>
      </c>
      <c r="D22" s="11">
        <v>45391</v>
      </c>
      <c r="E22" t="s">
        <v>123</v>
      </c>
      <c r="F22">
        <v>33</v>
      </c>
      <c r="G22" t="s">
        <v>162</v>
      </c>
      <c r="H22" t="s">
        <v>108</v>
      </c>
      <c r="J22" t="s">
        <v>142</v>
      </c>
      <c r="K22" s="12"/>
      <c r="L22" t="s">
        <v>182</v>
      </c>
      <c r="M22" t="s">
        <v>183</v>
      </c>
      <c r="N22" t="s">
        <v>225</v>
      </c>
      <c r="P22" t="s">
        <v>233</v>
      </c>
      <c r="Q22" t="s">
        <v>183</v>
      </c>
      <c r="R22" s="11">
        <v>45383</v>
      </c>
      <c r="S22" s="11">
        <v>45383</v>
      </c>
      <c r="T22" s="11">
        <v>45383</v>
      </c>
      <c r="W22" t="s">
        <v>114</v>
      </c>
      <c r="X22" t="s">
        <v>114</v>
      </c>
      <c r="AA22" t="s">
        <v>114</v>
      </c>
      <c r="AK22" t="s">
        <v>132</v>
      </c>
      <c r="AM22" t="s">
        <v>132</v>
      </c>
      <c r="AN22" t="s">
        <v>114</v>
      </c>
      <c r="AS22" s="11">
        <v>45394</v>
      </c>
      <c r="AU22" t="s">
        <v>114</v>
      </c>
      <c r="AV22" t="s">
        <v>115</v>
      </c>
      <c r="BB22" t="s">
        <v>114</v>
      </c>
      <c r="BC22" s="11">
        <v>45392</v>
      </c>
      <c r="BD22" t="s">
        <v>116</v>
      </c>
      <c r="BF22" t="s">
        <v>237</v>
      </c>
      <c r="BG22" t="s">
        <v>132</v>
      </c>
      <c r="BH22" t="str">
        <f t="shared" si="2"/>
        <v/>
      </c>
      <c r="BJ22" t="str">
        <f t="shared" si="3"/>
        <v/>
      </c>
      <c r="BK22" t="s">
        <v>187</v>
      </c>
      <c r="BL22" t="str">
        <f t="shared" si="4"/>
        <v>S15_2024</v>
      </c>
      <c r="BN22" s="11">
        <v>45392</v>
      </c>
      <c r="BO22" t="str">
        <f t="shared" si="5"/>
        <v>S15_2024</v>
      </c>
      <c r="BP22" t="s">
        <v>114</v>
      </c>
      <c r="BQ22" t="s">
        <v>118</v>
      </c>
      <c r="BU22" s="11"/>
      <c r="BW22" s="11"/>
      <c r="BX22" s="11"/>
      <c r="BY22" s="11"/>
      <c r="BZ22" s="11"/>
      <c r="CB22" s="11"/>
      <c r="CC22" s="11"/>
      <c r="CD22" s="11"/>
      <c r="CE22" s="11"/>
      <c r="CG22" s="11"/>
      <c r="CI22" t="s">
        <v>119</v>
      </c>
      <c r="CO22" t="str">
        <f t="shared" si="6"/>
        <v>NEGATIFPAS INCLUS</v>
      </c>
      <c r="CP22" s="11">
        <v>45391</v>
      </c>
      <c r="CR22">
        <f t="shared" si="8"/>
        <v>2</v>
      </c>
      <c r="CS22">
        <f t="shared" si="9"/>
        <v>-2</v>
      </c>
      <c r="CT22">
        <f t="shared" si="7"/>
        <v>8</v>
      </c>
      <c r="CU22">
        <f t="shared" si="10"/>
        <v>45391</v>
      </c>
      <c r="CV22" t="str">
        <f t="shared" si="11"/>
        <v/>
      </c>
      <c r="CX22" s="11">
        <v>45383</v>
      </c>
      <c r="CY22" t="str">
        <f t="shared" si="12"/>
        <v>S14_2024</v>
      </c>
      <c r="DC22" t="s">
        <v>120</v>
      </c>
    </row>
    <row r="23" spans="1:107" x14ac:dyDescent="0.35">
      <c r="A23" t="s">
        <v>238</v>
      </c>
      <c r="B23" s="10" t="str">
        <f t="shared" si="0"/>
        <v>S18_2024</v>
      </c>
      <c r="C23" s="10" t="str">
        <f t="shared" si="1"/>
        <v>S17_2024</v>
      </c>
      <c r="D23" s="11">
        <v>45417</v>
      </c>
      <c r="E23" t="s">
        <v>123</v>
      </c>
      <c r="F23">
        <v>17</v>
      </c>
      <c r="G23" t="s">
        <v>107</v>
      </c>
      <c r="H23" t="s">
        <v>108</v>
      </c>
      <c r="J23" t="s">
        <v>142</v>
      </c>
      <c r="K23" s="12"/>
      <c r="L23" t="s">
        <v>182</v>
      </c>
      <c r="M23" t="s">
        <v>183</v>
      </c>
      <c r="N23" t="s">
        <v>225</v>
      </c>
      <c r="P23" t="s">
        <v>110</v>
      </c>
      <c r="Q23" t="s">
        <v>183</v>
      </c>
      <c r="R23" s="11">
        <v>45410</v>
      </c>
      <c r="S23" s="11">
        <v>45410</v>
      </c>
      <c r="T23" s="11">
        <v>45415</v>
      </c>
      <c r="BB23" t="s">
        <v>132</v>
      </c>
      <c r="BF23" t="s">
        <v>228</v>
      </c>
      <c r="BH23" t="str">
        <f t="shared" si="2"/>
        <v/>
      </c>
      <c r="BJ23" t="str">
        <f t="shared" si="3"/>
        <v/>
      </c>
      <c r="BK23" t="s">
        <v>187</v>
      </c>
      <c r="BL23" t="str">
        <f t="shared" si="4"/>
        <v/>
      </c>
      <c r="BM23" t="s">
        <v>159</v>
      </c>
      <c r="BO23" t="str">
        <f t="shared" si="5"/>
        <v/>
      </c>
      <c r="CI23" t="s">
        <v>119</v>
      </c>
      <c r="CO23" t="str">
        <f t="shared" si="6"/>
        <v>PAS INCLUS</v>
      </c>
      <c r="CP23" s="11">
        <v>45417</v>
      </c>
      <c r="CR23" t="str">
        <f t="shared" si="8"/>
        <v/>
      </c>
      <c r="CS23" t="str">
        <f t="shared" si="9"/>
        <v/>
      </c>
      <c r="CT23">
        <f t="shared" si="7"/>
        <v>7</v>
      </c>
      <c r="CU23">
        <f t="shared" si="10"/>
        <v>45417</v>
      </c>
      <c r="CV23" t="str">
        <f t="shared" si="11"/>
        <v/>
      </c>
      <c r="CX23" s="11">
        <v>45410</v>
      </c>
      <c r="CY23" t="str">
        <f t="shared" si="12"/>
        <v>S17_2024</v>
      </c>
      <c r="DB23" t="s">
        <v>114</v>
      </c>
      <c r="DC23" t="s">
        <v>160</v>
      </c>
    </row>
    <row r="24" spans="1:107" x14ac:dyDescent="0.35">
      <c r="A24" t="s">
        <v>239</v>
      </c>
      <c r="B24" s="10" t="str">
        <f t="shared" si="0"/>
        <v>S21_2024</v>
      </c>
      <c r="C24" s="10" t="str">
        <f t="shared" si="1"/>
        <v>S21_2024</v>
      </c>
      <c r="D24" s="11">
        <v>45432</v>
      </c>
      <c r="E24" t="s">
        <v>123</v>
      </c>
      <c r="F24">
        <v>0.5</v>
      </c>
      <c r="G24" t="s">
        <v>141</v>
      </c>
      <c r="H24" t="s">
        <v>108</v>
      </c>
      <c r="J24" t="s">
        <v>114</v>
      </c>
      <c r="K24" s="12" t="s">
        <v>110</v>
      </c>
      <c r="L24" t="s">
        <v>163</v>
      </c>
      <c r="M24" t="s">
        <v>240</v>
      </c>
      <c r="N24" t="s">
        <v>241</v>
      </c>
      <c r="O24" t="s">
        <v>242</v>
      </c>
      <c r="P24" t="s">
        <v>241</v>
      </c>
      <c r="Q24" t="s">
        <v>240</v>
      </c>
      <c r="R24" s="11">
        <v>45432</v>
      </c>
      <c r="S24" s="11">
        <v>45432</v>
      </c>
      <c r="T24" s="11">
        <v>45432</v>
      </c>
      <c r="AK24" t="s">
        <v>132</v>
      </c>
      <c r="AM24" t="s">
        <v>132</v>
      </c>
      <c r="AN24" t="s">
        <v>132</v>
      </c>
      <c r="AU24" t="s">
        <v>114</v>
      </c>
      <c r="AV24" t="s">
        <v>115</v>
      </c>
      <c r="BB24" t="s">
        <v>114</v>
      </c>
      <c r="BC24" s="11">
        <v>45432</v>
      </c>
      <c r="BD24" t="s">
        <v>243</v>
      </c>
      <c r="BF24" t="s">
        <v>241</v>
      </c>
      <c r="BH24" t="str">
        <f t="shared" si="2"/>
        <v/>
      </c>
      <c r="BJ24" t="str">
        <f t="shared" si="3"/>
        <v/>
      </c>
      <c r="BK24" t="s">
        <v>170</v>
      </c>
      <c r="BL24" t="str">
        <f t="shared" si="4"/>
        <v>S21_2024</v>
      </c>
      <c r="BM24" t="s">
        <v>159</v>
      </c>
      <c r="BN24" s="11">
        <v>45432</v>
      </c>
      <c r="BO24" t="str">
        <f t="shared" si="5"/>
        <v>S21_2024</v>
      </c>
      <c r="BP24" t="s">
        <v>114</v>
      </c>
      <c r="BQ24" t="s">
        <v>118</v>
      </c>
      <c r="BW24" s="11"/>
      <c r="BX24" s="11"/>
      <c r="BY24" s="11"/>
      <c r="CB24" s="11"/>
      <c r="CC24" s="11"/>
      <c r="CD24" s="11"/>
      <c r="CG24" s="11"/>
      <c r="CI24" t="s">
        <v>119</v>
      </c>
      <c r="CO24" t="str">
        <f t="shared" si="6"/>
        <v>NEGATIFPAS INCLUS</v>
      </c>
      <c r="CP24" s="11">
        <v>45432</v>
      </c>
      <c r="CR24">
        <f t="shared" si="8"/>
        <v>-45432</v>
      </c>
      <c r="CS24">
        <f t="shared" si="9"/>
        <v>45432</v>
      </c>
      <c r="CT24">
        <f t="shared" si="7"/>
        <v>0</v>
      </c>
      <c r="CU24" t="e">
        <f t="shared" si="10"/>
        <v>#VALUE!</v>
      </c>
      <c r="CV24" t="str">
        <f t="shared" si="11"/>
        <v/>
      </c>
      <c r="CX24" s="11">
        <v>45432</v>
      </c>
      <c r="CY24" t="str">
        <f t="shared" si="12"/>
        <v>S21_2024</v>
      </c>
      <c r="DC24" t="s">
        <v>120</v>
      </c>
    </row>
    <row r="25" spans="1:107" x14ac:dyDescent="0.35">
      <c r="A25" t="s">
        <v>244</v>
      </c>
      <c r="B25" s="10" t="str">
        <f t="shared" si="0"/>
        <v>S27_2024</v>
      </c>
      <c r="C25" s="10" t="str">
        <f t="shared" si="1"/>
        <v>S27_2024</v>
      </c>
      <c r="D25" s="11">
        <v>45475</v>
      </c>
      <c r="E25" t="s">
        <v>106</v>
      </c>
      <c r="F25">
        <v>13</v>
      </c>
      <c r="G25" t="s">
        <v>107</v>
      </c>
      <c r="H25" t="s">
        <v>108</v>
      </c>
      <c r="J25" t="s">
        <v>150</v>
      </c>
      <c r="K25" s="12"/>
      <c r="L25" t="s">
        <v>182</v>
      </c>
      <c r="M25" t="s">
        <v>183</v>
      </c>
      <c r="N25" t="s">
        <v>225</v>
      </c>
      <c r="O25" t="s">
        <v>184</v>
      </c>
      <c r="P25" t="s">
        <v>245</v>
      </c>
      <c r="Q25" t="s">
        <v>183</v>
      </c>
      <c r="R25" s="11">
        <v>45475</v>
      </c>
      <c r="S25" s="11">
        <v>45475</v>
      </c>
      <c r="T25" s="11">
        <v>45475</v>
      </c>
      <c r="AK25" t="s">
        <v>132</v>
      </c>
      <c r="AM25" t="s">
        <v>132</v>
      </c>
      <c r="AN25" t="s">
        <v>114</v>
      </c>
      <c r="AR25" t="s">
        <v>246</v>
      </c>
      <c r="AS25" s="11">
        <v>45449</v>
      </c>
      <c r="AU25" t="s">
        <v>114</v>
      </c>
      <c r="AV25" t="s">
        <v>115</v>
      </c>
      <c r="BB25" t="s">
        <v>114</v>
      </c>
      <c r="BC25" s="11">
        <v>45475</v>
      </c>
      <c r="BD25" t="s">
        <v>116</v>
      </c>
      <c r="BF25" t="s">
        <v>228</v>
      </c>
      <c r="BG25" t="s">
        <v>132</v>
      </c>
      <c r="BH25" t="str">
        <f t="shared" si="2"/>
        <v/>
      </c>
      <c r="BJ25" t="str">
        <f t="shared" si="3"/>
        <v/>
      </c>
      <c r="BK25" t="s">
        <v>187</v>
      </c>
      <c r="BL25" t="str">
        <f t="shared" si="4"/>
        <v>S27_2024</v>
      </c>
      <c r="BM25" t="s">
        <v>159</v>
      </c>
      <c r="BN25" s="11">
        <v>45475</v>
      </c>
      <c r="BO25" t="str">
        <f t="shared" si="5"/>
        <v>S27_2024</v>
      </c>
      <c r="BP25" t="s">
        <v>114</v>
      </c>
      <c r="BQ25" t="s">
        <v>118</v>
      </c>
      <c r="BU25" s="11"/>
      <c r="BW25" s="11"/>
      <c r="BX25" s="11"/>
      <c r="BY25" s="11"/>
      <c r="BZ25" s="11"/>
      <c r="CB25" s="11"/>
      <c r="CC25" s="11"/>
      <c r="CD25" s="11"/>
      <c r="CE25" s="11"/>
      <c r="CG25" s="11"/>
      <c r="CI25" t="s">
        <v>119</v>
      </c>
      <c r="CO25" t="str">
        <f t="shared" si="6"/>
        <v>NEGATIFPAS INCLUS</v>
      </c>
      <c r="CP25" s="11">
        <v>45475</v>
      </c>
      <c r="CR25">
        <f t="shared" si="8"/>
        <v>-26</v>
      </c>
      <c r="CS25">
        <f t="shared" si="9"/>
        <v>26</v>
      </c>
      <c r="CT25">
        <f t="shared" si="7"/>
        <v>0</v>
      </c>
      <c r="CU25" t="str">
        <f t="shared" si="10"/>
        <v/>
      </c>
      <c r="CV25" t="str">
        <f t="shared" si="11"/>
        <v/>
      </c>
      <c r="CX25" s="11">
        <v>45475</v>
      </c>
      <c r="CY25" t="str">
        <f t="shared" si="12"/>
        <v>S27_2024</v>
      </c>
      <c r="DC25" t="s">
        <v>120</v>
      </c>
    </row>
    <row r="26" spans="1:107" x14ac:dyDescent="0.35">
      <c r="A26" t="s">
        <v>247</v>
      </c>
      <c r="B26" s="10" t="str">
        <f t="shared" si="0"/>
        <v>S27_2024</v>
      </c>
      <c r="C26" s="10" t="str">
        <f t="shared" si="1"/>
        <v>S26_2024</v>
      </c>
      <c r="D26" s="11">
        <v>45480</v>
      </c>
      <c r="E26" t="s">
        <v>123</v>
      </c>
      <c r="F26">
        <v>19</v>
      </c>
      <c r="G26" t="s">
        <v>107</v>
      </c>
      <c r="H26" t="s">
        <v>108</v>
      </c>
      <c r="J26" t="s">
        <v>114</v>
      </c>
      <c r="K26" s="14">
        <v>45475</v>
      </c>
      <c r="L26" t="s">
        <v>248</v>
      </c>
      <c r="M26" t="s">
        <v>249</v>
      </c>
      <c r="N26" t="s">
        <v>250</v>
      </c>
      <c r="O26" t="s">
        <v>251</v>
      </c>
      <c r="P26" t="s">
        <v>110</v>
      </c>
      <c r="Q26" t="s">
        <v>249</v>
      </c>
      <c r="R26" s="11">
        <v>45473</v>
      </c>
      <c r="S26" s="11">
        <v>45473</v>
      </c>
      <c r="T26" s="11">
        <v>45473</v>
      </c>
      <c r="V26" t="s">
        <v>114</v>
      </c>
      <c r="W26" t="s">
        <v>114</v>
      </c>
      <c r="X26" t="s">
        <v>114</v>
      </c>
      <c r="Y26" t="s">
        <v>109</v>
      </c>
      <c r="Z26" t="s">
        <v>114</v>
      </c>
      <c r="AA26" t="s">
        <v>132</v>
      </c>
      <c r="AB26" t="s">
        <v>114</v>
      </c>
      <c r="AC26" t="s">
        <v>114</v>
      </c>
      <c r="AD26">
        <v>7</v>
      </c>
      <c r="AE26" t="s">
        <v>114</v>
      </c>
      <c r="AF26" t="s">
        <v>109</v>
      </c>
      <c r="AG26" t="s">
        <v>114</v>
      </c>
      <c r="AI26" t="s">
        <v>114</v>
      </c>
      <c r="AK26" t="s">
        <v>114</v>
      </c>
      <c r="AM26" t="s">
        <v>114</v>
      </c>
      <c r="AN26" t="s">
        <v>132</v>
      </c>
      <c r="AQ26" t="s">
        <v>132</v>
      </c>
      <c r="AU26" t="s">
        <v>114</v>
      </c>
      <c r="AV26" t="s">
        <v>115</v>
      </c>
      <c r="BB26" t="s">
        <v>114</v>
      </c>
      <c r="BC26" t="s">
        <v>110</v>
      </c>
      <c r="BD26" t="s">
        <v>252</v>
      </c>
      <c r="BF26" t="s">
        <v>250</v>
      </c>
      <c r="BH26" t="str">
        <f t="shared" si="2"/>
        <v/>
      </c>
      <c r="BJ26" t="str">
        <f t="shared" si="3"/>
        <v/>
      </c>
      <c r="BK26" t="s">
        <v>253</v>
      </c>
      <c r="BL26" t="str">
        <f t="shared" si="4"/>
        <v/>
      </c>
      <c r="BM26" t="s">
        <v>159</v>
      </c>
      <c r="BN26" s="11">
        <v>45483</v>
      </c>
      <c r="BO26" t="str">
        <f t="shared" si="5"/>
        <v>S28_2024</v>
      </c>
      <c r="BP26" t="s">
        <v>114</v>
      </c>
      <c r="BQ26" t="s">
        <v>118</v>
      </c>
      <c r="CI26" t="s">
        <v>119</v>
      </c>
      <c r="CO26" t="str">
        <f t="shared" si="6"/>
        <v>NEGATIFPAS INCLUS</v>
      </c>
      <c r="CP26" s="11">
        <v>45480</v>
      </c>
      <c r="CR26" t="e">
        <f t="shared" si="8"/>
        <v>#VALUE!</v>
      </c>
      <c r="CS26">
        <f t="shared" si="9"/>
        <v>45483</v>
      </c>
      <c r="CT26">
        <f t="shared" si="7"/>
        <v>7</v>
      </c>
      <c r="CU26">
        <f t="shared" si="10"/>
        <v>5</v>
      </c>
      <c r="CV26" t="str">
        <f t="shared" si="11"/>
        <v/>
      </c>
      <c r="CX26" s="11">
        <v>45473</v>
      </c>
      <c r="CY26" t="str">
        <f t="shared" si="12"/>
        <v>S26_2024</v>
      </c>
      <c r="DC26" t="s">
        <v>160</v>
      </c>
    </row>
    <row r="27" spans="1:107" x14ac:dyDescent="0.35">
      <c r="A27" t="s">
        <v>254</v>
      </c>
      <c r="B27" s="10" t="str">
        <f t="shared" si="0"/>
        <v>S27_2024</v>
      </c>
      <c r="C27" s="10" t="str">
        <f t="shared" si="1"/>
        <v>S27_2024</v>
      </c>
      <c r="D27" s="11">
        <v>45480</v>
      </c>
      <c r="E27" t="s">
        <v>123</v>
      </c>
      <c r="F27">
        <v>20</v>
      </c>
      <c r="G27" t="s">
        <v>162</v>
      </c>
      <c r="H27" t="s">
        <v>108</v>
      </c>
      <c r="J27" t="s">
        <v>132</v>
      </c>
      <c r="K27" s="12"/>
      <c r="L27" t="s">
        <v>248</v>
      </c>
      <c r="M27" t="s">
        <v>249</v>
      </c>
      <c r="N27" t="s">
        <v>250</v>
      </c>
      <c r="O27" t="s">
        <v>184</v>
      </c>
      <c r="P27" t="s">
        <v>255</v>
      </c>
      <c r="Q27" t="s">
        <v>249</v>
      </c>
      <c r="R27" s="11">
        <v>45478</v>
      </c>
      <c r="S27" s="11">
        <v>45478</v>
      </c>
      <c r="T27" s="11">
        <v>45478</v>
      </c>
      <c r="V27" t="s">
        <v>114</v>
      </c>
      <c r="W27" t="s">
        <v>114</v>
      </c>
      <c r="X27" t="s">
        <v>114</v>
      </c>
      <c r="Y27" t="s">
        <v>109</v>
      </c>
      <c r="Z27" t="s">
        <v>114</v>
      </c>
      <c r="AA27" t="s">
        <v>132</v>
      </c>
      <c r="AB27" t="s">
        <v>114</v>
      </c>
      <c r="AC27" t="s">
        <v>114</v>
      </c>
      <c r="AD27">
        <v>7</v>
      </c>
      <c r="AE27" t="s">
        <v>114</v>
      </c>
      <c r="AF27" t="s">
        <v>109</v>
      </c>
      <c r="AG27" t="s">
        <v>114</v>
      </c>
      <c r="AK27" t="s">
        <v>114</v>
      </c>
      <c r="AM27" t="s">
        <v>114</v>
      </c>
      <c r="AN27" t="s">
        <v>132</v>
      </c>
      <c r="AQ27" t="s">
        <v>132</v>
      </c>
      <c r="AR27" t="s">
        <v>256</v>
      </c>
      <c r="AU27" t="s">
        <v>114</v>
      </c>
      <c r="AV27" t="s">
        <v>115</v>
      </c>
      <c r="BB27" t="s">
        <v>114</v>
      </c>
      <c r="BC27" s="11">
        <v>45480</v>
      </c>
      <c r="BD27" t="s">
        <v>169</v>
      </c>
      <c r="BF27" t="s">
        <v>250</v>
      </c>
      <c r="BH27" t="str">
        <f t="shared" si="2"/>
        <v/>
      </c>
      <c r="BJ27" t="str">
        <f t="shared" si="3"/>
        <v/>
      </c>
      <c r="BK27" t="s">
        <v>253</v>
      </c>
      <c r="BL27" t="str">
        <f t="shared" si="4"/>
        <v>S27_2024</v>
      </c>
      <c r="BN27" s="11">
        <v>45480</v>
      </c>
      <c r="BO27" t="str">
        <f t="shared" si="5"/>
        <v>S27_2024</v>
      </c>
      <c r="BP27" t="s">
        <v>114</v>
      </c>
      <c r="BQ27" t="s">
        <v>118</v>
      </c>
      <c r="BW27" s="11"/>
      <c r="BX27" s="11"/>
      <c r="BY27" s="11"/>
      <c r="CB27" s="11"/>
      <c r="CC27" s="11"/>
      <c r="CD27" s="11"/>
      <c r="CG27" s="11"/>
      <c r="CI27" t="s">
        <v>119</v>
      </c>
      <c r="CO27" t="str">
        <f t="shared" si="6"/>
        <v>NEGATIFPAS INCLUS</v>
      </c>
      <c r="CP27" s="11">
        <v>45480</v>
      </c>
      <c r="CR27">
        <f t="shared" si="8"/>
        <v>-45480</v>
      </c>
      <c r="CS27">
        <f t="shared" si="9"/>
        <v>45480</v>
      </c>
      <c r="CT27">
        <f t="shared" si="7"/>
        <v>2</v>
      </c>
      <c r="CU27" t="str">
        <f t="shared" si="10"/>
        <v/>
      </c>
      <c r="CV27" t="str">
        <f t="shared" si="11"/>
        <v/>
      </c>
      <c r="CX27" s="11">
        <v>45478</v>
      </c>
      <c r="CY27" t="str">
        <f t="shared" si="12"/>
        <v>S27_2024</v>
      </c>
      <c r="DC27" t="s">
        <v>160</v>
      </c>
    </row>
    <row r="28" spans="1:107" x14ac:dyDescent="0.35">
      <c r="A28" t="s">
        <v>257</v>
      </c>
      <c r="B28" s="10" t="str">
        <f t="shared" si="0"/>
        <v>S27_2024</v>
      </c>
      <c r="C28" s="10" t="str">
        <f t="shared" si="1"/>
        <v>S24_2024</v>
      </c>
      <c r="D28" s="11">
        <v>45480</v>
      </c>
      <c r="E28" t="s">
        <v>123</v>
      </c>
      <c r="F28">
        <v>20</v>
      </c>
      <c r="G28" t="s">
        <v>162</v>
      </c>
      <c r="H28" t="s">
        <v>108</v>
      </c>
      <c r="J28" t="s">
        <v>132</v>
      </c>
      <c r="K28" s="12"/>
      <c r="L28" t="s">
        <v>248</v>
      </c>
      <c r="M28" t="s">
        <v>249</v>
      </c>
      <c r="N28" t="s">
        <v>250</v>
      </c>
      <c r="O28" t="s">
        <v>184</v>
      </c>
      <c r="P28" t="s">
        <v>110</v>
      </c>
      <c r="Q28" t="s">
        <v>249</v>
      </c>
      <c r="R28" s="11">
        <v>45457</v>
      </c>
      <c r="S28" s="11">
        <v>45457</v>
      </c>
      <c r="T28" s="11">
        <v>45457</v>
      </c>
      <c r="V28" t="s">
        <v>114</v>
      </c>
      <c r="W28" t="s">
        <v>114</v>
      </c>
      <c r="X28" t="s">
        <v>114</v>
      </c>
      <c r="Y28" t="s">
        <v>109</v>
      </c>
      <c r="Z28" t="s">
        <v>114</v>
      </c>
      <c r="AA28" t="s">
        <v>132</v>
      </c>
      <c r="AB28" t="s">
        <v>114</v>
      </c>
      <c r="AC28" t="s">
        <v>114</v>
      </c>
      <c r="AD28">
        <v>7</v>
      </c>
      <c r="AE28" t="s">
        <v>114</v>
      </c>
      <c r="AF28" t="s">
        <v>109</v>
      </c>
      <c r="AG28" t="s">
        <v>114</v>
      </c>
      <c r="AK28" t="s">
        <v>114</v>
      </c>
      <c r="AM28" t="s">
        <v>114</v>
      </c>
      <c r="AN28" t="s">
        <v>132</v>
      </c>
      <c r="AQ28" t="s">
        <v>132</v>
      </c>
      <c r="AU28" t="s">
        <v>114</v>
      </c>
      <c r="AV28" t="s">
        <v>115</v>
      </c>
      <c r="BB28" t="s">
        <v>114</v>
      </c>
      <c r="BC28" t="s">
        <v>110</v>
      </c>
      <c r="BD28" t="s">
        <v>252</v>
      </c>
      <c r="BF28" t="s">
        <v>250</v>
      </c>
      <c r="BH28" t="str">
        <f t="shared" si="2"/>
        <v/>
      </c>
      <c r="BJ28" t="str">
        <f t="shared" si="3"/>
        <v/>
      </c>
      <c r="BK28" t="s">
        <v>253</v>
      </c>
      <c r="BL28" t="str">
        <f t="shared" si="4"/>
        <v/>
      </c>
      <c r="BM28" t="s">
        <v>159</v>
      </c>
      <c r="BN28" s="11">
        <v>45483</v>
      </c>
      <c r="BO28" t="str">
        <f t="shared" si="5"/>
        <v>S28_2024</v>
      </c>
      <c r="BP28" t="s">
        <v>114</v>
      </c>
      <c r="BQ28" t="s">
        <v>118</v>
      </c>
      <c r="CI28" t="s">
        <v>119</v>
      </c>
      <c r="CO28" t="str">
        <f t="shared" si="6"/>
        <v>NEGATIFPAS INCLUS</v>
      </c>
      <c r="CP28" s="11">
        <v>45480</v>
      </c>
      <c r="CR28" t="e">
        <f t="shared" si="8"/>
        <v>#VALUE!</v>
      </c>
      <c r="CS28">
        <f t="shared" si="9"/>
        <v>45483</v>
      </c>
      <c r="CT28">
        <f t="shared" si="7"/>
        <v>23</v>
      </c>
      <c r="CU28" t="str">
        <f t="shared" si="10"/>
        <v/>
      </c>
      <c r="CV28" t="str">
        <f t="shared" si="11"/>
        <v/>
      </c>
      <c r="CX28" s="11">
        <v>45457</v>
      </c>
      <c r="CY28" t="str">
        <f t="shared" si="12"/>
        <v>S24_2024</v>
      </c>
      <c r="DC28" t="s">
        <v>160</v>
      </c>
    </row>
    <row r="29" spans="1:107" x14ac:dyDescent="0.35">
      <c r="A29" t="s">
        <v>258</v>
      </c>
      <c r="B29" s="10" t="str">
        <f t="shared" si="0"/>
        <v>S29_2024</v>
      </c>
      <c r="C29" s="10" t="str">
        <f t="shared" si="1"/>
        <v>S28_2024</v>
      </c>
      <c r="D29" s="11">
        <v>45488</v>
      </c>
      <c r="E29" t="s">
        <v>123</v>
      </c>
      <c r="F29">
        <v>38</v>
      </c>
      <c r="G29" t="s">
        <v>259</v>
      </c>
      <c r="H29" t="s">
        <v>108</v>
      </c>
      <c r="J29" t="s">
        <v>142</v>
      </c>
      <c r="K29" s="12"/>
      <c r="L29" t="s">
        <v>126</v>
      </c>
      <c r="M29" t="s">
        <v>127</v>
      </c>
      <c r="N29" t="s">
        <v>202</v>
      </c>
      <c r="P29" t="s">
        <v>260</v>
      </c>
      <c r="Q29" t="s">
        <v>215</v>
      </c>
      <c r="R29" s="11">
        <v>45481</v>
      </c>
      <c r="S29" s="11">
        <v>45482</v>
      </c>
      <c r="T29" s="11">
        <v>45481</v>
      </c>
      <c r="AK29" t="s">
        <v>132</v>
      </c>
      <c r="AM29" t="s">
        <v>132</v>
      </c>
      <c r="AN29" t="s">
        <v>142</v>
      </c>
      <c r="AU29" t="s">
        <v>114</v>
      </c>
      <c r="AV29" t="s">
        <v>115</v>
      </c>
      <c r="BB29" t="s">
        <v>114</v>
      </c>
      <c r="BC29" s="11">
        <v>45488</v>
      </c>
      <c r="BD29" t="s">
        <v>261</v>
      </c>
      <c r="BF29" t="s">
        <v>202</v>
      </c>
      <c r="BG29" t="s">
        <v>114</v>
      </c>
      <c r="BH29" t="str">
        <f t="shared" si="2"/>
        <v/>
      </c>
      <c r="BJ29" t="str">
        <f t="shared" si="3"/>
        <v/>
      </c>
      <c r="BK29" t="s">
        <v>137</v>
      </c>
      <c r="BL29" t="str">
        <f t="shared" si="4"/>
        <v>S29_2024</v>
      </c>
      <c r="BM29" t="s">
        <v>159</v>
      </c>
      <c r="BN29" s="11">
        <v>45488</v>
      </c>
      <c r="BO29" t="str">
        <f t="shared" si="5"/>
        <v>S29_2024</v>
      </c>
      <c r="BP29" t="s">
        <v>114</v>
      </c>
      <c r="BQ29" t="s">
        <v>118</v>
      </c>
      <c r="BW29" s="11"/>
      <c r="BX29" s="11"/>
      <c r="BY29" s="11"/>
      <c r="CB29" s="11"/>
      <c r="CC29" s="11"/>
      <c r="CD29" s="11"/>
      <c r="CG29" s="11"/>
      <c r="CI29" t="s">
        <v>119</v>
      </c>
      <c r="CO29" t="str">
        <f t="shared" si="6"/>
        <v>NEGATIFPAS INCLUS</v>
      </c>
      <c r="CP29" s="11">
        <v>45488</v>
      </c>
      <c r="CR29">
        <f t="shared" si="8"/>
        <v>-45488</v>
      </c>
      <c r="CS29">
        <f t="shared" si="9"/>
        <v>45488</v>
      </c>
      <c r="CT29">
        <f t="shared" si="7"/>
        <v>7</v>
      </c>
      <c r="CU29">
        <f t="shared" si="10"/>
        <v>45488</v>
      </c>
      <c r="CV29" t="str">
        <f t="shared" si="11"/>
        <v/>
      </c>
      <c r="CX29" s="11">
        <v>45481</v>
      </c>
      <c r="CY29" t="str">
        <f t="shared" si="12"/>
        <v>S28_2024</v>
      </c>
      <c r="DC29" t="s">
        <v>120</v>
      </c>
    </row>
    <row r="30" spans="1:107" x14ac:dyDescent="0.35">
      <c r="A30" t="s">
        <v>262</v>
      </c>
      <c r="B30" s="10" t="str">
        <f t="shared" si="0"/>
        <v>S29_2024</v>
      </c>
      <c r="C30" s="10" t="str">
        <f t="shared" si="1"/>
        <v/>
      </c>
      <c r="D30" s="11">
        <v>45488</v>
      </c>
      <c r="E30" t="s">
        <v>110</v>
      </c>
      <c r="F30"/>
      <c r="G30" t="s">
        <v>110</v>
      </c>
      <c r="H30" t="s">
        <v>108</v>
      </c>
      <c r="J30" t="s">
        <v>142</v>
      </c>
      <c r="K30" s="12"/>
      <c r="L30" t="s">
        <v>182</v>
      </c>
      <c r="M30" t="s">
        <v>263</v>
      </c>
      <c r="N30" t="s">
        <v>110</v>
      </c>
      <c r="P30" t="s">
        <v>110</v>
      </c>
      <c r="Q30" t="s">
        <v>264</v>
      </c>
      <c r="BH30" t="str">
        <f t="shared" si="2"/>
        <v/>
      </c>
      <c r="BJ30" t="str">
        <f t="shared" si="3"/>
        <v/>
      </c>
      <c r="BK30" t="s">
        <v>187</v>
      </c>
      <c r="BL30" t="str">
        <f t="shared" si="4"/>
        <v/>
      </c>
      <c r="BM30" t="s">
        <v>159</v>
      </c>
      <c r="BO30" t="str">
        <f t="shared" si="5"/>
        <v/>
      </c>
      <c r="CI30" t="s">
        <v>119</v>
      </c>
      <c r="CO30" t="str">
        <f t="shared" si="6"/>
        <v>PAS INCLUS</v>
      </c>
      <c r="CP30" s="11">
        <v>45488</v>
      </c>
      <c r="CR30" t="str">
        <f t="shared" si="8"/>
        <v/>
      </c>
      <c r="CS30" t="str">
        <f t="shared" si="9"/>
        <v/>
      </c>
      <c r="CU30">
        <f t="shared" si="10"/>
        <v>45488</v>
      </c>
      <c r="CV30" t="str">
        <f t="shared" si="11"/>
        <v/>
      </c>
      <c r="CY30" t="str">
        <f t="shared" si="12"/>
        <v/>
      </c>
      <c r="DB30" t="s">
        <v>114</v>
      </c>
      <c r="DC30" t="s">
        <v>160</v>
      </c>
    </row>
    <row r="31" spans="1:107" x14ac:dyDescent="0.35">
      <c r="A31" t="s">
        <v>265</v>
      </c>
      <c r="B31" s="10" t="str">
        <f t="shared" si="0"/>
        <v>S29_2024</v>
      </c>
      <c r="C31" s="10" t="str">
        <f t="shared" si="1"/>
        <v/>
      </c>
      <c r="D31" s="11">
        <v>45488</v>
      </c>
      <c r="E31" t="s">
        <v>110</v>
      </c>
      <c r="F31"/>
      <c r="G31" t="s">
        <v>110</v>
      </c>
      <c r="H31" t="s">
        <v>108</v>
      </c>
      <c r="J31" t="s">
        <v>142</v>
      </c>
      <c r="K31" s="12"/>
      <c r="L31" t="s">
        <v>182</v>
      </c>
      <c r="M31" t="s">
        <v>183</v>
      </c>
      <c r="N31" t="s">
        <v>110</v>
      </c>
      <c r="P31" t="s">
        <v>110</v>
      </c>
      <c r="Q31" t="s">
        <v>234</v>
      </c>
      <c r="BH31" t="str">
        <f t="shared" si="2"/>
        <v/>
      </c>
      <c r="BJ31" t="str">
        <f t="shared" si="3"/>
        <v/>
      </c>
      <c r="BK31" t="s">
        <v>187</v>
      </c>
      <c r="BL31" t="str">
        <f t="shared" si="4"/>
        <v/>
      </c>
      <c r="BM31" t="s">
        <v>159</v>
      </c>
      <c r="BO31" t="str">
        <f t="shared" si="5"/>
        <v/>
      </c>
      <c r="CI31" t="s">
        <v>119</v>
      </c>
      <c r="CO31" t="str">
        <f t="shared" si="6"/>
        <v>PAS INCLUS</v>
      </c>
      <c r="CP31" s="11">
        <v>45488</v>
      </c>
      <c r="CR31" t="str">
        <f t="shared" si="8"/>
        <v/>
      </c>
      <c r="CS31" t="str">
        <f t="shared" si="9"/>
        <v/>
      </c>
      <c r="CU31">
        <f t="shared" si="10"/>
        <v>45488</v>
      </c>
      <c r="CV31" t="str">
        <f t="shared" si="11"/>
        <v/>
      </c>
      <c r="CY31" t="str">
        <f t="shared" si="12"/>
        <v/>
      </c>
      <c r="DB31" t="s">
        <v>114</v>
      </c>
      <c r="DC31" t="s">
        <v>160</v>
      </c>
    </row>
    <row r="32" spans="1:107" x14ac:dyDescent="0.35">
      <c r="A32" t="s">
        <v>266</v>
      </c>
      <c r="B32" s="10" t="str">
        <f t="shared" si="0"/>
        <v>S32_2024</v>
      </c>
      <c r="C32" s="10" t="str">
        <f t="shared" si="1"/>
        <v>S31_2024</v>
      </c>
      <c r="D32" s="11">
        <v>45513</v>
      </c>
      <c r="E32" t="s">
        <v>123</v>
      </c>
      <c r="F32">
        <v>15</v>
      </c>
      <c r="G32" t="s">
        <v>107</v>
      </c>
      <c r="H32" t="s">
        <v>108</v>
      </c>
      <c r="J32" t="s">
        <v>114</v>
      </c>
      <c r="K32" s="14">
        <v>45513</v>
      </c>
      <c r="L32" t="s">
        <v>182</v>
      </c>
      <c r="M32" t="s">
        <v>267</v>
      </c>
      <c r="N32" t="s">
        <v>268</v>
      </c>
      <c r="P32" t="s">
        <v>268</v>
      </c>
      <c r="Q32" t="s">
        <v>267</v>
      </c>
      <c r="R32" s="11">
        <v>45506</v>
      </c>
      <c r="S32" s="11">
        <v>45506</v>
      </c>
      <c r="T32" s="11">
        <v>45506</v>
      </c>
      <c r="W32" t="s">
        <v>114</v>
      </c>
      <c r="X32" t="s">
        <v>114</v>
      </c>
      <c r="AA32" t="s">
        <v>114</v>
      </c>
      <c r="AE32" t="s">
        <v>114</v>
      </c>
      <c r="AN32" t="s">
        <v>114</v>
      </c>
      <c r="AU32" t="s">
        <v>114</v>
      </c>
      <c r="AV32" t="s">
        <v>115</v>
      </c>
      <c r="BB32" t="s">
        <v>114</v>
      </c>
      <c r="BC32" s="11">
        <v>45515</v>
      </c>
      <c r="BD32" t="s">
        <v>261</v>
      </c>
      <c r="BF32" t="s">
        <v>268</v>
      </c>
      <c r="BG32" t="s">
        <v>114</v>
      </c>
      <c r="BH32" t="str">
        <f t="shared" si="2"/>
        <v/>
      </c>
      <c r="BJ32" t="str">
        <f t="shared" si="3"/>
        <v/>
      </c>
      <c r="BK32" t="s">
        <v>187</v>
      </c>
      <c r="BL32" t="str">
        <f t="shared" si="4"/>
        <v>S32_2024</v>
      </c>
      <c r="BN32" s="11">
        <v>45515</v>
      </c>
      <c r="BO32" t="str">
        <f t="shared" si="5"/>
        <v>S32_2024</v>
      </c>
      <c r="BP32" t="s">
        <v>114</v>
      </c>
      <c r="BQ32" t="s">
        <v>118</v>
      </c>
      <c r="BW32" s="11"/>
      <c r="BX32" s="11"/>
      <c r="BY32" s="11"/>
      <c r="CB32" s="11"/>
      <c r="CC32" s="11"/>
      <c r="CD32" s="11"/>
      <c r="CG32" s="11"/>
      <c r="CI32" t="s">
        <v>119</v>
      </c>
      <c r="CO32" t="str">
        <f t="shared" si="6"/>
        <v>NEGATIFPAS INCLUS</v>
      </c>
      <c r="CP32" s="11">
        <v>45513</v>
      </c>
      <c r="CR32">
        <f t="shared" si="8"/>
        <v>-45515</v>
      </c>
      <c r="CS32">
        <f t="shared" si="9"/>
        <v>45515</v>
      </c>
      <c r="CT32">
        <f t="shared" ref="CT32:CT95" si="13">CP32-CX32</f>
        <v>7</v>
      </c>
      <c r="CU32">
        <f t="shared" si="10"/>
        <v>0</v>
      </c>
      <c r="CV32" t="str">
        <f t="shared" si="11"/>
        <v/>
      </c>
      <c r="CX32" s="11">
        <v>45506</v>
      </c>
      <c r="CY32" t="str">
        <f t="shared" si="12"/>
        <v>S31_2024</v>
      </c>
      <c r="DC32" t="s">
        <v>120</v>
      </c>
    </row>
    <row r="33" spans="1:107" x14ac:dyDescent="0.35">
      <c r="A33" t="s">
        <v>269</v>
      </c>
      <c r="B33" s="10" t="str">
        <f t="shared" si="0"/>
        <v>S32_2024</v>
      </c>
      <c r="C33" s="10" t="str">
        <f t="shared" si="1"/>
        <v>S31_2024</v>
      </c>
      <c r="D33" s="11">
        <v>45513</v>
      </c>
      <c r="E33" t="s">
        <v>123</v>
      </c>
      <c r="F33">
        <v>9</v>
      </c>
      <c r="G33" t="s">
        <v>107</v>
      </c>
      <c r="H33" t="s">
        <v>108</v>
      </c>
      <c r="J33" t="s">
        <v>132</v>
      </c>
      <c r="K33" s="12"/>
      <c r="L33" t="s">
        <v>182</v>
      </c>
      <c r="M33" t="s">
        <v>267</v>
      </c>
      <c r="N33" t="s">
        <v>268</v>
      </c>
      <c r="O33" t="s">
        <v>184</v>
      </c>
      <c r="P33" t="s">
        <v>268</v>
      </c>
      <c r="Q33" t="s">
        <v>267</v>
      </c>
      <c r="R33" s="11">
        <v>45506</v>
      </c>
      <c r="S33" s="11">
        <v>45506</v>
      </c>
      <c r="T33" s="11">
        <v>45506</v>
      </c>
      <c r="V33" t="s">
        <v>114</v>
      </c>
      <c r="AE33" t="s">
        <v>114</v>
      </c>
      <c r="AG33" t="s">
        <v>114</v>
      </c>
      <c r="AR33" t="s">
        <v>270</v>
      </c>
      <c r="AS33" s="11">
        <v>45516</v>
      </c>
      <c r="AU33" t="s">
        <v>114</v>
      </c>
      <c r="AV33" t="s">
        <v>115</v>
      </c>
      <c r="BB33" t="s">
        <v>114</v>
      </c>
      <c r="BC33" t="s">
        <v>110</v>
      </c>
      <c r="BD33" t="s">
        <v>252</v>
      </c>
      <c r="BF33" t="s">
        <v>268</v>
      </c>
      <c r="BG33" t="s">
        <v>132</v>
      </c>
      <c r="BH33" t="str">
        <f t="shared" si="2"/>
        <v/>
      </c>
      <c r="BJ33" t="str">
        <f t="shared" si="3"/>
        <v/>
      </c>
      <c r="BK33" t="s">
        <v>187</v>
      </c>
      <c r="BL33" t="str">
        <f t="shared" si="4"/>
        <v/>
      </c>
      <c r="BM33" t="s">
        <v>159</v>
      </c>
      <c r="BN33" s="11">
        <v>45516</v>
      </c>
      <c r="BO33" t="str">
        <f t="shared" si="5"/>
        <v>S33_2024</v>
      </c>
      <c r="BP33" t="s">
        <v>114</v>
      </c>
      <c r="BQ33" t="s">
        <v>118</v>
      </c>
      <c r="BU33" s="11"/>
      <c r="BZ33" s="11"/>
      <c r="CE33" s="11"/>
      <c r="CI33" t="s">
        <v>119</v>
      </c>
      <c r="CO33" t="str">
        <f t="shared" si="6"/>
        <v>NEGATIFPAS INCLUS</v>
      </c>
      <c r="CP33" s="11">
        <v>45513</v>
      </c>
      <c r="CR33" t="e">
        <f t="shared" si="8"/>
        <v>#VALUE!</v>
      </c>
      <c r="CS33">
        <f t="shared" si="9"/>
        <v>0</v>
      </c>
      <c r="CT33">
        <f t="shared" si="13"/>
        <v>7</v>
      </c>
      <c r="CU33" t="str">
        <f t="shared" si="10"/>
        <v/>
      </c>
      <c r="CV33" t="str">
        <f t="shared" si="11"/>
        <v/>
      </c>
      <c r="CX33" s="11">
        <v>45506</v>
      </c>
      <c r="CY33" t="str">
        <f t="shared" si="12"/>
        <v>S31_2024</v>
      </c>
      <c r="DC33" t="s">
        <v>160</v>
      </c>
    </row>
    <row r="34" spans="1:107" x14ac:dyDescent="0.35">
      <c r="A34" t="s">
        <v>271</v>
      </c>
      <c r="B34" s="10" t="str">
        <f t="shared" si="0"/>
        <v>S33_2024</v>
      </c>
      <c r="C34" s="10" t="str">
        <f t="shared" si="1"/>
        <v>S33_2024</v>
      </c>
      <c r="D34" s="11">
        <v>45521</v>
      </c>
      <c r="E34" t="s">
        <v>123</v>
      </c>
      <c r="F34">
        <v>39</v>
      </c>
      <c r="G34" t="s">
        <v>162</v>
      </c>
      <c r="H34" t="s">
        <v>108</v>
      </c>
      <c r="J34" t="s">
        <v>109</v>
      </c>
      <c r="K34" s="14">
        <v>45521</v>
      </c>
      <c r="L34" t="s">
        <v>111</v>
      </c>
      <c r="M34" t="s">
        <v>272</v>
      </c>
      <c r="N34" t="s">
        <v>273</v>
      </c>
      <c r="O34" t="s">
        <v>274</v>
      </c>
      <c r="P34" t="s">
        <v>275</v>
      </c>
      <c r="Q34" t="s">
        <v>272</v>
      </c>
      <c r="R34" s="11">
        <v>45517</v>
      </c>
      <c r="S34" s="11">
        <v>45517</v>
      </c>
      <c r="T34" s="11">
        <v>45517</v>
      </c>
      <c r="V34" t="s">
        <v>109</v>
      </c>
      <c r="Y34" t="s">
        <v>109</v>
      </c>
      <c r="AA34" t="s">
        <v>109</v>
      </c>
      <c r="AB34" t="s">
        <v>109</v>
      </c>
      <c r="AE34" t="s">
        <v>114</v>
      </c>
      <c r="AF34" t="s">
        <v>114</v>
      </c>
      <c r="AK34" t="s">
        <v>114</v>
      </c>
      <c r="AM34" t="s">
        <v>150</v>
      </c>
      <c r="AN34" t="s">
        <v>114</v>
      </c>
      <c r="AQ34" t="s">
        <v>132</v>
      </c>
      <c r="AR34" t="s">
        <v>276</v>
      </c>
      <c r="AU34" t="s">
        <v>114</v>
      </c>
      <c r="AV34" t="s">
        <v>115</v>
      </c>
      <c r="BB34" t="s">
        <v>114</v>
      </c>
      <c r="BC34" s="11">
        <v>45523</v>
      </c>
      <c r="BD34" t="s">
        <v>277</v>
      </c>
      <c r="BE34">
        <v>675942077</v>
      </c>
      <c r="BF34" t="s">
        <v>273</v>
      </c>
      <c r="BG34" t="s">
        <v>114</v>
      </c>
      <c r="BH34" t="str">
        <f t="shared" si="2"/>
        <v/>
      </c>
      <c r="BJ34" t="str">
        <f t="shared" si="3"/>
        <v/>
      </c>
      <c r="BK34" t="s">
        <v>117</v>
      </c>
      <c r="BL34" t="str">
        <f t="shared" si="4"/>
        <v>S34_2024</v>
      </c>
      <c r="BM34" t="s">
        <v>159</v>
      </c>
      <c r="BN34" s="11">
        <v>45523</v>
      </c>
      <c r="BO34" t="str">
        <f t="shared" si="5"/>
        <v>S34_2024</v>
      </c>
      <c r="BP34" t="s">
        <v>114</v>
      </c>
      <c r="BQ34" t="s">
        <v>118</v>
      </c>
      <c r="BW34" s="11"/>
      <c r="BX34" s="11"/>
      <c r="BY34" s="11"/>
      <c r="CB34" s="11"/>
      <c r="CC34" s="11"/>
      <c r="CD34" s="11"/>
      <c r="CG34" s="11"/>
      <c r="CI34" t="s">
        <v>119</v>
      </c>
      <c r="CO34" t="str">
        <f t="shared" si="6"/>
        <v>NEGATIFPAS INCLUS</v>
      </c>
      <c r="CP34" s="11">
        <v>45521</v>
      </c>
      <c r="CR34">
        <f t="shared" si="8"/>
        <v>-45523</v>
      </c>
      <c r="CS34">
        <f t="shared" si="9"/>
        <v>45523</v>
      </c>
      <c r="CT34">
        <f t="shared" si="13"/>
        <v>4</v>
      </c>
      <c r="CU34">
        <f t="shared" si="10"/>
        <v>0</v>
      </c>
      <c r="CV34" t="str">
        <f t="shared" si="11"/>
        <v/>
      </c>
      <c r="CX34" s="11">
        <v>45517</v>
      </c>
      <c r="CY34" t="str">
        <f t="shared" si="12"/>
        <v>S33_2024</v>
      </c>
      <c r="DC34" t="s">
        <v>120</v>
      </c>
    </row>
    <row r="35" spans="1:107" x14ac:dyDescent="0.35">
      <c r="A35" t="s">
        <v>278</v>
      </c>
      <c r="B35" s="10" t="str">
        <f t="shared" si="0"/>
        <v>S34_2024</v>
      </c>
      <c r="C35" s="10" t="str">
        <f t="shared" si="1"/>
        <v>S33_2024</v>
      </c>
      <c r="D35" s="11">
        <v>45523</v>
      </c>
      <c r="E35" t="s">
        <v>123</v>
      </c>
      <c r="F35">
        <v>39</v>
      </c>
      <c r="G35" t="s">
        <v>162</v>
      </c>
      <c r="H35" t="s">
        <v>108</v>
      </c>
      <c r="J35" t="s">
        <v>114</v>
      </c>
      <c r="K35" s="14">
        <v>45522</v>
      </c>
      <c r="L35" t="s">
        <v>279</v>
      </c>
      <c r="M35" t="s">
        <v>207</v>
      </c>
      <c r="N35" t="s">
        <v>280</v>
      </c>
      <c r="O35" t="s">
        <v>281</v>
      </c>
      <c r="P35" t="s">
        <v>282</v>
      </c>
      <c r="Q35" t="s">
        <v>207</v>
      </c>
      <c r="R35" s="11">
        <v>45516</v>
      </c>
      <c r="S35" s="11">
        <v>45516</v>
      </c>
      <c r="T35" s="11">
        <v>45516</v>
      </c>
      <c r="V35" t="s">
        <v>114</v>
      </c>
      <c r="AE35" t="s">
        <v>114</v>
      </c>
      <c r="AG35" t="s">
        <v>114</v>
      </c>
      <c r="AR35" t="s">
        <v>283</v>
      </c>
      <c r="AS35" s="11">
        <v>45526</v>
      </c>
      <c r="AU35" t="s">
        <v>114</v>
      </c>
      <c r="AV35" t="s">
        <v>115</v>
      </c>
      <c r="BB35" t="s">
        <v>114</v>
      </c>
      <c r="BC35" s="11">
        <v>45523</v>
      </c>
      <c r="BD35" t="s">
        <v>284</v>
      </c>
      <c r="BG35" t="s">
        <v>114</v>
      </c>
      <c r="BH35" t="str">
        <f t="shared" si="2"/>
        <v/>
      </c>
      <c r="BJ35" t="str">
        <f t="shared" si="3"/>
        <v/>
      </c>
      <c r="BK35" t="s">
        <v>206</v>
      </c>
      <c r="BL35" t="str">
        <f t="shared" si="4"/>
        <v>S34_2024</v>
      </c>
      <c r="BN35" s="11">
        <v>45523</v>
      </c>
      <c r="BO35" t="str">
        <f t="shared" si="5"/>
        <v>S34_2024</v>
      </c>
      <c r="BP35" t="s">
        <v>114</v>
      </c>
      <c r="BQ35" t="s">
        <v>118</v>
      </c>
      <c r="BU35" s="11"/>
      <c r="BW35" s="11"/>
      <c r="BX35" s="11"/>
      <c r="BY35" s="11"/>
      <c r="BZ35" s="11"/>
      <c r="CB35" s="11"/>
      <c r="CC35" s="11"/>
      <c r="CD35" s="11"/>
      <c r="CE35" s="11"/>
      <c r="CG35" s="11"/>
      <c r="CI35" t="s">
        <v>119</v>
      </c>
      <c r="CO35" t="str">
        <f t="shared" si="6"/>
        <v>NEGATIFPAS INCLUS</v>
      </c>
      <c r="CP35" s="11">
        <v>45523</v>
      </c>
      <c r="CR35">
        <f t="shared" si="8"/>
        <v>3</v>
      </c>
      <c r="CS35">
        <f t="shared" si="9"/>
        <v>-3</v>
      </c>
      <c r="CT35">
        <f t="shared" si="13"/>
        <v>7</v>
      </c>
      <c r="CU35">
        <f t="shared" si="10"/>
        <v>1</v>
      </c>
      <c r="CV35" t="str">
        <f t="shared" si="11"/>
        <v/>
      </c>
      <c r="CX35" s="11">
        <v>45516</v>
      </c>
      <c r="CY35" t="str">
        <f t="shared" si="12"/>
        <v>S33_2024</v>
      </c>
      <c r="DC35" t="s">
        <v>120</v>
      </c>
    </row>
    <row r="36" spans="1:107" x14ac:dyDescent="0.35">
      <c r="A36" t="s">
        <v>285</v>
      </c>
      <c r="B36" s="10" t="str">
        <f t="shared" si="0"/>
        <v>S34_2024</v>
      </c>
      <c r="C36" s="10" t="str">
        <f t="shared" si="1"/>
        <v/>
      </c>
      <c r="D36" s="11">
        <v>45524</v>
      </c>
      <c r="E36" t="s">
        <v>106</v>
      </c>
      <c r="F36">
        <v>18</v>
      </c>
      <c r="G36" t="s">
        <v>189</v>
      </c>
      <c r="H36" t="s">
        <v>108</v>
      </c>
      <c r="J36" t="s">
        <v>114</v>
      </c>
      <c r="K36" s="14">
        <v>45524</v>
      </c>
      <c r="L36" t="s">
        <v>173</v>
      </c>
      <c r="M36" t="s">
        <v>174</v>
      </c>
      <c r="N36" t="s">
        <v>286</v>
      </c>
      <c r="O36" t="s">
        <v>287</v>
      </c>
      <c r="P36" t="s">
        <v>288</v>
      </c>
      <c r="Q36" t="s">
        <v>174</v>
      </c>
      <c r="V36" t="s">
        <v>114</v>
      </c>
      <c r="AE36" t="s">
        <v>114</v>
      </c>
      <c r="AN36" t="s">
        <v>114</v>
      </c>
      <c r="AR36" t="s">
        <v>289</v>
      </c>
      <c r="AS36" s="11">
        <v>45528</v>
      </c>
      <c r="AU36" t="s">
        <v>114</v>
      </c>
      <c r="AV36" t="s">
        <v>115</v>
      </c>
      <c r="BB36" t="s">
        <v>114</v>
      </c>
      <c r="BC36" s="11">
        <v>45537</v>
      </c>
      <c r="BD36" t="s">
        <v>252</v>
      </c>
      <c r="BF36" t="s">
        <v>290</v>
      </c>
      <c r="BH36" t="str">
        <f t="shared" si="2"/>
        <v/>
      </c>
      <c r="BJ36" t="str">
        <f t="shared" si="3"/>
        <v/>
      </c>
      <c r="BK36" t="s">
        <v>180</v>
      </c>
      <c r="BL36" t="str">
        <f t="shared" si="4"/>
        <v>S36_2024</v>
      </c>
      <c r="BM36" t="s">
        <v>159</v>
      </c>
      <c r="BN36" s="11">
        <v>45537</v>
      </c>
      <c r="BO36" t="str">
        <f t="shared" si="5"/>
        <v>S36_2024</v>
      </c>
      <c r="BP36" t="s">
        <v>114</v>
      </c>
      <c r="BQ36" t="s">
        <v>118</v>
      </c>
      <c r="BU36" s="11"/>
      <c r="BW36" s="11"/>
      <c r="BX36" s="11"/>
      <c r="BY36" s="11"/>
      <c r="BZ36" s="11"/>
      <c r="CB36" s="11"/>
      <c r="CC36" s="11"/>
      <c r="CD36" s="11"/>
      <c r="CE36" s="11"/>
      <c r="CG36" s="11"/>
      <c r="CI36" t="s">
        <v>119</v>
      </c>
      <c r="CO36" t="str">
        <f t="shared" si="6"/>
        <v>NEGATIFPAS INCLUS</v>
      </c>
      <c r="CP36" s="11">
        <v>45524</v>
      </c>
      <c r="CR36">
        <f t="shared" si="8"/>
        <v>-9</v>
      </c>
      <c r="CS36">
        <f t="shared" si="9"/>
        <v>9</v>
      </c>
      <c r="CT36">
        <f t="shared" si="13"/>
        <v>45524</v>
      </c>
      <c r="CU36">
        <f t="shared" si="10"/>
        <v>0</v>
      </c>
      <c r="CV36" t="str">
        <f t="shared" si="11"/>
        <v/>
      </c>
      <c r="CY36" t="str">
        <f t="shared" si="12"/>
        <v/>
      </c>
      <c r="DC36" t="s">
        <v>160</v>
      </c>
    </row>
    <row r="37" spans="1:107" x14ac:dyDescent="0.35">
      <c r="A37" t="s">
        <v>291</v>
      </c>
      <c r="B37" s="10" t="str">
        <f t="shared" si="0"/>
        <v>S34_2024</v>
      </c>
      <c r="C37" s="10" t="str">
        <f t="shared" si="1"/>
        <v>S33_2024</v>
      </c>
      <c r="D37" s="11">
        <v>45524</v>
      </c>
      <c r="E37" t="s">
        <v>123</v>
      </c>
      <c r="F37">
        <v>2</v>
      </c>
      <c r="G37" t="s">
        <v>141</v>
      </c>
      <c r="H37" t="s">
        <v>108</v>
      </c>
      <c r="J37" t="s">
        <v>109</v>
      </c>
      <c r="K37" s="14">
        <v>45523</v>
      </c>
      <c r="L37" t="s">
        <v>126</v>
      </c>
      <c r="M37" t="s">
        <v>292</v>
      </c>
      <c r="N37" t="s">
        <v>292</v>
      </c>
      <c r="O37" t="s">
        <v>293</v>
      </c>
      <c r="P37" t="s">
        <v>292</v>
      </c>
      <c r="Q37" t="s">
        <v>292</v>
      </c>
      <c r="R37" s="11">
        <v>45519</v>
      </c>
      <c r="S37" s="11">
        <v>45519</v>
      </c>
      <c r="T37" s="11">
        <v>45520</v>
      </c>
      <c r="V37" t="s">
        <v>114</v>
      </c>
      <c r="W37" t="s">
        <v>132</v>
      </c>
      <c r="X37" t="s">
        <v>132</v>
      </c>
      <c r="Y37" t="s">
        <v>132</v>
      </c>
      <c r="Z37" t="s">
        <v>132</v>
      </c>
      <c r="AA37" t="s">
        <v>114</v>
      </c>
      <c r="AB37" t="s">
        <v>114</v>
      </c>
      <c r="AC37" t="s">
        <v>294</v>
      </c>
      <c r="AD37" t="s">
        <v>114</v>
      </c>
      <c r="AE37" t="s">
        <v>114</v>
      </c>
      <c r="AG37" t="s">
        <v>132</v>
      </c>
      <c r="AJ37" t="s">
        <v>294</v>
      </c>
      <c r="AM37" t="s">
        <v>150</v>
      </c>
      <c r="AN37" t="s">
        <v>109</v>
      </c>
      <c r="AQ37" t="s">
        <v>132</v>
      </c>
      <c r="AS37" s="11">
        <v>45524</v>
      </c>
      <c r="AU37" t="s">
        <v>114</v>
      </c>
      <c r="AV37" t="s">
        <v>115</v>
      </c>
      <c r="AW37" t="s">
        <v>152</v>
      </c>
      <c r="BB37" t="s">
        <v>114</v>
      </c>
      <c r="BC37" s="11">
        <v>45523</v>
      </c>
      <c r="BD37" t="s">
        <v>295</v>
      </c>
      <c r="BF37" t="s">
        <v>292</v>
      </c>
      <c r="BH37" t="str">
        <f t="shared" si="2"/>
        <v/>
      </c>
      <c r="BJ37" t="str">
        <f t="shared" si="3"/>
        <v/>
      </c>
      <c r="BK37" t="s">
        <v>137</v>
      </c>
      <c r="BL37" t="str">
        <f t="shared" si="4"/>
        <v>S34_2024</v>
      </c>
      <c r="BN37" s="11">
        <v>45523</v>
      </c>
      <c r="BO37" t="str">
        <f t="shared" si="5"/>
        <v>S34_2024</v>
      </c>
      <c r="BP37" t="s">
        <v>114</v>
      </c>
      <c r="BQ37" t="s">
        <v>118</v>
      </c>
      <c r="BU37" s="11"/>
      <c r="BW37" s="11"/>
      <c r="BX37" s="11"/>
      <c r="BY37" s="11"/>
      <c r="BZ37" s="11"/>
      <c r="CB37" s="11"/>
      <c r="CC37" s="11"/>
      <c r="CD37" s="11"/>
      <c r="CE37" s="11"/>
      <c r="CG37" s="11"/>
      <c r="CI37" t="s">
        <v>119</v>
      </c>
      <c r="CO37" t="str">
        <f t="shared" si="6"/>
        <v>NEGATIFPAS INCLUS</v>
      </c>
      <c r="CP37" s="11">
        <v>45523</v>
      </c>
      <c r="CR37">
        <f t="shared" si="8"/>
        <v>1</v>
      </c>
      <c r="CS37">
        <f t="shared" si="9"/>
        <v>-1</v>
      </c>
      <c r="CT37">
        <f t="shared" si="13"/>
        <v>4</v>
      </c>
      <c r="CU37">
        <f t="shared" si="10"/>
        <v>0</v>
      </c>
      <c r="CV37" t="str">
        <f t="shared" si="11"/>
        <v/>
      </c>
      <c r="CX37" s="11">
        <v>45519</v>
      </c>
      <c r="CY37" t="str">
        <f t="shared" si="12"/>
        <v>S33_2024</v>
      </c>
      <c r="DC37" t="s">
        <v>120</v>
      </c>
    </row>
    <row r="38" spans="1:107" x14ac:dyDescent="0.35">
      <c r="A38" t="s">
        <v>296</v>
      </c>
      <c r="B38" s="10" t="str">
        <f t="shared" si="0"/>
        <v>S34_2024</v>
      </c>
      <c r="C38" s="10" t="str">
        <f t="shared" si="1"/>
        <v>S33_2024</v>
      </c>
      <c r="D38" s="11">
        <v>45526</v>
      </c>
      <c r="E38" t="s">
        <v>123</v>
      </c>
      <c r="F38">
        <v>15</v>
      </c>
      <c r="G38" t="s">
        <v>107</v>
      </c>
      <c r="H38" t="s">
        <v>108</v>
      </c>
      <c r="J38" t="s">
        <v>114</v>
      </c>
      <c r="K38" s="14">
        <v>45525</v>
      </c>
      <c r="L38" t="s">
        <v>163</v>
      </c>
      <c r="M38" t="s">
        <v>219</v>
      </c>
      <c r="N38" t="s">
        <v>220</v>
      </c>
      <c r="P38" t="s">
        <v>297</v>
      </c>
      <c r="Q38" t="s">
        <v>298</v>
      </c>
      <c r="R38" s="11">
        <v>45517</v>
      </c>
      <c r="S38" s="11">
        <v>45517</v>
      </c>
      <c r="T38" s="11">
        <v>45518</v>
      </c>
      <c r="AK38" t="s">
        <v>114</v>
      </c>
      <c r="AM38" t="s">
        <v>132</v>
      </c>
      <c r="AN38" t="s">
        <v>114</v>
      </c>
      <c r="AQ38" t="s">
        <v>114</v>
      </c>
      <c r="AR38" t="s">
        <v>299</v>
      </c>
      <c r="AU38" t="s">
        <v>114</v>
      </c>
      <c r="AV38" t="s">
        <v>115</v>
      </c>
      <c r="BB38" t="s">
        <v>114</v>
      </c>
      <c r="BC38" s="11">
        <v>45526</v>
      </c>
      <c r="BD38" t="s">
        <v>169</v>
      </c>
      <c r="BF38" t="s">
        <v>220</v>
      </c>
      <c r="BH38" t="str">
        <f t="shared" si="2"/>
        <v/>
      </c>
      <c r="BJ38" t="str">
        <f t="shared" si="3"/>
        <v/>
      </c>
      <c r="BK38" t="s">
        <v>170</v>
      </c>
      <c r="BL38" t="str">
        <f t="shared" si="4"/>
        <v>S34_2024</v>
      </c>
      <c r="BM38" t="s">
        <v>159</v>
      </c>
      <c r="BN38" s="11">
        <v>45526</v>
      </c>
      <c r="BO38" t="str">
        <f t="shared" si="5"/>
        <v>S34_2024</v>
      </c>
      <c r="BP38" t="s">
        <v>114</v>
      </c>
      <c r="BQ38" t="s">
        <v>118</v>
      </c>
      <c r="BW38" s="11"/>
      <c r="BX38" s="11"/>
      <c r="BY38" s="11"/>
      <c r="CB38" s="11"/>
      <c r="CC38" s="11"/>
      <c r="CD38" s="11"/>
      <c r="CG38" s="11"/>
      <c r="CI38" t="s">
        <v>119</v>
      </c>
      <c r="CO38" t="str">
        <f t="shared" si="6"/>
        <v>NEGATIFPAS INCLUS</v>
      </c>
      <c r="CP38" s="11">
        <v>45526</v>
      </c>
      <c r="CR38">
        <f t="shared" si="8"/>
        <v>-45526</v>
      </c>
      <c r="CS38">
        <f t="shared" si="9"/>
        <v>45526</v>
      </c>
      <c r="CT38">
        <f t="shared" si="13"/>
        <v>9</v>
      </c>
      <c r="CU38">
        <f t="shared" si="10"/>
        <v>1</v>
      </c>
      <c r="CV38" t="str">
        <f t="shared" si="11"/>
        <v/>
      </c>
      <c r="CX38" s="11">
        <v>45517</v>
      </c>
      <c r="CY38" t="str">
        <f t="shared" si="12"/>
        <v>S33_2024</v>
      </c>
      <c r="DC38" t="s">
        <v>160</v>
      </c>
    </row>
    <row r="39" spans="1:107" x14ac:dyDescent="0.35">
      <c r="A39" t="s">
        <v>300</v>
      </c>
      <c r="B39" s="10" t="str">
        <f t="shared" si="0"/>
        <v>S34_2024</v>
      </c>
      <c r="C39" s="10" t="str">
        <f t="shared" si="1"/>
        <v>S33_2024</v>
      </c>
      <c r="D39" s="11">
        <v>45526</v>
      </c>
      <c r="E39" t="s">
        <v>123</v>
      </c>
      <c r="F39">
        <v>22</v>
      </c>
      <c r="G39" t="s">
        <v>301</v>
      </c>
      <c r="H39" t="s">
        <v>108</v>
      </c>
      <c r="J39" t="s">
        <v>109</v>
      </c>
      <c r="K39" s="12" t="s">
        <v>110</v>
      </c>
      <c r="L39" t="s">
        <v>126</v>
      </c>
      <c r="M39" t="s">
        <v>127</v>
      </c>
      <c r="N39" t="s">
        <v>127</v>
      </c>
      <c r="O39" t="s">
        <v>128</v>
      </c>
      <c r="P39" t="s">
        <v>260</v>
      </c>
      <c r="Q39" t="s">
        <v>215</v>
      </c>
      <c r="R39" s="11">
        <v>45522</v>
      </c>
      <c r="S39" s="11">
        <v>45525</v>
      </c>
      <c r="T39" s="11">
        <v>45522</v>
      </c>
      <c r="W39" t="s">
        <v>132</v>
      </c>
      <c r="Z39" t="s">
        <v>132</v>
      </c>
      <c r="AD39" t="s">
        <v>114</v>
      </c>
      <c r="AE39" t="s">
        <v>114</v>
      </c>
      <c r="AG39" t="s">
        <v>114</v>
      </c>
      <c r="AR39" t="s">
        <v>302</v>
      </c>
      <c r="AS39" s="11">
        <v>45527</v>
      </c>
      <c r="AU39" t="s">
        <v>114</v>
      </c>
      <c r="AV39" t="s">
        <v>115</v>
      </c>
      <c r="BB39" t="s">
        <v>114</v>
      </c>
      <c r="BC39" t="s">
        <v>110</v>
      </c>
      <c r="BF39" t="s">
        <v>202</v>
      </c>
      <c r="BG39" t="s">
        <v>114</v>
      </c>
      <c r="BH39" t="str">
        <f t="shared" si="2"/>
        <v/>
      </c>
      <c r="BJ39" t="str">
        <f t="shared" si="3"/>
        <v/>
      </c>
      <c r="BK39" t="s">
        <v>137</v>
      </c>
      <c r="BL39" t="str">
        <f t="shared" si="4"/>
        <v/>
      </c>
      <c r="BM39" t="s">
        <v>159</v>
      </c>
      <c r="BO39" t="str">
        <f t="shared" si="5"/>
        <v/>
      </c>
      <c r="CI39" t="s">
        <v>119</v>
      </c>
      <c r="CO39" t="str">
        <f t="shared" si="6"/>
        <v>NEGATIFPAS INCLUS</v>
      </c>
      <c r="CP39" s="11">
        <v>45526</v>
      </c>
      <c r="CR39" t="str">
        <f t="shared" si="8"/>
        <v/>
      </c>
      <c r="CS39" t="str">
        <f t="shared" si="9"/>
        <v/>
      </c>
      <c r="CT39">
        <f t="shared" si="13"/>
        <v>4</v>
      </c>
      <c r="CU39" t="e">
        <f t="shared" si="10"/>
        <v>#VALUE!</v>
      </c>
      <c r="CV39" t="str">
        <f t="shared" si="11"/>
        <v/>
      </c>
      <c r="CX39" s="11">
        <v>45522</v>
      </c>
      <c r="CY39" t="str">
        <f t="shared" si="12"/>
        <v>S33_2024</v>
      </c>
      <c r="DC39" t="s">
        <v>160</v>
      </c>
    </row>
    <row r="40" spans="1:107" x14ac:dyDescent="0.35">
      <c r="A40" t="s">
        <v>303</v>
      </c>
      <c r="B40" s="10" t="str">
        <f t="shared" si="0"/>
        <v>S34_2024</v>
      </c>
      <c r="C40" s="10" t="str">
        <f t="shared" si="1"/>
        <v>S33_2024</v>
      </c>
      <c r="D40" s="11">
        <v>45527</v>
      </c>
      <c r="E40" t="s">
        <v>123</v>
      </c>
      <c r="F40">
        <v>1</v>
      </c>
      <c r="G40" t="s">
        <v>141</v>
      </c>
      <c r="H40" t="s">
        <v>108</v>
      </c>
      <c r="J40" t="s">
        <v>114</v>
      </c>
      <c r="K40" s="14">
        <v>45526</v>
      </c>
      <c r="L40" t="s">
        <v>111</v>
      </c>
      <c r="M40" t="s">
        <v>112</v>
      </c>
      <c r="N40" t="s">
        <v>304</v>
      </c>
      <c r="P40" t="s">
        <v>305</v>
      </c>
      <c r="Q40" t="s">
        <v>306</v>
      </c>
      <c r="R40" s="11">
        <v>45520</v>
      </c>
      <c r="S40" s="11">
        <v>45520</v>
      </c>
      <c r="T40" s="11">
        <v>45520</v>
      </c>
      <c r="V40" t="s">
        <v>114</v>
      </c>
      <c r="W40" t="s">
        <v>114</v>
      </c>
      <c r="AA40" t="s">
        <v>114</v>
      </c>
      <c r="AB40" t="s">
        <v>114</v>
      </c>
      <c r="AK40" t="s">
        <v>114</v>
      </c>
      <c r="AM40" t="s">
        <v>132</v>
      </c>
      <c r="AN40" t="s">
        <v>142</v>
      </c>
      <c r="AQ40" t="s">
        <v>132</v>
      </c>
      <c r="BF40" t="s">
        <v>305</v>
      </c>
      <c r="BH40" t="str">
        <f t="shared" si="2"/>
        <v/>
      </c>
      <c r="BJ40" t="str">
        <f t="shared" si="3"/>
        <v/>
      </c>
      <c r="BK40" t="s">
        <v>117</v>
      </c>
      <c r="BL40" t="str">
        <f t="shared" si="4"/>
        <v/>
      </c>
      <c r="BM40" t="s">
        <v>159</v>
      </c>
      <c r="BO40" t="str">
        <f t="shared" si="5"/>
        <v/>
      </c>
      <c r="CI40" t="s">
        <v>119</v>
      </c>
      <c r="CO40" t="str">
        <f t="shared" si="6"/>
        <v>PAS INCLUS</v>
      </c>
      <c r="CP40" s="11">
        <v>45527</v>
      </c>
      <c r="CR40" t="str">
        <f t="shared" si="8"/>
        <v/>
      </c>
      <c r="CS40" t="str">
        <f t="shared" si="9"/>
        <v/>
      </c>
      <c r="CT40">
        <f t="shared" si="13"/>
        <v>7</v>
      </c>
      <c r="CU40">
        <f t="shared" si="10"/>
        <v>1</v>
      </c>
      <c r="CV40" t="str">
        <f t="shared" si="11"/>
        <v/>
      </c>
      <c r="CX40" s="11">
        <v>45520</v>
      </c>
      <c r="CY40" t="str">
        <f t="shared" si="12"/>
        <v>S33_2024</v>
      </c>
      <c r="DB40" t="s">
        <v>114</v>
      </c>
      <c r="DC40" t="s">
        <v>160</v>
      </c>
    </row>
    <row r="41" spans="1:107" x14ac:dyDescent="0.35">
      <c r="A41" t="s">
        <v>307</v>
      </c>
      <c r="B41" s="10" t="str">
        <f t="shared" si="0"/>
        <v>S35_2024</v>
      </c>
      <c r="C41" s="10" t="str">
        <f t="shared" si="1"/>
        <v>S33_2024</v>
      </c>
      <c r="D41" s="11">
        <v>45530</v>
      </c>
      <c r="E41" t="s">
        <v>106</v>
      </c>
      <c r="F41">
        <v>20</v>
      </c>
      <c r="H41" t="s">
        <v>108</v>
      </c>
      <c r="J41" t="s">
        <v>114</v>
      </c>
      <c r="K41" s="14">
        <v>45474</v>
      </c>
      <c r="L41" t="s">
        <v>111</v>
      </c>
      <c r="M41" t="s">
        <v>308</v>
      </c>
      <c r="N41" t="s">
        <v>309</v>
      </c>
      <c r="O41" t="s">
        <v>310</v>
      </c>
      <c r="P41" t="s">
        <v>311</v>
      </c>
      <c r="Q41" t="s">
        <v>312</v>
      </c>
      <c r="R41" s="11">
        <v>45516</v>
      </c>
      <c r="S41" s="11">
        <v>45516</v>
      </c>
      <c r="T41" s="11">
        <v>45516</v>
      </c>
      <c r="V41" t="s">
        <v>114</v>
      </c>
      <c r="AE41" t="s">
        <v>114</v>
      </c>
      <c r="AG41" t="s">
        <v>114</v>
      </c>
      <c r="AK41" t="s">
        <v>132</v>
      </c>
      <c r="AM41" t="s">
        <v>142</v>
      </c>
      <c r="AQ41" t="s">
        <v>132</v>
      </c>
      <c r="AS41" s="11">
        <v>45530</v>
      </c>
      <c r="AU41" t="s">
        <v>114</v>
      </c>
      <c r="AV41" t="s">
        <v>115</v>
      </c>
      <c r="BB41" t="s">
        <v>114</v>
      </c>
      <c r="BC41" s="11">
        <v>45530</v>
      </c>
      <c r="BD41" t="s">
        <v>313</v>
      </c>
      <c r="BF41" t="s">
        <v>309</v>
      </c>
      <c r="BG41" t="s">
        <v>132</v>
      </c>
      <c r="BH41" t="str">
        <f t="shared" si="2"/>
        <v/>
      </c>
      <c r="BJ41" t="str">
        <f t="shared" si="3"/>
        <v/>
      </c>
      <c r="BK41" t="s">
        <v>117</v>
      </c>
      <c r="BL41" t="str">
        <f t="shared" si="4"/>
        <v>S35_2024</v>
      </c>
      <c r="BN41" s="11">
        <v>45530</v>
      </c>
      <c r="BO41" t="str">
        <f t="shared" si="5"/>
        <v>S35_2024</v>
      </c>
      <c r="BP41" t="s">
        <v>114</v>
      </c>
      <c r="BQ41" t="s">
        <v>118</v>
      </c>
      <c r="BU41" s="11"/>
      <c r="BW41" s="11"/>
      <c r="BX41" s="11"/>
      <c r="BY41" s="11"/>
      <c r="BZ41" s="11"/>
      <c r="CB41" s="11"/>
      <c r="CC41" s="11"/>
      <c r="CD41" s="11"/>
      <c r="CE41" s="11"/>
      <c r="CG41" s="11"/>
      <c r="CI41" t="s">
        <v>119</v>
      </c>
      <c r="CO41" t="str">
        <f t="shared" si="6"/>
        <v>NEGATIFPAS INCLUS</v>
      </c>
      <c r="CP41" s="11">
        <v>45530</v>
      </c>
      <c r="CR41">
        <f t="shared" si="8"/>
        <v>0</v>
      </c>
      <c r="CS41">
        <f t="shared" si="9"/>
        <v>0</v>
      </c>
      <c r="CT41">
        <f t="shared" si="13"/>
        <v>14</v>
      </c>
      <c r="CU41">
        <f t="shared" si="10"/>
        <v>56</v>
      </c>
      <c r="CV41" t="str">
        <f t="shared" si="11"/>
        <v/>
      </c>
      <c r="CX41" s="11">
        <v>45516</v>
      </c>
      <c r="CY41" t="str">
        <f t="shared" si="12"/>
        <v>S33_2024</v>
      </c>
      <c r="DC41" t="s">
        <v>120</v>
      </c>
    </row>
    <row r="42" spans="1:107" x14ac:dyDescent="0.35">
      <c r="A42" t="s">
        <v>314</v>
      </c>
      <c r="B42" s="10" t="str">
        <f t="shared" si="0"/>
        <v>S35_2024</v>
      </c>
      <c r="C42" s="10" t="str">
        <f t="shared" si="1"/>
        <v>S34_2024</v>
      </c>
      <c r="D42" s="11">
        <v>45531</v>
      </c>
      <c r="E42" t="s">
        <v>106</v>
      </c>
      <c r="F42">
        <v>4</v>
      </c>
      <c r="G42" t="s">
        <v>107</v>
      </c>
      <c r="H42" t="s">
        <v>108</v>
      </c>
      <c r="J42" t="s">
        <v>109</v>
      </c>
      <c r="K42" s="12" t="s">
        <v>110</v>
      </c>
      <c r="L42" t="s">
        <v>111</v>
      </c>
      <c r="M42" t="s">
        <v>315</v>
      </c>
      <c r="N42" t="s">
        <v>316</v>
      </c>
      <c r="O42" t="s">
        <v>317</v>
      </c>
      <c r="P42" t="s">
        <v>318</v>
      </c>
      <c r="Q42" t="s">
        <v>319</v>
      </c>
      <c r="R42" s="11">
        <v>45527</v>
      </c>
      <c r="S42" s="11">
        <v>45527</v>
      </c>
      <c r="T42" s="11">
        <v>45527</v>
      </c>
      <c r="V42" t="s">
        <v>114</v>
      </c>
      <c r="X42" t="s">
        <v>114</v>
      </c>
      <c r="AE42" t="s">
        <v>114</v>
      </c>
      <c r="AK42" t="s">
        <v>114</v>
      </c>
      <c r="AM42" t="s">
        <v>114</v>
      </c>
      <c r="AN42" t="s">
        <v>114</v>
      </c>
      <c r="AQ42" t="s">
        <v>114</v>
      </c>
      <c r="AR42" t="s">
        <v>320</v>
      </c>
      <c r="AS42" s="11">
        <v>45532</v>
      </c>
      <c r="AU42" t="s">
        <v>114</v>
      </c>
      <c r="AV42" t="s">
        <v>115</v>
      </c>
      <c r="BB42" t="s">
        <v>114</v>
      </c>
      <c r="BC42" s="11">
        <v>45531</v>
      </c>
      <c r="BD42" t="s">
        <v>116</v>
      </c>
      <c r="BE42">
        <v>697889785</v>
      </c>
      <c r="BG42" t="s">
        <v>114</v>
      </c>
      <c r="BH42" t="str">
        <f t="shared" si="2"/>
        <v/>
      </c>
      <c r="BJ42" t="str">
        <f t="shared" si="3"/>
        <v/>
      </c>
      <c r="BK42" t="s">
        <v>321</v>
      </c>
      <c r="BL42" t="str">
        <f t="shared" si="4"/>
        <v>S35_2024</v>
      </c>
      <c r="BM42" t="s">
        <v>159</v>
      </c>
      <c r="BN42" s="11">
        <v>45531</v>
      </c>
      <c r="BO42" t="str">
        <f t="shared" si="5"/>
        <v>S35_2024</v>
      </c>
      <c r="BP42" t="s">
        <v>114</v>
      </c>
      <c r="BQ42" t="s">
        <v>118</v>
      </c>
      <c r="BU42" s="11"/>
      <c r="BW42" s="11"/>
      <c r="BX42" s="11"/>
      <c r="BY42" s="11"/>
      <c r="BZ42" s="11"/>
      <c r="CB42" s="11"/>
      <c r="CC42" s="11"/>
      <c r="CD42" s="11"/>
      <c r="CE42" s="11"/>
      <c r="CG42" s="11"/>
      <c r="CI42" t="s">
        <v>119</v>
      </c>
      <c r="CO42" t="str">
        <f t="shared" si="6"/>
        <v>NEGATIFPAS INCLUS</v>
      </c>
      <c r="CP42" s="11">
        <v>45531</v>
      </c>
      <c r="CR42">
        <f t="shared" si="8"/>
        <v>1</v>
      </c>
      <c r="CS42">
        <f t="shared" si="9"/>
        <v>-1</v>
      </c>
      <c r="CT42">
        <f t="shared" si="13"/>
        <v>4</v>
      </c>
      <c r="CU42" t="e">
        <f t="shared" si="10"/>
        <v>#VALUE!</v>
      </c>
      <c r="CV42" t="str">
        <f t="shared" si="11"/>
        <v/>
      </c>
      <c r="CX42" s="11">
        <v>45527</v>
      </c>
      <c r="CY42" t="str">
        <f t="shared" si="12"/>
        <v>S34_2024</v>
      </c>
      <c r="DC42" t="s">
        <v>120</v>
      </c>
    </row>
    <row r="43" spans="1:107" x14ac:dyDescent="0.35">
      <c r="A43" t="s">
        <v>322</v>
      </c>
      <c r="B43" s="10" t="str">
        <f t="shared" si="0"/>
        <v>S35_2024</v>
      </c>
      <c r="C43" s="10" t="str">
        <f t="shared" si="1"/>
        <v>S31_2024</v>
      </c>
      <c r="D43" s="11">
        <v>45532</v>
      </c>
      <c r="E43" t="s">
        <v>106</v>
      </c>
      <c r="F43">
        <v>62</v>
      </c>
      <c r="G43" t="s">
        <v>323</v>
      </c>
      <c r="H43" t="s">
        <v>125</v>
      </c>
      <c r="J43" t="s">
        <v>109</v>
      </c>
      <c r="K43" s="14">
        <v>45531</v>
      </c>
      <c r="L43" t="s">
        <v>111</v>
      </c>
      <c r="M43" t="s">
        <v>324</v>
      </c>
      <c r="N43" t="s">
        <v>325</v>
      </c>
      <c r="O43" t="s">
        <v>326</v>
      </c>
      <c r="P43" t="s">
        <v>327</v>
      </c>
      <c r="Q43" t="s">
        <v>328</v>
      </c>
      <c r="R43" s="11">
        <v>45502</v>
      </c>
      <c r="S43" s="11">
        <v>45502</v>
      </c>
      <c r="T43" s="11">
        <v>45516</v>
      </c>
      <c r="V43" t="s">
        <v>150</v>
      </c>
      <c r="W43" t="s">
        <v>109</v>
      </c>
      <c r="X43" t="s">
        <v>109</v>
      </c>
      <c r="Y43" t="s">
        <v>150</v>
      </c>
      <c r="Z43" t="s">
        <v>150</v>
      </c>
      <c r="AA43" t="s">
        <v>150</v>
      </c>
      <c r="AB43" t="s">
        <v>109</v>
      </c>
      <c r="AD43" t="s">
        <v>114</v>
      </c>
      <c r="AE43" t="s">
        <v>114</v>
      </c>
      <c r="AG43" t="s">
        <v>150</v>
      </c>
      <c r="AJ43" t="s">
        <v>329</v>
      </c>
      <c r="AM43" t="s">
        <v>132</v>
      </c>
      <c r="AN43" t="s">
        <v>132</v>
      </c>
      <c r="AQ43" t="s">
        <v>132</v>
      </c>
      <c r="AS43" s="11">
        <v>45533</v>
      </c>
      <c r="AU43" t="s">
        <v>114</v>
      </c>
      <c r="AV43" t="s">
        <v>115</v>
      </c>
      <c r="BB43" t="s">
        <v>114</v>
      </c>
      <c r="BC43" s="11">
        <v>45532</v>
      </c>
      <c r="BD43" t="s">
        <v>330</v>
      </c>
      <c r="BF43" t="s">
        <v>325</v>
      </c>
      <c r="BG43" t="s">
        <v>114</v>
      </c>
      <c r="BH43" t="str">
        <f t="shared" si="2"/>
        <v/>
      </c>
      <c r="BJ43" t="str">
        <f t="shared" si="3"/>
        <v/>
      </c>
      <c r="BK43" t="s">
        <v>117</v>
      </c>
      <c r="BL43" t="str">
        <f t="shared" si="4"/>
        <v>S35_2024</v>
      </c>
      <c r="BM43" t="s">
        <v>159</v>
      </c>
      <c r="BN43" s="11">
        <v>45532</v>
      </c>
      <c r="BO43" t="str">
        <f t="shared" si="5"/>
        <v>S35_2024</v>
      </c>
      <c r="BP43" t="s">
        <v>114</v>
      </c>
      <c r="BQ43" t="s">
        <v>118</v>
      </c>
      <c r="BU43" s="11"/>
      <c r="BW43" s="11"/>
      <c r="BX43" s="11"/>
      <c r="BY43" s="11"/>
      <c r="BZ43" s="11"/>
      <c r="CB43" s="11"/>
      <c r="CC43" s="11"/>
      <c r="CD43" s="11"/>
      <c r="CE43" s="11"/>
      <c r="CG43" s="11"/>
      <c r="CI43" t="s">
        <v>119</v>
      </c>
      <c r="CO43" t="str">
        <f t="shared" si="6"/>
        <v>NEGATIFPAS INCLUS</v>
      </c>
      <c r="CP43" s="11">
        <v>45532</v>
      </c>
      <c r="CR43">
        <f t="shared" si="8"/>
        <v>1</v>
      </c>
      <c r="CS43">
        <f t="shared" si="9"/>
        <v>-1</v>
      </c>
      <c r="CT43">
        <f t="shared" si="13"/>
        <v>30</v>
      </c>
      <c r="CU43">
        <f t="shared" si="10"/>
        <v>1</v>
      </c>
      <c r="CV43" t="str">
        <f t="shared" si="11"/>
        <v/>
      </c>
      <c r="CX43" s="11">
        <v>45502</v>
      </c>
      <c r="CY43" t="str">
        <f t="shared" si="12"/>
        <v>S31_2024</v>
      </c>
      <c r="DC43" t="s">
        <v>120</v>
      </c>
    </row>
    <row r="44" spans="1:107" x14ac:dyDescent="0.35">
      <c r="A44" t="s">
        <v>331</v>
      </c>
      <c r="B44" s="10" t="str">
        <f t="shared" si="0"/>
        <v>S35_2024</v>
      </c>
      <c r="C44" s="10" t="str">
        <f t="shared" si="1"/>
        <v>S35_2024</v>
      </c>
      <c r="D44" s="11">
        <v>45533</v>
      </c>
      <c r="E44" t="s">
        <v>106</v>
      </c>
      <c r="F44">
        <v>4</v>
      </c>
      <c r="G44" t="s">
        <v>141</v>
      </c>
      <c r="H44" t="s">
        <v>108</v>
      </c>
      <c r="J44" t="s">
        <v>109</v>
      </c>
      <c r="K44" s="14">
        <v>45533</v>
      </c>
      <c r="L44" t="s">
        <v>111</v>
      </c>
      <c r="M44" t="s">
        <v>308</v>
      </c>
      <c r="N44" t="s">
        <v>312</v>
      </c>
      <c r="P44" t="s">
        <v>332</v>
      </c>
      <c r="Q44" t="s">
        <v>312</v>
      </c>
      <c r="R44" s="11">
        <v>45532</v>
      </c>
      <c r="S44" s="11">
        <v>45532</v>
      </c>
      <c r="T44" s="11">
        <v>45532</v>
      </c>
      <c r="V44" t="s">
        <v>114</v>
      </c>
      <c r="AK44" t="s">
        <v>132</v>
      </c>
      <c r="AM44" t="s">
        <v>132</v>
      </c>
      <c r="AN44" t="s">
        <v>114</v>
      </c>
      <c r="AR44" t="s">
        <v>333</v>
      </c>
      <c r="AS44" s="11">
        <v>45533</v>
      </c>
      <c r="AU44" t="s">
        <v>114</v>
      </c>
      <c r="AV44" t="s">
        <v>115</v>
      </c>
      <c r="BB44" t="s">
        <v>114</v>
      </c>
      <c r="BC44" s="11">
        <v>45533</v>
      </c>
      <c r="BD44" t="s">
        <v>334</v>
      </c>
      <c r="BE44">
        <v>656329725</v>
      </c>
      <c r="BG44" t="s">
        <v>132</v>
      </c>
      <c r="BH44" t="str">
        <f t="shared" si="2"/>
        <v/>
      </c>
      <c r="BJ44" t="str">
        <f t="shared" si="3"/>
        <v/>
      </c>
      <c r="BK44" t="s">
        <v>117</v>
      </c>
      <c r="BL44" t="str">
        <f t="shared" si="4"/>
        <v>S35_2024</v>
      </c>
      <c r="BN44" s="11">
        <v>45533</v>
      </c>
      <c r="BO44" t="str">
        <f t="shared" si="5"/>
        <v>S35_2024</v>
      </c>
      <c r="BP44" t="s">
        <v>114</v>
      </c>
      <c r="BQ44" t="s">
        <v>118</v>
      </c>
      <c r="BU44" s="11"/>
      <c r="BW44" s="11"/>
      <c r="BX44" s="11"/>
      <c r="BY44" s="11"/>
      <c r="BZ44" s="11"/>
      <c r="CB44" s="11"/>
      <c r="CC44" s="11"/>
      <c r="CD44" s="11"/>
      <c r="CE44" s="11"/>
      <c r="CG44" s="11"/>
      <c r="CI44" t="s">
        <v>119</v>
      </c>
      <c r="CO44" t="str">
        <f t="shared" si="6"/>
        <v>NEGATIFPAS INCLUS</v>
      </c>
      <c r="CP44" s="11">
        <v>45533</v>
      </c>
      <c r="CR44">
        <f t="shared" si="8"/>
        <v>0</v>
      </c>
      <c r="CS44">
        <f t="shared" si="9"/>
        <v>0</v>
      </c>
      <c r="CT44">
        <f t="shared" si="13"/>
        <v>1</v>
      </c>
      <c r="CU44">
        <f t="shared" si="10"/>
        <v>0</v>
      </c>
      <c r="CV44" t="str">
        <f t="shared" si="11"/>
        <v/>
      </c>
      <c r="CX44" s="11">
        <v>45532</v>
      </c>
      <c r="CY44" t="str">
        <f t="shared" si="12"/>
        <v>S35_2024</v>
      </c>
      <c r="DC44" t="s">
        <v>120</v>
      </c>
    </row>
    <row r="45" spans="1:107" x14ac:dyDescent="0.35">
      <c r="A45" t="s">
        <v>335</v>
      </c>
      <c r="B45" s="10" t="str">
        <f t="shared" si="0"/>
        <v>S35_2024</v>
      </c>
      <c r="C45" s="10" t="str">
        <f t="shared" si="1"/>
        <v>S33_2024</v>
      </c>
      <c r="D45" s="11">
        <v>45534</v>
      </c>
      <c r="E45" t="s">
        <v>123</v>
      </c>
      <c r="F45">
        <v>39</v>
      </c>
      <c r="G45" t="s">
        <v>336</v>
      </c>
      <c r="H45" t="s">
        <v>108</v>
      </c>
      <c r="J45" t="s">
        <v>109</v>
      </c>
      <c r="K45" s="14">
        <v>45535</v>
      </c>
      <c r="L45" t="s">
        <v>126</v>
      </c>
      <c r="M45" t="s">
        <v>146</v>
      </c>
      <c r="N45" t="s">
        <v>147</v>
      </c>
      <c r="O45" t="s">
        <v>337</v>
      </c>
      <c r="P45" t="s">
        <v>282</v>
      </c>
      <c r="Q45" t="s">
        <v>215</v>
      </c>
      <c r="R45" s="11">
        <v>45520</v>
      </c>
      <c r="S45" s="11">
        <v>45520</v>
      </c>
      <c r="T45" s="11">
        <v>45521</v>
      </c>
      <c r="V45" t="s">
        <v>109</v>
      </c>
      <c r="W45" t="s">
        <v>109</v>
      </c>
      <c r="X45" t="s">
        <v>109</v>
      </c>
      <c r="Y45" t="s">
        <v>109</v>
      </c>
      <c r="Z45" t="s">
        <v>150</v>
      </c>
      <c r="AA45" t="s">
        <v>150</v>
      </c>
      <c r="AB45" t="s">
        <v>109</v>
      </c>
      <c r="AD45" t="s">
        <v>114</v>
      </c>
      <c r="AE45" t="s">
        <v>114</v>
      </c>
      <c r="AG45" t="s">
        <v>109</v>
      </c>
      <c r="AM45" t="s">
        <v>132</v>
      </c>
      <c r="AN45" t="s">
        <v>132</v>
      </c>
      <c r="AQ45" t="s">
        <v>132</v>
      </c>
      <c r="AR45" t="s">
        <v>338</v>
      </c>
      <c r="AS45" s="11">
        <v>45506</v>
      </c>
      <c r="AU45" t="s">
        <v>114</v>
      </c>
      <c r="AV45" t="s">
        <v>115</v>
      </c>
      <c r="AW45" t="s">
        <v>152</v>
      </c>
      <c r="BB45" t="s">
        <v>114</v>
      </c>
      <c r="BC45" s="11">
        <v>45535</v>
      </c>
      <c r="BD45" t="s">
        <v>339</v>
      </c>
      <c r="BF45" t="s">
        <v>340</v>
      </c>
      <c r="BG45" t="s">
        <v>114</v>
      </c>
      <c r="BH45" t="str">
        <f t="shared" si="2"/>
        <v/>
      </c>
      <c r="BJ45" t="str">
        <f t="shared" si="3"/>
        <v/>
      </c>
      <c r="BK45" t="s">
        <v>137</v>
      </c>
      <c r="BL45" t="str">
        <f t="shared" si="4"/>
        <v>S35_2024</v>
      </c>
      <c r="BM45" t="s">
        <v>159</v>
      </c>
      <c r="BN45" s="11">
        <v>45535</v>
      </c>
      <c r="BO45" t="str">
        <f t="shared" si="5"/>
        <v>S35_2024</v>
      </c>
      <c r="BP45" t="s">
        <v>114</v>
      </c>
      <c r="BQ45" t="s">
        <v>118</v>
      </c>
      <c r="BU45" s="11"/>
      <c r="BW45" s="11"/>
      <c r="BX45" s="11"/>
      <c r="BY45" s="11"/>
      <c r="BZ45" s="11"/>
      <c r="CB45" s="11"/>
      <c r="CC45" s="11"/>
      <c r="CD45" s="11"/>
      <c r="CE45" s="11"/>
      <c r="CG45" s="11"/>
      <c r="CI45" t="s">
        <v>119</v>
      </c>
      <c r="CO45" t="str">
        <f t="shared" si="6"/>
        <v>NEGATIFPAS INCLUS</v>
      </c>
      <c r="CP45" s="11">
        <v>45534</v>
      </c>
      <c r="CR45">
        <f t="shared" si="8"/>
        <v>-29</v>
      </c>
      <c r="CS45">
        <f t="shared" si="9"/>
        <v>29</v>
      </c>
      <c r="CT45">
        <f t="shared" si="13"/>
        <v>14</v>
      </c>
      <c r="CU45">
        <f t="shared" si="10"/>
        <v>-1</v>
      </c>
      <c r="CV45" t="str">
        <f t="shared" si="11"/>
        <v/>
      </c>
      <c r="CX45" s="11">
        <v>45520</v>
      </c>
      <c r="CY45" t="str">
        <f t="shared" si="12"/>
        <v>S33_2024</v>
      </c>
      <c r="DC45" t="s">
        <v>120</v>
      </c>
    </row>
    <row r="46" spans="1:107" x14ac:dyDescent="0.35">
      <c r="A46" t="s">
        <v>341</v>
      </c>
      <c r="B46" s="10" t="str">
        <f t="shared" si="0"/>
        <v>S35_2024</v>
      </c>
      <c r="C46" s="10" t="str">
        <f t="shared" si="1"/>
        <v>S35_2024</v>
      </c>
      <c r="D46" s="11">
        <v>45535</v>
      </c>
      <c r="E46" t="s">
        <v>123</v>
      </c>
      <c r="F46">
        <v>22</v>
      </c>
      <c r="G46" t="s">
        <v>301</v>
      </c>
      <c r="H46" t="s">
        <v>108</v>
      </c>
      <c r="J46" t="s">
        <v>114</v>
      </c>
      <c r="K46" s="14">
        <v>45531</v>
      </c>
      <c r="L46" t="s">
        <v>163</v>
      </c>
      <c r="M46" t="s">
        <v>219</v>
      </c>
      <c r="N46" t="s">
        <v>220</v>
      </c>
      <c r="P46" t="s">
        <v>342</v>
      </c>
      <c r="Q46" t="s">
        <v>298</v>
      </c>
      <c r="R46" s="11">
        <v>45535</v>
      </c>
      <c r="S46" s="11">
        <v>45535</v>
      </c>
      <c r="T46" s="11">
        <v>45535</v>
      </c>
      <c r="AE46" t="s">
        <v>114</v>
      </c>
      <c r="AK46" t="s">
        <v>114</v>
      </c>
      <c r="AM46" t="s">
        <v>142</v>
      </c>
      <c r="AN46" t="s">
        <v>142</v>
      </c>
      <c r="AQ46" t="s">
        <v>132</v>
      </c>
      <c r="AU46" t="s">
        <v>114</v>
      </c>
      <c r="AV46" t="s">
        <v>115</v>
      </c>
      <c r="BB46" t="s">
        <v>114</v>
      </c>
      <c r="BC46" s="11">
        <v>45535</v>
      </c>
      <c r="BD46" t="s">
        <v>261</v>
      </c>
      <c r="BF46" t="s">
        <v>220</v>
      </c>
      <c r="BG46" t="s">
        <v>114</v>
      </c>
      <c r="BH46" t="str">
        <f t="shared" si="2"/>
        <v/>
      </c>
      <c r="BJ46" t="str">
        <f t="shared" si="3"/>
        <v/>
      </c>
      <c r="BK46" t="s">
        <v>170</v>
      </c>
      <c r="BL46" t="str">
        <f t="shared" si="4"/>
        <v>S35_2024</v>
      </c>
      <c r="BN46" s="11">
        <v>45535</v>
      </c>
      <c r="BO46" t="str">
        <f t="shared" si="5"/>
        <v>S35_2024</v>
      </c>
      <c r="BP46" t="s">
        <v>114</v>
      </c>
      <c r="BQ46" t="s">
        <v>118</v>
      </c>
      <c r="BW46" s="11"/>
      <c r="BX46" s="11"/>
      <c r="BY46" s="11"/>
      <c r="CB46" s="11"/>
      <c r="CC46" s="11"/>
      <c r="CD46" s="11"/>
      <c r="CG46" s="11"/>
      <c r="CI46" t="s">
        <v>119</v>
      </c>
      <c r="CO46" t="str">
        <f t="shared" si="6"/>
        <v>NEGATIFPAS INCLUS</v>
      </c>
      <c r="CP46" s="11">
        <v>45535</v>
      </c>
      <c r="CR46">
        <f t="shared" si="8"/>
        <v>-45535</v>
      </c>
      <c r="CS46">
        <f t="shared" si="9"/>
        <v>45535</v>
      </c>
      <c r="CT46">
        <f t="shared" si="13"/>
        <v>0</v>
      </c>
      <c r="CU46">
        <f t="shared" si="10"/>
        <v>4</v>
      </c>
      <c r="CV46" t="str">
        <f t="shared" si="11"/>
        <v/>
      </c>
      <c r="CX46" s="11">
        <v>45535</v>
      </c>
      <c r="CY46" t="str">
        <f t="shared" si="12"/>
        <v>S35_2024</v>
      </c>
      <c r="DC46" t="s">
        <v>120</v>
      </c>
    </row>
    <row r="47" spans="1:107" x14ac:dyDescent="0.35">
      <c r="A47" t="s">
        <v>343</v>
      </c>
      <c r="B47" s="10" t="str">
        <f t="shared" si="0"/>
        <v>S35_2024</v>
      </c>
      <c r="C47" s="10" t="str">
        <f t="shared" si="1"/>
        <v>S35_2024</v>
      </c>
      <c r="D47" s="11">
        <v>45535</v>
      </c>
      <c r="E47" t="s">
        <v>106</v>
      </c>
      <c r="F47">
        <v>0.6</v>
      </c>
      <c r="G47" t="s">
        <v>141</v>
      </c>
      <c r="H47" t="s">
        <v>108</v>
      </c>
      <c r="J47" t="s">
        <v>114</v>
      </c>
      <c r="K47" s="12" t="s">
        <v>110</v>
      </c>
      <c r="L47" t="s">
        <v>163</v>
      </c>
      <c r="M47" t="s">
        <v>219</v>
      </c>
      <c r="N47" t="s">
        <v>220</v>
      </c>
      <c r="O47" t="s">
        <v>110</v>
      </c>
      <c r="P47" t="s">
        <v>110</v>
      </c>
      <c r="Q47" t="s">
        <v>298</v>
      </c>
      <c r="R47" s="11">
        <v>45535</v>
      </c>
      <c r="S47" s="11">
        <v>45535</v>
      </c>
      <c r="T47" s="11">
        <v>45535</v>
      </c>
      <c r="AE47" t="s">
        <v>114</v>
      </c>
      <c r="AK47" t="s">
        <v>132</v>
      </c>
      <c r="AM47" t="s">
        <v>142</v>
      </c>
      <c r="AN47" t="s">
        <v>142</v>
      </c>
      <c r="AU47" t="s">
        <v>114</v>
      </c>
      <c r="AV47" t="s">
        <v>115</v>
      </c>
      <c r="BB47" t="s">
        <v>114</v>
      </c>
      <c r="BC47" s="11">
        <v>45535</v>
      </c>
      <c r="BD47" t="s">
        <v>261</v>
      </c>
      <c r="BF47" t="s">
        <v>220</v>
      </c>
      <c r="BH47" t="str">
        <f t="shared" si="2"/>
        <v/>
      </c>
      <c r="BJ47" t="str">
        <f t="shared" si="3"/>
        <v/>
      </c>
      <c r="BK47" t="s">
        <v>170</v>
      </c>
      <c r="BL47" t="str">
        <f t="shared" si="4"/>
        <v>S35_2024</v>
      </c>
      <c r="BM47" t="s">
        <v>159</v>
      </c>
      <c r="BN47" s="11">
        <v>45535</v>
      </c>
      <c r="BO47" t="str">
        <f t="shared" si="5"/>
        <v>S35_2024</v>
      </c>
      <c r="BP47" t="s">
        <v>114</v>
      </c>
      <c r="BQ47" t="s">
        <v>118</v>
      </c>
      <c r="BW47" s="11"/>
      <c r="BX47" s="11"/>
      <c r="BY47" s="11"/>
      <c r="CB47" s="11"/>
      <c r="CC47" s="11"/>
      <c r="CD47" s="11"/>
      <c r="CG47" s="11"/>
      <c r="CI47" t="s">
        <v>119</v>
      </c>
      <c r="CO47" t="str">
        <f t="shared" si="6"/>
        <v>NEGATIFPAS INCLUS</v>
      </c>
      <c r="CP47" s="11">
        <v>45535</v>
      </c>
      <c r="CR47">
        <f t="shared" si="8"/>
        <v>-45535</v>
      </c>
      <c r="CS47">
        <f t="shared" si="9"/>
        <v>45535</v>
      </c>
      <c r="CT47">
        <f t="shared" si="13"/>
        <v>0</v>
      </c>
      <c r="CU47" t="e">
        <f t="shared" si="10"/>
        <v>#VALUE!</v>
      </c>
      <c r="CV47" t="str">
        <f t="shared" si="11"/>
        <v/>
      </c>
      <c r="CX47" s="11">
        <v>45535</v>
      </c>
      <c r="CY47" t="str">
        <f t="shared" si="12"/>
        <v>S35_2024</v>
      </c>
      <c r="DC47" t="s">
        <v>120</v>
      </c>
    </row>
    <row r="48" spans="1:107" x14ac:dyDescent="0.35">
      <c r="A48" t="s">
        <v>344</v>
      </c>
      <c r="B48" s="10" t="str">
        <f t="shared" si="0"/>
        <v>S35_2024</v>
      </c>
      <c r="C48" s="10" t="str">
        <f t="shared" si="1"/>
        <v>S35_2024</v>
      </c>
      <c r="D48" s="11">
        <v>45535</v>
      </c>
      <c r="E48" t="s">
        <v>123</v>
      </c>
      <c r="F48">
        <v>43</v>
      </c>
      <c r="G48" t="s">
        <v>162</v>
      </c>
      <c r="H48" t="s">
        <v>108</v>
      </c>
      <c r="J48" t="s">
        <v>109</v>
      </c>
      <c r="K48" s="14">
        <v>45535</v>
      </c>
      <c r="L48" t="s">
        <v>126</v>
      </c>
      <c r="M48" t="s">
        <v>146</v>
      </c>
      <c r="N48" t="s">
        <v>147</v>
      </c>
      <c r="O48" t="s">
        <v>337</v>
      </c>
      <c r="P48" t="s">
        <v>282</v>
      </c>
      <c r="Q48" t="s">
        <v>215</v>
      </c>
      <c r="R48" s="11">
        <v>45534</v>
      </c>
      <c r="S48" s="11">
        <v>45534</v>
      </c>
      <c r="T48" s="11">
        <v>45534</v>
      </c>
      <c r="V48" t="s">
        <v>109</v>
      </c>
      <c r="W48" t="s">
        <v>109</v>
      </c>
      <c r="X48" t="s">
        <v>109</v>
      </c>
      <c r="Y48" t="s">
        <v>109</v>
      </c>
      <c r="Z48" t="s">
        <v>150</v>
      </c>
      <c r="AA48" t="s">
        <v>150</v>
      </c>
      <c r="AB48" t="s">
        <v>109</v>
      </c>
      <c r="AD48" t="s">
        <v>114</v>
      </c>
      <c r="AE48" t="s">
        <v>114</v>
      </c>
      <c r="AG48" t="s">
        <v>109</v>
      </c>
      <c r="AK48" t="s">
        <v>114</v>
      </c>
      <c r="AM48" t="s">
        <v>114</v>
      </c>
      <c r="AN48" t="s">
        <v>132</v>
      </c>
      <c r="AQ48" t="s">
        <v>132</v>
      </c>
      <c r="AR48" t="s">
        <v>345</v>
      </c>
      <c r="AS48" s="11">
        <v>45537</v>
      </c>
      <c r="AU48" t="s">
        <v>114</v>
      </c>
      <c r="AV48" t="s">
        <v>115</v>
      </c>
      <c r="AW48" t="s">
        <v>152</v>
      </c>
      <c r="BB48" t="s">
        <v>114</v>
      </c>
      <c r="BC48" s="11">
        <v>45535</v>
      </c>
      <c r="BD48" t="s">
        <v>346</v>
      </c>
      <c r="BF48" t="s">
        <v>340</v>
      </c>
      <c r="BG48" t="s">
        <v>114</v>
      </c>
      <c r="BH48" t="str">
        <f t="shared" si="2"/>
        <v/>
      </c>
      <c r="BJ48" t="str">
        <f t="shared" si="3"/>
        <v/>
      </c>
      <c r="BK48" t="s">
        <v>137</v>
      </c>
      <c r="BL48" t="str">
        <f t="shared" si="4"/>
        <v>S35_2024</v>
      </c>
      <c r="BM48" t="s">
        <v>159</v>
      </c>
      <c r="BN48" s="11">
        <v>45535</v>
      </c>
      <c r="BO48" t="str">
        <f t="shared" si="5"/>
        <v>S35_2024</v>
      </c>
      <c r="BP48" t="s">
        <v>114</v>
      </c>
      <c r="BQ48" t="s">
        <v>118</v>
      </c>
      <c r="BU48" s="11"/>
      <c r="BW48" s="11"/>
      <c r="BX48" s="11"/>
      <c r="BY48" s="11"/>
      <c r="BZ48" s="11"/>
      <c r="CB48" s="11"/>
      <c r="CC48" s="11"/>
      <c r="CD48" s="11"/>
      <c r="CE48" s="11"/>
      <c r="CG48" s="11"/>
      <c r="CI48" t="s">
        <v>119</v>
      </c>
      <c r="CO48" t="str">
        <f t="shared" si="6"/>
        <v>NEGATIFPAS INCLUS</v>
      </c>
      <c r="CP48" s="11">
        <v>45535</v>
      </c>
      <c r="CR48">
        <f t="shared" si="8"/>
        <v>2</v>
      </c>
      <c r="CS48">
        <f t="shared" si="9"/>
        <v>-2</v>
      </c>
      <c r="CT48">
        <f t="shared" si="13"/>
        <v>1</v>
      </c>
      <c r="CU48">
        <f t="shared" si="10"/>
        <v>0</v>
      </c>
      <c r="CV48" t="str">
        <f t="shared" si="11"/>
        <v/>
      </c>
      <c r="CX48" s="11">
        <v>45534</v>
      </c>
      <c r="CY48" t="str">
        <f t="shared" si="12"/>
        <v>S35_2024</v>
      </c>
      <c r="DC48" t="s">
        <v>120</v>
      </c>
    </row>
    <row r="49" spans="1:107" x14ac:dyDescent="0.35">
      <c r="A49" t="s">
        <v>347</v>
      </c>
      <c r="B49" s="10" t="str">
        <f t="shared" si="0"/>
        <v>S36_2024</v>
      </c>
      <c r="C49" s="10" t="str">
        <f t="shared" si="1"/>
        <v>S35_2024</v>
      </c>
      <c r="D49" s="11">
        <v>45537</v>
      </c>
      <c r="E49" t="s">
        <v>106</v>
      </c>
      <c r="F49">
        <v>12</v>
      </c>
      <c r="G49" t="s">
        <v>107</v>
      </c>
      <c r="H49" t="s">
        <v>108</v>
      </c>
      <c r="J49" t="s">
        <v>109</v>
      </c>
      <c r="K49" s="12" t="s">
        <v>110</v>
      </c>
      <c r="L49" t="s">
        <v>111</v>
      </c>
      <c r="M49" t="s">
        <v>348</v>
      </c>
      <c r="N49" t="s">
        <v>349</v>
      </c>
      <c r="O49" t="s">
        <v>350</v>
      </c>
      <c r="P49" t="s">
        <v>351</v>
      </c>
      <c r="Q49" t="s">
        <v>348</v>
      </c>
      <c r="R49" s="11">
        <v>45533</v>
      </c>
      <c r="S49" s="11">
        <v>46993</v>
      </c>
      <c r="T49" s="11">
        <v>45533</v>
      </c>
      <c r="V49" t="s">
        <v>114</v>
      </c>
      <c r="W49" t="s">
        <v>114</v>
      </c>
      <c r="X49" t="s">
        <v>132</v>
      </c>
      <c r="Y49" t="s">
        <v>132</v>
      </c>
      <c r="Z49" t="s">
        <v>132</v>
      </c>
      <c r="AA49" t="s">
        <v>114</v>
      </c>
      <c r="AB49" t="s">
        <v>114</v>
      </c>
      <c r="AD49" t="s">
        <v>114</v>
      </c>
      <c r="AE49" t="s">
        <v>114</v>
      </c>
      <c r="AG49" t="s">
        <v>132</v>
      </c>
      <c r="AJ49" t="s">
        <v>352</v>
      </c>
      <c r="AM49" t="s">
        <v>132</v>
      </c>
      <c r="AN49" t="s">
        <v>114</v>
      </c>
      <c r="AQ49" t="s">
        <v>132</v>
      </c>
      <c r="AS49" s="11">
        <v>45538</v>
      </c>
      <c r="AU49" t="s">
        <v>114</v>
      </c>
      <c r="AV49" t="s">
        <v>115</v>
      </c>
      <c r="AW49" t="s">
        <v>152</v>
      </c>
      <c r="BB49" t="s">
        <v>114</v>
      </c>
      <c r="BC49" s="11">
        <v>45537</v>
      </c>
      <c r="BD49" t="s">
        <v>169</v>
      </c>
      <c r="BE49">
        <v>679141454</v>
      </c>
      <c r="BF49" t="s">
        <v>353</v>
      </c>
      <c r="BG49" t="s">
        <v>132</v>
      </c>
      <c r="BH49" t="str">
        <f t="shared" si="2"/>
        <v/>
      </c>
      <c r="BJ49" t="str">
        <f t="shared" si="3"/>
        <v/>
      </c>
      <c r="BK49" t="s">
        <v>117</v>
      </c>
      <c r="BL49" t="str">
        <f t="shared" si="4"/>
        <v>S36_2024</v>
      </c>
      <c r="BN49" s="11">
        <v>45537</v>
      </c>
      <c r="BO49" t="str">
        <f t="shared" si="5"/>
        <v>S36_2024</v>
      </c>
      <c r="BP49" t="s">
        <v>114</v>
      </c>
      <c r="BQ49" t="s">
        <v>118</v>
      </c>
      <c r="BU49" s="11"/>
      <c r="BW49" s="11"/>
      <c r="BX49" s="11"/>
      <c r="BY49" s="11"/>
      <c r="BZ49" s="11"/>
      <c r="CB49" s="11"/>
      <c r="CC49" s="11"/>
      <c r="CD49" s="11"/>
      <c r="CE49" s="11"/>
      <c r="CG49" s="11"/>
      <c r="CI49" t="s">
        <v>119</v>
      </c>
      <c r="CO49" t="str">
        <f t="shared" si="6"/>
        <v>NEGATIFPAS INCLUS</v>
      </c>
      <c r="CP49" s="11">
        <v>45537</v>
      </c>
      <c r="CR49">
        <f t="shared" si="8"/>
        <v>1</v>
      </c>
      <c r="CS49">
        <f t="shared" si="9"/>
        <v>-1</v>
      </c>
      <c r="CT49">
        <f t="shared" si="13"/>
        <v>4</v>
      </c>
      <c r="CU49" t="e">
        <f t="shared" si="10"/>
        <v>#VALUE!</v>
      </c>
      <c r="CV49" t="str">
        <f t="shared" si="11"/>
        <v/>
      </c>
      <c r="CX49" s="11">
        <v>45533</v>
      </c>
      <c r="CY49" t="str">
        <f t="shared" si="12"/>
        <v>S35_2024</v>
      </c>
      <c r="DC49" t="s">
        <v>160</v>
      </c>
    </row>
    <row r="50" spans="1:107" x14ac:dyDescent="0.35">
      <c r="A50" t="s">
        <v>354</v>
      </c>
      <c r="B50" s="10" t="str">
        <f t="shared" si="0"/>
        <v>S36_2024</v>
      </c>
      <c r="C50" s="10" t="str">
        <f t="shared" si="1"/>
        <v>S35_2024</v>
      </c>
      <c r="D50" s="11">
        <v>45537</v>
      </c>
      <c r="E50" t="s">
        <v>106</v>
      </c>
      <c r="F50">
        <v>18</v>
      </c>
      <c r="G50" t="s">
        <v>301</v>
      </c>
      <c r="H50" t="s">
        <v>108</v>
      </c>
      <c r="J50" t="s">
        <v>109</v>
      </c>
      <c r="K50" s="12" t="s">
        <v>110</v>
      </c>
      <c r="L50" t="s">
        <v>111</v>
      </c>
      <c r="M50" t="s">
        <v>348</v>
      </c>
      <c r="N50" t="s">
        <v>349</v>
      </c>
      <c r="O50" t="s">
        <v>350</v>
      </c>
      <c r="P50" t="s">
        <v>351</v>
      </c>
      <c r="Q50" t="s">
        <v>348</v>
      </c>
      <c r="R50" s="11">
        <v>45533</v>
      </c>
      <c r="S50" s="11">
        <v>45532</v>
      </c>
      <c r="T50" s="11">
        <v>45533</v>
      </c>
      <c r="V50" t="s">
        <v>150</v>
      </c>
      <c r="W50" t="s">
        <v>114</v>
      </c>
      <c r="Z50" t="s">
        <v>114</v>
      </c>
      <c r="AA50" t="s">
        <v>114</v>
      </c>
      <c r="AB50" t="s">
        <v>114</v>
      </c>
      <c r="AE50" t="s">
        <v>114</v>
      </c>
      <c r="AM50" t="s">
        <v>114</v>
      </c>
      <c r="AR50" t="s">
        <v>355</v>
      </c>
      <c r="AS50" s="11">
        <v>45539</v>
      </c>
      <c r="AU50" t="s">
        <v>114</v>
      </c>
      <c r="AV50" t="s">
        <v>115</v>
      </c>
      <c r="BB50" t="s">
        <v>114</v>
      </c>
      <c r="BC50" s="11">
        <v>45537</v>
      </c>
      <c r="BD50" t="s">
        <v>169</v>
      </c>
      <c r="BE50">
        <v>679141454</v>
      </c>
      <c r="BF50" t="s">
        <v>353</v>
      </c>
      <c r="BG50" t="s">
        <v>132</v>
      </c>
      <c r="BH50" t="str">
        <f t="shared" si="2"/>
        <v/>
      </c>
      <c r="BJ50" t="str">
        <f t="shared" si="3"/>
        <v/>
      </c>
      <c r="BK50" t="s">
        <v>117</v>
      </c>
      <c r="BL50" t="str">
        <f t="shared" si="4"/>
        <v>S36_2024</v>
      </c>
      <c r="BN50" s="11">
        <v>45537</v>
      </c>
      <c r="BO50" t="str">
        <f t="shared" si="5"/>
        <v>S36_2024</v>
      </c>
      <c r="BP50" t="s">
        <v>114</v>
      </c>
      <c r="BQ50" t="s">
        <v>118</v>
      </c>
      <c r="BU50" s="11"/>
      <c r="BW50" s="11"/>
      <c r="BX50" s="11"/>
      <c r="BY50" s="11"/>
      <c r="BZ50" s="11"/>
      <c r="CB50" s="11"/>
      <c r="CC50" s="11"/>
      <c r="CD50" s="11"/>
      <c r="CE50" s="11"/>
      <c r="CG50" s="11"/>
      <c r="CI50" t="s">
        <v>119</v>
      </c>
      <c r="CO50" t="str">
        <f t="shared" si="6"/>
        <v>NEGATIFPAS INCLUS</v>
      </c>
      <c r="CP50" s="11">
        <v>45537</v>
      </c>
      <c r="CR50">
        <f t="shared" si="8"/>
        <v>2</v>
      </c>
      <c r="CS50">
        <f t="shared" si="9"/>
        <v>-2</v>
      </c>
      <c r="CT50">
        <f t="shared" si="13"/>
        <v>4</v>
      </c>
      <c r="CU50" t="e">
        <f t="shared" si="10"/>
        <v>#VALUE!</v>
      </c>
      <c r="CV50" t="str">
        <f t="shared" si="11"/>
        <v/>
      </c>
      <c r="CX50" s="11">
        <v>45533</v>
      </c>
      <c r="CY50" t="str">
        <f t="shared" si="12"/>
        <v>S35_2024</v>
      </c>
      <c r="DC50" t="s">
        <v>160</v>
      </c>
    </row>
    <row r="51" spans="1:107" x14ac:dyDescent="0.35">
      <c r="A51" t="s">
        <v>356</v>
      </c>
      <c r="B51" s="10" t="str">
        <f t="shared" si="0"/>
        <v>S36_2024</v>
      </c>
      <c r="C51" s="10" t="str">
        <f t="shared" si="1"/>
        <v>S35_2024</v>
      </c>
      <c r="D51" s="11">
        <v>45537</v>
      </c>
      <c r="E51" t="s">
        <v>106</v>
      </c>
      <c r="F51">
        <v>11</v>
      </c>
      <c r="G51" t="s">
        <v>107</v>
      </c>
      <c r="H51" t="s">
        <v>108</v>
      </c>
      <c r="J51" t="s">
        <v>109</v>
      </c>
      <c r="K51" s="14">
        <v>45536</v>
      </c>
      <c r="L51" t="s">
        <v>126</v>
      </c>
      <c r="M51" t="s">
        <v>357</v>
      </c>
      <c r="N51" t="s">
        <v>358</v>
      </c>
      <c r="O51" t="s">
        <v>359</v>
      </c>
      <c r="P51" t="s">
        <v>360</v>
      </c>
      <c r="Q51" t="s">
        <v>357</v>
      </c>
      <c r="R51" s="11">
        <v>45533</v>
      </c>
      <c r="S51" s="11">
        <v>45533</v>
      </c>
      <c r="T51" s="11">
        <v>45533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294</v>
      </c>
      <c r="AD51" t="s">
        <v>114</v>
      </c>
      <c r="AE51" t="s">
        <v>114</v>
      </c>
      <c r="AG51" t="s">
        <v>132</v>
      </c>
      <c r="AJ51" t="s">
        <v>294</v>
      </c>
      <c r="AK51" t="s">
        <v>132</v>
      </c>
      <c r="AM51" t="s">
        <v>150</v>
      </c>
      <c r="AN51" t="s">
        <v>132</v>
      </c>
      <c r="AQ51" t="s">
        <v>132</v>
      </c>
      <c r="AR51" t="s">
        <v>361</v>
      </c>
      <c r="AS51" s="11">
        <v>45540</v>
      </c>
      <c r="AU51" t="s">
        <v>114</v>
      </c>
      <c r="AV51" t="s">
        <v>115</v>
      </c>
      <c r="AW51" t="s">
        <v>152</v>
      </c>
      <c r="AY51" t="s">
        <v>362</v>
      </c>
      <c r="BB51" t="s">
        <v>114</v>
      </c>
      <c r="BC51" s="11">
        <v>45539</v>
      </c>
      <c r="BD51" t="s">
        <v>295</v>
      </c>
      <c r="BF51" t="s">
        <v>357</v>
      </c>
      <c r="BG51" t="s">
        <v>114</v>
      </c>
      <c r="BH51" t="str">
        <f t="shared" si="2"/>
        <v/>
      </c>
      <c r="BJ51" t="str">
        <f t="shared" si="3"/>
        <v/>
      </c>
      <c r="BK51" t="s">
        <v>137</v>
      </c>
      <c r="BL51" t="str">
        <f t="shared" si="4"/>
        <v>S36_2024</v>
      </c>
      <c r="BN51" s="11">
        <v>45539</v>
      </c>
      <c r="BO51" t="str">
        <f t="shared" si="5"/>
        <v>S36_2024</v>
      </c>
      <c r="BP51" t="s">
        <v>114</v>
      </c>
      <c r="BQ51" t="s">
        <v>118</v>
      </c>
      <c r="BU51" s="11"/>
      <c r="BW51" s="11"/>
      <c r="BX51" s="11"/>
      <c r="BY51" s="11"/>
      <c r="BZ51" s="11"/>
      <c r="CB51" s="11"/>
      <c r="CC51" s="11"/>
      <c r="CD51" s="11"/>
      <c r="CE51" s="11"/>
      <c r="CG51" s="11"/>
      <c r="CI51" t="s">
        <v>119</v>
      </c>
      <c r="CO51" t="str">
        <f t="shared" si="6"/>
        <v>NEGATIFPAS INCLUS</v>
      </c>
      <c r="CP51" s="11">
        <v>45537</v>
      </c>
      <c r="CR51">
        <f t="shared" si="8"/>
        <v>1</v>
      </c>
      <c r="CS51">
        <f t="shared" si="9"/>
        <v>-1</v>
      </c>
      <c r="CT51">
        <f t="shared" si="13"/>
        <v>4</v>
      </c>
      <c r="CU51">
        <f t="shared" si="10"/>
        <v>1</v>
      </c>
      <c r="CV51" t="str">
        <f t="shared" si="11"/>
        <v/>
      </c>
      <c r="CX51" s="11">
        <v>45533</v>
      </c>
      <c r="CY51" t="str">
        <f t="shared" si="12"/>
        <v>S35_2024</v>
      </c>
      <c r="DC51" t="s">
        <v>120</v>
      </c>
    </row>
    <row r="52" spans="1:107" x14ac:dyDescent="0.35">
      <c r="A52" t="s">
        <v>363</v>
      </c>
      <c r="B52" s="10" t="str">
        <f t="shared" si="0"/>
        <v>S36_2024</v>
      </c>
      <c r="C52" s="10" t="str">
        <f t="shared" si="1"/>
        <v>S35_2024</v>
      </c>
      <c r="D52" s="11">
        <v>45537</v>
      </c>
      <c r="E52" t="s">
        <v>123</v>
      </c>
      <c r="F52">
        <v>16</v>
      </c>
      <c r="G52" t="s">
        <v>364</v>
      </c>
      <c r="H52" t="s">
        <v>108</v>
      </c>
      <c r="J52" t="s">
        <v>132</v>
      </c>
      <c r="K52" s="12"/>
      <c r="L52" t="s">
        <v>180</v>
      </c>
      <c r="M52" t="s">
        <v>365</v>
      </c>
      <c r="N52" t="s">
        <v>365</v>
      </c>
      <c r="O52" t="s">
        <v>184</v>
      </c>
      <c r="P52" t="s">
        <v>366</v>
      </c>
      <c r="Q52" t="s">
        <v>365</v>
      </c>
      <c r="R52" s="11">
        <v>45532</v>
      </c>
      <c r="S52" s="11">
        <v>45532</v>
      </c>
      <c r="T52" s="11">
        <v>45532</v>
      </c>
      <c r="V52" t="s">
        <v>150</v>
      </c>
      <c r="X52" t="s">
        <v>114</v>
      </c>
      <c r="Y52" t="s">
        <v>114</v>
      </c>
      <c r="AA52" t="s">
        <v>114</v>
      </c>
      <c r="AE52" t="s">
        <v>114</v>
      </c>
      <c r="AK52" t="s">
        <v>132</v>
      </c>
      <c r="AM52" t="s">
        <v>132</v>
      </c>
      <c r="AN52" t="s">
        <v>114</v>
      </c>
      <c r="AQ52" t="s">
        <v>132</v>
      </c>
      <c r="AU52" t="s">
        <v>114</v>
      </c>
      <c r="AV52" t="s">
        <v>115</v>
      </c>
      <c r="BB52" t="s">
        <v>114</v>
      </c>
      <c r="BC52" s="11">
        <v>45534</v>
      </c>
      <c r="BD52" t="s">
        <v>313</v>
      </c>
      <c r="BE52">
        <v>696368830</v>
      </c>
      <c r="BF52" t="s">
        <v>365</v>
      </c>
      <c r="BH52" t="str">
        <f t="shared" si="2"/>
        <v/>
      </c>
      <c r="BJ52" t="str">
        <f t="shared" si="3"/>
        <v/>
      </c>
      <c r="BK52" t="s">
        <v>180</v>
      </c>
      <c r="BL52" t="str">
        <f t="shared" si="4"/>
        <v>S35_2024</v>
      </c>
      <c r="BM52" t="s">
        <v>159</v>
      </c>
      <c r="BN52" s="11">
        <v>45534</v>
      </c>
      <c r="BO52" t="str">
        <f t="shared" si="5"/>
        <v>S35_2024</v>
      </c>
      <c r="BP52" t="s">
        <v>114</v>
      </c>
      <c r="BQ52" t="s">
        <v>118</v>
      </c>
      <c r="BW52" s="11"/>
      <c r="BX52" s="11"/>
      <c r="BY52" s="11"/>
      <c r="CB52" s="11"/>
      <c r="CC52" s="11"/>
      <c r="CD52" s="11"/>
      <c r="CG52" s="11"/>
      <c r="CI52" t="s">
        <v>119</v>
      </c>
      <c r="CO52" t="str">
        <f t="shared" si="6"/>
        <v>NEGATIFPAS INCLUS</v>
      </c>
      <c r="CP52" s="11">
        <v>45534</v>
      </c>
      <c r="CR52">
        <f t="shared" si="8"/>
        <v>-45534</v>
      </c>
      <c r="CS52">
        <f t="shared" si="9"/>
        <v>45534</v>
      </c>
      <c r="CT52">
        <f t="shared" si="13"/>
        <v>2</v>
      </c>
      <c r="CU52" t="str">
        <f t="shared" si="10"/>
        <v/>
      </c>
      <c r="CV52" t="str">
        <f t="shared" si="11"/>
        <v/>
      </c>
      <c r="CX52" s="11">
        <v>45532</v>
      </c>
      <c r="CY52" t="str">
        <f t="shared" si="12"/>
        <v>S35_2024</v>
      </c>
      <c r="DC52" t="s">
        <v>120</v>
      </c>
    </row>
    <row r="53" spans="1:107" x14ac:dyDescent="0.35">
      <c r="A53" t="s">
        <v>367</v>
      </c>
      <c r="B53" s="10" t="str">
        <f t="shared" si="0"/>
        <v>S36_2024</v>
      </c>
      <c r="C53" s="10" t="str">
        <f t="shared" si="1"/>
        <v>S35_2024</v>
      </c>
      <c r="D53" s="11">
        <v>45539</v>
      </c>
      <c r="E53" t="s">
        <v>123</v>
      </c>
      <c r="F53">
        <v>1.1000000000000001</v>
      </c>
      <c r="G53" t="s">
        <v>141</v>
      </c>
      <c r="H53" t="s">
        <v>108</v>
      </c>
      <c r="J53" t="s">
        <v>114</v>
      </c>
      <c r="K53" s="14">
        <v>45539</v>
      </c>
      <c r="L53" t="s">
        <v>180</v>
      </c>
      <c r="M53" t="s">
        <v>368</v>
      </c>
      <c r="N53" t="s">
        <v>369</v>
      </c>
      <c r="O53" t="s">
        <v>370</v>
      </c>
      <c r="P53" t="s">
        <v>371</v>
      </c>
      <c r="Q53" t="s">
        <v>368</v>
      </c>
      <c r="R53" s="11">
        <v>45531</v>
      </c>
      <c r="S53" s="11">
        <v>45531</v>
      </c>
      <c r="T53" s="11">
        <v>45531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E53" t="s">
        <v>114</v>
      </c>
      <c r="AK53" t="s">
        <v>132</v>
      </c>
      <c r="AM53" t="s">
        <v>114</v>
      </c>
      <c r="AN53" t="s">
        <v>114</v>
      </c>
      <c r="AQ53" t="s">
        <v>132</v>
      </c>
      <c r="AR53" t="s">
        <v>372</v>
      </c>
      <c r="AU53" t="s">
        <v>114</v>
      </c>
      <c r="AV53" t="s">
        <v>115</v>
      </c>
      <c r="BB53" t="s">
        <v>114</v>
      </c>
      <c r="BC53" s="11">
        <v>45539</v>
      </c>
      <c r="BD53" t="s">
        <v>373</v>
      </c>
      <c r="BF53" t="s">
        <v>369</v>
      </c>
      <c r="BH53" t="str">
        <f t="shared" si="2"/>
        <v/>
      </c>
      <c r="BJ53" t="str">
        <f t="shared" si="3"/>
        <v/>
      </c>
      <c r="BK53" t="s">
        <v>180</v>
      </c>
      <c r="BL53" t="str">
        <f t="shared" si="4"/>
        <v>S36_2024</v>
      </c>
      <c r="BM53" t="s">
        <v>159</v>
      </c>
      <c r="BN53" s="11">
        <v>45539</v>
      </c>
      <c r="BO53" t="str">
        <f t="shared" si="5"/>
        <v>S36_2024</v>
      </c>
      <c r="BP53" t="s">
        <v>114</v>
      </c>
      <c r="BQ53" t="s">
        <v>118</v>
      </c>
      <c r="BW53" s="11"/>
      <c r="BX53" s="11"/>
      <c r="BY53" s="11"/>
      <c r="CB53" s="11"/>
      <c r="CC53" s="11"/>
      <c r="CD53" s="11"/>
      <c r="CG53" s="11"/>
      <c r="CI53" t="s">
        <v>119</v>
      </c>
      <c r="CO53" t="str">
        <f t="shared" si="6"/>
        <v>NEGATIFPAS INCLUS</v>
      </c>
      <c r="CP53" s="11">
        <v>45539</v>
      </c>
      <c r="CR53">
        <f t="shared" si="8"/>
        <v>-45539</v>
      </c>
      <c r="CS53">
        <f t="shared" si="9"/>
        <v>45539</v>
      </c>
      <c r="CT53">
        <f t="shared" si="13"/>
        <v>8</v>
      </c>
      <c r="CU53">
        <f t="shared" si="10"/>
        <v>0</v>
      </c>
      <c r="CV53" t="str">
        <f t="shared" si="11"/>
        <v/>
      </c>
      <c r="CX53" s="11">
        <v>45531</v>
      </c>
      <c r="CY53" t="str">
        <f t="shared" si="12"/>
        <v>S35_2024</v>
      </c>
      <c r="DC53" t="s">
        <v>120</v>
      </c>
    </row>
    <row r="54" spans="1:107" x14ac:dyDescent="0.35">
      <c r="A54" t="s">
        <v>374</v>
      </c>
      <c r="B54" s="10" t="str">
        <f t="shared" si="0"/>
        <v>S36_2024</v>
      </c>
      <c r="C54" s="10" t="str">
        <f t="shared" si="1"/>
        <v>S35_2024</v>
      </c>
      <c r="D54" s="11">
        <v>45539</v>
      </c>
      <c r="E54" t="s">
        <v>123</v>
      </c>
      <c r="F54">
        <v>40</v>
      </c>
      <c r="G54" t="s">
        <v>375</v>
      </c>
      <c r="H54" t="s">
        <v>108</v>
      </c>
      <c r="J54" t="s">
        <v>109</v>
      </c>
      <c r="K54" s="14">
        <v>45539</v>
      </c>
      <c r="L54" t="s">
        <v>248</v>
      </c>
      <c r="M54" t="s">
        <v>376</v>
      </c>
      <c r="N54" t="s">
        <v>377</v>
      </c>
      <c r="O54" t="s">
        <v>378</v>
      </c>
      <c r="P54" t="s">
        <v>379</v>
      </c>
      <c r="Q54" t="s">
        <v>376</v>
      </c>
      <c r="R54" s="11">
        <v>45535</v>
      </c>
      <c r="S54" s="11">
        <v>45535</v>
      </c>
      <c r="T54" s="11">
        <v>45535</v>
      </c>
      <c r="V54" t="s">
        <v>109</v>
      </c>
      <c r="W54" t="s">
        <v>114</v>
      </c>
      <c r="X54" t="s">
        <v>109</v>
      </c>
      <c r="Y54" t="s">
        <v>109</v>
      </c>
      <c r="Z54" t="s">
        <v>114</v>
      </c>
      <c r="AA54" t="s">
        <v>150</v>
      </c>
      <c r="AB54" t="s">
        <v>109</v>
      </c>
      <c r="AC54" t="s">
        <v>114</v>
      </c>
      <c r="AD54">
        <v>7</v>
      </c>
      <c r="AE54" t="s">
        <v>114</v>
      </c>
      <c r="AF54" t="s">
        <v>109</v>
      </c>
      <c r="AG54" t="s">
        <v>109</v>
      </c>
      <c r="AJ54" t="s">
        <v>380</v>
      </c>
      <c r="AK54" t="s">
        <v>114</v>
      </c>
      <c r="AM54" t="s">
        <v>114</v>
      </c>
      <c r="AN54" t="s">
        <v>132</v>
      </c>
      <c r="AQ54" t="s">
        <v>132</v>
      </c>
      <c r="AR54" t="s">
        <v>381</v>
      </c>
      <c r="AU54" t="s">
        <v>114</v>
      </c>
      <c r="AV54" t="s">
        <v>115</v>
      </c>
      <c r="AW54" t="s">
        <v>152</v>
      </c>
      <c r="BB54" t="s">
        <v>114</v>
      </c>
      <c r="BC54" s="11">
        <v>45539</v>
      </c>
      <c r="BD54" t="s">
        <v>382</v>
      </c>
      <c r="BF54" t="s">
        <v>383</v>
      </c>
      <c r="BG54" t="s">
        <v>114</v>
      </c>
      <c r="BH54" t="str">
        <f t="shared" si="2"/>
        <v/>
      </c>
      <c r="BJ54" t="str">
        <f t="shared" si="3"/>
        <v/>
      </c>
      <c r="BK54" t="s">
        <v>253</v>
      </c>
      <c r="BL54" t="str">
        <f t="shared" si="4"/>
        <v>S36_2024</v>
      </c>
      <c r="BN54" s="11">
        <v>45539</v>
      </c>
      <c r="BO54" t="str">
        <f t="shared" si="5"/>
        <v>S36_2024</v>
      </c>
      <c r="BP54" t="s">
        <v>114</v>
      </c>
      <c r="BQ54" t="s">
        <v>118</v>
      </c>
      <c r="BW54" s="11"/>
      <c r="BX54" s="11"/>
      <c r="BY54" s="11"/>
      <c r="CB54" s="11"/>
      <c r="CC54" s="11"/>
      <c r="CD54" s="11"/>
      <c r="CG54" s="11"/>
      <c r="CI54" t="s">
        <v>119</v>
      </c>
      <c r="CO54" t="str">
        <f t="shared" si="6"/>
        <v>NEGATIFPAS INCLUS</v>
      </c>
      <c r="CP54" s="11">
        <v>45539</v>
      </c>
      <c r="CR54">
        <f t="shared" si="8"/>
        <v>-45539</v>
      </c>
      <c r="CS54">
        <f t="shared" si="9"/>
        <v>45539</v>
      </c>
      <c r="CT54">
        <f t="shared" si="13"/>
        <v>4</v>
      </c>
      <c r="CU54">
        <f t="shared" si="10"/>
        <v>0</v>
      </c>
      <c r="CV54" t="str">
        <f t="shared" si="11"/>
        <v/>
      </c>
      <c r="CX54" s="11">
        <v>45535</v>
      </c>
      <c r="CY54" t="str">
        <f t="shared" si="12"/>
        <v>S35_2024</v>
      </c>
      <c r="DC54" t="s">
        <v>120</v>
      </c>
    </row>
    <row r="55" spans="1:107" x14ac:dyDescent="0.35">
      <c r="A55" t="s">
        <v>384</v>
      </c>
      <c r="B55" s="10" t="str">
        <f t="shared" si="0"/>
        <v>S36_2024</v>
      </c>
      <c r="C55" s="10" t="str">
        <f t="shared" si="1"/>
        <v>S35_2024</v>
      </c>
      <c r="D55" s="11">
        <v>45540</v>
      </c>
      <c r="E55" t="s">
        <v>123</v>
      </c>
      <c r="F55">
        <v>22</v>
      </c>
      <c r="G55" t="s">
        <v>107</v>
      </c>
      <c r="H55" t="s">
        <v>108</v>
      </c>
      <c r="J55" t="s">
        <v>109</v>
      </c>
      <c r="K55" s="14">
        <v>45539</v>
      </c>
      <c r="L55" t="s">
        <v>111</v>
      </c>
      <c r="M55" t="s">
        <v>385</v>
      </c>
      <c r="N55" t="s">
        <v>386</v>
      </c>
      <c r="O55" t="s">
        <v>387</v>
      </c>
      <c r="P55" t="s">
        <v>388</v>
      </c>
      <c r="Q55" t="s">
        <v>385</v>
      </c>
      <c r="R55" s="15">
        <v>45536</v>
      </c>
      <c r="S55" s="15">
        <v>45535</v>
      </c>
      <c r="T55" s="11">
        <v>45536</v>
      </c>
      <c r="V55" t="s">
        <v>150</v>
      </c>
      <c r="W55" t="s">
        <v>114</v>
      </c>
      <c r="X55" t="s">
        <v>109</v>
      </c>
      <c r="Y55" t="s">
        <v>389</v>
      </c>
      <c r="Z55" t="s">
        <v>150</v>
      </c>
      <c r="AA55" t="s">
        <v>389</v>
      </c>
      <c r="AB55" t="s">
        <v>109</v>
      </c>
      <c r="AD55" t="s">
        <v>114</v>
      </c>
      <c r="AE55" t="s">
        <v>114</v>
      </c>
      <c r="AF55" t="s">
        <v>109</v>
      </c>
      <c r="AG55" t="s">
        <v>109</v>
      </c>
      <c r="AJ55" t="s">
        <v>390</v>
      </c>
      <c r="AM55" t="s">
        <v>132</v>
      </c>
      <c r="AN55" t="s">
        <v>114</v>
      </c>
      <c r="AQ55" t="s">
        <v>132</v>
      </c>
      <c r="AR55" t="s">
        <v>391</v>
      </c>
      <c r="AS55" s="11">
        <v>45540</v>
      </c>
      <c r="AU55" t="s">
        <v>114</v>
      </c>
      <c r="AV55" t="s">
        <v>134</v>
      </c>
      <c r="AW55" t="s">
        <v>152</v>
      </c>
      <c r="AY55" t="s">
        <v>135</v>
      </c>
      <c r="BB55" t="s">
        <v>114</v>
      </c>
      <c r="BC55" s="11">
        <v>45540</v>
      </c>
      <c r="BD55" t="s">
        <v>392</v>
      </c>
      <c r="BH55" t="str">
        <f t="shared" si="2"/>
        <v/>
      </c>
      <c r="BI55" s="11">
        <v>45540</v>
      </c>
      <c r="BJ55" t="str">
        <f t="shared" si="3"/>
        <v>S36_2024</v>
      </c>
      <c r="BK55" t="s">
        <v>117</v>
      </c>
      <c r="BL55" t="str">
        <f t="shared" si="4"/>
        <v>S36_2024</v>
      </c>
      <c r="BN55" s="11">
        <v>45540</v>
      </c>
      <c r="BO55" t="str">
        <f t="shared" si="5"/>
        <v>S36_2024</v>
      </c>
      <c r="BP55" t="s">
        <v>114</v>
      </c>
      <c r="BQ55" t="s">
        <v>118</v>
      </c>
      <c r="BW55" s="11"/>
      <c r="BX55" s="11"/>
      <c r="BY55" s="11"/>
      <c r="CB55" s="11"/>
      <c r="CC55" s="11"/>
      <c r="CD55" s="11"/>
      <c r="CG55" s="11"/>
      <c r="CI55" t="s">
        <v>119</v>
      </c>
      <c r="CK55" t="s">
        <v>138</v>
      </c>
      <c r="CO55" t="str">
        <f t="shared" si="6"/>
        <v>POSITIFPAS INCLUS</v>
      </c>
      <c r="CP55" s="11">
        <v>45540</v>
      </c>
      <c r="CR55">
        <f t="shared" si="8"/>
        <v>0</v>
      </c>
      <c r="CS55">
        <f t="shared" si="9"/>
        <v>0</v>
      </c>
      <c r="CT55">
        <f t="shared" si="13"/>
        <v>4</v>
      </c>
      <c r="CU55">
        <f t="shared" si="10"/>
        <v>1</v>
      </c>
      <c r="CV55">
        <f t="shared" si="11"/>
        <v>4</v>
      </c>
      <c r="CX55" s="15">
        <v>45536</v>
      </c>
      <c r="CY55" t="str">
        <f t="shared" si="12"/>
        <v>S35_2024</v>
      </c>
      <c r="DC55" t="s">
        <v>139</v>
      </c>
    </row>
    <row r="56" spans="1:107" x14ac:dyDescent="0.35">
      <c r="A56" t="s">
        <v>393</v>
      </c>
      <c r="B56" s="10" t="str">
        <f t="shared" si="0"/>
        <v>S36_2024</v>
      </c>
      <c r="C56" s="10" t="str">
        <f t="shared" si="1"/>
        <v>S36_2024</v>
      </c>
      <c r="D56" s="11">
        <v>45540</v>
      </c>
      <c r="E56" t="s">
        <v>123</v>
      </c>
      <c r="F56">
        <v>8</v>
      </c>
      <c r="G56" t="s">
        <v>107</v>
      </c>
      <c r="H56" t="s">
        <v>108</v>
      </c>
      <c r="J56" t="s">
        <v>109</v>
      </c>
      <c r="K56" s="12" t="s">
        <v>110</v>
      </c>
      <c r="L56" t="s">
        <v>111</v>
      </c>
      <c r="M56" t="s">
        <v>143</v>
      </c>
      <c r="N56" t="s">
        <v>394</v>
      </c>
      <c r="O56" t="s">
        <v>395</v>
      </c>
      <c r="P56" t="s">
        <v>396</v>
      </c>
      <c r="Q56" t="s">
        <v>143</v>
      </c>
      <c r="R56" s="11">
        <v>45537</v>
      </c>
      <c r="S56" t="s">
        <v>397</v>
      </c>
      <c r="T56" s="11">
        <v>45537</v>
      </c>
      <c r="V56" t="s">
        <v>109</v>
      </c>
      <c r="W56" t="s">
        <v>114</v>
      </c>
      <c r="X56" t="s">
        <v>150</v>
      </c>
      <c r="Y56" t="s">
        <v>150</v>
      </c>
      <c r="Z56" t="s">
        <v>114</v>
      </c>
      <c r="AA56" t="s">
        <v>150</v>
      </c>
      <c r="AB56" t="s">
        <v>109</v>
      </c>
      <c r="AC56" t="s">
        <v>397</v>
      </c>
      <c r="AD56" t="s">
        <v>132</v>
      </c>
      <c r="AE56" t="s">
        <v>132</v>
      </c>
      <c r="AG56" t="s">
        <v>132</v>
      </c>
      <c r="AJ56" t="s">
        <v>398</v>
      </c>
      <c r="AM56" t="s">
        <v>132</v>
      </c>
      <c r="AN56" t="s">
        <v>114</v>
      </c>
      <c r="AQ56" t="s">
        <v>132</v>
      </c>
      <c r="AS56" s="11">
        <v>45551</v>
      </c>
      <c r="AU56" t="s">
        <v>114</v>
      </c>
      <c r="AV56" t="s">
        <v>115</v>
      </c>
      <c r="BB56" t="s">
        <v>114</v>
      </c>
      <c r="BC56" s="11">
        <v>45540</v>
      </c>
      <c r="BD56" t="s">
        <v>399</v>
      </c>
      <c r="BG56" t="s">
        <v>109</v>
      </c>
      <c r="BH56" t="str">
        <f t="shared" si="2"/>
        <v/>
      </c>
      <c r="BJ56" t="str">
        <f t="shared" si="3"/>
        <v/>
      </c>
      <c r="BK56" t="s">
        <v>117</v>
      </c>
      <c r="BL56" t="str">
        <f t="shared" si="4"/>
        <v>S36_2024</v>
      </c>
      <c r="BN56" s="11">
        <v>45540</v>
      </c>
      <c r="BO56" t="str">
        <f t="shared" si="5"/>
        <v>S36_2024</v>
      </c>
      <c r="BP56" t="s">
        <v>114</v>
      </c>
      <c r="BQ56" t="s">
        <v>118</v>
      </c>
      <c r="BU56" s="11"/>
      <c r="BW56" s="11"/>
      <c r="BX56" s="11"/>
      <c r="BY56" s="11"/>
      <c r="BZ56" s="11"/>
      <c r="CB56" s="11"/>
      <c r="CC56" s="11"/>
      <c r="CD56" s="11"/>
      <c r="CE56" s="11"/>
      <c r="CG56" s="11"/>
      <c r="CI56" t="s">
        <v>119</v>
      </c>
      <c r="CO56" t="str">
        <f t="shared" si="6"/>
        <v>NEGATIFPAS INCLUS</v>
      </c>
      <c r="CP56" s="11">
        <v>45540</v>
      </c>
      <c r="CR56">
        <f t="shared" si="8"/>
        <v>11</v>
      </c>
      <c r="CS56">
        <f t="shared" si="9"/>
        <v>-11</v>
      </c>
      <c r="CT56">
        <f t="shared" si="13"/>
        <v>3</v>
      </c>
      <c r="CU56" t="e">
        <f t="shared" si="10"/>
        <v>#VALUE!</v>
      </c>
      <c r="CV56" t="str">
        <f t="shared" si="11"/>
        <v/>
      </c>
      <c r="CX56" s="11">
        <v>45537</v>
      </c>
      <c r="CY56" t="str">
        <f t="shared" si="12"/>
        <v>S36_2024</v>
      </c>
      <c r="DC56" t="s">
        <v>120</v>
      </c>
    </row>
    <row r="57" spans="1:107" x14ac:dyDescent="0.35">
      <c r="A57" t="s">
        <v>400</v>
      </c>
      <c r="B57" s="10" t="str">
        <f t="shared" si="0"/>
        <v>S36_2024</v>
      </c>
      <c r="C57" s="10" t="str">
        <f t="shared" si="1"/>
        <v/>
      </c>
      <c r="D57" s="11">
        <v>45541</v>
      </c>
      <c r="E57" t="s">
        <v>106</v>
      </c>
      <c r="F57"/>
      <c r="G57" t="s">
        <v>323</v>
      </c>
      <c r="H57" t="s">
        <v>108</v>
      </c>
      <c r="J57" t="s">
        <v>142</v>
      </c>
      <c r="K57" s="12"/>
      <c r="L57" t="s">
        <v>248</v>
      </c>
      <c r="M57" t="s">
        <v>401</v>
      </c>
      <c r="N57" t="s">
        <v>402</v>
      </c>
      <c r="P57" t="s">
        <v>403</v>
      </c>
      <c r="Q57" t="s">
        <v>401</v>
      </c>
      <c r="V57" t="s">
        <v>132</v>
      </c>
      <c r="AK57" t="s">
        <v>114</v>
      </c>
      <c r="AQ57" t="s">
        <v>132</v>
      </c>
      <c r="AR57" t="s">
        <v>404</v>
      </c>
      <c r="BH57" t="str">
        <f t="shared" si="2"/>
        <v/>
      </c>
      <c r="BJ57" t="str">
        <f t="shared" si="3"/>
        <v/>
      </c>
      <c r="BK57" t="s">
        <v>253</v>
      </c>
      <c r="BL57" t="str">
        <f t="shared" si="4"/>
        <v/>
      </c>
      <c r="BM57" t="s">
        <v>159</v>
      </c>
      <c r="BO57" t="str">
        <f t="shared" si="5"/>
        <v/>
      </c>
      <c r="CI57" t="s">
        <v>119</v>
      </c>
      <c r="CO57" t="str">
        <f t="shared" si="6"/>
        <v>PAS INCLUS</v>
      </c>
      <c r="CP57" s="11">
        <v>45541</v>
      </c>
      <c r="CR57" t="str">
        <f t="shared" si="8"/>
        <v/>
      </c>
      <c r="CS57" t="str">
        <f t="shared" si="9"/>
        <v/>
      </c>
      <c r="CT57">
        <f t="shared" si="13"/>
        <v>45541</v>
      </c>
      <c r="CU57">
        <f t="shared" si="10"/>
        <v>45541</v>
      </c>
      <c r="CV57" t="str">
        <f t="shared" si="11"/>
        <v/>
      </c>
      <c r="CY57" t="str">
        <f t="shared" si="12"/>
        <v/>
      </c>
      <c r="DB57" t="s">
        <v>114</v>
      </c>
      <c r="DC57" t="s">
        <v>160</v>
      </c>
    </row>
    <row r="58" spans="1:107" x14ac:dyDescent="0.35">
      <c r="A58" t="s">
        <v>405</v>
      </c>
      <c r="B58" s="10" t="str">
        <f t="shared" si="0"/>
        <v>S36_2024</v>
      </c>
      <c r="C58" s="10" t="str">
        <f t="shared" si="1"/>
        <v>S35_2024</v>
      </c>
      <c r="D58" s="11">
        <v>45543</v>
      </c>
      <c r="E58" t="s">
        <v>123</v>
      </c>
      <c r="F58" s="17">
        <v>24</v>
      </c>
      <c r="G58" s="16" t="s">
        <v>259</v>
      </c>
      <c r="H58" t="s">
        <v>108</v>
      </c>
      <c r="J58" s="16" t="s">
        <v>114</v>
      </c>
      <c r="K58" s="14">
        <v>45538</v>
      </c>
      <c r="L58" t="s">
        <v>111</v>
      </c>
      <c r="M58" t="s">
        <v>112</v>
      </c>
      <c r="N58" s="16" t="s">
        <v>304</v>
      </c>
      <c r="O58" t="s">
        <v>406</v>
      </c>
      <c r="P58" s="16" t="s">
        <v>407</v>
      </c>
      <c r="Q58" t="s">
        <v>348</v>
      </c>
      <c r="R58" s="11">
        <v>45533</v>
      </c>
      <c r="S58" s="11">
        <v>45533</v>
      </c>
      <c r="T58" s="11">
        <v>45533</v>
      </c>
      <c r="AE58" s="16" t="s">
        <v>114</v>
      </c>
      <c r="AG58" s="16" t="s">
        <v>114</v>
      </c>
      <c r="AK58" s="16" t="s">
        <v>114</v>
      </c>
      <c r="AL58" s="16"/>
      <c r="AM58" s="16" t="s">
        <v>132</v>
      </c>
      <c r="AN58" s="16" t="s">
        <v>132</v>
      </c>
      <c r="AO58" s="16"/>
      <c r="AQ58" s="16" t="s">
        <v>132</v>
      </c>
      <c r="AU58" t="s">
        <v>114</v>
      </c>
      <c r="AV58" t="s">
        <v>115</v>
      </c>
      <c r="BB58" s="16" t="s">
        <v>114</v>
      </c>
      <c r="BC58" s="11">
        <v>45543</v>
      </c>
      <c r="BD58" t="s">
        <v>284</v>
      </c>
      <c r="BE58">
        <v>686248900</v>
      </c>
      <c r="BF58" s="16" t="s">
        <v>407</v>
      </c>
      <c r="BH58" t="str">
        <f t="shared" si="2"/>
        <v/>
      </c>
      <c r="BJ58" t="str">
        <f t="shared" si="3"/>
        <v/>
      </c>
      <c r="BK58" t="s">
        <v>117</v>
      </c>
      <c r="BL58" t="str">
        <f t="shared" si="4"/>
        <v>S36_2024</v>
      </c>
      <c r="BM58" t="s">
        <v>159</v>
      </c>
      <c r="BN58" s="11">
        <v>45543</v>
      </c>
      <c r="BO58" t="str">
        <f t="shared" si="5"/>
        <v>S36_2024</v>
      </c>
      <c r="BP58" t="s">
        <v>114</v>
      </c>
      <c r="BQ58" t="s">
        <v>118</v>
      </c>
      <c r="BW58" s="11"/>
      <c r="BX58" s="11"/>
      <c r="BY58" s="11"/>
      <c r="CB58" s="11"/>
      <c r="CC58" s="11"/>
      <c r="CD58" s="11"/>
      <c r="CG58" s="11"/>
      <c r="CI58" t="s">
        <v>119</v>
      </c>
      <c r="CO58" t="str">
        <f t="shared" si="6"/>
        <v>NEGATIFPAS INCLUS</v>
      </c>
      <c r="CP58" s="11">
        <v>45543</v>
      </c>
      <c r="CR58">
        <f t="shared" si="8"/>
        <v>-45543</v>
      </c>
      <c r="CS58">
        <f t="shared" si="9"/>
        <v>45543</v>
      </c>
      <c r="CT58">
        <f t="shared" si="13"/>
        <v>10</v>
      </c>
      <c r="CU58">
        <f t="shared" si="10"/>
        <v>5</v>
      </c>
      <c r="CV58" t="str">
        <f t="shared" si="11"/>
        <v/>
      </c>
      <c r="CX58" s="11">
        <v>45533</v>
      </c>
      <c r="CY58" t="str">
        <f t="shared" si="12"/>
        <v>S35_2024</v>
      </c>
      <c r="DC58" t="s">
        <v>120</v>
      </c>
    </row>
    <row r="59" spans="1:107" x14ac:dyDescent="0.35">
      <c r="A59" t="s">
        <v>408</v>
      </c>
      <c r="B59" s="10" t="str">
        <f t="shared" si="0"/>
        <v>S37_2024</v>
      </c>
      <c r="C59" s="10" t="str">
        <f t="shared" si="1"/>
        <v>S37_2024</v>
      </c>
      <c r="D59" s="11">
        <v>45544</v>
      </c>
      <c r="E59" t="s">
        <v>123</v>
      </c>
      <c r="F59">
        <v>44</v>
      </c>
      <c r="G59" t="s">
        <v>162</v>
      </c>
      <c r="H59" t="s">
        <v>108</v>
      </c>
      <c r="J59" t="s">
        <v>109</v>
      </c>
      <c r="K59" s="14">
        <v>45548</v>
      </c>
      <c r="L59" t="s">
        <v>248</v>
      </c>
      <c r="M59" t="s">
        <v>409</v>
      </c>
      <c r="N59" t="s">
        <v>410</v>
      </c>
      <c r="O59" t="s">
        <v>411</v>
      </c>
      <c r="P59" t="s">
        <v>412</v>
      </c>
      <c r="Q59" t="s">
        <v>409</v>
      </c>
      <c r="R59" s="11">
        <v>45544</v>
      </c>
      <c r="S59" s="11">
        <v>45544</v>
      </c>
      <c r="T59" s="11">
        <v>45544</v>
      </c>
      <c r="V59" t="s">
        <v>109</v>
      </c>
      <c r="W59" t="s">
        <v>109</v>
      </c>
      <c r="X59" t="s">
        <v>109</v>
      </c>
      <c r="Y59" t="s">
        <v>109</v>
      </c>
      <c r="Z59" t="s">
        <v>114</v>
      </c>
      <c r="AA59" t="s">
        <v>150</v>
      </c>
      <c r="AB59" t="s">
        <v>109</v>
      </c>
      <c r="AC59" t="s">
        <v>114</v>
      </c>
      <c r="AD59">
        <v>7</v>
      </c>
      <c r="AE59" t="s">
        <v>114</v>
      </c>
      <c r="AF59" t="s">
        <v>109</v>
      </c>
      <c r="AG59" t="s">
        <v>109</v>
      </c>
      <c r="AK59" t="s">
        <v>114</v>
      </c>
      <c r="AM59" t="s">
        <v>114</v>
      </c>
      <c r="AN59" t="s">
        <v>132</v>
      </c>
      <c r="AQ59" t="s">
        <v>132</v>
      </c>
      <c r="AR59" t="s">
        <v>413</v>
      </c>
      <c r="AS59" s="11">
        <v>45551</v>
      </c>
      <c r="AU59" t="s">
        <v>114</v>
      </c>
      <c r="AV59" t="s">
        <v>115</v>
      </c>
      <c r="BB59" t="s">
        <v>114</v>
      </c>
      <c r="BC59" s="11">
        <v>45549</v>
      </c>
      <c r="BD59" t="s">
        <v>414</v>
      </c>
      <c r="BF59" t="s">
        <v>415</v>
      </c>
      <c r="BG59" t="s">
        <v>114</v>
      </c>
      <c r="BH59" t="str">
        <f t="shared" si="2"/>
        <v/>
      </c>
      <c r="BJ59" t="str">
        <f t="shared" si="3"/>
        <v/>
      </c>
      <c r="BK59" t="s">
        <v>253</v>
      </c>
      <c r="BL59" t="str">
        <f t="shared" si="4"/>
        <v>S37_2024</v>
      </c>
      <c r="BN59" s="11">
        <v>45549</v>
      </c>
      <c r="BO59" t="str">
        <f t="shared" si="5"/>
        <v>S37_2024</v>
      </c>
      <c r="BP59" t="s">
        <v>114</v>
      </c>
      <c r="BQ59" t="s">
        <v>118</v>
      </c>
      <c r="BU59" s="11"/>
      <c r="BW59" s="11"/>
      <c r="BX59" s="11"/>
      <c r="BY59" s="11"/>
      <c r="BZ59" s="11"/>
      <c r="CB59" s="11"/>
      <c r="CC59" s="11"/>
      <c r="CD59" s="11"/>
      <c r="CE59" s="11"/>
      <c r="CG59" s="11"/>
      <c r="CI59" t="s">
        <v>119</v>
      </c>
      <c r="CO59" t="str">
        <f t="shared" si="6"/>
        <v>NEGATIFPAS INCLUS</v>
      </c>
      <c r="CP59" s="11">
        <v>45544</v>
      </c>
      <c r="CR59">
        <f t="shared" si="8"/>
        <v>2</v>
      </c>
      <c r="CS59">
        <f t="shared" si="9"/>
        <v>-2</v>
      </c>
      <c r="CT59">
        <f t="shared" si="13"/>
        <v>0</v>
      </c>
      <c r="CU59">
        <f t="shared" si="10"/>
        <v>-4</v>
      </c>
      <c r="CV59" t="str">
        <f t="shared" si="11"/>
        <v/>
      </c>
      <c r="CX59" s="11">
        <v>45544</v>
      </c>
      <c r="CY59" t="str">
        <f t="shared" si="12"/>
        <v>S37_2024</v>
      </c>
      <c r="DC59" t="s">
        <v>120</v>
      </c>
    </row>
    <row r="60" spans="1:107" x14ac:dyDescent="0.35">
      <c r="A60" t="s">
        <v>416</v>
      </c>
      <c r="B60" s="10" t="str">
        <f t="shared" si="0"/>
        <v>S37_2024</v>
      </c>
      <c r="C60" s="10" t="str">
        <f t="shared" si="1"/>
        <v>S36_2024</v>
      </c>
      <c r="D60" s="11">
        <v>45544</v>
      </c>
      <c r="E60" t="s">
        <v>123</v>
      </c>
      <c r="F60">
        <v>48</v>
      </c>
      <c r="G60" t="s">
        <v>417</v>
      </c>
      <c r="H60" t="s">
        <v>108</v>
      </c>
      <c r="J60" t="s">
        <v>114</v>
      </c>
      <c r="K60" s="12" t="s">
        <v>110</v>
      </c>
      <c r="L60" t="s">
        <v>126</v>
      </c>
      <c r="M60" t="s">
        <v>357</v>
      </c>
      <c r="N60" t="s">
        <v>358</v>
      </c>
      <c r="O60" t="s">
        <v>359</v>
      </c>
      <c r="P60" t="s">
        <v>418</v>
      </c>
      <c r="Q60" t="s">
        <v>357</v>
      </c>
      <c r="R60" s="11">
        <v>45538</v>
      </c>
      <c r="S60" s="11">
        <v>45538</v>
      </c>
      <c r="T60" s="11">
        <v>45538</v>
      </c>
      <c r="V60" t="s">
        <v>150</v>
      </c>
      <c r="W60" t="s">
        <v>114</v>
      </c>
      <c r="X60" t="s">
        <v>132</v>
      </c>
      <c r="Y60" t="s">
        <v>132</v>
      </c>
      <c r="Z60" t="s">
        <v>132</v>
      </c>
      <c r="AA60" t="s">
        <v>114</v>
      </c>
      <c r="AB60" t="s">
        <v>114</v>
      </c>
      <c r="AC60" t="s">
        <v>294</v>
      </c>
      <c r="AD60" t="s">
        <v>114</v>
      </c>
      <c r="AE60" t="s">
        <v>114</v>
      </c>
      <c r="AG60" t="s">
        <v>114</v>
      </c>
      <c r="AJ60" t="s">
        <v>294</v>
      </c>
      <c r="AM60" t="s">
        <v>114</v>
      </c>
      <c r="AN60" t="s">
        <v>114</v>
      </c>
      <c r="AQ60" t="s">
        <v>132</v>
      </c>
      <c r="AU60" t="s">
        <v>114</v>
      </c>
      <c r="AV60" t="s">
        <v>115</v>
      </c>
      <c r="BB60" t="s">
        <v>114</v>
      </c>
      <c r="BC60" s="11">
        <v>45544</v>
      </c>
      <c r="BD60" t="s">
        <v>295</v>
      </c>
      <c r="BH60" t="str">
        <f t="shared" si="2"/>
        <v/>
      </c>
      <c r="BJ60" t="str">
        <f t="shared" si="3"/>
        <v/>
      </c>
      <c r="BK60" t="s">
        <v>137</v>
      </c>
      <c r="BL60" t="str">
        <f t="shared" si="4"/>
        <v>S37_2024</v>
      </c>
      <c r="BM60" t="s">
        <v>159</v>
      </c>
      <c r="BN60" s="11">
        <v>45544</v>
      </c>
      <c r="BO60" t="str">
        <f t="shared" si="5"/>
        <v>S37_2024</v>
      </c>
      <c r="BP60" t="s">
        <v>114</v>
      </c>
      <c r="BQ60" t="s">
        <v>118</v>
      </c>
      <c r="BW60" s="11"/>
      <c r="BX60" s="11"/>
      <c r="BY60" s="11"/>
      <c r="CB60" s="11"/>
      <c r="CC60" s="11"/>
      <c r="CD60" s="11"/>
      <c r="CG60" s="11"/>
      <c r="CI60" t="s">
        <v>119</v>
      </c>
      <c r="CO60" t="str">
        <f t="shared" si="6"/>
        <v>NEGATIFPAS INCLUS</v>
      </c>
      <c r="CP60" s="11">
        <v>45544</v>
      </c>
      <c r="CR60">
        <f t="shared" si="8"/>
        <v>-45544</v>
      </c>
      <c r="CS60">
        <f t="shared" si="9"/>
        <v>45544</v>
      </c>
      <c r="CT60">
        <f t="shared" si="13"/>
        <v>6</v>
      </c>
      <c r="CU60" t="e">
        <f t="shared" si="10"/>
        <v>#VALUE!</v>
      </c>
      <c r="CV60" t="str">
        <f t="shared" si="11"/>
        <v/>
      </c>
      <c r="CX60" s="11">
        <v>45538</v>
      </c>
      <c r="CY60" t="str">
        <f t="shared" si="12"/>
        <v>S36_2024</v>
      </c>
      <c r="DC60" t="s">
        <v>120</v>
      </c>
    </row>
    <row r="61" spans="1:107" x14ac:dyDescent="0.35">
      <c r="A61" t="s">
        <v>419</v>
      </c>
      <c r="B61" s="10" t="str">
        <f t="shared" si="0"/>
        <v>S37_2024</v>
      </c>
      <c r="C61" s="10" t="str">
        <f t="shared" si="1"/>
        <v>S35_2024</v>
      </c>
      <c r="D61" s="11">
        <v>45545</v>
      </c>
      <c r="E61" t="s">
        <v>123</v>
      </c>
      <c r="F61">
        <v>13</v>
      </c>
      <c r="G61" t="s">
        <v>107</v>
      </c>
      <c r="H61" t="s">
        <v>108</v>
      </c>
      <c r="J61" t="s">
        <v>132</v>
      </c>
      <c r="K61" s="12"/>
      <c r="L61" t="s">
        <v>182</v>
      </c>
      <c r="M61" t="s">
        <v>420</v>
      </c>
      <c r="N61" t="s">
        <v>421</v>
      </c>
      <c r="O61" t="s">
        <v>184</v>
      </c>
      <c r="P61" t="s">
        <v>110</v>
      </c>
      <c r="Q61" t="s">
        <v>422</v>
      </c>
      <c r="R61" s="11">
        <v>45530</v>
      </c>
      <c r="S61" s="11">
        <v>45530</v>
      </c>
      <c r="T61" s="11">
        <v>45530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Q61" t="s">
        <v>132</v>
      </c>
      <c r="AR61" t="s">
        <v>423</v>
      </c>
      <c r="AS61" s="11">
        <v>45548</v>
      </c>
      <c r="AU61" t="s">
        <v>114</v>
      </c>
      <c r="AV61" t="s">
        <v>115</v>
      </c>
      <c r="BB61" t="s">
        <v>114</v>
      </c>
      <c r="BC61" s="11">
        <v>45545</v>
      </c>
      <c r="BD61" t="s">
        <v>169</v>
      </c>
      <c r="BG61" t="s">
        <v>132</v>
      </c>
      <c r="BH61" t="str">
        <f t="shared" si="2"/>
        <v/>
      </c>
      <c r="BJ61" t="str">
        <f t="shared" si="3"/>
        <v/>
      </c>
      <c r="BK61" t="s">
        <v>187</v>
      </c>
      <c r="BL61" t="str">
        <f t="shared" si="4"/>
        <v>S37_2024</v>
      </c>
      <c r="BN61" s="11">
        <v>45545</v>
      </c>
      <c r="BO61" t="str">
        <f t="shared" si="5"/>
        <v>S37_2024</v>
      </c>
      <c r="BP61" t="s">
        <v>114</v>
      </c>
      <c r="BQ61" t="s">
        <v>118</v>
      </c>
      <c r="BU61" s="11"/>
      <c r="BW61" s="11"/>
      <c r="BX61" s="11"/>
      <c r="BY61" s="11"/>
      <c r="BZ61" s="11"/>
      <c r="CB61" s="11"/>
      <c r="CC61" s="11"/>
      <c r="CD61" s="11"/>
      <c r="CE61" s="11"/>
      <c r="CG61" s="11"/>
      <c r="CI61" t="s">
        <v>119</v>
      </c>
      <c r="CO61" t="str">
        <f t="shared" si="6"/>
        <v>NEGATIFPAS INCLUS</v>
      </c>
      <c r="CP61" s="11">
        <v>45545</v>
      </c>
      <c r="CR61">
        <f t="shared" si="8"/>
        <v>3</v>
      </c>
      <c r="CS61">
        <f t="shared" si="9"/>
        <v>-3</v>
      </c>
      <c r="CT61">
        <f t="shared" si="13"/>
        <v>15</v>
      </c>
      <c r="CU61" t="str">
        <f t="shared" si="10"/>
        <v/>
      </c>
      <c r="CV61" t="str">
        <f t="shared" si="11"/>
        <v/>
      </c>
      <c r="CX61" s="11">
        <v>45530</v>
      </c>
      <c r="CY61" t="str">
        <f t="shared" si="12"/>
        <v>S35_2024</v>
      </c>
      <c r="DC61" t="s">
        <v>160</v>
      </c>
    </row>
    <row r="62" spans="1:107" x14ac:dyDescent="0.35">
      <c r="A62" t="s">
        <v>424</v>
      </c>
      <c r="B62" s="10" t="str">
        <f t="shared" si="0"/>
        <v>S37_2024</v>
      </c>
      <c r="C62" s="10" t="str">
        <f t="shared" si="1"/>
        <v>S35_2024</v>
      </c>
      <c r="D62" s="11">
        <v>45545</v>
      </c>
      <c r="E62" t="s">
        <v>123</v>
      </c>
      <c r="F62">
        <v>6</v>
      </c>
      <c r="G62" t="s">
        <v>107</v>
      </c>
      <c r="H62" t="s">
        <v>108</v>
      </c>
      <c r="J62" t="s">
        <v>142</v>
      </c>
      <c r="K62" s="12"/>
      <c r="L62" t="s">
        <v>111</v>
      </c>
      <c r="M62" t="s">
        <v>306</v>
      </c>
      <c r="N62" t="s">
        <v>425</v>
      </c>
      <c r="P62" t="s">
        <v>426</v>
      </c>
      <c r="Q62" t="s">
        <v>306</v>
      </c>
      <c r="R62" s="11">
        <v>45535</v>
      </c>
      <c r="S62" s="11">
        <v>45535</v>
      </c>
      <c r="T62" s="11">
        <v>45535</v>
      </c>
      <c r="V62" t="s">
        <v>132</v>
      </c>
      <c r="AK62" t="s">
        <v>114</v>
      </c>
      <c r="AM62" t="s">
        <v>132</v>
      </c>
      <c r="AN62" t="s">
        <v>132</v>
      </c>
      <c r="AR62" t="s">
        <v>427</v>
      </c>
      <c r="AU62" t="s">
        <v>114</v>
      </c>
      <c r="AV62" t="s">
        <v>115</v>
      </c>
      <c r="BB62" t="s">
        <v>114</v>
      </c>
      <c r="BC62" s="11">
        <v>45545</v>
      </c>
      <c r="BD62" t="s">
        <v>116</v>
      </c>
      <c r="BH62" t="str">
        <f t="shared" si="2"/>
        <v/>
      </c>
      <c r="BJ62" t="str">
        <f t="shared" si="3"/>
        <v/>
      </c>
      <c r="BK62" t="s">
        <v>117</v>
      </c>
      <c r="BL62" t="str">
        <f t="shared" si="4"/>
        <v>S37_2024</v>
      </c>
      <c r="BM62" t="s">
        <v>159</v>
      </c>
      <c r="BN62" s="11">
        <v>45545</v>
      </c>
      <c r="BO62" t="str">
        <f t="shared" si="5"/>
        <v>S37_2024</v>
      </c>
      <c r="BP62" t="s">
        <v>114</v>
      </c>
      <c r="BQ62" t="s">
        <v>118</v>
      </c>
      <c r="BW62" s="11"/>
      <c r="BX62" s="11"/>
      <c r="BY62" s="11"/>
      <c r="CB62" s="11"/>
      <c r="CC62" s="11"/>
      <c r="CD62" s="11"/>
      <c r="CG62" s="11"/>
      <c r="CI62" t="s">
        <v>119</v>
      </c>
      <c r="CO62" t="str">
        <f t="shared" si="6"/>
        <v>NEGATIFPAS INCLUS</v>
      </c>
      <c r="CP62" s="11">
        <v>45545</v>
      </c>
      <c r="CR62">
        <f t="shared" si="8"/>
        <v>-45545</v>
      </c>
      <c r="CS62">
        <f t="shared" si="9"/>
        <v>45545</v>
      </c>
      <c r="CT62">
        <f t="shared" si="13"/>
        <v>10</v>
      </c>
      <c r="CU62">
        <f t="shared" si="10"/>
        <v>45545</v>
      </c>
      <c r="CV62" t="str">
        <f t="shared" si="11"/>
        <v/>
      </c>
      <c r="CX62" s="11">
        <v>45535</v>
      </c>
      <c r="CY62" t="str">
        <f t="shared" si="12"/>
        <v>S35_2024</v>
      </c>
      <c r="DC62" t="s">
        <v>120</v>
      </c>
    </row>
    <row r="63" spans="1:107" x14ac:dyDescent="0.35">
      <c r="A63" t="s">
        <v>428</v>
      </c>
      <c r="B63" s="10" t="str">
        <f t="shared" si="0"/>
        <v>S37_2024</v>
      </c>
      <c r="C63" s="10" t="str">
        <f t="shared" si="1"/>
        <v>S36_2024</v>
      </c>
      <c r="D63" s="11">
        <v>45545</v>
      </c>
      <c r="E63" t="s">
        <v>123</v>
      </c>
      <c r="F63" s="17">
        <v>56</v>
      </c>
      <c r="G63" s="16" t="s">
        <v>429</v>
      </c>
      <c r="H63" t="s">
        <v>108</v>
      </c>
      <c r="J63" s="16" t="s">
        <v>109</v>
      </c>
      <c r="K63" s="14">
        <v>45545</v>
      </c>
      <c r="L63" t="s">
        <v>111</v>
      </c>
      <c r="M63" t="s">
        <v>112</v>
      </c>
      <c r="N63" s="16" t="s">
        <v>112</v>
      </c>
      <c r="O63" t="s">
        <v>430</v>
      </c>
      <c r="P63" s="16" t="s">
        <v>112</v>
      </c>
      <c r="Q63" t="s">
        <v>112</v>
      </c>
      <c r="R63" s="11">
        <v>45540</v>
      </c>
      <c r="S63" s="11">
        <v>45540</v>
      </c>
      <c r="T63" s="11">
        <v>45540</v>
      </c>
      <c r="AA63" s="16" t="s">
        <v>114</v>
      </c>
      <c r="AE63" s="16" t="s">
        <v>114</v>
      </c>
      <c r="AG63" s="16" t="s">
        <v>114</v>
      </c>
      <c r="AK63" s="16" t="s">
        <v>132</v>
      </c>
      <c r="AL63" s="16"/>
      <c r="AM63" s="16" t="s">
        <v>132</v>
      </c>
      <c r="AN63" s="16" t="s">
        <v>114</v>
      </c>
      <c r="AO63" s="16"/>
      <c r="AQ63" s="16" t="s">
        <v>132</v>
      </c>
      <c r="AU63" t="s">
        <v>114</v>
      </c>
      <c r="AV63" t="s">
        <v>115</v>
      </c>
      <c r="BB63" s="16" t="s">
        <v>114</v>
      </c>
      <c r="BC63" s="11">
        <v>45545</v>
      </c>
      <c r="BD63" t="s">
        <v>116</v>
      </c>
      <c r="BE63">
        <v>652756255</v>
      </c>
      <c r="BF63" s="16" t="s">
        <v>112</v>
      </c>
      <c r="BH63" t="str">
        <f t="shared" si="2"/>
        <v/>
      </c>
      <c r="BJ63" t="str">
        <f t="shared" si="3"/>
        <v/>
      </c>
      <c r="BK63" t="s">
        <v>117</v>
      </c>
      <c r="BL63" t="str">
        <f t="shared" si="4"/>
        <v>S37_2024</v>
      </c>
      <c r="BM63" t="s">
        <v>159</v>
      </c>
      <c r="BN63" s="11">
        <v>45545</v>
      </c>
      <c r="BO63" t="str">
        <f t="shared" si="5"/>
        <v>S37_2024</v>
      </c>
      <c r="BP63" t="s">
        <v>114</v>
      </c>
      <c r="BQ63" t="s">
        <v>118</v>
      </c>
      <c r="BW63" s="11"/>
      <c r="BX63" s="11"/>
      <c r="BY63" s="11"/>
      <c r="CB63" s="11"/>
      <c r="CC63" s="11"/>
      <c r="CD63" s="11"/>
      <c r="CG63" s="11"/>
      <c r="CI63" t="s">
        <v>119</v>
      </c>
      <c r="CO63" t="str">
        <f t="shared" si="6"/>
        <v>NEGATIFPAS INCLUS</v>
      </c>
      <c r="CP63" s="11">
        <v>45545</v>
      </c>
      <c r="CR63">
        <f t="shared" si="8"/>
        <v>-45545</v>
      </c>
      <c r="CS63">
        <f t="shared" si="9"/>
        <v>45545</v>
      </c>
      <c r="CT63">
        <f t="shared" si="13"/>
        <v>5</v>
      </c>
      <c r="CU63">
        <f t="shared" si="10"/>
        <v>0</v>
      </c>
      <c r="CV63" t="str">
        <f t="shared" si="11"/>
        <v/>
      </c>
      <c r="CX63" s="11">
        <v>45540</v>
      </c>
      <c r="CY63" t="str">
        <f t="shared" si="12"/>
        <v>S36_2024</v>
      </c>
      <c r="DC63" t="s">
        <v>120</v>
      </c>
    </row>
    <row r="64" spans="1:107" x14ac:dyDescent="0.35">
      <c r="A64" t="s">
        <v>431</v>
      </c>
      <c r="B64" s="10" t="str">
        <f t="shared" si="0"/>
        <v>S37_2024</v>
      </c>
      <c r="C64" s="10" t="str">
        <f t="shared" si="1"/>
        <v>S37_2024</v>
      </c>
      <c r="D64" s="11">
        <v>45546</v>
      </c>
      <c r="E64" t="s">
        <v>123</v>
      </c>
      <c r="F64" s="17">
        <v>39</v>
      </c>
      <c r="G64" s="16" t="s">
        <v>429</v>
      </c>
      <c r="H64" t="s">
        <v>108</v>
      </c>
      <c r="J64" s="16" t="s">
        <v>132</v>
      </c>
      <c r="K64" s="12"/>
      <c r="L64" t="s">
        <v>111</v>
      </c>
      <c r="M64" t="s">
        <v>112</v>
      </c>
      <c r="N64" s="16" t="s">
        <v>432</v>
      </c>
      <c r="O64" t="s">
        <v>184</v>
      </c>
      <c r="P64" s="16" t="s">
        <v>306</v>
      </c>
      <c r="Q64" t="s">
        <v>306</v>
      </c>
      <c r="R64" s="18">
        <v>45546</v>
      </c>
      <c r="S64" s="18">
        <v>45546</v>
      </c>
      <c r="T64" s="18">
        <v>45546</v>
      </c>
      <c r="V64" s="16" t="s">
        <v>132</v>
      </c>
      <c r="W64" s="16" t="s">
        <v>132</v>
      </c>
      <c r="X64" s="16" t="s">
        <v>132</v>
      </c>
      <c r="Y64" s="16" t="s">
        <v>132</v>
      </c>
      <c r="AA64" s="16" t="s">
        <v>114</v>
      </c>
      <c r="AB64" s="16" t="s">
        <v>114</v>
      </c>
      <c r="AE64" s="16" t="s">
        <v>114</v>
      </c>
      <c r="AG64" s="16" t="s">
        <v>114</v>
      </c>
      <c r="AK64" s="16" t="s">
        <v>132</v>
      </c>
      <c r="AL64" s="16"/>
      <c r="AM64" s="16" t="s">
        <v>114</v>
      </c>
      <c r="AN64" s="16" t="s">
        <v>132</v>
      </c>
      <c r="AO64" s="16"/>
      <c r="AQ64" s="16" t="s">
        <v>132</v>
      </c>
      <c r="AU64" t="s">
        <v>114</v>
      </c>
      <c r="AV64" t="s">
        <v>115</v>
      </c>
      <c r="BB64" s="16" t="s">
        <v>114</v>
      </c>
      <c r="BC64" s="11">
        <v>45550</v>
      </c>
      <c r="BD64" t="s">
        <v>433</v>
      </c>
      <c r="BF64" s="16" t="s">
        <v>306</v>
      </c>
      <c r="BH64" t="str">
        <f t="shared" si="2"/>
        <v/>
      </c>
      <c r="BJ64" t="str">
        <f t="shared" si="3"/>
        <v/>
      </c>
      <c r="BK64" t="s">
        <v>117</v>
      </c>
      <c r="BL64" t="str">
        <f t="shared" si="4"/>
        <v>S37_2024</v>
      </c>
      <c r="BM64" t="s">
        <v>159</v>
      </c>
      <c r="BN64" s="18">
        <v>45550</v>
      </c>
      <c r="BO64" t="str">
        <f t="shared" si="5"/>
        <v>S37_2024</v>
      </c>
      <c r="BP64" t="s">
        <v>114</v>
      </c>
      <c r="BQ64" t="s">
        <v>118</v>
      </c>
      <c r="BW64" s="18"/>
      <c r="BX64" s="18"/>
      <c r="BY64" s="18"/>
      <c r="CB64" s="18"/>
      <c r="CC64" s="18"/>
      <c r="CD64" s="18"/>
      <c r="CG64" s="18"/>
      <c r="CI64" t="s">
        <v>119</v>
      </c>
      <c r="CO64" t="str">
        <f t="shared" si="6"/>
        <v>NEGATIFPAS INCLUS</v>
      </c>
      <c r="CP64" s="11">
        <v>45546</v>
      </c>
      <c r="CR64">
        <f t="shared" si="8"/>
        <v>-45550</v>
      </c>
      <c r="CS64">
        <f t="shared" si="9"/>
        <v>45550</v>
      </c>
      <c r="CT64">
        <f t="shared" si="13"/>
        <v>0</v>
      </c>
      <c r="CU64" t="str">
        <f t="shared" si="10"/>
        <v/>
      </c>
      <c r="CV64" t="str">
        <f t="shared" si="11"/>
        <v/>
      </c>
      <c r="CX64" s="18">
        <v>45546</v>
      </c>
      <c r="CY64" t="str">
        <f t="shared" si="12"/>
        <v>S37_2024</v>
      </c>
      <c r="DC64" t="s">
        <v>120</v>
      </c>
    </row>
    <row r="65" spans="1:107" x14ac:dyDescent="0.35">
      <c r="A65" t="s">
        <v>434</v>
      </c>
      <c r="B65" s="10" t="str">
        <f t="shared" ref="B65:B128" si="14">IFERROR("S"&amp;(IF(_xlfn.ISOWEEKNUM(D65)&gt;0,_xlfn.ISOWEEKNUM(D65),_xlfn.CONCAT("0",_xlfn.ISOWEEKNUM(D65))))&amp;"_"&amp;(YEAR(D65+26-(_xlfn.ISOWEEKNUM(D65)))),"")</f>
        <v>S37_2024</v>
      </c>
      <c r="C65" s="10" t="str">
        <f t="shared" ref="C65:C128" si="15">IFERROR("S"&amp;(IF(_xlfn.ISOWEEKNUM(R65)&gt;0,_xlfn.ISOWEEKNUM(R65),_xlfn.CONCAT("0",_xlfn.ISOWEEKNUM(R65))))&amp;"_"&amp;(YEAR(R65+26-(_xlfn.ISOWEEKNUM(R65)))),"")</f>
        <v>S36_2024</v>
      </c>
      <c r="D65" s="11">
        <v>45546</v>
      </c>
      <c r="E65" t="s">
        <v>123</v>
      </c>
      <c r="F65" s="17">
        <v>47</v>
      </c>
      <c r="G65" s="16" t="s">
        <v>429</v>
      </c>
      <c r="H65" t="s">
        <v>108</v>
      </c>
      <c r="J65" s="16" t="s">
        <v>132</v>
      </c>
      <c r="K65" s="12"/>
      <c r="L65" t="s">
        <v>111</v>
      </c>
      <c r="M65" t="s">
        <v>348</v>
      </c>
      <c r="N65" s="16" t="s">
        <v>353</v>
      </c>
      <c r="O65" t="s">
        <v>184</v>
      </c>
      <c r="P65" s="16" t="s">
        <v>435</v>
      </c>
      <c r="Q65" t="s">
        <v>348</v>
      </c>
      <c r="R65" s="18">
        <v>45538</v>
      </c>
      <c r="S65" s="18">
        <v>45538</v>
      </c>
      <c r="T65" s="18">
        <v>45538</v>
      </c>
      <c r="V65" s="16" t="s">
        <v>132</v>
      </c>
      <c r="W65" s="16" t="s">
        <v>132</v>
      </c>
      <c r="X65" s="16" t="s">
        <v>132</v>
      </c>
      <c r="Y65" s="16" t="s">
        <v>132</v>
      </c>
      <c r="AA65" s="16" t="s">
        <v>132</v>
      </c>
      <c r="AB65" s="16" t="s">
        <v>114</v>
      </c>
      <c r="AE65" s="16" t="s">
        <v>114</v>
      </c>
      <c r="AG65" s="16" t="s">
        <v>114</v>
      </c>
      <c r="AK65" s="16" t="s">
        <v>132</v>
      </c>
      <c r="AL65" s="16"/>
      <c r="AM65" s="16" t="s">
        <v>114</v>
      </c>
      <c r="AN65" s="16" t="s">
        <v>132</v>
      </c>
      <c r="AO65" s="16"/>
      <c r="AQ65" s="16" t="s">
        <v>132</v>
      </c>
      <c r="AU65" t="s">
        <v>114</v>
      </c>
      <c r="AV65" t="s">
        <v>115</v>
      </c>
      <c r="BB65" s="16" t="s">
        <v>114</v>
      </c>
      <c r="BC65" s="11">
        <v>45547</v>
      </c>
      <c r="BD65" t="s">
        <v>433</v>
      </c>
      <c r="BF65" s="16" t="s">
        <v>353</v>
      </c>
      <c r="BH65" t="str">
        <f>IFERROR("S"&amp;(IF(_xlfn.ISOWEEKNUM(I65)&gt;0,_xlfn.ISOWEEKNUM(I65),_xlfn.CONCAT("0",_xlfn.ISOWEEKNUM(I65))))&amp;"_"&amp;(YEAR(I65+26-(_xlfn.ISOWEEKNUM(I65)))),"")</f>
        <v/>
      </c>
      <c r="BJ65" t="str">
        <f t="shared" ref="BJ65:BJ128" si="16">IFERROR("S"&amp;(IF(_xlfn.ISOWEEKNUM(BI65)&gt;0,_xlfn.ISOWEEKNUM(BI65),_xlfn.CONCAT("0",_xlfn.ISOWEEKNUM(BI65))))&amp;"_"&amp;(YEAR(BI65+26-(_xlfn.ISOWEEKNUM(BI65)))),"")</f>
        <v/>
      </c>
      <c r="BK65" t="s">
        <v>117</v>
      </c>
      <c r="BL65" t="str">
        <f t="shared" ref="BL65:BL128" si="17">IFERROR("S"&amp;(IF(_xlfn.ISOWEEKNUM(BC65)&gt;0,_xlfn.ISOWEEKNUM(BC65),_xlfn.CONCAT("0",_xlfn.ISOWEEKNUM(BC65))))&amp;"_"&amp;(YEAR(BC65+26-(_xlfn.ISOWEEKNUM(BC65)))),"")</f>
        <v>S37_2024</v>
      </c>
      <c r="BM65" t="s">
        <v>159</v>
      </c>
      <c r="BN65" s="18">
        <v>45547</v>
      </c>
      <c r="BO65" t="str">
        <f t="shared" ref="BO65:BO128" si="18">IFERROR("S"&amp;(IF(_xlfn.ISOWEEKNUM(BN65)&gt;0,_xlfn.ISOWEEKNUM(BN65),_xlfn.CONCAT("0",_xlfn.ISOWEEKNUM(BN65))))&amp;"_"&amp;(YEAR(BN65+26-(_xlfn.ISOWEEKNUM(BN65)))),"")</f>
        <v>S37_2024</v>
      </c>
      <c r="BP65" t="s">
        <v>114</v>
      </c>
      <c r="BQ65" t="s">
        <v>118</v>
      </c>
      <c r="BW65" s="18"/>
      <c r="BX65" s="18"/>
      <c r="BY65" s="18"/>
      <c r="CB65" s="18"/>
      <c r="CC65" s="18"/>
      <c r="CD65" s="18"/>
      <c r="CG65" s="18"/>
      <c r="CI65" t="s">
        <v>119</v>
      </c>
      <c r="CO65" t="str">
        <f t="shared" si="6"/>
        <v>NEGATIFPAS INCLUS</v>
      </c>
      <c r="CP65" s="11">
        <v>45546</v>
      </c>
      <c r="CR65">
        <f t="shared" si="8"/>
        <v>-45547</v>
      </c>
      <c r="CS65">
        <f t="shared" si="9"/>
        <v>45547</v>
      </c>
      <c r="CT65">
        <f t="shared" si="13"/>
        <v>8</v>
      </c>
      <c r="CU65" t="str">
        <f t="shared" si="10"/>
        <v/>
      </c>
      <c r="CV65" t="str">
        <f t="shared" si="11"/>
        <v/>
      </c>
      <c r="CX65" s="18">
        <v>45538</v>
      </c>
      <c r="CY65" t="str">
        <f t="shared" si="12"/>
        <v>S36_2024</v>
      </c>
      <c r="DC65" t="s">
        <v>120</v>
      </c>
    </row>
    <row r="66" spans="1:107" x14ac:dyDescent="0.35">
      <c r="A66" t="s">
        <v>436</v>
      </c>
      <c r="B66" s="10" t="str">
        <f t="shared" si="14"/>
        <v>S37_2024</v>
      </c>
      <c r="C66" s="10" t="str">
        <f t="shared" si="15"/>
        <v>S35_2024</v>
      </c>
      <c r="D66" s="11">
        <v>45546</v>
      </c>
      <c r="E66" t="s">
        <v>123</v>
      </c>
      <c r="F66" s="17">
        <v>37</v>
      </c>
      <c r="G66" s="16" t="s">
        <v>437</v>
      </c>
      <c r="H66" t="s">
        <v>108</v>
      </c>
      <c r="J66" s="16" t="s">
        <v>132</v>
      </c>
      <c r="K66" s="12"/>
      <c r="L66" t="s">
        <v>111</v>
      </c>
      <c r="M66" t="s">
        <v>112</v>
      </c>
      <c r="N66" s="16" t="s">
        <v>438</v>
      </c>
      <c r="O66" t="s">
        <v>184</v>
      </c>
      <c r="P66" s="16" t="s">
        <v>439</v>
      </c>
      <c r="Q66" t="s">
        <v>112</v>
      </c>
      <c r="R66" s="18">
        <v>45536</v>
      </c>
      <c r="S66" s="18">
        <v>45536</v>
      </c>
      <c r="T66" s="18">
        <v>45536</v>
      </c>
      <c r="V66" s="16" t="s">
        <v>132</v>
      </c>
      <c r="W66" s="16" t="s">
        <v>132</v>
      </c>
      <c r="X66" s="16" t="s">
        <v>132</v>
      </c>
      <c r="Y66" s="16" t="s">
        <v>132</v>
      </c>
      <c r="AA66" s="16" t="s">
        <v>114</v>
      </c>
      <c r="AB66" s="16" t="s">
        <v>114</v>
      </c>
      <c r="AE66" s="16" t="s">
        <v>114</v>
      </c>
      <c r="AG66" s="16" t="s">
        <v>114</v>
      </c>
      <c r="AK66" s="16" t="s">
        <v>132</v>
      </c>
      <c r="AL66" s="16"/>
      <c r="AM66" s="16" t="s">
        <v>114</v>
      </c>
      <c r="AN66" s="16" t="s">
        <v>132</v>
      </c>
      <c r="AO66" s="16"/>
      <c r="AQ66" s="16" t="s">
        <v>132</v>
      </c>
      <c r="AU66" t="s">
        <v>114</v>
      </c>
      <c r="AV66" t="s">
        <v>115</v>
      </c>
      <c r="BB66" s="16" t="s">
        <v>114</v>
      </c>
      <c r="BC66" s="11">
        <v>45548</v>
      </c>
      <c r="BD66" t="s">
        <v>433</v>
      </c>
      <c r="BF66" s="16" t="s">
        <v>438</v>
      </c>
      <c r="BH66" t="str">
        <f>IFERROR("S"&amp;(IF(_xlfn.ISOWEEKNUM(I66)&gt;0,_xlfn.ISOWEEKNUM(I66),_xlfn.CONCAT("0",_xlfn.ISOWEEKNUM(I66))))&amp;"_"&amp;(YEAR(I66+26-(_xlfn.ISOWEEKNUM(I66)))),"")</f>
        <v/>
      </c>
      <c r="BJ66" t="str">
        <f t="shared" si="16"/>
        <v/>
      </c>
      <c r="BK66" t="s">
        <v>117</v>
      </c>
      <c r="BL66" t="str">
        <f t="shared" si="17"/>
        <v>S37_2024</v>
      </c>
      <c r="BM66" t="s">
        <v>159</v>
      </c>
      <c r="BN66" s="18">
        <v>45548</v>
      </c>
      <c r="BO66" t="str">
        <f t="shared" si="18"/>
        <v>S37_2024</v>
      </c>
      <c r="BP66" t="s">
        <v>114</v>
      </c>
      <c r="BQ66" t="s">
        <v>118</v>
      </c>
      <c r="BW66" s="18"/>
      <c r="BX66" s="18"/>
      <c r="BY66" s="18"/>
      <c r="CB66" s="18"/>
      <c r="CC66" s="18"/>
      <c r="CD66" s="18"/>
      <c r="CG66" s="18"/>
      <c r="CI66" t="s">
        <v>119</v>
      </c>
      <c r="CO66" t="str">
        <f t="shared" ref="CO66:CO129" si="19">AV66&amp;CI66</f>
        <v>NEGATIFPAS INCLUS</v>
      </c>
      <c r="CP66" s="11">
        <v>45546</v>
      </c>
      <c r="CR66">
        <f t="shared" si="8"/>
        <v>-45548</v>
      </c>
      <c r="CS66">
        <f t="shared" si="9"/>
        <v>45548</v>
      </c>
      <c r="CT66">
        <f t="shared" si="13"/>
        <v>10</v>
      </c>
      <c r="CU66" t="str">
        <f t="shared" si="10"/>
        <v/>
      </c>
      <c r="CV66" t="str">
        <f t="shared" si="11"/>
        <v/>
      </c>
      <c r="CX66" s="18">
        <v>45536</v>
      </c>
      <c r="CY66" t="str">
        <f t="shared" ref="CY66:CY129" si="20">IFERROR("S"&amp;(IF(_xlfn.ISOWEEKNUM(CX66)&gt;0,_xlfn.ISOWEEKNUM(CX66),_xlfn.CONCAT("0",_xlfn.ISOWEEKNUM(CX66))))&amp;"_"&amp;(YEAR(CX66+26-(_xlfn.ISOWEEKNUM(CX66)))),"")</f>
        <v>S35_2024</v>
      </c>
      <c r="DC66" t="s">
        <v>120</v>
      </c>
    </row>
    <row r="67" spans="1:107" x14ac:dyDescent="0.35">
      <c r="A67" t="s">
        <v>440</v>
      </c>
      <c r="B67" s="10" t="str">
        <f t="shared" si="14"/>
        <v>S37_2024</v>
      </c>
      <c r="C67" s="10" t="str">
        <f t="shared" si="15"/>
        <v>S36_2024</v>
      </c>
      <c r="D67" s="11">
        <v>45547</v>
      </c>
      <c r="E67" t="s">
        <v>106</v>
      </c>
      <c r="F67">
        <v>1</v>
      </c>
      <c r="G67" t="s">
        <v>141</v>
      </c>
      <c r="H67" t="s">
        <v>108</v>
      </c>
      <c r="J67" t="s">
        <v>132</v>
      </c>
      <c r="K67" s="12"/>
      <c r="L67" t="s">
        <v>111</v>
      </c>
      <c r="M67" t="s">
        <v>306</v>
      </c>
      <c r="N67" t="s">
        <v>305</v>
      </c>
      <c r="O67" t="s">
        <v>184</v>
      </c>
      <c r="P67" t="s">
        <v>441</v>
      </c>
      <c r="Q67" t="s">
        <v>306</v>
      </c>
      <c r="R67" s="11">
        <v>45540</v>
      </c>
      <c r="S67" s="11">
        <v>45540</v>
      </c>
      <c r="T67" s="11">
        <v>45540</v>
      </c>
      <c r="V67" t="s">
        <v>132</v>
      </c>
      <c r="W67" t="s">
        <v>114</v>
      </c>
      <c r="AB67" t="s">
        <v>114</v>
      </c>
      <c r="AK67" t="s">
        <v>114</v>
      </c>
      <c r="AM67" t="s">
        <v>132</v>
      </c>
      <c r="AN67" t="s">
        <v>142</v>
      </c>
      <c r="AQ67" t="s">
        <v>142</v>
      </c>
      <c r="AR67" t="s">
        <v>442</v>
      </c>
      <c r="AS67" s="11">
        <v>45548</v>
      </c>
      <c r="AU67" t="s">
        <v>114</v>
      </c>
      <c r="AV67" t="s">
        <v>115</v>
      </c>
      <c r="BB67" t="s">
        <v>114</v>
      </c>
      <c r="BC67" s="11">
        <v>45547</v>
      </c>
      <c r="BD67" t="s">
        <v>443</v>
      </c>
      <c r="BF67" t="s">
        <v>305</v>
      </c>
      <c r="BG67" t="s">
        <v>132</v>
      </c>
      <c r="BH67" t="str">
        <f>IFERROR("S"&amp;(IF(_xlfn.ISOWEEKNUM(I67)&gt;0,_xlfn.ISOWEEKNUM(I67),_xlfn.CONCAT("0",_xlfn.ISOWEEKNUM(I67))))&amp;"_"&amp;(YEAR(I67+26-(_xlfn.ISOWEEKNUM(I67)))),"")</f>
        <v/>
      </c>
      <c r="BJ67" t="str">
        <f t="shared" si="16"/>
        <v/>
      </c>
      <c r="BK67" t="s">
        <v>117</v>
      </c>
      <c r="BL67" t="str">
        <f t="shared" si="17"/>
        <v>S37_2024</v>
      </c>
      <c r="BN67" s="11">
        <v>45547</v>
      </c>
      <c r="BO67" t="str">
        <f t="shared" si="18"/>
        <v>S37_2024</v>
      </c>
      <c r="BP67" t="s">
        <v>114</v>
      </c>
      <c r="BQ67" t="s">
        <v>118</v>
      </c>
      <c r="BU67" s="11"/>
      <c r="BW67" s="11"/>
      <c r="BX67" s="11"/>
      <c r="BY67" s="11"/>
      <c r="BZ67" s="11"/>
      <c r="CB67" s="11"/>
      <c r="CC67" s="11"/>
      <c r="CD67" s="11"/>
      <c r="CE67" s="11"/>
      <c r="CG67" s="11"/>
      <c r="CI67" t="s">
        <v>119</v>
      </c>
      <c r="CO67" t="str">
        <f t="shared" si="19"/>
        <v>NEGATIFPAS INCLUS</v>
      </c>
      <c r="CP67" s="11">
        <v>45547</v>
      </c>
      <c r="CR67">
        <f t="shared" ref="CR67:CR130" si="21">IF(BP67="Non","",IF(BP67="","",AS67-BC67))</f>
        <v>1</v>
      </c>
      <c r="CS67">
        <f t="shared" ref="CS67:CS130" si="22">IF(BP67="Non","",IF(BP67="","",BN67-AS67))</f>
        <v>-1</v>
      </c>
      <c r="CT67">
        <f t="shared" si="13"/>
        <v>7</v>
      </c>
      <c r="CU67" t="str">
        <f t="shared" ref="CU67:CU130" si="23">IF(J67="Non","",IF(J67="","",CP67-K67))</f>
        <v/>
      </c>
      <c r="CV67" t="str">
        <f t="shared" ref="CV67:CV130" si="24">IF(AV67="POSITIF",BI67-CX67,"")</f>
        <v/>
      </c>
      <c r="CX67" s="11">
        <v>45540</v>
      </c>
      <c r="CY67" t="str">
        <f t="shared" si="20"/>
        <v>S36_2024</v>
      </c>
      <c r="DC67" t="s">
        <v>120</v>
      </c>
    </row>
    <row r="68" spans="1:107" x14ac:dyDescent="0.35">
      <c r="A68" t="s">
        <v>444</v>
      </c>
      <c r="B68" s="10" t="str">
        <f t="shared" si="14"/>
        <v>S37_2024</v>
      </c>
      <c r="C68" s="10" t="str">
        <f t="shared" si="15"/>
        <v>S35_2024</v>
      </c>
      <c r="D68" s="11">
        <v>45547</v>
      </c>
      <c r="E68" t="s">
        <v>106</v>
      </c>
      <c r="F68" s="17">
        <v>40</v>
      </c>
      <c r="G68" s="16" t="s">
        <v>323</v>
      </c>
      <c r="H68" t="s">
        <v>108</v>
      </c>
      <c r="J68" s="16" t="s">
        <v>132</v>
      </c>
      <c r="K68" s="12"/>
      <c r="L68" t="s">
        <v>111</v>
      </c>
      <c r="M68" t="s">
        <v>445</v>
      </c>
      <c r="N68" s="16" t="s">
        <v>445</v>
      </c>
      <c r="O68" t="s">
        <v>184</v>
      </c>
      <c r="P68" s="16" t="s">
        <v>445</v>
      </c>
      <c r="Q68" t="s">
        <v>445</v>
      </c>
      <c r="R68" s="18">
        <v>45534</v>
      </c>
      <c r="S68" s="18">
        <v>45534</v>
      </c>
      <c r="T68" s="18">
        <v>45534</v>
      </c>
      <c r="V68" s="16" t="s">
        <v>132</v>
      </c>
      <c r="W68" s="16" t="s">
        <v>132</v>
      </c>
      <c r="X68" s="16" t="s">
        <v>132</v>
      </c>
      <c r="Y68" s="16" t="s">
        <v>132</v>
      </c>
      <c r="AA68" s="16" t="s">
        <v>132</v>
      </c>
      <c r="AB68" s="16" t="s">
        <v>132</v>
      </c>
      <c r="AE68" s="16" t="s">
        <v>114</v>
      </c>
      <c r="AG68" s="16" t="s">
        <v>132</v>
      </c>
      <c r="AK68" s="16" t="s">
        <v>132</v>
      </c>
      <c r="AL68" s="16"/>
      <c r="AM68" s="16" t="s">
        <v>114</v>
      </c>
      <c r="AN68" s="16" t="s">
        <v>114</v>
      </c>
      <c r="AO68" s="16"/>
      <c r="AQ68" s="16" t="s">
        <v>132</v>
      </c>
      <c r="AU68" t="s">
        <v>114</v>
      </c>
      <c r="AV68" t="s">
        <v>115</v>
      </c>
      <c r="BB68" s="16" t="s">
        <v>114</v>
      </c>
      <c r="BC68" s="11">
        <v>45547</v>
      </c>
      <c r="BD68" t="s">
        <v>433</v>
      </c>
      <c r="BF68" s="16" t="s">
        <v>445</v>
      </c>
      <c r="BH68" t="str">
        <f>IFERROR("S"&amp;(IF(_xlfn.ISOWEEKNUM(I68)&gt;0,_xlfn.ISOWEEKNUM(I68),_xlfn.CONCAT("0",_xlfn.ISOWEEKNUM(I68))))&amp;"_"&amp;(YEAR(I68+26-(_xlfn.ISOWEEKNUM(I68)))),"")</f>
        <v/>
      </c>
      <c r="BJ68" t="str">
        <f t="shared" si="16"/>
        <v/>
      </c>
      <c r="BK68" t="s">
        <v>117</v>
      </c>
      <c r="BL68" t="str">
        <f t="shared" si="17"/>
        <v>S37_2024</v>
      </c>
      <c r="BM68" t="s">
        <v>159</v>
      </c>
      <c r="BN68" s="18">
        <v>45547</v>
      </c>
      <c r="BO68" t="str">
        <f t="shared" si="18"/>
        <v>S37_2024</v>
      </c>
      <c r="BP68" t="s">
        <v>114</v>
      </c>
      <c r="BQ68" t="s">
        <v>118</v>
      </c>
      <c r="BW68" s="18"/>
      <c r="BX68" s="18"/>
      <c r="BY68" s="18"/>
      <c r="CB68" s="18"/>
      <c r="CC68" s="18"/>
      <c r="CD68" s="18"/>
      <c r="CG68" s="18"/>
      <c r="CI68" t="s">
        <v>119</v>
      </c>
      <c r="CO68" t="str">
        <f t="shared" si="19"/>
        <v>NEGATIFPAS INCLUS</v>
      </c>
      <c r="CP68" s="11">
        <v>45547</v>
      </c>
      <c r="CR68">
        <f t="shared" si="21"/>
        <v>-45547</v>
      </c>
      <c r="CS68">
        <f t="shared" si="22"/>
        <v>45547</v>
      </c>
      <c r="CT68">
        <f t="shared" si="13"/>
        <v>13</v>
      </c>
      <c r="CU68" t="str">
        <f t="shared" si="23"/>
        <v/>
      </c>
      <c r="CV68" t="str">
        <f t="shared" si="24"/>
        <v/>
      </c>
      <c r="CX68" s="18">
        <v>45534</v>
      </c>
      <c r="CY68" t="str">
        <f t="shared" si="20"/>
        <v>S35_2024</v>
      </c>
      <c r="DC68" t="s">
        <v>120</v>
      </c>
    </row>
    <row r="69" spans="1:107" x14ac:dyDescent="0.35">
      <c r="A69" t="s">
        <v>446</v>
      </c>
      <c r="B69" s="10" t="str">
        <f t="shared" si="14"/>
        <v>S37_2024</v>
      </c>
      <c r="C69" s="10" t="str">
        <f t="shared" si="15"/>
        <v/>
      </c>
      <c r="D69" s="11">
        <v>45548</v>
      </c>
      <c r="E69" s="19" t="s">
        <v>106</v>
      </c>
      <c r="F69">
        <v>1</v>
      </c>
      <c r="G69" t="s">
        <v>141</v>
      </c>
      <c r="H69" t="s">
        <v>108</v>
      </c>
      <c r="J69" t="s">
        <v>142</v>
      </c>
      <c r="K69" s="12"/>
      <c r="L69" t="s">
        <v>111</v>
      </c>
      <c r="M69" t="s">
        <v>385</v>
      </c>
      <c r="N69" t="s">
        <v>386</v>
      </c>
      <c r="P69" t="s">
        <v>110</v>
      </c>
      <c r="Q69" s="19" t="s">
        <v>385</v>
      </c>
      <c r="AE69" t="s">
        <v>132</v>
      </c>
      <c r="AG69" t="s">
        <v>132</v>
      </c>
      <c r="AK69" t="s">
        <v>132</v>
      </c>
      <c r="AN69" t="s">
        <v>114</v>
      </c>
      <c r="AS69" s="11">
        <v>45553</v>
      </c>
      <c r="AU69" t="s">
        <v>114</v>
      </c>
      <c r="AV69" t="s">
        <v>115</v>
      </c>
      <c r="BB69" t="s">
        <v>114</v>
      </c>
      <c r="BC69" s="11">
        <v>45548</v>
      </c>
      <c r="BD69" t="s">
        <v>447</v>
      </c>
      <c r="BF69" t="s">
        <v>448</v>
      </c>
      <c r="BG69" t="s">
        <v>449</v>
      </c>
      <c r="BI69" s="11"/>
      <c r="BJ69" t="str">
        <f t="shared" si="16"/>
        <v/>
      </c>
      <c r="BK69" t="s">
        <v>117</v>
      </c>
      <c r="BL69" t="str">
        <f t="shared" si="17"/>
        <v>S37_2024</v>
      </c>
      <c r="BM69" t="s">
        <v>159</v>
      </c>
      <c r="BN69" s="11">
        <v>45548</v>
      </c>
      <c r="BO69" t="str">
        <f t="shared" si="18"/>
        <v>S37_2024</v>
      </c>
      <c r="BP69" t="s">
        <v>114</v>
      </c>
      <c r="BQ69" t="s">
        <v>450</v>
      </c>
      <c r="BR69" t="s">
        <v>451</v>
      </c>
      <c r="BS69" t="s">
        <v>132</v>
      </c>
      <c r="CI69" t="s">
        <v>115</v>
      </c>
      <c r="CN69" t="s">
        <v>452</v>
      </c>
      <c r="CO69" t="str">
        <f t="shared" si="19"/>
        <v>NEGATIFNEGATIF</v>
      </c>
      <c r="CP69" s="11">
        <v>45548</v>
      </c>
      <c r="CR69">
        <f t="shared" si="21"/>
        <v>5</v>
      </c>
      <c r="CS69">
        <f t="shared" si="22"/>
        <v>-5</v>
      </c>
      <c r="CT69">
        <f t="shared" si="13"/>
        <v>45548</v>
      </c>
      <c r="CU69">
        <f t="shared" si="23"/>
        <v>45548</v>
      </c>
      <c r="CV69" t="str">
        <f t="shared" si="24"/>
        <v/>
      </c>
      <c r="CY69" t="str">
        <f t="shared" si="20"/>
        <v/>
      </c>
      <c r="DC69" t="s">
        <v>120</v>
      </c>
    </row>
    <row r="70" spans="1:107" x14ac:dyDescent="0.35">
      <c r="A70" t="s">
        <v>453</v>
      </c>
      <c r="B70" s="10" t="str">
        <f t="shared" si="14"/>
        <v>S37_2024</v>
      </c>
      <c r="C70" s="10" t="str">
        <f t="shared" si="15"/>
        <v/>
      </c>
      <c r="D70" s="11">
        <v>45548</v>
      </c>
      <c r="E70" t="s">
        <v>123</v>
      </c>
      <c r="F70">
        <v>1</v>
      </c>
      <c r="G70" t="s">
        <v>141</v>
      </c>
      <c r="H70" t="s">
        <v>108</v>
      </c>
      <c r="J70" t="s">
        <v>142</v>
      </c>
      <c r="K70" s="12"/>
      <c r="L70" t="s">
        <v>111</v>
      </c>
      <c r="M70" t="s">
        <v>385</v>
      </c>
      <c r="N70" t="s">
        <v>386</v>
      </c>
      <c r="P70" t="s">
        <v>454</v>
      </c>
      <c r="Q70" s="19" t="s">
        <v>385</v>
      </c>
      <c r="V70" s="16" t="s">
        <v>132</v>
      </c>
      <c r="W70" t="s">
        <v>132</v>
      </c>
      <c r="AE70" t="s">
        <v>132</v>
      </c>
      <c r="AK70" t="s">
        <v>132</v>
      </c>
      <c r="AM70" t="s">
        <v>132</v>
      </c>
      <c r="AN70" t="s">
        <v>114</v>
      </c>
      <c r="AQ70" t="s">
        <v>132</v>
      </c>
      <c r="AS70" s="11">
        <v>45553</v>
      </c>
      <c r="AU70" t="s">
        <v>114</v>
      </c>
      <c r="AV70" t="s">
        <v>134</v>
      </c>
      <c r="AW70" t="s">
        <v>152</v>
      </c>
      <c r="AY70" t="s">
        <v>135</v>
      </c>
      <c r="BB70" t="s">
        <v>114</v>
      </c>
      <c r="BC70" s="11">
        <v>45548</v>
      </c>
      <c r="BD70" t="s">
        <v>455</v>
      </c>
      <c r="BF70" t="s">
        <v>448</v>
      </c>
      <c r="BI70" s="11">
        <v>45550</v>
      </c>
      <c r="BJ70" t="str">
        <f t="shared" si="16"/>
        <v>S37_2024</v>
      </c>
      <c r="BK70" t="s">
        <v>117</v>
      </c>
      <c r="BL70" t="str">
        <f t="shared" si="17"/>
        <v>S37_2024</v>
      </c>
      <c r="BM70" t="s">
        <v>159</v>
      </c>
      <c r="BN70" s="11">
        <v>45550</v>
      </c>
      <c r="BO70" t="str">
        <f t="shared" si="18"/>
        <v>S37_2024</v>
      </c>
      <c r="BP70" t="s">
        <v>114</v>
      </c>
      <c r="BQ70" t="s">
        <v>118</v>
      </c>
      <c r="CI70" t="s">
        <v>134</v>
      </c>
      <c r="CJ70" t="s">
        <v>456</v>
      </c>
      <c r="CK70" t="s">
        <v>457</v>
      </c>
      <c r="CN70" t="s">
        <v>458</v>
      </c>
      <c r="CO70" t="str">
        <f t="shared" si="19"/>
        <v>POSITIFPOSITIF</v>
      </c>
      <c r="CP70" s="11">
        <v>45548</v>
      </c>
      <c r="CR70">
        <f t="shared" si="21"/>
        <v>5</v>
      </c>
      <c r="CS70">
        <f t="shared" si="22"/>
        <v>-3</v>
      </c>
      <c r="CT70">
        <f t="shared" si="13"/>
        <v>45548</v>
      </c>
      <c r="CU70">
        <f t="shared" si="23"/>
        <v>45548</v>
      </c>
      <c r="CV70">
        <f t="shared" si="24"/>
        <v>45550</v>
      </c>
      <c r="CY70" t="str">
        <f t="shared" si="20"/>
        <v/>
      </c>
      <c r="DC70" t="s">
        <v>139</v>
      </c>
    </row>
    <row r="71" spans="1:107" x14ac:dyDescent="0.35">
      <c r="A71" t="s">
        <v>459</v>
      </c>
      <c r="B71" s="10" t="str">
        <f t="shared" si="14"/>
        <v>S37_2024</v>
      </c>
      <c r="C71" s="10" t="str">
        <f t="shared" si="15"/>
        <v/>
      </c>
      <c r="D71" s="11">
        <v>45548</v>
      </c>
      <c r="E71" t="s">
        <v>123</v>
      </c>
      <c r="F71">
        <v>13</v>
      </c>
      <c r="G71" t="s">
        <v>107</v>
      </c>
      <c r="H71" t="s">
        <v>108</v>
      </c>
      <c r="J71" t="s">
        <v>142</v>
      </c>
      <c r="K71" s="12"/>
      <c r="L71" t="s">
        <v>111</v>
      </c>
      <c r="M71" t="s">
        <v>385</v>
      </c>
      <c r="N71" t="s">
        <v>386</v>
      </c>
      <c r="P71" t="s">
        <v>454</v>
      </c>
      <c r="Q71" s="19" t="s">
        <v>385</v>
      </c>
      <c r="V71" t="s">
        <v>132</v>
      </c>
      <c r="W71" t="s">
        <v>132</v>
      </c>
      <c r="AE71" t="s">
        <v>132</v>
      </c>
      <c r="AK71" t="s">
        <v>132</v>
      </c>
      <c r="AM71" t="s">
        <v>132</v>
      </c>
      <c r="AN71" t="s">
        <v>114</v>
      </c>
      <c r="AQ71" t="s">
        <v>132</v>
      </c>
      <c r="AS71" s="11">
        <v>45553</v>
      </c>
      <c r="AU71" t="s">
        <v>114</v>
      </c>
      <c r="AV71" t="s">
        <v>134</v>
      </c>
      <c r="AW71" t="s">
        <v>152</v>
      </c>
      <c r="AY71" t="s">
        <v>135</v>
      </c>
      <c r="BB71" t="s">
        <v>114</v>
      </c>
      <c r="BC71" s="11">
        <v>45548</v>
      </c>
      <c r="BD71" t="s">
        <v>455</v>
      </c>
      <c r="BF71" t="s">
        <v>448</v>
      </c>
      <c r="BG71" t="s">
        <v>449</v>
      </c>
      <c r="BI71" s="11">
        <v>45550</v>
      </c>
      <c r="BJ71" t="str">
        <f t="shared" si="16"/>
        <v>S37_2024</v>
      </c>
      <c r="BK71" t="s">
        <v>117</v>
      </c>
      <c r="BL71" t="str">
        <f t="shared" si="17"/>
        <v>S37_2024</v>
      </c>
      <c r="BM71" t="s">
        <v>159</v>
      </c>
      <c r="BN71" s="11">
        <v>45550</v>
      </c>
      <c r="BO71" t="str">
        <f t="shared" si="18"/>
        <v>S37_2024</v>
      </c>
      <c r="BP71" t="s">
        <v>114</v>
      </c>
      <c r="BQ71" t="s">
        <v>450</v>
      </c>
      <c r="BR71" t="s">
        <v>451</v>
      </c>
      <c r="BS71" t="s">
        <v>132</v>
      </c>
      <c r="CI71" t="s">
        <v>134</v>
      </c>
      <c r="CJ71" t="s">
        <v>456</v>
      </c>
      <c r="CK71" t="s">
        <v>457</v>
      </c>
      <c r="CN71" t="s">
        <v>460</v>
      </c>
      <c r="CO71" t="str">
        <f t="shared" si="19"/>
        <v>POSITIFPOSITIF</v>
      </c>
      <c r="CP71" s="11">
        <v>45548</v>
      </c>
      <c r="CR71">
        <f t="shared" si="21"/>
        <v>5</v>
      </c>
      <c r="CS71">
        <f t="shared" si="22"/>
        <v>-3</v>
      </c>
      <c r="CT71">
        <f t="shared" si="13"/>
        <v>45548</v>
      </c>
      <c r="CU71">
        <f t="shared" si="23"/>
        <v>45548</v>
      </c>
      <c r="CV71">
        <f t="shared" si="24"/>
        <v>45550</v>
      </c>
      <c r="CY71" t="str">
        <f t="shared" si="20"/>
        <v/>
      </c>
      <c r="DC71" t="s">
        <v>139</v>
      </c>
    </row>
    <row r="72" spans="1:107" x14ac:dyDescent="0.35">
      <c r="A72" t="s">
        <v>461</v>
      </c>
      <c r="B72" s="10" t="str">
        <f t="shared" si="14"/>
        <v>S37_2024</v>
      </c>
      <c r="C72" s="10" t="str">
        <f t="shared" si="15"/>
        <v>S35_2024</v>
      </c>
      <c r="D72" s="11">
        <v>45549</v>
      </c>
      <c r="E72" t="s">
        <v>123</v>
      </c>
      <c r="F72">
        <v>20</v>
      </c>
      <c r="G72" t="s">
        <v>162</v>
      </c>
      <c r="H72" t="s">
        <v>108</v>
      </c>
      <c r="J72" t="s">
        <v>132</v>
      </c>
      <c r="K72" s="12"/>
      <c r="L72" t="s">
        <v>111</v>
      </c>
      <c r="M72" t="s">
        <v>385</v>
      </c>
      <c r="N72" t="s">
        <v>385</v>
      </c>
      <c r="O72" t="s">
        <v>184</v>
      </c>
      <c r="P72" t="s">
        <v>462</v>
      </c>
      <c r="Q72" t="s">
        <v>385</v>
      </c>
      <c r="R72" s="11">
        <v>45536</v>
      </c>
      <c r="S72" s="11">
        <v>45536</v>
      </c>
      <c r="T72" s="11">
        <v>45536</v>
      </c>
      <c r="V72" t="s">
        <v>132</v>
      </c>
      <c r="AA72" t="s">
        <v>114</v>
      </c>
      <c r="AE72" t="s">
        <v>114</v>
      </c>
      <c r="AK72" t="s">
        <v>132</v>
      </c>
      <c r="AM72" t="s">
        <v>114</v>
      </c>
      <c r="AN72" t="s">
        <v>114</v>
      </c>
      <c r="AS72" s="11">
        <v>45550</v>
      </c>
      <c r="AU72" t="s">
        <v>114</v>
      </c>
      <c r="AV72" t="s">
        <v>134</v>
      </c>
      <c r="AW72" t="s">
        <v>152</v>
      </c>
      <c r="AY72" t="s">
        <v>463</v>
      </c>
      <c r="BB72" t="s">
        <v>114</v>
      </c>
      <c r="BC72" s="11">
        <v>45549</v>
      </c>
      <c r="BD72" t="s">
        <v>464</v>
      </c>
      <c r="BE72">
        <v>652780961</v>
      </c>
      <c r="BF72" t="s">
        <v>465</v>
      </c>
      <c r="BH72" t="str">
        <f t="shared" ref="BH72:BH82" si="25">IFERROR("S"&amp;(IF(_xlfn.ISOWEEKNUM(I72)&gt;0,_xlfn.ISOWEEKNUM(I72),_xlfn.CONCAT("0",_xlfn.ISOWEEKNUM(I72))))&amp;"_"&amp;(YEAR(I72+26-(_xlfn.ISOWEEKNUM(I72)))),"")</f>
        <v/>
      </c>
      <c r="BI72" s="11">
        <v>45549</v>
      </c>
      <c r="BJ72" t="str">
        <f t="shared" si="16"/>
        <v>S37_2024</v>
      </c>
      <c r="BK72" t="s">
        <v>117</v>
      </c>
      <c r="BL72" t="str">
        <f t="shared" si="17"/>
        <v>S37_2024</v>
      </c>
      <c r="BN72" s="11">
        <v>45549</v>
      </c>
      <c r="BO72" t="str">
        <f t="shared" si="18"/>
        <v>S37_2024</v>
      </c>
      <c r="BP72" t="s">
        <v>114</v>
      </c>
      <c r="BQ72" t="s">
        <v>118</v>
      </c>
      <c r="BW72" s="11"/>
      <c r="BX72" s="11"/>
      <c r="BY72" s="11"/>
      <c r="CB72" s="11"/>
      <c r="CC72" s="11"/>
      <c r="CD72" s="11"/>
      <c r="CG72" s="11"/>
      <c r="CI72" t="s">
        <v>134</v>
      </c>
      <c r="CJ72" t="s">
        <v>466</v>
      </c>
      <c r="CK72" t="s">
        <v>467</v>
      </c>
      <c r="CN72" t="s">
        <v>458</v>
      </c>
      <c r="CO72" t="str">
        <f t="shared" si="19"/>
        <v>POSITIFPOSITIF</v>
      </c>
      <c r="CP72" s="11">
        <v>45549</v>
      </c>
      <c r="CR72">
        <f t="shared" si="21"/>
        <v>1</v>
      </c>
      <c r="CS72">
        <f t="shared" si="22"/>
        <v>-1</v>
      </c>
      <c r="CT72">
        <f t="shared" si="13"/>
        <v>13</v>
      </c>
      <c r="CU72" t="str">
        <f t="shared" si="23"/>
        <v/>
      </c>
      <c r="CV72">
        <f t="shared" si="24"/>
        <v>13</v>
      </c>
      <c r="CX72" s="11">
        <v>45536</v>
      </c>
      <c r="CY72" t="str">
        <f t="shared" si="20"/>
        <v>S35_2024</v>
      </c>
      <c r="DC72" t="s">
        <v>139</v>
      </c>
    </row>
    <row r="73" spans="1:107" x14ac:dyDescent="0.35">
      <c r="A73" t="s">
        <v>468</v>
      </c>
      <c r="B73" s="10" t="str">
        <f t="shared" si="14"/>
        <v>S37_2024</v>
      </c>
      <c r="C73" s="10" t="str">
        <f t="shared" si="15"/>
        <v>S34_2024</v>
      </c>
      <c r="D73" s="11">
        <v>45550</v>
      </c>
      <c r="E73" t="s">
        <v>106</v>
      </c>
      <c r="F73">
        <v>0.25</v>
      </c>
      <c r="G73" t="s">
        <v>141</v>
      </c>
      <c r="H73" t="s">
        <v>108</v>
      </c>
      <c r="J73" t="s">
        <v>114</v>
      </c>
      <c r="K73" s="12" t="s">
        <v>110</v>
      </c>
      <c r="L73" t="s">
        <v>111</v>
      </c>
      <c r="M73" t="s">
        <v>385</v>
      </c>
      <c r="N73" t="s">
        <v>469</v>
      </c>
      <c r="O73" t="s">
        <v>470</v>
      </c>
      <c r="P73" t="s">
        <v>471</v>
      </c>
      <c r="Q73" t="s">
        <v>385</v>
      </c>
      <c r="R73" s="11">
        <v>45524</v>
      </c>
      <c r="S73" s="11">
        <v>45524</v>
      </c>
      <c r="T73" s="11">
        <v>45524</v>
      </c>
      <c r="V73" t="s">
        <v>109</v>
      </c>
      <c r="X73" t="s">
        <v>109</v>
      </c>
      <c r="Y73" t="s">
        <v>109</v>
      </c>
      <c r="AB73" t="s">
        <v>114</v>
      </c>
      <c r="AE73" t="s">
        <v>114</v>
      </c>
      <c r="AN73" t="s">
        <v>132</v>
      </c>
      <c r="AR73" t="s">
        <v>472</v>
      </c>
      <c r="AS73" s="11">
        <v>45550</v>
      </c>
      <c r="AU73" t="s">
        <v>114</v>
      </c>
      <c r="AV73" t="s">
        <v>134</v>
      </c>
      <c r="AW73" t="s">
        <v>152</v>
      </c>
      <c r="AY73" t="s">
        <v>463</v>
      </c>
      <c r="BB73" t="s">
        <v>114</v>
      </c>
      <c r="BC73" s="11">
        <v>45550</v>
      </c>
      <c r="BH73" t="str">
        <f t="shared" si="25"/>
        <v/>
      </c>
      <c r="BI73" s="11">
        <v>45550</v>
      </c>
      <c r="BJ73" t="str">
        <f t="shared" si="16"/>
        <v>S37_2024</v>
      </c>
      <c r="BK73" t="s">
        <v>117</v>
      </c>
      <c r="BL73" t="str">
        <f t="shared" si="17"/>
        <v>S37_2024</v>
      </c>
      <c r="BN73" s="11">
        <v>45550</v>
      </c>
      <c r="BO73" t="str">
        <f t="shared" si="18"/>
        <v>S37_2024</v>
      </c>
      <c r="BP73" t="s">
        <v>114</v>
      </c>
      <c r="BQ73" t="s">
        <v>118</v>
      </c>
      <c r="BW73" s="11"/>
      <c r="BX73" s="11"/>
      <c r="BY73" s="11"/>
      <c r="CB73" s="11"/>
      <c r="CC73" s="11"/>
      <c r="CD73" s="11"/>
      <c r="CG73" s="11"/>
      <c r="CI73" t="s">
        <v>134</v>
      </c>
      <c r="CJ73" t="s">
        <v>466</v>
      </c>
      <c r="CK73" t="s">
        <v>467</v>
      </c>
      <c r="CN73" t="s">
        <v>473</v>
      </c>
      <c r="CO73" t="str">
        <f t="shared" si="19"/>
        <v>POSITIFPOSITIF</v>
      </c>
      <c r="CP73" s="11">
        <v>45550</v>
      </c>
      <c r="CR73">
        <f t="shared" si="21"/>
        <v>0</v>
      </c>
      <c r="CS73">
        <f t="shared" si="22"/>
        <v>0</v>
      </c>
      <c r="CT73">
        <f t="shared" si="13"/>
        <v>26</v>
      </c>
      <c r="CU73" t="e">
        <f t="shared" si="23"/>
        <v>#VALUE!</v>
      </c>
      <c r="CV73">
        <f t="shared" si="24"/>
        <v>26</v>
      </c>
      <c r="CX73" s="11">
        <v>45524</v>
      </c>
      <c r="CY73" t="str">
        <f t="shared" si="20"/>
        <v>S34_2024</v>
      </c>
      <c r="DC73" t="s">
        <v>139</v>
      </c>
    </row>
    <row r="74" spans="1:107" x14ac:dyDescent="0.35">
      <c r="A74" t="s">
        <v>474</v>
      </c>
      <c r="B74" s="10" t="str">
        <f t="shared" si="14"/>
        <v>S37_2024</v>
      </c>
      <c r="C74" s="10" t="str">
        <f t="shared" si="15"/>
        <v>S36_2024</v>
      </c>
      <c r="D74" s="11">
        <v>45550</v>
      </c>
      <c r="E74" t="s">
        <v>123</v>
      </c>
      <c r="F74">
        <v>0.9</v>
      </c>
      <c r="G74" t="s">
        <v>141</v>
      </c>
      <c r="H74" t="s">
        <v>108</v>
      </c>
      <c r="J74" t="s">
        <v>150</v>
      </c>
      <c r="K74" s="12"/>
      <c r="L74" t="s">
        <v>111</v>
      </c>
      <c r="M74" t="s">
        <v>385</v>
      </c>
      <c r="N74" t="s">
        <v>385</v>
      </c>
      <c r="O74" t="s">
        <v>184</v>
      </c>
      <c r="P74" t="s">
        <v>475</v>
      </c>
      <c r="Q74" t="s">
        <v>385</v>
      </c>
      <c r="R74" s="11">
        <v>45540</v>
      </c>
      <c r="S74" s="11">
        <v>45540</v>
      </c>
      <c r="T74" s="11">
        <v>45540</v>
      </c>
      <c r="V74" t="s">
        <v>114</v>
      </c>
      <c r="W74" t="s">
        <v>114</v>
      </c>
      <c r="X74" t="s">
        <v>114</v>
      </c>
      <c r="Y74" t="s">
        <v>114</v>
      </c>
      <c r="AB74" t="s">
        <v>114</v>
      </c>
      <c r="AE74" t="s">
        <v>114</v>
      </c>
      <c r="AK74" t="s">
        <v>132</v>
      </c>
      <c r="AM74" t="s">
        <v>142</v>
      </c>
      <c r="AN74" t="s">
        <v>132</v>
      </c>
      <c r="AQ74" t="s">
        <v>132</v>
      </c>
      <c r="AS74" s="11">
        <v>45550</v>
      </c>
      <c r="AU74" t="s">
        <v>114</v>
      </c>
      <c r="AV74" t="s">
        <v>134</v>
      </c>
      <c r="AW74" t="s">
        <v>152</v>
      </c>
      <c r="AY74" t="s">
        <v>135</v>
      </c>
      <c r="BB74" t="s">
        <v>114</v>
      </c>
      <c r="BC74" s="11">
        <v>45550</v>
      </c>
      <c r="BD74" t="s">
        <v>284</v>
      </c>
      <c r="BE74">
        <v>670493130</v>
      </c>
      <c r="BF74" t="s">
        <v>476</v>
      </c>
      <c r="BH74" t="str">
        <f t="shared" si="25"/>
        <v/>
      </c>
      <c r="BI74" s="11">
        <v>45550</v>
      </c>
      <c r="BJ74" t="str">
        <f t="shared" si="16"/>
        <v>S37_2024</v>
      </c>
      <c r="BK74" t="s">
        <v>117</v>
      </c>
      <c r="BL74" t="str">
        <f t="shared" si="17"/>
        <v>S37_2024</v>
      </c>
      <c r="BN74" s="11">
        <v>45550</v>
      </c>
      <c r="BO74" t="str">
        <f t="shared" si="18"/>
        <v>S37_2024</v>
      </c>
      <c r="BP74" t="s">
        <v>114</v>
      </c>
      <c r="BQ74" t="s">
        <v>118</v>
      </c>
      <c r="BW74" s="11"/>
      <c r="BX74" s="11"/>
      <c r="BY74" s="11"/>
      <c r="CB74" s="11"/>
      <c r="CC74" s="11"/>
      <c r="CD74" s="11"/>
      <c r="CG74" s="11"/>
      <c r="CI74" t="s">
        <v>134</v>
      </c>
      <c r="CJ74" t="s">
        <v>456</v>
      </c>
      <c r="CK74" t="s">
        <v>457</v>
      </c>
      <c r="CN74" t="s">
        <v>460</v>
      </c>
      <c r="CO74" t="str">
        <f t="shared" si="19"/>
        <v>POSITIFPOSITIF</v>
      </c>
      <c r="CP74" s="11">
        <v>45550</v>
      </c>
      <c r="CR74">
        <f t="shared" si="21"/>
        <v>0</v>
      </c>
      <c r="CS74">
        <f t="shared" si="22"/>
        <v>0</v>
      </c>
      <c r="CT74">
        <f t="shared" si="13"/>
        <v>10</v>
      </c>
      <c r="CU74" t="str">
        <f t="shared" si="23"/>
        <v/>
      </c>
      <c r="CV74">
        <f t="shared" si="24"/>
        <v>10</v>
      </c>
      <c r="CX74" s="11">
        <v>45540</v>
      </c>
      <c r="CY74" t="str">
        <f t="shared" si="20"/>
        <v>S36_2024</v>
      </c>
      <c r="DC74" t="s">
        <v>139</v>
      </c>
    </row>
    <row r="75" spans="1:107" x14ac:dyDescent="0.35">
      <c r="A75" t="s">
        <v>477</v>
      </c>
      <c r="B75" s="10" t="str">
        <f t="shared" si="14"/>
        <v>S37_2024</v>
      </c>
      <c r="C75" s="10" t="str">
        <f t="shared" si="15"/>
        <v>S9_2024</v>
      </c>
      <c r="D75" s="11">
        <v>45550</v>
      </c>
      <c r="E75" t="s">
        <v>123</v>
      </c>
      <c r="F75">
        <v>1</v>
      </c>
      <c r="G75" t="s">
        <v>141</v>
      </c>
      <c r="H75" t="s">
        <v>108</v>
      </c>
      <c r="J75" t="s">
        <v>132</v>
      </c>
      <c r="K75" s="12"/>
      <c r="L75" t="s">
        <v>111</v>
      </c>
      <c r="M75" t="s">
        <v>385</v>
      </c>
      <c r="N75" t="s">
        <v>385</v>
      </c>
      <c r="O75" t="s">
        <v>184</v>
      </c>
      <c r="P75" t="s">
        <v>478</v>
      </c>
      <c r="Q75" t="s">
        <v>385</v>
      </c>
      <c r="R75" s="11">
        <v>45352</v>
      </c>
      <c r="S75" s="11">
        <v>45352</v>
      </c>
      <c r="T75" s="11">
        <v>45352</v>
      </c>
      <c r="V75" t="s">
        <v>114</v>
      </c>
      <c r="AE75" t="s">
        <v>114</v>
      </c>
      <c r="AK75" t="s">
        <v>132</v>
      </c>
      <c r="AM75" t="s">
        <v>132</v>
      </c>
      <c r="AN75" t="s">
        <v>132</v>
      </c>
      <c r="AQ75" t="s">
        <v>132</v>
      </c>
      <c r="AS75" s="11">
        <v>45550</v>
      </c>
      <c r="AU75" t="s">
        <v>114</v>
      </c>
      <c r="AV75" t="s">
        <v>134</v>
      </c>
      <c r="AW75" t="s">
        <v>152</v>
      </c>
      <c r="AY75" t="s">
        <v>135</v>
      </c>
      <c r="BB75" t="s">
        <v>114</v>
      </c>
      <c r="BC75" s="11">
        <v>45550</v>
      </c>
      <c r="BD75" t="s">
        <v>464</v>
      </c>
      <c r="BE75">
        <v>678209125</v>
      </c>
      <c r="BF75" t="s">
        <v>465</v>
      </c>
      <c r="BH75" t="str">
        <f t="shared" si="25"/>
        <v/>
      </c>
      <c r="BI75" s="11">
        <v>45550</v>
      </c>
      <c r="BJ75" t="str">
        <f t="shared" si="16"/>
        <v>S37_2024</v>
      </c>
      <c r="BK75" t="s">
        <v>117</v>
      </c>
      <c r="BL75" t="str">
        <f t="shared" si="17"/>
        <v>S37_2024</v>
      </c>
      <c r="BN75" s="11">
        <v>45550</v>
      </c>
      <c r="BO75" t="str">
        <f t="shared" si="18"/>
        <v>S37_2024</v>
      </c>
      <c r="BP75" t="s">
        <v>114</v>
      </c>
      <c r="BQ75" t="s">
        <v>118</v>
      </c>
      <c r="BW75" s="11"/>
      <c r="BX75" s="11"/>
      <c r="BY75" s="11"/>
      <c r="CB75" s="11"/>
      <c r="CC75" s="11"/>
      <c r="CD75" s="11"/>
      <c r="CG75" s="11"/>
      <c r="CI75" t="s">
        <v>134</v>
      </c>
      <c r="CJ75" t="s">
        <v>456</v>
      </c>
      <c r="CK75" t="s">
        <v>457</v>
      </c>
      <c r="CN75" t="s">
        <v>460</v>
      </c>
      <c r="CO75" t="str">
        <f t="shared" si="19"/>
        <v>POSITIFPOSITIF</v>
      </c>
      <c r="CP75" s="11">
        <v>45550</v>
      </c>
      <c r="CR75">
        <f t="shared" si="21"/>
        <v>0</v>
      </c>
      <c r="CS75">
        <f t="shared" si="22"/>
        <v>0</v>
      </c>
      <c r="CT75">
        <f t="shared" si="13"/>
        <v>198</v>
      </c>
      <c r="CU75" t="str">
        <f t="shared" si="23"/>
        <v/>
      </c>
      <c r="CV75">
        <f t="shared" si="24"/>
        <v>198</v>
      </c>
      <c r="CX75" s="11">
        <v>45352</v>
      </c>
      <c r="CY75" t="str">
        <f t="shared" si="20"/>
        <v>S9_2024</v>
      </c>
      <c r="DC75" t="s">
        <v>139</v>
      </c>
    </row>
    <row r="76" spans="1:107" x14ac:dyDescent="0.35">
      <c r="A76" t="s">
        <v>479</v>
      </c>
      <c r="B76" s="10" t="str">
        <f t="shared" si="14"/>
        <v>S37_2024</v>
      </c>
      <c r="C76" s="10" t="str">
        <f t="shared" si="15"/>
        <v>S9_2024</v>
      </c>
      <c r="D76" s="11">
        <v>45550</v>
      </c>
      <c r="E76" t="s">
        <v>106</v>
      </c>
      <c r="F76">
        <v>1</v>
      </c>
      <c r="G76" t="s">
        <v>141</v>
      </c>
      <c r="H76" t="s">
        <v>108</v>
      </c>
      <c r="J76" t="s">
        <v>150</v>
      </c>
      <c r="K76" s="12"/>
      <c r="L76" t="s">
        <v>111</v>
      </c>
      <c r="M76" t="s">
        <v>385</v>
      </c>
      <c r="N76" t="s">
        <v>385</v>
      </c>
      <c r="O76" t="s">
        <v>184</v>
      </c>
      <c r="P76" t="s">
        <v>480</v>
      </c>
      <c r="Q76" t="s">
        <v>385</v>
      </c>
      <c r="R76" s="11">
        <v>45352</v>
      </c>
      <c r="S76" s="11">
        <v>45352</v>
      </c>
      <c r="T76" s="11">
        <v>45352</v>
      </c>
      <c r="V76" t="s">
        <v>114</v>
      </c>
      <c r="X76" t="s">
        <v>114</v>
      </c>
      <c r="AA76" t="s">
        <v>114</v>
      </c>
      <c r="AB76" t="s">
        <v>114</v>
      </c>
      <c r="AE76" t="s">
        <v>114</v>
      </c>
      <c r="AK76" t="s">
        <v>132</v>
      </c>
      <c r="AN76" t="s">
        <v>132</v>
      </c>
      <c r="AQ76" t="s">
        <v>132</v>
      </c>
      <c r="AS76" s="11">
        <v>45550</v>
      </c>
      <c r="AU76" t="s">
        <v>114</v>
      </c>
      <c r="AV76" t="s">
        <v>134</v>
      </c>
      <c r="AW76" t="s">
        <v>152</v>
      </c>
      <c r="AY76" t="s">
        <v>463</v>
      </c>
      <c r="BB76" t="s">
        <v>114</v>
      </c>
      <c r="BC76" s="11">
        <v>45550</v>
      </c>
      <c r="BD76" t="s">
        <v>284</v>
      </c>
      <c r="BE76">
        <v>691411152</v>
      </c>
      <c r="BF76" t="s">
        <v>386</v>
      </c>
      <c r="BH76" t="str">
        <f t="shared" si="25"/>
        <v/>
      </c>
      <c r="BI76" s="11">
        <v>45550</v>
      </c>
      <c r="BJ76" t="str">
        <f t="shared" si="16"/>
        <v>S37_2024</v>
      </c>
      <c r="BK76" t="s">
        <v>117</v>
      </c>
      <c r="BL76" t="str">
        <f t="shared" si="17"/>
        <v>S37_2024</v>
      </c>
      <c r="BN76" s="11">
        <v>45550</v>
      </c>
      <c r="BO76" t="str">
        <f t="shared" si="18"/>
        <v>S37_2024</v>
      </c>
      <c r="BP76" t="s">
        <v>114</v>
      </c>
      <c r="BQ76" t="s">
        <v>118</v>
      </c>
      <c r="BW76" s="11"/>
      <c r="BX76" s="11"/>
      <c r="BY76" s="11"/>
      <c r="CB76" s="11"/>
      <c r="CC76" s="11"/>
      <c r="CD76" s="11"/>
      <c r="CG76" s="11"/>
      <c r="CI76" t="s">
        <v>134</v>
      </c>
      <c r="CJ76" t="s">
        <v>466</v>
      </c>
      <c r="CK76" t="s">
        <v>452</v>
      </c>
      <c r="CN76" t="s">
        <v>452</v>
      </c>
      <c r="CO76" t="str">
        <f t="shared" si="19"/>
        <v>POSITIFPOSITIF</v>
      </c>
      <c r="CP76" s="11">
        <v>45550</v>
      </c>
      <c r="CR76">
        <f t="shared" si="21"/>
        <v>0</v>
      </c>
      <c r="CS76">
        <f t="shared" si="22"/>
        <v>0</v>
      </c>
      <c r="CT76">
        <f t="shared" si="13"/>
        <v>198</v>
      </c>
      <c r="CU76" t="str">
        <f t="shared" si="23"/>
        <v/>
      </c>
      <c r="CV76">
        <f t="shared" si="24"/>
        <v>198</v>
      </c>
      <c r="CX76" s="11">
        <v>45352</v>
      </c>
      <c r="CY76" t="str">
        <f t="shared" si="20"/>
        <v>S9_2024</v>
      </c>
      <c r="DC76" t="s">
        <v>139</v>
      </c>
    </row>
    <row r="77" spans="1:107" x14ac:dyDescent="0.35">
      <c r="A77" t="s">
        <v>481</v>
      </c>
      <c r="B77" s="10" t="str">
        <f t="shared" si="14"/>
        <v>S37_2024</v>
      </c>
      <c r="C77" s="10" t="str">
        <f t="shared" si="15"/>
        <v>S36_2024</v>
      </c>
      <c r="D77" s="11">
        <v>45550</v>
      </c>
      <c r="E77" t="s">
        <v>106</v>
      </c>
      <c r="F77">
        <v>1</v>
      </c>
      <c r="G77" t="s">
        <v>141</v>
      </c>
      <c r="H77" t="s">
        <v>108</v>
      </c>
      <c r="J77" t="s">
        <v>150</v>
      </c>
      <c r="K77" s="12"/>
      <c r="L77" t="s">
        <v>111</v>
      </c>
      <c r="M77" t="s">
        <v>385</v>
      </c>
      <c r="N77" t="s">
        <v>385</v>
      </c>
      <c r="O77" t="s">
        <v>184</v>
      </c>
      <c r="P77" t="s">
        <v>475</v>
      </c>
      <c r="Q77" t="s">
        <v>385</v>
      </c>
      <c r="R77" s="11">
        <v>45543</v>
      </c>
      <c r="S77" s="11">
        <v>45543</v>
      </c>
      <c r="T77" s="11">
        <v>45543</v>
      </c>
      <c r="V77" t="s">
        <v>114</v>
      </c>
      <c r="W77" t="s">
        <v>114</v>
      </c>
      <c r="AB77" t="s">
        <v>114</v>
      </c>
      <c r="AE77" t="s">
        <v>114</v>
      </c>
      <c r="AK77" t="s">
        <v>132</v>
      </c>
      <c r="AM77" t="s">
        <v>142</v>
      </c>
      <c r="AN77" t="s">
        <v>132</v>
      </c>
      <c r="AQ77" t="s">
        <v>132</v>
      </c>
      <c r="AS77" s="11">
        <v>45550</v>
      </c>
      <c r="AU77" t="s">
        <v>114</v>
      </c>
      <c r="AV77" t="s">
        <v>134</v>
      </c>
      <c r="AW77" t="s">
        <v>152</v>
      </c>
      <c r="AY77" t="s">
        <v>463</v>
      </c>
      <c r="BB77" t="s">
        <v>114</v>
      </c>
      <c r="BC77" s="11">
        <v>45550</v>
      </c>
      <c r="BD77" t="s">
        <v>284</v>
      </c>
      <c r="BE77">
        <v>670507543</v>
      </c>
      <c r="BF77" t="s">
        <v>476</v>
      </c>
      <c r="BH77" t="str">
        <f t="shared" si="25"/>
        <v/>
      </c>
      <c r="BI77" s="11">
        <v>45550</v>
      </c>
      <c r="BJ77" t="str">
        <f t="shared" si="16"/>
        <v>S37_2024</v>
      </c>
      <c r="BK77" t="s">
        <v>117</v>
      </c>
      <c r="BL77" t="str">
        <f t="shared" si="17"/>
        <v>S37_2024</v>
      </c>
      <c r="BN77" s="11">
        <v>45550</v>
      </c>
      <c r="BO77" t="str">
        <f t="shared" si="18"/>
        <v>S37_2024</v>
      </c>
      <c r="BP77" t="s">
        <v>114</v>
      </c>
      <c r="BQ77" t="s">
        <v>118</v>
      </c>
      <c r="BW77" s="11"/>
      <c r="BX77" s="11"/>
      <c r="BY77" s="11"/>
      <c r="CB77" s="11"/>
      <c r="CC77" s="11"/>
      <c r="CD77" s="11"/>
      <c r="CG77" s="11"/>
      <c r="CI77" t="s">
        <v>134</v>
      </c>
      <c r="CJ77" t="s">
        <v>466</v>
      </c>
      <c r="CK77" t="s">
        <v>467</v>
      </c>
      <c r="CN77" t="s">
        <v>458</v>
      </c>
      <c r="CO77" t="str">
        <f t="shared" si="19"/>
        <v>POSITIFPOSITIF</v>
      </c>
      <c r="CP77" s="11">
        <v>45550</v>
      </c>
      <c r="CR77">
        <f t="shared" si="21"/>
        <v>0</v>
      </c>
      <c r="CS77">
        <f t="shared" si="22"/>
        <v>0</v>
      </c>
      <c r="CT77">
        <f t="shared" si="13"/>
        <v>7</v>
      </c>
      <c r="CU77" t="str">
        <f t="shared" si="23"/>
        <v/>
      </c>
      <c r="CV77">
        <f t="shared" si="24"/>
        <v>7</v>
      </c>
      <c r="CX77" s="11">
        <v>45543</v>
      </c>
      <c r="CY77" t="str">
        <f t="shared" si="20"/>
        <v>S36_2024</v>
      </c>
      <c r="DC77" t="s">
        <v>139</v>
      </c>
    </row>
    <row r="78" spans="1:107" x14ac:dyDescent="0.35">
      <c r="A78" t="s">
        <v>482</v>
      </c>
      <c r="B78" s="10" t="str">
        <f t="shared" si="14"/>
        <v>S37_2024</v>
      </c>
      <c r="C78" s="10" t="str">
        <f t="shared" si="15"/>
        <v>S35_2024</v>
      </c>
      <c r="D78" s="11">
        <v>45550</v>
      </c>
      <c r="E78" t="s">
        <v>123</v>
      </c>
      <c r="F78">
        <v>3</v>
      </c>
      <c r="G78" t="s">
        <v>141</v>
      </c>
      <c r="H78" t="s">
        <v>108</v>
      </c>
      <c r="J78" t="s">
        <v>132</v>
      </c>
      <c r="K78" s="12"/>
      <c r="L78" t="s">
        <v>111</v>
      </c>
      <c r="M78" t="s">
        <v>385</v>
      </c>
      <c r="N78" t="s">
        <v>385</v>
      </c>
      <c r="O78" t="s">
        <v>184</v>
      </c>
      <c r="P78" t="s">
        <v>462</v>
      </c>
      <c r="Q78" t="s">
        <v>385</v>
      </c>
      <c r="R78" s="11">
        <v>45536</v>
      </c>
      <c r="S78" s="11">
        <v>45536</v>
      </c>
      <c r="T78" s="11">
        <v>45536</v>
      </c>
      <c r="X78" t="s">
        <v>114</v>
      </c>
      <c r="Y78" t="s">
        <v>114</v>
      </c>
      <c r="AE78" t="s">
        <v>114</v>
      </c>
      <c r="AK78" t="s">
        <v>132</v>
      </c>
      <c r="AM78" t="s">
        <v>114</v>
      </c>
      <c r="AN78" t="s">
        <v>114</v>
      </c>
      <c r="AS78" s="11">
        <v>45550</v>
      </c>
      <c r="AU78" t="s">
        <v>114</v>
      </c>
      <c r="AV78" t="s">
        <v>134</v>
      </c>
      <c r="AW78" t="s">
        <v>152</v>
      </c>
      <c r="AY78" t="s">
        <v>463</v>
      </c>
      <c r="BB78" t="s">
        <v>114</v>
      </c>
      <c r="BC78" s="11">
        <v>45549</v>
      </c>
      <c r="BD78" t="s">
        <v>284</v>
      </c>
      <c r="BE78">
        <v>672543164</v>
      </c>
      <c r="BF78" t="s">
        <v>465</v>
      </c>
      <c r="BH78" t="str">
        <f t="shared" si="25"/>
        <v/>
      </c>
      <c r="BI78" s="11">
        <v>45550</v>
      </c>
      <c r="BJ78" t="str">
        <f t="shared" si="16"/>
        <v>S37_2024</v>
      </c>
      <c r="BK78" t="s">
        <v>117</v>
      </c>
      <c r="BL78" t="str">
        <f t="shared" si="17"/>
        <v>S37_2024</v>
      </c>
      <c r="BN78" s="11">
        <v>45549</v>
      </c>
      <c r="BO78" t="str">
        <f t="shared" si="18"/>
        <v>S37_2024</v>
      </c>
      <c r="BP78" t="s">
        <v>114</v>
      </c>
      <c r="BQ78" t="s">
        <v>118</v>
      </c>
      <c r="BW78" s="11"/>
      <c r="BX78" s="11"/>
      <c r="BY78" s="11"/>
      <c r="CB78" s="11"/>
      <c r="CC78" s="11"/>
      <c r="CD78" s="11"/>
      <c r="CG78" s="11"/>
      <c r="CI78" t="s">
        <v>134</v>
      </c>
      <c r="CJ78" t="s">
        <v>466</v>
      </c>
      <c r="CK78" t="s">
        <v>467</v>
      </c>
      <c r="CN78" t="s">
        <v>458</v>
      </c>
      <c r="CO78" t="str">
        <f t="shared" si="19"/>
        <v>POSITIFPOSITIF</v>
      </c>
      <c r="CP78" s="11">
        <v>45549</v>
      </c>
      <c r="CR78">
        <f t="shared" si="21"/>
        <v>1</v>
      </c>
      <c r="CS78">
        <f t="shared" si="22"/>
        <v>-1</v>
      </c>
      <c r="CT78">
        <f t="shared" si="13"/>
        <v>13</v>
      </c>
      <c r="CU78" t="str">
        <f t="shared" si="23"/>
        <v/>
      </c>
      <c r="CV78">
        <f t="shared" si="24"/>
        <v>14</v>
      </c>
      <c r="CX78" s="11">
        <v>45536</v>
      </c>
      <c r="CY78" t="str">
        <f t="shared" si="20"/>
        <v>S35_2024</v>
      </c>
      <c r="DC78" t="s">
        <v>139</v>
      </c>
    </row>
    <row r="79" spans="1:107" x14ac:dyDescent="0.35">
      <c r="A79" t="s">
        <v>483</v>
      </c>
      <c r="B79" s="10" t="str">
        <f t="shared" si="14"/>
        <v>S37_2024</v>
      </c>
      <c r="C79" s="10" t="str">
        <f t="shared" si="15"/>
        <v>S9_2024</v>
      </c>
      <c r="D79" s="11">
        <v>45550</v>
      </c>
      <c r="E79" t="s">
        <v>106</v>
      </c>
      <c r="F79">
        <v>3</v>
      </c>
      <c r="G79" t="s">
        <v>141</v>
      </c>
      <c r="H79" t="s">
        <v>108</v>
      </c>
      <c r="J79" t="s">
        <v>150</v>
      </c>
      <c r="K79" s="12"/>
      <c r="L79" t="s">
        <v>111</v>
      </c>
      <c r="M79" t="s">
        <v>385</v>
      </c>
      <c r="N79" t="s">
        <v>385</v>
      </c>
      <c r="O79" t="s">
        <v>184</v>
      </c>
      <c r="P79" t="s">
        <v>480</v>
      </c>
      <c r="Q79" t="s">
        <v>385</v>
      </c>
      <c r="R79" s="11">
        <v>45352</v>
      </c>
      <c r="S79" s="11">
        <v>45352</v>
      </c>
      <c r="T79" s="11">
        <v>45352</v>
      </c>
      <c r="V79" t="s">
        <v>114</v>
      </c>
      <c r="W79" t="s">
        <v>114</v>
      </c>
      <c r="X79" t="s">
        <v>114</v>
      </c>
      <c r="AB79" t="s">
        <v>114</v>
      </c>
      <c r="AE79" t="s">
        <v>114</v>
      </c>
      <c r="AK79" t="s">
        <v>132</v>
      </c>
      <c r="AM79" t="s">
        <v>142</v>
      </c>
      <c r="AN79" t="s">
        <v>132</v>
      </c>
      <c r="AQ79" t="s">
        <v>132</v>
      </c>
      <c r="AS79" s="11">
        <v>45550</v>
      </c>
      <c r="AU79" t="s">
        <v>114</v>
      </c>
      <c r="AV79" t="s">
        <v>134</v>
      </c>
      <c r="AW79" t="s">
        <v>152</v>
      </c>
      <c r="AY79" t="s">
        <v>463</v>
      </c>
      <c r="BB79" t="s">
        <v>114</v>
      </c>
      <c r="BC79" s="11">
        <v>45550</v>
      </c>
      <c r="BD79" t="s">
        <v>464</v>
      </c>
      <c r="BE79">
        <v>691411152</v>
      </c>
      <c r="BF79" t="s">
        <v>386</v>
      </c>
      <c r="BH79" t="str">
        <f t="shared" si="25"/>
        <v/>
      </c>
      <c r="BI79" s="11">
        <v>45550</v>
      </c>
      <c r="BJ79" t="str">
        <f t="shared" si="16"/>
        <v>S37_2024</v>
      </c>
      <c r="BK79" t="s">
        <v>117</v>
      </c>
      <c r="BL79" t="str">
        <f t="shared" si="17"/>
        <v>S37_2024</v>
      </c>
      <c r="BN79" s="11">
        <v>45550</v>
      </c>
      <c r="BO79" t="str">
        <f t="shared" si="18"/>
        <v>S37_2024</v>
      </c>
      <c r="BP79" t="s">
        <v>114</v>
      </c>
      <c r="BQ79" t="s">
        <v>118</v>
      </c>
      <c r="BW79" s="11"/>
      <c r="BX79" s="11"/>
      <c r="BY79" s="11"/>
      <c r="CB79" s="11"/>
      <c r="CC79" s="11"/>
      <c r="CD79" s="11"/>
      <c r="CG79" s="11"/>
      <c r="CI79" t="s">
        <v>134</v>
      </c>
      <c r="CJ79" t="s">
        <v>466</v>
      </c>
      <c r="CK79" t="s">
        <v>467</v>
      </c>
      <c r="CN79" t="s">
        <v>473</v>
      </c>
      <c r="CO79" t="str">
        <f t="shared" si="19"/>
        <v>POSITIFPOSITIF</v>
      </c>
      <c r="CP79" s="11">
        <v>45550</v>
      </c>
      <c r="CR79">
        <f t="shared" si="21"/>
        <v>0</v>
      </c>
      <c r="CS79">
        <f t="shared" si="22"/>
        <v>0</v>
      </c>
      <c r="CT79">
        <f t="shared" si="13"/>
        <v>198</v>
      </c>
      <c r="CU79" t="str">
        <f t="shared" si="23"/>
        <v/>
      </c>
      <c r="CV79">
        <f t="shared" si="24"/>
        <v>198</v>
      </c>
      <c r="CX79" s="11">
        <v>45352</v>
      </c>
      <c r="CY79" t="str">
        <f t="shared" si="20"/>
        <v>S9_2024</v>
      </c>
      <c r="DC79" t="s">
        <v>139</v>
      </c>
    </row>
    <row r="80" spans="1:107" x14ac:dyDescent="0.35">
      <c r="A80" t="s">
        <v>484</v>
      </c>
      <c r="B80" s="10" t="str">
        <f t="shared" si="14"/>
        <v>S37_2024</v>
      </c>
      <c r="C80" s="10" t="str">
        <f t="shared" si="15"/>
        <v>S9_2024</v>
      </c>
      <c r="D80" s="11">
        <v>45550</v>
      </c>
      <c r="E80" t="s">
        <v>123</v>
      </c>
      <c r="F80">
        <v>4</v>
      </c>
      <c r="G80" t="s">
        <v>107</v>
      </c>
      <c r="H80" t="s">
        <v>108</v>
      </c>
      <c r="J80" t="s">
        <v>132</v>
      </c>
      <c r="K80" s="12"/>
      <c r="L80" t="s">
        <v>111</v>
      </c>
      <c r="M80" t="s">
        <v>385</v>
      </c>
      <c r="N80" t="s">
        <v>385</v>
      </c>
      <c r="O80" t="s">
        <v>184</v>
      </c>
      <c r="P80" t="s">
        <v>478</v>
      </c>
      <c r="Q80" t="s">
        <v>385</v>
      </c>
      <c r="R80" s="11">
        <v>45352</v>
      </c>
      <c r="S80" s="11">
        <v>45352</v>
      </c>
      <c r="T80" s="11">
        <v>45352</v>
      </c>
      <c r="AE80" t="s">
        <v>114</v>
      </c>
      <c r="AK80" t="s">
        <v>114</v>
      </c>
      <c r="AM80" t="s">
        <v>142</v>
      </c>
      <c r="AN80" t="s">
        <v>132</v>
      </c>
      <c r="AQ80" t="s">
        <v>132</v>
      </c>
      <c r="AS80" s="11">
        <v>45550</v>
      </c>
      <c r="AU80" t="s">
        <v>114</v>
      </c>
      <c r="AV80" t="s">
        <v>134</v>
      </c>
      <c r="AW80" t="s">
        <v>152</v>
      </c>
      <c r="AY80" t="s">
        <v>463</v>
      </c>
      <c r="BB80" t="s">
        <v>114</v>
      </c>
      <c r="BC80" s="11">
        <v>45550</v>
      </c>
      <c r="BD80" t="s">
        <v>464</v>
      </c>
      <c r="BE80">
        <v>678209125</v>
      </c>
      <c r="BF80" t="s">
        <v>465</v>
      </c>
      <c r="BH80" t="str">
        <f t="shared" si="25"/>
        <v/>
      </c>
      <c r="BI80" s="11">
        <v>45550</v>
      </c>
      <c r="BJ80" t="str">
        <f t="shared" si="16"/>
        <v>S37_2024</v>
      </c>
      <c r="BK80" t="s">
        <v>117</v>
      </c>
      <c r="BL80" t="str">
        <f t="shared" si="17"/>
        <v>S37_2024</v>
      </c>
      <c r="BN80" s="11">
        <v>45550</v>
      </c>
      <c r="BO80" t="str">
        <f t="shared" si="18"/>
        <v>S37_2024</v>
      </c>
      <c r="BP80" t="s">
        <v>114</v>
      </c>
      <c r="BQ80" t="s">
        <v>118</v>
      </c>
      <c r="BW80" s="11"/>
      <c r="BX80" s="11"/>
      <c r="BY80" s="11"/>
      <c r="CB80" s="11"/>
      <c r="CC80" s="11"/>
      <c r="CD80" s="11"/>
      <c r="CG80" s="11"/>
      <c r="CI80" t="s">
        <v>134</v>
      </c>
      <c r="CJ80" t="s">
        <v>466</v>
      </c>
      <c r="CK80" t="s">
        <v>467</v>
      </c>
      <c r="CN80" t="s">
        <v>458</v>
      </c>
      <c r="CO80" t="str">
        <f t="shared" si="19"/>
        <v>POSITIFPOSITIF</v>
      </c>
      <c r="CP80" s="11">
        <v>45550</v>
      </c>
      <c r="CR80">
        <f t="shared" si="21"/>
        <v>0</v>
      </c>
      <c r="CS80">
        <f t="shared" si="22"/>
        <v>0</v>
      </c>
      <c r="CT80">
        <f t="shared" si="13"/>
        <v>198</v>
      </c>
      <c r="CU80" t="str">
        <f t="shared" si="23"/>
        <v/>
      </c>
      <c r="CV80">
        <f t="shared" si="24"/>
        <v>198</v>
      </c>
      <c r="CX80" s="11">
        <v>45352</v>
      </c>
      <c r="CY80" t="str">
        <f t="shared" si="20"/>
        <v>S9_2024</v>
      </c>
      <c r="DC80" t="s">
        <v>139</v>
      </c>
    </row>
    <row r="81" spans="1:107" x14ac:dyDescent="0.35">
      <c r="A81" t="s">
        <v>485</v>
      </c>
      <c r="B81" s="10" t="str">
        <f t="shared" si="14"/>
        <v>S37_2024</v>
      </c>
      <c r="C81" s="10" t="str">
        <f t="shared" si="15"/>
        <v>S9_2024</v>
      </c>
      <c r="D81" s="11">
        <v>45550</v>
      </c>
      <c r="E81" t="s">
        <v>123</v>
      </c>
      <c r="F81">
        <v>30</v>
      </c>
      <c r="G81" t="s">
        <v>486</v>
      </c>
      <c r="H81" t="s">
        <v>108</v>
      </c>
      <c r="J81" t="s">
        <v>132</v>
      </c>
      <c r="K81" s="12"/>
      <c r="L81" t="s">
        <v>111</v>
      </c>
      <c r="M81" t="s">
        <v>385</v>
      </c>
      <c r="N81" t="s">
        <v>385</v>
      </c>
      <c r="O81" t="s">
        <v>184</v>
      </c>
      <c r="P81" t="s">
        <v>478</v>
      </c>
      <c r="Q81" t="s">
        <v>385</v>
      </c>
      <c r="R81" s="11">
        <v>45352</v>
      </c>
      <c r="S81" s="11">
        <v>45352</v>
      </c>
      <c r="T81" s="11">
        <v>45352</v>
      </c>
      <c r="X81" t="s">
        <v>114</v>
      </c>
      <c r="AE81" t="s">
        <v>114</v>
      </c>
      <c r="AK81" t="s">
        <v>132</v>
      </c>
      <c r="AM81" t="s">
        <v>114</v>
      </c>
      <c r="AN81" t="s">
        <v>132</v>
      </c>
      <c r="AQ81" t="s">
        <v>132</v>
      </c>
      <c r="AS81" s="11">
        <v>45550</v>
      </c>
      <c r="AU81" t="s">
        <v>114</v>
      </c>
      <c r="AV81" t="s">
        <v>134</v>
      </c>
      <c r="AW81" t="s">
        <v>152</v>
      </c>
      <c r="AY81" t="s">
        <v>135</v>
      </c>
      <c r="BB81" t="s">
        <v>114</v>
      </c>
      <c r="BC81" s="11">
        <v>45550</v>
      </c>
      <c r="BD81" t="s">
        <v>487</v>
      </c>
      <c r="BE81">
        <v>678209125</v>
      </c>
      <c r="BF81" t="s">
        <v>465</v>
      </c>
      <c r="BH81" t="str">
        <f t="shared" si="25"/>
        <v/>
      </c>
      <c r="BI81" s="11">
        <v>45550</v>
      </c>
      <c r="BJ81" t="str">
        <f t="shared" si="16"/>
        <v>S37_2024</v>
      </c>
      <c r="BK81" t="s">
        <v>117</v>
      </c>
      <c r="BL81" t="str">
        <f t="shared" si="17"/>
        <v>S37_2024</v>
      </c>
      <c r="BN81" s="11">
        <v>45550</v>
      </c>
      <c r="BO81" t="str">
        <f t="shared" si="18"/>
        <v>S37_2024</v>
      </c>
      <c r="BP81" t="s">
        <v>114</v>
      </c>
      <c r="BQ81" t="s">
        <v>118</v>
      </c>
      <c r="BW81" s="11"/>
      <c r="BX81" s="11"/>
      <c r="BY81" s="11"/>
      <c r="CB81" s="11"/>
      <c r="CC81" s="11"/>
      <c r="CD81" s="11"/>
      <c r="CG81" s="11"/>
      <c r="CI81" t="s">
        <v>134</v>
      </c>
      <c r="CJ81" t="s">
        <v>456</v>
      </c>
      <c r="CK81" t="s">
        <v>457</v>
      </c>
      <c r="CN81" t="s">
        <v>460</v>
      </c>
      <c r="CO81" t="str">
        <f t="shared" si="19"/>
        <v>POSITIFPOSITIF</v>
      </c>
      <c r="CP81" s="11">
        <v>45550</v>
      </c>
      <c r="CR81">
        <f t="shared" si="21"/>
        <v>0</v>
      </c>
      <c r="CS81">
        <f t="shared" si="22"/>
        <v>0</v>
      </c>
      <c r="CT81">
        <f t="shared" si="13"/>
        <v>198</v>
      </c>
      <c r="CU81" t="str">
        <f t="shared" si="23"/>
        <v/>
      </c>
      <c r="CV81">
        <f t="shared" si="24"/>
        <v>198</v>
      </c>
      <c r="CX81" s="11">
        <v>45352</v>
      </c>
      <c r="CY81" t="str">
        <f t="shared" si="20"/>
        <v>S9_2024</v>
      </c>
      <c r="DC81" t="s">
        <v>139</v>
      </c>
    </row>
    <row r="82" spans="1:107" x14ac:dyDescent="0.35">
      <c r="A82" t="s">
        <v>488</v>
      </c>
      <c r="B82" s="10" t="str">
        <f t="shared" si="14"/>
        <v>S37_2024</v>
      </c>
      <c r="C82" s="10" t="str">
        <f t="shared" si="15"/>
        <v>S9_2024</v>
      </c>
      <c r="D82" s="11">
        <v>45550</v>
      </c>
      <c r="E82" t="s">
        <v>106</v>
      </c>
      <c r="F82">
        <v>27</v>
      </c>
      <c r="G82" t="s">
        <v>323</v>
      </c>
      <c r="H82" t="s">
        <v>108</v>
      </c>
      <c r="J82" t="s">
        <v>132</v>
      </c>
      <c r="K82" s="12"/>
      <c r="L82" t="s">
        <v>111</v>
      </c>
      <c r="M82" t="s">
        <v>385</v>
      </c>
      <c r="N82" t="s">
        <v>385</v>
      </c>
      <c r="O82" t="s">
        <v>184</v>
      </c>
      <c r="P82" t="s">
        <v>478</v>
      </c>
      <c r="Q82" t="s">
        <v>385</v>
      </c>
      <c r="R82" s="11">
        <v>45352</v>
      </c>
      <c r="S82" s="11">
        <v>45352</v>
      </c>
      <c r="T82" s="11">
        <v>45352</v>
      </c>
      <c r="AK82" t="s">
        <v>132</v>
      </c>
      <c r="AM82" t="s">
        <v>114</v>
      </c>
      <c r="AQ82" t="s">
        <v>132</v>
      </c>
      <c r="AS82" s="11">
        <v>45550</v>
      </c>
      <c r="AU82" t="s">
        <v>114</v>
      </c>
      <c r="AV82" t="s">
        <v>134</v>
      </c>
      <c r="AW82" t="s">
        <v>152</v>
      </c>
      <c r="AY82" t="s">
        <v>135</v>
      </c>
      <c r="BB82" t="s">
        <v>114</v>
      </c>
      <c r="BC82" s="11">
        <v>45550</v>
      </c>
      <c r="BD82" t="s">
        <v>487</v>
      </c>
      <c r="BE82">
        <v>678209124</v>
      </c>
      <c r="BF82" t="s">
        <v>465</v>
      </c>
      <c r="BH82" t="str">
        <f t="shared" si="25"/>
        <v/>
      </c>
      <c r="BI82" s="11">
        <v>45550</v>
      </c>
      <c r="BJ82" t="str">
        <f t="shared" si="16"/>
        <v>S37_2024</v>
      </c>
      <c r="BK82" t="s">
        <v>117</v>
      </c>
      <c r="BL82" t="str">
        <f t="shared" si="17"/>
        <v>S37_2024</v>
      </c>
      <c r="BN82" s="11">
        <v>45550</v>
      </c>
      <c r="BO82" t="str">
        <f t="shared" si="18"/>
        <v>S37_2024</v>
      </c>
      <c r="BP82" t="s">
        <v>114</v>
      </c>
      <c r="BQ82" t="s">
        <v>118</v>
      </c>
      <c r="BW82" s="11"/>
      <c r="BX82" s="11"/>
      <c r="BY82" s="11"/>
      <c r="CB82" s="11"/>
      <c r="CC82" s="11"/>
      <c r="CD82" s="11"/>
      <c r="CG82" s="11"/>
      <c r="CI82" t="s">
        <v>134</v>
      </c>
      <c r="CJ82" t="s">
        <v>456</v>
      </c>
      <c r="CK82" t="s">
        <v>457</v>
      </c>
      <c r="CN82" t="s">
        <v>460</v>
      </c>
      <c r="CO82" t="str">
        <f t="shared" si="19"/>
        <v>POSITIFPOSITIF</v>
      </c>
      <c r="CP82" s="11">
        <v>45550</v>
      </c>
      <c r="CR82">
        <f t="shared" si="21"/>
        <v>0</v>
      </c>
      <c r="CS82">
        <f t="shared" si="22"/>
        <v>0</v>
      </c>
      <c r="CT82">
        <f t="shared" si="13"/>
        <v>198</v>
      </c>
      <c r="CU82" t="str">
        <f t="shared" si="23"/>
        <v/>
      </c>
      <c r="CV82">
        <f t="shared" si="24"/>
        <v>198</v>
      </c>
      <c r="CX82" s="11">
        <v>45352</v>
      </c>
      <c r="CY82" t="str">
        <f t="shared" si="20"/>
        <v>S9_2024</v>
      </c>
      <c r="DC82" t="s">
        <v>139</v>
      </c>
    </row>
    <row r="83" spans="1:107" x14ac:dyDescent="0.35">
      <c r="A83" t="s">
        <v>489</v>
      </c>
      <c r="B83" s="10" t="str">
        <f t="shared" si="14"/>
        <v>S37_2024</v>
      </c>
      <c r="C83" s="10" t="str">
        <f t="shared" si="15"/>
        <v/>
      </c>
      <c r="D83" s="11">
        <v>45550</v>
      </c>
      <c r="E83" s="19" t="s">
        <v>123</v>
      </c>
      <c r="F83">
        <v>16</v>
      </c>
      <c r="G83" t="s">
        <v>107</v>
      </c>
      <c r="H83" t="s">
        <v>108</v>
      </c>
      <c r="J83" t="s">
        <v>142</v>
      </c>
      <c r="K83" s="12"/>
      <c r="L83" t="s">
        <v>111</v>
      </c>
      <c r="M83" t="s">
        <v>385</v>
      </c>
      <c r="N83" t="s">
        <v>386</v>
      </c>
      <c r="P83" t="s">
        <v>110</v>
      </c>
      <c r="Q83" s="19" t="s">
        <v>385</v>
      </c>
      <c r="V83" t="s">
        <v>132</v>
      </c>
      <c r="W83" t="s">
        <v>132</v>
      </c>
      <c r="X83" t="s">
        <v>132</v>
      </c>
      <c r="Y83" t="s">
        <v>132</v>
      </c>
      <c r="Z83" t="s">
        <v>132</v>
      </c>
      <c r="AA83" t="s">
        <v>132</v>
      </c>
      <c r="AB83" t="s">
        <v>132</v>
      </c>
      <c r="AE83" t="s">
        <v>132</v>
      </c>
      <c r="AK83" t="s">
        <v>132</v>
      </c>
      <c r="AM83" t="s">
        <v>114</v>
      </c>
      <c r="AN83" t="s">
        <v>114</v>
      </c>
      <c r="AS83" s="11">
        <v>45553</v>
      </c>
      <c r="AU83" t="s">
        <v>114</v>
      </c>
      <c r="AV83" t="s">
        <v>134</v>
      </c>
      <c r="AW83" t="s">
        <v>152</v>
      </c>
      <c r="AY83" t="s">
        <v>135</v>
      </c>
      <c r="BB83" t="s">
        <v>114</v>
      </c>
      <c r="BC83" s="11">
        <v>45548</v>
      </c>
      <c r="BD83" t="s">
        <v>447</v>
      </c>
      <c r="BF83" t="s">
        <v>448</v>
      </c>
      <c r="BG83" t="s">
        <v>449</v>
      </c>
      <c r="BI83" s="11">
        <v>45550</v>
      </c>
      <c r="BJ83" t="str">
        <f t="shared" si="16"/>
        <v>S37_2024</v>
      </c>
      <c r="BK83" t="s">
        <v>117</v>
      </c>
      <c r="BL83" t="str">
        <f t="shared" si="17"/>
        <v>S37_2024</v>
      </c>
      <c r="BM83" t="s">
        <v>159</v>
      </c>
      <c r="BN83" s="11">
        <v>45550</v>
      </c>
      <c r="BO83" t="str">
        <f t="shared" si="18"/>
        <v>S37_2024</v>
      </c>
      <c r="BP83" t="s">
        <v>114</v>
      </c>
      <c r="BQ83" t="s">
        <v>450</v>
      </c>
      <c r="BR83" t="s">
        <v>451</v>
      </c>
      <c r="BS83" t="s">
        <v>132</v>
      </c>
      <c r="CI83" t="s">
        <v>134</v>
      </c>
      <c r="CJ83" t="s">
        <v>456</v>
      </c>
      <c r="CK83" t="s">
        <v>452</v>
      </c>
      <c r="CN83" t="s">
        <v>169</v>
      </c>
      <c r="CO83" t="str">
        <f t="shared" si="19"/>
        <v>POSITIFPOSITIF</v>
      </c>
      <c r="CP83" s="11">
        <v>45548</v>
      </c>
      <c r="CR83">
        <f t="shared" si="21"/>
        <v>5</v>
      </c>
      <c r="CS83">
        <f t="shared" si="22"/>
        <v>-3</v>
      </c>
      <c r="CT83">
        <f t="shared" si="13"/>
        <v>45548</v>
      </c>
      <c r="CU83">
        <f t="shared" si="23"/>
        <v>45548</v>
      </c>
      <c r="CV83">
        <f t="shared" si="24"/>
        <v>45550</v>
      </c>
      <c r="CY83" t="str">
        <f t="shared" si="20"/>
        <v/>
      </c>
      <c r="DC83" t="s">
        <v>139</v>
      </c>
    </row>
    <row r="84" spans="1:107" x14ac:dyDescent="0.35">
      <c r="A84" t="s">
        <v>490</v>
      </c>
      <c r="B84" s="10" t="str">
        <f t="shared" si="14"/>
        <v>S38_2024</v>
      </c>
      <c r="C84" s="10" t="str">
        <f t="shared" si="15"/>
        <v>S36_2024</v>
      </c>
      <c r="D84" s="11">
        <v>45551</v>
      </c>
      <c r="E84" t="s">
        <v>106</v>
      </c>
      <c r="F84">
        <v>46</v>
      </c>
      <c r="G84" t="s">
        <v>364</v>
      </c>
      <c r="H84" t="s">
        <v>108</v>
      </c>
      <c r="J84" t="s">
        <v>109</v>
      </c>
      <c r="K84" s="14">
        <v>45551</v>
      </c>
      <c r="L84" t="s">
        <v>111</v>
      </c>
      <c r="M84" t="s">
        <v>491</v>
      </c>
      <c r="N84" t="s">
        <v>491</v>
      </c>
      <c r="O84" t="s">
        <v>492</v>
      </c>
      <c r="P84" t="s">
        <v>493</v>
      </c>
      <c r="Q84" t="s">
        <v>494</v>
      </c>
      <c r="R84" s="11">
        <v>45537</v>
      </c>
      <c r="S84" s="11">
        <v>45537</v>
      </c>
      <c r="T84" s="11">
        <v>45537</v>
      </c>
      <c r="W84" t="s">
        <v>109</v>
      </c>
      <c r="AH84" t="s">
        <v>109</v>
      </c>
      <c r="AJ84" t="s">
        <v>495</v>
      </c>
      <c r="AK84" t="s">
        <v>150</v>
      </c>
      <c r="AM84" t="s">
        <v>150</v>
      </c>
      <c r="AQ84" t="s">
        <v>150</v>
      </c>
      <c r="AR84" t="s">
        <v>496</v>
      </c>
      <c r="AU84" t="s">
        <v>114</v>
      </c>
      <c r="AV84" t="s">
        <v>115</v>
      </c>
      <c r="BB84" t="s">
        <v>109</v>
      </c>
      <c r="BC84" s="11">
        <v>45551</v>
      </c>
      <c r="BD84" t="s">
        <v>497</v>
      </c>
      <c r="BE84">
        <v>652986907</v>
      </c>
      <c r="BF84" t="s">
        <v>498</v>
      </c>
      <c r="BH84" t="str">
        <f t="shared" ref="BH84:BH147" si="26">IFERROR("S"&amp;(IF(_xlfn.ISOWEEKNUM(I84)&gt;0,_xlfn.ISOWEEKNUM(I84),_xlfn.CONCAT("0",_xlfn.ISOWEEKNUM(I84))))&amp;"_"&amp;(YEAR(I84+26-(_xlfn.ISOWEEKNUM(I84)))),"")</f>
        <v/>
      </c>
      <c r="BJ84" t="str">
        <f t="shared" si="16"/>
        <v/>
      </c>
      <c r="BK84" t="s">
        <v>117</v>
      </c>
      <c r="BL84" t="str">
        <f t="shared" si="17"/>
        <v>S38_2024</v>
      </c>
      <c r="BM84" t="s">
        <v>159</v>
      </c>
      <c r="BN84" s="11">
        <v>45551</v>
      </c>
      <c r="BO84" t="str">
        <f t="shared" si="18"/>
        <v>S38_2024</v>
      </c>
      <c r="BP84" t="s">
        <v>114</v>
      </c>
      <c r="BQ84" t="s">
        <v>118</v>
      </c>
      <c r="BW84" s="11"/>
      <c r="BX84" s="11"/>
      <c r="BY84" s="11"/>
      <c r="CB84" s="11"/>
      <c r="CC84" s="11"/>
      <c r="CD84" s="11"/>
      <c r="CG84" s="11"/>
      <c r="CI84" t="s">
        <v>119</v>
      </c>
      <c r="CO84" t="str">
        <f t="shared" si="19"/>
        <v>NEGATIFPAS INCLUS</v>
      </c>
      <c r="CP84" s="11">
        <v>45551</v>
      </c>
      <c r="CR84">
        <f t="shared" si="21"/>
        <v>-45551</v>
      </c>
      <c r="CS84">
        <f t="shared" si="22"/>
        <v>45551</v>
      </c>
      <c r="CT84">
        <f t="shared" si="13"/>
        <v>14</v>
      </c>
      <c r="CU84">
        <f t="shared" si="23"/>
        <v>0</v>
      </c>
      <c r="CV84" t="str">
        <f t="shared" si="24"/>
        <v/>
      </c>
      <c r="CX84" s="11">
        <v>45537</v>
      </c>
      <c r="CY84" t="str">
        <f t="shared" si="20"/>
        <v>S36_2024</v>
      </c>
      <c r="DC84" t="s">
        <v>120</v>
      </c>
    </row>
    <row r="85" spans="1:107" x14ac:dyDescent="0.35">
      <c r="A85" t="s">
        <v>499</v>
      </c>
      <c r="B85" s="10" t="str">
        <f t="shared" si="14"/>
        <v>S38_2024</v>
      </c>
      <c r="C85" s="10" t="str">
        <f t="shared" si="15"/>
        <v>S33_2024</v>
      </c>
      <c r="D85" s="11">
        <v>45551</v>
      </c>
      <c r="E85" t="s">
        <v>123</v>
      </c>
      <c r="F85">
        <v>61</v>
      </c>
      <c r="G85" t="s">
        <v>500</v>
      </c>
      <c r="H85" t="s">
        <v>108</v>
      </c>
      <c r="J85" t="s">
        <v>114</v>
      </c>
      <c r="K85" s="12" t="s">
        <v>110</v>
      </c>
      <c r="L85" t="s">
        <v>111</v>
      </c>
      <c r="M85" t="s">
        <v>445</v>
      </c>
      <c r="N85" t="s">
        <v>501</v>
      </c>
      <c r="O85" t="s">
        <v>502</v>
      </c>
      <c r="P85" t="s">
        <v>503</v>
      </c>
      <c r="Q85" t="s">
        <v>504</v>
      </c>
      <c r="R85" s="11">
        <v>45517</v>
      </c>
      <c r="S85" s="11">
        <v>45517</v>
      </c>
      <c r="T85" s="11">
        <v>45517</v>
      </c>
      <c r="V85" t="s">
        <v>132</v>
      </c>
      <c r="AB85" t="s">
        <v>114</v>
      </c>
      <c r="AC85" t="s">
        <v>505</v>
      </c>
      <c r="AK85" t="s">
        <v>114</v>
      </c>
      <c r="AM85" t="s">
        <v>132</v>
      </c>
      <c r="AN85" t="s">
        <v>114</v>
      </c>
      <c r="AR85" t="s">
        <v>506</v>
      </c>
      <c r="AU85" t="s">
        <v>114</v>
      </c>
      <c r="AV85" t="s">
        <v>115</v>
      </c>
      <c r="BB85" t="s">
        <v>114</v>
      </c>
      <c r="BC85" s="11">
        <v>45551</v>
      </c>
      <c r="BD85" t="s">
        <v>277</v>
      </c>
      <c r="BF85" t="s">
        <v>507</v>
      </c>
      <c r="BH85" t="str">
        <f t="shared" si="26"/>
        <v/>
      </c>
      <c r="BJ85" t="str">
        <f t="shared" si="16"/>
        <v/>
      </c>
      <c r="BK85" t="s">
        <v>117</v>
      </c>
      <c r="BL85" t="str">
        <f t="shared" si="17"/>
        <v>S38_2024</v>
      </c>
      <c r="BM85" t="s">
        <v>159</v>
      </c>
      <c r="BN85" s="11">
        <v>45551</v>
      </c>
      <c r="BO85" t="str">
        <f t="shared" si="18"/>
        <v>S38_2024</v>
      </c>
      <c r="BP85" t="s">
        <v>114</v>
      </c>
      <c r="BQ85" t="s">
        <v>118</v>
      </c>
      <c r="BW85" s="11"/>
      <c r="BX85" s="11"/>
      <c r="BY85" s="11"/>
      <c r="CB85" s="11"/>
      <c r="CC85" s="11"/>
      <c r="CD85" s="11"/>
      <c r="CG85" s="11"/>
      <c r="CI85" t="s">
        <v>119</v>
      </c>
      <c r="CO85" t="str">
        <f t="shared" si="19"/>
        <v>NEGATIFPAS INCLUS</v>
      </c>
      <c r="CP85" s="11">
        <v>45551</v>
      </c>
      <c r="CR85">
        <f t="shared" si="21"/>
        <v>-45551</v>
      </c>
      <c r="CS85">
        <f t="shared" si="22"/>
        <v>45551</v>
      </c>
      <c r="CT85">
        <f t="shared" si="13"/>
        <v>34</v>
      </c>
      <c r="CU85" t="e">
        <f t="shared" si="23"/>
        <v>#VALUE!</v>
      </c>
      <c r="CV85" t="str">
        <f t="shared" si="24"/>
        <v/>
      </c>
      <c r="CX85" s="11">
        <v>45517</v>
      </c>
      <c r="CY85" t="str">
        <f t="shared" si="20"/>
        <v>S33_2024</v>
      </c>
      <c r="DC85" t="s">
        <v>120</v>
      </c>
    </row>
    <row r="86" spans="1:107" x14ac:dyDescent="0.35">
      <c r="A86" t="s">
        <v>508</v>
      </c>
      <c r="B86" s="10" t="str">
        <f t="shared" si="14"/>
        <v>S38_2024</v>
      </c>
      <c r="C86" s="10" t="str">
        <f t="shared" si="15"/>
        <v>S38_2024</v>
      </c>
      <c r="D86" s="11">
        <v>45555</v>
      </c>
      <c r="E86" t="s">
        <v>123</v>
      </c>
      <c r="F86">
        <v>55</v>
      </c>
      <c r="G86" t="s">
        <v>259</v>
      </c>
      <c r="H86" t="s">
        <v>108</v>
      </c>
      <c r="J86" t="s">
        <v>109</v>
      </c>
      <c r="K86" s="14">
        <v>45555</v>
      </c>
      <c r="L86" t="s">
        <v>111</v>
      </c>
      <c r="M86" t="s">
        <v>112</v>
      </c>
      <c r="N86" t="s">
        <v>112</v>
      </c>
      <c r="O86" t="s">
        <v>430</v>
      </c>
      <c r="P86" t="s">
        <v>509</v>
      </c>
      <c r="Q86" t="s">
        <v>510</v>
      </c>
      <c r="R86" s="11">
        <v>45555</v>
      </c>
      <c r="S86" s="11">
        <v>45555</v>
      </c>
      <c r="T86" s="11">
        <v>45555</v>
      </c>
      <c r="AK86" t="s">
        <v>114</v>
      </c>
      <c r="AM86" t="s">
        <v>132</v>
      </c>
      <c r="AN86" t="s">
        <v>132</v>
      </c>
      <c r="AR86" t="s">
        <v>511</v>
      </c>
      <c r="AU86" t="s">
        <v>114</v>
      </c>
      <c r="AV86" t="s">
        <v>115</v>
      </c>
      <c r="BB86" t="s">
        <v>114</v>
      </c>
      <c r="BC86" s="11">
        <v>45555</v>
      </c>
      <c r="BD86" t="s">
        <v>512</v>
      </c>
      <c r="BE86">
        <v>686008624</v>
      </c>
      <c r="BF86" t="s">
        <v>509</v>
      </c>
      <c r="BH86" t="str">
        <f t="shared" si="26"/>
        <v/>
      </c>
      <c r="BJ86" t="str">
        <f t="shared" si="16"/>
        <v/>
      </c>
      <c r="BK86" t="s">
        <v>117</v>
      </c>
      <c r="BL86" t="str">
        <f t="shared" si="17"/>
        <v>S38_2024</v>
      </c>
      <c r="BN86" s="11">
        <v>45555</v>
      </c>
      <c r="BO86" t="str">
        <f t="shared" si="18"/>
        <v>S38_2024</v>
      </c>
      <c r="BP86" t="s">
        <v>114</v>
      </c>
      <c r="BQ86" t="s">
        <v>118</v>
      </c>
      <c r="BW86" s="11"/>
      <c r="BX86" s="11"/>
      <c r="BY86" s="11"/>
      <c r="CB86" s="11"/>
      <c r="CC86" s="11"/>
      <c r="CD86" s="11"/>
      <c r="CG86" s="11"/>
      <c r="CI86" t="s">
        <v>119</v>
      </c>
      <c r="CO86" t="str">
        <f t="shared" si="19"/>
        <v>NEGATIFPAS INCLUS</v>
      </c>
      <c r="CP86" s="11">
        <v>45555</v>
      </c>
      <c r="CR86">
        <f t="shared" si="21"/>
        <v>-45555</v>
      </c>
      <c r="CS86">
        <f t="shared" si="22"/>
        <v>45555</v>
      </c>
      <c r="CT86">
        <f t="shared" si="13"/>
        <v>0</v>
      </c>
      <c r="CU86">
        <f t="shared" si="23"/>
        <v>0</v>
      </c>
      <c r="CV86" t="str">
        <f t="shared" si="24"/>
        <v/>
      </c>
      <c r="CX86" s="11">
        <v>45555</v>
      </c>
      <c r="CY86" t="str">
        <f t="shared" si="20"/>
        <v>S38_2024</v>
      </c>
      <c r="DC86" t="s">
        <v>120</v>
      </c>
    </row>
    <row r="87" spans="1:107" x14ac:dyDescent="0.35">
      <c r="A87" t="s">
        <v>513</v>
      </c>
      <c r="B87" s="10" t="str">
        <f t="shared" si="14"/>
        <v>S38_2024</v>
      </c>
      <c r="C87" s="10" t="str">
        <f t="shared" si="15"/>
        <v>S37_2024</v>
      </c>
      <c r="D87" s="11">
        <v>45555</v>
      </c>
      <c r="E87" t="s">
        <v>123</v>
      </c>
      <c r="F87">
        <v>5</v>
      </c>
      <c r="G87" t="s">
        <v>141</v>
      </c>
      <c r="H87" t="s">
        <v>108</v>
      </c>
      <c r="J87" t="s">
        <v>114</v>
      </c>
      <c r="K87" s="14">
        <v>45552</v>
      </c>
      <c r="L87" t="s">
        <v>111</v>
      </c>
      <c r="M87" t="s">
        <v>112</v>
      </c>
      <c r="N87" t="s">
        <v>304</v>
      </c>
      <c r="O87" t="s">
        <v>514</v>
      </c>
      <c r="P87" t="s">
        <v>515</v>
      </c>
      <c r="Q87" t="s">
        <v>312</v>
      </c>
      <c r="R87" s="11">
        <v>45549</v>
      </c>
      <c r="S87" s="11">
        <v>45549</v>
      </c>
      <c r="T87" s="11">
        <v>45549</v>
      </c>
      <c r="V87" t="s">
        <v>109</v>
      </c>
      <c r="AE87" t="s">
        <v>114</v>
      </c>
      <c r="AK87" t="s">
        <v>132</v>
      </c>
      <c r="AM87" t="s">
        <v>132</v>
      </c>
      <c r="AQ87" t="s">
        <v>142</v>
      </c>
      <c r="AR87" t="s">
        <v>516</v>
      </c>
      <c r="AU87" t="s">
        <v>114</v>
      </c>
      <c r="AV87" t="s">
        <v>115</v>
      </c>
      <c r="BB87" t="s">
        <v>114</v>
      </c>
      <c r="BC87" s="11">
        <v>45555</v>
      </c>
      <c r="BD87" t="s">
        <v>169</v>
      </c>
      <c r="BE87">
        <v>673690312</v>
      </c>
      <c r="BH87" t="str">
        <f t="shared" si="26"/>
        <v/>
      </c>
      <c r="BJ87" t="str">
        <f t="shared" si="16"/>
        <v/>
      </c>
      <c r="BK87" t="s">
        <v>117</v>
      </c>
      <c r="BL87" t="str">
        <f t="shared" si="17"/>
        <v>S38_2024</v>
      </c>
      <c r="BM87" t="s">
        <v>159</v>
      </c>
      <c r="BN87" s="11">
        <v>45555</v>
      </c>
      <c r="BO87" t="str">
        <f t="shared" si="18"/>
        <v>S38_2024</v>
      </c>
      <c r="BP87" t="s">
        <v>114</v>
      </c>
      <c r="BQ87" t="s">
        <v>118</v>
      </c>
      <c r="BW87" s="11"/>
      <c r="BX87" s="11"/>
      <c r="BY87" s="11"/>
      <c r="CB87" s="11"/>
      <c r="CC87" s="11"/>
      <c r="CD87" s="11"/>
      <c r="CG87" s="11"/>
      <c r="CI87" t="s">
        <v>119</v>
      </c>
      <c r="CO87" t="str">
        <f t="shared" si="19"/>
        <v>NEGATIFPAS INCLUS</v>
      </c>
      <c r="CP87" s="11">
        <v>45555</v>
      </c>
      <c r="CR87">
        <f t="shared" si="21"/>
        <v>-45555</v>
      </c>
      <c r="CS87">
        <f t="shared" si="22"/>
        <v>45555</v>
      </c>
      <c r="CT87">
        <f t="shared" si="13"/>
        <v>6</v>
      </c>
      <c r="CU87">
        <f t="shared" si="23"/>
        <v>3</v>
      </c>
      <c r="CV87" t="str">
        <f t="shared" si="24"/>
        <v/>
      </c>
      <c r="CX87" s="11">
        <v>45549</v>
      </c>
      <c r="CY87" t="str">
        <f t="shared" si="20"/>
        <v>S37_2024</v>
      </c>
      <c r="DC87" t="s">
        <v>160</v>
      </c>
    </row>
    <row r="88" spans="1:107" x14ac:dyDescent="0.35">
      <c r="A88" t="s">
        <v>517</v>
      </c>
      <c r="B88" s="10" t="str">
        <f t="shared" si="14"/>
        <v>S38_2024</v>
      </c>
      <c r="C88" s="10" t="str">
        <f t="shared" si="15"/>
        <v/>
      </c>
      <c r="D88" s="11">
        <v>45555</v>
      </c>
      <c r="E88" t="s">
        <v>123</v>
      </c>
      <c r="F88">
        <v>59</v>
      </c>
      <c r="H88" t="s">
        <v>108</v>
      </c>
      <c r="J88" t="s">
        <v>114</v>
      </c>
      <c r="K88" s="14">
        <v>45551</v>
      </c>
      <c r="L88" t="s">
        <v>206</v>
      </c>
      <c r="M88" t="s">
        <v>518</v>
      </c>
      <c r="O88" t="s">
        <v>519</v>
      </c>
      <c r="P88" t="s">
        <v>110</v>
      </c>
      <c r="Q88" t="s">
        <v>520</v>
      </c>
      <c r="AK88" t="s">
        <v>114</v>
      </c>
      <c r="AU88" t="s">
        <v>114</v>
      </c>
      <c r="AV88" t="s">
        <v>115</v>
      </c>
      <c r="BB88" t="s">
        <v>114</v>
      </c>
      <c r="BC88" s="11">
        <v>45551</v>
      </c>
      <c r="BD88" t="s">
        <v>169</v>
      </c>
      <c r="BG88" t="s">
        <v>132</v>
      </c>
      <c r="BH88" t="str">
        <f t="shared" si="26"/>
        <v/>
      </c>
      <c r="BJ88" t="str">
        <f t="shared" si="16"/>
        <v/>
      </c>
      <c r="BK88" t="s">
        <v>206</v>
      </c>
      <c r="BL88" t="str">
        <f t="shared" si="17"/>
        <v>S38_2024</v>
      </c>
      <c r="BM88" t="s">
        <v>159</v>
      </c>
      <c r="BN88" s="11">
        <v>45551</v>
      </c>
      <c r="BO88" t="str">
        <f t="shared" si="18"/>
        <v>S38_2024</v>
      </c>
      <c r="BP88" t="s">
        <v>114</v>
      </c>
      <c r="BQ88" t="s">
        <v>118</v>
      </c>
      <c r="BW88" s="11"/>
      <c r="BX88" s="11"/>
      <c r="BY88" s="11"/>
      <c r="CB88" s="11"/>
      <c r="CC88" s="11"/>
      <c r="CD88" s="11"/>
      <c r="CG88" s="11"/>
      <c r="CI88" t="s">
        <v>119</v>
      </c>
      <c r="CO88" t="str">
        <f t="shared" si="19"/>
        <v>NEGATIFPAS INCLUS</v>
      </c>
      <c r="CP88" s="11">
        <v>45551</v>
      </c>
      <c r="CR88">
        <f t="shared" si="21"/>
        <v>-45551</v>
      </c>
      <c r="CS88">
        <f t="shared" si="22"/>
        <v>45551</v>
      </c>
      <c r="CT88">
        <f t="shared" si="13"/>
        <v>45551</v>
      </c>
      <c r="CU88">
        <f t="shared" si="23"/>
        <v>0</v>
      </c>
      <c r="CV88" t="str">
        <f t="shared" si="24"/>
        <v/>
      </c>
      <c r="CY88" t="str">
        <f t="shared" si="20"/>
        <v/>
      </c>
      <c r="DC88" t="s">
        <v>160</v>
      </c>
    </row>
    <row r="89" spans="1:107" x14ac:dyDescent="0.35">
      <c r="A89" t="s">
        <v>521</v>
      </c>
      <c r="B89" s="10" t="str">
        <f t="shared" si="14"/>
        <v>S38_2024</v>
      </c>
      <c r="C89" s="10" t="str">
        <f t="shared" si="15"/>
        <v>S38_2024</v>
      </c>
      <c r="D89" s="11">
        <v>45555</v>
      </c>
      <c r="E89" t="s">
        <v>106</v>
      </c>
      <c r="F89">
        <v>6</v>
      </c>
      <c r="G89" t="s">
        <v>107</v>
      </c>
      <c r="H89" t="s">
        <v>108</v>
      </c>
      <c r="J89" t="s">
        <v>114</v>
      </c>
      <c r="K89" s="14">
        <v>45539</v>
      </c>
      <c r="L89" t="s">
        <v>248</v>
      </c>
      <c r="M89" t="s">
        <v>409</v>
      </c>
      <c r="N89" t="s">
        <v>522</v>
      </c>
      <c r="O89" t="s">
        <v>411</v>
      </c>
      <c r="P89" t="s">
        <v>523</v>
      </c>
      <c r="Q89" t="s">
        <v>401</v>
      </c>
      <c r="R89" s="11">
        <v>45551</v>
      </c>
      <c r="S89" s="11">
        <v>45551</v>
      </c>
      <c r="T89" s="11">
        <v>45551</v>
      </c>
      <c r="V89" t="s">
        <v>132</v>
      </c>
      <c r="W89" t="s">
        <v>114</v>
      </c>
      <c r="X89" t="s">
        <v>114</v>
      </c>
      <c r="Y89" t="s">
        <v>114</v>
      </c>
      <c r="Z89" t="s">
        <v>114</v>
      </c>
      <c r="AA89" t="s">
        <v>132</v>
      </c>
      <c r="AB89" t="s">
        <v>114</v>
      </c>
      <c r="AC89" t="s">
        <v>114</v>
      </c>
      <c r="AD89">
        <v>7</v>
      </c>
      <c r="AE89" t="s">
        <v>114</v>
      </c>
      <c r="AF89" t="s">
        <v>109</v>
      </c>
      <c r="AG89" t="s">
        <v>132</v>
      </c>
      <c r="AK89" t="s">
        <v>114</v>
      </c>
      <c r="AM89" t="s">
        <v>114</v>
      </c>
      <c r="AN89" t="s">
        <v>132</v>
      </c>
      <c r="AQ89" t="s">
        <v>132</v>
      </c>
      <c r="AU89" t="s">
        <v>114</v>
      </c>
      <c r="AV89" t="s">
        <v>115</v>
      </c>
      <c r="BB89" t="s">
        <v>114</v>
      </c>
      <c r="BC89" s="11">
        <v>45555</v>
      </c>
      <c r="BD89" t="s">
        <v>524</v>
      </c>
      <c r="BF89" t="s">
        <v>525</v>
      </c>
      <c r="BG89" t="s">
        <v>132</v>
      </c>
      <c r="BH89" t="str">
        <f t="shared" si="26"/>
        <v/>
      </c>
      <c r="BJ89" t="str">
        <f t="shared" si="16"/>
        <v/>
      </c>
      <c r="BK89" t="s">
        <v>253</v>
      </c>
      <c r="BL89" t="str">
        <f t="shared" si="17"/>
        <v>S38_2024</v>
      </c>
      <c r="BN89" s="11">
        <v>45555</v>
      </c>
      <c r="BO89" t="str">
        <f t="shared" si="18"/>
        <v>S38_2024</v>
      </c>
      <c r="BP89" t="s">
        <v>114</v>
      </c>
      <c r="BQ89" t="s">
        <v>118</v>
      </c>
      <c r="BW89" s="11"/>
      <c r="BX89" s="11"/>
      <c r="BY89" s="11"/>
      <c r="CB89" s="11"/>
      <c r="CC89" s="11"/>
      <c r="CD89" s="11"/>
      <c r="CG89" s="11"/>
      <c r="CI89" t="s">
        <v>119</v>
      </c>
      <c r="CO89" t="str">
        <f t="shared" si="19"/>
        <v>NEGATIFPAS INCLUS</v>
      </c>
      <c r="CP89" s="11">
        <v>45555</v>
      </c>
      <c r="CR89">
        <f t="shared" si="21"/>
        <v>-45555</v>
      </c>
      <c r="CS89">
        <f t="shared" si="22"/>
        <v>45555</v>
      </c>
      <c r="CT89">
        <f t="shared" si="13"/>
        <v>4</v>
      </c>
      <c r="CU89">
        <f t="shared" si="23"/>
        <v>16</v>
      </c>
      <c r="CV89" t="str">
        <f t="shared" si="24"/>
        <v/>
      </c>
      <c r="CX89" s="11">
        <v>45551</v>
      </c>
      <c r="CY89" t="str">
        <f t="shared" si="20"/>
        <v>S38_2024</v>
      </c>
      <c r="DC89" t="s">
        <v>120</v>
      </c>
    </row>
    <row r="90" spans="1:107" ht="16" thickBot="1" x14ac:dyDescent="0.4">
      <c r="A90" t="s">
        <v>526</v>
      </c>
      <c r="B90" s="10" t="str">
        <f t="shared" si="14"/>
        <v>S39_2024</v>
      </c>
      <c r="C90" s="10" t="str">
        <f t="shared" si="15"/>
        <v>S38_2024</v>
      </c>
      <c r="D90" s="11">
        <v>45558</v>
      </c>
      <c r="E90" t="s">
        <v>106</v>
      </c>
      <c r="F90">
        <v>0.25</v>
      </c>
      <c r="G90" t="s">
        <v>141</v>
      </c>
      <c r="H90" t="s">
        <v>108</v>
      </c>
      <c r="J90" t="s">
        <v>132</v>
      </c>
      <c r="K90" s="12"/>
      <c r="L90" t="s">
        <v>180</v>
      </c>
      <c r="M90" t="s">
        <v>527</v>
      </c>
      <c r="N90" t="s">
        <v>528</v>
      </c>
      <c r="O90" t="s">
        <v>184</v>
      </c>
      <c r="P90" t="s">
        <v>529</v>
      </c>
      <c r="Q90" t="s">
        <v>527</v>
      </c>
      <c r="R90" s="11">
        <v>45553</v>
      </c>
      <c r="S90" s="11">
        <v>45553</v>
      </c>
      <c r="T90" s="11">
        <v>45553</v>
      </c>
      <c r="V90" t="s">
        <v>109</v>
      </c>
      <c r="X90" t="s">
        <v>109</v>
      </c>
      <c r="Y90" t="s">
        <v>109</v>
      </c>
      <c r="AE90" t="s">
        <v>114</v>
      </c>
      <c r="AG90" t="s">
        <v>114</v>
      </c>
      <c r="AK90" t="s">
        <v>132</v>
      </c>
      <c r="AM90" t="s">
        <v>114</v>
      </c>
      <c r="AN90" t="s">
        <v>132</v>
      </c>
      <c r="AQ90" t="s">
        <v>132</v>
      </c>
      <c r="AR90" t="s">
        <v>530</v>
      </c>
      <c r="BB90" t="s">
        <v>132</v>
      </c>
      <c r="BF90" t="s">
        <v>528</v>
      </c>
      <c r="BH90" t="str">
        <f t="shared" si="26"/>
        <v/>
      </c>
      <c r="BJ90" t="str">
        <f t="shared" si="16"/>
        <v/>
      </c>
      <c r="BK90" t="s">
        <v>180</v>
      </c>
      <c r="BL90" t="str">
        <f t="shared" si="17"/>
        <v/>
      </c>
      <c r="BM90" t="s">
        <v>159</v>
      </c>
      <c r="BO90" t="str">
        <f t="shared" si="18"/>
        <v/>
      </c>
      <c r="CI90" t="s">
        <v>119</v>
      </c>
      <c r="CO90" t="str">
        <f t="shared" si="19"/>
        <v>PAS INCLUS</v>
      </c>
      <c r="CP90" s="11">
        <v>45558</v>
      </c>
      <c r="CR90" t="str">
        <f t="shared" si="21"/>
        <v/>
      </c>
      <c r="CS90" t="str">
        <f t="shared" si="22"/>
        <v/>
      </c>
      <c r="CT90">
        <f t="shared" si="13"/>
        <v>5</v>
      </c>
      <c r="CU90" t="str">
        <f t="shared" si="23"/>
        <v/>
      </c>
      <c r="CV90" t="str">
        <f t="shared" si="24"/>
        <v/>
      </c>
      <c r="CX90" s="11">
        <v>45553</v>
      </c>
      <c r="CY90" t="str">
        <f t="shared" si="20"/>
        <v>S38_2024</v>
      </c>
      <c r="DB90" t="s">
        <v>114</v>
      </c>
      <c r="DC90" t="s">
        <v>160</v>
      </c>
    </row>
    <row r="91" spans="1:107" ht="16" thickBot="1" x14ac:dyDescent="0.4">
      <c r="A91" t="s">
        <v>531</v>
      </c>
      <c r="B91" s="10" t="str">
        <f t="shared" si="14"/>
        <v>S39_2024</v>
      </c>
      <c r="C91" s="10" t="str">
        <f t="shared" si="15"/>
        <v>S44_2023</v>
      </c>
      <c r="D91" s="11">
        <v>45558</v>
      </c>
      <c r="E91" t="s">
        <v>123</v>
      </c>
      <c r="F91">
        <v>18</v>
      </c>
      <c r="G91" t="s">
        <v>107</v>
      </c>
      <c r="H91" t="s">
        <v>108</v>
      </c>
      <c r="J91" t="s">
        <v>142</v>
      </c>
      <c r="K91" s="12"/>
      <c r="L91" t="s">
        <v>321</v>
      </c>
      <c r="M91" t="s">
        <v>532</v>
      </c>
      <c r="N91" t="s">
        <v>533</v>
      </c>
      <c r="P91" t="s">
        <v>534</v>
      </c>
      <c r="Q91" t="s">
        <v>532</v>
      </c>
      <c r="R91" s="20">
        <v>45231</v>
      </c>
      <c r="S91" s="20">
        <v>45231</v>
      </c>
      <c r="T91" s="20">
        <v>45231</v>
      </c>
      <c r="V91" t="s">
        <v>114</v>
      </c>
      <c r="AE91" t="s">
        <v>114</v>
      </c>
      <c r="AK91" t="s">
        <v>132</v>
      </c>
      <c r="AN91" t="s">
        <v>114</v>
      </c>
      <c r="AU91" t="s">
        <v>114</v>
      </c>
      <c r="AV91" t="s">
        <v>115</v>
      </c>
      <c r="BB91" t="s">
        <v>114</v>
      </c>
      <c r="BC91" s="21" t="s">
        <v>110</v>
      </c>
      <c r="BD91" t="s">
        <v>535</v>
      </c>
      <c r="BE91">
        <v>659998682</v>
      </c>
      <c r="BF91" t="s">
        <v>533</v>
      </c>
      <c r="BG91" t="s">
        <v>132</v>
      </c>
      <c r="BH91" t="str">
        <f t="shared" si="26"/>
        <v/>
      </c>
      <c r="BJ91" t="str">
        <f t="shared" si="16"/>
        <v/>
      </c>
      <c r="BK91" t="s">
        <v>321</v>
      </c>
      <c r="BL91" t="str">
        <f t="shared" si="17"/>
        <v/>
      </c>
      <c r="BM91" t="s">
        <v>159</v>
      </c>
      <c r="BN91" s="20">
        <v>45562</v>
      </c>
      <c r="BO91" t="str">
        <f t="shared" si="18"/>
        <v>S39_2024</v>
      </c>
      <c r="BP91" t="s">
        <v>114</v>
      </c>
      <c r="BQ91" t="s">
        <v>118</v>
      </c>
      <c r="BW91" s="21"/>
      <c r="CB91" s="21"/>
      <c r="CG91" s="21"/>
      <c r="CI91" t="s">
        <v>119</v>
      </c>
      <c r="CO91" t="str">
        <f t="shared" si="19"/>
        <v>NEGATIFPAS INCLUS</v>
      </c>
      <c r="CP91" s="11">
        <v>45558</v>
      </c>
      <c r="CR91" t="e">
        <f t="shared" si="21"/>
        <v>#VALUE!</v>
      </c>
      <c r="CS91">
        <f t="shared" si="22"/>
        <v>45562</v>
      </c>
      <c r="CT91">
        <f t="shared" si="13"/>
        <v>327</v>
      </c>
      <c r="CU91">
        <f t="shared" si="23"/>
        <v>45558</v>
      </c>
      <c r="CV91" t="str">
        <f t="shared" si="24"/>
        <v/>
      </c>
      <c r="CX91" s="20">
        <v>45231</v>
      </c>
      <c r="CY91" t="str">
        <f t="shared" si="20"/>
        <v>S44_2023</v>
      </c>
      <c r="DC91" t="s">
        <v>120</v>
      </c>
    </row>
    <row r="92" spans="1:107" ht="16" thickBot="1" x14ac:dyDescent="0.4">
      <c r="A92" t="s">
        <v>536</v>
      </c>
      <c r="B92" s="10" t="str">
        <f t="shared" si="14"/>
        <v>S39_2024</v>
      </c>
      <c r="C92" s="10" t="str">
        <f t="shared" si="15"/>
        <v>S35_2024</v>
      </c>
      <c r="D92" s="11">
        <v>45558</v>
      </c>
      <c r="E92" t="s">
        <v>123</v>
      </c>
      <c r="F92">
        <v>19</v>
      </c>
      <c r="G92" t="s">
        <v>107</v>
      </c>
      <c r="H92" t="s">
        <v>108</v>
      </c>
      <c r="J92" t="s">
        <v>132</v>
      </c>
      <c r="K92" s="12"/>
      <c r="L92" t="s">
        <v>180</v>
      </c>
      <c r="M92" t="s">
        <v>527</v>
      </c>
      <c r="N92" t="s">
        <v>528</v>
      </c>
      <c r="O92" t="s">
        <v>184</v>
      </c>
      <c r="P92" t="s">
        <v>529</v>
      </c>
      <c r="Q92" t="s">
        <v>527</v>
      </c>
      <c r="R92" s="20">
        <v>45533</v>
      </c>
      <c r="S92" s="20">
        <v>45533</v>
      </c>
      <c r="T92" s="20">
        <v>45540</v>
      </c>
      <c r="V92" t="s">
        <v>109</v>
      </c>
      <c r="W92" t="s">
        <v>109</v>
      </c>
      <c r="X92" t="s">
        <v>109</v>
      </c>
      <c r="Y92" t="s">
        <v>109</v>
      </c>
      <c r="Z92" t="s">
        <v>114</v>
      </c>
      <c r="AA92" t="s">
        <v>109</v>
      </c>
      <c r="AB92" t="s">
        <v>109</v>
      </c>
      <c r="AE92" t="s">
        <v>114</v>
      </c>
      <c r="AK92" t="s">
        <v>132</v>
      </c>
      <c r="AM92" t="s">
        <v>114</v>
      </c>
      <c r="AN92" t="s">
        <v>114</v>
      </c>
      <c r="AR92" t="s">
        <v>537</v>
      </c>
      <c r="AU92" t="s">
        <v>114</v>
      </c>
      <c r="AV92" t="s">
        <v>115</v>
      </c>
      <c r="BB92" t="s">
        <v>132</v>
      </c>
      <c r="BC92" s="21"/>
      <c r="BH92" t="str">
        <f t="shared" si="26"/>
        <v/>
      </c>
      <c r="BJ92" t="str">
        <f t="shared" si="16"/>
        <v/>
      </c>
      <c r="BK92" t="s">
        <v>180</v>
      </c>
      <c r="BL92" t="str">
        <f t="shared" si="17"/>
        <v/>
      </c>
      <c r="BM92" t="s">
        <v>159</v>
      </c>
      <c r="BN92" s="21"/>
      <c r="BO92" t="str">
        <f t="shared" si="18"/>
        <v/>
      </c>
      <c r="BW92" s="21"/>
      <c r="CB92" s="21"/>
      <c r="CG92" s="21"/>
      <c r="CI92" t="s">
        <v>119</v>
      </c>
      <c r="CO92" t="str">
        <f t="shared" si="19"/>
        <v>NEGATIFPAS INCLUS</v>
      </c>
      <c r="CP92" s="11">
        <v>45558</v>
      </c>
      <c r="CR92" t="str">
        <f t="shared" si="21"/>
        <v/>
      </c>
      <c r="CS92" t="str">
        <f t="shared" si="22"/>
        <v/>
      </c>
      <c r="CT92">
        <f t="shared" si="13"/>
        <v>25</v>
      </c>
      <c r="CU92" t="str">
        <f t="shared" si="23"/>
        <v/>
      </c>
      <c r="CV92" t="str">
        <f t="shared" si="24"/>
        <v/>
      </c>
      <c r="CX92" s="20">
        <v>45533</v>
      </c>
      <c r="CY92" t="str">
        <f t="shared" si="20"/>
        <v>S35_2024</v>
      </c>
      <c r="DB92" t="s">
        <v>114</v>
      </c>
      <c r="DC92" t="s">
        <v>160</v>
      </c>
    </row>
    <row r="93" spans="1:107" ht="16" thickBot="1" x14ac:dyDescent="0.4">
      <c r="A93" t="s">
        <v>538</v>
      </c>
      <c r="B93" s="10" t="str">
        <f t="shared" si="14"/>
        <v>S39_2024</v>
      </c>
      <c r="C93" s="10" t="str">
        <f t="shared" si="15"/>
        <v>S9_2024</v>
      </c>
      <c r="D93" s="11">
        <v>45558</v>
      </c>
      <c r="E93" t="s">
        <v>123</v>
      </c>
      <c r="F93">
        <v>2</v>
      </c>
      <c r="G93" t="s">
        <v>141</v>
      </c>
      <c r="H93" t="s">
        <v>108</v>
      </c>
      <c r="J93" t="s">
        <v>142</v>
      </c>
      <c r="K93" s="12"/>
      <c r="L93" t="s">
        <v>321</v>
      </c>
      <c r="M93" t="s">
        <v>532</v>
      </c>
      <c r="N93" t="s">
        <v>533</v>
      </c>
      <c r="P93" t="s">
        <v>534</v>
      </c>
      <c r="Q93" t="s">
        <v>532</v>
      </c>
      <c r="R93" s="20">
        <v>45352</v>
      </c>
      <c r="S93" s="20">
        <v>45352</v>
      </c>
      <c r="T93" s="20">
        <v>45352</v>
      </c>
      <c r="AK93" t="s">
        <v>132</v>
      </c>
      <c r="AM93" t="s">
        <v>132</v>
      </c>
      <c r="AN93" t="s">
        <v>142</v>
      </c>
      <c r="AS93" s="11">
        <v>45558</v>
      </c>
      <c r="AU93" t="s">
        <v>114</v>
      </c>
      <c r="AV93" t="s">
        <v>115</v>
      </c>
      <c r="BB93" t="s">
        <v>114</v>
      </c>
      <c r="BC93" s="21" t="s">
        <v>110</v>
      </c>
      <c r="BD93" t="s">
        <v>455</v>
      </c>
      <c r="BE93">
        <v>680613699</v>
      </c>
      <c r="BF93" t="s">
        <v>533</v>
      </c>
      <c r="BG93" t="s">
        <v>142</v>
      </c>
      <c r="BH93" t="str">
        <f t="shared" si="26"/>
        <v/>
      </c>
      <c r="BJ93" t="str">
        <f t="shared" si="16"/>
        <v/>
      </c>
      <c r="BK93" t="s">
        <v>321</v>
      </c>
      <c r="BL93" t="str">
        <f t="shared" si="17"/>
        <v/>
      </c>
      <c r="BM93" t="s">
        <v>159</v>
      </c>
      <c r="BN93" s="20">
        <v>45558</v>
      </c>
      <c r="BO93" t="str">
        <f t="shared" si="18"/>
        <v>S39_2024</v>
      </c>
      <c r="BP93" t="s">
        <v>114</v>
      </c>
      <c r="BQ93" t="s">
        <v>118</v>
      </c>
      <c r="BU93" s="11"/>
      <c r="BW93" s="21"/>
      <c r="BZ93" s="11"/>
      <c r="CB93" s="21"/>
      <c r="CE93" s="11"/>
      <c r="CG93" s="21"/>
      <c r="CI93" t="s">
        <v>119</v>
      </c>
      <c r="CO93" t="str">
        <f t="shared" si="19"/>
        <v>NEGATIFPAS INCLUS</v>
      </c>
      <c r="CP93" s="11">
        <v>45558</v>
      </c>
      <c r="CR93" t="e">
        <f t="shared" si="21"/>
        <v>#VALUE!</v>
      </c>
      <c r="CS93">
        <f t="shared" si="22"/>
        <v>0</v>
      </c>
      <c r="CT93">
        <f t="shared" si="13"/>
        <v>206</v>
      </c>
      <c r="CU93">
        <f t="shared" si="23"/>
        <v>45558</v>
      </c>
      <c r="CV93" t="str">
        <f t="shared" si="24"/>
        <v/>
      </c>
      <c r="CX93" s="20">
        <v>45352</v>
      </c>
      <c r="CY93" t="str">
        <f t="shared" si="20"/>
        <v>S9_2024</v>
      </c>
      <c r="DC93" t="s">
        <v>120</v>
      </c>
    </row>
    <row r="94" spans="1:107" ht="16" thickBot="1" x14ac:dyDescent="0.4">
      <c r="A94" t="s">
        <v>539</v>
      </c>
      <c r="B94" s="10" t="str">
        <f t="shared" si="14"/>
        <v>S39_2024</v>
      </c>
      <c r="C94" s="10" t="str">
        <f t="shared" si="15"/>
        <v>S31_2024</v>
      </c>
      <c r="D94" s="11">
        <v>45558</v>
      </c>
      <c r="E94" t="s">
        <v>123</v>
      </c>
      <c r="F94">
        <v>0.3</v>
      </c>
      <c r="G94" t="s">
        <v>141</v>
      </c>
      <c r="H94" t="s">
        <v>108</v>
      </c>
      <c r="J94" t="s">
        <v>132</v>
      </c>
      <c r="K94" s="12"/>
      <c r="L94" t="s">
        <v>180</v>
      </c>
      <c r="M94" t="s">
        <v>527</v>
      </c>
      <c r="N94" t="s">
        <v>528</v>
      </c>
      <c r="O94" t="s">
        <v>184</v>
      </c>
      <c r="P94" t="s">
        <v>529</v>
      </c>
      <c r="Q94" t="s">
        <v>527</v>
      </c>
      <c r="R94" s="20">
        <v>45504</v>
      </c>
      <c r="S94" s="20">
        <v>45504</v>
      </c>
      <c r="T94" s="20">
        <v>45504</v>
      </c>
      <c r="V94" t="s">
        <v>109</v>
      </c>
      <c r="W94" t="s">
        <v>114</v>
      </c>
      <c r="X94" t="s">
        <v>109</v>
      </c>
      <c r="Y94" t="s">
        <v>109</v>
      </c>
      <c r="AA94" t="s">
        <v>114</v>
      </c>
      <c r="AE94" t="s">
        <v>114</v>
      </c>
      <c r="AK94" t="s">
        <v>114</v>
      </c>
      <c r="AM94" t="s">
        <v>132</v>
      </c>
      <c r="AN94" t="s">
        <v>132</v>
      </c>
      <c r="AQ94" t="s">
        <v>132</v>
      </c>
      <c r="BB94" t="s">
        <v>132</v>
      </c>
      <c r="BC94" s="21"/>
      <c r="BH94" t="str">
        <f t="shared" si="26"/>
        <v/>
      </c>
      <c r="BJ94" t="str">
        <f t="shared" si="16"/>
        <v/>
      </c>
      <c r="BK94" t="s">
        <v>180</v>
      </c>
      <c r="BL94" t="str">
        <f t="shared" si="17"/>
        <v/>
      </c>
      <c r="BM94" t="s">
        <v>159</v>
      </c>
      <c r="BN94" s="21"/>
      <c r="BO94" t="str">
        <f t="shared" si="18"/>
        <v/>
      </c>
      <c r="BW94" s="21"/>
      <c r="CB94" s="21"/>
      <c r="CG94" s="21"/>
      <c r="CI94" t="s">
        <v>119</v>
      </c>
      <c r="CO94" t="str">
        <f t="shared" si="19"/>
        <v>PAS INCLUS</v>
      </c>
      <c r="CP94" s="11">
        <v>45558</v>
      </c>
      <c r="CR94" t="str">
        <f t="shared" si="21"/>
        <v/>
      </c>
      <c r="CS94" t="str">
        <f t="shared" si="22"/>
        <v/>
      </c>
      <c r="CT94">
        <f t="shared" si="13"/>
        <v>54</v>
      </c>
      <c r="CU94" t="str">
        <f t="shared" si="23"/>
        <v/>
      </c>
      <c r="CV94" t="str">
        <f t="shared" si="24"/>
        <v/>
      </c>
      <c r="CX94" s="20">
        <v>45504</v>
      </c>
      <c r="CY94" t="str">
        <f t="shared" si="20"/>
        <v>S31_2024</v>
      </c>
      <c r="DB94" t="s">
        <v>114</v>
      </c>
      <c r="DC94" t="s">
        <v>160</v>
      </c>
    </row>
    <row r="95" spans="1:107" x14ac:dyDescent="0.35">
      <c r="A95" t="s">
        <v>540</v>
      </c>
      <c r="B95" s="10" t="str">
        <f t="shared" si="14"/>
        <v>S39_2024</v>
      </c>
      <c r="C95" s="10" t="str">
        <f t="shared" si="15"/>
        <v>S39_2024</v>
      </c>
      <c r="D95" s="11">
        <v>45559</v>
      </c>
      <c r="E95" t="s">
        <v>123</v>
      </c>
      <c r="F95">
        <v>32</v>
      </c>
      <c r="G95" t="s">
        <v>110</v>
      </c>
      <c r="H95" t="s">
        <v>108</v>
      </c>
      <c r="J95" t="s">
        <v>142</v>
      </c>
      <c r="K95" s="12"/>
      <c r="L95" t="s">
        <v>126</v>
      </c>
      <c r="M95" t="s">
        <v>541</v>
      </c>
      <c r="N95" t="s">
        <v>542</v>
      </c>
      <c r="P95" t="s">
        <v>110</v>
      </c>
      <c r="Q95" t="s">
        <v>158</v>
      </c>
      <c r="R95" s="11">
        <v>45558</v>
      </c>
      <c r="S95" s="11">
        <v>45558</v>
      </c>
      <c r="T95" s="11">
        <v>45558</v>
      </c>
      <c r="AR95" t="s">
        <v>543</v>
      </c>
      <c r="AS95" s="11">
        <v>45560</v>
      </c>
      <c r="AU95" t="s">
        <v>114</v>
      </c>
      <c r="AV95" t="s">
        <v>115</v>
      </c>
      <c r="BB95" t="s">
        <v>114</v>
      </c>
      <c r="BC95" s="11">
        <v>45559</v>
      </c>
      <c r="BD95" t="s">
        <v>243</v>
      </c>
      <c r="BF95" t="s">
        <v>542</v>
      </c>
      <c r="BG95" t="s">
        <v>132</v>
      </c>
      <c r="BH95" t="str">
        <f t="shared" si="26"/>
        <v/>
      </c>
      <c r="BJ95" t="str">
        <f t="shared" si="16"/>
        <v/>
      </c>
      <c r="BK95" t="s">
        <v>137</v>
      </c>
      <c r="BL95" t="str">
        <f t="shared" si="17"/>
        <v>S39_2024</v>
      </c>
      <c r="BN95" s="11">
        <v>45559</v>
      </c>
      <c r="BO95" t="str">
        <f t="shared" si="18"/>
        <v>S39_2024</v>
      </c>
      <c r="BP95" t="s">
        <v>114</v>
      </c>
      <c r="BQ95" t="s">
        <v>118</v>
      </c>
      <c r="BU95" s="11"/>
      <c r="BW95" s="11"/>
      <c r="BX95" s="11"/>
      <c r="BY95" s="11"/>
      <c r="BZ95" s="11"/>
      <c r="CB95" s="11"/>
      <c r="CC95" s="11"/>
      <c r="CD95" s="11"/>
      <c r="CE95" s="11"/>
      <c r="CG95" s="11"/>
      <c r="CI95" t="s">
        <v>119</v>
      </c>
      <c r="CO95" t="str">
        <f t="shared" si="19"/>
        <v>NEGATIFPAS INCLUS</v>
      </c>
      <c r="CP95" s="11">
        <v>45559</v>
      </c>
      <c r="CR95">
        <f t="shared" si="21"/>
        <v>1</v>
      </c>
      <c r="CS95">
        <f t="shared" si="22"/>
        <v>-1</v>
      </c>
      <c r="CT95">
        <f t="shared" si="13"/>
        <v>1</v>
      </c>
      <c r="CU95">
        <f t="shared" si="23"/>
        <v>45559</v>
      </c>
      <c r="CV95" t="str">
        <f t="shared" si="24"/>
        <v/>
      </c>
      <c r="CX95" s="11">
        <v>45558</v>
      </c>
      <c r="CY95" t="str">
        <f t="shared" si="20"/>
        <v>S39_2024</v>
      </c>
      <c r="DC95" t="s">
        <v>120</v>
      </c>
    </row>
    <row r="96" spans="1:107" x14ac:dyDescent="0.35">
      <c r="A96" t="s">
        <v>544</v>
      </c>
      <c r="B96" s="10" t="str">
        <f t="shared" si="14"/>
        <v>S39_2024</v>
      </c>
      <c r="C96" s="10" t="str">
        <f t="shared" si="15"/>
        <v>S37_2024</v>
      </c>
      <c r="D96" s="11">
        <v>45562</v>
      </c>
      <c r="E96" t="s">
        <v>123</v>
      </c>
      <c r="F96">
        <v>7</v>
      </c>
      <c r="G96" t="s">
        <v>107</v>
      </c>
      <c r="H96" t="s">
        <v>108</v>
      </c>
      <c r="J96" t="s">
        <v>114</v>
      </c>
      <c r="K96" s="14">
        <v>45551</v>
      </c>
      <c r="L96" t="s">
        <v>180</v>
      </c>
      <c r="M96" t="s">
        <v>545</v>
      </c>
      <c r="N96" t="s">
        <v>546</v>
      </c>
      <c r="P96" t="s">
        <v>110</v>
      </c>
      <c r="Q96" t="s">
        <v>545</v>
      </c>
      <c r="R96" s="11">
        <v>45549</v>
      </c>
      <c r="S96" s="11">
        <v>45549</v>
      </c>
      <c r="T96" s="11">
        <v>45549</v>
      </c>
      <c r="AR96" t="s">
        <v>547</v>
      </c>
      <c r="AS96" s="11">
        <v>45562</v>
      </c>
      <c r="AU96" t="s">
        <v>114</v>
      </c>
      <c r="AV96" t="s">
        <v>115</v>
      </c>
      <c r="BB96" t="s">
        <v>114</v>
      </c>
      <c r="BC96" s="11">
        <v>45558</v>
      </c>
      <c r="BD96" t="s">
        <v>548</v>
      </c>
      <c r="BF96" t="s">
        <v>546</v>
      </c>
      <c r="BG96" t="s">
        <v>132</v>
      </c>
      <c r="BH96" t="str">
        <f t="shared" si="26"/>
        <v/>
      </c>
      <c r="BJ96" t="str">
        <f t="shared" si="16"/>
        <v/>
      </c>
      <c r="BK96" t="s">
        <v>180</v>
      </c>
      <c r="BL96" t="str">
        <f t="shared" si="17"/>
        <v>S39_2024</v>
      </c>
      <c r="BN96" s="11">
        <v>45558</v>
      </c>
      <c r="BO96" t="str">
        <f t="shared" si="18"/>
        <v>S39_2024</v>
      </c>
      <c r="BP96" t="s">
        <v>114</v>
      </c>
      <c r="BQ96" t="s">
        <v>118</v>
      </c>
      <c r="BU96" s="11"/>
      <c r="BW96" s="11"/>
      <c r="BX96" s="11"/>
      <c r="BY96" s="11"/>
      <c r="BZ96" s="11"/>
      <c r="CB96" s="11"/>
      <c r="CC96" s="11"/>
      <c r="CD96" s="11"/>
      <c r="CE96" s="11"/>
      <c r="CG96" s="11"/>
      <c r="CI96" t="s">
        <v>119</v>
      </c>
      <c r="CO96" t="str">
        <f t="shared" si="19"/>
        <v>NEGATIFPAS INCLUS</v>
      </c>
      <c r="CP96" s="11">
        <v>45558</v>
      </c>
      <c r="CR96">
        <f t="shared" si="21"/>
        <v>4</v>
      </c>
      <c r="CS96">
        <f t="shared" si="22"/>
        <v>-4</v>
      </c>
      <c r="CT96">
        <f t="shared" ref="CT96:CT159" si="27">CP96-CX96</f>
        <v>9</v>
      </c>
      <c r="CU96">
        <f t="shared" si="23"/>
        <v>7</v>
      </c>
      <c r="CV96" t="str">
        <f t="shared" si="24"/>
        <v/>
      </c>
      <c r="CX96" s="11">
        <v>45549</v>
      </c>
      <c r="CY96" t="str">
        <f t="shared" si="20"/>
        <v>S37_2024</v>
      </c>
      <c r="DC96" t="s">
        <v>120</v>
      </c>
    </row>
    <row r="97" spans="1:107" x14ac:dyDescent="0.35">
      <c r="A97" t="s">
        <v>549</v>
      </c>
      <c r="B97" s="10" t="str">
        <f t="shared" si="14"/>
        <v>S39_2024</v>
      </c>
      <c r="C97" s="10" t="str">
        <f t="shared" si="15"/>
        <v>S39_2024</v>
      </c>
      <c r="D97" s="11">
        <v>45562</v>
      </c>
      <c r="E97" t="s">
        <v>123</v>
      </c>
      <c r="F97">
        <v>12</v>
      </c>
      <c r="G97" t="s">
        <v>107</v>
      </c>
      <c r="H97" t="s">
        <v>108</v>
      </c>
      <c r="J97" t="s">
        <v>142</v>
      </c>
      <c r="K97" s="12"/>
      <c r="L97" t="s">
        <v>111</v>
      </c>
      <c r="M97" t="s">
        <v>112</v>
      </c>
      <c r="N97" t="s">
        <v>112</v>
      </c>
      <c r="P97" t="s">
        <v>110</v>
      </c>
      <c r="Q97" t="s">
        <v>112</v>
      </c>
      <c r="R97" s="11">
        <v>45559</v>
      </c>
      <c r="S97" s="11">
        <v>45559</v>
      </c>
      <c r="T97" s="11">
        <v>45559</v>
      </c>
      <c r="AE97" t="s">
        <v>114</v>
      </c>
      <c r="AR97" t="s">
        <v>550</v>
      </c>
      <c r="AS97" s="11">
        <v>45562</v>
      </c>
      <c r="AU97" t="s">
        <v>114</v>
      </c>
      <c r="AV97" t="s">
        <v>115</v>
      </c>
      <c r="BB97" t="s">
        <v>114</v>
      </c>
      <c r="BC97" s="11">
        <v>45561</v>
      </c>
      <c r="BD97" t="s">
        <v>116</v>
      </c>
      <c r="BG97" t="s">
        <v>114</v>
      </c>
      <c r="BH97" t="str">
        <f t="shared" si="26"/>
        <v/>
      </c>
      <c r="BJ97" t="str">
        <f t="shared" si="16"/>
        <v/>
      </c>
      <c r="BK97" t="s">
        <v>117</v>
      </c>
      <c r="BL97" t="str">
        <f t="shared" si="17"/>
        <v>S39_2024</v>
      </c>
      <c r="BN97" s="11">
        <v>45561</v>
      </c>
      <c r="BO97" t="str">
        <f t="shared" si="18"/>
        <v>S39_2024</v>
      </c>
      <c r="BP97" t="s">
        <v>114</v>
      </c>
      <c r="BQ97" t="s">
        <v>118</v>
      </c>
      <c r="BU97" s="11"/>
      <c r="BW97" s="11"/>
      <c r="BX97" s="11"/>
      <c r="BY97" s="11"/>
      <c r="BZ97" s="11"/>
      <c r="CB97" s="11"/>
      <c r="CC97" s="11"/>
      <c r="CD97" s="11"/>
      <c r="CE97" s="11"/>
      <c r="CG97" s="11"/>
      <c r="CI97" t="s">
        <v>119</v>
      </c>
      <c r="CO97" t="str">
        <f t="shared" si="19"/>
        <v>NEGATIFPAS INCLUS</v>
      </c>
      <c r="CP97" s="11">
        <v>45561</v>
      </c>
      <c r="CR97">
        <f t="shared" si="21"/>
        <v>1</v>
      </c>
      <c r="CS97">
        <f t="shared" si="22"/>
        <v>-1</v>
      </c>
      <c r="CT97">
        <f t="shared" si="27"/>
        <v>2</v>
      </c>
      <c r="CU97">
        <f t="shared" si="23"/>
        <v>45561</v>
      </c>
      <c r="CV97" t="str">
        <f t="shared" si="24"/>
        <v/>
      </c>
      <c r="CX97" s="11">
        <v>45559</v>
      </c>
      <c r="CY97" t="str">
        <f t="shared" si="20"/>
        <v>S39_2024</v>
      </c>
      <c r="DC97" t="s">
        <v>120</v>
      </c>
    </row>
    <row r="98" spans="1:107" x14ac:dyDescent="0.35">
      <c r="A98" t="s">
        <v>551</v>
      </c>
      <c r="B98" s="10" t="str">
        <f t="shared" si="14"/>
        <v>S40_2024</v>
      </c>
      <c r="C98" s="10" t="str">
        <f t="shared" si="15"/>
        <v>S39_2024</v>
      </c>
      <c r="D98" s="11">
        <v>45566</v>
      </c>
      <c r="E98" t="s">
        <v>123</v>
      </c>
      <c r="F98">
        <v>56</v>
      </c>
      <c r="G98" s="16" t="s">
        <v>429</v>
      </c>
      <c r="H98" t="s">
        <v>108</v>
      </c>
      <c r="J98" t="s">
        <v>114</v>
      </c>
      <c r="K98" s="14">
        <v>45563</v>
      </c>
      <c r="L98" t="s">
        <v>552</v>
      </c>
      <c r="M98" t="s">
        <v>553</v>
      </c>
      <c r="N98" t="s">
        <v>438</v>
      </c>
      <c r="O98" t="s">
        <v>554</v>
      </c>
      <c r="P98" t="s">
        <v>555</v>
      </c>
      <c r="Q98" t="s">
        <v>556</v>
      </c>
      <c r="R98" s="11">
        <v>45558</v>
      </c>
      <c r="S98" s="11">
        <v>45558</v>
      </c>
      <c r="T98" s="11">
        <v>45558</v>
      </c>
      <c r="V98" t="s">
        <v>114</v>
      </c>
      <c r="X98" t="s">
        <v>114</v>
      </c>
      <c r="Y98" t="s">
        <v>114</v>
      </c>
      <c r="AA98" t="s">
        <v>114</v>
      </c>
      <c r="AE98" t="s">
        <v>114</v>
      </c>
      <c r="AG98" t="s">
        <v>114</v>
      </c>
      <c r="AK98" t="s">
        <v>132</v>
      </c>
      <c r="AM98" t="s">
        <v>114</v>
      </c>
      <c r="AN98" t="s">
        <v>114</v>
      </c>
      <c r="AQ98" t="s">
        <v>142</v>
      </c>
      <c r="AR98" t="s">
        <v>557</v>
      </c>
      <c r="AS98" s="11">
        <v>45565</v>
      </c>
      <c r="AU98" t="s">
        <v>114</v>
      </c>
      <c r="AV98" t="s">
        <v>115</v>
      </c>
      <c r="BB98" t="s">
        <v>114</v>
      </c>
      <c r="BC98" s="11">
        <v>45564</v>
      </c>
      <c r="BD98" t="s">
        <v>558</v>
      </c>
      <c r="BE98">
        <v>652156255</v>
      </c>
      <c r="BF98" t="s">
        <v>559</v>
      </c>
      <c r="BG98" t="s">
        <v>114</v>
      </c>
      <c r="BH98" t="str">
        <f t="shared" si="26"/>
        <v/>
      </c>
      <c r="BJ98" t="str">
        <f t="shared" si="16"/>
        <v/>
      </c>
      <c r="BK98" t="s">
        <v>552</v>
      </c>
      <c r="BL98" t="str">
        <f t="shared" si="17"/>
        <v>S39_2024</v>
      </c>
      <c r="BN98" s="11">
        <v>45564</v>
      </c>
      <c r="BO98" t="str">
        <f t="shared" si="18"/>
        <v>S39_2024</v>
      </c>
      <c r="BP98" t="s">
        <v>114</v>
      </c>
      <c r="BQ98" t="s">
        <v>118</v>
      </c>
      <c r="BU98" s="11"/>
      <c r="BW98" s="11"/>
      <c r="BX98" s="11"/>
      <c r="BY98" s="11"/>
      <c r="BZ98" s="11"/>
      <c r="CB98" s="11"/>
      <c r="CC98" s="11"/>
      <c r="CD98" s="11"/>
      <c r="CE98" s="11"/>
      <c r="CG98" s="11"/>
      <c r="CI98" t="s">
        <v>119</v>
      </c>
      <c r="CO98" t="str">
        <f t="shared" si="19"/>
        <v>NEGATIFPAS INCLUS</v>
      </c>
      <c r="CP98" s="11">
        <v>45564</v>
      </c>
      <c r="CR98">
        <f t="shared" si="21"/>
        <v>1</v>
      </c>
      <c r="CS98">
        <f t="shared" si="22"/>
        <v>-1</v>
      </c>
      <c r="CT98">
        <f t="shared" si="27"/>
        <v>6</v>
      </c>
      <c r="CU98">
        <f t="shared" si="23"/>
        <v>1</v>
      </c>
      <c r="CV98" t="str">
        <f t="shared" si="24"/>
        <v/>
      </c>
      <c r="CX98" s="11">
        <v>45558</v>
      </c>
      <c r="CY98" t="str">
        <f t="shared" si="20"/>
        <v>S39_2024</v>
      </c>
      <c r="DC98" t="s">
        <v>120</v>
      </c>
    </row>
    <row r="99" spans="1:107" x14ac:dyDescent="0.35">
      <c r="A99" t="s">
        <v>560</v>
      </c>
      <c r="B99" s="10" t="str">
        <f t="shared" si="14"/>
        <v>S40_2024</v>
      </c>
      <c r="C99" s="10" t="str">
        <f t="shared" si="15"/>
        <v>S36_2024</v>
      </c>
      <c r="D99" s="11">
        <v>45566</v>
      </c>
      <c r="E99" t="s">
        <v>106</v>
      </c>
      <c r="F99">
        <v>0.08</v>
      </c>
      <c r="G99" t="s">
        <v>141</v>
      </c>
      <c r="H99" t="s">
        <v>108</v>
      </c>
      <c r="J99" t="s">
        <v>114</v>
      </c>
      <c r="K99" s="14">
        <v>45564</v>
      </c>
      <c r="L99" t="s">
        <v>552</v>
      </c>
      <c r="M99" t="s">
        <v>553</v>
      </c>
      <c r="N99" t="s">
        <v>438</v>
      </c>
      <c r="O99" t="s">
        <v>554</v>
      </c>
      <c r="P99" t="s">
        <v>555</v>
      </c>
      <c r="Q99" t="s">
        <v>556</v>
      </c>
      <c r="R99" s="11">
        <v>45537</v>
      </c>
      <c r="S99" s="11">
        <v>45537</v>
      </c>
      <c r="T99" s="11">
        <v>45537</v>
      </c>
      <c r="V99" t="s">
        <v>114</v>
      </c>
      <c r="AE99" t="s">
        <v>114</v>
      </c>
      <c r="AG99" t="s">
        <v>114</v>
      </c>
      <c r="AK99" t="s">
        <v>132</v>
      </c>
      <c r="AM99" t="s">
        <v>114</v>
      </c>
      <c r="AN99" t="s">
        <v>114</v>
      </c>
      <c r="AQ99" t="s">
        <v>132</v>
      </c>
      <c r="AR99" t="s">
        <v>561</v>
      </c>
      <c r="AS99" s="11">
        <v>45565</v>
      </c>
      <c r="AU99" t="s">
        <v>114</v>
      </c>
      <c r="AV99" t="s">
        <v>115</v>
      </c>
      <c r="BB99" t="s">
        <v>114</v>
      </c>
      <c r="BC99" s="11">
        <v>45564</v>
      </c>
      <c r="BD99" t="s">
        <v>562</v>
      </c>
      <c r="BE99">
        <v>652156255</v>
      </c>
      <c r="BF99" t="s">
        <v>559</v>
      </c>
      <c r="BG99" t="s">
        <v>132</v>
      </c>
      <c r="BH99" t="str">
        <f t="shared" si="26"/>
        <v/>
      </c>
      <c r="BJ99" t="str">
        <f t="shared" si="16"/>
        <v/>
      </c>
      <c r="BK99" t="s">
        <v>552</v>
      </c>
      <c r="BL99" t="str">
        <f t="shared" si="17"/>
        <v>S39_2024</v>
      </c>
      <c r="BN99" s="11">
        <v>45564</v>
      </c>
      <c r="BO99" t="str">
        <f t="shared" si="18"/>
        <v>S39_2024</v>
      </c>
      <c r="BP99" t="s">
        <v>114</v>
      </c>
      <c r="BQ99" t="s">
        <v>118</v>
      </c>
      <c r="BU99" s="11"/>
      <c r="BW99" s="11"/>
      <c r="BX99" s="11"/>
      <c r="BY99" s="11"/>
      <c r="BZ99" s="11"/>
      <c r="CB99" s="11"/>
      <c r="CC99" s="11"/>
      <c r="CD99" s="11"/>
      <c r="CE99" s="11"/>
      <c r="CG99" s="11"/>
      <c r="CI99" t="s">
        <v>119</v>
      </c>
      <c r="CO99" t="str">
        <f t="shared" si="19"/>
        <v>NEGATIFPAS INCLUS</v>
      </c>
      <c r="CP99" s="11">
        <v>45564</v>
      </c>
      <c r="CR99">
        <f t="shared" si="21"/>
        <v>1</v>
      </c>
      <c r="CS99">
        <f t="shared" si="22"/>
        <v>-1</v>
      </c>
      <c r="CT99">
        <f t="shared" si="27"/>
        <v>27</v>
      </c>
      <c r="CU99">
        <f t="shared" si="23"/>
        <v>0</v>
      </c>
      <c r="CV99" t="str">
        <f t="shared" si="24"/>
        <v/>
      </c>
      <c r="CX99" s="11">
        <v>45537</v>
      </c>
      <c r="CY99" t="str">
        <f t="shared" si="20"/>
        <v>S36_2024</v>
      </c>
      <c r="DC99" t="s">
        <v>120</v>
      </c>
    </row>
    <row r="100" spans="1:107" x14ac:dyDescent="0.35">
      <c r="A100" t="s">
        <v>563</v>
      </c>
      <c r="B100" s="10" t="str">
        <f t="shared" si="14"/>
        <v>S40_2024</v>
      </c>
      <c r="C100" s="10" t="str">
        <f t="shared" si="15"/>
        <v>S27_2024</v>
      </c>
      <c r="D100" s="11">
        <v>45566</v>
      </c>
      <c r="E100" t="s">
        <v>106</v>
      </c>
      <c r="F100"/>
      <c r="G100" t="s">
        <v>564</v>
      </c>
      <c r="H100" t="s">
        <v>108</v>
      </c>
      <c r="J100" t="s">
        <v>109</v>
      </c>
      <c r="K100" s="14">
        <v>45564</v>
      </c>
      <c r="L100" t="s">
        <v>552</v>
      </c>
      <c r="M100" t="s">
        <v>553</v>
      </c>
      <c r="N100" t="s">
        <v>438</v>
      </c>
      <c r="O100" t="s">
        <v>554</v>
      </c>
      <c r="P100" t="s">
        <v>555</v>
      </c>
      <c r="Q100" t="s">
        <v>556</v>
      </c>
      <c r="R100" s="11">
        <v>45474</v>
      </c>
      <c r="S100" s="11">
        <v>45474</v>
      </c>
      <c r="T100" s="11">
        <v>45474</v>
      </c>
      <c r="V100" t="s">
        <v>114</v>
      </c>
      <c r="AE100" t="s">
        <v>114</v>
      </c>
      <c r="AG100" t="s">
        <v>114</v>
      </c>
      <c r="AK100" t="s">
        <v>132</v>
      </c>
      <c r="AM100" t="s">
        <v>114</v>
      </c>
      <c r="AN100" t="s">
        <v>114</v>
      </c>
      <c r="AQ100" t="s">
        <v>142</v>
      </c>
      <c r="AR100" t="s">
        <v>565</v>
      </c>
      <c r="AS100" s="11">
        <v>45565</v>
      </c>
      <c r="AU100" t="s">
        <v>114</v>
      </c>
      <c r="AV100" t="s">
        <v>115</v>
      </c>
      <c r="BB100" t="s">
        <v>114</v>
      </c>
      <c r="BC100" s="11">
        <v>45564</v>
      </c>
      <c r="BD100" t="s">
        <v>558</v>
      </c>
      <c r="BF100" t="s">
        <v>559</v>
      </c>
      <c r="BG100" t="s">
        <v>114</v>
      </c>
      <c r="BH100" t="str">
        <f t="shared" si="26"/>
        <v/>
      </c>
      <c r="BJ100" t="str">
        <f t="shared" si="16"/>
        <v/>
      </c>
      <c r="BK100" t="s">
        <v>552</v>
      </c>
      <c r="BL100" t="str">
        <f t="shared" si="17"/>
        <v>S39_2024</v>
      </c>
      <c r="BN100" s="11">
        <v>45564</v>
      </c>
      <c r="BO100" t="str">
        <f t="shared" si="18"/>
        <v>S39_2024</v>
      </c>
      <c r="BP100" t="s">
        <v>114</v>
      </c>
      <c r="BQ100" t="s">
        <v>118</v>
      </c>
      <c r="BU100" s="11"/>
      <c r="BW100" s="11"/>
      <c r="BX100" s="11"/>
      <c r="BY100" s="11"/>
      <c r="BZ100" s="11"/>
      <c r="CB100" s="11"/>
      <c r="CC100" s="11"/>
      <c r="CD100" s="11"/>
      <c r="CE100" s="11"/>
      <c r="CG100" s="11"/>
      <c r="CI100" t="s">
        <v>119</v>
      </c>
      <c r="CO100" t="str">
        <f t="shared" si="19"/>
        <v>NEGATIFPAS INCLUS</v>
      </c>
      <c r="CP100" s="11">
        <v>45564</v>
      </c>
      <c r="CR100">
        <f t="shared" si="21"/>
        <v>1</v>
      </c>
      <c r="CS100">
        <f t="shared" si="22"/>
        <v>-1</v>
      </c>
      <c r="CT100">
        <f t="shared" si="27"/>
        <v>90</v>
      </c>
      <c r="CU100">
        <f t="shared" si="23"/>
        <v>0</v>
      </c>
      <c r="CV100" t="str">
        <f t="shared" si="24"/>
        <v/>
      </c>
      <c r="CX100" s="11">
        <v>45474</v>
      </c>
      <c r="CY100" t="str">
        <f t="shared" si="20"/>
        <v>S27_2024</v>
      </c>
      <c r="DC100" t="s">
        <v>120</v>
      </c>
    </row>
    <row r="101" spans="1:107" x14ac:dyDescent="0.35">
      <c r="A101" t="s">
        <v>566</v>
      </c>
      <c r="B101" s="10" t="str">
        <f t="shared" si="14"/>
        <v>S40_2024</v>
      </c>
      <c r="C101" s="10" t="str">
        <f t="shared" si="15"/>
        <v>S39_2024</v>
      </c>
      <c r="D101" s="11">
        <v>45570</v>
      </c>
      <c r="E101" t="s">
        <v>106</v>
      </c>
      <c r="F101" s="17">
        <v>16</v>
      </c>
      <c r="G101" t="s">
        <v>107</v>
      </c>
      <c r="H101" t="s">
        <v>108</v>
      </c>
      <c r="J101" s="16" t="s">
        <v>132</v>
      </c>
      <c r="K101" s="12"/>
      <c r="L101" t="s">
        <v>111</v>
      </c>
      <c r="M101" t="s">
        <v>445</v>
      </c>
      <c r="N101" s="16" t="s">
        <v>445</v>
      </c>
      <c r="O101" t="s">
        <v>184</v>
      </c>
      <c r="P101" t="s">
        <v>110</v>
      </c>
      <c r="Q101" t="s">
        <v>445</v>
      </c>
      <c r="R101" s="11">
        <v>45563</v>
      </c>
      <c r="S101" s="11">
        <v>45563</v>
      </c>
      <c r="T101" s="11">
        <v>45563</v>
      </c>
      <c r="X101" s="16" t="s">
        <v>114</v>
      </c>
      <c r="AB101" s="16" t="s">
        <v>114</v>
      </c>
      <c r="AK101" s="16" t="s">
        <v>132</v>
      </c>
      <c r="AL101" s="16"/>
      <c r="AM101" s="16" t="s">
        <v>114</v>
      </c>
      <c r="AN101" s="16" t="s">
        <v>114</v>
      </c>
      <c r="AO101" s="16"/>
      <c r="AQ101" s="16" t="s">
        <v>114</v>
      </c>
      <c r="AR101" s="16" t="s">
        <v>567</v>
      </c>
      <c r="AS101" s="11">
        <v>45569</v>
      </c>
      <c r="AU101" t="s">
        <v>114</v>
      </c>
      <c r="AV101" t="s">
        <v>115</v>
      </c>
      <c r="BB101" t="s">
        <v>114</v>
      </c>
      <c r="BC101" s="11">
        <v>45567</v>
      </c>
      <c r="BD101" t="s">
        <v>313</v>
      </c>
      <c r="BE101">
        <v>653972114</v>
      </c>
      <c r="BF101" s="16" t="s">
        <v>445</v>
      </c>
      <c r="BG101" t="s">
        <v>132</v>
      </c>
      <c r="BH101" t="str">
        <f t="shared" si="26"/>
        <v/>
      </c>
      <c r="BJ101" t="str">
        <f t="shared" si="16"/>
        <v/>
      </c>
      <c r="BK101" t="s">
        <v>117</v>
      </c>
      <c r="BL101" t="str">
        <f t="shared" si="17"/>
        <v>S40_2024</v>
      </c>
      <c r="BN101" s="11">
        <v>45567</v>
      </c>
      <c r="BO101" t="str">
        <f t="shared" si="18"/>
        <v>S40_2024</v>
      </c>
      <c r="BP101" t="s">
        <v>114</v>
      </c>
      <c r="BQ101" t="s">
        <v>118</v>
      </c>
      <c r="BU101" s="11"/>
      <c r="BW101" s="11"/>
      <c r="BX101" s="11"/>
      <c r="BY101" s="11"/>
      <c r="BZ101" s="11"/>
      <c r="CB101" s="11"/>
      <c r="CC101" s="11"/>
      <c r="CD101" s="11"/>
      <c r="CE101" s="11"/>
      <c r="CG101" s="11"/>
      <c r="CI101" t="s">
        <v>119</v>
      </c>
      <c r="CO101" t="str">
        <f t="shared" si="19"/>
        <v>NEGATIFPAS INCLUS</v>
      </c>
      <c r="CP101" s="11">
        <v>45567</v>
      </c>
      <c r="CR101">
        <f t="shared" si="21"/>
        <v>2</v>
      </c>
      <c r="CS101">
        <f t="shared" si="22"/>
        <v>-2</v>
      </c>
      <c r="CT101">
        <f t="shared" si="27"/>
        <v>4</v>
      </c>
      <c r="CU101" t="str">
        <f t="shared" si="23"/>
        <v/>
      </c>
      <c r="CV101" t="str">
        <f t="shared" si="24"/>
        <v/>
      </c>
      <c r="CX101" s="11">
        <v>45563</v>
      </c>
      <c r="CY101" t="str">
        <f t="shared" si="20"/>
        <v>S39_2024</v>
      </c>
      <c r="DC101" t="s">
        <v>120</v>
      </c>
    </row>
    <row r="102" spans="1:107" x14ac:dyDescent="0.35">
      <c r="A102" t="s">
        <v>568</v>
      </c>
      <c r="B102" s="10" t="str">
        <f t="shared" si="14"/>
        <v>S40_2024</v>
      </c>
      <c r="C102" s="10" t="str">
        <f t="shared" si="15"/>
        <v>S39_2024</v>
      </c>
      <c r="D102" s="11">
        <v>45570</v>
      </c>
      <c r="E102" t="s">
        <v>123</v>
      </c>
      <c r="F102" s="17">
        <v>37</v>
      </c>
      <c r="G102" s="16" t="s">
        <v>569</v>
      </c>
      <c r="H102" t="s">
        <v>108</v>
      </c>
      <c r="J102" s="16" t="s">
        <v>114</v>
      </c>
      <c r="K102" s="12" t="s">
        <v>110</v>
      </c>
      <c r="L102" t="s">
        <v>111</v>
      </c>
      <c r="M102" t="s">
        <v>308</v>
      </c>
      <c r="N102" s="16" t="s">
        <v>570</v>
      </c>
      <c r="O102" t="s">
        <v>571</v>
      </c>
      <c r="P102" s="16" t="s">
        <v>572</v>
      </c>
      <c r="Q102" t="s">
        <v>312</v>
      </c>
      <c r="R102" s="11">
        <v>45558</v>
      </c>
      <c r="S102" s="11">
        <v>45558</v>
      </c>
      <c r="T102" s="11">
        <v>45558</v>
      </c>
      <c r="V102" t="s">
        <v>114</v>
      </c>
      <c r="X102" s="16" t="s">
        <v>114</v>
      </c>
      <c r="AB102" s="16" t="s">
        <v>114</v>
      </c>
      <c r="AE102" s="16" t="s">
        <v>114</v>
      </c>
      <c r="AG102" s="16" t="s">
        <v>114</v>
      </c>
      <c r="AK102" s="16" t="s">
        <v>132</v>
      </c>
      <c r="AL102" s="16"/>
      <c r="AM102" s="16" t="s">
        <v>132</v>
      </c>
      <c r="AN102" s="16" t="s">
        <v>132</v>
      </c>
      <c r="AO102" s="16"/>
      <c r="AQ102" s="16" t="s">
        <v>142</v>
      </c>
      <c r="AR102" s="16" t="s">
        <v>573</v>
      </c>
      <c r="AU102" t="s">
        <v>114</v>
      </c>
      <c r="AV102" t="s">
        <v>115</v>
      </c>
      <c r="BB102" t="s">
        <v>114</v>
      </c>
      <c r="BC102" s="11">
        <v>45567</v>
      </c>
      <c r="BD102" t="s">
        <v>313</v>
      </c>
      <c r="BE102">
        <v>651152933</v>
      </c>
      <c r="BF102" s="16" t="s">
        <v>570</v>
      </c>
      <c r="BG102" t="s">
        <v>114</v>
      </c>
      <c r="BH102" t="str">
        <f t="shared" si="26"/>
        <v/>
      </c>
      <c r="BJ102" t="str">
        <f t="shared" si="16"/>
        <v/>
      </c>
      <c r="BK102" t="s">
        <v>117</v>
      </c>
      <c r="BL102" t="str">
        <f t="shared" si="17"/>
        <v>S40_2024</v>
      </c>
      <c r="BN102" s="11">
        <v>45567</v>
      </c>
      <c r="BO102" t="str">
        <f t="shared" si="18"/>
        <v>S40_2024</v>
      </c>
      <c r="BP102" t="s">
        <v>114</v>
      </c>
      <c r="BQ102" t="s">
        <v>118</v>
      </c>
      <c r="BW102" s="11"/>
      <c r="BX102" s="11"/>
      <c r="BY102" s="11"/>
      <c r="CB102" s="11"/>
      <c r="CC102" s="11"/>
      <c r="CD102" s="11"/>
      <c r="CG102" s="11"/>
      <c r="CI102" t="s">
        <v>119</v>
      </c>
      <c r="CO102" t="str">
        <f t="shared" si="19"/>
        <v>NEGATIFPAS INCLUS</v>
      </c>
      <c r="CP102" s="11">
        <v>45567</v>
      </c>
      <c r="CR102">
        <f t="shared" si="21"/>
        <v>-45567</v>
      </c>
      <c r="CS102">
        <f t="shared" si="22"/>
        <v>45567</v>
      </c>
      <c r="CT102">
        <f t="shared" si="27"/>
        <v>9</v>
      </c>
      <c r="CU102" t="e">
        <f t="shared" si="23"/>
        <v>#VALUE!</v>
      </c>
      <c r="CV102" t="str">
        <f t="shared" si="24"/>
        <v/>
      </c>
      <c r="CX102" s="11">
        <v>45558</v>
      </c>
      <c r="CY102" t="str">
        <f t="shared" si="20"/>
        <v>S39_2024</v>
      </c>
      <c r="DC102" t="s">
        <v>120</v>
      </c>
    </row>
    <row r="103" spans="1:107" x14ac:dyDescent="0.35">
      <c r="A103" t="s">
        <v>574</v>
      </c>
      <c r="B103" s="10" t="str">
        <f t="shared" si="14"/>
        <v>S41_2024</v>
      </c>
      <c r="C103" s="10" t="str">
        <f t="shared" si="15"/>
        <v>S40_2024</v>
      </c>
      <c r="D103" s="11">
        <v>45573</v>
      </c>
      <c r="E103" t="s">
        <v>123</v>
      </c>
      <c r="F103" s="17">
        <v>37</v>
      </c>
      <c r="G103" s="16" t="s">
        <v>575</v>
      </c>
      <c r="H103" t="s">
        <v>108</v>
      </c>
      <c r="J103" s="16" t="s">
        <v>114</v>
      </c>
      <c r="K103" s="14">
        <v>45570</v>
      </c>
      <c r="L103" t="s">
        <v>111</v>
      </c>
      <c r="M103" t="s">
        <v>112</v>
      </c>
      <c r="N103" s="16" t="s">
        <v>112</v>
      </c>
      <c r="O103" t="s">
        <v>576</v>
      </c>
      <c r="P103" s="16" t="s">
        <v>577</v>
      </c>
      <c r="Q103" t="s">
        <v>578</v>
      </c>
      <c r="R103" s="11">
        <v>45570</v>
      </c>
      <c r="S103" s="11">
        <v>45570</v>
      </c>
      <c r="T103" s="11">
        <v>45570</v>
      </c>
      <c r="AK103" s="16" t="s">
        <v>114</v>
      </c>
      <c r="AL103" s="16"/>
      <c r="AM103" s="16" t="s">
        <v>132</v>
      </c>
      <c r="AN103" s="16" t="s">
        <v>132</v>
      </c>
      <c r="AO103" s="16"/>
      <c r="AQ103" s="16" t="s">
        <v>132</v>
      </c>
      <c r="AR103" s="16" t="s">
        <v>579</v>
      </c>
      <c r="AS103" s="11">
        <v>45572</v>
      </c>
      <c r="AU103" t="s">
        <v>114</v>
      </c>
      <c r="AV103" t="s">
        <v>115</v>
      </c>
      <c r="BB103" t="s">
        <v>114</v>
      </c>
      <c r="BC103" s="11">
        <v>45572</v>
      </c>
      <c r="BD103" t="s">
        <v>116</v>
      </c>
      <c r="BF103" s="16" t="s">
        <v>577</v>
      </c>
      <c r="BG103" t="s">
        <v>132</v>
      </c>
      <c r="BH103" t="str">
        <f t="shared" si="26"/>
        <v/>
      </c>
      <c r="BJ103" t="str">
        <f t="shared" si="16"/>
        <v/>
      </c>
      <c r="BK103" t="s">
        <v>117</v>
      </c>
      <c r="BL103" t="str">
        <f t="shared" si="17"/>
        <v>S41_2024</v>
      </c>
      <c r="BN103" s="11">
        <v>45572</v>
      </c>
      <c r="BO103" t="str">
        <f t="shared" si="18"/>
        <v>S41_2024</v>
      </c>
      <c r="BP103" t="s">
        <v>114</v>
      </c>
      <c r="BQ103" t="s">
        <v>118</v>
      </c>
      <c r="BU103" s="11"/>
      <c r="BW103" s="11"/>
      <c r="BX103" s="11"/>
      <c r="BY103" s="11"/>
      <c r="BZ103" s="11"/>
      <c r="CB103" s="11"/>
      <c r="CC103" s="11"/>
      <c r="CD103" s="11"/>
      <c r="CE103" s="11"/>
      <c r="CG103" s="11"/>
      <c r="CI103" t="s">
        <v>119</v>
      </c>
      <c r="CO103" t="str">
        <f t="shared" si="19"/>
        <v>NEGATIFPAS INCLUS</v>
      </c>
      <c r="CP103" s="11">
        <v>45572</v>
      </c>
      <c r="CR103">
        <f t="shared" si="21"/>
        <v>0</v>
      </c>
      <c r="CS103">
        <f t="shared" si="22"/>
        <v>0</v>
      </c>
      <c r="CT103">
        <f t="shared" si="27"/>
        <v>2</v>
      </c>
      <c r="CU103">
        <f t="shared" si="23"/>
        <v>2</v>
      </c>
      <c r="CV103" t="str">
        <f t="shared" si="24"/>
        <v/>
      </c>
      <c r="CX103" s="11">
        <v>45570</v>
      </c>
      <c r="CY103" t="str">
        <f t="shared" si="20"/>
        <v>S40_2024</v>
      </c>
      <c r="DC103" t="s">
        <v>120</v>
      </c>
    </row>
    <row r="104" spans="1:107" x14ac:dyDescent="0.35">
      <c r="A104" t="s">
        <v>580</v>
      </c>
      <c r="B104" s="10" t="str">
        <f t="shared" si="14"/>
        <v>S41_2024</v>
      </c>
      <c r="C104" s="10" t="str">
        <f t="shared" si="15"/>
        <v>S40_2024</v>
      </c>
      <c r="D104" s="11">
        <v>45576</v>
      </c>
      <c r="E104" t="s">
        <v>123</v>
      </c>
      <c r="F104" s="17">
        <v>30</v>
      </c>
      <c r="G104" s="16" t="s">
        <v>301</v>
      </c>
      <c r="H104" t="s">
        <v>108</v>
      </c>
      <c r="J104" s="16" t="s">
        <v>109</v>
      </c>
      <c r="K104" s="12" t="s">
        <v>110</v>
      </c>
      <c r="L104" t="s">
        <v>126</v>
      </c>
      <c r="M104" t="s">
        <v>127</v>
      </c>
      <c r="N104" s="16" t="s">
        <v>127</v>
      </c>
      <c r="O104" t="s">
        <v>203</v>
      </c>
      <c r="P104" t="s">
        <v>110</v>
      </c>
      <c r="Q104" t="s">
        <v>215</v>
      </c>
      <c r="R104" s="11">
        <v>45570</v>
      </c>
      <c r="S104" s="11">
        <v>45570</v>
      </c>
      <c r="T104" s="11">
        <v>45571</v>
      </c>
      <c r="W104" t="s">
        <v>114</v>
      </c>
      <c r="Z104" t="s">
        <v>114</v>
      </c>
      <c r="AA104" t="s">
        <v>114</v>
      </c>
      <c r="AB104" t="s">
        <v>114</v>
      </c>
      <c r="AE104" s="16" t="s">
        <v>114</v>
      </c>
      <c r="AG104" s="16" t="s">
        <v>114</v>
      </c>
      <c r="AK104" s="16" t="s">
        <v>114</v>
      </c>
      <c r="AL104" s="16"/>
      <c r="AM104" s="16" t="s">
        <v>114</v>
      </c>
      <c r="AN104" s="16" t="s">
        <v>132</v>
      </c>
      <c r="AO104" s="16"/>
      <c r="AQ104" s="16" t="s">
        <v>132</v>
      </c>
      <c r="AR104" s="16" t="s">
        <v>581</v>
      </c>
      <c r="AS104" s="11">
        <v>45575</v>
      </c>
      <c r="AU104" t="s">
        <v>114</v>
      </c>
      <c r="AV104" t="s">
        <v>115</v>
      </c>
      <c r="BB104" t="s">
        <v>114</v>
      </c>
      <c r="BC104" s="11">
        <v>45574</v>
      </c>
      <c r="BD104" t="s">
        <v>313</v>
      </c>
      <c r="BF104" s="16" t="s">
        <v>202</v>
      </c>
      <c r="BG104" t="s">
        <v>114</v>
      </c>
      <c r="BH104" t="str">
        <f t="shared" si="26"/>
        <v/>
      </c>
      <c r="BJ104" t="str">
        <f t="shared" si="16"/>
        <v/>
      </c>
      <c r="BK104" t="s">
        <v>137</v>
      </c>
      <c r="BL104" t="str">
        <f t="shared" si="17"/>
        <v>S41_2024</v>
      </c>
      <c r="BN104" s="11">
        <v>45574</v>
      </c>
      <c r="BO104" t="str">
        <f t="shared" si="18"/>
        <v>S41_2024</v>
      </c>
      <c r="BP104" t="s">
        <v>114</v>
      </c>
      <c r="BQ104" t="s">
        <v>118</v>
      </c>
      <c r="BU104" s="11"/>
      <c r="BW104" s="11"/>
      <c r="BX104" s="11"/>
      <c r="BY104" s="11"/>
      <c r="BZ104" s="11"/>
      <c r="CB104" s="11"/>
      <c r="CC104" s="11"/>
      <c r="CD104" s="11"/>
      <c r="CE104" s="11"/>
      <c r="CG104" s="11"/>
      <c r="CI104" t="s">
        <v>119</v>
      </c>
      <c r="CO104" t="str">
        <f t="shared" si="19"/>
        <v>NEGATIFPAS INCLUS</v>
      </c>
      <c r="CP104" s="11">
        <v>45574</v>
      </c>
      <c r="CR104">
        <f t="shared" si="21"/>
        <v>1</v>
      </c>
      <c r="CS104">
        <f t="shared" si="22"/>
        <v>-1</v>
      </c>
      <c r="CT104">
        <f t="shared" si="27"/>
        <v>4</v>
      </c>
      <c r="CU104" t="e">
        <f t="shared" si="23"/>
        <v>#VALUE!</v>
      </c>
      <c r="CV104" t="str">
        <f t="shared" si="24"/>
        <v/>
      </c>
      <c r="CX104" s="11">
        <v>45570</v>
      </c>
      <c r="CY104" t="str">
        <f t="shared" si="20"/>
        <v>S40_2024</v>
      </c>
      <c r="DC104" t="s">
        <v>120</v>
      </c>
    </row>
    <row r="105" spans="1:107" x14ac:dyDescent="0.35">
      <c r="A105" t="s">
        <v>582</v>
      </c>
      <c r="B105" s="10" t="str">
        <f t="shared" si="14"/>
        <v>S41_2024</v>
      </c>
      <c r="C105" s="10" t="str">
        <f t="shared" si="15"/>
        <v>S40_2024</v>
      </c>
      <c r="D105" s="11">
        <v>45576</v>
      </c>
      <c r="E105" t="s">
        <v>123</v>
      </c>
      <c r="F105" s="17">
        <v>14</v>
      </c>
      <c r="G105" t="s">
        <v>107</v>
      </c>
      <c r="H105" t="s">
        <v>108</v>
      </c>
      <c r="J105" s="16" t="s">
        <v>114</v>
      </c>
      <c r="K105" s="14">
        <v>45569</v>
      </c>
      <c r="L105" t="s">
        <v>552</v>
      </c>
      <c r="M105" t="s">
        <v>583</v>
      </c>
      <c r="N105" s="16" t="s">
        <v>583</v>
      </c>
      <c r="P105" t="s">
        <v>110</v>
      </c>
      <c r="Q105" t="s">
        <v>583</v>
      </c>
      <c r="R105" s="11">
        <v>45567</v>
      </c>
      <c r="S105" s="11">
        <v>45567</v>
      </c>
      <c r="T105" s="11">
        <v>45567</v>
      </c>
      <c r="AE105" t="s">
        <v>114</v>
      </c>
      <c r="AG105" t="s">
        <v>114</v>
      </c>
      <c r="AK105" s="16" t="s">
        <v>132</v>
      </c>
      <c r="AL105" s="16"/>
      <c r="AM105" s="16" t="s">
        <v>132</v>
      </c>
      <c r="AN105" s="16" t="s">
        <v>142</v>
      </c>
      <c r="AO105" s="16"/>
      <c r="AQ105" s="16" t="s">
        <v>132</v>
      </c>
      <c r="AR105" s="16" t="s">
        <v>584</v>
      </c>
      <c r="AS105" s="11">
        <v>45574</v>
      </c>
      <c r="AU105" t="s">
        <v>114</v>
      </c>
      <c r="AV105" t="s">
        <v>115</v>
      </c>
      <c r="BB105" t="s">
        <v>114</v>
      </c>
      <c r="BC105" s="11">
        <v>45570</v>
      </c>
      <c r="BD105" t="s">
        <v>464</v>
      </c>
      <c r="BE105">
        <v>652391220</v>
      </c>
      <c r="BF105" s="16" t="s">
        <v>583</v>
      </c>
      <c r="BG105" t="s">
        <v>132</v>
      </c>
      <c r="BH105" t="str">
        <f t="shared" si="26"/>
        <v/>
      </c>
      <c r="BJ105" t="str">
        <f t="shared" si="16"/>
        <v/>
      </c>
      <c r="BK105" t="s">
        <v>552</v>
      </c>
      <c r="BL105" t="str">
        <f t="shared" si="17"/>
        <v>S40_2024</v>
      </c>
      <c r="BN105" s="11">
        <v>45570</v>
      </c>
      <c r="BO105" t="str">
        <f t="shared" si="18"/>
        <v>S40_2024</v>
      </c>
      <c r="BP105" t="s">
        <v>114</v>
      </c>
      <c r="BQ105" t="s">
        <v>118</v>
      </c>
      <c r="BU105" s="11"/>
      <c r="BW105" s="11"/>
      <c r="BX105" s="11"/>
      <c r="BY105" s="11"/>
      <c r="BZ105" s="11"/>
      <c r="CB105" s="11"/>
      <c r="CC105" s="11"/>
      <c r="CD105" s="11"/>
      <c r="CE105" s="11"/>
      <c r="CG105" s="11"/>
      <c r="CI105" t="s">
        <v>119</v>
      </c>
      <c r="CO105" t="str">
        <f t="shared" si="19"/>
        <v>NEGATIFPAS INCLUS</v>
      </c>
      <c r="CP105" s="11">
        <v>45570</v>
      </c>
      <c r="CR105">
        <f t="shared" si="21"/>
        <v>4</v>
      </c>
      <c r="CS105">
        <f t="shared" si="22"/>
        <v>-4</v>
      </c>
      <c r="CT105">
        <f t="shared" si="27"/>
        <v>3</v>
      </c>
      <c r="CU105">
        <f t="shared" si="23"/>
        <v>1</v>
      </c>
      <c r="CV105" t="str">
        <f t="shared" si="24"/>
        <v/>
      </c>
      <c r="CX105" s="11">
        <v>45567</v>
      </c>
      <c r="CY105" t="str">
        <f t="shared" si="20"/>
        <v>S40_2024</v>
      </c>
      <c r="DC105" t="s">
        <v>120</v>
      </c>
    </row>
    <row r="106" spans="1:107" x14ac:dyDescent="0.35">
      <c r="A106" t="s">
        <v>585</v>
      </c>
      <c r="B106" s="10" t="str">
        <f t="shared" si="14"/>
        <v>S41_2024</v>
      </c>
      <c r="C106" s="10" t="str">
        <f t="shared" si="15"/>
        <v>S40_2024</v>
      </c>
      <c r="D106" s="11">
        <v>45576</v>
      </c>
      <c r="E106" t="s">
        <v>123</v>
      </c>
      <c r="F106" s="17">
        <v>48</v>
      </c>
      <c r="G106" s="16" t="s">
        <v>429</v>
      </c>
      <c r="H106" t="s">
        <v>108</v>
      </c>
      <c r="J106" s="16" t="s">
        <v>109</v>
      </c>
      <c r="K106" s="14">
        <v>45572</v>
      </c>
      <c r="L106" t="s">
        <v>111</v>
      </c>
      <c r="M106" t="s">
        <v>308</v>
      </c>
      <c r="N106" s="16" t="s">
        <v>309</v>
      </c>
      <c r="O106" t="s">
        <v>586</v>
      </c>
      <c r="P106" t="s">
        <v>332</v>
      </c>
      <c r="Q106" t="s">
        <v>312</v>
      </c>
      <c r="R106" s="11">
        <v>45567</v>
      </c>
      <c r="S106" s="11">
        <v>45567</v>
      </c>
      <c r="T106" s="11">
        <v>45567</v>
      </c>
      <c r="V106" t="s">
        <v>114</v>
      </c>
      <c r="W106" t="s">
        <v>114</v>
      </c>
      <c r="X106" t="s">
        <v>114</v>
      </c>
      <c r="AA106" t="s">
        <v>114</v>
      </c>
      <c r="AB106" t="s">
        <v>114</v>
      </c>
      <c r="AE106" t="s">
        <v>114</v>
      </c>
      <c r="AG106" t="s">
        <v>114</v>
      </c>
      <c r="AK106" s="16" t="s">
        <v>114</v>
      </c>
      <c r="AL106" s="16"/>
      <c r="AM106" s="16" t="s">
        <v>114</v>
      </c>
      <c r="AN106" s="16" t="s">
        <v>132</v>
      </c>
      <c r="AO106" s="16"/>
      <c r="AR106" s="16" t="s">
        <v>587</v>
      </c>
      <c r="AS106" s="11">
        <v>45574</v>
      </c>
      <c r="AU106" t="s">
        <v>114</v>
      </c>
      <c r="AV106" t="s">
        <v>115</v>
      </c>
      <c r="BB106" t="s">
        <v>114</v>
      </c>
      <c r="BC106" s="11">
        <v>45573</v>
      </c>
      <c r="BD106" t="s">
        <v>535</v>
      </c>
      <c r="BE106">
        <v>696974937</v>
      </c>
      <c r="BF106" s="16" t="s">
        <v>309</v>
      </c>
      <c r="BG106" t="s">
        <v>114</v>
      </c>
      <c r="BH106" t="str">
        <f t="shared" si="26"/>
        <v/>
      </c>
      <c r="BJ106" t="str">
        <f t="shared" si="16"/>
        <v/>
      </c>
      <c r="BK106" t="s">
        <v>117</v>
      </c>
      <c r="BL106" t="str">
        <f t="shared" si="17"/>
        <v>S41_2024</v>
      </c>
      <c r="BN106" s="11">
        <v>45573</v>
      </c>
      <c r="BO106" t="str">
        <f t="shared" si="18"/>
        <v>S41_2024</v>
      </c>
      <c r="BP106" t="s">
        <v>114</v>
      </c>
      <c r="BQ106" t="s">
        <v>118</v>
      </c>
      <c r="BU106" s="11"/>
      <c r="BW106" s="11"/>
      <c r="BX106" s="11"/>
      <c r="BY106" s="11"/>
      <c r="BZ106" s="11"/>
      <c r="CB106" s="11"/>
      <c r="CC106" s="11"/>
      <c r="CD106" s="11"/>
      <c r="CE106" s="11"/>
      <c r="CG106" s="11"/>
      <c r="CI106" t="s">
        <v>119</v>
      </c>
      <c r="CO106" t="str">
        <f t="shared" si="19"/>
        <v>NEGATIFPAS INCLUS</v>
      </c>
      <c r="CP106" s="11">
        <v>45573</v>
      </c>
      <c r="CR106">
        <f t="shared" si="21"/>
        <v>1</v>
      </c>
      <c r="CS106">
        <f t="shared" si="22"/>
        <v>-1</v>
      </c>
      <c r="CT106">
        <f t="shared" si="27"/>
        <v>6</v>
      </c>
      <c r="CU106">
        <f t="shared" si="23"/>
        <v>1</v>
      </c>
      <c r="CV106" t="str">
        <f t="shared" si="24"/>
        <v/>
      </c>
      <c r="CX106" s="11">
        <v>45567</v>
      </c>
      <c r="CY106" t="str">
        <f t="shared" si="20"/>
        <v>S40_2024</v>
      </c>
      <c r="DC106" t="s">
        <v>120</v>
      </c>
    </row>
    <row r="107" spans="1:107" x14ac:dyDescent="0.35">
      <c r="A107" t="s">
        <v>588</v>
      </c>
      <c r="B107" s="10" t="str">
        <f t="shared" si="14"/>
        <v>S41_2024</v>
      </c>
      <c r="C107" s="10" t="str">
        <f t="shared" si="15"/>
        <v>S40_2024</v>
      </c>
      <c r="D107" s="11">
        <v>45577</v>
      </c>
      <c r="E107" t="s">
        <v>123</v>
      </c>
      <c r="F107" s="17">
        <v>26</v>
      </c>
      <c r="G107" s="16" t="s">
        <v>589</v>
      </c>
      <c r="H107" t="s">
        <v>108</v>
      </c>
      <c r="J107" s="16" t="s">
        <v>114</v>
      </c>
      <c r="K107" s="14">
        <v>45575</v>
      </c>
      <c r="L107" t="s">
        <v>163</v>
      </c>
      <c r="M107" t="s">
        <v>219</v>
      </c>
      <c r="N107" s="16" t="s">
        <v>220</v>
      </c>
      <c r="O107" t="s">
        <v>590</v>
      </c>
      <c r="P107" t="s">
        <v>591</v>
      </c>
      <c r="Q107" t="s">
        <v>298</v>
      </c>
      <c r="R107" s="11">
        <v>45570</v>
      </c>
      <c r="S107" s="11">
        <v>45570</v>
      </c>
      <c r="T107" s="11">
        <v>45570</v>
      </c>
      <c r="W107" t="s">
        <v>114</v>
      </c>
      <c r="X107" t="s">
        <v>114</v>
      </c>
      <c r="Y107" t="s">
        <v>114</v>
      </c>
      <c r="AA107" t="s">
        <v>114</v>
      </c>
      <c r="AB107" t="s">
        <v>114</v>
      </c>
      <c r="AE107" s="16" t="s">
        <v>114</v>
      </c>
      <c r="AG107" s="16" t="s">
        <v>114</v>
      </c>
      <c r="AJ107" t="s">
        <v>592</v>
      </c>
      <c r="AK107" s="16" t="s">
        <v>132</v>
      </c>
      <c r="AL107" s="16"/>
      <c r="AM107" s="16" t="s">
        <v>132</v>
      </c>
      <c r="AN107" s="16" t="s">
        <v>132</v>
      </c>
      <c r="AO107" s="16"/>
      <c r="AQ107" s="16" t="s">
        <v>142</v>
      </c>
      <c r="AR107" s="16" t="s">
        <v>593</v>
      </c>
      <c r="AS107" s="11">
        <v>45580</v>
      </c>
      <c r="AU107" t="s">
        <v>114</v>
      </c>
      <c r="AV107" t="s">
        <v>115</v>
      </c>
      <c r="BB107" t="s">
        <v>114</v>
      </c>
      <c r="BC107" s="11">
        <v>45575</v>
      </c>
      <c r="BD107" t="s">
        <v>334</v>
      </c>
      <c r="BE107">
        <v>653538528</v>
      </c>
      <c r="BF107" s="16" t="s">
        <v>220</v>
      </c>
      <c r="BG107" t="s">
        <v>114</v>
      </c>
      <c r="BH107" t="str">
        <f t="shared" si="26"/>
        <v/>
      </c>
      <c r="BJ107" t="str">
        <f t="shared" si="16"/>
        <v/>
      </c>
      <c r="BK107" t="s">
        <v>170</v>
      </c>
      <c r="BL107" t="str">
        <f t="shared" si="17"/>
        <v>S41_2024</v>
      </c>
      <c r="BN107" s="11">
        <v>45575</v>
      </c>
      <c r="BO107" t="str">
        <f t="shared" si="18"/>
        <v>S41_2024</v>
      </c>
      <c r="BP107" t="s">
        <v>114</v>
      </c>
      <c r="BQ107" t="s">
        <v>118</v>
      </c>
      <c r="BU107" s="11"/>
      <c r="BW107" s="11"/>
      <c r="BX107" s="11"/>
      <c r="BY107" s="11"/>
      <c r="BZ107" s="11"/>
      <c r="CB107" s="11"/>
      <c r="CC107" s="11"/>
      <c r="CD107" s="11"/>
      <c r="CE107" s="11"/>
      <c r="CG107" s="11"/>
      <c r="CI107" t="s">
        <v>119</v>
      </c>
      <c r="CO107" t="str">
        <f t="shared" si="19"/>
        <v>NEGATIFPAS INCLUS</v>
      </c>
      <c r="CP107" s="11">
        <v>45575</v>
      </c>
      <c r="CR107">
        <f t="shared" si="21"/>
        <v>5</v>
      </c>
      <c r="CS107">
        <f t="shared" si="22"/>
        <v>-5</v>
      </c>
      <c r="CT107">
        <f t="shared" si="27"/>
        <v>5</v>
      </c>
      <c r="CU107">
        <f t="shared" si="23"/>
        <v>0</v>
      </c>
      <c r="CV107" t="str">
        <f t="shared" si="24"/>
        <v/>
      </c>
      <c r="CX107" s="11">
        <v>45570</v>
      </c>
      <c r="CY107" t="str">
        <f t="shared" si="20"/>
        <v>S40_2024</v>
      </c>
      <c r="DC107" t="s">
        <v>120</v>
      </c>
    </row>
    <row r="108" spans="1:107" x14ac:dyDescent="0.35">
      <c r="A108" t="s">
        <v>594</v>
      </c>
      <c r="B108" s="10" t="str">
        <f t="shared" si="14"/>
        <v>S42_2024</v>
      </c>
      <c r="C108" s="10" t="str">
        <f t="shared" si="15"/>
        <v>S38_2024</v>
      </c>
      <c r="D108" s="11">
        <v>45580</v>
      </c>
      <c r="E108" t="s">
        <v>123</v>
      </c>
      <c r="F108" s="17">
        <v>0.08</v>
      </c>
      <c r="G108" t="s">
        <v>141</v>
      </c>
      <c r="H108" t="s">
        <v>108</v>
      </c>
      <c r="J108" s="16" t="s">
        <v>132</v>
      </c>
      <c r="K108" s="12"/>
      <c r="L108" t="s">
        <v>111</v>
      </c>
      <c r="M108" t="s">
        <v>385</v>
      </c>
      <c r="N108" s="16" t="s">
        <v>469</v>
      </c>
      <c r="O108" t="s">
        <v>184</v>
      </c>
      <c r="P108" t="s">
        <v>595</v>
      </c>
      <c r="Q108" t="s">
        <v>385</v>
      </c>
      <c r="R108" s="11">
        <v>45555</v>
      </c>
      <c r="S108" s="11">
        <v>45555</v>
      </c>
      <c r="T108" s="11">
        <v>45555</v>
      </c>
      <c r="V108" s="11" t="s">
        <v>114</v>
      </c>
      <c r="X108" t="s">
        <v>114</v>
      </c>
      <c r="Y108" t="s">
        <v>114</v>
      </c>
      <c r="AB108" t="s">
        <v>114</v>
      </c>
      <c r="AE108" s="16" t="s">
        <v>114</v>
      </c>
      <c r="AK108" s="16" t="s">
        <v>114</v>
      </c>
      <c r="AL108" s="16"/>
      <c r="AM108" s="16" t="s">
        <v>132</v>
      </c>
      <c r="AN108" s="16" t="s">
        <v>114</v>
      </c>
      <c r="AO108" s="16"/>
      <c r="AQ108" s="16" t="s">
        <v>132</v>
      </c>
      <c r="AR108" s="16" t="s">
        <v>596</v>
      </c>
      <c r="AS108" s="11">
        <v>45577</v>
      </c>
      <c r="AU108" t="s">
        <v>114</v>
      </c>
      <c r="AV108" t="s">
        <v>115</v>
      </c>
      <c r="BB108" t="s">
        <v>114</v>
      </c>
      <c r="BC108" t="s">
        <v>110</v>
      </c>
      <c r="BD108" t="s">
        <v>116</v>
      </c>
      <c r="BE108">
        <v>659342432</v>
      </c>
      <c r="BF108" s="16" t="s">
        <v>469</v>
      </c>
      <c r="BG108" t="s">
        <v>132</v>
      </c>
      <c r="BH108" t="str">
        <f t="shared" si="26"/>
        <v/>
      </c>
      <c r="BJ108" t="str">
        <f t="shared" si="16"/>
        <v/>
      </c>
      <c r="BK108" t="s">
        <v>117</v>
      </c>
      <c r="BL108" t="str">
        <f t="shared" si="17"/>
        <v/>
      </c>
      <c r="BM108" t="s">
        <v>159</v>
      </c>
      <c r="BN108" s="11">
        <v>45577</v>
      </c>
      <c r="BO108" t="str">
        <f t="shared" si="18"/>
        <v>S41_2024</v>
      </c>
      <c r="BP108" t="s">
        <v>114</v>
      </c>
      <c r="BQ108" t="s">
        <v>118</v>
      </c>
      <c r="BU108" s="11"/>
      <c r="BZ108" s="11"/>
      <c r="CE108" s="11"/>
      <c r="CI108" t="s">
        <v>119</v>
      </c>
      <c r="CO108" t="str">
        <f t="shared" si="19"/>
        <v>NEGATIFPAS INCLUS</v>
      </c>
      <c r="CP108" s="11">
        <v>45580</v>
      </c>
      <c r="CR108" t="e">
        <f t="shared" si="21"/>
        <v>#VALUE!</v>
      </c>
      <c r="CS108">
        <f t="shared" si="22"/>
        <v>0</v>
      </c>
      <c r="CT108">
        <f t="shared" si="27"/>
        <v>25</v>
      </c>
      <c r="CU108" t="str">
        <f t="shared" si="23"/>
        <v/>
      </c>
      <c r="CV108" t="str">
        <f t="shared" si="24"/>
        <v/>
      </c>
      <c r="CX108" s="11">
        <v>45555</v>
      </c>
      <c r="CY108" t="str">
        <f t="shared" si="20"/>
        <v>S38_2024</v>
      </c>
      <c r="DC108" t="s">
        <v>120</v>
      </c>
    </row>
    <row r="109" spans="1:107" x14ac:dyDescent="0.35">
      <c r="A109" t="s">
        <v>597</v>
      </c>
      <c r="B109" s="10" t="str">
        <f t="shared" si="14"/>
        <v>S42_2024</v>
      </c>
      <c r="C109" s="10" t="str">
        <f t="shared" si="15"/>
        <v>S41_2024</v>
      </c>
      <c r="D109" s="11">
        <v>45580</v>
      </c>
      <c r="E109" t="s">
        <v>106</v>
      </c>
      <c r="F109" s="17">
        <v>5</v>
      </c>
      <c r="G109" t="s">
        <v>107</v>
      </c>
      <c r="H109" t="s">
        <v>108</v>
      </c>
      <c r="J109" s="16" t="s">
        <v>114</v>
      </c>
      <c r="K109" s="14">
        <v>45575</v>
      </c>
      <c r="L109" t="s">
        <v>111</v>
      </c>
      <c r="M109" t="s">
        <v>598</v>
      </c>
      <c r="N109" s="16" t="s">
        <v>599</v>
      </c>
      <c r="O109" t="s">
        <v>600</v>
      </c>
      <c r="P109" t="s">
        <v>599</v>
      </c>
      <c r="Q109" t="s">
        <v>598</v>
      </c>
      <c r="R109" s="11">
        <v>45573</v>
      </c>
      <c r="S109" s="11">
        <v>45573</v>
      </c>
      <c r="T109" s="11">
        <v>45573</v>
      </c>
      <c r="V109" t="s">
        <v>114</v>
      </c>
      <c r="AE109" t="s">
        <v>114</v>
      </c>
      <c r="AG109" t="s">
        <v>114</v>
      </c>
      <c r="AK109" s="16" t="s">
        <v>132</v>
      </c>
      <c r="AL109" s="16"/>
      <c r="AM109" s="16" t="s">
        <v>114</v>
      </c>
      <c r="AN109" s="16" t="s">
        <v>132</v>
      </c>
      <c r="AO109" s="16"/>
      <c r="AQ109" s="16" t="s">
        <v>132</v>
      </c>
      <c r="AR109" s="16" t="s">
        <v>601</v>
      </c>
      <c r="AS109" s="11">
        <v>45577</v>
      </c>
      <c r="AU109" t="s">
        <v>114</v>
      </c>
      <c r="AV109" t="s">
        <v>115</v>
      </c>
      <c r="BB109" t="s">
        <v>114</v>
      </c>
      <c r="BC109" s="11">
        <v>45576</v>
      </c>
      <c r="BD109" t="s">
        <v>535</v>
      </c>
      <c r="BE109">
        <v>697463301</v>
      </c>
      <c r="BF109" s="16" t="s">
        <v>599</v>
      </c>
      <c r="BG109" t="s">
        <v>114</v>
      </c>
      <c r="BH109" t="str">
        <f t="shared" si="26"/>
        <v/>
      </c>
      <c r="BJ109" t="str">
        <f t="shared" si="16"/>
        <v/>
      </c>
      <c r="BK109" t="s">
        <v>117</v>
      </c>
      <c r="BL109" t="str">
        <f t="shared" si="17"/>
        <v>S41_2024</v>
      </c>
      <c r="BN109" s="11">
        <v>45576</v>
      </c>
      <c r="BO109" t="str">
        <f t="shared" si="18"/>
        <v>S41_2024</v>
      </c>
      <c r="BP109" t="s">
        <v>114</v>
      </c>
      <c r="BQ109" t="s">
        <v>118</v>
      </c>
      <c r="BU109" s="11"/>
      <c r="BW109" s="11"/>
      <c r="BX109" s="11"/>
      <c r="BY109" s="11"/>
      <c r="BZ109" s="11"/>
      <c r="CB109" s="11"/>
      <c r="CC109" s="11"/>
      <c r="CD109" s="11"/>
      <c r="CE109" s="11"/>
      <c r="CG109" s="11"/>
      <c r="CI109" t="s">
        <v>119</v>
      </c>
      <c r="CO109" t="str">
        <f t="shared" si="19"/>
        <v>NEGATIFPAS INCLUS</v>
      </c>
      <c r="CP109" s="11">
        <v>45576</v>
      </c>
      <c r="CR109">
        <f t="shared" si="21"/>
        <v>1</v>
      </c>
      <c r="CS109">
        <f t="shared" si="22"/>
        <v>-1</v>
      </c>
      <c r="CT109">
        <f t="shared" si="27"/>
        <v>3</v>
      </c>
      <c r="CU109">
        <f t="shared" si="23"/>
        <v>1</v>
      </c>
      <c r="CV109" t="str">
        <f t="shared" si="24"/>
        <v/>
      </c>
      <c r="CX109" s="11">
        <v>45573</v>
      </c>
      <c r="CY109" t="str">
        <f t="shared" si="20"/>
        <v>S41_2024</v>
      </c>
      <c r="DC109" t="s">
        <v>120</v>
      </c>
    </row>
    <row r="110" spans="1:107" x14ac:dyDescent="0.35">
      <c r="A110" t="s">
        <v>602</v>
      </c>
      <c r="B110" s="10" t="str">
        <f t="shared" si="14"/>
        <v>S42_2024</v>
      </c>
      <c r="C110" s="10" t="str">
        <f t="shared" si="15"/>
        <v>S41_2024</v>
      </c>
      <c r="D110" s="11">
        <v>45582</v>
      </c>
      <c r="E110" t="s">
        <v>123</v>
      </c>
      <c r="F110" s="17">
        <v>0.25</v>
      </c>
      <c r="G110" t="s">
        <v>141</v>
      </c>
      <c r="H110" t="s">
        <v>108</v>
      </c>
      <c r="J110" s="16" t="s">
        <v>109</v>
      </c>
      <c r="K110" s="14">
        <v>45581</v>
      </c>
      <c r="L110" t="s">
        <v>111</v>
      </c>
      <c r="M110" t="s">
        <v>112</v>
      </c>
      <c r="N110" s="16" t="s">
        <v>304</v>
      </c>
      <c r="P110" t="s">
        <v>507</v>
      </c>
      <c r="Q110" t="s">
        <v>504</v>
      </c>
      <c r="R110" s="11">
        <v>45575</v>
      </c>
      <c r="S110" s="11">
        <v>45575</v>
      </c>
      <c r="T110" s="11">
        <v>45575</v>
      </c>
      <c r="Y110" t="s">
        <v>114</v>
      </c>
      <c r="AE110" s="16" t="s">
        <v>114</v>
      </c>
      <c r="AG110" t="s">
        <v>114</v>
      </c>
      <c r="AQ110" s="16" t="s">
        <v>132</v>
      </c>
      <c r="AS110" s="11">
        <v>45581</v>
      </c>
      <c r="AU110" t="s">
        <v>114</v>
      </c>
      <c r="AV110" t="s">
        <v>115</v>
      </c>
      <c r="BB110" t="s">
        <v>114</v>
      </c>
      <c r="BC110" s="11">
        <v>45581</v>
      </c>
      <c r="BD110" t="s">
        <v>116</v>
      </c>
      <c r="BF110" s="16" t="s">
        <v>507</v>
      </c>
      <c r="BG110" t="s">
        <v>132</v>
      </c>
      <c r="BH110" t="str">
        <f t="shared" si="26"/>
        <v/>
      </c>
      <c r="BJ110" t="str">
        <f t="shared" si="16"/>
        <v/>
      </c>
      <c r="BK110" t="s">
        <v>117</v>
      </c>
      <c r="BL110" t="str">
        <f t="shared" si="17"/>
        <v>S42_2024</v>
      </c>
      <c r="BN110" s="11">
        <v>45581</v>
      </c>
      <c r="BO110" t="str">
        <f t="shared" si="18"/>
        <v>S42_2024</v>
      </c>
      <c r="BP110" t="s">
        <v>114</v>
      </c>
      <c r="BQ110" t="s">
        <v>118</v>
      </c>
      <c r="BU110" s="11"/>
      <c r="BW110" s="11"/>
      <c r="BX110" s="11"/>
      <c r="BY110" s="11"/>
      <c r="BZ110" s="11"/>
      <c r="CB110" s="11"/>
      <c r="CC110" s="11"/>
      <c r="CD110" s="11"/>
      <c r="CE110" s="11"/>
      <c r="CG110" s="11"/>
      <c r="CI110" t="s">
        <v>119</v>
      </c>
      <c r="CO110" t="str">
        <f t="shared" si="19"/>
        <v>NEGATIFPAS INCLUS</v>
      </c>
      <c r="CP110" s="11">
        <v>45581</v>
      </c>
      <c r="CR110">
        <f t="shared" si="21"/>
        <v>0</v>
      </c>
      <c r="CS110">
        <f t="shared" si="22"/>
        <v>0</v>
      </c>
      <c r="CT110">
        <f t="shared" si="27"/>
        <v>6</v>
      </c>
      <c r="CU110">
        <f t="shared" si="23"/>
        <v>0</v>
      </c>
      <c r="CV110" t="str">
        <f t="shared" si="24"/>
        <v/>
      </c>
      <c r="CX110" s="11">
        <v>45575</v>
      </c>
      <c r="CY110" t="str">
        <f t="shared" si="20"/>
        <v>S41_2024</v>
      </c>
      <c r="DC110" t="s">
        <v>120</v>
      </c>
    </row>
    <row r="111" spans="1:107" x14ac:dyDescent="0.35">
      <c r="A111" t="s">
        <v>603</v>
      </c>
      <c r="B111" s="10" t="str">
        <f t="shared" si="14"/>
        <v>S42_2024</v>
      </c>
      <c r="C111" s="10" t="str">
        <f t="shared" si="15"/>
        <v>S42_2024</v>
      </c>
      <c r="D111" s="11">
        <v>45585</v>
      </c>
      <c r="E111" t="s">
        <v>106</v>
      </c>
      <c r="F111" s="17">
        <v>7</v>
      </c>
      <c r="G111" t="s">
        <v>141</v>
      </c>
      <c r="H111" t="s">
        <v>108</v>
      </c>
      <c r="J111" t="s">
        <v>142</v>
      </c>
      <c r="K111" s="12"/>
      <c r="L111" t="s">
        <v>111</v>
      </c>
      <c r="M111" t="s">
        <v>143</v>
      </c>
      <c r="P111" t="s">
        <v>604</v>
      </c>
      <c r="Q111" t="s">
        <v>143</v>
      </c>
      <c r="R111" s="11">
        <v>45579</v>
      </c>
      <c r="S111" s="11">
        <v>45579</v>
      </c>
      <c r="T111" s="11">
        <v>45579</v>
      </c>
      <c r="AK111" t="s">
        <v>132</v>
      </c>
      <c r="AM111" t="s">
        <v>132</v>
      </c>
      <c r="AN111" t="s">
        <v>114</v>
      </c>
      <c r="AR111" s="16" t="s">
        <v>605</v>
      </c>
      <c r="AS111" s="11">
        <v>45583</v>
      </c>
      <c r="AU111" t="s">
        <v>114</v>
      </c>
      <c r="AV111" t="s">
        <v>115</v>
      </c>
      <c r="BB111" t="s">
        <v>114</v>
      </c>
      <c r="BC111" s="11">
        <v>45582</v>
      </c>
      <c r="BD111" t="s">
        <v>169</v>
      </c>
      <c r="BG111" t="s">
        <v>114</v>
      </c>
      <c r="BH111" t="str">
        <f t="shared" si="26"/>
        <v/>
      </c>
      <c r="BJ111" t="str">
        <f t="shared" si="16"/>
        <v/>
      </c>
      <c r="BK111" t="s">
        <v>117</v>
      </c>
      <c r="BL111" t="str">
        <f t="shared" si="17"/>
        <v>S42_2024</v>
      </c>
      <c r="BN111" s="11">
        <v>45582</v>
      </c>
      <c r="BO111" t="str">
        <f t="shared" si="18"/>
        <v>S42_2024</v>
      </c>
      <c r="BP111" t="s">
        <v>114</v>
      </c>
      <c r="BQ111" t="s">
        <v>118</v>
      </c>
      <c r="BU111" s="11"/>
      <c r="BW111" s="11"/>
      <c r="BX111" s="11"/>
      <c r="BY111" s="11"/>
      <c r="BZ111" s="11"/>
      <c r="CB111" s="11"/>
      <c r="CC111" s="11"/>
      <c r="CD111" s="11"/>
      <c r="CE111" s="11"/>
      <c r="CG111" s="11"/>
      <c r="CI111" t="s">
        <v>119</v>
      </c>
      <c r="CO111" t="str">
        <f t="shared" si="19"/>
        <v>NEGATIFPAS INCLUS</v>
      </c>
      <c r="CP111" s="11">
        <v>45582</v>
      </c>
      <c r="CR111">
        <f t="shared" si="21"/>
        <v>1</v>
      </c>
      <c r="CS111">
        <f t="shared" si="22"/>
        <v>-1</v>
      </c>
      <c r="CT111">
        <f t="shared" si="27"/>
        <v>3</v>
      </c>
      <c r="CU111">
        <f t="shared" si="23"/>
        <v>45582</v>
      </c>
      <c r="CV111" t="str">
        <f t="shared" si="24"/>
        <v/>
      </c>
      <c r="CX111" s="11">
        <v>45579</v>
      </c>
      <c r="CY111" t="str">
        <f t="shared" si="20"/>
        <v>S42_2024</v>
      </c>
      <c r="DC111" t="s">
        <v>160</v>
      </c>
    </row>
    <row r="112" spans="1:107" x14ac:dyDescent="0.35">
      <c r="A112" t="s">
        <v>606</v>
      </c>
      <c r="B112" s="10" t="str">
        <f t="shared" si="14"/>
        <v>S42_2024</v>
      </c>
      <c r="C112" s="10" t="str">
        <f t="shared" si="15"/>
        <v>S42_2024</v>
      </c>
      <c r="D112" s="11">
        <v>45585</v>
      </c>
      <c r="E112" t="s">
        <v>123</v>
      </c>
      <c r="F112" s="17">
        <v>8</v>
      </c>
      <c r="G112" t="s">
        <v>107</v>
      </c>
      <c r="H112" t="s">
        <v>108</v>
      </c>
      <c r="J112" t="s">
        <v>142</v>
      </c>
      <c r="K112" s="12"/>
      <c r="L112" t="s">
        <v>126</v>
      </c>
      <c r="M112" t="s">
        <v>127</v>
      </c>
      <c r="N112" t="s">
        <v>607</v>
      </c>
      <c r="P112" t="s">
        <v>608</v>
      </c>
      <c r="Q112" t="s">
        <v>215</v>
      </c>
      <c r="R112" s="11">
        <v>45580</v>
      </c>
      <c r="S112" s="11">
        <v>45580</v>
      </c>
      <c r="T112" s="11">
        <v>45580</v>
      </c>
      <c r="AK112" t="s">
        <v>132</v>
      </c>
      <c r="AM112" t="s">
        <v>132</v>
      </c>
      <c r="AN112" t="s">
        <v>114</v>
      </c>
      <c r="AR112" s="16" t="s">
        <v>609</v>
      </c>
      <c r="AS112" s="11">
        <v>45583</v>
      </c>
      <c r="AU112" t="s">
        <v>114</v>
      </c>
      <c r="AV112" t="s">
        <v>115</v>
      </c>
      <c r="BB112" t="s">
        <v>114</v>
      </c>
      <c r="BC112" s="11">
        <v>45582</v>
      </c>
      <c r="BD112" t="s">
        <v>116</v>
      </c>
      <c r="BF112" t="s">
        <v>610</v>
      </c>
      <c r="BG112" t="s">
        <v>114</v>
      </c>
      <c r="BH112" t="str">
        <f t="shared" si="26"/>
        <v/>
      </c>
      <c r="BJ112" t="str">
        <f t="shared" si="16"/>
        <v/>
      </c>
      <c r="BK112" t="s">
        <v>137</v>
      </c>
      <c r="BL112" t="str">
        <f t="shared" si="17"/>
        <v>S42_2024</v>
      </c>
      <c r="BN112" s="11">
        <v>45582</v>
      </c>
      <c r="BO112" t="str">
        <f t="shared" si="18"/>
        <v>S42_2024</v>
      </c>
      <c r="BP112" t="s">
        <v>114</v>
      </c>
      <c r="BQ112" t="s">
        <v>118</v>
      </c>
      <c r="BU112" s="11"/>
      <c r="BW112" s="11"/>
      <c r="BX112" s="11"/>
      <c r="BY112" s="11"/>
      <c r="BZ112" s="11"/>
      <c r="CB112" s="11"/>
      <c r="CC112" s="11"/>
      <c r="CD112" s="11"/>
      <c r="CE112" s="11"/>
      <c r="CG112" s="11"/>
      <c r="CI112" t="s">
        <v>119</v>
      </c>
      <c r="CO112" t="str">
        <f t="shared" si="19"/>
        <v>NEGATIFPAS INCLUS</v>
      </c>
      <c r="CP112" s="11">
        <v>45582</v>
      </c>
      <c r="CR112">
        <f t="shared" si="21"/>
        <v>1</v>
      </c>
      <c r="CS112">
        <f t="shared" si="22"/>
        <v>-1</v>
      </c>
      <c r="CT112">
        <f t="shared" si="27"/>
        <v>2</v>
      </c>
      <c r="CU112">
        <f t="shared" si="23"/>
        <v>45582</v>
      </c>
      <c r="CV112" t="str">
        <f t="shared" si="24"/>
        <v/>
      </c>
      <c r="CX112" s="11">
        <v>45580</v>
      </c>
      <c r="CY112" t="str">
        <f t="shared" si="20"/>
        <v>S42_2024</v>
      </c>
      <c r="DC112" t="s">
        <v>120</v>
      </c>
    </row>
    <row r="113" spans="1:107" x14ac:dyDescent="0.35">
      <c r="A113" t="s">
        <v>611</v>
      </c>
      <c r="B113" s="10" t="str">
        <f t="shared" si="14"/>
        <v>S42_2024</v>
      </c>
      <c r="C113" s="10" t="str">
        <f t="shared" si="15"/>
        <v>S40_2024</v>
      </c>
      <c r="D113" s="11">
        <v>45585</v>
      </c>
      <c r="E113" t="s">
        <v>123</v>
      </c>
      <c r="F113" s="17">
        <v>60</v>
      </c>
      <c r="G113" t="s">
        <v>162</v>
      </c>
      <c r="H113" t="s">
        <v>108</v>
      </c>
      <c r="J113" t="s">
        <v>114</v>
      </c>
      <c r="K113" s="14">
        <v>45577</v>
      </c>
      <c r="L113" t="s">
        <v>180</v>
      </c>
      <c r="M113" t="s">
        <v>527</v>
      </c>
      <c r="N113" t="s">
        <v>612</v>
      </c>
      <c r="P113" t="s">
        <v>613</v>
      </c>
      <c r="Q113" t="s">
        <v>527</v>
      </c>
      <c r="R113" s="11">
        <v>45571</v>
      </c>
      <c r="S113" s="11">
        <v>45571</v>
      </c>
      <c r="T113" s="11">
        <v>45571</v>
      </c>
      <c r="V113" t="s">
        <v>114</v>
      </c>
      <c r="AE113" t="s">
        <v>114</v>
      </c>
      <c r="AG113" t="s">
        <v>114</v>
      </c>
      <c r="AK113" t="s">
        <v>114</v>
      </c>
      <c r="AM113" t="s">
        <v>132</v>
      </c>
      <c r="AN113" t="s">
        <v>132</v>
      </c>
      <c r="AQ113" t="s">
        <v>142</v>
      </c>
      <c r="AR113" s="16" t="s">
        <v>614</v>
      </c>
      <c r="AS113" s="11">
        <v>45583</v>
      </c>
      <c r="AU113" t="s">
        <v>114</v>
      </c>
      <c r="AV113" t="s">
        <v>115</v>
      </c>
      <c r="BB113" t="s">
        <v>114</v>
      </c>
      <c r="BC113" s="11">
        <v>45579</v>
      </c>
      <c r="BD113" t="s">
        <v>116</v>
      </c>
      <c r="BF113" t="s">
        <v>612</v>
      </c>
      <c r="BG113" t="s">
        <v>132</v>
      </c>
      <c r="BH113" t="str">
        <f t="shared" si="26"/>
        <v/>
      </c>
      <c r="BJ113" t="str">
        <f t="shared" si="16"/>
        <v/>
      </c>
      <c r="BK113" t="s">
        <v>180</v>
      </c>
      <c r="BL113" t="str">
        <f t="shared" si="17"/>
        <v>S42_2024</v>
      </c>
      <c r="BN113" s="11">
        <v>45579</v>
      </c>
      <c r="BO113" t="str">
        <f t="shared" si="18"/>
        <v>S42_2024</v>
      </c>
      <c r="BP113" t="s">
        <v>114</v>
      </c>
      <c r="BQ113" t="s">
        <v>118</v>
      </c>
      <c r="BU113" s="11"/>
      <c r="BW113" s="11"/>
      <c r="BX113" s="11"/>
      <c r="BY113" s="11"/>
      <c r="BZ113" s="11"/>
      <c r="CB113" s="11"/>
      <c r="CC113" s="11"/>
      <c r="CD113" s="11"/>
      <c r="CE113" s="11"/>
      <c r="CG113" s="11"/>
      <c r="CI113" t="s">
        <v>119</v>
      </c>
      <c r="CO113" t="str">
        <f t="shared" si="19"/>
        <v>NEGATIFPAS INCLUS</v>
      </c>
      <c r="CP113" s="11">
        <v>45579</v>
      </c>
      <c r="CR113">
        <f t="shared" si="21"/>
        <v>4</v>
      </c>
      <c r="CS113">
        <f t="shared" si="22"/>
        <v>-4</v>
      </c>
      <c r="CT113">
        <f t="shared" si="27"/>
        <v>8</v>
      </c>
      <c r="CU113">
        <f t="shared" si="23"/>
        <v>2</v>
      </c>
      <c r="CV113" t="str">
        <f t="shared" si="24"/>
        <v/>
      </c>
      <c r="CX113" s="11">
        <v>45571</v>
      </c>
      <c r="CY113" t="str">
        <f t="shared" si="20"/>
        <v>S40_2024</v>
      </c>
      <c r="DC113" t="s">
        <v>120</v>
      </c>
    </row>
    <row r="114" spans="1:107" x14ac:dyDescent="0.35">
      <c r="A114" t="s">
        <v>615</v>
      </c>
      <c r="B114" s="10" t="str">
        <f t="shared" si="14"/>
        <v>S43_2024</v>
      </c>
      <c r="C114" s="10" t="str">
        <f t="shared" si="15"/>
        <v>S42_2024</v>
      </c>
      <c r="D114" s="11">
        <v>45590</v>
      </c>
      <c r="E114" t="s">
        <v>106</v>
      </c>
      <c r="F114">
        <v>5</v>
      </c>
      <c r="G114" t="s">
        <v>107</v>
      </c>
      <c r="H114" t="s">
        <v>108</v>
      </c>
      <c r="J114" t="s">
        <v>114</v>
      </c>
      <c r="K114" s="14">
        <v>45586</v>
      </c>
      <c r="L114" t="s">
        <v>111</v>
      </c>
      <c r="M114" t="s">
        <v>598</v>
      </c>
      <c r="N114" t="s">
        <v>599</v>
      </c>
      <c r="O114" t="s">
        <v>600</v>
      </c>
      <c r="P114" t="s">
        <v>599</v>
      </c>
      <c r="Q114" t="s">
        <v>598</v>
      </c>
      <c r="R114" s="11">
        <v>45585</v>
      </c>
      <c r="S114" s="11">
        <v>45585</v>
      </c>
      <c r="T114" s="11">
        <v>45585</v>
      </c>
      <c r="AE114" t="s">
        <v>114</v>
      </c>
      <c r="AK114" t="s">
        <v>114</v>
      </c>
      <c r="AM114" t="s">
        <v>114</v>
      </c>
      <c r="AN114" t="s">
        <v>132</v>
      </c>
      <c r="AQ114" t="s">
        <v>132</v>
      </c>
      <c r="AR114" s="16" t="s">
        <v>616</v>
      </c>
      <c r="AS114" s="11">
        <v>45589</v>
      </c>
      <c r="AU114" t="s">
        <v>114</v>
      </c>
      <c r="AV114" t="s">
        <v>115</v>
      </c>
      <c r="BB114" t="s">
        <v>114</v>
      </c>
      <c r="BC114" s="11">
        <v>45589</v>
      </c>
      <c r="BD114" t="s">
        <v>535</v>
      </c>
      <c r="BE114">
        <v>695068462</v>
      </c>
      <c r="BF114" t="s">
        <v>599</v>
      </c>
      <c r="BG114" t="s">
        <v>114</v>
      </c>
      <c r="BH114" t="str">
        <f t="shared" si="26"/>
        <v/>
      </c>
      <c r="BJ114" t="str">
        <f t="shared" si="16"/>
        <v/>
      </c>
      <c r="BK114" t="s">
        <v>117</v>
      </c>
      <c r="BL114" t="str">
        <f t="shared" si="17"/>
        <v>S43_2024</v>
      </c>
      <c r="BN114" s="11">
        <v>45589</v>
      </c>
      <c r="BO114" t="str">
        <f t="shared" si="18"/>
        <v>S43_2024</v>
      </c>
      <c r="BP114" t="s">
        <v>114</v>
      </c>
      <c r="BQ114" t="s">
        <v>118</v>
      </c>
      <c r="BU114" s="11"/>
      <c r="BW114" s="11"/>
      <c r="BX114" s="11"/>
      <c r="BY114" s="11"/>
      <c r="BZ114" s="11"/>
      <c r="CB114" s="11"/>
      <c r="CC114" s="11"/>
      <c r="CD114" s="11"/>
      <c r="CE114" s="11"/>
      <c r="CG114" s="11"/>
      <c r="CI114" t="s">
        <v>119</v>
      </c>
      <c r="CO114" t="str">
        <f t="shared" si="19"/>
        <v>NEGATIFPAS INCLUS</v>
      </c>
      <c r="CP114" s="11">
        <v>45589</v>
      </c>
      <c r="CR114">
        <f t="shared" si="21"/>
        <v>0</v>
      </c>
      <c r="CS114">
        <f t="shared" si="22"/>
        <v>0</v>
      </c>
      <c r="CT114">
        <f t="shared" si="27"/>
        <v>4</v>
      </c>
      <c r="CU114">
        <f t="shared" si="23"/>
        <v>3</v>
      </c>
      <c r="CV114" t="str">
        <f t="shared" si="24"/>
        <v/>
      </c>
      <c r="CX114" s="11">
        <v>45585</v>
      </c>
      <c r="CY114" t="str">
        <f t="shared" si="20"/>
        <v>S42_2024</v>
      </c>
      <c r="DC114" t="s">
        <v>120</v>
      </c>
    </row>
    <row r="115" spans="1:107" x14ac:dyDescent="0.35">
      <c r="A115" t="s">
        <v>617</v>
      </c>
      <c r="B115" s="10" t="str">
        <f t="shared" si="14"/>
        <v>S43_2024</v>
      </c>
      <c r="C115" s="10" t="str">
        <f t="shared" si="15"/>
        <v>S42_2024</v>
      </c>
      <c r="D115" s="11">
        <v>45590</v>
      </c>
      <c r="E115" t="s">
        <v>123</v>
      </c>
      <c r="F115">
        <v>50</v>
      </c>
      <c r="G115" t="s">
        <v>618</v>
      </c>
      <c r="H115" t="s">
        <v>108</v>
      </c>
      <c r="J115" t="s">
        <v>114</v>
      </c>
      <c r="K115" s="12" t="s">
        <v>110</v>
      </c>
      <c r="L115" t="s">
        <v>182</v>
      </c>
      <c r="M115" t="s">
        <v>619</v>
      </c>
      <c r="N115" t="s">
        <v>620</v>
      </c>
      <c r="O115" t="s">
        <v>621</v>
      </c>
      <c r="P115" t="s">
        <v>622</v>
      </c>
      <c r="Q115" t="s">
        <v>264</v>
      </c>
      <c r="R115" s="11">
        <v>45580</v>
      </c>
      <c r="S115" s="11">
        <v>45580</v>
      </c>
      <c r="T115" s="11">
        <v>45580</v>
      </c>
      <c r="V115" t="s">
        <v>114</v>
      </c>
      <c r="AK115" t="s">
        <v>114</v>
      </c>
      <c r="AN115" t="s">
        <v>132</v>
      </c>
      <c r="AR115" s="16" t="s">
        <v>623</v>
      </c>
      <c r="AS115" s="11">
        <v>45589</v>
      </c>
      <c r="AU115" t="s">
        <v>114</v>
      </c>
      <c r="AV115" t="s">
        <v>115</v>
      </c>
      <c r="BB115" t="s">
        <v>114</v>
      </c>
      <c r="BC115" s="11">
        <v>45587</v>
      </c>
      <c r="BD115" t="s">
        <v>334</v>
      </c>
      <c r="BE115">
        <v>670610161</v>
      </c>
      <c r="BF115" t="s">
        <v>624</v>
      </c>
      <c r="BG115" t="s">
        <v>132</v>
      </c>
      <c r="BH115" t="str">
        <f t="shared" si="26"/>
        <v/>
      </c>
      <c r="BJ115" t="str">
        <f t="shared" si="16"/>
        <v/>
      </c>
      <c r="BK115" t="s">
        <v>187</v>
      </c>
      <c r="BL115" t="str">
        <f t="shared" si="17"/>
        <v>S43_2024</v>
      </c>
      <c r="BN115" s="11">
        <v>45587</v>
      </c>
      <c r="BO115" t="str">
        <f t="shared" si="18"/>
        <v>S43_2024</v>
      </c>
      <c r="BP115" t="s">
        <v>114</v>
      </c>
      <c r="BQ115" t="s">
        <v>118</v>
      </c>
      <c r="BU115" s="11"/>
      <c r="BW115" s="11"/>
      <c r="BX115" s="11"/>
      <c r="BY115" s="11"/>
      <c r="BZ115" s="11"/>
      <c r="CB115" s="11"/>
      <c r="CC115" s="11"/>
      <c r="CD115" s="11"/>
      <c r="CE115" s="11"/>
      <c r="CG115" s="11"/>
      <c r="CI115" t="s">
        <v>119</v>
      </c>
      <c r="CO115" t="str">
        <f t="shared" si="19"/>
        <v>NEGATIFPAS INCLUS</v>
      </c>
      <c r="CP115" s="11">
        <v>45587</v>
      </c>
      <c r="CR115">
        <f t="shared" si="21"/>
        <v>2</v>
      </c>
      <c r="CS115">
        <f t="shared" si="22"/>
        <v>-2</v>
      </c>
      <c r="CT115">
        <f t="shared" si="27"/>
        <v>7</v>
      </c>
      <c r="CU115" t="e">
        <f t="shared" si="23"/>
        <v>#VALUE!</v>
      </c>
      <c r="CV115" t="str">
        <f t="shared" si="24"/>
        <v/>
      </c>
      <c r="CX115" s="11">
        <v>45580</v>
      </c>
      <c r="CY115" t="str">
        <f t="shared" si="20"/>
        <v>S42_2024</v>
      </c>
      <c r="DC115" t="s">
        <v>120</v>
      </c>
    </row>
    <row r="116" spans="1:107" x14ac:dyDescent="0.35">
      <c r="A116" t="s">
        <v>625</v>
      </c>
      <c r="B116" s="10" t="str">
        <f t="shared" si="14"/>
        <v>S44_2024</v>
      </c>
      <c r="C116" s="10" t="str">
        <f t="shared" si="15"/>
        <v>S43_2024</v>
      </c>
      <c r="D116" s="11">
        <v>45593</v>
      </c>
      <c r="E116" t="s">
        <v>123</v>
      </c>
      <c r="F116">
        <v>23</v>
      </c>
      <c r="G116" t="s">
        <v>162</v>
      </c>
      <c r="H116" t="s">
        <v>108</v>
      </c>
      <c r="J116" t="s">
        <v>114</v>
      </c>
      <c r="K116" s="14">
        <v>45593</v>
      </c>
      <c r="L116" t="s">
        <v>111</v>
      </c>
      <c r="M116" t="s">
        <v>626</v>
      </c>
      <c r="N116" t="s">
        <v>627</v>
      </c>
      <c r="O116" t="s">
        <v>628</v>
      </c>
      <c r="P116" t="s">
        <v>629</v>
      </c>
      <c r="Q116" t="s">
        <v>312</v>
      </c>
      <c r="R116" s="11">
        <v>45590</v>
      </c>
      <c r="S116" s="11">
        <v>45590</v>
      </c>
      <c r="T116" s="11">
        <v>45591</v>
      </c>
      <c r="V116" t="s">
        <v>114</v>
      </c>
      <c r="AE116" t="s">
        <v>114</v>
      </c>
      <c r="AG116" t="s">
        <v>114</v>
      </c>
      <c r="AK116" t="s">
        <v>132</v>
      </c>
      <c r="AM116" t="s">
        <v>132</v>
      </c>
      <c r="AN116" t="s">
        <v>114</v>
      </c>
      <c r="AQ116" t="s">
        <v>132</v>
      </c>
      <c r="AR116" s="16" t="s">
        <v>630</v>
      </c>
      <c r="AS116" s="11">
        <v>45594</v>
      </c>
      <c r="AU116" t="s">
        <v>114</v>
      </c>
      <c r="AV116" t="s">
        <v>115</v>
      </c>
      <c r="BB116" t="s">
        <v>114</v>
      </c>
      <c r="BC116" s="11">
        <v>45593</v>
      </c>
      <c r="BD116" t="s">
        <v>116</v>
      </c>
      <c r="BF116" t="s">
        <v>631</v>
      </c>
      <c r="BG116" t="s">
        <v>132</v>
      </c>
      <c r="BH116" t="str">
        <f t="shared" si="26"/>
        <v/>
      </c>
      <c r="BJ116" t="str">
        <f t="shared" si="16"/>
        <v/>
      </c>
      <c r="BK116" t="s">
        <v>117</v>
      </c>
      <c r="BL116" t="str">
        <f t="shared" si="17"/>
        <v>S44_2024</v>
      </c>
      <c r="BN116" s="11">
        <v>45593</v>
      </c>
      <c r="BO116" t="str">
        <f t="shared" si="18"/>
        <v>S44_2024</v>
      </c>
      <c r="BP116" t="s">
        <v>114</v>
      </c>
      <c r="BQ116" t="s">
        <v>118</v>
      </c>
      <c r="BU116" s="11"/>
      <c r="BW116" s="11"/>
      <c r="BX116" s="11"/>
      <c r="BY116" s="11"/>
      <c r="BZ116" s="11"/>
      <c r="CB116" s="11"/>
      <c r="CC116" s="11"/>
      <c r="CD116" s="11"/>
      <c r="CE116" s="11"/>
      <c r="CG116" s="11"/>
      <c r="CI116" t="s">
        <v>119</v>
      </c>
      <c r="CO116" t="str">
        <f t="shared" si="19"/>
        <v>NEGATIFPAS INCLUS</v>
      </c>
      <c r="CP116" s="11">
        <v>45593</v>
      </c>
      <c r="CR116">
        <f t="shared" si="21"/>
        <v>1</v>
      </c>
      <c r="CS116">
        <f t="shared" si="22"/>
        <v>-1</v>
      </c>
      <c r="CT116">
        <f t="shared" si="27"/>
        <v>3</v>
      </c>
      <c r="CU116">
        <f t="shared" si="23"/>
        <v>0</v>
      </c>
      <c r="CV116" t="str">
        <f t="shared" si="24"/>
        <v/>
      </c>
      <c r="CX116" s="11">
        <v>45590</v>
      </c>
      <c r="CY116" t="str">
        <f t="shared" si="20"/>
        <v>S43_2024</v>
      </c>
      <c r="DC116" t="s">
        <v>120</v>
      </c>
    </row>
    <row r="117" spans="1:107" x14ac:dyDescent="0.35">
      <c r="A117" t="s">
        <v>632</v>
      </c>
      <c r="B117" s="10" t="str">
        <f t="shared" si="14"/>
        <v>S44_2024</v>
      </c>
      <c r="C117" s="10" t="str">
        <f t="shared" si="15"/>
        <v>S43_2024</v>
      </c>
      <c r="D117" s="11">
        <v>45596</v>
      </c>
      <c r="E117" t="s">
        <v>123</v>
      </c>
      <c r="F117">
        <v>47</v>
      </c>
      <c r="G117" t="s">
        <v>162</v>
      </c>
      <c r="H117" t="s">
        <v>108</v>
      </c>
      <c r="J117" t="s">
        <v>114</v>
      </c>
      <c r="K117" s="14">
        <v>45592</v>
      </c>
      <c r="L117" t="s">
        <v>111</v>
      </c>
      <c r="M117" t="s">
        <v>385</v>
      </c>
      <c r="N117" t="s">
        <v>633</v>
      </c>
      <c r="P117" t="s">
        <v>634</v>
      </c>
      <c r="Q117" t="s">
        <v>385</v>
      </c>
      <c r="R117" s="11">
        <v>45586</v>
      </c>
      <c r="S117" s="11">
        <v>45586</v>
      </c>
      <c r="T117" s="11">
        <v>45586</v>
      </c>
      <c r="V117" t="s">
        <v>114</v>
      </c>
      <c r="AE117" t="s">
        <v>114</v>
      </c>
      <c r="AG117" t="s">
        <v>114</v>
      </c>
      <c r="AK117" t="s">
        <v>114</v>
      </c>
      <c r="AM117" t="s">
        <v>132</v>
      </c>
      <c r="AN117" t="s">
        <v>114</v>
      </c>
      <c r="AR117" s="16" t="s">
        <v>635</v>
      </c>
      <c r="AS117" s="11">
        <v>45594</v>
      </c>
      <c r="AU117" t="s">
        <v>114</v>
      </c>
      <c r="AV117" t="s">
        <v>115</v>
      </c>
      <c r="BB117" t="s">
        <v>114</v>
      </c>
      <c r="BC117" s="11">
        <v>45593</v>
      </c>
      <c r="BD117" t="s">
        <v>116</v>
      </c>
      <c r="BE117">
        <v>691067563</v>
      </c>
      <c r="BF117" t="s">
        <v>476</v>
      </c>
      <c r="BG117" t="s">
        <v>132</v>
      </c>
      <c r="BH117" t="str">
        <f t="shared" si="26"/>
        <v/>
      </c>
      <c r="BJ117" t="str">
        <f t="shared" si="16"/>
        <v/>
      </c>
      <c r="BK117" t="s">
        <v>117</v>
      </c>
      <c r="BL117" t="str">
        <f t="shared" si="17"/>
        <v>S44_2024</v>
      </c>
      <c r="BN117" s="11">
        <v>45593</v>
      </c>
      <c r="BO117" t="str">
        <f t="shared" si="18"/>
        <v>S44_2024</v>
      </c>
      <c r="BP117" t="s">
        <v>114</v>
      </c>
      <c r="BQ117" t="s">
        <v>118</v>
      </c>
      <c r="BU117" s="11"/>
      <c r="BW117" s="11"/>
      <c r="BX117" s="11"/>
      <c r="BY117" s="11"/>
      <c r="BZ117" s="11"/>
      <c r="CB117" s="11"/>
      <c r="CC117" s="11"/>
      <c r="CD117" s="11"/>
      <c r="CE117" s="11"/>
      <c r="CG117" s="11"/>
      <c r="CI117" t="s">
        <v>119</v>
      </c>
      <c r="CO117" t="str">
        <f t="shared" si="19"/>
        <v>NEGATIFPAS INCLUS</v>
      </c>
      <c r="CP117" s="11">
        <v>45593</v>
      </c>
      <c r="CR117">
        <f t="shared" si="21"/>
        <v>1</v>
      </c>
      <c r="CS117">
        <f t="shared" si="22"/>
        <v>-1</v>
      </c>
      <c r="CT117">
        <f t="shared" si="27"/>
        <v>7</v>
      </c>
      <c r="CU117">
        <f t="shared" si="23"/>
        <v>1</v>
      </c>
      <c r="CV117" t="str">
        <f t="shared" si="24"/>
        <v/>
      </c>
      <c r="CX117" s="11">
        <v>45586</v>
      </c>
      <c r="CY117" t="str">
        <f t="shared" si="20"/>
        <v>S43_2024</v>
      </c>
      <c r="DC117" t="s">
        <v>120</v>
      </c>
    </row>
    <row r="118" spans="1:107" x14ac:dyDescent="0.35">
      <c r="A118" t="s">
        <v>636</v>
      </c>
      <c r="B118" s="10" t="str">
        <f t="shared" si="14"/>
        <v>S45_2024</v>
      </c>
      <c r="C118" s="10" t="str">
        <f t="shared" si="15"/>
        <v>S44_2024</v>
      </c>
      <c r="D118" s="11">
        <v>45603</v>
      </c>
      <c r="E118" t="s">
        <v>123</v>
      </c>
      <c r="F118">
        <v>17</v>
      </c>
      <c r="G118" t="s">
        <v>162</v>
      </c>
      <c r="H118" t="s">
        <v>108</v>
      </c>
      <c r="J118" t="s">
        <v>132</v>
      </c>
      <c r="K118" s="12"/>
      <c r="L118" t="s">
        <v>637</v>
      </c>
      <c r="M118" t="s">
        <v>183</v>
      </c>
      <c r="N118" t="s">
        <v>183</v>
      </c>
      <c r="O118" t="s">
        <v>638</v>
      </c>
      <c r="P118" t="s">
        <v>639</v>
      </c>
      <c r="Q118" t="s">
        <v>183</v>
      </c>
      <c r="R118" s="14">
        <v>45594</v>
      </c>
      <c r="S118" s="12" t="s">
        <v>640</v>
      </c>
      <c r="T118" s="11">
        <v>45597</v>
      </c>
      <c r="V118" t="s">
        <v>132</v>
      </c>
      <c r="W118" t="s">
        <v>114</v>
      </c>
      <c r="X118" t="s">
        <v>114</v>
      </c>
      <c r="Y118" t="s">
        <v>114</v>
      </c>
      <c r="Z118" t="s">
        <v>132</v>
      </c>
      <c r="AA118" t="s">
        <v>132</v>
      </c>
      <c r="AB118" t="s">
        <v>132</v>
      </c>
      <c r="AC118" t="s">
        <v>132</v>
      </c>
      <c r="AE118" t="s">
        <v>114</v>
      </c>
      <c r="AF118" t="s">
        <v>114</v>
      </c>
      <c r="AG118" t="s">
        <v>114</v>
      </c>
      <c r="AH118" t="s">
        <v>114</v>
      </c>
      <c r="AJ118" t="s">
        <v>259</v>
      </c>
      <c r="AK118" t="s">
        <v>114</v>
      </c>
      <c r="AM118" t="s">
        <v>114</v>
      </c>
      <c r="AN118" t="s">
        <v>114</v>
      </c>
      <c r="AP118" t="s">
        <v>132</v>
      </c>
      <c r="AR118" s="16" t="s">
        <v>641</v>
      </c>
      <c r="AS118" s="11">
        <v>45609</v>
      </c>
      <c r="AU118" t="s">
        <v>114</v>
      </c>
      <c r="AV118" t="s">
        <v>134</v>
      </c>
      <c r="AW118" t="s">
        <v>152</v>
      </c>
      <c r="AY118" t="s">
        <v>135</v>
      </c>
      <c r="BB118" t="s">
        <v>114</v>
      </c>
      <c r="BC118" s="11">
        <v>45609</v>
      </c>
      <c r="BD118" t="s">
        <v>116</v>
      </c>
      <c r="BF118" t="s">
        <v>183</v>
      </c>
      <c r="BG118" t="s">
        <v>132</v>
      </c>
      <c r="BH118" t="str">
        <f t="shared" si="26"/>
        <v/>
      </c>
      <c r="BI118" s="11">
        <v>45610</v>
      </c>
      <c r="BJ118" t="str">
        <f t="shared" si="16"/>
        <v>S46_2024</v>
      </c>
      <c r="BK118" t="s">
        <v>187</v>
      </c>
      <c r="BL118" t="str">
        <f t="shared" si="17"/>
        <v>S46_2024</v>
      </c>
      <c r="BN118" s="11">
        <v>45609</v>
      </c>
      <c r="BO118" t="str">
        <f t="shared" si="18"/>
        <v>S46_2024</v>
      </c>
      <c r="BP118" t="s">
        <v>114</v>
      </c>
      <c r="BQ118" t="s">
        <v>118</v>
      </c>
      <c r="BU118" s="11"/>
      <c r="BW118" s="11"/>
      <c r="BX118" s="11"/>
      <c r="BY118" s="11"/>
      <c r="BZ118" s="11"/>
      <c r="CB118" s="11"/>
      <c r="CC118" s="11"/>
      <c r="CD118" s="11"/>
      <c r="CE118" s="11"/>
      <c r="CG118" s="11"/>
      <c r="CI118" t="s">
        <v>119</v>
      </c>
      <c r="CK118" t="s">
        <v>138</v>
      </c>
      <c r="CO118" t="str">
        <f t="shared" si="19"/>
        <v>POSITIFPAS INCLUS</v>
      </c>
      <c r="CP118" s="11">
        <v>45603</v>
      </c>
      <c r="CR118">
        <f t="shared" si="21"/>
        <v>0</v>
      </c>
      <c r="CS118">
        <f t="shared" si="22"/>
        <v>0</v>
      </c>
      <c r="CT118">
        <f t="shared" si="27"/>
        <v>9</v>
      </c>
      <c r="CU118" t="str">
        <f t="shared" si="23"/>
        <v/>
      </c>
      <c r="CV118">
        <f t="shared" si="24"/>
        <v>16</v>
      </c>
      <c r="CX118" s="14">
        <v>45594</v>
      </c>
      <c r="CY118" t="str">
        <f t="shared" si="20"/>
        <v>S44_2024</v>
      </c>
      <c r="DC118" t="s">
        <v>139</v>
      </c>
    </row>
    <row r="119" spans="1:107" x14ac:dyDescent="0.35">
      <c r="A119" t="s">
        <v>642</v>
      </c>
      <c r="B119" s="10" t="str">
        <f t="shared" si="14"/>
        <v>S45_2024</v>
      </c>
      <c r="C119" s="10" t="str">
        <f t="shared" si="15"/>
        <v/>
      </c>
      <c r="D119" s="11">
        <v>45606</v>
      </c>
      <c r="E119" t="s">
        <v>123</v>
      </c>
      <c r="F119">
        <v>29</v>
      </c>
      <c r="G119" t="s">
        <v>162</v>
      </c>
      <c r="H119" t="s">
        <v>108</v>
      </c>
      <c r="J119" t="s">
        <v>132</v>
      </c>
      <c r="K119" s="12"/>
      <c r="L119" t="s">
        <v>637</v>
      </c>
      <c r="M119" t="s">
        <v>183</v>
      </c>
      <c r="N119" t="s">
        <v>183</v>
      </c>
      <c r="O119" t="s">
        <v>638</v>
      </c>
      <c r="P119" t="s">
        <v>643</v>
      </c>
      <c r="Q119" t="s">
        <v>183</v>
      </c>
      <c r="V119" t="s">
        <v>132</v>
      </c>
      <c r="W119" t="s">
        <v>114</v>
      </c>
      <c r="X119" t="s">
        <v>114</v>
      </c>
      <c r="Y119" t="s">
        <v>114</v>
      </c>
      <c r="Z119" t="s">
        <v>132</v>
      </c>
      <c r="AA119" t="s">
        <v>132</v>
      </c>
      <c r="AB119" t="s">
        <v>132</v>
      </c>
      <c r="AC119" t="s">
        <v>132</v>
      </c>
      <c r="AE119" t="s">
        <v>114</v>
      </c>
      <c r="AF119" t="s">
        <v>114</v>
      </c>
      <c r="AG119" t="s">
        <v>114</v>
      </c>
      <c r="AH119" t="s">
        <v>114</v>
      </c>
      <c r="AJ119" t="s">
        <v>259</v>
      </c>
      <c r="AK119" t="s">
        <v>114</v>
      </c>
      <c r="AM119" t="s">
        <v>114</v>
      </c>
      <c r="AN119" t="s">
        <v>114</v>
      </c>
      <c r="AP119" t="s">
        <v>132</v>
      </c>
      <c r="AR119" s="16" t="s">
        <v>644</v>
      </c>
      <c r="AS119" s="11">
        <v>45609</v>
      </c>
      <c r="AU119" t="s">
        <v>114</v>
      </c>
      <c r="AV119" t="s">
        <v>134</v>
      </c>
      <c r="AW119" t="s">
        <v>152</v>
      </c>
      <c r="AY119" t="s">
        <v>135</v>
      </c>
      <c r="BB119" t="s">
        <v>114</v>
      </c>
      <c r="BC119" s="11">
        <v>45609</v>
      </c>
      <c r="BD119" t="s">
        <v>116</v>
      </c>
      <c r="BF119" t="s">
        <v>183</v>
      </c>
      <c r="BG119" t="s">
        <v>132</v>
      </c>
      <c r="BH119" t="str">
        <f t="shared" si="26"/>
        <v/>
      </c>
      <c r="BI119" s="11">
        <v>45610</v>
      </c>
      <c r="BJ119" t="str">
        <f t="shared" si="16"/>
        <v>S46_2024</v>
      </c>
      <c r="BK119" t="s">
        <v>187</v>
      </c>
      <c r="BL119" t="str">
        <f t="shared" si="17"/>
        <v>S46_2024</v>
      </c>
      <c r="BN119" s="11">
        <v>45609</v>
      </c>
      <c r="BO119" t="str">
        <f t="shared" si="18"/>
        <v>S46_2024</v>
      </c>
      <c r="BP119" t="s">
        <v>114</v>
      </c>
      <c r="BQ119" t="s">
        <v>118</v>
      </c>
      <c r="BU119" s="11"/>
      <c r="BW119" s="11"/>
      <c r="BX119" s="11"/>
      <c r="BY119" s="11"/>
      <c r="BZ119" s="11"/>
      <c r="CB119" s="11"/>
      <c r="CC119" s="11"/>
      <c r="CD119" s="11"/>
      <c r="CE119" s="11"/>
      <c r="CG119" s="11"/>
      <c r="CI119" t="s">
        <v>119</v>
      </c>
      <c r="CK119" t="s">
        <v>138</v>
      </c>
      <c r="CO119" t="str">
        <f t="shared" si="19"/>
        <v>POSITIFPAS INCLUS</v>
      </c>
      <c r="CP119" s="11">
        <v>45606</v>
      </c>
      <c r="CR119">
        <f t="shared" si="21"/>
        <v>0</v>
      </c>
      <c r="CS119">
        <f t="shared" si="22"/>
        <v>0</v>
      </c>
      <c r="CT119">
        <f t="shared" si="27"/>
        <v>45606</v>
      </c>
      <c r="CU119" t="str">
        <f t="shared" si="23"/>
        <v/>
      </c>
      <c r="CV119">
        <f t="shared" si="24"/>
        <v>45610</v>
      </c>
      <c r="CY119" t="str">
        <f t="shared" si="20"/>
        <v/>
      </c>
      <c r="DC119" t="s">
        <v>139</v>
      </c>
    </row>
    <row r="120" spans="1:107" x14ac:dyDescent="0.35">
      <c r="A120" t="s">
        <v>645</v>
      </c>
      <c r="B120" s="10" t="str">
        <f t="shared" si="14"/>
        <v>S45_2024</v>
      </c>
      <c r="C120" s="10" t="str">
        <f t="shared" si="15"/>
        <v>S40_2024</v>
      </c>
      <c r="D120" s="11">
        <v>45606</v>
      </c>
      <c r="E120" t="s">
        <v>106</v>
      </c>
      <c r="F120">
        <v>7</v>
      </c>
      <c r="G120" t="s">
        <v>107</v>
      </c>
      <c r="H120" t="s">
        <v>108</v>
      </c>
      <c r="J120" t="s">
        <v>132</v>
      </c>
      <c r="K120" s="12"/>
      <c r="L120" t="s">
        <v>637</v>
      </c>
      <c r="M120" t="s">
        <v>183</v>
      </c>
      <c r="N120" t="s">
        <v>183</v>
      </c>
      <c r="O120" t="s">
        <v>638</v>
      </c>
      <c r="P120" t="s">
        <v>643</v>
      </c>
      <c r="Q120" t="s">
        <v>183</v>
      </c>
      <c r="R120" s="11">
        <v>45571</v>
      </c>
      <c r="S120" s="11">
        <v>45571</v>
      </c>
      <c r="T120" s="11">
        <v>45575</v>
      </c>
      <c r="V120" t="s">
        <v>132</v>
      </c>
      <c r="W120" t="s">
        <v>114</v>
      </c>
      <c r="X120" t="s">
        <v>114</v>
      </c>
      <c r="Y120" t="s">
        <v>114</v>
      </c>
      <c r="Z120" t="s">
        <v>132</v>
      </c>
      <c r="AA120" t="s">
        <v>132</v>
      </c>
      <c r="AB120" t="s">
        <v>132</v>
      </c>
      <c r="AC120" t="s">
        <v>132</v>
      </c>
      <c r="AE120" t="s">
        <v>114</v>
      </c>
      <c r="AF120" t="s">
        <v>114</v>
      </c>
      <c r="AG120" t="s">
        <v>114</v>
      </c>
      <c r="AH120" t="s">
        <v>132</v>
      </c>
      <c r="AJ120" t="s">
        <v>259</v>
      </c>
      <c r="AK120" t="s">
        <v>114</v>
      </c>
      <c r="AM120" t="s">
        <v>114</v>
      </c>
      <c r="AN120" t="s">
        <v>114</v>
      </c>
      <c r="AP120" t="s">
        <v>132</v>
      </c>
      <c r="AR120" s="16" t="s">
        <v>646</v>
      </c>
      <c r="AS120" s="11">
        <v>45609</v>
      </c>
      <c r="AU120" t="s">
        <v>114</v>
      </c>
      <c r="AV120" t="s">
        <v>134</v>
      </c>
      <c r="AW120" t="s">
        <v>152</v>
      </c>
      <c r="AY120" t="s">
        <v>135</v>
      </c>
      <c r="BB120" t="s">
        <v>114</v>
      </c>
      <c r="BC120" s="11">
        <v>45609</v>
      </c>
      <c r="BD120" t="s">
        <v>116</v>
      </c>
      <c r="BF120" t="s">
        <v>183</v>
      </c>
      <c r="BG120" t="s">
        <v>132</v>
      </c>
      <c r="BH120" t="str">
        <f t="shared" si="26"/>
        <v/>
      </c>
      <c r="BI120" s="11">
        <v>45610</v>
      </c>
      <c r="BJ120" t="str">
        <f t="shared" si="16"/>
        <v>S46_2024</v>
      </c>
      <c r="BK120" t="s">
        <v>187</v>
      </c>
      <c r="BL120" t="str">
        <f t="shared" si="17"/>
        <v>S46_2024</v>
      </c>
      <c r="BN120" s="11">
        <v>45609</v>
      </c>
      <c r="BO120" t="str">
        <f t="shared" si="18"/>
        <v>S46_2024</v>
      </c>
      <c r="BP120" t="s">
        <v>114</v>
      </c>
      <c r="BQ120" t="s">
        <v>118</v>
      </c>
      <c r="BU120" s="11"/>
      <c r="BW120" s="11"/>
      <c r="BX120" s="11"/>
      <c r="BY120" s="11"/>
      <c r="BZ120" s="11"/>
      <c r="CB120" s="11"/>
      <c r="CC120" s="11"/>
      <c r="CD120" s="11"/>
      <c r="CE120" s="11"/>
      <c r="CG120" s="11"/>
      <c r="CI120" t="s">
        <v>119</v>
      </c>
      <c r="CK120" t="s">
        <v>138</v>
      </c>
      <c r="CO120" t="str">
        <f t="shared" si="19"/>
        <v>POSITIFPAS INCLUS</v>
      </c>
      <c r="CP120" s="11">
        <v>45606</v>
      </c>
      <c r="CR120">
        <f t="shared" si="21"/>
        <v>0</v>
      </c>
      <c r="CS120">
        <f t="shared" si="22"/>
        <v>0</v>
      </c>
      <c r="CT120">
        <f t="shared" si="27"/>
        <v>35</v>
      </c>
      <c r="CU120" t="str">
        <f t="shared" si="23"/>
        <v/>
      </c>
      <c r="CV120">
        <f t="shared" si="24"/>
        <v>39</v>
      </c>
      <c r="CX120" s="11">
        <v>45571</v>
      </c>
      <c r="CY120" t="str">
        <f t="shared" si="20"/>
        <v>S40_2024</v>
      </c>
      <c r="DC120" t="s">
        <v>139</v>
      </c>
    </row>
    <row r="121" spans="1:107" x14ac:dyDescent="0.35">
      <c r="A121" t="s">
        <v>647</v>
      </c>
      <c r="B121" s="10" t="str">
        <f t="shared" si="14"/>
        <v>S46_2024</v>
      </c>
      <c r="C121" s="10" t="str">
        <f t="shared" si="15"/>
        <v>S45_2024</v>
      </c>
      <c r="D121" s="11">
        <v>45607</v>
      </c>
      <c r="E121" t="s">
        <v>106</v>
      </c>
      <c r="F121">
        <v>5</v>
      </c>
      <c r="G121" t="s">
        <v>107</v>
      </c>
      <c r="H121" t="s">
        <v>108</v>
      </c>
      <c r="J121" t="s">
        <v>150</v>
      </c>
      <c r="K121" s="12"/>
      <c r="L121" t="s">
        <v>126</v>
      </c>
      <c r="M121" t="s">
        <v>127</v>
      </c>
      <c r="N121" t="s">
        <v>648</v>
      </c>
      <c r="O121" t="s">
        <v>184</v>
      </c>
      <c r="P121" t="s">
        <v>648</v>
      </c>
      <c r="Q121" t="s">
        <v>215</v>
      </c>
      <c r="R121" s="11">
        <v>45600</v>
      </c>
      <c r="S121" s="11">
        <v>45600</v>
      </c>
      <c r="T121" s="11">
        <v>45602</v>
      </c>
      <c r="V121" t="s">
        <v>114</v>
      </c>
      <c r="AE121" t="s">
        <v>114</v>
      </c>
      <c r="AG121" t="s">
        <v>114</v>
      </c>
      <c r="AK121" t="s">
        <v>132</v>
      </c>
      <c r="AM121" t="s">
        <v>114</v>
      </c>
      <c r="AN121" t="s">
        <v>132</v>
      </c>
      <c r="AQ121" t="s">
        <v>132</v>
      </c>
      <c r="AR121" t="s">
        <v>649</v>
      </c>
      <c r="AS121" s="11">
        <v>45607</v>
      </c>
      <c r="AU121" t="s">
        <v>114</v>
      </c>
      <c r="AV121" t="s">
        <v>115</v>
      </c>
      <c r="BB121" t="s">
        <v>114</v>
      </c>
      <c r="BC121" s="11">
        <v>45607</v>
      </c>
      <c r="BD121" t="s">
        <v>334</v>
      </c>
      <c r="BF121" t="s">
        <v>648</v>
      </c>
      <c r="BG121" t="s">
        <v>114</v>
      </c>
      <c r="BH121" t="str">
        <f t="shared" si="26"/>
        <v/>
      </c>
      <c r="BJ121" t="str">
        <f t="shared" si="16"/>
        <v/>
      </c>
      <c r="BK121" t="s">
        <v>137</v>
      </c>
      <c r="BL121" t="str">
        <f t="shared" si="17"/>
        <v>S46_2024</v>
      </c>
      <c r="BN121" s="11">
        <v>45607</v>
      </c>
      <c r="BO121" t="str">
        <f t="shared" si="18"/>
        <v>S46_2024</v>
      </c>
      <c r="BP121" t="s">
        <v>114</v>
      </c>
      <c r="BQ121" t="s">
        <v>118</v>
      </c>
      <c r="BU121" s="11"/>
      <c r="BW121" s="11"/>
      <c r="BX121" s="11"/>
      <c r="BY121" s="11"/>
      <c r="BZ121" s="11"/>
      <c r="CB121" s="11"/>
      <c r="CC121" s="11"/>
      <c r="CD121" s="11"/>
      <c r="CE121" s="11"/>
      <c r="CG121" s="11"/>
      <c r="CI121" t="s">
        <v>119</v>
      </c>
      <c r="CO121" t="str">
        <f t="shared" si="19"/>
        <v>NEGATIFPAS INCLUS</v>
      </c>
      <c r="CP121" s="11">
        <v>45607</v>
      </c>
      <c r="CR121">
        <f t="shared" si="21"/>
        <v>0</v>
      </c>
      <c r="CS121">
        <f t="shared" si="22"/>
        <v>0</v>
      </c>
      <c r="CT121">
        <f t="shared" si="27"/>
        <v>7</v>
      </c>
      <c r="CU121" t="str">
        <f t="shared" si="23"/>
        <v/>
      </c>
      <c r="CV121" t="str">
        <f t="shared" si="24"/>
        <v/>
      </c>
      <c r="CX121" s="11">
        <v>45600</v>
      </c>
      <c r="CY121" t="str">
        <f t="shared" si="20"/>
        <v>S45_2024</v>
      </c>
      <c r="DC121" t="s">
        <v>120</v>
      </c>
    </row>
    <row r="122" spans="1:107" x14ac:dyDescent="0.35">
      <c r="A122" t="s">
        <v>650</v>
      </c>
      <c r="B122" s="10" t="str">
        <f t="shared" si="14"/>
        <v>S46_2024</v>
      </c>
      <c r="C122" s="10" t="str">
        <f t="shared" si="15"/>
        <v/>
      </c>
      <c r="D122" s="11">
        <v>45608</v>
      </c>
      <c r="E122" t="s">
        <v>123</v>
      </c>
      <c r="F122">
        <v>14</v>
      </c>
      <c r="G122" t="s">
        <v>107</v>
      </c>
      <c r="H122" t="s">
        <v>108</v>
      </c>
      <c r="J122" t="s">
        <v>142</v>
      </c>
      <c r="K122" s="12"/>
      <c r="L122" t="s">
        <v>637</v>
      </c>
      <c r="M122" t="s">
        <v>651</v>
      </c>
      <c r="N122" t="s">
        <v>110</v>
      </c>
      <c r="P122" t="s">
        <v>110</v>
      </c>
      <c r="Q122" t="s">
        <v>651</v>
      </c>
      <c r="AR122" t="s">
        <v>652</v>
      </c>
      <c r="AS122" s="11">
        <v>45607</v>
      </c>
      <c r="AU122" t="s">
        <v>114</v>
      </c>
      <c r="AV122" t="s">
        <v>115</v>
      </c>
      <c r="BB122" t="s">
        <v>114</v>
      </c>
      <c r="BC122" t="s">
        <v>110</v>
      </c>
      <c r="BD122" t="s">
        <v>116</v>
      </c>
      <c r="BF122" t="s">
        <v>110</v>
      </c>
      <c r="BG122" t="s">
        <v>114</v>
      </c>
      <c r="BH122" t="str">
        <f t="shared" si="26"/>
        <v/>
      </c>
      <c r="BJ122" t="str">
        <f t="shared" si="16"/>
        <v/>
      </c>
      <c r="BK122" t="s">
        <v>187</v>
      </c>
      <c r="BL122" t="str">
        <f t="shared" si="17"/>
        <v/>
      </c>
      <c r="BM122" t="s">
        <v>159</v>
      </c>
      <c r="BN122" s="11">
        <v>45607</v>
      </c>
      <c r="BO122" t="str">
        <f t="shared" si="18"/>
        <v>S46_2024</v>
      </c>
      <c r="BP122" t="s">
        <v>114</v>
      </c>
      <c r="BQ122" t="s">
        <v>118</v>
      </c>
      <c r="BU122" s="11"/>
      <c r="BZ122" s="11"/>
      <c r="CE122" s="11"/>
      <c r="CI122" t="s">
        <v>119</v>
      </c>
      <c r="CO122" t="str">
        <f t="shared" si="19"/>
        <v>NEGATIFPAS INCLUS</v>
      </c>
      <c r="CP122" s="11">
        <v>45608</v>
      </c>
      <c r="CR122" t="e">
        <f t="shared" si="21"/>
        <v>#VALUE!</v>
      </c>
      <c r="CS122">
        <f t="shared" si="22"/>
        <v>0</v>
      </c>
      <c r="CT122">
        <f t="shared" si="27"/>
        <v>45608</v>
      </c>
      <c r="CU122">
        <f t="shared" si="23"/>
        <v>45608</v>
      </c>
      <c r="CV122" t="str">
        <f t="shared" si="24"/>
        <v/>
      </c>
      <c r="CY122" t="str">
        <f t="shared" si="20"/>
        <v/>
      </c>
      <c r="DC122" t="s">
        <v>120</v>
      </c>
    </row>
    <row r="123" spans="1:107" x14ac:dyDescent="0.35">
      <c r="A123" t="s">
        <v>653</v>
      </c>
      <c r="B123" s="10" t="str">
        <f t="shared" si="14"/>
        <v>S47_2024</v>
      </c>
      <c r="C123" s="10" t="str">
        <f t="shared" si="15"/>
        <v>S40_2024</v>
      </c>
      <c r="D123" s="11">
        <v>45619</v>
      </c>
      <c r="E123" t="s">
        <v>123</v>
      </c>
      <c r="F123">
        <v>0.8</v>
      </c>
      <c r="G123" t="s">
        <v>141</v>
      </c>
      <c r="H123" t="s">
        <v>108</v>
      </c>
      <c r="J123" t="s">
        <v>142</v>
      </c>
      <c r="K123" s="12"/>
      <c r="L123" t="s">
        <v>163</v>
      </c>
      <c r="M123" t="s">
        <v>164</v>
      </c>
      <c r="N123" t="s">
        <v>654</v>
      </c>
      <c r="P123" t="s">
        <v>655</v>
      </c>
      <c r="Q123" t="s">
        <v>167</v>
      </c>
      <c r="R123" s="11">
        <v>45567</v>
      </c>
      <c r="S123" s="11">
        <v>45567</v>
      </c>
      <c r="T123" s="11">
        <v>45567</v>
      </c>
      <c r="V123" t="s">
        <v>114</v>
      </c>
      <c r="AE123" t="s">
        <v>114</v>
      </c>
      <c r="AK123" t="s">
        <v>114</v>
      </c>
      <c r="AM123" t="s">
        <v>114</v>
      </c>
      <c r="AN123" t="s">
        <v>132</v>
      </c>
      <c r="AU123" t="s">
        <v>114</v>
      </c>
      <c r="AV123" t="s">
        <v>115</v>
      </c>
      <c r="BB123" t="s">
        <v>114</v>
      </c>
      <c r="BC123" s="11">
        <v>45614</v>
      </c>
      <c r="BD123" t="s">
        <v>169</v>
      </c>
      <c r="BF123" t="s">
        <v>654</v>
      </c>
      <c r="BG123" t="s">
        <v>132</v>
      </c>
      <c r="BH123" t="str">
        <f t="shared" si="26"/>
        <v/>
      </c>
      <c r="BJ123" t="str">
        <f t="shared" si="16"/>
        <v/>
      </c>
      <c r="BK123" t="s">
        <v>170</v>
      </c>
      <c r="BL123" t="str">
        <f t="shared" si="17"/>
        <v>S47_2024</v>
      </c>
      <c r="BN123" s="11">
        <v>45614</v>
      </c>
      <c r="BO123" t="str">
        <f t="shared" si="18"/>
        <v>S47_2024</v>
      </c>
      <c r="BP123" t="s">
        <v>114</v>
      </c>
      <c r="BQ123" t="s">
        <v>118</v>
      </c>
      <c r="BW123" s="11"/>
      <c r="BX123" s="11"/>
      <c r="BY123" s="11"/>
      <c r="CB123" s="11"/>
      <c r="CC123" s="11"/>
      <c r="CD123" s="11"/>
      <c r="CG123" s="11"/>
      <c r="CI123" t="s">
        <v>119</v>
      </c>
      <c r="CO123" t="str">
        <f t="shared" si="19"/>
        <v>NEGATIFPAS INCLUS</v>
      </c>
      <c r="CP123" s="11">
        <v>45614</v>
      </c>
      <c r="CR123">
        <f t="shared" si="21"/>
        <v>-45614</v>
      </c>
      <c r="CS123">
        <f t="shared" si="22"/>
        <v>45614</v>
      </c>
      <c r="CT123">
        <f t="shared" si="27"/>
        <v>47</v>
      </c>
      <c r="CU123">
        <f t="shared" si="23"/>
        <v>45614</v>
      </c>
      <c r="CV123" t="str">
        <f t="shared" si="24"/>
        <v/>
      </c>
      <c r="CX123" s="11">
        <v>45567</v>
      </c>
      <c r="CY123" t="str">
        <f t="shared" si="20"/>
        <v>S40_2024</v>
      </c>
      <c r="DC123" t="s">
        <v>160</v>
      </c>
    </row>
    <row r="124" spans="1:107" x14ac:dyDescent="0.35">
      <c r="A124" t="s">
        <v>656</v>
      </c>
      <c r="B124" s="10" t="str">
        <f t="shared" si="14"/>
        <v>S48_2024</v>
      </c>
      <c r="C124" s="10" t="str">
        <f t="shared" si="15"/>
        <v>S47_2024</v>
      </c>
      <c r="D124" s="11">
        <v>45624</v>
      </c>
      <c r="E124" t="s">
        <v>123</v>
      </c>
      <c r="F124">
        <v>36</v>
      </c>
      <c r="G124" t="s">
        <v>110</v>
      </c>
      <c r="H124" t="s">
        <v>108</v>
      </c>
      <c r="J124" t="s">
        <v>142</v>
      </c>
      <c r="K124" s="12"/>
      <c r="L124" t="s">
        <v>637</v>
      </c>
      <c r="M124" t="s">
        <v>619</v>
      </c>
      <c r="P124" t="s">
        <v>110</v>
      </c>
      <c r="Q124" t="s">
        <v>657</v>
      </c>
      <c r="R124" s="11">
        <v>45619</v>
      </c>
      <c r="S124" s="11">
        <v>45619</v>
      </c>
      <c r="T124" s="11">
        <v>45619</v>
      </c>
      <c r="AR124" t="s">
        <v>658</v>
      </c>
      <c r="AS124" s="11">
        <v>45624</v>
      </c>
      <c r="AU124" t="s">
        <v>114</v>
      </c>
      <c r="AV124" t="s">
        <v>115</v>
      </c>
      <c r="BB124" t="s">
        <v>114</v>
      </c>
      <c r="BC124" s="11">
        <v>45622</v>
      </c>
      <c r="BD124" t="s">
        <v>169</v>
      </c>
      <c r="BG124" t="s">
        <v>132</v>
      </c>
      <c r="BH124" t="str">
        <f t="shared" si="26"/>
        <v/>
      </c>
      <c r="BJ124" t="str">
        <f t="shared" si="16"/>
        <v/>
      </c>
      <c r="BK124" t="s">
        <v>187</v>
      </c>
      <c r="BL124" t="str">
        <f t="shared" si="17"/>
        <v>S48_2024</v>
      </c>
      <c r="BN124" s="11">
        <v>45622</v>
      </c>
      <c r="BO124" t="str">
        <f t="shared" si="18"/>
        <v>S48_2024</v>
      </c>
      <c r="BP124" t="s">
        <v>114</v>
      </c>
      <c r="BQ124" t="s">
        <v>118</v>
      </c>
      <c r="BU124" s="11"/>
      <c r="BW124" s="11"/>
      <c r="BX124" s="11"/>
      <c r="BY124" s="11"/>
      <c r="BZ124" s="11"/>
      <c r="CB124" s="11"/>
      <c r="CC124" s="11"/>
      <c r="CD124" s="11"/>
      <c r="CE124" s="11"/>
      <c r="CG124" s="11"/>
      <c r="CI124" t="s">
        <v>119</v>
      </c>
      <c r="CO124" t="str">
        <f t="shared" si="19"/>
        <v>NEGATIFPAS INCLUS</v>
      </c>
      <c r="CP124" s="11">
        <v>45622</v>
      </c>
      <c r="CR124">
        <f t="shared" si="21"/>
        <v>2</v>
      </c>
      <c r="CS124">
        <f t="shared" si="22"/>
        <v>-2</v>
      </c>
      <c r="CT124">
        <f t="shared" si="27"/>
        <v>3</v>
      </c>
      <c r="CU124">
        <f t="shared" si="23"/>
        <v>45622</v>
      </c>
      <c r="CV124" t="str">
        <f t="shared" si="24"/>
        <v/>
      </c>
      <c r="CX124" s="11">
        <v>45619</v>
      </c>
      <c r="CY124" t="str">
        <f t="shared" si="20"/>
        <v>S47_2024</v>
      </c>
      <c r="DC124" t="s">
        <v>160</v>
      </c>
    </row>
    <row r="125" spans="1:107" x14ac:dyDescent="0.35">
      <c r="A125" t="s">
        <v>659</v>
      </c>
      <c r="B125" s="10" t="str">
        <f t="shared" si="14"/>
        <v>S49_2024</v>
      </c>
      <c r="C125" s="10" t="str">
        <f t="shared" si="15"/>
        <v/>
      </c>
      <c r="D125" s="11">
        <v>45628</v>
      </c>
      <c r="E125" t="s">
        <v>106</v>
      </c>
      <c r="F125"/>
      <c r="G125" t="s">
        <v>162</v>
      </c>
      <c r="H125" t="s">
        <v>108</v>
      </c>
      <c r="J125" t="s">
        <v>142</v>
      </c>
      <c r="K125" s="12"/>
      <c r="L125" t="s">
        <v>637</v>
      </c>
      <c r="M125" t="s">
        <v>183</v>
      </c>
      <c r="N125" t="s">
        <v>660</v>
      </c>
      <c r="P125" t="s">
        <v>110</v>
      </c>
      <c r="Q125" t="s">
        <v>234</v>
      </c>
      <c r="R125" s="11" t="s">
        <v>142</v>
      </c>
      <c r="AE125" t="s">
        <v>150</v>
      </c>
      <c r="AK125" t="s">
        <v>150</v>
      </c>
      <c r="AM125" t="s">
        <v>109</v>
      </c>
      <c r="AN125" t="s">
        <v>150</v>
      </c>
      <c r="AU125" t="s">
        <v>114</v>
      </c>
      <c r="AV125" t="s">
        <v>115</v>
      </c>
      <c r="BB125" t="s">
        <v>114</v>
      </c>
      <c r="BC125" s="11">
        <v>45625</v>
      </c>
      <c r="BD125" t="s">
        <v>661</v>
      </c>
      <c r="BG125" t="s">
        <v>132</v>
      </c>
      <c r="BH125" t="str">
        <f t="shared" si="26"/>
        <v/>
      </c>
      <c r="BJ125" t="str">
        <f t="shared" si="16"/>
        <v/>
      </c>
      <c r="BK125" t="s">
        <v>187</v>
      </c>
      <c r="BL125" t="str">
        <f t="shared" si="17"/>
        <v>S48_2024</v>
      </c>
      <c r="BM125" t="s">
        <v>662</v>
      </c>
      <c r="BN125" s="11">
        <v>45625</v>
      </c>
      <c r="BO125" t="str">
        <f t="shared" si="18"/>
        <v>S48_2024</v>
      </c>
      <c r="BP125" t="s">
        <v>114</v>
      </c>
      <c r="BQ125" t="s">
        <v>118</v>
      </c>
      <c r="BW125" s="11"/>
      <c r="BX125" s="11"/>
      <c r="BY125" s="11"/>
      <c r="CB125" s="11"/>
      <c r="CC125" s="11"/>
      <c r="CD125" s="11"/>
      <c r="CG125" s="11"/>
      <c r="CI125" t="s">
        <v>119</v>
      </c>
      <c r="CO125" t="str">
        <f t="shared" si="19"/>
        <v>NEGATIFPAS INCLUS</v>
      </c>
      <c r="CP125" s="11">
        <v>45625</v>
      </c>
      <c r="CR125">
        <f t="shared" si="21"/>
        <v>-45625</v>
      </c>
      <c r="CS125">
        <f t="shared" si="22"/>
        <v>45625</v>
      </c>
      <c r="CT125" t="e">
        <f t="shared" si="27"/>
        <v>#VALUE!</v>
      </c>
      <c r="CU125">
        <f t="shared" si="23"/>
        <v>45625</v>
      </c>
      <c r="CV125" t="str">
        <f t="shared" si="24"/>
        <v/>
      </c>
      <c r="CX125" s="11" t="s">
        <v>142</v>
      </c>
      <c r="CY125" t="str">
        <f t="shared" si="20"/>
        <v/>
      </c>
      <c r="DC125" t="s">
        <v>120</v>
      </c>
    </row>
    <row r="126" spans="1:107" x14ac:dyDescent="0.35">
      <c r="A126" t="s">
        <v>663</v>
      </c>
      <c r="B126" s="10" t="str">
        <f t="shared" si="14"/>
        <v>S49_2024</v>
      </c>
      <c r="C126" s="10" t="str">
        <f t="shared" si="15"/>
        <v/>
      </c>
      <c r="D126" s="11">
        <v>45628</v>
      </c>
      <c r="E126" t="s">
        <v>123</v>
      </c>
      <c r="F126"/>
      <c r="G126" t="s">
        <v>162</v>
      </c>
      <c r="H126" t="s">
        <v>108</v>
      </c>
      <c r="J126" t="s">
        <v>142</v>
      </c>
      <c r="K126" s="12"/>
      <c r="L126" t="s">
        <v>637</v>
      </c>
      <c r="M126" t="s">
        <v>183</v>
      </c>
      <c r="N126" t="s">
        <v>660</v>
      </c>
      <c r="P126" t="s">
        <v>110</v>
      </c>
      <c r="Q126" t="s">
        <v>234</v>
      </c>
      <c r="R126" s="11" t="s">
        <v>142</v>
      </c>
      <c r="AE126" t="s">
        <v>150</v>
      </c>
      <c r="AK126" t="s">
        <v>109</v>
      </c>
      <c r="AM126" t="s">
        <v>109</v>
      </c>
      <c r="AN126" t="s">
        <v>150</v>
      </c>
      <c r="AU126" t="s">
        <v>114</v>
      </c>
      <c r="AV126" t="s">
        <v>115</v>
      </c>
      <c r="BB126" t="s">
        <v>114</v>
      </c>
      <c r="BC126" s="11">
        <v>45625</v>
      </c>
      <c r="BD126" t="s">
        <v>661</v>
      </c>
      <c r="BG126" t="s">
        <v>132</v>
      </c>
      <c r="BH126" t="str">
        <f t="shared" si="26"/>
        <v/>
      </c>
      <c r="BJ126" t="str">
        <f t="shared" si="16"/>
        <v/>
      </c>
      <c r="BK126" t="s">
        <v>187</v>
      </c>
      <c r="BL126" t="str">
        <f t="shared" si="17"/>
        <v>S48_2024</v>
      </c>
      <c r="BM126" t="s">
        <v>662</v>
      </c>
      <c r="BN126" s="11">
        <v>45625</v>
      </c>
      <c r="BO126" t="str">
        <f t="shared" si="18"/>
        <v>S48_2024</v>
      </c>
      <c r="BP126" t="s">
        <v>114</v>
      </c>
      <c r="BQ126" t="s">
        <v>118</v>
      </c>
      <c r="BW126" s="11"/>
      <c r="BX126" s="11"/>
      <c r="BY126" s="11"/>
      <c r="CB126" s="11"/>
      <c r="CC126" s="11"/>
      <c r="CD126" s="11"/>
      <c r="CG126" s="11"/>
      <c r="CI126" t="s">
        <v>119</v>
      </c>
      <c r="CO126" t="str">
        <f t="shared" si="19"/>
        <v>NEGATIFPAS INCLUS</v>
      </c>
      <c r="CP126" s="11">
        <v>45625</v>
      </c>
      <c r="CR126">
        <f t="shared" si="21"/>
        <v>-45625</v>
      </c>
      <c r="CS126">
        <f t="shared" si="22"/>
        <v>45625</v>
      </c>
      <c r="CT126" t="e">
        <f t="shared" si="27"/>
        <v>#VALUE!</v>
      </c>
      <c r="CU126">
        <f t="shared" si="23"/>
        <v>45625</v>
      </c>
      <c r="CV126" t="str">
        <f t="shared" si="24"/>
        <v/>
      </c>
      <c r="CX126" s="11" t="s">
        <v>142</v>
      </c>
      <c r="CY126" t="str">
        <f t="shared" si="20"/>
        <v/>
      </c>
      <c r="DC126" t="s">
        <v>120</v>
      </c>
    </row>
    <row r="127" spans="1:107" x14ac:dyDescent="0.35">
      <c r="A127" t="s">
        <v>664</v>
      </c>
      <c r="B127" s="10" t="str">
        <f t="shared" si="14"/>
        <v>S49_2024</v>
      </c>
      <c r="C127" s="10" t="str">
        <f t="shared" si="15"/>
        <v/>
      </c>
      <c r="D127" s="11">
        <v>45628</v>
      </c>
      <c r="E127" t="s">
        <v>123</v>
      </c>
      <c r="F127"/>
      <c r="G127" t="s">
        <v>162</v>
      </c>
      <c r="H127" t="s">
        <v>108</v>
      </c>
      <c r="J127" t="s">
        <v>142</v>
      </c>
      <c r="K127" s="12"/>
      <c r="L127" t="s">
        <v>637</v>
      </c>
      <c r="M127" t="s">
        <v>183</v>
      </c>
      <c r="N127" t="s">
        <v>660</v>
      </c>
      <c r="P127" t="s">
        <v>110</v>
      </c>
      <c r="Q127" t="s">
        <v>234</v>
      </c>
      <c r="R127" s="11" t="s">
        <v>142</v>
      </c>
      <c r="AE127" t="s">
        <v>150</v>
      </c>
      <c r="AK127" t="s">
        <v>109</v>
      </c>
      <c r="AM127" t="s">
        <v>109</v>
      </c>
      <c r="AN127" t="s">
        <v>142</v>
      </c>
      <c r="AU127" t="s">
        <v>114</v>
      </c>
      <c r="AV127" t="s">
        <v>115</v>
      </c>
      <c r="BB127" t="s">
        <v>114</v>
      </c>
      <c r="BC127" s="11">
        <v>45625</v>
      </c>
      <c r="BD127" t="s">
        <v>661</v>
      </c>
      <c r="BG127" t="s">
        <v>132</v>
      </c>
      <c r="BH127" t="str">
        <f t="shared" si="26"/>
        <v/>
      </c>
      <c r="BJ127" t="str">
        <f t="shared" si="16"/>
        <v/>
      </c>
      <c r="BK127" t="s">
        <v>187</v>
      </c>
      <c r="BL127" t="str">
        <f t="shared" si="17"/>
        <v>S48_2024</v>
      </c>
      <c r="BM127" t="s">
        <v>662</v>
      </c>
      <c r="BN127" s="11">
        <v>45625</v>
      </c>
      <c r="BO127" t="str">
        <f t="shared" si="18"/>
        <v>S48_2024</v>
      </c>
      <c r="BP127" t="s">
        <v>114</v>
      </c>
      <c r="BQ127" t="s">
        <v>118</v>
      </c>
      <c r="BW127" s="11"/>
      <c r="BX127" s="11"/>
      <c r="BY127" s="11"/>
      <c r="CB127" s="11"/>
      <c r="CC127" s="11"/>
      <c r="CD127" s="11"/>
      <c r="CG127" s="11"/>
      <c r="CI127" t="s">
        <v>119</v>
      </c>
      <c r="CO127" t="str">
        <f t="shared" si="19"/>
        <v>NEGATIFPAS INCLUS</v>
      </c>
      <c r="CP127" s="11">
        <v>45625</v>
      </c>
      <c r="CR127">
        <f t="shared" si="21"/>
        <v>-45625</v>
      </c>
      <c r="CS127">
        <f t="shared" si="22"/>
        <v>45625</v>
      </c>
      <c r="CT127" t="e">
        <f t="shared" si="27"/>
        <v>#VALUE!</v>
      </c>
      <c r="CU127">
        <f t="shared" si="23"/>
        <v>45625</v>
      </c>
      <c r="CV127" t="str">
        <f t="shared" si="24"/>
        <v/>
      </c>
      <c r="CX127" s="11" t="s">
        <v>142</v>
      </c>
      <c r="CY127" t="str">
        <f t="shared" si="20"/>
        <v/>
      </c>
      <c r="DC127" t="s">
        <v>120</v>
      </c>
    </row>
    <row r="128" spans="1:107" x14ac:dyDescent="0.35">
      <c r="A128" t="s">
        <v>665</v>
      </c>
      <c r="B128" s="10" t="str">
        <f t="shared" si="14"/>
        <v>S49_2024</v>
      </c>
      <c r="C128" s="10" t="str">
        <f t="shared" si="15"/>
        <v>S45_2024</v>
      </c>
      <c r="D128" s="11">
        <v>45628</v>
      </c>
      <c r="E128" t="s">
        <v>123</v>
      </c>
      <c r="F128"/>
      <c r="G128" t="s">
        <v>162</v>
      </c>
      <c r="H128" t="s">
        <v>108</v>
      </c>
      <c r="J128" t="s">
        <v>142</v>
      </c>
      <c r="K128" s="12"/>
      <c r="L128" t="s">
        <v>637</v>
      </c>
      <c r="M128" t="s">
        <v>183</v>
      </c>
      <c r="N128" t="s">
        <v>660</v>
      </c>
      <c r="P128" t="s">
        <v>110</v>
      </c>
      <c r="Q128" t="s">
        <v>234</v>
      </c>
      <c r="R128" s="11">
        <v>45600</v>
      </c>
      <c r="S128" s="11">
        <v>45600</v>
      </c>
      <c r="T128" s="11">
        <v>45600</v>
      </c>
      <c r="AE128" t="s">
        <v>150</v>
      </c>
      <c r="AK128" t="s">
        <v>150</v>
      </c>
      <c r="AM128" t="s">
        <v>109</v>
      </c>
      <c r="AN128" t="s">
        <v>142</v>
      </c>
      <c r="AU128" t="s">
        <v>114</v>
      </c>
      <c r="AV128" t="s">
        <v>115</v>
      </c>
      <c r="BB128" t="s">
        <v>114</v>
      </c>
      <c r="BC128" s="11">
        <v>45625</v>
      </c>
      <c r="BD128" t="s">
        <v>661</v>
      </c>
      <c r="BG128" t="s">
        <v>132</v>
      </c>
      <c r="BH128" t="str">
        <f t="shared" si="26"/>
        <v/>
      </c>
      <c r="BJ128" t="str">
        <f t="shared" si="16"/>
        <v/>
      </c>
      <c r="BK128" t="s">
        <v>187</v>
      </c>
      <c r="BL128" t="str">
        <f t="shared" si="17"/>
        <v>S48_2024</v>
      </c>
      <c r="BM128" t="s">
        <v>159</v>
      </c>
      <c r="BN128" s="11">
        <v>45625</v>
      </c>
      <c r="BO128" t="str">
        <f t="shared" si="18"/>
        <v>S48_2024</v>
      </c>
      <c r="BP128" t="s">
        <v>114</v>
      </c>
      <c r="BQ128" t="s">
        <v>118</v>
      </c>
      <c r="BW128" s="11"/>
      <c r="BX128" s="11"/>
      <c r="BY128" s="11"/>
      <c r="CB128" s="11"/>
      <c r="CC128" s="11"/>
      <c r="CD128" s="11"/>
      <c r="CG128" s="11"/>
      <c r="CI128" t="s">
        <v>119</v>
      </c>
      <c r="CO128" t="str">
        <f t="shared" si="19"/>
        <v>NEGATIFPAS INCLUS</v>
      </c>
      <c r="CP128" s="11">
        <v>45625</v>
      </c>
      <c r="CR128">
        <f t="shared" si="21"/>
        <v>-45625</v>
      </c>
      <c r="CS128">
        <f t="shared" si="22"/>
        <v>45625</v>
      </c>
      <c r="CT128">
        <f t="shared" si="27"/>
        <v>25</v>
      </c>
      <c r="CU128">
        <f t="shared" si="23"/>
        <v>45625</v>
      </c>
      <c r="CV128" t="str">
        <f t="shared" si="24"/>
        <v/>
      </c>
      <c r="CX128" s="11">
        <v>45600</v>
      </c>
      <c r="CY128" t="str">
        <f t="shared" si="20"/>
        <v>S45_2024</v>
      </c>
      <c r="DC128" t="s">
        <v>120</v>
      </c>
    </row>
    <row r="129" spans="1:107" x14ac:dyDescent="0.35">
      <c r="A129" t="s">
        <v>666</v>
      </c>
      <c r="B129" s="10" t="str">
        <f t="shared" ref="B129:B192" si="28">IFERROR("S"&amp;(IF(_xlfn.ISOWEEKNUM(D129)&gt;0,_xlfn.ISOWEEKNUM(D129),_xlfn.CONCAT("0",_xlfn.ISOWEEKNUM(D129))))&amp;"_"&amp;(YEAR(D129+26-(_xlfn.ISOWEEKNUM(D129)))),"")</f>
        <v>S49_2024</v>
      </c>
      <c r="C129" s="10" t="str">
        <f t="shared" ref="C129:C192" si="29">IFERROR("S"&amp;(IF(_xlfn.ISOWEEKNUM(R129)&gt;0,_xlfn.ISOWEEKNUM(R129),_xlfn.CONCAT("0",_xlfn.ISOWEEKNUM(R129))))&amp;"_"&amp;(YEAR(R129+26-(_xlfn.ISOWEEKNUM(R129)))),"")</f>
        <v>S45_2024</v>
      </c>
      <c r="D129" s="11">
        <v>45628</v>
      </c>
      <c r="E129" t="s">
        <v>106</v>
      </c>
      <c r="F129">
        <v>25</v>
      </c>
      <c r="G129" t="s">
        <v>162</v>
      </c>
      <c r="H129" t="s">
        <v>108</v>
      </c>
      <c r="J129" t="s">
        <v>132</v>
      </c>
      <c r="K129" s="12"/>
      <c r="L129" t="s">
        <v>637</v>
      </c>
      <c r="M129" t="s">
        <v>183</v>
      </c>
      <c r="N129" t="s">
        <v>660</v>
      </c>
      <c r="O129" t="s">
        <v>184</v>
      </c>
      <c r="P129" t="s">
        <v>110</v>
      </c>
      <c r="Q129" t="s">
        <v>234</v>
      </c>
      <c r="R129" s="11">
        <v>45603</v>
      </c>
      <c r="S129" s="11">
        <v>45603</v>
      </c>
      <c r="T129" s="11">
        <v>45603</v>
      </c>
      <c r="AE129" t="s">
        <v>114</v>
      </c>
      <c r="AK129" t="s">
        <v>109</v>
      </c>
      <c r="AM129" t="s">
        <v>109</v>
      </c>
      <c r="AN129" t="s">
        <v>142</v>
      </c>
      <c r="AU129" t="s">
        <v>114</v>
      </c>
      <c r="AV129" t="s">
        <v>115</v>
      </c>
      <c r="BB129" t="s">
        <v>114</v>
      </c>
      <c r="BC129" s="11">
        <v>45625</v>
      </c>
      <c r="BD129" t="s">
        <v>661</v>
      </c>
      <c r="BG129" t="s">
        <v>132</v>
      </c>
      <c r="BH129" t="str">
        <f t="shared" si="26"/>
        <v/>
      </c>
      <c r="BJ129" t="str">
        <f t="shared" ref="BJ129:BJ192" si="30">IFERROR("S"&amp;(IF(_xlfn.ISOWEEKNUM(BI129)&gt;0,_xlfn.ISOWEEKNUM(BI129),_xlfn.CONCAT("0",_xlfn.ISOWEEKNUM(BI129))))&amp;"_"&amp;(YEAR(BI129+26-(_xlfn.ISOWEEKNUM(BI129)))),"")</f>
        <v/>
      </c>
      <c r="BK129" t="s">
        <v>187</v>
      </c>
      <c r="BL129" t="str">
        <f t="shared" ref="BL129:BL192" si="31">IFERROR("S"&amp;(IF(_xlfn.ISOWEEKNUM(BC129)&gt;0,_xlfn.ISOWEEKNUM(BC129),_xlfn.CONCAT("0",_xlfn.ISOWEEKNUM(BC129))))&amp;"_"&amp;(YEAR(BC129+26-(_xlfn.ISOWEEKNUM(BC129)))),"")</f>
        <v>S48_2024</v>
      </c>
      <c r="BM129" t="s">
        <v>159</v>
      </c>
      <c r="BN129" s="11">
        <v>45625</v>
      </c>
      <c r="BO129" t="str">
        <f t="shared" ref="BO129:BO177" si="32">IFERROR("S"&amp;(IF(_xlfn.ISOWEEKNUM(BN129)&gt;0,_xlfn.ISOWEEKNUM(BN129),_xlfn.CONCAT("0",_xlfn.ISOWEEKNUM(BN129))))&amp;"_"&amp;(YEAR(BN129+26-(_xlfn.ISOWEEKNUM(BN129)))),"")</f>
        <v>S48_2024</v>
      </c>
      <c r="BP129" t="s">
        <v>114</v>
      </c>
      <c r="BQ129" t="s">
        <v>118</v>
      </c>
      <c r="BW129" s="11"/>
      <c r="BX129" s="11"/>
      <c r="BY129" s="11"/>
      <c r="CB129" s="11"/>
      <c r="CC129" s="11"/>
      <c r="CD129" s="11"/>
      <c r="CG129" s="11"/>
      <c r="CI129" t="s">
        <v>119</v>
      </c>
      <c r="CO129" t="str">
        <f t="shared" si="19"/>
        <v>NEGATIFPAS INCLUS</v>
      </c>
      <c r="CP129" s="11">
        <v>45625</v>
      </c>
      <c r="CR129">
        <f t="shared" si="21"/>
        <v>-45625</v>
      </c>
      <c r="CS129">
        <f t="shared" si="22"/>
        <v>45625</v>
      </c>
      <c r="CT129">
        <f t="shared" si="27"/>
        <v>22</v>
      </c>
      <c r="CU129" t="str">
        <f t="shared" si="23"/>
        <v/>
      </c>
      <c r="CV129" t="str">
        <f t="shared" si="24"/>
        <v/>
      </c>
      <c r="CX129" s="11">
        <v>45603</v>
      </c>
      <c r="CY129" t="str">
        <f t="shared" si="20"/>
        <v>S45_2024</v>
      </c>
      <c r="DC129" t="s">
        <v>120</v>
      </c>
    </row>
    <row r="130" spans="1:107" x14ac:dyDescent="0.35">
      <c r="A130" t="s">
        <v>667</v>
      </c>
      <c r="B130" s="10" t="str">
        <f t="shared" si="28"/>
        <v>S49_2024</v>
      </c>
      <c r="C130" s="10" t="str">
        <f t="shared" si="29"/>
        <v/>
      </c>
      <c r="D130" s="11">
        <v>45628</v>
      </c>
      <c r="E130" t="s">
        <v>123</v>
      </c>
      <c r="F130">
        <v>18</v>
      </c>
      <c r="G130" t="s">
        <v>107</v>
      </c>
      <c r="H130" t="s">
        <v>108</v>
      </c>
      <c r="J130" t="s">
        <v>132</v>
      </c>
      <c r="K130" s="12"/>
      <c r="L130" t="s">
        <v>637</v>
      </c>
      <c r="M130" t="s">
        <v>183</v>
      </c>
      <c r="N130" t="s">
        <v>660</v>
      </c>
      <c r="O130" t="s">
        <v>184</v>
      </c>
      <c r="P130" t="s">
        <v>668</v>
      </c>
      <c r="Q130" t="s">
        <v>234</v>
      </c>
      <c r="R130" s="11" t="s">
        <v>142</v>
      </c>
      <c r="AE130" t="s">
        <v>150</v>
      </c>
      <c r="AK130" t="s">
        <v>150</v>
      </c>
      <c r="AM130" t="s">
        <v>109</v>
      </c>
      <c r="AN130" t="s">
        <v>142</v>
      </c>
      <c r="AR130" t="s">
        <v>669</v>
      </c>
      <c r="AU130" t="s">
        <v>114</v>
      </c>
      <c r="AV130" t="s">
        <v>115</v>
      </c>
      <c r="BB130" t="s">
        <v>114</v>
      </c>
      <c r="BC130" s="11">
        <v>45625</v>
      </c>
      <c r="BD130" t="s">
        <v>661</v>
      </c>
      <c r="BF130" t="s">
        <v>660</v>
      </c>
      <c r="BG130" t="s">
        <v>132</v>
      </c>
      <c r="BH130" t="str">
        <f t="shared" si="26"/>
        <v/>
      </c>
      <c r="BJ130" t="str">
        <f t="shared" si="30"/>
        <v/>
      </c>
      <c r="BK130" t="s">
        <v>187</v>
      </c>
      <c r="BL130" t="str">
        <f t="shared" si="31"/>
        <v>S48_2024</v>
      </c>
      <c r="BM130" t="s">
        <v>159</v>
      </c>
      <c r="BN130" s="11">
        <v>45625</v>
      </c>
      <c r="BO130" t="str">
        <f t="shared" si="32"/>
        <v>S48_2024</v>
      </c>
      <c r="BP130" t="s">
        <v>114</v>
      </c>
      <c r="BQ130" t="s">
        <v>118</v>
      </c>
      <c r="BW130" s="11"/>
      <c r="BX130" s="11"/>
      <c r="BY130" s="11"/>
      <c r="CB130" s="11"/>
      <c r="CC130" s="11"/>
      <c r="CD130" s="11"/>
      <c r="CG130" s="11"/>
      <c r="CI130" t="s">
        <v>119</v>
      </c>
      <c r="CO130" t="str">
        <f t="shared" ref="CO130:CO193" si="33">AV130&amp;CI130</f>
        <v>NEGATIFPAS INCLUS</v>
      </c>
      <c r="CP130" s="11">
        <v>45625</v>
      </c>
      <c r="CR130">
        <f t="shared" si="21"/>
        <v>-45625</v>
      </c>
      <c r="CS130">
        <f t="shared" si="22"/>
        <v>45625</v>
      </c>
      <c r="CT130" t="e">
        <f t="shared" si="27"/>
        <v>#VALUE!</v>
      </c>
      <c r="CU130" t="str">
        <f t="shared" si="23"/>
        <v/>
      </c>
      <c r="CV130" t="str">
        <f t="shared" si="24"/>
        <v/>
      </c>
      <c r="CX130" s="11" t="s">
        <v>142</v>
      </c>
      <c r="CY130" t="str">
        <f t="shared" ref="CY130:CY193" si="34">IFERROR("S"&amp;(IF(_xlfn.ISOWEEKNUM(CX130)&gt;0,_xlfn.ISOWEEKNUM(CX130),_xlfn.CONCAT("0",_xlfn.ISOWEEKNUM(CX130))))&amp;"_"&amp;(YEAR(CX130+26-(_xlfn.ISOWEEKNUM(CX130)))),"")</f>
        <v/>
      </c>
      <c r="DC130" t="s">
        <v>120</v>
      </c>
    </row>
    <row r="131" spans="1:107" x14ac:dyDescent="0.35">
      <c r="A131" t="s">
        <v>670</v>
      </c>
      <c r="B131" s="10" t="str">
        <f t="shared" si="28"/>
        <v>S49_2024</v>
      </c>
      <c r="C131" s="10" t="str">
        <f t="shared" si="29"/>
        <v>S46_2024</v>
      </c>
      <c r="D131" s="11">
        <v>45628</v>
      </c>
      <c r="E131" t="s">
        <v>123</v>
      </c>
      <c r="F131">
        <v>38</v>
      </c>
      <c r="G131" t="s">
        <v>162</v>
      </c>
      <c r="H131" t="s">
        <v>108</v>
      </c>
      <c r="J131" t="s">
        <v>132</v>
      </c>
      <c r="K131" s="12"/>
      <c r="L131" t="s">
        <v>637</v>
      </c>
      <c r="M131" t="s">
        <v>183</v>
      </c>
      <c r="N131" t="s">
        <v>660</v>
      </c>
      <c r="O131" t="s">
        <v>184</v>
      </c>
      <c r="P131" t="s">
        <v>668</v>
      </c>
      <c r="Q131" t="s">
        <v>234</v>
      </c>
      <c r="R131" s="11">
        <v>45610</v>
      </c>
      <c r="S131" s="11">
        <v>45610</v>
      </c>
      <c r="T131" s="11">
        <v>45610</v>
      </c>
      <c r="AE131" t="s">
        <v>114</v>
      </c>
      <c r="AK131" t="s">
        <v>150</v>
      </c>
      <c r="AM131" t="s">
        <v>109</v>
      </c>
      <c r="AN131" t="s">
        <v>142</v>
      </c>
      <c r="AR131" t="s">
        <v>671</v>
      </c>
      <c r="AU131" t="s">
        <v>114</v>
      </c>
      <c r="AV131" t="s">
        <v>115</v>
      </c>
      <c r="BB131" t="s">
        <v>114</v>
      </c>
      <c r="BC131" s="11">
        <v>45625</v>
      </c>
      <c r="BD131" t="s">
        <v>661</v>
      </c>
      <c r="BE131">
        <v>650743835</v>
      </c>
      <c r="BF131" t="s">
        <v>660</v>
      </c>
      <c r="BG131" t="s">
        <v>132</v>
      </c>
      <c r="BH131" t="str">
        <f t="shared" si="26"/>
        <v/>
      </c>
      <c r="BJ131" t="str">
        <f t="shared" si="30"/>
        <v/>
      </c>
      <c r="BK131" t="s">
        <v>187</v>
      </c>
      <c r="BL131" t="str">
        <f t="shared" si="31"/>
        <v>S48_2024</v>
      </c>
      <c r="BM131" t="s">
        <v>159</v>
      </c>
      <c r="BN131" s="11">
        <v>45625</v>
      </c>
      <c r="BO131" t="str">
        <f t="shared" si="32"/>
        <v>S48_2024</v>
      </c>
      <c r="BP131" t="s">
        <v>114</v>
      </c>
      <c r="BQ131" t="s">
        <v>118</v>
      </c>
      <c r="BW131" s="11"/>
      <c r="BX131" s="11"/>
      <c r="BY131" s="11"/>
      <c r="CB131" s="11"/>
      <c r="CC131" s="11"/>
      <c r="CD131" s="11"/>
      <c r="CG131" s="11"/>
      <c r="CI131" t="s">
        <v>119</v>
      </c>
      <c r="CO131" t="str">
        <f t="shared" si="33"/>
        <v>NEGATIFPAS INCLUS</v>
      </c>
      <c r="CP131" s="11">
        <v>45625</v>
      </c>
      <c r="CR131">
        <f t="shared" ref="CR131:CR194" si="35">IF(BP131="Non","",IF(BP131="","",AS131-BC131))</f>
        <v>-45625</v>
      </c>
      <c r="CS131">
        <f t="shared" ref="CS131:CS194" si="36">IF(BP131="Non","",IF(BP131="","",BN131-AS131))</f>
        <v>45625</v>
      </c>
      <c r="CT131">
        <f t="shared" si="27"/>
        <v>15</v>
      </c>
      <c r="CU131" t="str">
        <f t="shared" ref="CU131:CU194" si="37">IF(J131="Non","",IF(J131="","",CP131-K131))</f>
        <v/>
      </c>
      <c r="CV131" t="str">
        <f t="shared" ref="CV131:CV194" si="38">IF(AV131="POSITIF",BI131-CX131,"")</f>
        <v/>
      </c>
      <c r="CX131" s="11">
        <v>45610</v>
      </c>
      <c r="CY131" t="str">
        <f t="shared" si="34"/>
        <v>S46_2024</v>
      </c>
      <c r="DC131" t="s">
        <v>120</v>
      </c>
    </row>
    <row r="132" spans="1:107" x14ac:dyDescent="0.35">
      <c r="A132" t="s">
        <v>672</v>
      </c>
      <c r="B132" s="10" t="str">
        <f t="shared" si="28"/>
        <v>S49_2024</v>
      </c>
      <c r="C132" s="10" t="str">
        <f t="shared" si="29"/>
        <v>S46_2024</v>
      </c>
      <c r="D132" s="11">
        <v>45628</v>
      </c>
      <c r="E132" t="s">
        <v>106</v>
      </c>
      <c r="F132">
        <v>27</v>
      </c>
      <c r="G132" t="s">
        <v>323</v>
      </c>
      <c r="H132" t="s">
        <v>108</v>
      </c>
      <c r="J132" t="s">
        <v>142</v>
      </c>
      <c r="K132" s="12"/>
      <c r="L132" t="s">
        <v>637</v>
      </c>
      <c r="M132" t="s">
        <v>183</v>
      </c>
      <c r="N132" t="s">
        <v>660</v>
      </c>
      <c r="P132" t="s">
        <v>110</v>
      </c>
      <c r="Q132" t="s">
        <v>234</v>
      </c>
      <c r="R132" s="11">
        <v>45613</v>
      </c>
      <c r="S132" s="11">
        <v>45613</v>
      </c>
      <c r="T132" s="11">
        <v>45613</v>
      </c>
      <c r="AE132" t="s">
        <v>114</v>
      </c>
      <c r="AK132" t="s">
        <v>150</v>
      </c>
      <c r="AM132" t="s">
        <v>109</v>
      </c>
      <c r="AN132" t="s">
        <v>142</v>
      </c>
      <c r="AU132" t="s">
        <v>114</v>
      </c>
      <c r="AV132" t="s">
        <v>115</v>
      </c>
      <c r="BB132" t="s">
        <v>114</v>
      </c>
      <c r="BC132" s="11">
        <v>45625</v>
      </c>
      <c r="BD132" t="s">
        <v>661</v>
      </c>
      <c r="BG132" t="s">
        <v>132</v>
      </c>
      <c r="BH132" t="str">
        <f t="shared" si="26"/>
        <v/>
      </c>
      <c r="BJ132" t="str">
        <f t="shared" si="30"/>
        <v/>
      </c>
      <c r="BK132" t="s">
        <v>187</v>
      </c>
      <c r="BL132" t="str">
        <f t="shared" si="31"/>
        <v>S48_2024</v>
      </c>
      <c r="BM132" t="s">
        <v>159</v>
      </c>
      <c r="BN132" s="11">
        <v>45625</v>
      </c>
      <c r="BO132" t="str">
        <f t="shared" si="32"/>
        <v>S48_2024</v>
      </c>
      <c r="BP132" t="s">
        <v>114</v>
      </c>
      <c r="BQ132" t="s">
        <v>118</v>
      </c>
      <c r="BW132" s="11"/>
      <c r="BX132" s="11"/>
      <c r="BY132" s="11"/>
      <c r="CB132" s="11"/>
      <c r="CC132" s="11"/>
      <c r="CD132" s="11"/>
      <c r="CG132" s="11"/>
      <c r="CI132" t="s">
        <v>119</v>
      </c>
      <c r="CO132" t="str">
        <f t="shared" si="33"/>
        <v>NEGATIFPAS INCLUS</v>
      </c>
      <c r="CP132" s="11">
        <v>45625</v>
      </c>
      <c r="CR132">
        <f t="shared" si="35"/>
        <v>-45625</v>
      </c>
      <c r="CS132">
        <f t="shared" si="36"/>
        <v>45625</v>
      </c>
      <c r="CT132">
        <f t="shared" si="27"/>
        <v>12</v>
      </c>
      <c r="CU132">
        <f t="shared" si="37"/>
        <v>45625</v>
      </c>
      <c r="CV132" t="str">
        <f t="shared" si="38"/>
        <v/>
      </c>
      <c r="CX132" s="11">
        <v>45613</v>
      </c>
      <c r="CY132" t="str">
        <f t="shared" si="34"/>
        <v>S46_2024</v>
      </c>
      <c r="DC132" t="s">
        <v>120</v>
      </c>
    </row>
    <row r="133" spans="1:107" x14ac:dyDescent="0.35">
      <c r="A133" t="s">
        <v>673</v>
      </c>
      <c r="B133" s="10" t="str">
        <f t="shared" si="28"/>
        <v>S49_2024</v>
      </c>
      <c r="C133" s="10" t="str">
        <f t="shared" si="29"/>
        <v/>
      </c>
      <c r="D133" s="11">
        <v>45628</v>
      </c>
      <c r="E133" t="s">
        <v>123</v>
      </c>
      <c r="F133">
        <v>44</v>
      </c>
      <c r="G133" t="s">
        <v>162</v>
      </c>
      <c r="H133" t="s">
        <v>108</v>
      </c>
      <c r="J133" t="s">
        <v>132</v>
      </c>
      <c r="K133" s="12"/>
      <c r="L133" t="s">
        <v>637</v>
      </c>
      <c r="M133" t="s">
        <v>183</v>
      </c>
      <c r="N133" t="s">
        <v>660</v>
      </c>
      <c r="O133" t="s">
        <v>184</v>
      </c>
      <c r="P133" t="s">
        <v>668</v>
      </c>
      <c r="Q133" t="s">
        <v>234</v>
      </c>
      <c r="R133" s="11" t="s">
        <v>142</v>
      </c>
      <c r="AE133" t="s">
        <v>114</v>
      </c>
      <c r="AK133" t="s">
        <v>150</v>
      </c>
      <c r="AM133" t="s">
        <v>109</v>
      </c>
      <c r="AN133" t="s">
        <v>142</v>
      </c>
      <c r="AR133" t="s">
        <v>674</v>
      </c>
      <c r="AU133" t="s">
        <v>114</v>
      </c>
      <c r="AV133" t="s">
        <v>115</v>
      </c>
      <c r="BB133" t="s">
        <v>114</v>
      </c>
      <c r="BC133" s="11">
        <v>45625</v>
      </c>
      <c r="BD133" t="s">
        <v>661</v>
      </c>
      <c r="BF133" t="s">
        <v>660</v>
      </c>
      <c r="BG133" t="s">
        <v>132</v>
      </c>
      <c r="BH133" t="str">
        <f t="shared" si="26"/>
        <v/>
      </c>
      <c r="BJ133" t="str">
        <f t="shared" si="30"/>
        <v/>
      </c>
      <c r="BK133" t="s">
        <v>187</v>
      </c>
      <c r="BL133" t="str">
        <f t="shared" si="31"/>
        <v>S48_2024</v>
      </c>
      <c r="BM133" t="s">
        <v>159</v>
      </c>
      <c r="BN133" s="11">
        <v>45625</v>
      </c>
      <c r="BO133" t="str">
        <f t="shared" si="32"/>
        <v>S48_2024</v>
      </c>
      <c r="BP133" t="s">
        <v>114</v>
      </c>
      <c r="BQ133" t="s">
        <v>118</v>
      </c>
      <c r="BW133" s="11"/>
      <c r="BX133" s="11"/>
      <c r="BY133" s="11"/>
      <c r="CB133" s="11"/>
      <c r="CC133" s="11"/>
      <c r="CD133" s="11"/>
      <c r="CG133" s="11"/>
      <c r="CI133" t="s">
        <v>119</v>
      </c>
      <c r="CO133" t="str">
        <f t="shared" si="33"/>
        <v>NEGATIFPAS INCLUS</v>
      </c>
      <c r="CP133" s="11">
        <v>45625</v>
      </c>
      <c r="CR133">
        <f t="shared" si="35"/>
        <v>-45625</v>
      </c>
      <c r="CS133">
        <f t="shared" si="36"/>
        <v>45625</v>
      </c>
      <c r="CT133" t="e">
        <f t="shared" si="27"/>
        <v>#VALUE!</v>
      </c>
      <c r="CU133" t="str">
        <f t="shared" si="37"/>
        <v/>
      </c>
      <c r="CV133" t="str">
        <f t="shared" si="38"/>
        <v/>
      </c>
      <c r="CX133" s="11" t="s">
        <v>142</v>
      </c>
      <c r="CY133" t="str">
        <f t="shared" si="34"/>
        <v/>
      </c>
      <c r="DC133" t="s">
        <v>120</v>
      </c>
    </row>
    <row r="134" spans="1:107" x14ac:dyDescent="0.35">
      <c r="A134" t="s">
        <v>675</v>
      </c>
      <c r="B134" s="10" t="str">
        <f t="shared" si="28"/>
        <v>S49_2024</v>
      </c>
      <c r="C134" s="10" t="str">
        <f t="shared" si="29"/>
        <v>S47_2024</v>
      </c>
      <c r="D134" s="11">
        <v>45631</v>
      </c>
      <c r="E134" t="s">
        <v>123</v>
      </c>
      <c r="F134">
        <v>1</v>
      </c>
      <c r="G134" t="s">
        <v>141</v>
      </c>
      <c r="H134" t="s">
        <v>108</v>
      </c>
      <c r="J134" t="s">
        <v>132</v>
      </c>
      <c r="K134" s="12"/>
      <c r="L134" t="s">
        <v>111</v>
      </c>
      <c r="M134" t="s">
        <v>315</v>
      </c>
      <c r="N134" t="s">
        <v>676</v>
      </c>
      <c r="O134" t="s">
        <v>184</v>
      </c>
      <c r="P134" t="s">
        <v>677</v>
      </c>
      <c r="Q134" t="s">
        <v>678</v>
      </c>
      <c r="R134" s="11">
        <v>45615</v>
      </c>
      <c r="S134" s="11">
        <v>45615</v>
      </c>
      <c r="T134" s="11">
        <v>45615</v>
      </c>
      <c r="V134" t="s">
        <v>114</v>
      </c>
      <c r="AE134" t="s">
        <v>114</v>
      </c>
      <c r="AK134" t="s">
        <v>150</v>
      </c>
      <c r="AM134" t="s">
        <v>132</v>
      </c>
      <c r="AN134" t="s">
        <v>114</v>
      </c>
      <c r="AQ134" t="s">
        <v>132</v>
      </c>
      <c r="AR134" t="s">
        <v>679</v>
      </c>
      <c r="AS134" s="11">
        <v>45629</v>
      </c>
      <c r="AU134" t="s">
        <v>114</v>
      </c>
      <c r="AV134" t="s">
        <v>115</v>
      </c>
      <c r="BB134" t="s">
        <v>114</v>
      </c>
      <c r="BC134" s="11">
        <v>45627</v>
      </c>
      <c r="BD134" t="s">
        <v>661</v>
      </c>
      <c r="BE134">
        <v>691554327</v>
      </c>
      <c r="BF134" t="s">
        <v>676</v>
      </c>
      <c r="BG134" t="s">
        <v>114</v>
      </c>
      <c r="BH134" t="str">
        <f t="shared" si="26"/>
        <v/>
      </c>
      <c r="BJ134" t="str">
        <f t="shared" si="30"/>
        <v/>
      </c>
      <c r="BK134" t="s">
        <v>117</v>
      </c>
      <c r="BL134" t="str">
        <f t="shared" si="31"/>
        <v>S48_2024</v>
      </c>
      <c r="BM134" t="s">
        <v>159</v>
      </c>
      <c r="BN134" s="11">
        <v>45627</v>
      </c>
      <c r="BO134" t="str">
        <f t="shared" si="32"/>
        <v>S48_2024</v>
      </c>
      <c r="BP134" t="s">
        <v>114</v>
      </c>
      <c r="BQ134" t="s">
        <v>118</v>
      </c>
      <c r="BU134" s="11"/>
      <c r="BW134" s="11"/>
      <c r="BX134" s="11"/>
      <c r="BY134" s="11"/>
      <c r="BZ134" s="11"/>
      <c r="CB134" s="11"/>
      <c r="CC134" s="11"/>
      <c r="CD134" s="11"/>
      <c r="CE134" s="11"/>
      <c r="CG134" s="11"/>
      <c r="CI134" t="s">
        <v>119</v>
      </c>
      <c r="CO134" t="str">
        <f t="shared" si="33"/>
        <v>NEGATIFPAS INCLUS</v>
      </c>
      <c r="CP134" s="11">
        <v>45627</v>
      </c>
      <c r="CR134">
        <f t="shared" si="35"/>
        <v>2</v>
      </c>
      <c r="CS134">
        <f t="shared" si="36"/>
        <v>-2</v>
      </c>
      <c r="CT134">
        <f t="shared" si="27"/>
        <v>12</v>
      </c>
      <c r="CU134" t="str">
        <f t="shared" si="37"/>
        <v/>
      </c>
      <c r="CV134" t="str">
        <f t="shared" si="38"/>
        <v/>
      </c>
      <c r="CX134" s="11">
        <v>45615</v>
      </c>
      <c r="CY134" t="str">
        <f t="shared" si="34"/>
        <v>S47_2024</v>
      </c>
      <c r="DC134" t="s">
        <v>120</v>
      </c>
    </row>
    <row r="135" spans="1:107" x14ac:dyDescent="0.35">
      <c r="A135" t="s">
        <v>680</v>
      </c>
      <c r="B135" s="10" t="str">
        <f t="shared" si="28"/>
        <v>S49_2024</v>
      </c>
      <c r="C135" s="10" t="str">
        <f t="shared" si="29"/>
        <v>S43_2024</v>
      </c>
      <c r="D135" s="11">
        <v>45631</v>
      </c>
      <c r="E135" t="s">
        <v>106</v>
      </c>
      <c r="F135">
        <v>5</v>
      </c>
      <c r="G135" t="s">
        <v>107</v>
      </c>
      <c r="H135" t="s">
        <v>108</v>
      </c>
      <c r="J135" t="s">
        <v>114</v>
      </c>
      <c r="K135" s="14">
        <v>45622</v>
      </c>
      <c r="L135" t="s">
        <v>111</v>
      </c>
      <c r="M135" t="s">
        <v>681</v>
      </c>
      <c r="N135" t="s">
        <v>682</v>
      </c>
      <c r="O135" t="s">
        <v>683</v>
      </c>
      <c r="P135" t="s">
        <v>684</v>
      </c>
      <c r="Q135" t="s">
        <v>681</v>
      </c>
      <c r="R135" s="11">
        <v>45590</v>
      </c>
      <c r="S135" s="11">
        <v>45590</v>
      </c>
      <c r="T135" s="11">
        <v>45590</v>
      </c>
      <c r="V135" t="s">
        <v>114</v>
      </c>
      <c r="AE135" t="s">
        <v>114</v>
      </c>
      <c r="AG135" t="s">
        <v>114</v>
      </c>
      <c r="AK135" t="s">
        <v>150</v>
      </c>
      <c r="AM135" t="s">
        <v>109</v>
      </c>
      <c r="AN135" t="s">
        <v>114</v>
      </c>
      <c r="AQ135" t="s">
        <v>132</v>
      </c>
      <c r="AR135" t="s">
        <v>685</v>
      </c>
      <c r="AS135" s="11">
        <v>45629</v>
      </c>
      <c r="AU135" t="s">
        <v>114</v>
      </c>
      <c r="AV135" t="s">
        <v>115</v>
      </c>
      <c r="BB135" t="s">
        <v>114</v>
      </c>
      <c r="BC135" s="11">
        <v>45626</v>
      </c>
      <c r="BD135" t="s">
        <v>686</v>
      </c>
      <c r="BE135">
        <v>655112818</v>
      </c>
      <c r="BF135" t="s">
        <v>682</v>
      </c>
      <c r="BG135" t="s">
        <v>114</v>
      </c>
      <c r="BH135" t="str">
        <f t="shared" si="26"/>
        <v/>
      </c>
      <c r="BJ135" t="str">
        <f t="shared" si="30"/>
        <v/>
      </c>
      <c r="BK135" t="s">
        <v>117</v>
      </c>
      <c r="BL135" t="str">
        <f t="shared" si="31"/>
        <v>S48_2024</v>
      </c>
      <c r="BM135" t="s">
        <v>159</v>
      </c>
      <c r="BN135" s="11">
        <v>45626</v>
      </c>
      <c r="BO135" t="str">
        <f t="shared" si="32"/>
        <v>S48_2024</v>
      </c>
      <c r="BP135" t="s">
        <v>114</v>
      </c>
      <c r="BQ135" t="s">
        <v>118</v>
      </c>
      <c r="BU135" s="11"/>
      <c r="BW135" s="11"/>
      <c r="BX135" s="11"/>
      <c r="BY135" s="11"/>
      <c r="BZ135" s="11"/>
      <c r="CB135" s="11"/>
      <c r="CC135" s="11"/>
      <c r="CD135" s="11"/>
      <c r="CE135" s="11"/>
      <c r="CG135" s="11"/>
      <c r="CI135" t="s">
        <v>119</v>
      </c>
      <c r="CO135" t="str">
        <f t="shared" si="33"/>
        <v>NEGATIFPAS INCLUS</v>
      </c>
      <c r="CP135" s="11">
        <v>45626</v>
      </c>
      <c r="CR135">
        <f t="shared" si="35"/>
        <v>3</v>
      </c>
      <c r="CS135">
        <f t="shared" si="36"/>
        <v>-3</v>
      </c>
      <c r="CT135">
        <f t="shared" si="27"/>
        <v>36</v>
      </c>
      <c r="CU135">
        <f t="shared" si="37"/>
        <v>4</v>
      </c>
      <c r="CV135" t="str">
        <f t="shared" si="38"/>
        <v/>
      </c>
      <c r="CX135" s="11">
        <v>45590</v>
      </c>
      <c r="CY135" t="str">
        <f t="shared" si="34"/>
        <v>S43_2024</v>
      </c>
      <c r="DC135" t="s">
        <v>120</v>
      </c>
    </row>
    <row r="136" spans="1:107" x14ac:dyDescent="0.35">
      <c r="A136" t="s">
        <v>687</v>
      </c>
      <c r="B136" s="10" t="str">
        <f t="shared" si="28"/>
        <v>S49_2024</v>
      </c>
      <c r="C136" s="10" t="str">
        <f t="shared" si="29"/>
        <v>S48_2024</v>
      </c>
      <c r="D136" s="11">
        <v>45632</v>
      </c>
      <c r="E136" t="s">
        <v>106</v>
      </c>
      <c r="F136">
        <v>50</v>
      </c>
      <c r="G136" t="s">
        <v>688</v>
      </c>
      <c r="H136" t="s">
        <v>108</v>
      </c>
      <c r="J136" t="s">
        <v>114</v>
      </c>
      <c r="K136" s="14">
        <v>45627</v>
      </c>
      <c r="L136" t="s">
        <v>126</v>
      </c>
      <c r="M136" t="s">
        <v>689</v>
      </c>
      <c r="N136" t="s">
        <v>690</v>
      </c>
      <c r="P136" t="s">
        <v>110</v>
      </c>
      <c r="Q136" t="s">
        <v>689</v>
      </c>
      <c r="R136" s="11">
        <v>45626</v>
      </c>
      <c r="S136" s="11">
        <v>45626</v>
      </c>
      <c r="T136" s="11">
        <v>45626</v>
      </c>
      <c r="AR136" t="s">
        <v>691</v>
      </c>
      <c r="AS136" s="11">
        <v>45630</v>
      </c>
      <c r="AU136" t="s">
        <v>114</v>
      </c>
      <c r="AV136" t="s">
        <v>115</v>
      </c>
      <c r="BB136" t="s">
        <v>114</v>
      </c>
      <c r="BC136" s="11">
        <v>45628</v>
      </c>
      <c r="BD136" t="s">
        <v>169</v>
      </c>
      <c r="BG136" t="s">
        <v>114</v>
      </c>
      <c r="BH136" t="str">
        <f t="shared" si="26"/>
        <v/>
      </c>
      <c r="BJ136" t="str">
        <f t="shared" si="30"/>
        <v/>
      </c>
      <c r="BK136" t="s">
        <v>137</v>
      </c>
      <c r="BL136" t="str">
        <f t="shared" si="31"/>
        <v>S49_2024</v>
      </c>
      <c r="BM136" t="s">
        <v>159</v>
      </c>
      <c r="BN136" s="11">
        <v>45628</v>
      </c>
      <c r="BO136" t="str">
        <f t="shared" si="32"/>
        <v>S49_2024</v>
      </c>
      <c r="BP136" t="s">
        <v>114</v>
      </c>
      <c r="BQ136" t="s">
        <v>118</v>
      </c>
      <c r="BU136" s="11"/>
      <c r="BW136" s="11"/>
      <c r="BX136" s="11"/>
      <c r="BY136" s="11"/>
      <c r="BZ136" s="11"/>
      <c r="CB136" s="11"/>
      <c r="CC136" s="11"/>
      <c r="CD136" s="11"/>
      <c r="CE136" s="11"/>
      <c r="CG136" s="11"/>
      <c r="CI136" t="s">
        <v>119</v>
      </c>
      <c r="CO136" t="str">
        <f t="shared" si="33"/>
        <v>NEGATIFPAS INCLUS</v>
      </c>
      <c r="CP136" s="11">
        <v>45628</v>
      </c>
      <c r="CR136">
        <f t="shared" si="35"/>
        <v>2</v>
      </c>
      <c r="CS136">
        <f t="shared" si="36"/>
        <v>-2</v>
      </c>
      <c r="CT136">
        <f t="shared" si="27"/>
        <v>2</v>
      </c>
      <c r="CU136">
        <f t="shared" si="37"/>
        <v>1</v>
      </c>
      <c r="CV136" t="str">
        <f t="shared" si="38"/>
        <v/>
      </c>
      <c r="CX136" s="11">
        <v>45626</v>
      </c>
      <c r="CY136" t="str">
        <f t="shared" si="34"/>
        <v>S48_2024</v>
      </c>
      <c r="DC136" t="s">
        <v>160</v>
      </c>
    </row>
    <row r="137" spans="1:107" x14ac:dyDescent="0.35">
      <c r="A137" t="s">
        <v>692</v>
      </c>
      <c r="B137" s="10" t="str">
        <f t="shared" si="28"/>
        <v>S49_2024</v>
      </c>
      <c r="C137" s="10" t="str">
        <f t="shared" si="29"/>
        <v>S48_2024</v>
      </c>
      <c r="D137" s="11">
        <v>45632</v>
      </c>
      <c r="E137" t="s">
        <v>123</v>
      </c>
      <c r="F137">
        <v>63</v>
      </c>
      <c r="G137" t="s">
        <v>124</v>
      </c>
      <c r="H137" t="s">
        <v>108</v>
      </c>
      <c r="J137" t="s">
        <v>142</v>
      </c>
      <c r="K137" s="12"/>
      <c r="L137" t="s">
        <v>126</v>
      </c>
      <c r="M137" t="s">
        <v>689</v>
      </c>
      <c r="N137" t="s">
        <v>690</v>
      </c>
      <c r="P137" t="s">
        <v>693</v>
      </c>
      <c r="Q137" t="s">
        <v>689</v>
      </c>
      <c r="R137" s="11">
        <v>45626</v>
      </c>
      <c r="S137" s="11">
        <v>45626</v>
      </c>
      <c r="T137" s="11">
        <v>45626</v>
      </c>
      <c r="AE137" t="s">
        <v>114</v>
      </c>
      <c r="AM137" t="s">
        <v>114</v>
      </c>
      <c r="AQ137" t="s">
        <v>132</v>
      </c>
      <c r="AR137" t="s">
        <v>694</v>
      </c>
      <c r="AS137" s="11">
        <v>45630</v>
      </c>
      <c r="AU137" t="s">
        <v>114</v>
      </c>
      <c r="AV137" t="s">
        <v>115</v>
      </c>
      <c r="BB137" t="s">
        <v>114</v>
      </c>
      <c r="BC137" s="11">
        <v>45628</v>
      </c>
      <c r="BD137" t="s">
        <v>169</v>
      </c>
      <c r="BF137" t="s">
        <v>690</v>
      </c>
      <c r="BG137" t="s">
        <v>132</v>
      </c>
      <c r="BH137" t="str">
        <f t="shared" si="26"/>
        <v/>
      </c>
      <c r="BJ137" t="str">
        <f t="shared" si="30"/>
        <v/>
      </c>
      <c r="BK137" t="s">
        <v>137</v>
      </c>
      <c r="BL137" t="str">
        <f t="shared" si="31"/>
        <v>S49_2024</v>
      </c>
      <c r="BM137" t="s">
        <v>159</v>
      </c>
      <c r="BN137" s="11">
        <v>45628</v>
      </c>
      <c r="BO137" t="str">
        <f t="shared" si="32"/>
        <v>S49_2024</v>
      </c>
      <c r="BP137" t="s">
        <v>114</v>
      </c>
      <c r="BQ137" t="s">
        <v>118</v>
      </c>
      <c r="BU137" s="11"/>
      <c r="BW137" s="11"/>
      <c r="BX137" s="11"/>
      <c r="BY137" s="11"/>
      <c r="BZ137" s="11"/>
      <c r="CB137" s="11"/>
      <c r="CC137" s="11"/>
      <c r="CD137" s="11"/>
      <c r="CE137" s="11"/>
      <c r="CG137" s="11"/>
      <c r="CI137" t="s">
        <v>119</v>
      </c>
      <c r="CO137" t="str">
        <f t="shared" si="33"/>
        <v>NEGATIFPAS INCLUS</v>
      </c>
      <c r="CP137" s="11">
        <v>45628</v>
      </c>
      <c r="CR137">
        <f t="shared" si="35"/>
        <v>2</v>
      </c>
      <c r="CS137">
        <f t="shared" si="36"/>
        <v>-2</v>
      </c>
      <c r="CT137">
        <f t="shared" si="27"/>
        <v>2</v>
      </c>
      <c r="CU137">
        <f t="shared" si="37"/>
        <v>45628</v>
      </c>
      <c r="CV137" t="str">
        <f t="shared" si="38"/>
        <v/>
      </c>
      <c r="CX137" s="11">
        <v>45626</v>
      </c>
      <c r="CY137" t="str">
        <f t="shared" si="34"/>
        <v>S48_2024</v>
      </c>
      <c r="DC137" t="s">
        <v>160</v>
      </c>
    </row>
    <row r="138" spans="1:107" x14ac:dyDescent="0.35">
      <c r="A138" t="s">
        <v>695</v>
      </c>
      <c r="B138" s="10" t="str">
        <f t="shared" si="28"/>
        <v>S49_2024</v>
      </c>
      <c r="C138" s="10" t="str">
        <f t="shared" si="29"/>
        <v/>
      </c>
      <c r="D138" s="11">
        <v>45632</v>
      </c>
      <c r="E138" t="s">
        <v>106</v>
      </c>
      <c r="F138">
        <v>60</v>
      </c>
      <c r="G138" t="s">
        <v>688</v>
      </c>
      <c r="H138" t="s">
        <v>108</v>
      </c>
      <c r="J138" t="s">
        <v>114</v>
      </c>
      <c r="K138" s="14">
        <v>45626</v>
      </c>
      <c r="L138" t="s">
        <v>126</v>
      </c>
      <c r="M138" t="s">
        <v>689</v>
      </c>
      <c r="N138" t="s">
        <v>690</v>
      </c>
      <c r="P138" t="s">
        <v>693</v>
      </c>
      <c r="Q138" t="s">
        <v>689</v>
      </c>
      <c r="AR138" t="s">
        <v>696</v>
      </c>
      <c r="AS138" s="11">
        <v>45630</v>
      </c>
      <c r="AU138" t="s">
        <v>114</v>
      </c>
      <c r="AV138" t="s">
        <v>115</v>
      </c>
      <c r="BB138" t="s">
        <v>114</v>
      </c>
      <c r="BC138" s="11">
        <v>45628</v>
      </c>
      <c r="BD138" t="s">
        <v>169</v>
      </c>
      <c r="BG138" t="s">
        <v>132</v>
      </c>
      <c r="BH138" t="str">
        <f t="shared" si="26"/>
        <v/>
      </c>
      <c r="BJ138" t="str">
        <f t="shared" si="30"/>
        <v/>
      </c>
      <c r="BK138" t="s">
        <v>137</v>
      </c>
      <c r="BL138" t="str">
        <f t="shared" si="31"/>
        <v>S49_2024</v>
      </c>
      <c r="BN138" s="11">
        <v>45628</v>
      </c>
      <c r="BO138" t="str">
        <f t="shared" si="32"/>
        <v>S49_2024</v>
      </c>
      <c r="BP138" t="s">
        <v>114</v>
      </c>
      <c r="BQ138" t="s">
        <v>118</v>
      </c>
      <c r="BU138" s="11"/>
      <c r="BW138" s="11"/>
      <c r="BX138" s="11"/>
      <c r="BY138" s="11"/>
      <c r="BZ138" s="11"/>
      <c r="CB138" s="11"/>
      <c r="CC138" s="11"/>
      <c r="CD138" s="11"/>
      <c r="CE138" s="11"/>
      <c r="CG138" s="11"/>
      <c r="CI138" t="s">
        <v>119</v>
      </c>
      <c r="CO138" t="str">
        <f t="shared" si="33"/>
        <v>NEGATIFPAS INCLUS</v>
      </c>
      <c r="CP138" s="11">
        <v>45628</v>
      </c>
      <c r="CR138">
        <f t="shared" si="35"/>
        <v>2</v>
      </c>
      <c r="CS138">
        <f t="shared" si="36"/>
        <v>-2</v>
      </c>
      <c r="CT138">
        <f t="shared" si="27"/>
        <v>45628</v>
      </c>
      <c r="CU138">
        <f t="shared" si="37"/>
        <v>2</v>
      </c>
      <c r="CV138" t="str">
        <f t="shared" si="38"/>
        <v/>
      </c>
      <c r="CY138" t="str">
        <f t="shared" si="34"/>
        <v/>
      </c>
      <c r="DC138" t="s">
        <v>160</v>
      </c>
    </row>
    <row r="139" spans="1:107" x14ac:dyDescent="0.35">
      <c r="A139" t="s">
        <v>697</v>
      </c>
      <c r="B139" s="10" t="str">
        <f t="shared" si="28"/>
        <v>S49_2024</v>
      </c>
      <c r="C139" s="10" t="str">
        <f t="shared" si="29"/>
        <v>S48_2024</v>
      </c>
      <c r="D139" s="11">
        <v>45633</v>
      </c>
      <c r="E139" t="s">
        <v>123</v>
      </c>
      <c r="F139">
        <v>23</v>
      </c>
      <c r="G139" t="s">
        <v>698</v>
      </c>
      <c r="H139" t="s">
        <v>108</v>
      </c>
      <c r="J139" t="s">
        <v>114</v>
      </c>
      <c r="K139" s="14">
        <v>45630</v>
      </c>
      <c r="L139" t="s">
        <v>111</v>
      </c>
      <c r="M139" t="s">
        <v>348</v>
      </c>
      <c r="N139" t="s">
        <v>699</v>
      </c>
      <c r="O139" t="s">
        <v>700</v>
      </c>
      <c r="P139" t="s">
        <v>701</v>
      </c>
      <c r="Q139" t="s">
        <v>112</v>
      </c>
      <c r="R139" s="11">
        <v>45627</v>
      </c>
      <c r="S139" s="11">
        <v>45627</v>
      </c>
      <c r="T139" s="11">
        <v>45627</v>
      </c>
      <c r="V139" t="s">
        <v>114</v>
      </c>
      <c r="AE139" t="s">
        <v>114</v>
      </c>
      <c r="AG139" t="s">
        <v>114</v>
      </c>
      <c r="AK139" t="s">
        <v>114</v>
      </c>
      <c r="AM139" t="s">
        <v>114</v>
      </c>
      <c r="AN139" t="s">
        <v>114</v>
      </c>
      <c r="AQ139" t="s">
        <v>132</v>
      </c>
      <c r="AR139" t="s">
        <v>702</v>
      </c>
      <c r="AS139" s="11">
        <v>45630</v>
      </c>
      <c r="AU139" t="s">
        <v>114</v>
      </c>
      <c r="AV139" t="s">
        <v>115</v>
      </c>
      <c r="BB139" t="s">
        <v>114</v>
      </c>
      <c r="BC139" s="11">
        <v>45630</v>
      </c>
      <c r="BD139" t="s">
        <v>334</v>
      </c>
      <c r="BF139" t="s">
        <v>701</v>
      </c>
      <c r="BG139" t="s">
        <v>114</v>
      </c>
      <c r="BH139" t="str">
        <f t="shared" si="26"/>
        <v/>
      </c>
      <c r="BJ139" t="str">
        <f t="shared" si="30"/>
        <v/>
      </c>
      <c r="BK139" t="s">
        <v>117</v>
      </c>
      <c r="BL139" t="str">
        <f t="shared" si="31"/>
        <v>S49_2024</v>
      </c>
      <c r="BM139" t="s">
        <v>703</v>
      </c>
      <c r="BN139" s="11">
        <v>45630</v>
      </c>
      <c r="BO139" t="str">
        <f t="shared" si="32"/>
        <v>S49_2024</v>
      </c>
      <c r="BP139" t="s">
        <v>114</v>
      </c>
      <c r="BQ139" t="s">
        <v>118</v>
      </c>
      <c r="BU139" s="11"/>
      <c r="BW139" s="11"/>
      <c r="BX139" s="11"/>
      <c r="BY139" s="11"/>
      <c r="BZ139" s="11"/>
      <c r="CB139" s="11"/>
      <c r="CC139" s="11"/>
      <c r="CD139" s="11"/>
      <c r="CE139" s="11"/>
      <c r="CG139" s="11"/>
      <c r="CI139" t="s">
        <v>119</v>
      </c>
      <c r="CO139" t="str">
        <f t="shared" si="33"/>
        <v>NEGATIFPAS INCLUS</v>
      </c>
      <c r="CP139" s="11">
        <v>45630</v>
      </c>
      <c r="CR139">
        <f t="shared" si="35"/>
        <v>0</v>
      </c>
      <c r="CS139">
        <f t="shared" si="36"/>
        <v>0</v>
      </c>
      <c r="CT139">
        <f t="shared" si="27"/>
        <v>3</v>
      </c>
      <c r="CU139">
        <f t="shared" si="37"/>
        <v>0</v>
      </c>
      <c r="CV139" t="str">
        <f t="shared" si="38"/>
        <v/>
      </c>
      <c r="CX139" s="11">
        <v>45627</v>
      </c>
      <c r="CY139" t="str">
        <f t="shared" si="34"/>
        <v>S48_2024</v>
      </c>
      <c r="DC139" t="s">
        <v>120</v>
      </c>
    </row>
    <row r="140" spans="1:107" x14ac:dyDescent="0.35">
      <c r="A140" t="s">
        <v>704</v>
      </c>
      <c r="B140" s="10" t="str">
        <f t="shared" si="28"/>
        <v>S50_2024</v>
      </c>
      <c r="C140" s="10" t="str">
        <f t="shared" si="29"/>
        <v>S49_2024</v>
      </c>
      <c r="D140" s="11">
        <v>45636</v>
      </c>
      <c r="E140" t="s">
        <v>106</v>
      </c>
      <c r="F140">
        <v>26</v>
      </c>
      <c r="G140" t="s">
        <v>705</v>
      </c>
      <c r="H140" t="s">
        <v>108</v>
      </c>
      <c r="J140" t="s">
        <v>132</v>
      </c>
      <c r="K140" s="12"/>
      <c r="L140" t="s">
        <v>111</v>
      </c>
      <c r="M140" t="s">
        <v>510</v>
      </c>
      <c r="N140" t="s">
        <v>706</v>
      </c>
      <c r="O140" t="s">
        <v>184</v>
      </c>
      <c r="P140" t="s">
        <v>110</v>
      </c>
      <c r="Q140" t="s">
        <v>510</v>
      </c>
      <c r="R140" s="11">
        <v>45632</v>
      </c>
      <c r="S140" s="11">
        <v>45632</v>
      </c>
      <c r="T140" s="11">
        <v>45632</v>
      </c>
      <c r="AE140" t="s">
        <v>114</v>
      </c>
      <c r="AK140" t="s">
        <v>150</v>
      </c>
      <c r="AM140" t="s">
        <v>132</v>
      </c>
      <c r="AN140" t="s">
        <v>114</v>
      </c>
      <c r="AQ140" t="s">
        <v>132</v>
      </c>
      <c r="AR140" t="s">
        <v>707</v>
      </c>
      <c r="AS140" s="11">
        <v>45634</v>
      </c>
      <c r="AU140" t="s">
        <v>114</v>
      </c>
      <c r="AV140" t="s">
        <v>115</v>
      </c>
      <c r="BB140" t="s">
        <v>114</v>
      </c>
      <c r="BC140" s="11">
        <v>45633</v>
      </c>
      <c r="BD140" t="s">
        <v>686</v>
      </c>
      <c r="BE140">
        <v>651017436</v>
      </c>
      <c r="BF140" t="s">
        <v>706</v>
      </c>
      <c r="BG140" t="s">
        <v>132</v>
      </c>
      <c r="BH140" t="str">
        <f t="shared" si="26"/>
        <v/>
      </c>
      <c r="BJ140" t="str">
        <f t="shared" si="30"/>
        <v/>
      </c>
      <c r="BK140" t="s">
        <v>117</v>
      </c>
      <c r="BL140" t="str">
        <f t="shared" si="31"/>
        <v>S49_2024</v>
      </c>
      <c r="BM140" t="s">
        <v>159</v>
      </c>
      <c r="BN140" s="11">
        <v>45633</v>
      </c>
      <c r="BO140" t="str">
        <f t="shared" si="32"/>
        <v>S49_2024</v>
      </c>
      <c r="BP140" t="s">
        <v>114</v>
      </c>
      <c r="BQ140" t="s">
        <v>118</v>
      </c>
      <c r="BU140" s="11"/>
      <c r="BW140" s="11"/>
      <c r="BX140" s="11"/>
      <c r="BY140" s="11"/>
      <c r="BZ140" s="11"/>
      <c r="CB140" s="11"/>
      <c r="CC140" s="11"/>
      <c r="CD140" s="11"/>
      <c r="CE140" s="11"/>
      <c r="CG140" s="11"/>
      <c r="CI140" t="s">
        <v>119</v>
      </c>
      <c r="CO140" t="str">
        <f t="shared" si="33"/>
        <v>NEGATIFPAS INCLUS</v>
      </c>
      <c r="CP140" s="11">
        <v>45633</v>
      </c>
      <c r="CR140">
        <f t="shared" si="35"/>
        <v>1</v>
      </c>
      <c r="CS140">
        <f t="shared" si="36"/>
        <v>-1</v>
      </c>
      <c r="CT140">
        <f t="shared" si="27"/>
        <v>1</v>
      </c>
      <c r="CU140" t="str">
        <f t="shared" si="37"/>
        <v/>
      </c>
      <c r="CV140" t="str">
        <f t="shared" si="38"/>
        <v/>
      </c>
      <c r="CX140" s="11">
        <v>45632</v>
      </c>
      <c r="CY140" t="str">
        <f t="shared" si="34"/>
        <v>S49_2024</v>
      </c>
      <c r="DC140" t="s">
        <v>120</v>
      </c>
    </row>
    <row r="141" spans="1:107" x14ac:dyDescent="0.35">
      <c r="A141" t="s">
        <v>708</v>
      </c>
      <c r="B141" s="10" t="str">
        <f t="shared" si="28"/>
        <v>S50_2024</v>
      </c>
      <c r="C141" s="10" t="str">
        <f t="shared" si="29"/>
        <v>S49_2024</v>
      </c>
      <c r="D141" s="11">
        <v>45636</v>
      </c>
      <c r="E141" t="s">
        <v>106</v>
      </c>
      <c r="F141">
        <v>4</v>
      </c>
      <c r="G141" t="s">
        <v>107</v>
      </c>
      <c r="H141" t="s">
        <v>108</v>
      </c>
      <c r="J141" t="s">
        <v>132</v>
      </c>
      <c r="K141" s="12"/>
      <c r="L141" t="s">
        <v>180</v>
      </c>
      <c r="M141" t="s">
        <v>527</v>
      </c>
      <c r="N141" t="s">
        <v>612</v>
      </c>
      <c r="O141" t="s">
        <v>184</v>
      </c>
      <c r="P141" t="s">
        <v>110</v>
      </c>
      <c r="Q141" t="s">
        <v>527</v>
      </c>
      <c r="R141" s="11">
        <v>45630</v>
      </c>
      <c r="S141" s="11">
        <v>45630</v>
      </c>
      <c r="T141" s="11">
        <v>45630</v>
      </c>
      <c r="AE141" t="s">
        <v>114</v>
      </c>
      <c r="AN141" t="s">
        <v>132</v>
      </c>
      <c r="AR141" t="s">
        <v>709</v>
      </c>
      <c r="AS141" s="11">
        <v>45635</v>
      </c>
      <c r="AU141" t="s">
        <v>114</v>
      </c>
      <c r="AV141" t="s">
        <v>115</v>
      </c>
      <c r="BB141" t="s">
        <v>114</v>
      </c>
      <c r="BC141" s="11">
        <v>45633</v>
      </c>
      <c r="BD141" t="s">
        <v>169</v>
      </c>
      <c r="BF141" t="s">
        <v>612</v>
      </c>
      <c r="BG141" t="s">
        <v>114</v>
      </c>
      <c r="BH141" t="str">
        <f t="shared" si="26"/>
        <v/>
      </c>
      <c r="BJ141" t="str">
        <f t="shared" si="30"/>
        <v/>
      </c>
      <c r="BK141" t="s">
        <v>180</v>
      </c>
      <c r="BL141" t="str">
        <f t="shared" si="31"/>
        <v>S49_2024</v>
      </c>
      <c r="BM141" t="s">
        <v>159</v>
      </c>
      <c r="BN141" s="11">
        <v>45633</v>
      </c>
      <c r="BO141" t="str">
        <f t="shared" si="32"/>
        <v>S49_2024</v>
      </c>
      <c r="BP141" t="s">
        <v>114</v>
      </c>
      <c r="BQ141" t="s">
        <v>118</v>
      </c>
      <c r="BU141" s="11"/>
      <c r="BW141" s="11"/>
      <c r="BX141" s="11"/>
      <c r="BY141" s="11"/>
      <c r="BZ141" s="11"/>
      <c r="CB141" s="11"/>
      <c r="CC141" s="11"/>
      <c r="CD141" s="11"/>
      <c r="CE141" s="11"/>
      <c r="CG141" s="11"/>
      <c r="CI141" t="s">
        <v>119</v>
      </c>
      <c r="CO141" t="str">
        <f t="shared" si="33"/>
        <v>NEGATIFPAS INCLUS</v>
      </c>
      <c r="CP141" s="11">
        <v>45633</v>
      </c>
      <c r="CR141">
        <f t="shared" si="35"/>
        <v>2</v>
      </c>
      <c r="CS141">
        <f t="shared" si="36"/>
        <v>-2</v>
      </c>
      <c r="CT141">
        <f t="shared" si="27"/>
        <v>3</v>
      </c>
      <c r="CU141" t="str">
        <f t="shared" si="37"/>
        <v/>
      </c>
      <c r="CV141" t="str">
        <f t="shared" si="38"/>
        <v/>
      </c>
      <c r="CX141" s="11">
        <v>45630</v>
      </c>
      <c r="CY141" t="str">
        <f t="shared" si="34"/>
        <v>S49_2024</v>
      </c>
      <c r="DC141" t="s">
        <v>160</v>
      </c>
    </row>
    <row r="142" spans="1:107" x14ac:dyDescent="0.35">
      <c r="A142" t="s">
        <v>710</v>
      </c>
      <c r="B142" s="10" t="str">
        <f t="shared" si="28"/>
        <v>S51_2024</v>
      </c>
      <c r="C142" s="10" t="str">
        <f t="shared" si="29"/>
        <v>S50_2024</v>
      </c>
      <c r="D142" s="11">
        <v>45643</v>
      </c>
      <c r="E142" t="s">
        <v>123</v>
      </c>
      <c r="F142">
        <v>6</v>
      </c>
      <c r="G142" t="s">
        <v>107</v>
      </c>
      <c r="H142" t="s">
        <v>108</v>
      </c>
      <c r="J142" t="s">
        <v>132</v>
      </c>
      <c r="K142" s="12"/>
      <c r="L142" t="s">
        <v>111</v>
      </c>
      <c r="M142" t="s">
        <v>598</v>
      </c>
      <c r="N142" t="s">
        <v>711</v>
      </c>
      <c r="O142" t="s">
        <v>184</v>
      </c>
      <c r="P142" t="s">
        <v>712</v>
      </c>
      <c r="Q142" t="s">
        <v>598</v>
      </c>
      <c r="R142" s="11">
        <v>45636</v>
      </c>
      <c r="S142" s="11">
        <v>45636</v>
      </c>
      <c r="T142" s="11">
        <v>45636</v>
      </c>
      <c r="V142" t="s">
        <v>114</v>
      </c>
      <c r="X142" t="s">
        <v>114</v>
      </c>
      <c r="AE142" t="s">
        <v>114</v>
      </c>
      <c r="AG142" t="s">
        <v>114</v>
      </c>
      <c r="AK142" t="s">
        <v>132</v>
      </c>
      <c r="AM142" t="s">
        <v>114</v>
      </c>
      <c r="AN142" t="s">
        <v>132</v>
      </c>
      <c r="AQ142" t="s">
        <v>132</v>
      </c>
      <c r="AR142" t="s">
        <v>713</v>
      </c>
      <c r="AS142" s="11">
        <v>45643</v>
      </c>
      <c r="AU142" t="s">
        <v>114</v>
      </c>
      <c r="AV142" t="s">
        <v>115</v>
      </c>
      <c r="BB142" t="s">
        <v>114</v>
      </c>
      <c r="BC142" s="11">
        <v>45642</v>
      </c>
      <c r="BD142" t="s">
        <v>535</v>
      </c>
      <c r="BE142">
        <v>654991002</v>
      </c>
      <c r="BF142" t="s">
        <v>714</v>
      </c>
      <c r="BG142" t="s">
        <v>132</v>
      </c>
      <c r="BH142" t="str">
        <f t="shared" si="26"/>
        <v/>
      </c>
      <c r="BJ142" t="str">
        <f t="shared" si="30"/>
        <v/>
      </c>
      <c r="BK142" t="s">
        <v>117</v>
      </c>
      <c r="BL142" t="str">
        <f t="shared" si="31"/>
        <v>S51_2024</v>
      </c>
      <c r="BM142" t="s">
        <v>159</v>
      </c>
      <c r="BN142" s="11">
        <v>45646</v>
      </c>
      <c r="BO142" t="str">
        <f t="shared" si="32"/>
        <v>S51_2024</v>
      </c>
      <c r="BP142" t="s">
        <v>114</v>
      </c>
      <c r="BQ142" t="s">
        <v>118</v>
      </c>
      <c r="BU142" s="11"/>
      <c r="BW142" s="11"/>
      <c r="BX142" s="11"/>
      <c r="BY142" s="11"/>
      <c r="BZ142" s="11"/>
      <c r="CB142" s="11"/>
      <c r="CC142" s="11"/>
      <c r="CD142" s="11"/>
      <c r="CE142" s="11"/>
      <c r="CG142" s="11"/>
      <c r="CI142" t="s">
        <v>119</v>
      </c>
      <c r="CO142" t="str">
        <f t="shared" si="33"/>
        <v>NEGATIFPAS INCLUS</v>
      </c>
      <c r="CP142" s="11">
        <v>45642</v>
      </c>
      <c r="CR142">
        <f t="shared" si="35"/>
        <v>1</v>
      </c>
      <c r="CS142">
        <f t="shared" si="36"/>
        <v>3</v>
      </c>
      <c r="CT142">
        <f t="shared" si="27"/>
        <v>6</v>
      </c>
      <c r="CU142" t="str">
        <f t="shared" si="37"/>
        <v/>
      </c>
      <c r="CV142" t="str">
        <f t="shared" si="38"/>
        <v/>
      </c>
      <c r="CX142" s="11">
        <v>45636</v>
      </c>
      <c r="CY142" t="str">
        <f t="shared" si="34"/>
        <v>S50_2024</v>
      </c>
      <c r="DC142" t="s">
        <v>120</v>
      </c>
    </row>
    <row r="143" spans="1:107" x14ac:dyDescent="0.35">
      <c r="A143" t="s">
        <v>715</v>
      </c>
      <c r="B143" s="10" t="str">
        <f t="shared" si="28"/>
        <v>S51_2024</v>
      </c>
      <c r="C143" s="10" t="str">
        <f t="shared" si="29"/>
        <v>S48_2024</v>
      </c>
      <c r="D143" s="11">
        <v>45643</v>
      </c>
      <c r="E143" t="s">
        <v>123</v>
      </c>
      <c r="F143">
        <v>39</v>
      </c>
      <c r="G143" t="s">
        <v>162</v>
      </c>
      <c r="H143" t="s">
        <v>108</v>
      </c>
      <c r="J143" t="s">
        <v>132</v>
      </c>
      <c r="K143" s="12"/>
      <c r="L143" t="s">
        <v>111</v>
      </c>
      <c r="M143" t="s">
        <v>598</v>
      </c>
      <c r="N143" t="s">
        <v>711</v>
      </c>
      <c r="O143" t="s">
        <v>184</v>
      </c>
      <c r="P143" t="s">
        <v>712</v>
      </c>
      <c r="Q143" t="s">
        <v>598</v>
      </c>
      <c r="R143" s="11">
        <v>45621</v>
      </c>
      <c r="S143" s="11"/>
      <c r="T143" s="11">
        <v>45621</v>
      </c>
      <c r="V143" t="s">
        <v>114</v>
      </c>
      <c r="AG143" t="s">
        <v>114</v>
      </c>
      <c r="AK143" t="s">
        <v>132</v>
      </c>
      <c r="AM143" t="s">
        <v>114</v>
      </c>
      <c r="AN143" t="s">
        <v>132</v>
      </c>
      <c r="AQ143" t="s">
        <v>132</v>
      </c>
      <c r="AR143" t="s">
        <v>716</v>
      </c>
      <c r="AS143" s="11">
        <v>45643</v>
      </c>
      <c r="AU143" t="s">
        <v>114</v>
      </c>
      <c r="AV143" t="s">
        <v>115</v>
      </c>
      <c r="BB143" t="s">
        <v>114</v>
      </c>
      <c r="BC143" s="11">
        <v>45642</v>
      </c>
      <c r="BD143" t="s">
        <v>535</v>
      </c>
      <c r="BE143">
        <v>654991002</v>
      </c>
      <c r="BF143" t="s">
        <v>714</v>
      </c>
      <c r="BG143" t="s">
        <v>132</v>
      </c>
      <c r="BH143" t="str">
        <f t="shared" si="26"/>
        <v/>
      </c>
      <c r="BJ143" t="str">
        <f t="shared" si="30"/>
        <v/>
      </c>
      <c r="BK143" t="s">
        <v>117</v>
      </c>
      <c r="BL143" t="str">
        <f t="shared" si="31"/>
        <v>S51_2024</v>
      </c>
      <c r="BM143" t="s">
        <v>159</v>
      </c>
      <c r="BN143" s="11">
        <v>45646</v>
      </c>
      <c r="BO143" t="str">
        <f t="shared" si="32"/>
        <v>S51_2024</v>
      </c>
      <c r="BP143" t="s">
        <v>114</v>
      </c>
      <c r="BQ143" t="s">
        <v>118</v>
      </c>
      <c r="BU143" s="11"/>
      <c r="BW143" s="11"/>
      <c r="BX143" s="11"/>
      <c r="BY143" s="11"/>
      <c r="BZ143" s="11"/>
      <c r="CB143" s="11"/>
      <c r="CC143" s="11"/>
      <c r="CD143" s="11"/>
      <c r="CE143" s="11"/>
      <c r="CG143" s="11"/>
      <c r="CI143" t="s">
        <v>119</v>
      </c>
      <c r="CO143" t="str">
        <f t="shared" si="33"/>
        <v>NEGATIFPAS INCLUS</v>
      </c>
      <c r="CP143" s="11">
        <v>45642</v>
      </c>
      <c r="CR143">
        <f t="shared" si="35"/>
        <v>1</v>
      </c>
      <c r="CS143">
        <f t="shared" si="36"/>
        <v>3</v>
      </c>
      <c r="CT143">
        <f t="shared" si="27"/>
        <v>21</v>
      </c>
      <c r="CU143" t="str">
        <f t="shared" si="37"/>
        <v/>
      </c>
      <c r="CV143" t="str">
        <f t="shared" si="38"/>
        <v/>
      </c>
      <c r="CX143" s="11">
        <v>45621</v>
      </c>
      <c r="CY143" t="str">
        <f t="shared" si="34"/>
        <v>S48_2024</v>
      </c>
      <c r="DC143" t="s">
        <v>120</v>
      </c>
    </row>
    <row r="144" spans="1:107" x14ac:dyDescent="0.35">
      <c r="A144" t="s">
        <v>717</v>
      </c>
      <c r="B144" s="10" t="str">
        <f t="shared" si="28"/>
        <v>S51_2024</v>
      </c>
      <c r="C144" s="10" t="str">
        <f t="shared" si="29"/>
        <v/>
      </c>
      <c r="D144" s="11">
        <v>45643</v>
      </c>
      <c r="E144" t="s">
        <v>123</v>
      </c>
      <c r="F144">
        <v>8</v>
      </c>
      <c r="G144" t="s">
        <v>107</v>
      </c>
      <c r="H144" t="s">
        <v>108</v>
      </c>
      <c r="J144" t="s">
        <v>114</v>
      </c>
      <c r="K144" s="12" t="s">
        <v>110</v>
      </c>
      <c r="L144" t="s">
        <v>111</v>
      </c>
      <c r="M144" t="s">
        <v>598</v>
      </c>
      <c r="N144" t="s">
        <v>718</v>
      </c>
      <c r="O144" t="s">
        <v>719</v>
      </c>
      <c r="P144" t="s">
        <v>325</v>
      </c>
      <c r="Q144" t="s">
        <v>598</v>
      </c>
      <c r="V144" t="s">
        <v>114</v>
      </c>
      <c r="AK144" t="s">
        <v>132</v>
      </c>
      <c r="AM144" t="s">
        <v>142</v>
      </c>
      <c r="AN144" t="s">
        <v>132</v>
      </c>
      <c r="AQ144" t="s">
        <v>132</v>
      </c>
      <c r="AR144" t="s">
        <v>720</v>
      </c>
      <c r="AS144" s="11">
        <v>45637</v>
      </c>
      <c r="AU144" t="s">
        <v>114</v>
      </c>
      <c r="AV144" t="s">
        <v>115</v>
      </c>
      <c r="BB144" t="s">
        <v>114</v>
      </c>
      <c r="BC144" s="11">
        <v>45635</v>
      </c>
      <c r="BD144" t="s">
        <v>535</v>
      </c>
      <c r="BE144">
        <v>676254656</v>
      </c>
      <c r="BF144" t="s">
        <v>718</v>
      </c>
      <c r="BG144" t="s">
        <v>132</v>
      </c>
      <c r="BH144" t="str">
        <f t="shared" si="26"/>
        <v/>
      </c>
      <c r="BJ144" t="str">
        <f t="shared" si="30"/>
        <v/>
      </c>
      <c r="BK144" t="s">
        <v>117</v>
      </c>
      <c r="BL144" t="str">
        <f t="shared" si="31"/>
        <v>S50_2024</v>
      </c>
      <c r="BM144" t="s">
        <v>159</v>
      </c>
      <c r="BN144" s="11">
        <v>45635</v>
      </c>
      <c r="BO144" t="str">
        <f t="shared" si="32"/>
        <v>S50_2024</v>
      </c>
      <c r="BP144" t="s">
        <v>114</v>
      </c>
      <c r="BQ144" t="s">
        <v>118</v>
      </c>
      <c r="BU144" s="11"/>
      <c r="BW144" s="11"/>
      <c r="BX144" s="11"/>
      <c r="BY144" s="11"/>
      <c r="BZ144" s="11"/>
      <c r="CB144" s="11"/>
      <c r="CC144" s="11"/>
      <c r="CD144" s="11"/>
      <c r="CE144" s="11"/>
      <c r="CG144" s="11"/>
      <c r="CI144" t="s">
        <v>119</v>
      </c>
      <c r="CO144" t="str">
        <f t="shared" si="33"/>
        <v>NEGATIFPAS INCLUS</v>
      </c>
      <c r="CP144" s="11">
        <v>45635</v>
      </c>
      <c r="CR144">
        <f t="shared" si="35"/>
        <v>2</v>
      </c>
      <c r="CS144">
        <f t="shared" si="36"/>
        <v>-2</v>
      </c>
      <c r="CT144">
        <f t="shared" si="27"/>
        <v>45635</v>
      </c>
      <c r="CU144" t="e">
        <f t="shared" si="37"/>
        <v>#VALUE!</v>
      </c>
      <c r="CV144" t="str">
        <f t="shared" si="38"/>
        <v/>
      </c>
      <c r="CY144" t="str">
        <f t="shared" si="34"/>
        <v/>
      </c>
      <c r="DC144" t="s">
        <v>120</v>
      </c>
    </row>
    <row r="145" spans="1:107" x14ac:dyDescent="0.35">
      <c r="A145" t="s">
        <v>721</v>
      </c>
      <c r="B145" s="10" t="str">
        <f t="shared" si="28"/>
        <v>S51_2024</v>
      </c>
      <c r="C145" s="10" t="str">
        <f t="shared" si="29"/>
        <v>S47_2024</v>
      </c>
      <c r="D145" s="11">
        <v>45643</v>
      </c>
      <c r="E145" t="s">
        <v>123</v>
      </c>
      <c r="F145">
        <v>8</v>
      </c>
      <c r="G145" t="s">
        <v>107</v>
      </c>
      <c r="H145" t="s">
        <v>108</v>
      </c>
      <c r="J145" t="s">
        <v>114</v>
      </c>
      <c r="K145" s="14">
        <v>45616</v>
      </c>
      <c r="L145" t="s">
        <v>722</v>
      </c>
      <c r="M145" t="s">
        <v>420</v>
      </c>
      <c r="N145" t="s">
        <v>723</v>
      </c>
      <c r="P145" t="s">
        <v>110</v>
      </c>
      <c r="Q145" t="s">
        <v>422</v>
      </c>
      <c r="R145" s="11">
        <v>45616</v>
      </c>
      <c r="S145" s="11">
        <v>45616</v>
      </c>
      <c r="T145" s="11">
        <v>45616</v>
      </c>
      <c r="V145" t="s">
        <v>724</v>
      </c>
      <c r="AE145" t="s">
        <v>114</v>
      </c>
      <c r="AK145" t="s">
        <v>132</v>
      </c>
      <c r="AM145" t="s">
        <v>142</v>
      </c>
      <c r="AN145" t="s">
        <v>142</v>
      </c>
      <c r="AQ145" t="s">
        <v>132</v>
      </c>
      <c r="AR145" t="s">
        <v>725</v>
      </c>
      <c r="AS145" s="11">
        <v>45639</v>
      </c>
      <c r="AU145" t="s">
        <v>114</v>
      </c>
      <c r="AV145" t="s">
        <v>115</v>
      </c>
      <c r="BB145" t="s">
        <v>114</v>
      </c>
      <c r="BC145" s="11">
        <v>45634</v>
      </c>
      <c r="BD145" t="s">
        <v>169</v>
      </c>
      <c r="BF145" t="s">
        <v>723</v>
      </c>
      <c r="BG145" t="s">
        <v>132</v>
      </c>
      <c r="BH145" t="str">
        <f t="shared" si="26"/>
        <v/>
      </c>
      <c r="BJ145" t="str">
        <f t="shared" si="30"/>
        <v/>
      </c>
      <c r="BK145" t="s">
        <v>187</v>
      </c>
      <c r="BL145" t="str">
        <f t="shared" si="31"/>
        <v>S49_2024</v>
      </c>
      <c r="BM145" t="s">
        <v>159</v>
      </c>
      <c r="BN145" s="11">
        <v>45634</v>
      </c>
      <c r="BO145" t="str">
        <f t="shared" si="32"/>
        <v>S49_2024</v>
      </c>
      <c r="BP145" t="s">
        <v>114</v>
      </c>
      <c r="BQ145" t="s">
        <v>118</v>
      </c>
      <c r="BU145" s="11"/>
      <c r="BW145" s="11"/>
      <c r="BX145" s="11"/>
      <c r="BY145" s="11"/>
      <c r="BZ145" s="11"/>
      <c r="CB145" s="11"/>
      <c r="CC145" s="11"/>
      <c r="CD145" s="11"/>
      <c r="CE145" s="11"/>
      <c r="CG145" s="11"/>
      <c r="CI145" t="s">
        <v>119</v>
      </c>
      <c r="CO145" t="str">
        <f t="shared" si="33"/>
        <v>NEGATIFPAS INCLUS</v>
      </c>
      <c r="CP145" s="11">
        <v>45634</v>
      </c>
      <c r="CR145">
        <f t="shared" si="35"/>
        <v>5</v>
      </c>
      <c r="CS145">
        <f t="shared" si="36"/>
        <v>-5</v>
      </c>
      <c r="CT145">
        <f t="shared" si="27"/>
        <v>18</v>
      </c>
      <c r="CU145">
        <f t="shared" si="37"/>
        <v>18</v>
      </c>
      <c r="CV145" t="str">
        <f t="shared" si="38"/>
        <v/>
      </c>
      <c r="CX145" s="11">
        <v>45616</v>
      </c>
      <c r="CY145" t="str">
        <f t="shared" si="34"/>
        <v>S47_2024</v>
      </c>
      <c r="DC145" t="s">
        <v>160</v>
      </c>
    </row>
    <row r="146" spans="1:107" x14ac:dyDescent="0.35">
      <c r="A146" t="s">
        <v>726</v>
      </c>
      <c r="B146" s="10" t="str">
        <f t="shared" si="28"/>
        <v>S51_2024</v>
      </c>
      <c r="C146" s="10" t="str">
        <f t="shared" si="29"/>
        <v>S48_2024</v>
      </c>
      <c r="D146" s="11">
        <v>45643</v>
      </c>
      <c r="E146" t="s">
        <v>123</v>
      </c>
      <c r="F146">
        <v>12</v>
      </c>
      <c r="G146" t="s">
        <v>107</v>
      </c>
      <c r="H146" t="s">
        <v>108</v>
      </c>
      <c r="J146" t="s">
        <v>132</v>
      </c>
      <c r="K146" s="12"/>
      <c r="L146" t="s">
        <v>722</v>
      </c>
      <c r="M146" t="s">
        <v>420</v>
      </c>
      <c r="N146" t="s">
        <v>723</v>
      </c>
      <c r="O146" t="s">
        <v>184</v>
      </c>
      <c r="P146" t="s">
        <v>110</v>
      </c>
      <c r="Q146" t="s">
        <v>422</v>
      </c>
      <c r="R146" s="11">
        <v>45627</v>
      </c>
      <c r="S146" s="11">
        <v>45627</v>
      </c>
      <c r="T146" s="11">
        <v>45627</v>
      </c>
      <c r="AE146" t="s">
        <v>114</v>
      </c>
      <c r="AK146" t="s">
        <v>132</v>
      </c>
      <c r="AM146" t="s">
        <v>114</v>
      </c>
      <c r="AN146" t="s">
        <v>132</v>
      </c>
      <c r="AR146" t="s">
        <v>727</v>
      </c>
      <c r="AS146" s="11">
        <v>45639</v>
      </c>
      <c r="AU146" t="s">
        <v>114</v>
      </c>
      <c r="AV146" t="s">
        <v>115</v>
      </c>
      <c r="BB146" t="s">
        <v>114</v>
      </c>
      <c r="BC146" s="11">
        <v>45634</v>
      </c>
      <c r="BD146" t="s">
        <v>169</v>
      </c>
      <c r="BF146" t="s">
        <v>723</v>
      </c>
      <c r="BG146" t="s">
        <v>132</v>
      </c>
      <c r="BH146" t="str">
        <f t="shared" si="26"/>
        <v/>
      </c>
      <c r="BJ146" t="str">
        <f t="shared" si="30"/>
        <v/>
      </c>
      <c r="BK146" t="s">
        <v>187</v>
      </c>
      <c r="BL146" t="str">
        <f t="shared" si="31"/>
        <v>S49_2024</v>
      </c>
      <c r="BM146" t="s">
        <v>159</v>
      </c>
      <c r="BN146" s="11">
        <v>45634</v>
      </c>
      <c r="BO146" t="str">
        <f t="shared" si="32"/>
        <v>S49_2024</v>
      </c>
      <c r="BP146" t="s">
        <v>114</v>
      </c>
      <c r="BQ146" t="s">
        <v>118</v>
      </c>
      <c r="BU146" s="11"/>
      <c r="BW146" s="11"/>
      <c r="BX146" s="11"/>
      <c r="BY146" s="11"/>
      <c r="BZ146" s="11"/>
      <c r="CB146" s="11"/>
      <c r="CC146" s="11"/>
      <c r="CD146" s="11"/>
      <c r="CE146" s="11"/>
      <c r="CG146" s="11"/>
      <c r="CI146" t="s">
        <v>119</v>
      </c>
      <c r="CO146" t="str">
        <f t="shared" si="33"/>
        <v>NEGATIFPAS INCLUS</v>
      </c>
      <c r="CP146" s="11">
        <v>45634</v>
      </c>
      <c r="CR146">
        <f t="shared" si="35"/>
        <v>5</v>
      </c>
      <c r="CS146">
        <f t="shared" si="36"/>
        <v>-5</v>
      </c>
      <c r="CT146">
        <f t="shared" si="27"/>
        <v>7</v>
      </c>
      <c r="CU146" t="str">
        <f t="shared" si="37"/>
        <v/>
      </c>
      <c r="CV146" t="str">
        <f t="shared" si="38"/>
        <v/>
      </c>
      <c r="CX146" s="11">
        <v>45627</v>
      </c>
      <c r="CY146" t="str">
        <f t="shared" si="34"/>
        <v>S48_2024</v>
      </c>
      <c r="DC146" t="s">
        <v>160</v>
      </c>
    </row>
    <row r="147" spans="1:107" x14ac:dyDescent="0.35">
      <c r="A147" t="s">
        <v>728</v>
      </c>
      <c r="B147" s="10" t="str">
        <f t="shared" si="28"/>
        <v>S51_2024</v>
      </c>
      <c r="C147" s="10" t="str">
        <f t="shared" si="29"/>
        <v>S49_2024</v>
      </c>
      <c r="D147" s="11">
        <v>45643</v>
      </c>
      <c r="E147" t="s">
        <v>123</v>
      </c>
      <c r="F147">
        <v>11</v>
      </c>
      <c r="G147" t="s">
        <v>107</v>
      </c>
      <c r="H147" t="s">
        <v>108</v>
      </c>
      <c r="J147" t="s">
        <v>114</v>
      </c>
      <c r="K147" s="14">
        <v>45631</v>
      </c>
      <c r="L147" t="s">
        <v>722</v>
      </c>
      <c r="M147" t="s">
        <v>420</v>
      </c>
      <c r="N147" t="s">
        <v>723</v>
      </c>
      <c r="P147" t="s">
        <v>110</v>
      </c>
      <c r="Q147" t="s">
        <v>422</v>
      </c>
      <c r="R147" s="11">
        <v>45628</v>
      </c>
      <c r="S147" s="11">
        <v>45628</v>
      </c>
      <c r="T147" s="11">
        <v>45628</v>
      </c>
      <c r="AE147" t="s">
        <v>114</v>
      </c>
      <c r="AK147" t="s">
        <v>132</v>
      </c>
      <c r="AM147" t="s">
        <v>114</v>
      </c>
      <c r="AN147" t="s">
        <v>132</v>
      </c>
      <c r="AR147" t="s">
        <v>729</v>
      </c>
      <c r="AS147" s="11">
        <v>45639</v>
      </c>
      <c r="AU147" t="s">
        <v>114</v>
      </c>
      <c r="AV147" t="s">
        <v>115</v>
      </c>
      <c r="BB147" t="s">
        <v>114</v>
      </c>
      <c r="BC147" s="11">
        <v>45634</v>
      </c>
      <c r="BD147" t="s">
        <v>169</v>
      </c>
      <c r="BF147" t="s">
        <v>723</v>
      </c>
      <c r="BG147" t="s">
        <v>132</v>
      </c>
      <c r="BH147" t="str">
        <f t="shared" si="26"/>
        <v/>
      </c>
      <c r="BJ147" t="str">
        <f t="shared" si="30"/>
        <v/>
      </c>
      <c r="BK147" t="s">
        <v>187</v>
      </c>
      <c r="BL147" t="str">
        <f t="shared" si="31"/>
        <v>S49_2024</v>
      </c>
      <c r="BM147" t="s">
        <v>159</v>
      </c>
      <c r="BN147" s="11">
        <v>45634</v>
      </c>
      <c r="BO147" t="str">
        <f t="shared" si="32"/>
        <v>S49_2024</v>
      </c>
      <c r="BP147" t="s">
        <v>114</v>
      </c>
      <c r="BQ147" t="s">
        <v>118</v>
      </c>
      <c r="BU147" s="11"/>
      <c r="BW147" s="11"/>
      <c r="BX147" s="11"/>
      <c r="BY147" s="11"/>
      <c r="BZ147" s="11"/>
      <c r="CB147" s="11"/>
      <c r="CC147" s="11"/>
      <c r="CD147" s="11"/>
      <c r="CE147" s="11"/>
      <c r="CG147" s="11"/>
      <c r="CI147" t="s">
        <v>119</v>
      </c>
      <c r="CO147" t="str">
        <f t="shared" si="33"/>
        <v>NEGATIFPAS INCLUS</v>
      </c>
      <c r="CP147" s="11">
        <v>45634</v>
      </c>
      <c r="CR147">
        <f t="shared" si="35"/>
        <v>5</v>
      </c>
      <c r="CS147">
        <f t="shared" si="36"/>
        <v>-5</v>
      </c>
      <c r="CT147">
        <f t="shared" si="27"/>
        <v>6</v>
      </c>
      <c r="CU147">
        <f t="shared" si="37"/>
        <v>3</v>
      </c>
      <c r="CV147" t="str">
        <f t="shared" si="38"/>
        <v/>
      </c>
      <c r="CX147" s="11">
        <v>45628</v>
      </c>
      <c r="CY147" t="str">
        <f t="shared" si="34"/>
        <v>S49_2024</v>
      </c>
      <c r="DC147" t="s">
        <v>160</v>
      </c>
    </row>
    <row r="148" spans="1:107" x14ac:dyDescent="0.35">
      <c r="A148" t="s">
        <v>730</v>
      </c>
      <c r="B148" s="10" t="str">
        <f t="shared" si="28"/>
        <v>S51_2024</v>
      </c>
      <c r="C148" s="10" t="str">
        <f t="shared" si="29"/>
        <v>S48_2024</v>
      </c>
      <c r="D148" s="11">
        <v>45643</v>
      </c>
      <c r="E148" t="s">
        <v>106</v>
      </c>
      <c r="F148">
        <v>4</v>
      </c>
      <c r="G148" t="s">
        <v>107</v>
      </c>
      <c r="H148" t="s">
        <v>108</v>
      </c>
      <c r="J148" t="s">
        <v>132</v>
      </c>
      <c r="K148" s="12"/>
      <c r="L148" t="s">
        <v>722</v>
      </c>
      <c r="M148" t="s">
        <v>186</v>
      </c>
      <c r="N148" t="s">
        <v>731</v>
      </c>
      <c r="O148" t="s">
        <v>184</v>
      </c>
      <c r="P148" t="s">
        <v>110</v>
      </c>
      <c r="Q148" t="s">
        <v>186</v>
      </c>
      <c r="R148" s="11">
        <v>45624</v>
      </c>
      <c r="S148" s="11">
        <v>45624</v>
      </c>
      <c r="T148" s="11">
        <v>45631</v>
      </c>
      <c r="AE148" t="s">
        <v>114</v>
      </c>
      <c r="AK148" t="s">
        <v>132</v>
      </c>
      <c r="AM148" t="s">
        <v>132</v>
      </c>
      <c r="AN148" t="s">
        <v>132</v>
      </c>
      <c r="AR148" t="s">
        <v>732</v>
      </c>
      <c r="AS148" s="11">
        <v>45638</v>
      </c>
      <c r="AU148" t="s">
        <v>114</v>
      </c>
      <c r="AV148" t="s">
        <v>115</v>
      </c>
      <c r="BB148" t="s">
        <v>114</v>
      </c>
      <c r="BC148" s="11">
        <v>45634</v>
      </c>
      <c r="BD148" t="s">
        <v>243</v>
      </c>
      <c r="BF148" t="s">
        <v>731</v>
      </c>
      <c r="BG148" t="s">
        <v>132</v>
      </c>
      <c r="BH148" t="str">
        <f t="shared" ref="BH148:BH177" si="39">IFERROR("S"&amp;(IF(_xlfn.ISOWEEKNUM(I148)&gt;0,_xlfn.ISOWEEKNUM(I148),_xlfn.CONCAT("0",_xlfn.ISOWEEKNUM(I148))))&amp;"_"&amp;(YEAR(I148+26-(_xlfn.ISOWEEKNUM(I148)))),"")</f>
        <v/>
      </c>
      <c r="BJ148" t="str">
        <f t="shared" si="30"/>
        <v/>
      </c>
      <c r="BK148" t="s">
        <v>187</v>
      </c>
      <c r="BL148" t="str">
        <f t="shared" si="31"/>
        <v>S49_2024</v>
      </c>
      <c r="BM148" t="s">
        <v>159</v>
      </c>
      <c r="BN148" s="11">
        <v>45634</v>
      </c>
      <c r="BO148" t="str">
        <f t="shared" si="32"/>
        <v>S49_2024</v>
      </c>
      <c r="BP148" t="s">
        <v>114</v>
      </c>
      <c r="BQ148" t="s">
        <v>118</v>
      </c>
      <c r="BU148" s="11"/>
      <c r="BW148" s="11"/>
      <c r="BX148" s="11"/>
      <c r="BY148" s="11"/>
      <c r="BZ148" s="11"/>
      <c r="CB148" s="11"/>
      <c r="CC148" s="11"/>
      <c r="CD148" s="11"/>
      <c r="CE148" s="11"/>
      <c r="CG148" s="11"/>
      <c r="CI148" t="s">
        <v>119</v>
      </c>
      <c r="CO148" t="str">
        <f t="shared" si="33"/>
        <v>NEGATIFPAS INCLUS</v>
      </c>
      <c r="CP148" s="11">
        <v>45634</v>
      </c>
      <c r="CR148">
        <f t="shared" si="35"/>
        <v>4</v>
      </c>
      <c r="CS148">
        <f t="shared" si="36"/>
        <v>-4</v>
      </c>
      <c r="CT148">
        <f t="shared" si="27"/>
        <v>10</v>
      </c>
      <c r="CU148" t="str">
        <f t="shared" si="37"/>
        <v/>
      </c>
      <c r="CV148" t="str">
        <f t="shared" si="38"/>
        <v/>
      </c>
      <c r="CX148" s="11">
        <v>45624</v>
      </c>
      <c r="CY148" t="str">
        <f t="shared" si="34"/>
        <v>S48_2024</v>
      </c>
      <c r="DC148" t="s">
        <v>120</v>
      </c>
    </row>
    <row r="149" spans="1:107" x14ac:dyDescent="0.35">
      <c r="A149" t="s">
        <v>733</v>
      </c>
      <c r="B149" s="10" t="str">
        <f t="shared" si="28"/>
        <v>S51_2024</v>
      </c>
      <c r="C149" s="10" t="str">
        <f t="shared" si="29"/>
        <v>S48_2024</v>
      </c>
      <c r="D149" s="11">
        <v>45643</v>
      </c>
      <c r="E149" t="s">
        <v>123</v>
      </c>
      <c r="F149">
        <v>12</v>
      </c>
      <c r="G149" t="s">
        <v>107</v>
      </c>
      <c r="H149" t="s">
        <v>108</v>
      </c>
      <c r="J149" t="s">
        <v>132</v>
      </c>
      <c r="K149" s="12"/>
      <c r="L149" t="s">
        <v>722</v>
      </c>
      <c r="M149" t="s">
        <v>186</v>
      </c>
      <c r="N149" t="s">
        <v>731</v>
      </c>
      <c r="O149" t="s">
        <v>184</v>
      </c>
      <c r="P149" t="s">
        <v>110</v>
      </c>
      <c r="Q149" t="s">
        <v>234</v>
      </c>
      <c r="R149" s="11">
        <v>45625</v>
      </c>
      <c r="S149" s="11">
        <v>45625</v>
      </c>
      <c r="T149" s="11">
        <v>45631</v>
      </c>
      <c r="AE149" t="s">
        <v>114</v>
      </c>
      <c r="AK149" t="s">
        <v>132</v>
      </c>
      <c r="AM149" t="s">
        <v>132</v>
      </c>
      <c r="AN149" t="s">
        <v>114</v>
      </c>
      <c r="AR149" t="s">
        <v>734</v>
      </c>
      <c r="AS149" s="11">
        <v>45638</v>
      </c>
      <c r="AU149" t="s">
        <v>114</v>
      </c>
      <c r="AV149" t="s">
        <v>115</v>
      </c>
      <c r="BB149" t="s">
        <v>114</v>
      </c>
      <c r="BC149" s="11">
        <v>45634</v>
      </c>
      <c r="BD149" t="s">
        <v>243</v>
      </c>
      <c r="BF149" t="s">
        <v>731</v>
      </c>
      <c r="BG149" t="s">
        <v>132</v>
      </c>
      <c r="BH149" t="str">
        <f t="shared" si="39"/>
        <v/>
      </c>
      <c r="BJ149" t="str">
        <f t="shared" si="30"/>
        <v/>
      </c>
      <c r="BK149" t="s">
        <v>187</v>
      </c>
      <c r="BL149" t="str">
        <f t="shared" si="31"/>
        <v>S49_2024</v>
      </c>
      <c r="BM149" t="s">
        <v>159</v>
      </c>
      <c r="BN149" s="11">
        <v>45634</v>
      </c>
      <c r="BO149" t="str">
        <f t="shared" si="32"/>
        <v>S49_2024</v>
      </c>
      <c r="BP149" t="s">
        <v>114</v>
      </c>
      <c r="BQ149" t="s">
        <v>118</v>
      </c>
      <c r="BU149" s="11"/>
      <c r="BW149" s="11"/>
      <c r="BX149" s="11"/>
      <c r="BY149" s="11"/>
      <c r="BZ149" s="11"/>
      <c r="CB149" s="11"/>
      <c r="CC149" s="11"/>
      <c r="CD149" s="11"/>
      <c r="CE149" s="11"/>
      <c r="CG149" s="11"/>
      <c r="CI149" t="s">
        <v>119</v>
      </c>
      <c r="CO149" t="str">
        <f t="shared" si="33"/>
        <v>NEGATIFPAS INCLUS</v>
      </c>
      <c r="CP149" s="11">
        <v>45634</v>
      </c>
      <c r="CR149">
        <f t="shared" si="35"/>
        <v>4</v>
      </c>
      <c r="CS149">
        <f t="shared" si="36"/>
        <v>-4</v>
      </c>
      <c r="CT149">
        <f t="shared" si="27"/>
        <v>9</v>
      </c>
      <c r="CU149" t="str">
        <f t="shared" si="37"/>
        <v/>
      </c>
      <c r="CV149" t="str">
        <f t="shared" si="38"/>
        <v/>
      </c>
      <c r="CX149" s="11">
        <v>45625</v>
      </c>
      <c r="CY149" t="str">
        <f t="shared" si="34"/>
        <v>S48_2024</v>
      </c>
      <c r="DC149" t="s">
        <v>120</v>
      </c>
    </row>
    <row r="150" spans="1:107" x14ac:dyDescent="0.35">
      <c r="A150" t="s">
        <v>735</v>
      </c>
      <c r="B150" s="10" t="str">
        <f t="shared" si="28"/>
        <v>S51_2024</v>
      </c>
      <c r="C150" s="10" t="str">
        <f t="shared" si="29"/>
        <v>S46_2024</v>
      </c>
      <c r="D150" s="11">
        <v>45643</v>
      </c>
      <c r="E150" t="s">
        <v>106</v>
      </c>
      <c r="F150">
        <v>27</v>
      </c>
      <c r="G150" t="s">
        <v>110</v>
      </c>
      <c r="H150" t="s">
        <v>108</v>
      </c>
      <c r="J150" t="s">
        <v>142</v>
      </c>
      <c r="K150" s="12"/>
      <c r="L150" t="s">
        <v>722</v>
      </c>
      <c r="M150" t="s">
        <v>183</v>
      </c>
      <c r="P150" t="s">
        <v>110</v>
      </c>
      <c r="Q150" t="s">
        <v>234</v>
      </c>
      <c r="R150" s="11">
        <v>45613</v>
      </c>
      <c r="S150" s="11">
        <v>45613</v>
      </c>
      <c r="T150" s="11">
        <v>45613</v>
      </c>
      <c r="AE150" t="s">
        <v>114</v>
      </c>
      <c r="AR150" t="s">
        <v>736</v>
      </c>
      <c r="AS150" s="11">
        <v>45631</v>
      </c>
      <c r="AU150" t="s">
        <v>114</v>
      </c>
      <c r="AV150" t="s">
        <v>115</v>
      </c>
      <c r="BB150" t="s">
        <v>114</v>
      </c>
      <c r="BC150" s="11">
        <v>45625</v>
      </c>
      <c r="BD150" t="s">
        <v>116</v>
      </c>
      <c r="BH150" t="str">
        <f t="shared" si="39"/>
        <v/>
      </c>
      <c r="BJ150" t="str">
        <f t="shared" si="30"/>
        <v/>
      </c>
      <c r="BK150" t="s">
        <v>187</v>
      </c>
      <c r="BL150" t="str">
        <f t="shared" si="31"/>
        <v>S48_2024</v>
      </c>
      <c r="BM150" t="s">
        <v>159</v>
      </c>
      <c r="BN150" s="11">
        <v>45625</v>
      </c>
      <c r="BO150" t="str">
        <f t="shared" si="32"/>
        <v>S48_2024</v>
      </c>
      <c r="BP150" t="s">
        <v>114</v>
      </c>
      <c r="BQ150" t="s">
        <v>118</v>
      </c>
      <c r="BU150" s="11"/>
      <c r="BW150" s="11"/>
      <c r="BX150" s="11"/>
      <c r="BY150" s="11"/>
      <c r="BZ150" s="11"/>
      <c r="CB150" s="11"/>
      <c r="CC150" s="11"/>
      <c r="CD150" s="11"/>
      <c r="CE150" s="11"/>
      <c r="CG150" s="11"/>
      <c r="CI150" t="s">
        <v>119</v>
      </c>
      <c r="CO150" t="str">
        <f t="shared" si="33"/>
        <v>NEGATIFPAS INCLUS</v>
      </c>
      <c r="CP150" s="11">
        <v>45625</v>
      </c>
      <c r="CR150">
        <f t="shared" si="35"/>
        <v>6</v>
      </c>
      <c r="CS150">
        <f t="shared" si="36"/>
        <v>-6</v>
      </c>
      <c r="CT150">
        <f t="shared" si="27"/>
        <v>12</v>
      </c>
      <c r="CU150">
        <f t="shared" si="37"/>
        <v>45625</v>
      </c>
      <c r="CV150" t="str">
        <f t="shared" si="38"/>
        <v/>
      </c>
      <c r="CX150" s="11">
        <v>45613</v>
      </c>
      <c r="CY150" t="str">
        <f t="shared" si="34"/>
        <v>S46_2024</v>
      </c>
      <c r="DC150" t="s">
        <v>120</v>
      </c>
    </row>
    <row r="151" spans="1:107" x14ac:dyDescent="0.35">
      <c r="A151" t="s">
        <v>737</v>
      </c>
      <c r="B151" s="10" t="str">
        <f t="shared" si="28"/>
        <v>S52_2024</v>
      </c>
      <c r="C151" s="10" t="str">
        <f t="shared" si="29"/>
        <v>S48_2024</v>
      </c>
      <c r="D151" s="11">
        <v>45650</v>
      </c>
      <c r="E151" t="s">
        <v>123</v>
      </c>
      <c r="F151">
        <v>4</v>
      </c>
      <c r="G151" t="s">
        <v>107</v>
      </c>
      <c r="H151" t="s">
        <v>108</v>
      </c>
      <c r="J151" t="s">
        <v>132</v>
      </c>
      <c r="K151" s="12"/>
      <c r="L151" t="s">
        <v>111</v>
      </c>
      <c r="M151" t="s">
        <v>598</v>
      </c>
      <c r="N151" t="s">
        <v>711</v>
      </c>
      <c r="O151" t="s">
        <v>184</v>
      </c>
      <c r="P151" t="s">
        <v>110</v>
      </c>
      <c r="Q151" t="s">
        <v>598</v>
      </c>
      <c r="R151" s="11">
        <v>45621</v>
      </c>
      <c r="S151" s="11">
        <v>45621</v>
      </c>
      <c r="T151" s="11">
        <v>45621</v>
      </c>
      <c r="V151" t="s">
        <v>114</v>
      </c>
      <c r="AK151" t="s">
        <v>132</v>
      </c>
      <c r="AM151" t="s">
        <v>114</v>
      </c>
      <c r="AN151" t="s">
        <v>132</v>
      </c>
      <c r="AQ151" t="s">
        <v>132</v>
      </c>
      <c r="AR151" t="s">
        <v>738</v>
      </c>
      <c r="AS151" s="11">
        <v>45643</v>
      </c>
      <c r="AU151" t="s">
        <v>114</v>
      </c>
      <c r="AV151" t="s">
        <v>115</v>
      </c>
      <c r="BB151" t="s">
        <v>114</v>
      </c>
      <c r="BC151" s="11">
        <v>45642</v>
      </c>
      <c r="BD151" t="s">
        <v>169</v>
      </c>
      <c r="BF151" t="s">
        <v>714</v>
      </c>
      <c r="BG151" t="s">
        <v>132</v>
      </c>
      <c r="BH151" t="str">
        <f t="shared" si="39"/>
        <v/>
      </c>
      <c r="BJ151" t="str">
        <f t="shared" si="30"/>
        <v/>
      </c>
      <c r="BK151" t="s">
        <v>117</v>
      </c>
      <c r="BL151" t="str">
        <f t="shared" si="31"/>
        <v>S51_2024</v>
      </c>
      <c r="BM151" t="s">
        <v>159</v>
      </c>
      <c r="BN151" s="11">
        <v>45646</v>
      </c>
      <c r="BO151" t="str">
        <f t="shared" si="32"/>
        <v>S51_2024</v>
      </c>
      <c r="BP151" t="s">
        <v>114</v>
      </c>
      <c r="BQ151" t="s">
        <v>118</v>
      </c>
      <c r="BU151" s="11"/>
      <c r="BW151" s="11"/>
      <c r="BX151" s="11"/>
      <c r="BY151" s="11"/>
      <c r="BZ151" s="11"/>
      <c r="CB151" s="11"/>
      <c r="CC151" s="11"/>
      <c r="CD151" s="11"/>
      <c r="CE151" s="11"/>
      <c r="CG151" s="11"/>
      <c r="CI151" t="s">
        <v>119</v>
      </c>
      <c r="CO151" t="str">
        <f t="shared" si="33"/>
        <v>NEGATIFPAS INCLUS</v>
      </c>
      <c r="CP151" s="11">
        <v>45642</v>
      </c>
      <c r="CR151">
        <f t="shared" si="35"/>
        <v>1</v>
      </c>
      <c r="CS151">
        <f t="shared" si="36"/>
        <v>3</v>
      </c>
      <c r="CT151">
        <f t="shared" si="27"/>
        <v>21</v>
      </c>
      <c r="CU151" t="str">
        <f t="shared" si="37"/>
        <v/>
      </c>
      <c r="CV151" t="str">
        <f t="shared" si="38"/>
        <v/>
      </c>
      <c r="CX151" s="11">
        <v>45621</v>
      </c>
      <c r="CY151" t="str">
        <f t="shared" si="34"/>
        <v>S48_2024</v>
      </c>
      <c r="DC151" t="s">
        <v>160</v>
      </c>
    </row>
    <row r="152" spans="1:107" x14ac:dyDescent="0.35">
      <c r="A152" t="s">
        <v>739</v>
      </c>
      <c r="B152" s="10" t="str">
        <f t="shared" si="28"/>
        <v>S52_2024</v>
      </c>
      <c r="C152" s="10" t="str">
        <f t="shared" si="29"/>
        <v>S40_2024</v>
      </c>
      <c r="D152" s="11">
        <v>45652</v>
      </c>
      <c r="E152" t="s">
        <v>106</v>
      </c>
      <c r="F152">
        <v>32</v>
      </c>
      <c r="G152" t="s">
        <v>429</v>
      </c>
      <c r="H152" t="s">
        <v>108</v>
      </c>
      <c r="J152" t="s">
        <v>114</v>
      </c>
      <c r="K152" s="12" t="s">
        <v>110</v>
      </c>
      <c r="L152" t="s">
        <v>163</v>
      </c>
      <c r="M152" t="s">
        <v>298</v>
      </c>
      <c r="N152" t="s">
        <v>220</v>
      </c>
      <c r="O152" t="s">
        <v>110</v>
      </c>
      <c r="P152" t="s">
        <v>110</v>
      </c>
      <c r="Q152" t="s">
        <v>240</v>
      </c>
      <c r="R152" s="11">
        <v>45566</v>
      </c>
      <c r="S152" s="11">
        <v>45566</v>
      </c>
      <c r="T152" s="11">
        <v>45566</v>
      </c>
      <c r="AE152" t="s">
        <v>132</v>
      </c>
      <c r="AK152" t="s">
        <v>114</v>
      </c>
      <c r="AM152" t="s">
        <v>132</v>
      </c>
      <c r="AN152" t="s">
        <v>132</v>
      </c>
      <c r="AQ152" t="s">
        <v>132</v>
      </c>
      <c r="AR152" t="s">
        <v>740</v>
      </c>
      <c r="AS152" s="11">
        <v>45645</v>
      </c>
      <c r="AU152" t="s">
        <v>114</v>
      </c>
      <c r="AV152" t="s">
        <v>115</v>
      </c>
      <c r="BB152" t="s">
        <v>114</v>
      </c>
      <c r="BC152" s="11">
        <v>45641</v>
      </c>
      <c r="BD152" t="s">
        <v>741</v>
      </c>
      <c r="BF152" t="s">
        <v>240</v>
      </c>
      <c r="BG152" t="s">
        <v>132</v>
      </c>
      <c r="BH152" t="str">
        <f t="shared" si="39"/>
        <v/>
      </c>
      <c r="BJ152" t="str">
        <f t="shared" si="30"/>
        <v/>
      </c>
      <c r="BK152" t="s">
        <v>170</v>
      </c>
      <c r="BL152" t="str">
        <f t="shared" si="31"/>
        <v>S50_2024</v>
      </c>
      <c r="BM152" t="s">
        <v>159</v>
      </c>
      <c r="BN152" s="11">
        <v>45646</v>
      </c>
      <c r="BO152" t="str">
        <f t="shared" si="32"/>
        <v>S51_2024</v>
      </c>
      <c r="BP152" t="s">
        <v>114</v>
      </c>
      <c r="BQ152" t="s">
        <v>118</v>
      </c>
      <c r="BU152" s="11"/>
      <c r="BW152" s="11"/>
      <c r="BX152" s="11"/>
      <c r="BY152" s="11"/>
      <c r="BZ152" s="11"/>
      <c r="CB152" s="11"/>
      <c r="CC152" s="11"/>
      <c r="CD152" s="11"/>
      <c r="CE152" s="11"/>
      <c r="CG152" s="11"/>
      <c r="CI152" t="s">
        <v>119</v>
      </c>
      <c r="CO152" t="str">
        <f t="shared" si="33"/>
        <v>NEGATIFPAS INCLUS</v>
      </c>
      <c r="CP152" s="11">
        <v>45641</v>
      </c>
      <c r="CR152">
        <f t="shared" si="35"/>
        <v>4</v>
      </c>
      <c r="CS152">
        <f t="shared" si="36"/>
        <v>1</v>
      </c>
      <c r="CT152">
        <f t="shared" si="27"/>
        <v>75</v>
      </c>
      <c r="CU152" t="e">
        <f t="shared" si="37"/>
        <v>#VALUE!</v>
      </c>
      <c r="CV152" t="str">
        <f t="shared" si="38"/>
        <v/>
      </c>
      <c r="CX152" s="11">
        <v>45566</v>
      </c>
      <c r="CY152" t="str">
        <f t="shared" si="34"/>
        <v>S40_2024</v>
      </c>
      <c r="DC152" t="s">
        <v>120</v>
      </c>
    </row>
    <row r="153" spans="1:107" x14ac:dyDescent="0.35">
      <c r="A153" t="s">
        <v>742</v>
      </c>
      <c r="B153" s="10" t="str">
        <f t="shared" si="28"/>
        <v>S52_2024</v>
      </c>
      <c r="C153" s="10" t="str">
        <f t="shared" si="29"/>
        <v>S47_2024</v>
      </c>
      <c r="D153" s="11">
        <v>45655</v>
      </c>
      <c r="E153" t="s">
        <v>123</v>
      </c>
      <c r="F153">
        <v>5</v>
      </c>
      <c r="G153" t="s">
        <v>107</v>
      </c>
      <c r="H153" t="s">
        <v>108</v>
      </c>
      <c r="J153" t="s">
        <v>114</v>
      </c>
      <c r="K153" s="12" t="s">
        <v>110</v>
      </c>
      <c r="L153" t="s">
        <v>163</v>
      </c>
      <c r="M153" t="s">
        <v>219</v>
      </c>
      <c r="N153" t="s">
        <v>220</v>
      </c>
      <c r="O153" t="s">
        <v>110</v>
      </c>
      <c r="P153" t="s">
        <v>110</v>
      </c>
      <c r="Q153" t="s">
        <v>240</v>
      </c>
      <c r="R153" s="11">
        <v>45616</v>
      </c>
      <c r="S153" s="11">
        <v>45616</v>
      </c>
      <c r="T153" s="11">
        <v>45616</v>
      </c>
      <c r="AE153" t="s">
        <v>132</v>
      </c>
      <c r="AM153" t="s">
        <v>114</v>
      </c>
      <c r="AN153" t="s">
        <v>132</v>
      </c>
      <c r="AQ153" t="s">
        <v>132</v>
      </c>
      <c r="AR153" t="s">
        <v>743</v>
      </c>
      <c r="AS153" s="11">
        <v>45645</v>
      </c>
      <c r="AU153" t="s">
        <v>114</v>
      </c>
      <c r="AV153" t="s">
        <v>115</v>
      </c>
      <c r="BB153" t="s">
        <v>114</v>
      </c>
      <c r="BC153" s="11">
        <v>45641</v>
      </c>
      <c r="BD153" t="s">
        <v>744</v>
      </c>
      <c r="BF153" t="s">
        <v>240</v>
      </c>
      <c r="BG153" t="s">
        <v>132</v>
      </c>
      <c r="BH153" t="str">
        <f t="shared" si="39"/>
        <v/>
      </c>
      <c r="BJ153" t="str">
        <f t="shared" si="30"/>
        <v/>
      </c>
      <c r="BK153" t="s">
        <v>170</v>
      </c>
      <c r="BL153" t="str">
        <f t="shared" si="31"/>
        <v>S50_2024</v>
      </c>
      <c r="BM153" t="s">
        <v>159</v>
      </c>
      <c r="BN153" s="11">
        <v>45646</v>
      </c>
      <c r="BO153" t="str">
        <f t="shared" si="32"/>
        <v>S51_2024</v>
      </c>
      <c r="BP153" t="s">
        <v>114</v>
      </c>
      <c r="BQ153" t="s">
        <v>118</v>
      </c>
      <c r="BU153" s="11"/>
      <c r="BW153" s="11"/>
      <c r="BX153" s="11"/>
      <c r="BY153" s="11"/>
      <c r="BZ153" s="11"/>
      <c r="CB153" s="11"/>
      <c r="CC153" s="11"/>
      <c r="CD153" s="11"/>
      <c r="CE153" s="11"/>
      <c r="CG153" s="11"/>
      <c r="CI153" t="s">
        <v>119</v>
      </c>
      <c r="CO153" t="str">
        <f t="shared" si="33"/>
        <v>NEGATIFPAS INCLUS</v>
      </c>
      <c r="CP153" s="11">
        <v>45641</v>
      </c>
      <c r="CR153">
        <f t="shared" si="35"/>
        <v>4</v>
      </c>
      <c r="CS153">
        <f t="shared" si="36"/>
        <v>1</v>
      </c>
      <c r="CT153">
        <f t="shared" si="27"/>
        <v>25</v>
      </c>
      <c r="CU153" t="e">
        <f t="shared" si="37"/>
        <v>#VALUE!</v>
      </c>
      <c r="CV153" t="str">
        <f t="shared" si="38"/>
        <v/>
      </c>
      <c r="CX153" s="11">
        <v>45616</v>
      </c>
      <c r="CY153" t="str">
        <f t="shared" si="34"/>
        <v>S47_2024</v>
      </c>
      <c r="DC153" t="s">
        <v>120</v>
      </c>
    </row>
    <row r="154" spans="1:107" x14ac:dyDescent="0.35">
      <c r="A154" t="s">
        <v>745</v>
      </c>
      <c r="B154" s="10" t="str">
        <f t="shared" si="28"/>
        <v>S1_2025</v>
      </c>
      <c r="C154" s="10" t="str">
        <f t="shared" si="29"/>
        <v/>
      </c>
      <c r="D154" s="11">
        <v>45659</v>
      </c>
      <c r="E154" t="s">
        <v>123</v>
      </c>
      <c r="F154">
        <v>13</v>
      </c>
      <c r="G154" t="s">
        <v>107</v>
      </c>
      <c r="H154" t="s">
        <v>108</v>
      </c>
      <c r="J154" t="s">
        <v>142</v>
      </c>
      <c r="K154" s="12"/>
      <c r="L154" t="s">
        <v>126</v>
      </c>
      <c r="M154" t="s">
        <v>746</v>
      </c>
      <c r="N154" t="s">
        <v>747</v>
      </c>
      <c r="P154" t="s">
        <v>110</v>
      </c>
      <c r="Q154" t="s">
        <v>746</v>
      </c>
      <c r="AK154" t="s">
        <v>132</v>
      </c>
      <c r="AM154" t="s">
        <v>114</v>
      </c>
      <c r="AN154" t="s">
        <v>114</v>
      </c>
      <c r="AQ154" t="s">
        <v>142</v>
      </c>
      <c r="AV154" t="s">
        <v>115</v>
      </c>
      <c r="BB154" t="s">
        <v>114</v>
      </c>
      <c r="BC154" s="11">
        <v>45656</v>
      </c>
      <c r="BD154" t="s">
        <v>169</v>
      </c>
      <c r="BF154" t="s">
        <v>746</v>
      </c>
      <c r="BG154" t="s">
        <v>449</v>
      </c>
      <c r="BH154" t="str">
        <f t="shared" si="39"/>
        <v/>
      </c>
      <c r="BJ154" t="str">
        <f t="shared" si="30"/>
        <v/>
      </c>
      <c r="BK154" t="s">
        <v>137</v>
      </c>
      <c r="BL154" t="str">
        <f t="shared" si="31"/>
        <v>S1_2025</v>
      </c>
      <c r="BM154" t="s">
        <v>159</v>
      </c>
      <c r="BN154" s="11">
        <v>45672</v>
      </c>
      <c r="BO154" t="str">
        <f t="shared" si="32"/>
        <v>S3_2025</v>
      </c>
      <c r="BP154" t="s">
        <v>114</v>
      </c>
      <c r="BQ154" t="s">
        <v>450</v>
      </c>
      <c r="BV154" t="s">
        <v>450</v>
      </c>
      <c r="BW154" s="11">
        <v>45672</v>
      </c>
      <c r="BX154" s="11"/>
      <c r="BY154" s="11"/>
      <c r="CB154" s="11"/>
      <c r="CC154" s="11"/>
      <c r="CD154" s="11"/>
      <c r="CG154" s="11"/>
      <c r="CI154" t="s">
        <v>119</v>
      </c>
      <c r="CO154" t="str">
        <f t="shared" si="33"/>
        <v>NEGATIFPAS INCLUS</v>
      </c>
      <c r="CP154" s="11">
        <v>45656</v>
      </c>
      <c r="CR154">
        <f t="shared" si="35"/>
        <v>-45656</v>
      </c>
      <c r="CS154">
        <f t="shared" si="36"/>
        <v>45672</v>
      </c>
      <c r="CT154">
        <f t="shared" si="27"/>
        <v>45656</v>
      </c>
      <c r="CU154">
        <f t="shared" si="37"/>
        <v>45656</v>
      </c>
      <c r="CV154" t="str">
        <f t="shared" si="38"/>
        <v/>
      </c>
      <c r="CY154" t="str">
        <f t="shared" si="34"/>
        <v/>
      </c>
      <c r="DC154" t="s">
        <v>160</v>
      </c>
    </row>
    <row r="155" spans="1:107" x14ac:dyDescent="0.35">
      <c r="A155" t="s">
        <v>748</v>
      </c>
      <c r="B155" s="10" t="str">
        <f t="shared" si="28"/>
        <v>S2_2025</v>
      </c>
      <c r="C155" s="10" t="str">
        <f t="shared" si="29"/>
        <v>S1_2025</v>
      </c>
      <c r="D155" s="11">
        <v>45668</v>
      </c>
      <c r="E155" t="s">
        <v>123</v>
      </c>
      <c r="F155">
        <v>39</v>
      </c>
      <c r="G155" t="s">
        <v>749</v>
      </c>
      <c r="H155" t="s">
        <v>108</v>
      </c>
      <c r="J155" t="s">
        <v>114</v>
      </c>
      <c r="K155" s="14">
        <v>45659</v>
      </c>
      <c r="L155" t="s">
        <v>111</v>
      </c>
      <c r="M155" t="s">
        <v>750</v>
      </c>
      <c r="N155" t="s">
        <v>751</v>
      </c>
      <c r="O155" t="s">
        <v>752</v>
      </c>
      <c r="P155" t="s">
        <v>110</v>
      </c>
      <c r="Q155" t="s">
        <v>750</v>
      </c>
      <c r="R155" s="11">
        <v>45657</v>
      </c>
      <c r="S155" s="11">
        <v>45657</v>
      </c>
      <c r="T155" s="11">
        <v>45657</v>
      </c>
      <c r="V155" t="s">
        <v>114</v>
      </c>
      <c r="AE155" t="s">
        <v>114</v>
      </c>
      <c r="AK155" t="s">
        <v>132</v>
      </c>
      <c r="AM155" t="s">
        <v>132</v>
      </c>
      <c r="AN155" t="s">
        <v>132</v>
      </c>
      <c r="AQ155" t="s">
        <v>142</v>
      </c>
      <c r="AR155" t="s">
        <v>753</v>
      </c>
      <c r="AS155" s="11">
        <v>45665</v>
      </c>
      <c r="AU155" t="s">
        <v>114</v>
      </c>
      <c r="AV155" t="s">
        <v>115</v>
      </c>
      <c r="BB155" t="s">
        <v>114</v>
      </c>
      <c r="BC155" s="11">
        <v>45664</v>
      </c>
      <c r="BD155" t="s">
        <v>754</v>
      </c>
      <c r="BF155" t="s">
        <v>751</v>
      </c>
      <c r="BG155" t="s">
        <v>114</v>
      </c>
      <c r="BH155" t="str">
        <f t="shared" si="39"/>
        <v/>
      </c>
      <c r="BJ155" t="str">
        <f t="shared" si="30"/>
        <v/>
      </c>
      <c r="BK155" t="s">
        <v>117</v>
      </c>
      <c r="BL155" t="str">
        <f t="shared" si="31"/>
        <v>S2_2025</v>
      </c>
      <c r="BM155" t="s">
        <v>159</v>
      </c>
      <c r="BN155" s="11">
        <v>45664</v>
      </c>
      <c r="BO155" t="str">
        <f t="shared" si="32"/>
        <v>S2_2025</v>
      </c>
      <c r="BP155" t="s">
        <v>114</v>
      </c>
      <c r="BQ155" t="s">
        <v>118</v>
      </c>
      <c r="BU155" s="11"/>
      <c r="BW155" s="11"/>
      <c r="BX155" s="11"/>
      <c r="BY155" s="11"/>
      <c r="BZ155" s="11"/>
      <c r="CA155" t="s">
        <v>118</v>
      </c>
      <c r="CB155" s="11">
        <v>45664</v>
      </c>
      <c r="CC155" s="11"/>
      <c r="CD155" s="11"/>
      <c r="CE155" s="11"/>
      <c r="CG155" s="11"/>
      <c r="CI155" t="s">
        <v>119</v>
      </c>
      <c r="CO155" t="str">
        <f t="shared" si="33"/>
        <v>NEGATIFPAS INCLUS</v>
      </c>
      <c r="CP155" s="11">
        <v>45664</v>
      </c>
      <c r="CR155">
        <f t="shared" si="35"/>
        <v>1</v>
      </c>
      <c r="CS155">
        <f t="shared" si="36"/>
        <v>-1</v>
      </c>
      <c r="CT155">
        <f t="shared" si="27"/>
        <v>7</v>
      </c>
      <c r="CU155">
        <f t="shared" si="37"/>
        <v>5</v>
      </c>
      <c r="CV155" t="str">
        <f t="shared" si="38"/>
        <v/>
      </c>
      <c r="CX155" s="11">
        <v>45657</v>
      </c>
      <c r="CY155" t="str">
        <f t="shared" si="34"/>
        <v>S1_2025</v>
      </c>
      <c r="DC155" t="s">
        <v>120</v>
      </c>
    </row>
    <row r="156" spans="1:107" x14ac:dyDescent="0.35">
      <c r="A156" t="s">
        <v>755</v>
      </c>
      <c r="B156" s="10" t="str">
        <f t="shared" si="28"/>
        <v>S3_2025</v>
      </c>
      <c r="C156" s="10" t="str">
        <f t="shared" si="29"/>
        <v>S50_2024</v>
      </c>
      <c r="D156" s="11">
        <v>45672</v>
      </c>
      <c r="E156" t="s">
        <v>106</v>
      </c>
      <c r="F156">
        <v>16</v>
      </c>
      <c r="G156" t="s">
        <v>107</v>
      </c>
      <c r="H156" t="s">
        <v>108</v>
      </c>
      <c r="J156" t="s">
        <v>142</v>
      </c>
      <c r="K156" s="12"/>
      <c r="L156" t="s">
        <v>163</v>
      </c>
      <c r="M156" t="s">
        <v>219</v>
      </c>
      <c r="P156" t="s">
        <v>110</v>
      </c>
      <c r="Q156" t="s">
        <v>298</v>
      </c>
      <c r="R156" s="11">
        <v>45639</v>
      </c>
      <c r="S156" s="11">
        <v>45639</v>
      </c>
      <c r="T156" s="11">
        <v>45639</v>
      </c>
      <c r="AR156" t="s">
        <v>756</v>
      </c>
      <c r="AS156" s="11">
        <v>45657</v>
      </c>
      <c r="AU156" t="s">
        <v>114</v>
      </c>
      <c r="AV156" t="s">
        <v>115</v>
      </c>
      <c r="BB156" t="s">
        <v>114</v>
      </c>
      <c r="BC156" s="11">
        <v>45646</v>
      </c>
      <c r="BD156" t="s">
        <v>169</v>
      </c>
      <c r="BG156" t="s">
        <v>132</v>
      </c>
      <c r="BH156" t="str">
        <f t="shared" si="39"/>
        <v/>
      </c>
      <c r="BJ156" t="str">
        <f t="shared" si="30"/>
        <v/>
      </c>
      <c r="BK156" t="s">
        <v>170</v>
      </c>
      <c r="BL156" t="str">
        <f t="shared" si="31"/>
        <v>S51_2024</v>
      </c>
      <c r="BM156" t="s">
        <v>159</v>
      </c>
      <c r="BN156" s="11">
        <v>45660</v>
      </c>
      <c r="BO156" t="str">
        <f t="shared" si="32"/>
        <v>S1_2025</v>
      </c>
      <c r="BP156" t="s">
        <v>114</v>
      </c>
      <c r="BQ156" t="s">
        <v>118</v>
      </c>
      <c r="BU156" s="11"/>
      <c r="BW156" s="11"/>
      <c r="BX156" s="11"/>
      <c r="BY156" s="11"/>
      <c r="BZ156" s="11"/>
      <c r="CA156" t="s">
        <v>118</v>
      </c>
      <c r="CB156" s="11">
        <v>45660</v>
      </c>
      <c r="CC156" s="11"/>
      <c r="CD156" s="11"/>
      <c r="CE156" s="11"/>
      <c r="CG156" s="11"/>
      <c r="CI156" t="s">
        <v>119</v>
      </c>
      <c r="CO156" t="str">
        <f t="shared" si="33"/>
        <v>NEGATIFPAS INCLUS</v>
      </c>
      <c r="CP156" s="11">
        <v>45646</v>
      </c>
      <c r="CR156">
        <f t="shared" si="35"/>
        <v>11</v>
      </c>
      <c r="CS156">
        <f t="shared" si="36"/>
        <v>3</v>
      </c>
      <c r="CT156">
        <f t="shared" si="27"/>
        <v>7</v>
      </c>
      <c r="CU156">
        <f t="shared" si="37"/>
        <v>45646</v>
      </c>
      <c r="CV156" t="str">
        <f t="shared" si="38"/>
        <v/>
      </c>
      <c r="CX156" s="11">
        <v>45639</v>
      </c>
      <c r="CY156" t="str">
        <f t="shared" si="34"/>
        <v>S50_2024</v>
      </c>
      <c r="DC156" t="s">
        <v>160</v>
      </c>
    </row>
    <row r="157" spans="1:107" x14ac:dyDescent="0.35">
      <c r="A157" t="s">
        <v>757</v>
      </c>
      <c r="B157" s="10" t="str">
        <f t="shared" si="28"/>
        <v>S3_2025</v>
      </c>
      <c r="C157" s="10" t="str">
        <f t="shared" si="29"/>
        <v>S49_2024</v>
      </c>
      <c r="D157" s="11">
        <v>45673</v>
      </c>
      <c r="E157" t="s">
        <v>106</v>
      </c>
      <c r="F157">
        <v>8</v>
      </c>
      <c r="G157" t="s">
        <v>107</v>
      </c>
      <c r="H157" t="s">
        <v>108</v>
      </c>
      <c r="J157" t="s">
        <v>114</v>
      </c>
      <c r="K157" s="14">
        <v>45636</v>
      </c>
      <c r="L157" t="s">
        <v>722</v>
      </c>
      <c r="M157" t="s">
        <v>651</v>
      </c>
      <c r="N157" t="s">
        <v>758</v>
      </c>
      <c r="P157" t="s">
        <v>110</v>
      </c>
      <c r="Q157" t="s">
        <v>651</v>
      </c>
      <c r="R157" s="11">
        <v>45631</v>
      </c>
      <c r="S157" s="11">
        <v>45631</v>
      </c>
      <c r="T157" s="11">
        <v>45631</v>
      </c>
      <c r="V157" t="s">
        <v>114</v>
      </c>
      <c r="X157" t="s">
        <v>114</v>
      </c>
      <c r="AA157" t="s">
        <v>114</v>
      </c>
      <c r="AE157" t="s">
        <v>114</v>
      </c>
      <c r="AG157" t="s">
        <v>114</v>
      </c>
      <c r="AK157" t="s">
        <v>142</v>
      </c>
      <c r="AM157" t="s">
        <v>114</v>
      </c>
      <c r="AN157" t="s">
        <v>142</v>
      </c>
      <c r="AQ157" t="s">
        <v>142</v>
      </c>
      <c r="AR157" t="s">
        <v>759</v>
      </c>
      <c r="AS157" s="11">
        <v>45696</v>
      </c>
      <c r="AU157" t="s">
        <v>114</v>
      </c>
      <c r="AV157" t="s">
        <v>115</v>
      </c>
      <c r="BB157" t="s">
        <v>114</v>
      </c>
      <c r="BC157" s="11">
        <v>45636</v>
      </c>
      <c r="BD157" t="s">
        <v>169</v>
      </c>
      <c r="BE157">
        <v>675912815</v>
      </c>
      <c r="BF157" t="s">
        <v>760</v>
      </c>
      <c r="BG157" t="s">
        <v>114</v>
      </c>
      <c r="BH157" t="str">
        <f t="shared" si="39"/>
        <v/>
      </c>
      <c r="BJ157" t="str">
        <f t="shared" si="30"/>
        <v/>
      </c>
      <c r="BK157" t="s">
        <v>187</v>
      </c>
      <c r="BL157" t="str">
        <f t="shared" si="31"/>
        <v>S50_2024</v>
      </c>
      <c r="BM157" t="s">
        <v>159</v>
      </c>
      <c r="BN157" s="11">
        <v>45696</v>
      </c>
      <c r="BO157" t="str">
        <f t="shared" si="32"/>
        <v>S6_2025</v>
      </c>
      <c r="BP157" t="s">
        <v>114</v>
      </c>
      <c r="BQ157" t="s">
        <v>118</v>
      </c>
      <c r="BU157" s="11"/>
      <c r="BW157" s="11"/>
      <c r="BX157" s="11"/>
      <c r="BY157" s="11"/>
      <c r="BZ157" s="11"/>
      <c r="CA157" t="s">
        <v>118</v>
      </c>
      <c r="CB157" s="11">
        <v>45696</v>
      </c>
      <c r="CC157" s="11"/>
      <c r="CD157" s="11"/>
      <c r="CE157" s="11"/>
      <c r="CG157" s="11"/>
      <c r="CI157" t="s">
        <v>119</v>
      </c>
      <c r="CO157" t="str">
        <f t="shared" si="33"/>
        <v>NEGATIFPAS INCLUS</v>
      </c>
      <c r="CP157" s="11">
        <v>45636</v>
      </c>
      <c r="CR157">
        <f t="shared" si="35"/>
        <v>60</v>
      </c>
      <c r="CS157">
        <f t="shared" si="36"/>
        <v>0</v>
      </c>
      <c r="CT157">
        <f t="shared" si="27"/>
        <v>5</v>
      </c>
      <c r="CU157">
        <f t="shared" si="37"/>
        <v>0</v>
      </c>
      <c r="CV157" t="str">
        <f t="shared" si="38"/>
        <v/>
      </c>
      <c r="CX157" s="11">
        <v>45631</v>
      </c>
      <c r="CY157" t="str">
        <f t="shared" si="34"/>
        <v>S49_2024</v>
      </c>
      <c r="DC157" t="s">
        <v>160</v>
      </c>
    </row>
    <row r="158" spans="1:107" x14ac:dyDescent="0.35">
      <c r="A158" t="s">
        <v>761</v>
      </c>
      <c r="B158" s="10" t="str">
        <f t="shared" si="28"/>
        <v>S3_2025</v>
      </c>
      <c r="C158" s="10" t="str">
        <f t="shared" si="29"/>
        <v>S2_2025</v>
      </c>
      <c r="D158" s="11">
        <v>45673</v>
      </c>
      <c r="E158" t="s">
        <v>106</v>
      </c>
      <c r="F158">
        <v>11</v>
      </c>
      <c r="G158" t="s">
        <v>107</v>
      </c>
      <c r="H158" t="s">
        <v>108</v>
      </c>
      <c r="J158" t="s">
        <v>132</v>
      </c>
      <c r="K158" s="12"/>
      <c r="L158" t="s">
        <v>722</v>
      </c>
      <c r="M158" t="s">
        <v>651</v>
      </c>
      <c r="N158" t="s">
        <v>758</v>
      </c>
      <c r="O158" t="s">
        <v>184</v>
      </c>
      <c r="P158" t="s">
        <v>110</v>
      </c>
      <c r="Q158" t="s">
        <v>651</v>
      </c>
      <c r="R158" s="11">
        <v>45667</v>
      </c>
      <c r="S158" s="11">
        <v>45667</v>
      </c>
      <c r="T158" s="11">
        <v>45667</v>
      </c>
      <c r="V158" t="s">
        <v>114</v>
      </c>
      <c r="AE158" t="s">
        <v>114</v>
      </c>
      <c r="AK158" t="s">
        <v>114</v>
      </c>
      <c r="AM158" t="s">
        <v>114</v>
      </c>
      <c r="AN158" t="s">
        <v>114</v>
      </c>
      <c r="AQ158" t="s">
        <v>142</v>
      </c>
      <c r="AR158" t="s">
        <v>762</v>
      </c>
      <c r="AS158" s="11">
        <v>45696</v>
      </c>
      <c r="AU158" t="s">
        <v>114</v>
      </c>
      <c r="AV158" t="s">
        <v>115</v>
      </c>
      <c r="BB158" t="s">
        <v>114</v>
      </c>
      <c r="BC158" s="11">
        <v>45668</v>
      </c>
      <c r="BD158" t="s">
        <v>535</v>
      </c>
      <c r="BE158">
        <v>653376622</v>
      </c>
      <c r="BF158" t="s">
        <v>758</v>
      </c>
      <c r="BG158" t="s">
        <v>114</v>
      </c>
      <c r="BH158" t="str">
        <f t="shared" si="39"/>
        <v/>
      </c>
      <c r="BJ158" t="str">
        <f t="shared" si="30"/>
        <v/>
      </c>
      <c r="BK158" t="s">
        <v>187</v>
      </c>
      <c r="BL158" t="str">
        <f t="shared" si="31"/>
        <v>S2_2025</v>
      </c>
      <c r="BM158" t="s">
        <v>159</v>
      </c>
      <c r="BN158" s="11">
        <v>45696</v>
      </c>
      <c r="BO158" t="str">
        <f t="shared" si="32"/>
        <v>S6_2025</v>
      </c>
      <c r="BP158" t="s">
        <v>114</v>
      </c>
      <c r="BQ158" t="s">
        <v>118</v>
      </c>
      <c r="BU158" s="11"/>
      <c r="BW158" s="11"/>
      <c r="BX158" s="11"/>
      <c r="BY158" s="11"/>
      <c r="BZ158" s="11"/>
      <c r="CA158" t="s">
        <v>118</v>
      </c>
      <c r="CB158" s="11">
        <v>45696</v>
      </c>
      <c r="CC158" s="11"/>
      <c r="CD158" s="11"/>
      <c r="CE158" s="11"/>
      <c r="CG158" s="11"/>
      <c r="CI158" t="s">
        <v>119</v>
      </c>
      <c r="CO158" t="str">
        <f t="shared" si="33"/>
        <v>NEGATIFPAS INCLUS</v>
      </c>
      <c r="CP158" s="11">
        <v>45668</v>
      </c>
      <c r="CR158">
        <f t="shared" si="35"/>
        <v>28</v>
      </c>
      <c r="CS158">
        <f t="shared" si="36"/>
        <v>0</v>
      </c>
      <c r="CT158">
        <f t="shared" si="27"/>
        <v>1</v>
      </c>
      <c r="CU158" t="str">
        <f t="shared" si="37"/>
        <v/>
      </c>
      <c r="CV158" t="str">
        <f t="shared" si="38"/>
        <v/>
      </c>
      <c r="CX158" s="11">
        <v>45667</v>
      </c>
      <c r="CY158" t="str">
        <f t="shared" si="34"/>
        <v>S2_2025</v>
      </c>
      <c r="DC158" t="s">
        <v>120</v>
      </c>
    </row>
    <row r="159" spans="1:107" x14ac:dyDescent="0.35">
      <c r="A159" t="s">
        <v>763</v>
      </c>
      <c r="B159" s="10" t="str">
        <f t="shared" si="28"/>
        <v>S3_2025</v>
      </c>
      <c r="C159" s="10" t="str">
        <f t="shared" si="29"/>
        <v>S2_2025</v>
      </c>
      <c r="D159" s="11">
        <v>45673</v>
      </c>
      <c r="E159" t="s">
        <v>106</v>
      </c>
      <c r="F159">
        <v>4</v>
      </c>
      <c r="G159" t="s">
        <v>107</v>
      </c>
      <c r="H159" t="s">
        <v>108</v>
      </c>
      <c r="J159" t="s">
        <v>132</v>
      </c>
      <c r="K159" s="12"/>
      <c r="L159" t="s">
        <v>722</v>
      </c>
      <c r="M159" t="s">
        <v>651</v>
      </c>
      <c r="N159" t="s">
        <v>764</v>
      </c>
      <c r="O159" t="s">
        <v>184</v>
      </c>
      <c r="P159" t="s">
        <v>110</v>
      </c>
      <c r="Q159" t="s">
        <v>651</v>
      </c>
      <c r="R159" s="11">
        <v>45669</v>
      </c>
      <c r="S159" s="11">
        <v>45669</v>
      </c>
      <c r="T159" s="11">
        <v>45669</v>
      </c>
      <c r="V159" t="s">
        <v>114</v>
      </c>
      <c r="AE159" t="s">
        <v>114</v>
      </c>
      <c r="AK159" t="s">
        <v>114</v>
      </c>
      <c r="AM159" t="s">
        <v>114</v>
      </c>
      <c r="AN159" t="s">
        <v>114</v>
      </c>
      <c r="AQ159" t="s">
        <v>142</v>
      </c>
      <c r="AR159" t="s">
        <v>765</v>
      </c>
      <c r="AS159" s="11">
        <v>45696</v>
      </c>
      <c r="AU159" t="s">
        <v>114</v>
      </c>
      <c r="AV159" t="s">
        <v>115</v>
      </c>
      <c r="BB159" t="s">
        <v>114</v>
      </c>
      <c r="BC159" s="11">
        <v>45672</v>
      </c>
      <c r="BD159" t="s">
        <v>334</v>
      </c>
      <c r="BE159">
        <v>653376622</v>
      </c>
      <c r="BF159" t="s">
        <v>758</v>
      </c>
      <c r="BG159" t="s">
        <v>114</v>
      </c>
      <c r="BH159" t="str">
        <f t="shared" si="39"/>
        <v/>
      </c>
      <c r="BJ159" t="str">
        <f t="shared" si="30"/>
        <v/>
      </c>
      <c r="BK159" t="s">
        <v>187</v>
      </c>
      <c r="BL159" t="str">
        <f t="shared" si="31"/>
        <v>S3_2025</v>
      </c>
      <c r="BM159" t="s">
        <v>159</v>
      </c>
      <c r="BN159" s="11">
        <v>45696</v>
      </c>
      <c r="BO159" t="str">
        <f t="shared" si="32"/>
        <v>S6_2025</v>
      </c>
      <c r="BP159" t="s">
        <v>114</v>
      </c>
      <c r="BQ159" t="s">
        <v>118</v>
      </c>
      <c r="BU159" s="11"/>
      <c r="BW159" s="11"/>
      <c r="BX159" s="11"/>
      <c r="BY159" s="11"/>
      <c r="BZ159" s="11"/>
      <c r="CA159" t="s">
        <v>118</v>
      </c>
      <c r="CB159" s="11">
        <v>45696</v>
      </c>
      <c r="CC159" s="11"/>
      <c r="CD159" s="11"/>
      <c r="CE159" s="11"/>
      <c r="CG159" s="11"/>
      <c r="CI159" t="s">
        <v>119</v>
      </c>
      <c r="CO159" t="str">
        <f t="shared" si="33"/>
        <v>NEGATIFPAS INCLUS</v>
      </c>
      <c r="CP159" s="11">
        <v>45672</v>
      </c>
      <c r="CR159">
        <f t="shared" si="35"/>
        <v>24</v>
      </c>
      <c r="CS159">
        <f t="shared" si="36"/>
        <v>0</v>
      </c>
      <c r="CT159">
        <f t="shared" si="27"/>
        <v>3</v>
      </c>
      <c r="CU159" t="str">
        <f t="shared" si="37"/>
        <v/>
      </c>
      <c r="CV159" t="str">
        <f t="shared" si="38"/>
        <v/>
      </c>
      <c r="CX159" s="11">
        <v>45669</v>
      </c>
      <c r="CY159" t="str">
        <f t="shared" si="34"/>
        <v>S2_2025</v>
      </c>
      <c r="DC159" t="s">
        <v>120</v>
      </c>
    </row>
    <row r="160" spans="1:107" x14ac:dyDescent="0.35">
      <c r="A160" t="s">
        <v>766</v>
      </c>
      <c r="B160" s="10" t="str">
        <f t="shared" si="28"/>
        <v>S3_2025</v>
      </c>
      <c r="C160" s="10" t="str">
        <f t="shared" si="29"/>
        <v>S2_2025</v>
      </c>
      <c r="D160" s="11">
        <v>45673</v>
      </c>
      <c r="E160" t="s">
        <v>106</v>
      </c>
      <c r="F160">
        <v>6</v>
      </c>
      <c r="G160" t="s">
        <v>107</v>
      </c>
      <c r="H160" t="s">
        <v>108</v>
      </c>
      <c r="J160" t="s">
        <v>142</v>
      </c>
      <c r="K160" s="12"/>
      <c r="L160" t="s">
        <v>722</v>
      </c>
      <c r="M160" t="s">
        <v>651</v>
      </c>
      <c r="N160" t="s">
        <v>758</v>
      </c>
      <c r="P160" t="s">
        <v>110</v>
      </c>
      <c r="Q160" t="s">
        <v>651</v>
      </c>
      <c r="R160" s="11">
        <v>45667</v>
      </c>
      <c r="S160" s="11">
        <v>45667</v>
      </c>
      <c r="T160" s="11">
        <v>45667</v>
      </c>
      <c r="AR160" t="s">
        <v>767</v>
      </c>
      <c r="AS160" s="11">
        <v>45696</v>
      </c>
      <c r="AU160" t="s">
        <v>114</v>
      </c>
      <c r="AV160" t="s">
        <v>134</v>
      </c>
      <c r="AW160" t="s">
        <v>152</v>
      </c>
      <c r="AY160" t="s">
        <v>135</v>
      </c>
      <c r="BB160" t="s">
        <v>114</v>
      </c>
      <c r="BC160" s="11">
        <v>45672</v>
      </c>
      <c r="BD160" t="s">
        <v>686</v>
      </c>
      <c r="BF160" t="s">
        <v>758</v>
      </c>
      <c r="BG160" t="s">
        <v>132</v>
      </c>
      <c r="BH160" t="str">
        <f t="shared" si="39"/>
        <v/>
      </c>
      <c r="BI160" s="11">
        <v>45696</v>
      </c>
      <c r="BJ160" t="str">
        <f t="shared" si="30"/>
        <v>S6_2025</v>
      </c>
      <c r="BK160" t="s">
        <v>187</v>
      </c>
      <c r="BL160" t="str">
        <f t="shared" si="31"/>
        <v>S3_2025</v>
      </c>
      <c r="BM160" t="s">
        <v>159</v>
      </c>
      <c r="BN160" s="11">
        <v>45696</v>
      </c>
      <c r="BO160" t="str">
        <f t="shared" si="32"/>
        <v>S6_2025</v>
      </c>
      <c r="BP160" t="s">
        <v>114</v>
      </c>
      <c r="BQ160" t="s">
        <v>118</v>
      </c>
      <c r="BU160" s="11"/>
      <c r="BW160" s="11"/>
      <c r="BX160" s="11"/>
      <c r="BY160" s="11"/>
      <c r="BZ160" s="11"/>
      <c r="CA160" t="s">
        <v>118</v>
      </c>
      <c r="CB160" s="11">
        <v>45696</v>
      </c>
      <c r="CC160" s="11"/>
      <c r="CD160" s="11"/>
      <c r="CE160" s="11"/>
      <c r="CG160" s="11"/>
      <c r="CI160" t="s">
        <v>134</v>
      </c>
      <c r="CJ160" t="s">
        <v>456</v>
      </c>
      <c r="CK160" t="s">
        <v>452</v>
      </c>
      <c r="CO160" t="str">
        <f t="shared" si="33"/>
        <v>POSITIFPOSITIF</v>
      </c>
      <c r="CP160" s="11">
        <v>45672</v>
      </c>
      <c r="CR160">
        <f t="shared" si="35"/>
        <v>24</v>
      </c>
      <c r="CS160">
        <f t="shared" si="36"/>
        <v>0</v>
      </c>
      <c r="CT160">
        <f t="shared" ref="CT160:CT223" si="40">CP160-CX160</f>
        <v>5</v>
      </c>
      <c r="CU160">
        <f t="shared" si="37"/>
        <v>45672</v>
      </c>
      <c r="CV160">
        <f t="shared" si="38"/>
        <v>29</v>
      </c>
      <c r="CX160" s="11">
        <v>45667</v>
      </c>
      <c r="CY160" t="str">
        <f t="shared" si="34"/>
        <v>S2_2025</v>
      </c>
      <c r="DC160" t="s">
        <v>139</v>
      </c>
    </row>
    <row r="161" spans="1:107" x14ac:dyDescent="0.35">
      <c r="A161" t="s">
        <v>768</v>
      </c>
      <c r="B161" s="10" t="str">
        <f t="shared" si="28"/>
        <v>S3_2025</v>
      </c>
      <c r="C161" s="10" t="str">
        <f t="shared" si="29"/>
        <v>S51_2024</v>
      </c>
      <c r="D161" s="11">
        <v>45673</v>
      </c>
      <c r="E161" t="s">
        <v>123</v>
      </c>
      <c r="F161">
        <v>2</v>
      </c>
      <c r="G161" t="s">
        <v>107</v>
      </c>
      <c r="H161" t="s">
        <v>108</v>
      </c>
      <c r="J161" t="s">
        <v>142</v>
      </c>
      <c r="K161" s="12"/>
      <c r="L161" t="s">
        <v>722</v>
      </c>
      <c r="M161" t="s">
        <v>651</v>
      </c>
      <c r="N161" t="s">
        <v>758</v>
      </c>
      <c r="P161" t="s">
        <v>110</v>
      </c>
      <c r="Q161" t="s">
        <v>651</v>
      </c>
      <c r="R161" s="11">
        <v>45647</v>
      </c>
      <c r="S161" s="11">
        <v>45647</v>
      </c>
      <c r="T161" s="11">
        <v>45647</v>
      </c>
      <c r="V161" t="s">
        <v>114</v>
      </c>
      <c r="AE161" t="s">
        <v>114</v>
      </c>
      <c r="AK161" t="s">
        <v>114</v>
      </c>
      <c r="AM161" t="s">
        <v>114</v>
      </c>
      <c r="AN161" t="s">
        <v>114</v>
      </c>
      <c r="AQ161" t="s">
        <v>142</v>
      </c>
      <c r="AR161" t="s">
        <v>767</v>
      </c>
      <c r="AS161" s="11">
        <v>45696</v>
      </c>
      <c r="AU161" t="s">
        <v>114</v>
      </c>
      <c r="AV161" t="s">
        <v>134</v>
      </c>
      <c r="AW161" t="s">
        <v>152</v>
      </c>
      <c r="AY161" t="s">
        <v>135</v>
      </c>
      <c r="BB161" t="s">
        <v>114</v>
      </c>
      <c r="BC161" s="11">
        <v>45672</v>
      </c>
      <c r="BD161" t="s">
        <v>169</v>
      </c>
      <c r="BF161" t="s">
        <v>758</v>
      </c>
      <c r="BG161" t="s">
        <v>132</v>
      </c>
      <c r="BH161" t="str">
        <f t="shared" si="39"/>
        <v/>
      </c>
      <c r="BI161" s="11">
        <v>45696</v>
      </c>
      <c r="BJ161" t="str">
        <f t="shared" si="30"/>
        <v>S6_2025</v>
      </c>
      <c r="BK161" t="s">
        <v>187</v>
      </c>
      <c r="BL161" t="str">
        <f t="shared" si="31"/>
        <v>S3_2025</v>
      </c>
      <c r="BM161" t="s">
        <v>159</v>
      </c>
      <c r="BN161" s="11">
        <v>45696</v>
      </c>
      <c r="BO161" t="str">
        <f t="shared" si="32"/>
        <v>S6_2025</v>
      </c>
      <c r="BP161" t="s">
        <v>114</v>
      </c>
      <c r="BQ161" t="s">
        <v>118</v>
      </c>
      <c r="BU161" s="11"/>
      <c r="BW161" s="11"/>
      <c r="BX161" s="11"/>
      <c r="BY161" s="11"/>
      <c r="BZ161" s="11"/>
      <c r="CA161" t="s">
        <v>118</v>
      </c>
      <c r="CB161" s="11">
        <v>45696</v>
      </c>
      <c r="CC161" s="11"/>
      <c r="CD161" s="11"/>
      <c r="CE161" s="11"/>
      <c r="CG161" s="11"/>
      <c r="CI161" t="s">
        <v>134</v>
      </c>
      <c r="CJ161" t="s">
        <v>456</v>
      </c>
      <c r="CK161" t="s">
        <v>452</v>
      </c>
      <c r="CO161" t="str">
        <f t="shared" si="33"/>
        <v>POSITIFPOSITIF</v>
      </c>
      <c r="CP161" s="11">
        <v>45672</v>
      </c>
      <c r="CR161">
        <f t="shared" si="35"/>
        <v>24</v>
      </c>
      <c r="CS161">
        <f t="shared" si="36"/>
        <v>0</v>
      </c>
      <c r="CT161">
        <f t="shared" si="40"/>
        <v>25</v>
      </c>
      <c r="CU161">
        <f t="shared" si="37"/>
        <v>45672</v>
      </c>
      <c r="CV161">
        <f t="shared" si="38"/>
        <v>49</v>
      </c>
      <c r="CX161" s="11">
        <v>45647</v>
      </c>
      <c r="CY161" t="str">
        <f t="shared" si="34"/>
        <v>S51_2024</v>
      </c>
      <c r="DC161" t="s">
        <v>139</v>
      </c>
    </row>
    <row r="162" spans="1:107" x14ac:dyDescent="0.35">
      <c r="A162" t="s">
        <v>769</v>
      </c>
      <c r="B162" s="10" t="str">
        <f t="shared" si="28"/>
        <v>S3_2025</v>
      </c>
      <c r="C162" s="10" t="str">
        <f t="shared" si="29"/>
        <v>S2_2025</v>
      </c>
      <c r="D162" s="11">
        <v>45673</v>
      </c>
      <c r="E162" t="s">
        <v>106</v>
      </c>
      <c r="F162">
        <v>25</v>
      </c>
      <c r="G162" t="s">
        <v>110</v>
      </c>
      <c r="H162" t="s">
        <v>108</v>
      </c>
      <c r="J162" t="s">
        <v>142</v>
      </c>
      <c r="K162" s="12"/>
      <c r="L162" t="s">
        <v>722</v>
      </c>
      <c r="M162" t="s">
        <v>651</v>
      </c>
      <c r="N162" t="s">
        <v>758</v>
      </c>
      <c r="P162" t="s">
        <v>110</v>
      </c>
      <c r="Q162" t="s">
        <v>651</v>
      </c>
      <c r="R162" s="11">
        <v>45663</v>
      </c>
      <c r="S162" s="11">
        <v>45663</v>
      </c>
      <c r="T162" s="11">
        <v>45663</v>
      </c>
      <c r="AR162" t="s">
        <v>770</v>
      </c>
      <c r="AS162" s="11">
        <v>45672</v>
      </c>
      <c r="AU162" t="s">
        <v>114</v>
      </c>
      <c r="AV162" t="s">
        <v>115</v>
      </c>
      <c r="BB162" t="s">
        <v>114</v>
      </c>
      <c r="BC162" s="11">
        <v>45666</v>
      </c>
      <c r="BD162" t="s">
        <v>169</v>
      </c>
      <c r="BG162" t="s">
        <v>114</v>
      </c>
      <c r="BH162" t="str">
        <f t="shared" si="39"/>
        <v/>
      </c>
      <c r="BJ162" t="str">
        <f t="shared" si="30"/>
        <v/>
      </c>
      <c r="BK162" t="s">
        <v>187</v>
      </c>
      <c r="BL162" t="str">
        <f t="shared" si="31"/>
        <v>S2_2025</v>
      </c>
      <c r="BM162" t="s">
        <v>159</v>
      </c>
      <c r="BN162" s="11">
        <v>45672</v>
      </c>
      <c r="BO162" t="str">
        <f t="shared" si="32"/>
        <v>S3_2025</v>
      </c>
      <c r="BP162" t="s">
        <v>114</v>
      </c>
      <c r="BQ162" t="s">
        <v>118</v>
      </c>
      <c r="BU162" s="11"/>
      <c r="BW162" s="11"/>
      <c r="BX162" s="11"/>
      <c r="BY162" s="11"/>
      <c r="BZ162" s="11"/>
      <c r="CA162" t="s">
        <v>118</v>
      </c>
      <c r="CB162" s="11">
        <v>45672</v>
      </c>
      <c r="CC162" s="11"/>
      <c r="CD162" s="11"/>
      <c r="CE162" s="11"/>
      <c r="CG162" s="11"/>
      <c r="CI162" t="s">
        <v>119</v>
      </c>
      <c r="CO162" t="str">
        <f t="shared" si="33"/>
        <v>NEGATIFPAS INCLUS</v>
      </c>
      <c r="CP162" s="11">
        <v>45666</v>
      </c>
      <c r="CR162">
        <f t="shared" si="35"/>
        <v>6</v>
      </c>
      <c r="CS162">
        <f t="shared" si="36"/>
        <v>0</v>
      </c>
      <c r="CT162">
        <f t="shared" si="40"/>
        <v>3</v>
      </c>
      <c r="CU162">
        <f t="shared" si="37"/>
        <v>45666</v>
      </c>
      <c r="CV162" t="str">
        <f t="shared" si="38"/>
        <v/>
      </c>
      <c r="CX162" s="11">
        <v>45663</v>
      </c>
      <c r="CY162" t="str">
        <f t="shared" si="34"/>
        <v>S2_2025</v>
      </c>
      <c r="DC162" t="s">
        <v>160</v>
      </c>
    </row>
    <row r="163" spans="1:107" x14ac:dyDescent="0.35">
      <c r="A163" t="s">
        <v>771</v>
      </c>
      <c r="B163" s="10" t="str">
        <f t="shared" si="28"/>
        <v>S3_2025</v>
      </c>
      <c r="C163" s="10" t="str">
        <f t="shared" si="29"/>
        <v>S1_2025</v>
      </c>
      <c r="D163" s="11">
        <v>45673</v>
      </c>
      <c r="E163" t="s">
        <v>123</v>
      </c>
      <c r="F163">
        <v>42</v>
      </c>
      <c r="G163" t="s">
        <v>772</v>
      </c>
      <c r="H163" t="s">
        <v>108</v>
      </c>
      <c r="J163" t="s">
        <v>114</v>
      </c>
      <c r="K163" s="14">
        <v>45665</v>
      </c>
      <c r="L163" t="s">
        <v>248</v>
      </c>
      <c r="M163" t="s">
        <v>773</v>
      </c>
      <c r="N163" t="s">
        <v>773</v>
      </c>
      <c r="P163" t="s">
        <v>110</v>
      </c>
      <c r="Q163" t="s">
        <v>773</v>
      </c>
      <c r="R163" s="11">
        <v>45662</v>
      </c>
      <c r="S163" s="11">
        <v>45662</v>
      </c>
      <c r="T163" s="11">
        <v>45662</v>
      </c>
      <c r="V163" t="s">
        <v>114</v>
      </c>
      <c r="AE163" t="s">
        <v>114</v>
      </c>
      <c r="AK163" t="s">
        <v>132</v>
      </c>
      <c r="AM163" t="s">
        <v>114</v>
      </c>
      <c r="AN163" t="s">
        <v>132</v>
      </c>
      <c r="AQ163" t="s">
        <v>132</v>
      </c>
      <c r="BB163" t="s">
        <v>132</v>
      </c>
      <c r="BF163" t="s">
        <v>773</v>
      </c>
      <c r="BH163" t="str">
        <f t="shared" si="39"/>
        <v/>
      </c>
      <c r="BJ163" t="str">
        <f t="shared" si="30"/>
        <v/>
      </c>
      <c r="BK163" t="s">
        <v>253</v>
      </c>
      <c r="BL163" t="str">
        <f t="shared" si="31"/>
        <v/>
      </c>
      <c r="BM163" t="s">
        <v>159</v>
      </c>
      <c r="BO163" t="str">
        <f t="shared" si="32"/>
        <v/>
      </c>
      <c r="BP163" t="s">
        <v>132</v>
      </c>
      <c r="CI163" t="s">
        <v>119</v>
      </c>
      <c r="CO163" t="str">
        <f t="shared" si="33"/>
        <v>PAS INCLUS</v>
      </c>
      <c r="CP163" s="11">
        <v>45673</v>
      </c>
      <c r="CR163" t="str">
        <f t="shared" si="35"/>
        <v/>
      </c>
      <c r="CS163" t="str">
        <f t="shared" si="36"/>
        <v/>
      </c>
      <c r="CT163">
        <f t="shared" si="40"/>
        <v>11</v>
      </c>
      <c r="CU163">
        <f t="shared" si="37"/>
        <v>8</v>
      </c>
      <c r="CV163" t="str">
        <f t="shared" si="38"/>
        <v/>
      </c>
      <c r="CX163" s="11">
        <v>45662</v>
      </c>
      <c r="CY163" t="str">
        <f t="shared" si="34"/>
        <v>S1_2025</v>
      </c>
      <c r="DB163" t="s">
        <v>114</v>
      </c>
      <c r="DC163" t="s">
        <v>160</v>
      </c>
    </row>
    <row r="164" spans="1:107" x14ac:dyDescent="0.35">
      <c r="A164" t="s">
        <v>774</v>
      </c>
      <c r="B164" s="10" t="str">
        <f t="shared" si="28"/>
        <v>S3_2025</v>
      </c>
      <c r="C164" s="10" t="str">
        <f t="shared" si="29"/>
        <v/>
      </c>
      <c r="D164" s="11">
        <v>45673</v>
      </c>
      <c r="E164" t="s">
        <v>110</v>
      </c>
      <c r="F164"/>
      <c r="G164" t="s">
        <v>110</v>
      </c>
      <c r="H164" t="s">
        <v>108</v>
      </c>
      <c r="J164" t="s">
        <v>142</v>
      </c>
      <c r="K164" s="12"/>
      <c r="L164" t="s">
        <v>248</v>
      </c>
      <c r="M164" t="s">
        <v>773</v>
      </c>
      <c r="N164" t="s">
        <v>110</v>
      </c>
      <c r="P164" t="s">
        <v>110</v>
      </c>
      <c r="Q164" t="s">
        <v>773</v>
      </c>
      <c r="BH164" t="str">
        <f t="shared" si="39"/>
        <v/>
      </c>
      <c r="BJ164" t="str">
        <f t="shared" si="30"/>
        <v/>
      </c>
      <c r="BK164" t="s">
        <v>253</v>
      </c>
      <c r="BL164" t="str">
        <f t="shared" si="31"/>
        <v/>
      </c>
      <c r="BO164" t="str">
        <f t="shared" si="32"/>
        <v/>
      </c>
      <c r="BP164" t="s">
        <v>132</v>
      </c>
      <c r="CI164" t="s">
        <v>119</v>
      </c>
      <c r="CO164" t="str">
        <f t="shared" si="33"/>
        <v>PAS INCLUS</v>
      </c>
      <c r="CP164" s="11">
        <v>45673</v>
      </c>
      <c r="CR164" t="str">
        <f t="shared" si="35"/>
        <v/>
      </c>
      <c r="CS164" t="str">
        <f t="shared" si="36"/>
        <v/>
      </c>
      <c r="CT164">
        <f t="shared" si="40"/>
        <v>45673</v>
      </c>
      <c r="CU164">
        <f t="shared" si="37"/>
        <v>45673</v>
      </c>
      <c r="CV164" t="str">
        <f t="shared" si="38"/>
        <v/>
      </c>
      <c r="CY164" t="str">
        <f t="shared" si="34"/>
        <v/>
      </c>
      <c r="DB164" t="s">
        <v>114</v>
      </c>
      <c r="DC164" t="s">
        <v>160</v>
      </c>
    </row>
    <row r="165" spans="1:107" x14ac:dyDescent="0.35">
      <c r="A165" t="s">
        <v>775</v>
      </c>
      <c r="B165" s="10" t="str">
        <f t="shared" si="28"/>
        <v>S4_2025</v>
      </c>
      <c r="C165" s="10" t="str">
        <f t="shared" si="29"/>
        <v>S52_2024</v>
      </c>
      <c r="D165" s="11">
        <v>45680</v>
      </c>
      <c r="E165" t="s">
        <v>123</v>
      </c>
      <c r="F165">
        <v>5</v>
      </c>
      <c r="G165" t="s">
        <v>107</v>
      </c>
      <c r="H165" t="s">
        <v>108</v>
      </c>
      <c r="J165" t="s">
        <v>114</v>
      </c>
      <c r="K165" s="14">
        <v>45672</v>
      </c>
      <c r="L165" t="s">
        <v>163</v>
      </c>
      <c r="M165" t="s">
        <v>776</v>
      </c>
      <c r="N165" t="s">
        <v>777</v>
      </c>
      <c r="P165" t="s">
        <v>110</v>
      </c>
      <c r="Q165" t="s">
        <v>776</v>
      </c>
      <c r="R165" s="11">
        <v>45653</v>
      </c>
      <c r="S165" s="11">
        <v>45653</v>
      </c>
      <c r="T165" s="11">
        <v>45653</v>
      </c>
      <c r="V165" t="s">
        <v>114</v>
      </c>
      <c r="AE165" t="s">
        <v>114</v>
      </c>
      <c r="AK165" t="s">
        <v>114</v>
      </c>
      <c r="AM165" t="s">
        <v>132</v>
      </c>
      <c r="AN165" t="s">
        <v>132</v>
      </c>
      <c r="AQ165" t="s">
        <v>132</v>
      </c>
      <c r="AR165" t="s">
        <v>778</v>
      </c>
      <c r="AS165" s="11">
        <v>45678</v>
      </c>
      <c r="AU165" t="s">
        <v>114</v>
      </c>
      <c r="AV165" t="s">
        <v>115</v>
      </c>
      <c r="BB165" t="s">
        <v>114</v>
      </c>
      <c r="BC165" s="11">
        <v>45672</v>
      </c>
      <c r="BD165" t="s">
        <v>334</v>
      </c>
      <c r="BE165">
        <v>677846692</v>
      </c>
      <c r="BF165" t="s">
        <v>777</v>
      </c>
      <c r="BG165" t="s">
        <v>132</v>
      </c>
      <c r="BH165" t="str">
        <f t="shared" si="39"/>
        <v/>
      </c>
      <c r="BJ165" t="str">
        <f t="shared" si="30"/>
        <v/>
      </c>
      <c r="BK165" t="s">
        <v>170</v>
      </c>
      <c r="BL165" t="str">
        <f t="shared" si="31"/>
        <v>S3_2025</v>
      </c>
      <c r="BM165" t="s">
        <v>159</v>
      </c>
      <c r="BN165" s="11">
        <v>45679</v>
      </c>
      <c r="BO165" t="str">
        <f t="shared" si="32"/>
        <v>S4_2025</v>
      </c>
      <c r="BP165" t="s">
        <v>114</v>
      </c>
      <c r="BQ165" t="s">
        <v>118</v>
      </c>
      <c r="BU165" s="11"/>
      <c r="BW165" s="11"/>
      <c r="BX165" s="11"/>
      <c r="BY165" s="11"/>
      <c r="BZ165" s="11"/>
      <c r="CA165" t="s">
        <v>118</v>
      </c>
      <c r="CB165" s="11">
        <v>45679</v>
      </c>
      <c r="CC165" s="11"/>
      <c r="CD165" s="11"/>
      <c r="CE165" s="11"/>
      <c r="CG165" s="11"/>
      <c r="CI165" t="s">
        <v>119</v>
      </c>
      <c r="CO165" t="str">
        <f t="shared" si="33"/>
        <v>NEGATIFPAS INCLUS</v>
      </c>
      <c r="CP165" s="11">
        <v>45672</v>
      </c>
      <c r="CR165">
        <f t="shared" si="35"/>
        <v>6</v>
      </c>
      <c r="CS165">
        <f t="shared" si="36"/>
        <v>1</v>
      </c>
      <c r="CT165">
        <f t="shared" si="40"/>
        <v>19</v>
      </c>
      <c r="CU165">
        <f t="shared" si="37"/>
        <v>0</v>
      </c>
      <c r="CV165" t="str">
        <f t="shared" si="38"/>
        <v/>
      </c>
      <c r="CX165" s="11">
        <v>45653</v>
      </c>
      <c r="CY165" t="str">
        <f t="shared" si="34"/>
        <v>S52_2024</v>
      </c>
      <c r="DC165" t="s">
        <v>120</v>
      </c>
    </row>
    <row r="166" spans="1:107" x14ac:dyDescent="0.35">
      <c r="A166" t="s">
        <v>779</v>
      </c>
      <c r="B166" s="10" t="str">
        <f t="shared" si="28"/>
        <v>S4_2025</v>
      </c>
      <c r="C166" s="10" t="str">
        <f t="shared" si="29"/>
        <v>S52_2024</v>
      </c>
      <c r="D166" s="11">
        <v>45680</v>
      </c>
      <c r="E166" t="s">
        <v>123</v>
      </c>
      <c r="F166">
        <v>5</v>
      </c>
      <c r="G166" t="s">
        <v>107</v>
      </c>
      <c r="H166" t="s">
        <v>108</v>
      </c>
      <c r="J166" t="s">
        <v>114</v>
      </c>
      <c r="K166" s="14">
        <v>45672</v>
      </c>
      <c r="L166" t="s">
        <v>163</v>
      </c>
      <c r="M166" t="s">
        <v>776</v>
      </c>
      <c r="N166" t="s">
        <v>777</v>
      </c>
      <c r="P166" t="s">
        <v>110</v>
      </c>
      <c r="Q166" t="s">
        <v>776</v>
      </c>
      <c r="R166" s="11">
        <v>45653</v>
      </c>
      <c r="S166" s="11">
        <v>45653</v>
      </c>
      <c r="T166" s="11">
        <v>45653</v>
      </c>
      <c r="V166" t="s">
        <v>114</v>
      </c>
      <c r="AE166" t="s">
        <v>114</v>
      </c>
      <c r="AK166" t="s">
        <v>114</v>
      </c>
      <c r="AM166" t="s">
        <v>132</v>
      </c>
      <c r="AN166" t="s">
        <v>132</v>
      </c>
      <c r="AQ166" t="s">
        <v>132</v>
      </c>
      <c r="AR166" t="s">
        <v>780</v>
      </c>
      <c r="AS166" s="11">
        <v>45678</v>
      </c>
      <c r="AU166" t="s">
        <v>114</v>
      </c>
      <c r="AV166" t="s">
        <v>115</v>
      </c>
      <c r="BB166" t="s">
        <v>114</v>
      </c>
      <c r="BC166" s="11">
        <v>45672</v>
      </c>
      <c r="BD166" t="s">
        <v>313</v>
      </c>
      <c r="BE166">
        <v>677846692</v>
      </c>
      <c r="BF166" t="s">
        <v>777</v>
      </c>
      <c r="BG166" t="s">
        <v>132</v>
      </c>
      <c r="BH166" t="str">
        <f t="shared" si="39"/>
        <v/>
      </c>
      <c r="BJ166" t="str">
        <f t="shared" si="30"/>
        <v/>
      </c>
      <c r="BK166" t="s">
        <v>170</v>
      </c>
      <c r="BL166" t="str">
        <f t="shared" si="31"/>
        <v>S3_2025</v>
      </c>
      <c r="BM166" t="s">
        <v>159</v>
      </c>
      <c r="BN166" s="11">
        <v>45679</v>
      </c>
      <c r="BO166" t="str">
        <f t="shared" si="32"/>
        <v>S4_2025</v>
      </c>
      <c r="BP166" t="s">
        <v>114</v>
      </c>
      <c r="BQ166" t="s">
        <v>118</v>
      </c>
      <c r="BU166" s="11"/>
      <c r="BW166" s="11"/>
      <c r="BX166" s="11"/>
      <c r="BY166" s="11"/>
      <c r="BZ166" s="11"/>
      <c r="CA166" t="s">
        <v>118</v>
      </c>
      <c r="CB166" s="11">
        <v>45679</v>
      </c>
      <c r="CC166" s="11"/>
      <c r="CD166" s="11"/>
      <c r="CE166" s="11"/>
      <c r="CG166" s="11"/>
      <c r="CI166" t="s">
        <v>119</v>
      </c>
      <c r="CO166" t="str">
        <f t="shared" si="33"/>
        <v>NEGATIFPAS INCLUS</v>
      </c>
      <c r="CP166" s="11">
        <v>45672</v>
      </c>
      <c r="CR166">
        <f t="shared" si="35"/>
        <v>6</v>
      </c>
      <c r="CS166">
        <f t="shared" si="36"/>
        <v>1</v>
      </c>
      <c r="CT166">
        <f t="shared" si="40"/>
        <v>19</v>
      </c>
      <c r="CU166">
        <f t="shared" si="37"/>
        <v>0</v>
      </c>
      <c r="CV166" t="str">
        <f t="shared" si="38"/>
        <v/>
      </c>
      <c r="CX166" s="11">
        <v>45653</v>
      </c>
      <c r="CY166" t="str">
        <f t="shared" si="34"/>
        <v>S52_2024</v>
      </c>
      <c r="DC166" t="s">
        <v>120</v>
      </c>
    </row>
    <row r="167" spans="1:107" x14ac:dyDescent="0.35">
      <c r="A167" t="s">
        <v>781</v>
      </c>
      <c r="B167" s="10" t="str">
        <f t="shared" si="28"/>
        <v>S5_2025</v>
      </c>
      <c r="C167" s="10" t="str">
        <f t="shared" si="29"/>
        <v>S4_2025</v>
      </c>
      <c r="D167" s="11">
        <v>45684</v>
      </c>
      <c r="E167" t="s">
        <v>106</v>
      </c>
      <c r="F167">
        <v>7</v>
      </c>
      <c r="G167" t="s">
        <v>107</v>
      </c>
      <c r="H167" t="s">
        <v>108</v>
      </c>
      <c r="J167" t="s">
        <v>142</v>
      </c>
      <c r="K167" s="12"/>
      <c r="L167" t="s">
        <v>111</v>
      </c>
      <c r="M167" t="s">
        <v>306</v>
      </c>
      <c r="N167" t="s">
        <v>782</v>
      </c>
      <c r="P167" t="s">
        <v>110</v>
      </c>
      <c r="Q167" t="s">
        <v>626</v>
      </c>
      <c r="R167" s="11">
        <v>45678</v>
      </c>
      <c r="S167" s="11">
        <v>45678</v>
      </c>
      <c r="T167" s="11">
        <v>45678</v>
      </c>
      <c r="V167" t="s">
        <v>114</v>
      </c>
      <c r="AR167" t="s">
        <v>783</v>
      </c>
      <c r="AS167" s="11">
        <v>45684</v>
      </c>
      <c r="AU167" t="s">
        <v>114</v>
      </c>
      <c r="AV167" t="s">
        <v>115</v>
      </c>
      <c r="BB167" t="s">
        <v>114</v>
      </c>
      <c r="BC167" s="11">
        <v>45684</v>
      </c>
      <c r="BD167" t="s">
        <v>686</v>
      </c>
      <c r="BG167" t="s">
        <v>114</v>
      </c>
      <c r="BH167" t="str">
        <f t="shared" si="39"/>
        <v/>
      </c>
      <c r="BJ167" t="str">
        <f t="shared" si="30"/>
        <v/>
      </c>
      <c r="BK167" t="s">
        <v>117</v>
      </c>
      <c r="BL167" t="str">
        <f t="shared" si="31"/>
        <v>S5_2025</v>
      </c>
      <c r="BM167" t="s">
        <v>159</v>
      </c>
      <c r="BN167" s="11">
        <v>45685</v>
      </c>
      <c r="BO167" t="str">
        <f t="shared" si="32"/>
        <v>S5_2025</v>
      </c>
      <c r="BP167" t="s">
        <v>114</v>
      </c>
      <c r="BQ167" t="s">
        <v>118</v>
      </c>
      <c r="BU167" s="11"/>
      <c r="BW167" s="11"/>
      <c r="BX167" s="11"/>
      <c r="BY167" s="11"/>
      <c r="BZ167" s="11"/>
      <c r="CA167" t="s">
        <v>118</v>
      </c>
      <c r="CB167" s="11">
        <v>45685</v>
      </c>
      <c r="CC167" s="11"/>
      <c r="CD167" s="11"/>
      <c r="CE167" s="11"/>
      <c r="CG167" s="11"/>
      <c r="CI167" t="s">
        <v>119</v>
      </c>
      <c r="CO167" t="str">
        <f t="shared" si="33"/>
        <v>NEGATIFPAS INCLUS</v>
      </c>
      <c r="CP167" s="11">
        <v>45684</v>
      </c>
      <c r="CR167">
        <f t="shared" si="35"/>
        <v>0</v>
      </c>
      <c r="CS167">
        <f t="shared" si="36"/>
        <v>1</v>
      </c>
      <c r="CT167">
        <f t="shared" si="40"/>
        <v>6</v>
      </c>
      <c r="CU167">
        <f t="shared" si="37"/>
        <v>45684</v>
      </c>
      <c r="CV167" t="str">
        <f t="shared" si="38"/>
        <v/>
      </c>
      <c r="CX167" s="11">
        <v>45678</v>
      </c>
      <c r="CY167" t="str">
        <f t="shared" si="34"/>
        <v>S4_2025</v>
      </c>
      <c r="DC167" t="s">
        <v>120</v>
      </c>
    </row>
    <row r="168" spans="1:107" x14ac:dyDescent="0.35">
      <c r="A168" t="s">
        <v>784</v>
      </c>
      <c r="B168" s="10" t="str">
        <f t="shared" si="28"/>
        <v>S5_2025</v>
      </c>
      <c r="C168" s="10" t="str">
        <f t="shared" si="29"/>
        <v>S1_2025</v>
      </c>
      <c r="D168" s="11">
        <v>45686</v>
      </c>
      <c r="E168" t="s">
        <v>123</v>
      </c>
      <c r="F168">
        <v>19</v>
      </c>
      <c r="G168" t="s">
        <v>107</v>
      </c>
      <c r="H168" t="s">
        <v>108</v>
      </c>
      <c r="J168" t="s">
        <v>142</v>
      </c>
      <c r="K168" s="12"/>
      <c r="L168" t="s">
        <v>722</v>
      </c>
      <c r="M168" t="s">
        <v>619</v>
      </c>
      <c r="P168" t="s">
        <v>110</v>
      </c>
      <c r="Q168" t="s">
        <v>619</v>
      </c>
      <c r="R168" s="11">
        <v>45656</v>
      </c>
      <c r="S168" s="11">
        <v>45656</v>
      </c>
      <c r="T168" s="11">
        <v>45656</v>
      </c>
      <c r="AR168" t="s">
        <v>785</v>
      </c>
      <c r="AS168" s="11">
        <v>45684</v>
      </c>
      <c r="AU168" t="s">
        <v>114</v>
      </c>
      <c r="AV168" t="s">
        <v>115</v>
      </c>
      <c r="BB168" t="s">
        <v>114</v>
      </c>
      <c r="BC168" s="11">
        <v>45679</v>
      </c>
      <c r="BD168" t="s">
        <v>169</v>
      </c>
      <c r="BG168" t="s">
        <v>132</v>
      </c>
      <c r="BH168" t="str">
        <f t="shared" si="39"/>
        <v/>
      </c>
      <c r="BJ168" t="str">
        <f t="shared" si="30"/>
        <v/>
      </c>
      <c r="BK168" t="s">
        <v>187</v>
      </c>
      <c r="BL168" t="str">
        <f t="shared" si="31"/>
        <v>S4_2025</v>
      </c>
      <c r="BM168" t="s">
        <v>159</v>
      </c>
      <c r="BN168" s="11">
        <v>45685</v>
      </c>
      <c r="BO168" t="str">
        <f t="shared" si="32"/>
        <v>S5_2025</v>
      </c>
      <c r="BP168" t="s">
        <v>114</v>
      </c>
      <c r="BQ168" t="s">
        <v>118</v>
      </c>
      <c r="BU168" s="11"/>
      <c r="BW168" s="11"/>
      <c r="BX168" s="11"/>
      <c r="BY168" s="11"/>
      <c r="BZ168" s="11"/>
      <c r="CA168" t="s">
        <v>118</v>
      </c>
      <c r="CB168" s="11">
        <v>45685</v>
      </c>
      <c r="CC168" s="11"/>
      <c r="CD168" s="11"/>
      <c r="CE168" s="11"/>
      <c r="CG168" s="11"/>
      <c r="CI168" t="s">
        <v>119</v>
      </c>
      <c r="CO168" t="str">
        <f t="shared" si="33"/>
        <v>NEGATIFPAS INCLUS</v>
      </c>
      <c r="CP168" s="11">
        <v>45679</v>
      </c>
      <c r="CR168">
        <f t="shared" si="35"/>
        <v>5</v>
      </c>
      <c r="CS168">
        <f t="shared" si="36"/>
        <v>1</v>
      </c>
      <c r="CT168">
        <f t="shared" si="40"/>
        <v>23</v>
      </c>
      <c r="CU168">
        <f t="shared" si="37"/>
        <v>45679</v>
      </c>
      <c r="CV168" t="str">
        <f t="shared" si="38"/>
        <v/>
      </c>
      <c r="CX168" s="11">
        <v>45656</v>
      </c>
      <c r="CY168" t="str">
        <f t="shared" si="34"/>
        <v>S1_2025</v>
      </c>
      <c r="DC168" t="s">
        <v>160</v>
      </c>
    </row>
    <row r="169" spans="1:107" x14ac:dyDescent="0.35">
      <c r="A169" t="s">
        <v>786</v>
      </c>
      <c r="B169" s="10" t="str">
        <f t="shared" si="28"/>
        <v>S5_2025</v>
      </c>
      <c r="C169" s="10" t="str">
        <f t="shared" si="29"/>
        <v>S4_2025</v>
      </c>
      <c r="D169" s="11">
        <v>45688</v>
      </c>
      <c r="E169" t="s">
        <v>123</v>
      </c>
      <c r="F169">
        <v>20</v>
      </c>
      <c r="G169" t="s">
        <v>110</v>
      </c>
      <c r="H169" t="s">
        <v>108</v>
      </c>
      <c r="J169" t="s">
        <v>142</v>
      </c>
      <c r="K169" s="12"/>
      <c r="L169" t="s">
        <v>111</v>
      </c>
      <c r="M169" t="s">
        <v>626</v>
      </c>
      <c r="P169" t="s">
        <v>110</v>
      </c>
      <c r="Q169" t="s">
        <v>626</v>
      </c>
      <c r="R169" s="11">
        <v>45683</v>
      </c>
      <c r="S169" s="11">
        <v>45683</v>
      </c>
      <c r="T169" s="11">
        <v>45683</v>
      </c>
      <c r="AR169" t="s">
        <v>787</v>
      </c>
      <c r="AS169" s="11">
        <v>45686</v>
      </c>
      <c r="AU169" t="s">
        <v>114</v>
      </c>
      <c r="AV169" t="s">
        <v>115</v>
      </c>
      <c r="BB169" t="s">
        <v>114</v>
      </c>
      <c r="BC169" s="11">
        <v>45685</v>
      </c>
      <c r="BD169" t="s">
        <v>686</v>
      </c>
      <c r="BG169" t="s">
        <v>114</v>
      </c>
      <c r="BH169" t="str">
        <f t="shared" si="39"/>
        <v/>
      </c>
      <c r="BI169" s="11"/>
      <c r="BJ169" t="str">
        <f t="shared" si="30"/>
        <v/>
      </c>
      <c r="BK169" t="s">
        <v>117</v>
      </c>
      <c r="BL169" t="str">
        <f t="shared" si="31"/>
        <v>S5_2025</v>
      </c>
      <c r="BM169" t="s">
        <v>159</v>
      </c>
      <c r="BN169" s="11">
        <v>45687</v>
      </c>
      <c r="BO169" t="str">
        <f t="shared" si="32"/>
        <v>S5_2025</v>
      </c>
      <c r="BP169" t="s">
        <v>114</v>
      </c>
      <c r="BQ169" t="s">
        <v>118</v>
      </c>
      <c r="BU169" s="11"/>
      <c r="BW169" s="11"/>
      <c r="BX169" s="11"/>
      <c r="BY169" s="11"/>
      <c r="BZ169" s="11"/>
      <c r="CA169" t="s">
        <v>118</v>
      </c>
      <c r="CB169" s="11">
        <v>45687</v>
      </c>
      <c r="CC169" s="11"/>
      <c r="CD169" s="11"/>
      <c r="CE169" s="11"/>
      <c r="CG169" s="11"/>
      <c r="CI169" t="s">
        <v>119</v>
      </c>
      <c r="CO169" t="str">
        <f t="shared" si="33"/>
        <v>NEGATIFPAS INCLUS</v>
      </c>
      <c r="CP169" s="11">
        <v>45685</v>
      </c>
      <c r="CR169">
        <f t="shared" si="35"/>
        <v>1</v>
      </c>
      <c r="CS169">
        <f t="shared" si="36"/>
        <v>1</v>
      </c>
      <c r="CT169">
        <f t="shared" si="40"/>
        <v>2</v>
      </c>
      <c r="CU169">
        <f t="shared" si="37"/>
        <v>45685</v>
      </c>
      <c r="CV169" t="str">
        <f t="shared" si="38"/>
        <v/>
      </c>
      <c r="CX169" s="11">
        <v>45683</v>
      </c>
      <c r="CY169" t="str">
        <f t="shared" si="34"/>
        <v>S4_2025</v>
      </c>
      <c r="DC169" t="s">
        <v>120</v>
      </c>
    </row>
    <row r="170" spans="1:107" x14ac:dyDescent="0.35">
      <c r="A170" t="s">
        <v>788</v>
      </c>
      <c r="B170" s="10" t="str">
        <f t="shared" si="28"/>
        <v>S6_2025</v>
      </c>
      <c r="C170" s="10" t="str">
        <f t="shared" si="29"/>
        <v>S3_2025</v>
      </c>
      <c r="D170" s="11">
        <v>45691</v>
      </c>
      <c r="E170" t="s">
        <v>123</v>
      </c>
      <c r="F170">
        <v>34</v>
      </c>
      <c r="G170" t="s">
        <v>162</v>
      </c>
      <c r="H170" t="s">
        <v>108</v>
      </c>
      <c r="J170" t="s">
        <v>114</v>
      </c>
      <c r="K170" s="14">
        <v>45689</v>
      </c>
      <c r="L170" t="s">
        <v>722</v>
      </c>
      <c r="M170" t="s">
        <v>186</v>
      </c>
      <c r="P170" t="s">
        <v>110</v>
      </c>
      <c r="Q170" t="s">
        <v>234</v>
      </c>
      <c r="R170" s="11">
        <v>45673</v>
      </c>
      <c r="S170" s="11">
        <v>45673</v>
      </c>
      <c r="T170" s="11">
        <v>45673</v>
      </c>
      <c r="V170" t="s">
        <v>114</v>
      </c>
      <c r="AE170" t="s">
        <v>114</v>
      </c>
      <c r="AK170" t="s">
        <v>114</v>
      </c>
      <c r="AM170" t="s">
        <v>142</v>
      </c>
      <c r="AN170" t="s">
        <v>114</v>
      </c>
      <c r="AQ170" t="s">
        <v>142</v>
      </c>
      <c r="AR170" t="s">
        <v>789</v>
      </c>
      <c r="AS170" s="11">
        <v>45688</v>
      </c>
      <c r="AU170" t="s">
        <v>114</v>
      </c>
      <c r="AV170" t="s">
        <v>115</v>
      </c>
      <c r="BB170" t="s">
        <v>114</v>
      </c>
      <c r="BC170" s="11">
        <v>45685</v>
      </c>
      <c r="BD170" t="s">
        <v>686</v>
      </c>
      <c r="BE170">
        <v>654987940</v>
      </c>
      <c r="BG170" t="s">
        <v>114</v>
      </c>
      <c r="BH170" t="str">
        <f t="shared" si="39"/>
        <v/>
      </c>
      <c r="BJ170" t="str">
        <f t="shared" si="30"/>
        <v/>
      </c>
      <c r="BK170" t="s">
        <v>187</v>
      </c>
      <c r="BL170" t="str">
        <f t="shared" si="31"/>
        <v>S5_2025</v>
      </c>
      <c r="BM170" t="s">
        <v>159</v>
      </c>
      <c r="BN170" s="11">
        <v>45689</v>
      </c>
      <c r="BO170" t="str">
        <f t="shared" si="32"/>
        <v>S5_2025</v>
      </c>
      <c r="BP170" t="s">
        <v>114</v>
      </c>
      <c r="BQ170" t="s">
        <v>118</v>
      </c>
      <c r="BU170" s="11"/>
      <c r="BW170" s="11"/>
      <c r="BX170" s="11"/>
      <c r="BY170" s="11"/>
      <c r="BZ170" s="11"/>
      <c r="CA170" t="s">
        <v>118</v>
      </c>
      <c r="CB170" s="11">
        <v>45689</v>
      </c>
      <c r="CC170" s="11"/>
      <c r="CD170" s="11"/>
      <c r="CE170" s="11"/>
      <c r="CG170" s="11"/>
      <c r="CI170" t="s">
        <v>119</v>
      </c>
      <c r="CO170" t="str">
        <f t="shared" si="33"/>
        <v>NEGATIFPAS INCLUS</v>
      </c>
      <c r="CP170" s="11">
        <v>45685</v>
      </c>
      <c r="CR170">
        <f t="shared" si="35"/>
        <v>3</v>
      </c>
      <c r="CS170">
        <f t="shared" si="36"/>
        <v>1</v>
      </c>
      <c r="CT170">
        <f t="shared" si="40"/>
        <v>12</v>
      </c>
      <c r="CU170">
        <f t="shared" si="37"/>
        <v>-4</v>
      </c>
      <c r="CV170" t="str">
        <f t="shared" si="38"/>
        <v/>
      </c>
      <c r="CX170" s="11">
        <v>45673</v>
      </c>
      <c r="CY170" t="str">
        <f t="shared" si="34"/>
        <v>S3_2025</v>
      </c>
      <c r="DC170" t="s">
        <v>120</v>
      </c>
    </row>
    <row r="171" spans="1:107" x14ac:dyDescent="0.35">
      <c r="A171" t="s">
        <v>790</v>
      </c>
      <c r="B171" s="10" t="str">
        <f t="shared" si="28"/>
        <v>S6_2025</v>
      </c>
      <c r="C171" s="10" t="str">
        <f t="shared" si="29"/>
        <v>S4_2025</v>
      </c>
      <c r="D171" s="11">
        <v>45691</v>
      </c>
      <c r="E171" t="s">
        <v>123</v>
      </c>
      <c r="F171">
        <v>7</v>
      </c>
      <c r="G171" t="s">
        <v>107</v>
      </c>
      <c r="H171" t="s">
        <v>108</v>
      </c>
      <c r="J171" t="s">
        <v>114</v>
      </c>
      <c r="K171" s="12" t="s">
        <v>110</v>
      </c>
      <c r="L171" t="s">
        <v>722</v>
      </c>
      <c r="M171" t="s">
        <v>183</v>
      </c>
      <c r="N171" t="s">
        <v>186</v>
      </c>
      <c r="O171" t="s">
        <v>110</v>
      </c>
      <c r="P171" t="s">
        <v>110</v>
      </c>
      <c r="Q171" t="s">
        <v>234</v>
      </c>
      <c r="R171" s="11">
        <v>45682</v>
      </c>
      <c r="S171" s="11">
        <v>45682</v>
      </c>
      <c r="T171" s="11">
        <v>45682</v>
      </c>
      <c r="AE171" t="s">
        <v>114</v>
      </c>
      <c r="AK171" t="s">
        <v>114</v>
      </c>
      <c r="AM171" t="s">
        <v>132</v>
      </c>
      <c r="AN171" t="s">
        <v>114</v>
      </c>
      <c r="AR171" t="s">
        <v>791</v>
      </c>
      <c r="AS171" s="11">
        <v>45688</v>
      </c>
      <c r="AU171" t="s">
        <v>114</v>
      </c>
      <c r="AV171" t="s">
        <v>115</v>
      </c>
      <c r="BB171" t="s">
        <v>114</v>
      </c>
      <c r="BC171" s="11">
        <v>45684</v>
      </c>
      <c r="BD171" t="s">
        <v>686</v>
      </c>
      <c r="BF171" t="s">
        <v>186</v>
      </c>
      <c r="BG171" t="s">
        <v>114</v>
      </c>
      <c r="BH171" t="str">
        <f t="shared" si="39"/>
        <v/>
      </c>
      <c r="BJ171" t="str">
        <f t="shared" si="30"/>
        <v/>
      </c>
      <c r="BK171" t="s">
        <v>187</v>
      </c>
      <c r="BL171" t="str">
        <f t="shared" si="31"/>
        <v>S5_2025</v>
      </c>
      <c r="BM171" t="s">
        <v>159</v>
      </c>
      <c r="BN171" s="11">
        <v>45689</v>
      </c>
      <c r="BO171" t="str">
        <f t="shared" si="32"/>
        <v>S5_2025</v>
      </c>
      <c r="BP171" t="s">
        <v>114</v>
      </c>
      <c r="BQ171" t="s">
        <v>118</v>
      </c>
      <c r="BU171" s="11"/>
      <c r="BW171" s="11"/>
      <c r="BX171" s="11"/>
      <c r="BY171" s="11"/>
      <c r="BZ171" s="11"/>
      <c r="CA171" t="s">
        <v>118</v>
      </c>
      <c r="CB171" s="11">
        <v>45689</v>
      </c>
      <c r="CC171" s="11"/>
      <c r="CD171" s="11"/>
      <c r="CE171" s="11"/>
      <c r="CG171" s="11"/>
      <c r="CI171" t="s">
        <v>119</v>
      </c>
      <c r="CO171" t="str">
        <f t="shared" si="33"/>
        <v>NEGATIFPAS INCLUS</v>
      </c>
      <c r="CP171" s="11">
        <v>45684</v>
      </c>
      <c r="CR171">
        <f t="shared" si="35"/>
        <v>4</v>
      </c>
      <c r="CS171">
        <f t="shared" si="36"/>
        <v>1</v>
      </c>
      <c r="CT171">
        <f t="shared" si="40"/>
        <v>2</v>
      </c>
      <c r="CU171" t="e">
        <f t="shared" si="37"/>
        <v>#VALUE!</v>
      </c>
      <c r="CV171" t="str">
        <f t="shared" si="38"/>
        <v/>
      </c>
      <c r="CX171" s="11">
        <v>45682</v>
      </c>
      <c r="CY171" t="str">
        <f t="shared" si="34"/>
        <v>S4_2025</v>
      </c>
      <c r="DC171" t="s">
        <v>120</v>
      </c>
    </row>
    <row r="172" spans="1:107" x14ac:dyDescent="0.35">
      <c r="A172" t="s">
        <v>792</v>
      </c>
      <c r="B172" s="10" t="str">
        <f t="shared" si="28"/>
        <v>S7_2025</v>
      </c>
      <c r="C172" s="10" t="str">
        <f t="shared" si="29"/>
        <v>S6_2025</v>
      </c>
      <c r="D172" s="11">
        <v>45701</v>
      </c>
      <c r="E172" t="s">
        <v>123</v>
      </c>
      <c r="F172">
        <v>4</v>
      </c>
      <c r="G172" t="s">
        <v>107</v>
      </c>
      <c r="H172" t="s">
        <v>108</v>
      </c>
      <c r="J172" t="s">
        <v>114</v>
      </c>
      <c r="K172" s="14">
        <v>45700</v>
      </c>
      <c r="L172" t="s">
        <v>793</v>
      </c>
      <c r="M172" t="s">
        <v>794</v>
      </c>
      <c r="N172" t="s">
        <v>795</v>
      </c>
      <c r="O172" t="s">
        <v>796</v>
      </c>
      <c r="P172" t="s">
        <v>110</v>
      </c>
      <c r="Q172" t="s">
        <v>794</v>
      </c>
      <c r="R172" s="11">
        <v>45697</v>
      </c>
      <c r="S172" s="11">
        <v>45697</v>
      </c>
      <c r="T172" s="11">
        <v>45697</v>
      </c>
      <c r="V172" t="s">
        <v>114</v>
      </c>
      <c r="AE172" t="s">
        <v>114</v>
      </c>
      <c r="AK172" t="s">
        <v>132</v>
      </c>
      <c r="AM172" t="s">
        <v>114</v>
      </c>
      <c r="AN172" t="s">
        <v>142</v>
      </c>
      <c r="AQ172" t="s">
        <v>132</v>
      </c>
      <c r="AR172" t="s">
        <v>797</v>
      </c>
      <c r="AS172" s="11">
        <v>45702</v>
      </c>
      <c r="AU172" t="s">
        <v>114</v>
      </c>
      <c r="AV172" t="s">
        <v>115</v>
      </c>
      <c r="BB172" t="s">
        <v>114</v>
      </c>
      <c r="BC172" s="11">
        <v>45700</v>
      </c>
      <c r="BD172" t="s">
        <v>686</v>
      </c>
      <c r="BE172">
        <v>694833163</v>
      </c>
      <c r="BF172" t="s">
        <v>795</v>
      </c>
      <c r="BG172" t="s">
        <v>114</v>
      </c>
      <c r="BH172" t="str">
        <f t="shared" si="39"/>
        <v/>
      </c>
      <c r="BJ172" t="str">
        <f t="shared" si="30"/>
        <v/>
      </c>
      <c r="BK172" t="s">
        <v>793</v>
      </c>
      <c r="BL172" t="str">
        <f t="shared" si="31"/>
        <v>S7_2025</v>
      </c>
      <c r="BM172" t="s">
        <v>159</v>
      </c>
      <c r="BN172" s="11">
        <v>45702</v>
      </c>
      <c r="BO172" t="str">
        <f t="shared" si="32"/>
        <v>S7_2025</v>
      </c>
      <c r="BP172" t="s">
        <v>114</v>
      </c>
      <c r="BQ172" t="s">
        <v>118</v>
      </c>
      <c r="BU172" s="11"/>
      <c r="BW172" s="11"/>
      <c r="BX172" s="11"/>
      <c r="BY172" s="11"/>
      <c r="BZ172" s="11"/>
      <c r="CA172" t="s">
        <v>118</v>
      </c>
      <c r="CB172" s="11">
        <v>45702</v>
      </c>
      <c r="CC172" s="11"/>
      <c r="CD172" s="11"/>
      <c r="CE172" s="11"/>
      <c r="CG172" s="11"/>
      <c r="CI172" t="s">
        <v>119</v>
      </c>
      <c r="CO172" t="str">
        <f t="shared" si="33"/>
        <v>NEGATIFPAS INCLUS</v>
      </c>
      <c r="CP172" s="11">
        <v>45700</v>
      </c>
      <c r="CR172">
        <f t="shared" si="35"/>
        <v>2</v>
      </c>
      <c r="CS172">
        <f t="shared" si="36"/>
        <v>0</v>
      </c>
      <c r="CT172">
        <f t="shared" si="40"/>
        <v>3</v>
      </c>
      <c r="CU172">
        <f t="shared" si="37"/>
        <v>0</v>
      </c>
      <c r="CV172" t="str">
        <f t="shared" si="38"/>
        <v/>
      </c>
      <c r="CX172" s="11">
        <v>45697</v>
      </c>
      <c r="CY172" t="str">
        <f t="shared" si="34"/>
        <v>S6_2025</v>
      </c>
      <c r="DC172" t="s">
        <v>120</v>
      </c>
    </row>
    <row r="173" spans="1:107" x14ac:dyDescent="0.35">
      <c r="A173" t="s">
        <v>798</v>
      </c>
      <c r="B173" s="10" t="str">
        <f t="shared" si="28"/>
        <v>S8_2025</v>
      </c>
      <c r="C173" s="10" t="str">
        <f t="shared" si="29"/>
        <v>S6_2025</v>
      </c>
      <c r="D173" s="11">
        <v>45705</v>
      </c>
      <c r="E173" t="s">
        <v>106</v>
      </c>
      <c r="F173">
        <v>20</v>
      </c>
      <c r="G173" t="s">
        <v>799</v>
      </c>
      <c r="H173" t="s">
        <v>108</v>
      </c>
      <c r="J173" t="s">
        <v>114</v>
      </c>
      <c r="K173" s="14">
        <v>45700</v>
      </c>
      <c r="L173" t="s">
        <v>111</v>
      </c>
      <c r="M173" t="s">
        <v>800</v>
      </c>
      <c r="N173" t="s">
        <v>801</v>
      </c>
      <c r="O173" t="s">
        <v>802</v>
      </c>
      <c r="P173" t="s">
        <v>110</v>
      </c>
      <c r="Q173" t="s">
        <v>800</v>
      </c>
      <c r="R173" s="11">
        <v>45694</v>
      </c>
      <c r="S173" s="11">
        <v>45694</v>
      </c>
      <c r="T173" s="11">
        <v>45694</v>
      </c>
      <c r="V173" t="s">
        <v>114</v>
      </c>
      <c r="AE173" t="s">
        <v>114</v>
      </c>
      <c r="AG173" t="s">
        <v>114</v>
      </c>
      <c r="AK173" t="s">
        <v>132</v>
      </c>
      <c r="AM173" t="s">
        <v>132</v>
      </c>
      <c r="AN173" t="s">
        <v>132</v>
      </c>
      <c r="AQ173" t="s">
        <v>132</v>
      </c>
      <c r="AR173" t="s">
        <v>803</v>
      </c>
      <c r="AS173" s="11">
        <v>45702</v>
      </c>
      <c r="AU173" t="s">
        <v>114</v>
      </c>
      <c r="AV173" t="s">
        <v>115</v>
      </c>
      <c r="BB173" t="s">
        <v>114</v>
      </c>
      <c r="BC173" s="11">
        <v>45702</v>
      </c>
      <c r="BD173" t="s">
        <v>686</v>
      </c>
      <c r="BE173">
        <v>693436701</v>
      </c>
      <c r="BF173" t="s">
        <v>801</v>
      </c>
      <c r="BG173" t="s">
        <v>132</v>
      </c>
      <c r="BH173" t="str">
        <f t="shared" si="39"/>
        <v/>
      </c>
      <c r="BJ173" t="str">
        <f t="shared" si="30"/>
        <v/>
      </c>
      <c r="BK173" t="s">
        <v>117</v>
      </c>
      <c r="BL173" t="str">
        <f t="shared" si="31"/>
        <v>S7_2025</v>
      </c>
      <c r="BM173" t="s">
        <v>159</v>
      </c>
      <c r="BN173" s="11">
        <v>45702</v>
      </c>
      <c r="BO173" t="str">
        <f t="shared" si="32"/>
        <v>S7_2025</v>
      </c>
      <c r="BP173" t="s">
        <v>114</v>
      </c>
      <c r="BQ173" t="s">
        <v>118</v>
      </c>
      <c r="BU173" s="11"/>
      <c r="BW173" s="11"/>
      <c r="BX173" s="11"/>
      <c r="BY173" s="11"/>
      <c r="BZ173" s="11"/>
      <c r="CA173" t="s">
        <v>118</v>
      </c>
      <c r="CB173" s="11">
        <v>45702</v>
      </c>
      <c r="CC173" s="11"/>
      <c r="CD173" s="11"/>
      <c r="CE173" s="11"/>
      <c r="CG173" s="11"/>
      <c r="CI173" t="s">
        <v>119</v>
      </c>
      <c r="CO173" t="str">
        <f t="shared" si="33"/>
        <v>NEGATIFPAS INCLUS</v>
      </c>
      <c r="CP173" s="11">
        <v>45702</v>
      </c>
      <c r="CR173">
        <f t="shared" si="35"/>
        <v>0</v>
      </c>
      <c r="CS173">
        <f t="shared" si="36"/>
        <v>0</v>
      </c>
      <c r="CT173">
        <f t="shared" si="40"/>
        <v>8</v>
      </c>
      <c r="CU173">
        <f t="shared" si="37"/>
        <v>2</v>
      </c>
      <c r="CV173" t="str">
        <f t="shared" si="38"/>
        <v/>
      </c>
      <c r="CX173" s="11">
        <v>45694</v>
      </c>
      <c r="CY173" t="str">
        <f t="shared" si="34"/>
        <v>S6_2025</v>
      </c>
      <c r="DC173" t="s">
        <v>120</v>
      </c>
    </row>
    <row r="174" spans="1:107" x14ac:dyDescent="0.35">
      <c r="A174" t="s">
        <v>804</v>
      </c>
      <c r="B174" s="10" t="str">
        <f t="shared" si="28"/>
        <v>S8_2025</v>
      </c>
      <c r="C174" s="10" t="str">
        <f t="shared" si="29"/>
        <v>S6_2025</v>
      </c>
      <c r="D174" s="11">
        <v>45705</v>
      </c>
      <c r="E174" t="s">
        <v>123</v>
      </c>
      <c r="F174">
        <v>41</v>
      </c>
      <c r="G174" t="s">
        <v>162</v>
      </c>
      <c r="H174" t="s">
        <v>108</v>
      </c>
      <c r="J174" t="s">
        <v>114</v>
      </c>
      <c r="K174" s="14">
        <v>45695</v>
      </c>
      <c r="L174" t="s">
        <v>793</v>
      </c>
      <c r="M174" t="s">
        <v>805</v>
      </c>
      <c r="N174" t="s">
        <v>806</v>
      </c>
      <c r="P174" t="s">
        <v>110</v>
      </c>
      <c r="Q174" t="s">
        <v>805</v>
      </c>
      <c r="R174" s="11">
        <v>45692</v>
      </c>
      <c r="S174" s="11">
        <v>45692</v>
      </c>
      <c r="T174" s="11">
        <v>45692</v>
      </c>
      <c r="V174" t="s">
        <v>114</v>
      </c>
      <c r="AE174" t="s">
        <v>114</v>
      </c>
      <c r="AG174" t="s">
        <v>114</v>
      </c>
      <c r="AK174" t="s">
        <v>114</v>
      </c>
      <c r="AM174" t="s">
        <v>114</v>
      </c>
      <c r="AN174" t="s">
        <v>114</v>
      </c>
      <c r="AQ174" t="s">
        <v>142</v>
      </c>
      <c r="AR174" t="s">
        <v>807</v>
      </c>
      <c r="AS174" s="11">
        <v>45702</v>
      </c>
      <c r="AU174" t="s">
        <v>114</v>
      </c>
      <c r="AV174" t="s">
        <v>115</v>
      </c>
      <c r="BB174" t="s">
        <v>114</v>
      </c>
      <c r="BC174" s="11">
        <v>45699</v>
      </c>
      <c r="BD174" t="s">
        <v>169</v>
      </c>
      <c r="BE174">
        <v>674554199</v>
      </c>
      <c r="BF174" t="s">
        <v>806</v>
      </c>
      <c r="BG174" t="s">
        <v>114</v>
      </c>
      <c r="BH174" t="str">
        <f t="shared" si="39"/>
        <v/>
      </c>
      <c r="BJ174" t="str">
        <f t="shared" si="30"/>
        <v/>
      </c>
      <c r="BK174" t="s">
        <v>793</v>
      </c>
      <c r="BL174" t="str">
        <f t="shared" si="31"/>
        <v>S7_2025</v>
      </c>
      <c r="BM174" t="s">
        <v>159</v>
      </c>
      <c r="BN174" s="11">
        <v>45702</v>
      </c>
      <c r="BO174" t="str">
        <f t="shared" si="32"/>
        <v>S7_2025</v>
      </c>
      <c r="BP174" t="s">
        <v>114</v>
      </c>
      <c r="BQ174" t="s">
        <v>118</v>
      </c>
      <c r="BU174" s="11"/>
      <c r="BW174" s="11"/>
      <c r="BX174" s="11"/>
      <c r="BY174" s="11"/>
      <c r="BZ174" s="11"/>
      <c r="CA174" t="s">
        <v>118</v>
      </c>
      <c r="CB174" s="11">
        <v>45702</v>
      </c>
      <c r="CC174" s="11"/>
      <c r="CD174" s="11"/>
      <c r="CE174" s="11"/>
      <c r="CG174" s="11"/>
      <c r="CI174" t="s">
        <v>119</v>
      </c>
      <c r="CO174" t="str">
        <f t="shared" si="33"/>
        <v>NEGATIFPAS INCLUS</v>
      </c>
      <c r="CP174" s="11">
        <v>45699</v>
      </c>
      <c r="CR174">
        <f t="shared" si="35"/>
        <v>3</v>
      </c>
      <c r="CS174">
        <f t="shared" si="36"/>
        <v>0</v>
      </c>
      <c r="CT174">
        <f t="shared" si="40"/>
        <v>7</v>
      </c>
      <c r="CU174">
        <f t="shared" si="37"/>
        <v>4</v>
      </c>
      <c r="CV174" t="str">
        <f t="shared" si="38"/>
        <v/>
      </c>
      <c r="CX174" s="11">
        <v>45692</v>
      </c>
      <c r="CY174" t="str">
        <f t="shared" si="34"/>
        <v>S6_2025</v>
      </c>
      <c r="DC174" t="s">
        <v>160</v>
      </c>
    </row>
    <row r="175" spans="1:107" x14ac:dyDescent="0.35">
      <c r="A175" t="s">
        <v>808</v>
      </c>
      <c r="B175" s="10" t="str">
        <f t="shared" si="28"/>
        <v>S8_2025</v>
      </c>
      <c r="C175" s="10" t="str">
        <f t="shared" si="29"/>
        <v>S49_2024</v>
      </c>
      <c r="D175" s="11">
        <v>45707</v>
      </c>
      <c r="E175" t="s">
        <v>123</v>
      </c>
      <c r="F175">
        <v>19</v>
      </c>
      <c r="G175" t="s">
        <v>107</v>
      </c>
      <c r="H175" t="s">
        <v>108</v>
      </c>
      <c r="J175" t="s">
        <v>142</v>
      </c>
      <c r="K175" s="12"/>
      <c r="L175" t="s">
        <v>163</v>
      </c>
      <c r="M175" t="s">
        <v>809</v>
      </c>
      <c r="N175" t="s">
        <v>810</v>
      </c>
      <c r="P175" t="s">
        <v>110</v>
      </c>
      <c r="Q175" t="s">
        <v>809</v>
      </c>
      <c r="R175" s="11">
        <v>45632</v>
      </c>
      <c r="S175" s="11">
        <v>45632</v>
      </c>
      <c r="T175" s="11">
        <v>45632</v>
      </c>
      <c r="AK175" t="s">
        <v>132</v>
      </c>
      <c r="AM175" t="s">
        <v>132</v>
      </c>
      <c r="AN175" t="s">
        <v>132</v>
      </c>
      <c r="AR175" t="s">
        <v>811</v>
      </c>
      <c r="AS175" s="11">
        <v>45706</v>
      </c>
      <c r="AU175" t="s">
        <v>114</v>
      </c>
      <c r="AV175" t="s">
        <v>115</v>
      </c>
      <c r="BB175" t="s">
        <v>114</v>
      </c>
      <c r="BC175" s="11">
        <v>45702</v>
      </c>
      <c r="BD175" t="s">
        <v>812</v>
      </c>
      <c r="BE175">
        <v>653826410</v>
      </c>
      <c r="BF175" t="s">
        <v>810</v>
      </c>
      <c r="BG175" t="s">
        <v>132</v>
      </c>
      <c r="BH175" t="str">
        <f t="shared" si="39"/>
        <v/>
      </c>
      <c r="BJ175" t="str">
        <f t="shared" si="30"/>
        <v/>
      </c>
      <c r="BK175" t="s">
        <v>170</v>
      </c>
      <c r="BL175" t="str">
        <f t="shared" si="31"/>
        <v>S7_2025</v>
      </c>
      <c r="BM175" t="s">
        <v>159</v>
      </c>
      <c r="BN175" s="11">
        <v>45707</v>
      </c>
      <c r="BO175" t="str">
        <f t="shared" si="32"/>
        <v>S8_2025</v>
      </c>
      <c r="BP175" t="s">
        <v>114</v>
      </c>
      <c r="BQ175" t="s">
        <v>118</v>
      </c>
      <c r="BU175" s="11"/>
      <c r="BW175" s="11"/>
      <c r="BX175" s="11"/>
      <c r="BY175" s="11"/>
      <c r="BZ175" s="11"/>
      <c r="CA175" t="s">
        <v>118</v>
      </c>
      <c r="CB175" s="11">
        <v>45707</v>
      </c>
      <c r="CC175" s="11"/>
      <c r="CD175" s="11"/>
      <c r="CE175" s="11"/>
      <c r="CG175" s="11"/>
      <c r="CI175" t="s">
        <v>119</v>
      </c>
      <c r="CO175" t="str">
        <f t="shared" si="33"/>
        <v>NEGATIFPAS INCLUS</v>
      </c>
      <c r="CP175" s="11">
        <v>45702</v>
      </c>
      <c r="CR175">
        <f t="shared" si="35"/>
        <v>4</v>
      </c>
      <c r="CS175">
        <f t="shared" si="36"/>
        <v>1</v>
      </c>
      <c r="CT175">
        <f t="shared" si="40"/>
        <v>70</v>
      </c>
      <c r="CU175">
        <f t="shared" si="37"/>
        <v>45702</v>
      </c>
      <c r="CV175" t="str">
        <f t="shared" si="38"/>
        <v/>
      </c>
      <c r="CX175" s="11">
        <v>45632</v>
      </c>
      <c r="CY175" t="str">
        <f t="shared" si="34"/>
        <v>S49_2024</v>
      </c>
      <c r="DC175" t="s">
        <v>160</v>
      </c>
    </row>
    <row r="176" spans="1:107" x14ac:dyDescent="0.35">
      <c r="A176" t="s">
        <v>813</v>
      </c>
      <c r="B176" s="10" t="str">
        <f t="shared" si="28"/>
        <v>S8_2025</v>
      </c>
      <c r="C176" s="10" t="str">
        <f t="shared" si="29"/>
        <v>S6_2025</v>
      </c>
      <c r="D176" s="11">
        <v>45708</v>
      </c>
      <c r="E176" t="s">
        <v>123</v>
      </c>
      <c r="F176">
        <v>3</v>
      </c>
      <c r="H176" t="s">
        <v>125</v>
      </c>
      <c r="J176" t="s">
        <v>114</v>
      </c>
      <c r="K176" s="14">
        <v>45698</v>
      </c>
      <c r="L176" t="s">
        <v>180</v>
      </c>
      <c r="M176" t="s">
        <v>814</v>
      </c>
      <c r="N176" t="s">
        <v>814</v>
      </c>
      <c r="O176" t="s">
        <v>815</v>
      </c>
      <c r="P176" t="s">
        <v>110</v>
      </c>
      <c r="Q176" t="s">
        <v>814</v>
      </c>
      <c r="R176" s="11">
        <v>45693</v>
      </c>
      <c r="S176" s="11">
        <v>45693</v>
      </c>
      <c r="T176" s="11">
        <v>45693</v>
      </c>
      <c r="W176" t="s">
        <v>114</v>
      </c>
      <c r="X176" t="s">
        <v>114</v>
      </c>
      <c r="AE176" t="s">
        <v>114</v>
      </c>
      <c r="AK176" t="s">
        <v>132</v>
      </c>
      <c r="AM176" t="s">
        <v>114</v>
      </c>
      <c r="AN176" t="s">
        <v>114</v>
      </c>
      <c r="AQ176" t="s">
        <v>132</v>
      </c>
      <c r="AR176" t="s">
        <v>816</v>
      </c>
      <c r="AS176" s="11">
        <v>45702</v>
      </c>
      <c r="AU176" t="s">
        <v>114</v>
      </c>
      <c r="AV176" t="s">
        <v>115</v>
      </c>
      <c r="BB176" t="s">
        <v>114</v>
      </c>
      <c r="BC176" s="11">
        <v>45698</v>
      </c>
      <c r="BD176" t="s">
        <v>169</v>
      </c>
      <c r="BE176">
        <v>697102885</v>
      </c>
      <c r="BF176" t="s">
        <v>814</v>
      </c>
      <c r="BG176" t="s">
        <v>114</v>
      </c>
      <c r="BH176" t="str">
        <f t="shared" si="39"/>
        <v/>
      </c>
      <c r="BJ176" t="str">
        <f t="shared" si="30"/>
        <v/>
      </c>
      <c r="BK176" t="s">
        <v>180</v>
      </c>
      <c r="BL176" t="str">
        <f t="shared" si="31"/>
        <v>S7_2025</v>
      </c>
      <c r="BM176" t="s">
        <v>159</v>
      </c>
      <c r="BN176" s="11">
        <v>45702</v>
      </c>
      <c r="BO176" t="str">
        <f t="shared" si="32"/>
        <v>S7_2025</v>
      </c>
      <c r="BP176" t="s">
        <v>114</v>
      </c>
      <c r="BQ176" t="s">
        <v>118</v>
      </c>
      <c r="BU176" s="11"/>
      <c r="BW176" s="11"/>
      <c r="BX176" s="11"/>
      <c r="BY176" s="11"/>
      <c r="BZ176" s="11"/>
      <c r="CA176" t="s">
        <v>118</v>
      </c>
      <c r="CB176" s="11">
        <v>45702</v>
      </c>
      <c r="CC176" s="11"/>
      <c r="CD176" s="11"/>
      <c r="CE176" s="11"/>
      <c r="CG176" s="11"/>
      <c r="CI176" t="s">
        <v>119</v>
      </c>
      <c r="CO176" t="str">
        <f t="shared" si="33"/>
        <v>NEGATIFPAS INCLUS</v>
      </c>
      <c r="CP176" s="11">
        <v>45698</v>
      </c>
      <c r="CR176">
        <f t="shared" si="35"/>
        <v>4</v>
      </c>
      <c r="CS176">
        <f t="shared" si="36"/>
        <v>0</v>
      </c>
      <c r="CT176">
        <f t="shared" si="40"/>
        <v>5</v>
      </c>
      <c r="CU176">
        <f t="shared" si="37"/>
        <v>0</v>
      </c>
      <c r="CV176" t="str">
        <f t="shared" si="38"/>
        <v/>
      </c>
      <c r="CX176" s="11">
        <v>45693</v>
      </c>
      <c r="CY176" t="str">
        <f t="shared" si="34"/>
        <v>S6_2025</v>
      </c>
      <c r="DC176" t="s">
        <v>160</v>
      </c>
    </row>
    <row r="177" spans="1:107" x14ac:dyDescent="0.35">
      <c r="A177" t="s">
        <v>817</v>
      </c>
      <c r="B177" s="10" t="str">
        <f t="shared" si="28"/>
        <v>S9_2025</v>
      </c>
      <c r="C177" s="10" t="str">
        <f t="shared" si="29"/>
        <v>S8_2025</v>
      </c>
      <c r="D177" s="11">
        <v>45715</v>
      </c>
      <c r="E177" t="s">
        <v>106</v>
      </c>
      <c r="F177">
        <v>35</v>
      </c>
      <c r="G177" t="s">
        <v>323</v>
      </c>
      <c r="H177" t="s">
        <v>108</v>
      </c>
      <c r="J177" t="s">
        <v>132</v>
      </c>
      <c r="K177" s="12"/>
      <c r="L177" t="s">
        <v>126</v>
      </c>
      <c r="M177" t="s">
        <v>127</v>
      </c>
      <c r="N177" t="s">
        <v>648</v>
      </c>
      <c r="O177" t="s">
        <v>184</v>
      </c>
      <c r="P177" t="s">
        <v>110</v>
      </c>
      <c r="Q177" t="s">
        <v>292</v>
      </c>
      <c r="R177" s="11">
        <v>45709</v>
      </c>
      <c r="S177" s="11">
        <v>45710</v>
      </c>
      <c r="T177" s="11">
        <v>45709</v>
      </c>
      <c r="V177" t="s">
        <v>114</v>
      </c>
      <c r="AE177" t="s">
        <v>114</v>
      </c>
      <c r="AG177" t="s">
        <v>114</v>
      </c>
      <c r="AK177" t="s">
        <v>132</v>
      </c>
      <c r="AM177" t="s">
        <v>114</v>
      </c>
      <c r="AN177" t="s">
        <v>132</v>
      </c>
      <c r="AQ177" t="s">
        <v>132</v>
      </c>
      <c r="AR177" t="s">
        <v>818</v>
      </c>
      <c r="AS177" s="11">
        <v>45714</v>
      </c>
      <c r="AU177" t="s">
        <v>114</v>
      </c>
      <c r="AV177" t="s">
        <v>115</v>
      </c>
      <c r="BB177" t="s">
        <v>114</v>
      </c>
      <c r="BC177" s="11">
        <v>45712</v>
      </c>
      <c r="BD177" t="s">
        <v>178</v>
      </c>
      <c r="BG177" t="s">
        <v>132</v>
      </c>
      <c r="BH177" t="str">
        <f t="shared" si="39"/>
        <v/>
      </c>
      <c r="BJ177" t="str">
        <f t="shared" si="30"/>
        <v/>
      </c>
      <c r="BK177" t="s">
        <v>137</v>
      </c>
      <c r="BL177" t="str">
        <f t="shared" si="31"/>
        <v>S9_2025</v>
      </c>
      <c r="BM177" t="s">
        <v>159</v>
      </c>
      <c r="BN177" s="11">
        <v>45715</v>
      </c>
      <c r="BO177" t="str">
        <f t="shared" si="32"/>
        <v>S9_2025</v>
      </c>
      <c r="BP177" t="s">
        <v>114</v>
      </c>
      <c r="BQ177" t="s">
        <v>118</v>
      </c>
      <c r="BU177" s="11"/>
      <c r="BW177" s="11"/>
      <c r="BX177" s="11"/>
      <c r="BY177" s="11"/>
      <c r="BZ177" s="11"/>
      <c r="CA177" t="s">
        <v>118</v>
      </c>
      <c r="CB177" s="11">
        <v>45715</v>
      </c>
      <c r="CC177" s="11"/>
      <c r="CD177" s="11"/>
      <c r="CE177" s="11"/>
      <c r="CG177" s="11"/>
      <c r="CI177" t="s">
        <v>119</v>
      </c>
      <c r="CO177" t="str">
        <f t="shared" si="33"/>
        <v>NEGATIFPAS INCLUS</v>
      </c>
      <c r="CP177" s="11">
        <v>45712</v>
      </c>
      <c r="CR177">
        <f t="shared" si="35"/>
        <v>2</v>
      </c>
      <c r="CS177">
        <f t="shared" si="36"/>
        <v>1</v>
      </c>
      <c r="CT177">
        <f t="shared" si="40"/>
        <v>3</v>
      </c>
      <c r="CU177" t="str">
        <f t="shared" si="37"/>
        <v/>
      </c>
      <c r="CV177" t="str">
        <f t="shared" si="38"/>
        <v/>
      </c>
      <c r="CX177" s="11">
        <v>45709</v>
      </c>
      <c r="CY177" t="str">
        <f t="shared" si="34"/>
        <v>S8_2025</v>
      </c>
      <c r="DC177" t="s">
        <v>120</v>
      </c>
    </row>
    <row r="178" spans="1:107" x14ac:dyDescent="0.35">
      <c r="A178" t="s">
        <v>819</v>
      </c>
      <c r="B178" s="10" t="str">
        <f t="shared" si="28"/>
        <v>S9_2025</v>
      </c>
      <c r="C178" s="10" t="str">
        <f t="shared" si="29"/>
        <v>S6_2025</v>
      </c>
      <c r="D178" s="11">
        <v>45715</v>
      </c>
      <c r="E178" t="s">
        <v>106</v>
      </c>
      <c r="F178">
        <v>37</v>
      </c>
      <c r="G178" t="s">
        <v>820</v>
      </c>
      <c r="H178" t="s">
        <v>108</v>
      </c>
      <c r="J178" t="s">
        <v>132</v>
      </c>
      <c r="K178" s="12"/>
      <c r="L178" t="s">
        <v>722</v>
      </c>
      <c r="M178" t="s">
        <v>186</v>
      </c>
      <c r="N178" t="s">
        <v>186</v>
      </c>
      <c r="O178" t="s">
        <v>184</v>
      </c>
      <c r="P178" t="s">
        <v>110</v>
      </c>
      <c r="Q178" t="s">
        <v>234</v>
      </c>
      <c r="R178" s="11">
        <v>45696</v>
      </c>
      <c r="S178" s="11">
        <v>45696</v>
      </c>
      <c r="T178" s="11">
        <v>45714</v>
      </c>
      <c r="AE178" t="s">
        <v>114</v>
      </c>
      <c r="AK178" t="s">
        <v>142</v>
      </c>
      <c r="AM178" t="s">
        <v>114</v>
      </c>
      <c r="AN178" t="s">
        <v>132</v>
      </c>
      <c r="BB178" t="s">
        <v>114</v>
      </c>
      <c r="BC178" s="11">
        <v>45713</v>
      </c>
      <c r="BD178" t="s">
        <v>116</v>
      </c>
      <c r="BF178" t="s">
        <v>186</v>
      </c>
      <c r="BJ178" t="str">
        <f t="shared" si="30"/>
        <v/>
      </c>
      <c r="BK178" t="s">
        <v>187</v>
      </c>
      <c r="BL178" t="str">
        <f t="shared" si="31"/>
        <v>S9_2025</v>
      </c>
      <c r="BM178" t="s">
        <v>159</v>
      </c>
      <c r="BP178" t="s">
        <v>132</v>
      </c>
      <c r="CI178" t="s">
        <v>119</v>
      </c>
      <c r="CO178" t="str">
        <f t="shared" si="33"/>
        <v>PAS INCLUS</v>
      </c>
      <c r="CP178" s="11">
        <v>45713</v>
      </c>
      <c r="CR178" t="str">
        <f t="shared" si="35"/>
        <v/>
      </c>
      <c r="CS178" t="str">
        <f t="shared" si="36"/>
        <v/>
      </c>
      <c r="CT178">
        <f t="shared" si="40"/>
        <v>17</v>
      </c>
      <c r="CU178" t="str">
        <f t="shared" si="37"/>
        <v/>
      </c>
      <c r="CV178" t="str">
        <f t="shared" si="38"/>
        <v/>
      </c>
      <c r="CX178" s="11">
        <v>45696</v>
      </c>
      <c r="CY178" t="str">
        <f t="shared" si="34"/>
        <v>S6_2025</v>
      </c>
      <c r="DC178" t="s">
        <v>160</v>
      </c>
    </row>
    <row r="179" spans="1:107" x14ac:dyDescent="0.35">
      <c r="A179" t="s">
        <v>821</v>
      </c>
      <c r="B179" s="10" t="str">
        <f t="shared" si="28"/>
        <v>S9_2025</v>
      </c>
      <c r="C179" s="10" t="str">
        <f t="shared" si="29"/>
        <v>S8_2025</v>
      </c>
      <c r="D179" s="11">
        <v>45715</v>
      </c>
      <c r="E179" t="s">
        <v>106</v>
      </c>
      <c r="F179">
        <v>8</v>
      </c>
      <c r="G179" t="s">
        <v>107</v>
      </c>
      <c r="H179" t="s">
        <v>108</v>
      </c>
      <c r="J179" t="s">
        <v>132</v>
      </c>
      <c r="K179" s="12"/>
      <c r="L179" t="s">
        <v>722</v>
      </c>
      <c r="M179" t="s">
        <v>183</v>
      </c>
      <c r="N179" t="s">
        <v>186</v>
      </c>
      <c r="O179" t="s">
        <v>184</v>
      </c>
      <c r="P179" t="s">
        <v>110</v>
      </c>
      <c r="Q179" t="s">
        <v>234</v>
      </c>
      <c r="R179" s="11">
        <v>45705</v>
      </c>
      <c r="S179" s="11">
        <v>45705</v>
      </c>
      <c r="T179" s="11">
        <v>45708</v>
      </c>
      <c r="AE179" t="s">
        <v>114</v>
      </c>
      <c r="AK179" t="s">
        <v>132</v>
      </c>
      <c r="AM179" t="s">
        <v>114</v>
      </c>
      <c r="AN179" t="s">
        <v>132</v>
      </c>
      <c r="BB179" t="s">
        <v>114</v>
      </c>
      <c r="BC179" s="11">
        <v>45713</v>
      </c>
      <c r="BD179" t="s">
        <v>116</v>
      </c>
      <c r="BF179" t="s">
        <v>186</v>
      </c>
      <c r="BJ179" t="str">
        <f t="shared" si="30"/>
        <v/>
      </c>
      <c r="BK179" t="s">
        <v>187</v>
      </c>
      <c r="BL179" t="str">
        <f t="shared" si="31"/>
        <v>S9_2025</v>
      </c>
      <c r="BM179" t="s">
        <v>159</v>
      </c>
      <c r="BP179" t="s">
        <v>132</v>
      </c>
      <c r="CI179" t="s">
        <v>119</v>
      </c>
      <c r="CO179" t="str">
        <f t="shared" si="33"/>
        <v>PAS INCLUS</v>
      </c>
      <c r="CP179" s="11">
        <v>45713</v>
      </c>
      <c r="CR179" t="str">
        <f t="shared" si="35"/>
        <v/>
      </c>
      <c r="CS179" t="str">
        <f t="shared" si="36"/>
        <v/>
      </c>
      <c r="CT179">
        <f t="shared" si="40"/>
        <v>8</v>
      </c>
      <c r="CU179" t="str">
        <f t="shared" si="37"/>
        <v/>
      </c>
      <c r="CV179" t="str">
        <f t="shared" si="38"/>
        <v/>
      </c>
      <c r="CX179" s="11">
        <v>45705</v>
      </c>
      <c r="CY179" t="str">
        <f t="shared" si="34"/>
        <v>S8_2025</v>
      </c>
      <c r="DC179" t="s">
        <v>160</v>
      </c>
    </row>
    <row r="180" spans="1:107" x14ac:dyDescent="0.35">
      <c r="A180" t="s">
        <v>822</v>
      </c>
      <c r="B180" s="10" t="str">
        <f t="shared" si="28"/>
        <v>S9_2025</v>
      </c>
      <c r="C180" s="10" t="str">
        <f t="shared" si="29"/>
        <v/>
      </c>
      <c r="D180" s="11">
        <v>45715</v>
      </c>
      <c r="E180" t="s">
        <v>110</v>
      </c>
      <c r="F180"/>
      <c r="G180" t="s">
        <v>110</v>
      </c>
      <c r="H180" t="s">
        <v>108</v>
      </c>
      <c r="J180" t="s">
        <v>142</v>
      </c>
      <c r="K180" s="12"/>
      <c r="L180" t="s">
        <v>722</v>
      </c>
      <c r="M180" t="s">
        <v>651</v>
      </c>
      <c r="N180" t="s">
        <v>110</v>
      </c>
      <c r="P180" t="s">
        <v>110</v>
      </c>
      <c r="Q180" t="s">
        <v>823</v>
      </c>
      <c r="BJ180" t="str">
        <f t="shared" si="30"/>
        <v/>
      </c>
      <c r="BK180" t="s">
        <v>187</v>
      </c>
      <c r="BL180" t="str">
        <f t="shared" si="31"/>
        <v/>
      </c>
      <c r="BP180" t="s">
        <v>132</v>
      </c>
      <c r="CI180" t="s">
        <v>119</v>
      </c>
      <c r="CO180" t="str">
        <f t="shared" si="33"/>
        <v>PAS INCLUS</v>
      </c>
      <c r="CP180" s="11">
        <v>45715</v>
      </c>
      <c r="CR180" t="str">
        <f t="shared" si="35"/>
        <v/>
      </c>
      <c r="CS180" t="str">
        <f t="shared" si="36"/>
        <v/>
      </c>
      <c r="CT180">
        <f t="shared" si="40"/>
        <v>45715</v>
      </c>
      <c r="CU180">
        <f t="shared" si="37"/>
        <v>45715</v>
      </c>
      <c r="CV180" t="str">
        <f t="shared" si="38"/>
        <v/>
      </c>
      <c r="CY180" t="str">
        <f t="shared" si="34"/>
        <v/>
      </c>
      <c r="DB180" t="s">
        <v>114</v>
      </c>
      <c r="DC180" t="s">
        <v>160</v>
      </c>
    </row>
    <row r="181" spans="1:107" x14ac:dyDescent="0.35">
      <c r="A181" t="s">
        <v>824</v>
      </c>
      <c r="B181" s="10" t="str">
        <f t="shared" si="28"/>
        <v>S10_2025</v>
      </c>
      <c r="C181" s="10" t="str">
        <f t="shared" si="29"/>
        <v/>
      </c>
      <c r="D181" s="11">
        <v>45722</v>
      </c>
      <c r="E181" t="s">
        <v>106</v>
      </c>
      <c r="F181">
        <v>10</v>
      </c>
      <c r="G181" t="s">
        <v>107</v>
      </c>
      <c r="H181" t="s">
        <v>108</v>
      </c>
      <c r="J181" t="s">
        <v>142</v>
      </c>
      <c r="K181" s="12"/>
      <c r="L181" t="s">
        <v>722</v>
      </c>
      <c r="M181" t="s">
        <v>183</v>
      </c>
      <c r="N181" t="s">
        <v>186</v>
      </c>
      <c r="P181" t="s">
        <v>110</v>
      </c>
      <c r="Q181" t="s">
        <v>234</v>
      </c>
      <c r="AE181" t="s">
        <v>114</v>
      </c>
      <c r="AR181" t="s">
        <v>825</v>
      </c>
      <c r="AS181" s="11">
        <v>45716</v>
      </c>
      <c r="AU181" t="s">
        <v>114</v>
      </c>
      <c r="AV181" t="s">
        <v>115</v>
      </c>
      <c r="BB181" t="s">
        <v>114</v>
      </c>
      <c r="BC181" s="11">
        <v>45713</v>
      </c>
      <c r="BD181" t="s">
        <v>686</v>
      </c>
      <c r="BF181" t="s">
        <v>186</v>
      </c>
      <c r="BG181" t="s">
        <v>114</v>
      </c>
      <c r="BH181" t="str">
        <f>IFERROR("S"&amp;(IF(_xlfn.ISOWEEKNUM(I181)&gt;0,_xlfn.ISOWEEKNUM(I181),_xlfn.CONCAT("0",_xlfn.ISOWEEKNUM(I181))))&amp;"_"&amp;(YEAR(I181+26-(_xlfn.ISOWEEKNUM(I181)))),"")</f>
        <v/>
      </c>
      <c r="BJ181" t="str">
        <f t="shared" si="30"/>
        <v/>
      </c>
      <c r="BK181" t="s">
        <v>187</v>
      </c>
      <c r="BL181" t="str">
        <f t="shared" si="31"/>
        <v>S9_2025</v>
      </c>
      <c r="BM181" t="s">
        <v>159</v>
      </c>
      <c r="BN181" s="11">
        <v>45717</v>
      </c>
      <c r="BO181" t="str">
        <f t="shared" ref="BO181:BO244" si="41">IFERROR("S"&amp;(IF(_xlfn.ISOWEEKNUM(BN181)&gt;0,_xlfn.ISOWEEKNUM(BN181),_xlfn.CONCAT("0",_xlfn.ISOWEEKNUM(BN181))))&amp;"_"&amp;(YEAR(BN181+26-(_xlfn.ISOWEEKNUM(BN181)))),"")</f>
        <v>S9_2025</v>
      </c>
      <c r="BP181" t="s">
        <v>114</v>
      </c>
      <c r="BQ181" t="s">
        <v>118</v>
      </c>
      <c r="BU181" s="11"/>
      <c r="BW181" s="11"/>
      <c r="BX181" s="11"/>
      <c r="BY181" s="11"/>
      <c r="BZ181" s="11"/>
      <c r="CA181" t="s">
        <v>118</v>
      </c>
      <c r="CB181" s="11">
        <v>45717</v>
      </c>
      <c r="CC181" s="11"/>
      <c r="CD181" s="11"/>
      <c r="CE181" s="11"/>
      <c r="CG181" s="11"/>
      <c r="CI181" t="s">
        <v>119</v>
      </c>
      <c r="CO181" t="str">
        <f t="shared" si="33"/>
        <v>NEGATIFPAS INCLUS</v>
      </c>
      <c r="CP181" s="11">
        <v>45713</v>
      </c>
      <c r="CR181">
        <f t="shared" si="35"/>
        <v>3</v>
      </c>
      <c r="CS181">
        <f t="shared" si="36"/>
        <v>1</v>
      </c>
      <c r="CT181">
        <f t="shared" si="40"/>
        <v>45713</v>
      </c>
      <c r="CU181">
        <f t="shared" si="37"/>
        <v>45713</v>
      </c>
      <c r="CV181" t="str">
        <f t="shared" si="38"/>
        <v/>
      </c>
      <c r="CY181" t="str">
        <f t="shared" si="34"/>
        <v/>
      </c>
      <c r="DC181" t="s">
        <v>120</v>
      </c>
    </row>
    <row r="182" spans="1:107" x14ac:dyDescent="0.35">
      <c r="A182" t="s">
        <v>826</v>
      </c>
      <c r="B182" s="10" t="str">
        <f t="shared" si="28"/>
        <v>S10_2025</v>
      </c>
      <c r="C182" s="10" t="str">
        <f t="shared" si="29"/>
        <v>S10_2025</v>
      </c>
      <c r="D182" s="11">
        <v>45722</v>
      </c>
      <c r="E182" t="s">
        <v>106</v>
      </c>
      <c r="F182">
        <v>9</v>
      </c>
      <c r="G182" t="s">
        <v>107</v>
      </c>
      <c r="H182" t="s">
        <v>108</v>
      </c>
      <c r="J182" t="s">
        <v>114</v>
      </c>
      <c r="K182" s="14">
        <v>45722</v>
      </c>
      <c r="L182" t="s">
        <v>111</v>
      </c>
      <c r="M182" t="s">
        <v>626</v>
      </c>
      <c r="N182" t="s">
        <v>827</v>
      </c>
      <c r="P182" t="s">
        <v>110</v>
      </c>
      <c r="Q182" t="s">
        <v>626</v>
      </c>
      <c r="R182" s="11">
        <v>45719</v>
      </c>
      <c r="S182" s="11">
        <v>45719</v>
      </c>
      <c r="T182" s="11">
        <v>45719</v>
      </c>
      <c r="X182" t="s">
        <v>114</v>
      </c>
      <c r="AK182" t="s">
        <v>132</v>
      </c>
      <c r="AM182" t="s">
        <v>132</v>
      </c>
      <c r="AN182" t="s">
        <v>142</v>
      </c>
      <c r="AQ182" t="s">
        <v>132</v>
      </c>
      <c r="AR182" t="s">
        <v>828</v>
      </c>
      <c r="AS182" s="11">
        <v>45722</v>
      </c>
      <c r="AU182" t="s">
        <v>114</v>
      </c>
      <c r="AV182" t="s">
        <v>115</v>
      </c>
      <c r="BB182" t="s">
        <v>114</v>
      </c>
      <c r="BC182" s="11">
        <v>45722</v>
      </c>
      <c r="BD182" t="s">
        <v>169</v>
      </c>
      <c r="BF182" t="s">
        <v>827</v>
      </c>
      <c r="BG182" t="s">
        <v>114</v>
      </c>
      <c r="BJ182" t="str">
        <f t="shared" si="30"/>
        <v/>
      </c>
      <c r="BK182" t="s">
        <v>117</v>
      </c>
      <c r="BL182" t="str">
        <f t="shared" si="31"/>
        <v>S10_2025</v>
      </c>
      <c r="BM182" t="s">
        <v>159</v>
      </c>
      <c r="BN182" s="11">
        <v>45726</v>
      </c>
      <c r="BO182" t="str">
        <f t="shared" si="41"/>
        <v>S11_2025</v>
      </c>
      <c r="BP182" t="s">
        <v>114</v>
      </c>
      <c r="BQ182" t="s">
        <v>118</v>
      </c>
      <c r="BU182" s="11"/>
      <c r="BW182" s="11"/>
      <c r="BX182" s="11"/>
      <c r="BY182" s="11"/>
      <c r="BZ182" s="11"/>
      <c r="CA182" t="s">
        <v>118</v>
      </c>
      <c r="CB182" s="11">
        <v>45726</v>
      </c>
      <c r="CC182" s="11"/>
      <c r="CD182" s="11"/>
      <c r="CE182" s="11"/>
      <c r="CG182" s="11"/>
      <c r="CI182" t="s">
        <v>119</v>
      </c>
      <c r="CO182" t="str">
        <f t="shared" si="33"/>
        <v>NEGATIFPAS INCLUS</v>
      </c>
      <c r="CP182" s="11">
        <v>45722</v>
      </c>
      <c r="CR182">
        <f t="shared" si="35"/>
        <v>0</v>
      </c>
      <c r="CS182">
        <f t="shared" si="36"/>
        <v>4</v>
      </c>
      <c r="CT182">
        <f t="shared" si="40"/>
        <v>3</v>
      </c>
      <c r="CU182">
        <f t="shared" si="37"/>
        <v>0</v>
      </c>
      <c r="CV182" t="str">
        <f t="shared" si="38"/>
        <v/>
      </c>
      <c r="CX182" s="11">
        <v>45719</v>
      </c>
      <c r="CY182" t="str">
        <f t="shared" si="34"/>
        <v>S10_2025</v>
      </c>
      <c r="DC182" t="s">
        <v>160</v>
      </c>
    </row>
    <row r="183" spans="1:107" x14ac:dyDescent="0.35">
      <c r="A183" t="s">
        <v>829</v>
      </c>
      <c r="B183" s="10" t="str">
        <f t="shared" si="28"/>
        <v>S11_2025</v>
      </c>
      <c r="C183" s="10" t="str">
        <f t="shared" si="29"/>
        <v>S7_2025</v>
      </c>
      <c r="D183" s="11">
        <v>45727</v>
      </c>
      <c r="E183" t="s">
        <v>106</v>
      </c>
      <c r="F183">
        <v>9</v>
      </c>
      <c r="G183" t="s">
        <v>107</v>
      </c>
      <c r="H183" t="s">
        <v>108</v>
      </c>
      <c r="J183" t="s">
        <v>114</v>
      </c>
      <c r="K183" s="14">
        <v>45713</v>
      </c>
      <c r="L183" t="s">
        <v>722</v>
      </c>
      <c r="M183" t="s">
        <v>186</v>
      </c>
      <c r="N183" t="s">
        <v>830</v>
      </c>
      <c r="P183" t="s">
        <v>110</v>
      </c>
      <c r="Q183" t="s">
        <v>234</v>
      </c>
      <c r="R183" s="11">
        <v>45702</v>
      </c>
      <c r="S183" s="11">
        <v>45702</v>
      </c>
      <c r="T183" s="11">
        <v>45702</v>
      </c>
      <c r="AE183" t="s">
        <v>114</v>
      </c>
      <c r="AK183" t="s">
        <v>132</v>
      </c>
      <c r="AM183" t="s">
        <v>114</v>
      </c>
      <c r="AN183" t="s">
        <v>132</v>
      </c>
      <c r="AR183" t="s">
        <v>831</v>
      </c>
      <c r="AS183" s="11">
        <v>45716</v>
      </c>
      <c r="AU183" t="s">
        <v>114</v>
      </c>
      <c r="AV183" t="s">
        <v>115</v>
      </c>
      <c r="BB183" t="s">
        <v>114</v>
      </c>
      <c r="BC183" s="11">
        <v>45713</v>
      </c>
      <c r="BD183" t="s">
        <v>686</v>
      </c>
      <c r="BF183" t="s">
        <v>186</v>
      </c>
      <c r="BG183" t="s">
        <v>114</v>
      </c>
      <c r="BJ183" t="str">
        <f t="shared" si="30"/>
        <v/>
      </c>
      <c r="BK183" t="s">
        <v>187</v>
      </c>
      <c r="BL183" t="str">
        <f t="shared" si="31"/>
        <v>S9_2025</v>
      </c>
      <c r="BM183" t="s">
        <v>159</v>
      </c>
      <c r="BN183" s="11">
        <v>45717</v>
      </c>
      <c r="BO183" t="str">
        <f t="shared" si="41"/>
        <v>S9_2025</v>
      </c>
      <c r="BP183" t="s">
        <v>114</v>
      </c>
      <c r="BQ183" t="s">
        <v>118</v>
      </c>
      <c r="BU183" s="11"/>
      <c r="BW183" s="11"/>
      <c r="BX183" s="11"/>
      <c r="BY183" s="11"/>
      <c r="BZ183" s="11"/>
      <c r="CA183" t="s">
        <v>118</v>
      </c>
      <c r="CB183" s="11">
        <v>45717</v>
      </c>
      <c r="CC183" s="11"/>
      <c r="CD183" s="11"/>
      <c r="CE183" s="11"/>
      <c r="CG183" s="11"/>
      <c r="CI183" t="s">
        <v>119</v>
      </c>
      <c r="CO183" t="str">
        <f t="shared" si="33"/>
        <v>NEGATIFPAS INCLUS</v>
      </c>
      <c r="CP183" s="11">
        <v>45713</v>
      </c>
      <c r="CR183">
        <f t="shared" si="35"/>
        <v>3</v>
      </c>
      <c r="CS183">
        <f t="shared" si="36"/>
        <v>1</v>
      </c>
      <c r="CT183">
        <f t="shared" si="40"/>
        <v>11</v>
      </c>
      <c r="CU183">
        <f t="shared" si="37"/>
        <v>0</v>
      </c>
      <c r="CV183" t="str">
        <f t="shared" si="38"/>
        <v/>
      </c>
      <c r="CX183" s="11">
        <v>45702</v>
      </c>
      <c r="CY183" t="str">
        <f t="shared" si="34"/>
        <v>S7_2025</v>
      </c>
      <c r="DC183" t="s">
        <v>120</v>
      </c>
    </row>
    <row r="184" spans="1:107" x14ac:dyDescent="0.35">
      <c r="A184" t="s">
        <v>832</v>
      </c>
      <c r="B184" s="10" t="str">
        <f t="shared" si="28"/>
        <v>S11_2025</v>
      </c>
      <c r="C184" s="10" t="str">
        <f t="shared" si="29"/>
        <v>S7_2025</v>
      </c>
      <c r="D184" s="11">
        <v>45727</v>
      </c>
      <c r="E184" t="s">
        <v>106</v>
      </c>
      <c r="F184">
        <v>37</v>
      </c>
      <c r="G184" t="s">
        <v>110</v>
      </c>
      <c r="H184" t="s">
        <v>108</v>
      </c>
      <c r="J184" t="s">
        <v>142</v>
      </c>
      <c r="K184" s="12"/>
      <c r="L184" t="s">
        <v>722</v>
      </c>
      <c r="M184" t="s">
        <v>183</v>
      </c>
      <c r="P184" t="s">
        <v>110</v>
      </c>
      <c r="Q184" t="s">
        <v>234</v>
      </c>
      <c r="R184" s="11">
        <v>45704</v>
      </c>
      <c r="S184" s="11">
        <v>45704</v>
      </c>
      <c r="T184" s="11">
        <v>45704</v>
      </c>
      <c r="AR184" t="s">
        <v>833</v>
      </c>
      <c r="AS184" s="11">
        <v>45716</v>
      </c>
      <c r="AU184" t="s">
        <v>114</v>
      </c>
      <c r="AV184" t="s">
        <v>115</v>
      </c>
      <c r="BB184" t="s">
        <v>114</v>
      </c>
      <c r="BC184" s="11">
        <v>45713</v>
      </c>
      <c r="BD184" t="s">
        <v>686</v>
      </c>
      <c r="BG184" t="s">
        <v>114</v>
      </c>
      <c r="BJ184" t="str">
        <f t="shared" si="30"/>
        <v/>
      </c>
      <c r="BK184" t="s">
        <v>187</v>
      </c>
      <c r="BL184" t="str">
        <f t="shared" si="31"/>
        <v>S9_2025</v>
      </c>
      <c r="BM184" t="s">
        <v>159</v>
      </c>
      <c r="BN184" s="11">
        <v>45717</v>
      </c>
      <c r="BO184" t="str">
        <f t="shared" si="41"/>
        <v>S9_2025</v>
      </c>
      <c r="BP184" t="s">
        <v>114</v>
      </c>
      <c r="BQ184" t="s">
        <v>118</v>
      </c>
      <c r="BU184" s="11"/>
      <c r="BW184" s="11"/>
      <c r="BX184" s="11"/>
      <c r="BY184" s="11"/>
      <c r="BZ184" s="11"/>
      <c r="CA184" t="s">
        <v>118</v>
      </c>
      <c r="CB184" s="11">
        <v>45717</v>
      </c>
      <c r="CC184" s="11"/>
      <c r="CD184" s="11"/>
      <c r="CE184" s="11"/>
      <c r="CG184" s="11"/>
      <c r="CI184" t="s">
        <v>119</v>
      </c>
      <c r="CO184" t="str">
        <f t="shared" si="33"/>
        <v>NEGATIFPAS INCLUS</v>
      </c>
      <c r="CP184" s="11">
        <v>45713</v>
      </c>
      <c r="CR184">
        <f t="shared" si="35"/>
        <v>3</v>
      </c>
      <c r="CS184">
        <f t="shared" si="36"/>
        <v>1</v>
      </c>
      <c r="CT184">
        <f t="shared" si="40"/>
        <v>9</v>
      </c>
      <c r="CU184">
        <f t="shared" si="37"/>
        <v>45713</v>
      </c>
      <c r="CV184" t="str">
        <f t="shared" si="38"/>
        <v/>
      </c>
      <c r="CX184" s="11">
        <v>45704</v>
      </c>
      <c r="CY184" t="str">
        <f t="shared" si="34"/>
        <v>S7_2025</v>
      </c>
      <c r="DC184" t="s">
        <v>120</v>
      </c>
    </row>
    <row r="185" spans="1:107" x14ac:dyDescent="0.35">
      <c r="A185" t="s">
        <v>834</v>
      </c>
      <c r="B185" s="10" t="str">
        <f t="shared" si="28"/>
        <v>S11_2025</v>
      </c>
      <c r="C185" s="10" t="str">
        <f t="shared" si="29"/>
        <v>S10_2025</v>
      </c>
      <c r="D185" s="11">
        <v>45728</v>
      </c>
      <c r="E185" t="s">
        <v>106</v>
      </c>
      <c r="F185">
        <v>20</v>
      </c>
      <c r="H185" t="s">
        <v>835</v>
      </c>
      <c r="J185" t="s">
        <v>114</v>
      </c>
      <c r="K185" s="14">
        <v>45727</v>
      </c>
      <c r="L185" t="s">
        <v>180</v>
      </c>
      <c r="M185" t="s">
        <v>836</v>
      </c>
      <c r="N185" t="s">
        <v>837</v>
      </c>
      <c r="P185" t="s">
        <v>110</v>
      </c>
      <c r="Q185" t="s">
        <v>836</v>
      </c>
      <c r="R185" s="11">
        <v>45723</v>
      </c>
      <c r="S185" s="11">
        <v>45723</v>
      </c>
      <c r="T185" s="11">
        <v>45723</v>
      </c>
      <c r="X185" t="s">
        <v>114</v>
      </c>
      <c r="Y185" t="s">
        <v>114</v>
      </c>
      <c r="AB185" t="s">
        <v>114</v>
      </c>
      <c r="AE185" t="s">
        <v>114</v>
      </c>
      <c r="AK185" t="s">
        <v>132</v>
      </c>
      <c r="AM185" t="s">
        <v>132</v>
      </c>
      <c r="AN185" t="s">
        <v>114</v>
      </c>
      <c r="AQ185" t="s">
        <v>142</v>
      </c>
      <c r="AR185" t="s">
        <v>838</v>
      </c>
      <c r="AS185" s="11">
        <v>45730</v>
      </c>
      <c r="AU185" t="s">
        <v>114</v>
      </c>
      <c r="AV185" t="s">
        <v>115</v>
      </c>
      <c r="BB185" t="s">
        <v>114</v>
      </c>
      <c r="BC185" s="11">
        <v>45727</v>
      </c>
      <c r="BD185" t="s">
        <v>334</v>
      </c>
      <c r="BF185" t="s">
        <v>839</v>
      </c>
      <c r="BG185" t="s">
        <v>114</v>
      </c>
      <c r="BJ185" t="str">
        <f t="shared" si="30"/>
        <v/>
      </c>
      <c r="BK185" t="s">
        <v>180</v>
      </c>
      <c r="BL185" t="str">
        <f t="shared" si="31"/>
        <v>S11_2025</v>
      </c>
      <c r="BM185" t="s">
        <v>159</v>
      </c>
      <c r="BN185" s="11">
        <v>45730</v>
      </c>
      <c r="BO185" t="str">
        <f t="shared" si="41"/>
        <v>S11_2025</v>
      </c>
      <c r="BP185" t="s">
        <v>114</v>
      </c>
      <c r="BQ185" t="s">
        <v>118</v>
      </c>
      <c r="BU185" s="11"/>
      <c r="BW185" s="11"/>
      <c r="BX185" s="11"/>
      <c r="BY185" s="11"/>
      <c r="BZ185" s="11"/>
      <c r="CA185" t="s">
        <v>118</v>
      </c>
      <c r="CB185" s="11">
        <v>45730</v>
      </c>
      <c r="CC185" s="11"/>
      <c r="CD185" s="11"/>
      <c r="CE185" s="11"/>
      <c r="CG185" s="11"/>
      <c r="CI185" t="s">
        <v>119</v>
      </c>
      <c r="CO185" t="str">
        <f t="shared" si="33"/>
        <v>NEGATIFPAS INCLUS</v>
      </c>
      <c r="CP185" s="11">
        <v>45727</v>
      </c>
      <c r="CR185">
        <f t="shared" si="35"/>
        <v>3</v>
      </c>
      <c r="CS185">
        <f t="shared" si="36"/>
        <v>0</v>
      </c>
      <c r="CT185">
        <f t="shared" si="40"/>
        <v>4</v>
      </c>
      <c r="CU185">
        <f t="shared" si="37"/>
        <v>0</v>
      </c>
      <c r="CV185" t="str">
        <f t="shared" si="38"/>
        <v/>
      </c>
      <c r="CX185" s="11">
        <v>45723</v>
      </c>
      <c r="CY185" t="str">
        <f t="shared" si="34"/>
        <v>S10_2025</v>
      </c>
      <c r="DC185" t="s">
        <v>120</v>
      </c>
    </row>
    <row r="186" spans="1:107" x14ac:dyDescent="0.35">
      <c r="A186" t="s">
        <v>840</v>
      </c>
      <c r="B186" s="10" t="str">
        <f t="shared" si="28"/>
        <v>S12_2025</v>
      </c>
      <c r="C186" s="10" t="str">
        <f t="shared" si="29"/>
        <v>S11_2025</v>
      </c>
      <c r="D186" s="11">
        <v>45736</v>
      </c>
      <c r="E186" t="s">
        <v>123</v>
      </c>
      <c r="F186">
        <v>48</v>
      </c>
      <c r="G186" t="s">
        <v>107</v>
      </c>
      <c r="H186" t="s">
        <v>108</v>
      </c>
      <c r="J186" t="s">
        <v>114</v>
      </c>
      <c r="K186" s="14">
        <v>45735</v>
      </c>
      <c r="L186" t="s">
        <v>182</v>
      </c>
      <c r="M186" t="s">
        <v>193</v>
      </c>
      <c r="N186" t="s">
        <v>194</v>
      </c>
      <c r="P186" t="s">
        <v>110</v>
      </c>
      <c r="Q186" t="s">
        <v>657</v>
      </c>
      <c r="R186" s="11">
        <v>45732</v>
      </c>
      <c r="S186" s="11">
        <v>45734</v>
      </c>
      <c r="T186" s="11">
        <v>45732</v>
      </c>
      <c r="V186" t="s">
        <v>114</v>
      </c>
      <c r="AE186" t="s">
        <v>114</v>
      </c>
      <c r="AK186" t="s">
        <v>114</v>
      </c>
      <c r="AM186" t="s">
        <v>114</v>
      </c>
      <c r="AN186" t="s">
        <v>132</v>
      </c>
      <c r="AR186" t="s">
        <v>841</v>
      </c>
      <c r="AS186" s="11">
        <v>45731</v>
      </c>
      <c r="AU186" t="s">
        <v>114</v>
      </c>
      <c r="AV186" t="s">
        <v>115</v>
      </c>
      <c r="BB186" t="s">
        <v>114</v>
      </c>
      <c r="BC186" s="11">
        <v>45735</v>
      </c>
      <c r="BD186" t="s">
        <v>373</v>
      </c>
      <c r="BF186" t="s">
        <v>619</v>
      </c>
      <c r="BG186" t="s">
        <v>114</v>
      </c>
      <c r="BJ186" t="str">
        <f t="shared" si="30"/>
        <v/>
      </c>
      <c r="BK186" t="s">
        <v>187</v>
      </c>
      <c r="BL186" t="str">
        <f t="shared" si="31"/>
        <v>S12_2025</v>
      </c>
      <c r="BM186" t="s">
        <v>159</v>
      </c>
      <c r="BN186" s="11">
        <v>45740</v>
      </c>
      <c r="BO186" t="str">
        <f t="shared" si="41"/>
        <v>S13_2025</v>
      </c>
      <c r="BP186" t="s">
        <v>114</v>
      </c>
      <c r="BQ186" t="s">
        <v>118</v>
      </c>
      <c r="BU186" s="11"/>
      <c r="BW186" s="11"/>
      <c r="BX186" s="11"/>
      <c r="BY186" s="11"/>
      <c r="BZ186" s="11"/>
      <c r="CA186" t="s">
        <v>118</v>
      </c>
      <c r="CB186" s="11">
        <v>45740</v>
      </c>
      <c r="CC186" s="11"/>
      <c r="CD186" s="11"/>
      <c r="CE186" s="11"/>
      <c r="CG186" s="11"/>
      <c r="CI186" t="s">
        <v>119</v>
      </c>
      <c r="CO186" t="str">
        <f t="shared" si="33"/>
        <v>NEGATIFPAS INCLUS</v>
      </c>
      <c r="CP186" s="11">
        <v>45735</v>
      </c>
      <c r="CR186">
        <f t="shared" si="35"/>
        <v>-4</v>
      </c>
      <c r="CS186">
        <f t="shared" si="36"/>
        <v>9</v>
      </c>
      <c r="CT186">
        <f t="shared" si="40"/>
        <v>3</v>
      </c>
      <c r="CU186">
        <f t="shared" si="37"/>
        <v>0</v>
      </c>
      <c r="CV186" t="str">
        <f t="shared" si="38"/>
        <v/>
      </c>
      <c r="CX186" s="11">
        <v>45732</v>
      </c>
      <c r="CY186" t="str">
        <f t="shared" si="34"/>
        <v>S11_2025</v>
      </c>
      <c r="DC186" t="s">
        <v>120</v>
      </c>
    </row>
    <row r="187" spans="1:107" x14ac:dyDescent="0.35">
      <c r="A187" t="s">
        <v>842</v>
      </c>
      <c r="B187" s="10" t="str">
        <f t="shared" si="28"/>
        <v>S12_2025</v>
      </c>
      <c r="C187" s="10" t="str">
        <f t="shared" si="29"/>
        <v>S10_2025</v>
      </c>
      <c r="D187" s="11">
        <v>45736</v>
      </c>
      <c r="E187" t="s">
        <v>106</v>
      </c>
      <c r="F187">
        <v>1</v>
      </c>
      <c r="G187" t="s">
        <v>141</v>
      </c>
      <c r="H187" t="s">
        <v>108</v>
      </c>
      <c r="J187" t="s">
        <v>142</v>
      </c>
      <c r="K187" s="12"/>
      <c r="L187" t="s">
        <v>163</v>
      </c>
      <c r="M187" t="s">
        <v>843</v>
      </c>
      <c r="P187" t="s">
        <v>110</v>
      </c>
      <c r="Q187" t="s">
        <v>843</v>
      </c>
      <c r="R187" s="11">
        <v>45721</v>
      </c>
      <c r="S187" s="11">
        <v>45721</v>
      </c>
      <c r="T187" s="11">
        <v>45721</v>
      </c>
      <c r="AR187" t="s">
        <v>844</v>
      </c>
      <c r="AS187" s="11">
        <v>45731</v>
      </c>
      <c r="AU187" t="s">
        <v>114</v>
      </c>
      <c r="AV187" t="s">
        <v>115</v>
      </c>
      <c r="BB187" t="s">
        <v>114</v>
      </c>
      <c r="BC187" s="11">
        <v>45727</v>
      </c>
      <c r="BD187" t="s">
        <v>169</v>
      </c>
      <c r="BG187" t="s">
        <v>114</v>
      </c>
      <c r="BJ187" t="str">
        <f t="shared" si="30"/>
        <v/>
      </c>
      <c r="BK187" t="s">
        <v>170</v>
      </c>
      <c r="BL187" t="str">
        <f t="shared" si="31"/>
        <v>S11_2025</v>
      </c>
      <c r="BM187" t="s">
        <v>159</v>
      </c>
      <c r="BN187" s="11">
        <v>45734</v>
      </c>
      <c r="BO187" t="str">
        <f t="shared" si="41"/>
        <v>S12_2025</v>
      </c>
      <c r="BP187" t="s">
        <v>114</v>
      </c>
      <c r="BQ187" t="s">
        <v>118</v>
      </c>
      <c r="BU187" s="11"/>
      <c r="BW187" s="11"/>
      <c r="BX187" s="11"/>
      <c r="BY187" s="11"/>
      <c r="BZ187" s="11"/>
      <c r="CA187" t="s">
        <v>118</v>
      </c>
      <c r="CB187" s="11">
        <v>45734</v>
      </c>
      <c r="CC187" s="11"/>
      <c r="CD187" s="11"/>
      <c r="CE187" s="11"/>
      <c r="CG187" s="11"/>
      <c r="CI187" t="s">
        <v>119</v>
      </c>
      <c r="CO187" t="str">
        <f t="shared" si="33"/>
        <v>NEGATIFPAS INCLUS</v>
      </c>
      <c r="CP187" s="11">
        <v>45727</v>
      </c>
      <c r="CR187">
        <f t="shared" si="35"/>
        <v>4</v>
      </c>
      <c r="CS187">
        <f t="shared" si="36"/>
        <v>3</v>
      </c>
      <c r="CT187">
        <f t="shared" si="40"/>
        <v>6</v>
      </c>
      <c r="CU187">
        <f t="shared" si="37"/>
        <v>45727</v>
      </c>
      <c r="CV187" t="str">
        <f t="shared" si="38"/>
        <v/>
      </c>
      <c r="CX187" s="11">
        <v>45721</v>
      </c>
      <c r="CY187" t="str">
        <f t="shared" si="34"/>
        <v>S10_2025</v>
      </c>
      <c r="DC187" t="s">
        <v>160</v>
      </c>
    </row>
    <row r="188" spans="1:107" x14ac:dyDescent="0.35">
      <c r="A188" t="s">
        <v>845</v>
      </c>
      <c r="B188" s="10" t="str">
        <f t="shared" si="28"/>
        <v>S14_2025</v>
      </c>
      <c r="C188" s="10" t="str">
        <f t="shared" si="29"/>
        <v>S11_2025</v>
      </c>
      <c r="D188" s="11">
        <v>45748</v>
      </c>
      <c r="E188" t="s">
        <v>106</v>
      </c>
      <c r="F188">
        <v>14</v>
      </c>
      <c r="G188" t="s">
        <v>107</v>
      </c>
      <c r="H188" t="s">
        <v>108</v>
      </c>
      <c r="J188" t="s">
        <v>142</v>
      </c>
      <c r="K188" s="12"/>
      <c r="L188" t="s">
        <v>163</v>
      </c>
      <c r="M188" t="s">
        <v>846</v>
      </c>
      <c r="P188" t="s">
        <v>110</v>
      </c>
      <c r="Q188" t="s">
        <v>846</v>
      </c>
      <c r="R188" s="11">
        <v>45732</v>
      </c>
      <c r="S188" s="11">
        <v>45732</v>
      </c>
      <c r="T188" s="11">
        <v>45732</v>
      </c>
      <c r="AR188" t="s">
        <v>847</v>
      </c>
      <c r="AS188" s="11">
        <v>45743</v>
      </c>
      <c r="AU188" t="s">
        <v>114</v>
      </c>
      <c r="AV188" t="s">
        <v>115</v>
      </c>
      <c r="BB188" t="s">
        <v>114</v>
      </c>
      <c r="BC188" s="11">
        <v>45740</v>
      </c>
      <c r="BD188" t="s">
        <v>686</v>
      </c>
      <c r="BG188" t="s">
        <v>132</v>
      </c>
      <c r="BJ188" t="str">
        <f t="shared" si="30"/>
        <v/>
      </c>
      <c r="BK188" t="s">
        <v>170</v>
      </c>
      <c r="BL188" t="str">
        <f t="shared" si="31"/>
        <v>S13_2025</v>
      </c>
      <c r="BM188" t="s">
        <v>159</v>
      </c>
      <c r="BN188" s="11">
        <v>45748</v>
      </c>
      <c r="BO188" t="str">
        <f t="shared" si="41"/>
        <v>S14_2025</v>
      </c>
      <c r="BP188" t="s">
        <v>114</v>
      </c>
      <c r="BQ188" t="s">
        <v>118</v>
      </c>
      <c r="BU188" s="11"/>
      <c r="BW188" s="11"/>
      <c r="BX188" s="11"/>
      <c r="BY188" s="11"/>
      <c r="BZ188" s="11"/>
      <c r="CA188" t="s">
        <v>118</v>
      </c>
      <c r="CB188" s="11">
        <v>45748</v>
      </c>
      <c r="CC188" s="11"/>
      <c r="CD188" s="11"/>
      <c r="CE188" s="11"/>
      <c r="CG188" s="11"/>
      <c r="CI188" t="s">
        <v>119</v>
      </c>
      <c r="CO188" t="str">
        <f t="shared" si="33"/>
        <v>NEGATIFPAS INCLUS</v>
      </c>
      <c r="CP188" s="11">
        <v>45740</v>
      </c>
      <c r="CR188">
        <f t="shared" si="35"/>
        <v>3</v>
      </c>
      <c r="CS188">
        <f t="shared" si="36"/>
        <v>5</v>
      </c>
      <c r="CT188">
        <f t="shared" si="40"/>
        <v>8</v>
      </c>
      <c r="CU188">
        <f t="shared" si="37"/>
        <v>45740</v>
      </c>
      <c r="CV188" t="str">
        <f t="shared" si="38"/>
        <v/>
      </c>
      <c r="CX188" s="11">
        <v>45732</v>
      </c>
      <c r="CY188" t="str">
        <f t="shared" si="34"/>
        <v>S11_2025</v>
      </c>
      <c r="DC188" t="s">
        <v>120</v>
      </c>
    </row>
    <row r="189" spans="1:107" x14ac:dyDescent="0.35">
      <c r="A189" t="s">
        <v>848</v>
      </c>
      <c r="B189" s="10" t="str">
        <f t="shared" si="28"/>
        <v>S14_2025</v>
      </c>
      <c r="C189" s="10" t="str">
        <f t="shared" si="29"/>
        <v/>
      </c>
      <c r="D189" s="11">
        <v>45751</v>
      </c>
      <c r="E189" t="s">
        <v>106</v>
      </c>
      <c r="F189"/>
      <c r="G189" t="s">
        <v>323</v>
      </c>
      <c r="H189" t="s">
        <v>108</v>
      </c>
      <c r="J189" t="s">
        <v>114</v>
      </c>
      <c r="K189" s="12" t="s">
        <v>110</v>
      </c>
      <c r="L189" t="s">
        <v>111</v>
      </c>
      <c r="M189" t="s">
        <v>348</v>
      </c>
      <c r="N189" t="s">
        <v>849</v>
      </c>
      <c r="O189" t="s">
        <v>850</v>
      </c>
      <c r="P189" t="s">
        <v>110</v>
      </c>
      <c r="Q189" t="s">
        <v>348</v>
      </c>
      <c r="AE189" t="s">
        <v>114</v>
      </c>
      <c r="AK189" t="s">
        <v>132</v>
      </c>
      <c r="AM189" t="s">
        <v>132</v>
      </c>
      <c r="AN189" t="s">
        <v>132</v>
      </c>
      <c r="AQ189" t="s">
        <v>132</v>
      </c>
      <c r="BB189" t="s">
        <v>114</v>
      </c>
      <c r="BC189" t="s">
        <v>110</v>
      </c>
      <c r="BD189" t="s">
        <v>334</v>
      </c>
      <c r="BE189">
        <v>697819486</v>
      </c>
      <c r="BF189" t="s">
        <v>849</v>
      </c>
      <c r="BJ189" t="str">
        <f t="shared" si="30"/>
        <v/>
      </c>
      <c r="BK189" t="s">
        <v>117</v>
      </c>
      <c r="BL189" t="str">
        <f t="shared" si="31"/>
        <v/>
      </c>
      <c r="BM189" t="s">
        <v>159</v>
      </c>
      <c r="BO189" t="str">
        <f t="shared" si="41"/>
        <v/>
      </c>
      <c r="BP189" t="s">
        <v>132</v>
      </c>
      <c r="CI189" t="s">
        <v>119</v>
      </c>
      <c r="CO189" t="str">
        <f t="shared" si="33"/>
        <v>PAS INCLUS</v>
      </c>
      <c r="CP189" s="11">
        <v>45751</v>
      </c>
      <c r="CR189" t="str">
        <f t="shared" si="35"/>
        <v/>
      </c>
      <c r="CS189" t="str">
        <f t="shared" si="36"/>
        <v/>
      </c>
      <c r="CT189">
        <f t="shared" si="40"/>
        <v>45751</v>
      </c>
      <c r="CU189" t="e">
        <f t="shared" si="37"/>
        <v>#VALUE!</v>
      </c>
      <c r="CV189" t="str">
        <f t="shared" si="38"/>
        <v/>
      </c>
      <c r="CY189" t="str">
        <f t="shared" si="34"/>
        <v/>
      </c>
      <c r="DC189" t="s">
        <v>160</v>
      </c>
    </row>
    <row r="190" spans="1:107" x14ac:dyDescent="0.35">
      <c r="A190" t="s">
        <v>851</v>
      </c>
      <c r="B190" s="10" t="str">
        <f t="shared" si="28"/>
        <v>S17_2025</v>
      </c>
      <c r="C190" s="10" t="str">
        <f t="shared" si="29"/>
        <v>S16_2025</v>
      </c>
      <c r="D190" s="11">
        <v>45771</v>
      </c>
      <c r="E190" t="s">
        <v>123</v>
      </c>
      <c r="F190">
        <v>24</v>
      </c>
      <c r="G190" t="s">
        <v>852</v>
      </c>
      <c r="H190" t="s">
        <v>108</v>
      </c>
      <c r="J190" t="s">
        <v>114</v>
      </c>
      <c r="K190" s="12" t="s">
        <v>110</v>
      </c>
      <c r="L190" t="s">
        <v>126</v>
      </c>
      <c r="M190" t="s">
        <v>853</v>
      </c>
      <c r="N190" t="s">
        <v>854</v>
      </c>
      <c r="O190" t="s">
        <v>110</v>
      </c>
      <c r="P190" t="s">
        <v>110</v>
      </c>
      <c r="Q190" t="s">
        <v>853</v>
      </c>
      <c r="R190" s="11">
        <v>45761</v>
      </c>
      <c r="S190" s="11">
        <v>45761</v>
      </c>
      <c r="T190" s="11">
        <v>45764</v>
      </c>
      <c r="AE190" t="s">
        <v>114</v>
      </c>
      <c r="AF190" t="s">
        <v>114</v>
      </c>
      <c r="AM190" t="s">
        <v>132</v>
      </c>
      <c r="AN190" t="s">
        <v>114</v>
      </c>
      <c r="AV190" t="s">
        <v>115</v>
      </c>
      <c r="BB190" t="s">
        <v>114</v>
      </c>
      <c r="BC190" s="11">
        <v>45765</v>
      </c>
      <c r="BD190" t="s">
        <v>334</v>
      </c>
      <c r="BF190" t="s">
        <v>855</v>
      </c>
      <c r="BG190" t="s">
        <v>449</v>
      </c>
      <c r="BJ190" t="str">
        <f t="shared" si="30"/>
        <v/>
      </c>
      <c r="BK190" t="s">
        <v>137</v>
      </c>
      <c r="BL190" t="str">
        <f t="shared" si="31"/>
        <v>S16_2025</v>
      </c>
      <c r="BM190" t="s">
        <v>159</v>
      </c>
      <c r="BN190" s="11">
        <v>45777</v>
      </c>
      <c r="BO190" t="str">
        <f t="shared" si="41"/>
        <v>S18_2025</v>
      </c>
      <c r="BP190" t="s">
        <v>114</v>
      </c>
      <c r="BQ190" t="s">
        <v>450</v>
      </c>
      <c r="BV190" t="s">
        <v>450</v>
      </c>
      <c r="BW190" s="11">
        <v>45777</v>
      </c>
      <c r="BX190" s="11"/>
      <c r="BY190" s="11"/>
      <c r="CB190" s="11"/>
      <c r="CC190" s="11"/>
      <c r="CD190" s="11"/>
      <c r="CG190" s="11"/>
      <c r="CI190" t="s">
        <v>119</v>
      </c>
      <c r="CO190" t="str">
        <f t="shared" si="33"/>
        <v>NEGATIFPAS INCLUS</v>
      </c>
      <c r="CP190" s="11">
        <v>45765</v>
      </c>
      <c r="CR190">
        <f t="shared" si="35"/>
        <v>-45765</v>
      </c>
      <c r="CS190">
        <f t="shared" si="36"/>
        <v>45777</v>
      </c>
      <c r="CT190">
        <f t="shared" si="40"/>
        <v>4</v>
      </c>
      <c r="CU190" t="e">
        <f t="shared" si="37"/>
        <v>#VALUE!</v>
      </c>
      <c r="CV190" t="str">
        <f t="shared" si="38"/>
        <v/>
      </c>
      <c r="CX190" s="11">
        <v>45761</v>
      </c>
      <c r="CY190" t="str">
        <f t="shared" si="34"/>
        <v>S16_2025</v>
      </c>
      <c r="DC190" t="s">
        <v>120</v>
      </c>
    </row>
    <row r="191" spans="1:107" x14ac:dyDescent="0.35">
      <c r="A191" t="s">
        <v>856</v>
      </c>
      <c r="B191" s="10" t="str">
        <f t="shared" si="28"/>
        <v>S17_2025</v>
      </c>
      <c r="C191" s="10" t="str">
        <f t="shared" si="29"/>
        <v>S16_2025</v>
      </c>
      <c r="D191" s="11">
        <v>45772</v>
      </c>
      <c r="E191" t="s">
        <v>106</v>
      </c>
      <c r="F191">
        <v>7</v>
      </c>
      <c r="G191" t="s">
        <v>107</v>
      </c>
      <c r="H191" t="s">
        <v>108</v>
      </c>
      <c r="J191" t="s">
        <v>142</v>
      </c>
      <c r="K191" s="12"/>
      <c r="L191" t="s">
        <v>793</v>
      </c>
      <c r="M191" t="s">
        <v>857</v>
      </c>
      <c r="N191" t="s">
        <v>858</v>
      </c>
      <c r="P191" t="s">
        <v>110</v>
      </c>
      <c r="Q191" t="s">
        <v>857</v>
      </c>
      <c r="R191" s="11">
        <v>45762</v>
      </c>
      <c r="S191" s="11">
        <v>45762</v>
      </c>
      <c r="T191" s="11">
        <v>45762</v>
      </c>
      <c r="AE191" t="s">
        <v>114</v>
      </c>
      <c r="BF191" t="s">
        <v>858</v>
      </c>
      <c r="BJ191" t="str">
        <f t="shared" si="30"/>
        <v/>
      </c>
      <c r="BK191" t="s">
        <v>793</v>
      </c>
      <c r="BL191" t="str">
        <f t="shared" si="31"/>
        <v/>
      </c>
      <c r="BM191" t="s">
        <v>159</v>
      </c>
      <c r="BO191" t="str">
        <f t="shared" si="41"/>
        <v/>
      </c>
      <c r="BP191" t="s">
        <v>132</v>
      </c>
      <c r="CI191" t="s">
        <v>119</v>
      </c>
      <c r="CO191" t="str">
        <f t="shared" si="33"/>
        <v>PAS INCLUS</v>
      </c>
      <c r="CP191" s="11">
        <v>45772</v>
      </c>
      <c r="CR191" t="str">
        <f t="shared" si="35"/>
        <v/>
      </c>
      <c r="CS191" t="str">
        <f t="shared" si="36"/>
        <v/>
      </c>
      <c r="CT191">
        <f t="shared" si="40"/>
        <v>10</v>
      </c>
      <c r="CU191">
        <f t="shared" si="37"/>
        <v>45772</v>
      </c>
      <c r="CV191" t="str">
        <f t="shared" si="38"/>
        <v/>
      </c>
      <c r="CX191" s="11">
        <v>45762</v>
      </c>
      <c r="CY191" t="str">
        <f t="shared" si="34"/>
        <v>S16_2025</v>
      </c>
      <c r="DB191" t="s">
        <v>114</v>
      </c>
      <c r="DC191" t="s">
        <v>160</v>
      </c>
    </row>
    <row r="192" spans="1:107" x14ac:dyDescent="0.35">
      <c r="A192" t="s">
        <v>859</v>
      </c>
      <c r="B192" s="10" t="str">
        <f t="shared" si="28"/>
        <v>S18_2025</v>
      </c>
      <c r="C192" s="10" t="str">
        <f t="shared" si="29"/>
        <v>S18_2025</v>
      </c>
      <c r="D192" s="11">
        <v>45777</v>
      </c>
      <c r="E192" t="s">
        <v>106</v>
      </c>
      <c r="F192">
        <v>3</v>
      </c>
      <c r="H192" t="s">
        <v>108</v>
      </c>
      <c r="J192" t="s">
        <v>114</v>
      </c>
      <c r="K192" s="14">
        <v>45777</v>
      </c>
      <c r="L192" t="s">
        <v>111</v>
      </c>
      <c r="M192" t="s">
        <v>112</v>
      </c>
      <c r="N192" t="s">
        <v>304</v>
      </c>
      <c r="P192" t="s">
        <v>110</v>
      </c>
      <c r="Q192" t="s">
        <v>312</v>
      </c>
      <c r="R192" s="11">
        <v>45777</v>
      </c>
      <c r="S192" s="11">
        <v>45777</v>
      </c>
      <c r="T192" s="11">
        <v>45777</v>
      </c>
      <c r="AE192" t="s">
        <v>114</v>
      </c>
      <c r="AR192" t="s">
        <v>860</v>
      </c>
      <c r="AS192" s="11">
        <v>45778</v>
      </c>
      <c r="AU192" t="s">
        <v>114</v>
      </c>
      <c r="AV192" t="s">
        <v>115</v>
      </c>
      <c r="BB192" t="s">
        <v>114</v>
      </c>
      <c r="BC192" s="11">
        <v>45778</v>
      </c>
      <c r="BD192" t="s">
        <v>686</v>
      </c>
      <c r="BF192" t="s">
        <v>861</v>
      </c>
      <c r="BG192" t="s">
        <v>114</v>
      </c>
      <c r="BJ192" t="str">
        <f t="shared" si="30"/>
        <v/>
      </c>
      <c r="BK192" t="s">
        <v>117</v>
      </c>
      <c r="BL192" t="str">
        <f t="shared" si="31"/>
        <v>S18_2025</v>
      </c>
      <c r="BM192" t="s">
        <v>159</v>
      </c>
      <c r="BN192" s="11">
        <v>45779</v>
      </c>
      <c r="BO192" t="str">
        <f t="shared" si="41"/>
        <v>S18_2025</v>
      </c>
      <c r="BP192" t="s">
        <v>114</v>
      </c>
      <c r="BQ192" t="s">
        <v>118</v>
      </c>
      <c r="BU192" s="11"/>
      <c r="BW192" s="11"/>
      <c r="BX192" s="11"/>
      <c r="BY192" s="11"/>
      <c r="BZ192" s="11"/>
      <c r="CA192" t="s">
        <v>118</v>
      </c>
      <c r="CB192" s="11">
        <v>45779</v>
      </c>
      <c r="CC192" s="11"/>
      <c r="CD192" s="11"/>
      <c r="CE192" s="11"/>
      <c r="CG192" s="11"/>
      <c r="CI192" t="s">
        <v>119</v>
      </c>
      <c r="CO192" t="str">
        <f t="shared" si="33"/>
        <v>NEGATIFPAS INCLUS</v>
      </c>
      <c r="CP192" s="11">
        <v>45777</v>
      </c>
      <c r="CR192">
        <f t="shared" si="35"/>
        <v>0</v>
      </c>
      <c r="CS192">
        <f t="shared" si="36"/>
        <v>1</v>
      </c>
      <c r="CT192">
        <f t="shared" si="40"/>
        <v>0</v>
      </c>
      <c r="CU192">
        <f t="shared" si="37"/>
        <v>0</v>
      </c>
      <c r="CV192" t="str">
        <f t="shared" si="38"/>
        <v/>
      </c>
      <c r="CX192" s="11">
        <v>45777</v>
      </c>
      <c r="CY192" t="str">
        <f t="shared" si="34"/>
        <v>S18_2025</v>
      </c>
      <c r="DC192" t="s">
        <v>120</v>
      </c>
    </row>
    <row r="193" spans="1:107" x14ac:dyDescent="0.35">
      <c r="A193" t="s">
        <v>862</v>
      </c>
      <c r="B193" s="10" t="str">
        <f t="shared" ref="B193:B256" si="42">IFERROR("S"&amp;(IF(_xlfn.ISOWEEKNUM(D193)&gt;0,_xlfn.ISOWEEKNUM(D193),_xlfn.CONCAT("0",_xlfn.ISOWEEKNUM(D193))))&amp;"_"&amp;(YEAR(D193+26-(_xlfn.ISOWEEKNUM(D193)))),"")</f>
        <v>S20_2025</v>
      </c>
      <c r="C193" s="10" t="str">
        <f t="shared" ref="C193:C256" si="43">IFERROR("S"&amp;(IF(_xlfn.ISOWEEKNUM(R193)&gt;0,_xlfn.ISOWEEKNUM(R193),_xlfn.CONCAT("0",_xlfn.ISOWEEKNUM(R193))))&amp;"_"&amp;(YEAR(R193+26-(_xlfn.ISOWEEKNUM(R193)))),"")</f>
        <v/>
      </c>
      <c r="D193" s="11">
        <v>45792</v>
      </c>
      <c r="E193" t="s">
        <v>123</v>
      </c>
      <c r="F193">
        <v>31</v>
      </c>
      <c r="G193" t="s">
        <v>110</v>
      </c>
      <c r="H193" t="s">
        <v>108</v>
      </c>
      <c r="J193" t="s">
        <v>114</v>
      </c>
      <c r="K193" s="14">
        <v>45780</v>
      </c>
      <c r="L193" t="s">
        <v>182</v>
      </c>
      <c r="M193" t="s">
        <v>651</v>
      </c>
      <c r="N193" t="s">
        <v>758</v>
      </c>
      <c r="P193" t="s">
        <v>110</v>
      </c>
      <c r="Q193" t="s">
        <v>651</v>
      </c>
      <c r="V193" t="s">
        <v>114</v>
      </c>
      <c r="AE193" t="s">
        <v>114</v>
      </c>
      <c r="AK193" t="s">
        <v>114</v>
      </c>
      <c r="AM193" t="s">
        <v>132</v>
      </c>
      <c r="AQ193" t="s">
        <v>142</v>
      </c>
      <c r="AS193" s="11">
        <v>45781</v>
      </c>
      <c r="AU193" t="s">
        <v>114</v>
      </c>
      <c r="AV193" t="s">
        <v>134</v>
      </c>
      <c r="AW193" t="s">
        <v>152</v>
      </c>
      <c r="AY193" t="s">
        <v>135</v>
      </c>
      <c r="BB193" t="s">
        <v>114</v>
      </c>
      <c r="BC193" s="11">
        <v>45781</v>
      </c>
      <c r="BD193" t="s">
        <v>334</v>
      </c>
      <c r="BF193" t="s">
        <v>863</v>
      </c>
      <c r="BG193" t="s">
        <v>449</v>
      </c>
      <c r="BI193" s="11">
        <v>45792</v>
      </c>
      <c r="BJ193" t="str">
        <f t="shared" ref="BJ193:BJ249" si="44">IFERROR("S"&amp;(IF(_xlfn.ISOWEEKNUM(BI193)&gt;0,_xlfn.ISOWEEKNUM(BI193),_xlfn.CONCAT("0",_xlfn.ISOWEEKNUM(BI193))))&amp;"_"&amp;(YEAR(BI193+26-(_xlfn.ISOWEEKNUM(BI193)))),"")</f>
        <v>S20_2025</v>
      </c>
      <c r="BK193" t="s">
        <v>187</v>
      </c>
      <c r="BL193" t="str">
        <f t="shared" ref="BL193:BL256" si="45">IFERROR("S"&amp;(IF(_xlfn.ISOWEEKNUM(BC193)&gt;0,_xlfn.ISOWEEKNUM(BC193),_xlfn.CONCAT("0",_xlfn.ISOWEEKNUM(BC193))))&amp;"_"&amp;(YEAR(BC193+26-(_xlfn.ISOWEEKNUM(BC193)))),"")</f>
        <v>S18_2025</v>
      </c>
      <c r="BM193" t="s">
        <v>159</v>
      </c>
      <c r="BN193" s="11">
        <v>45792</v>
      </c>
      <c r="BO193" t="str">
        <f t="shared" si="41"/>
        <v>S20_2025</v>
      </c>
      <c r="BP193" t="s">
        <v>114</v>
      </c>
      <c r="BQ193" t="s">
        <v>450</v>
      </c>
      <c r="CI193" t="s">
        <v>134</v>
      </c>
      <c r="CJ193" t="s">
        <v>456</v>
      </c>
      <c r="CK193" t="s">
        <v>452</v>
      </c>
      <c r="CO193" t="str">
        <f t="shared" si="33"/>
        <v>POSITIFPOSITIF</v>
      </c>
      <c r="CP193" s="11">
        <v>45781</v>
      </c>
      <c r="CR193">
        <f t="shared" si="35"/>
        <v>0</v>
      </c>
      <c r="CS193">
        <f t="shared" si="36"/>
        <v>11</v>
      </c>
      <c r="CT193">
        <f t="shared" si="40"/>
        <v>45781</v>
      </c>
      <c r="CU193">
        <f t="shared" si="37"/>
        <v>1</v>
      </c>
      <c r="CV193">
        <f t="shared" si="38"/>
        <v>45792</v>
      </c>
      <c r="CY193" t="str">
        <f t="shared" si="34"/>
        <v/>
      </c>
      <c r="DC193" t="s">
        <v>139</v>
      </c>
    </row>
    <row r="194" spans="1:107" x14ac:dyDescent="0.35">
      <c r="A194" t="s">
        <v>864</v>
      </c>
      <c r="B194" s="10" t="str">
        <f t="shared" si="42"/>
        <v>S21_2025</v>
      </c>
      <c r="C194" s="10" t="str">
        <f t="shared" si="43"/>
        <v/>
      </c>
      <c r="D194" s="11">
        <v>45799</v>
      </c>
      <c r="E194" t="s">
        <v>123</v>
      </c>
      <c r="F194">
        <v>5</v>
      </c>
      <c r="G194" t="s">
        <v>107</v>
      </c>
      <c r="H194" t="s">
        <v>108</v>
      </c>
      <c r="J194" t="s">
        <v>109</v>
      </c>
      <c r="K194" s="14">
        <v>45765</v>
      </c>
      <c r="L194" t="s">
        <v>163</v>
      </c>
      <c r="M194" t="s">
        <v>298</v>
      </c>
      <c r="N194" t="s">
        <v>220</v>
      </c>
      <c r="P194" t="s">
        <v>110</v>
      </c>
      <c r="Q194" t="s">
        <v>865</v>
      </c>
      <c r="AK194" t="s">
        <v>142</v>
      </c>
      <c r="AM194" t="s">
        <v>132</v>
      </c>
      <c r="AN194" t="s">
        <v>132</v>
      </c>
      <c r="AR194" t="s">
        <v>866</v>
      </c>
      <c r="AS194" s="11">
        <v>45798</v>
      </c>
      <c r="AU194" t="s">
        <v>114</v>
      </c>
      <c r="AV194" t="s">
        <v>115</v>
      </c>
      <c r="BB194" t="s">
        <v>114</v>
      </c>
      <c r="BC194" s="11">
        <v>45790</v>
      </c>
      <c r="BD194" t="s">
        <v>686</v>
      </c>
      <c r="BF194" t="s">
        <v>867</v>
      </c>
      <c r="BG194" t="s">
        <v>114</v>
      </c>
      <c r="BJ194" t="str">
        <f t="shared" si="44"/>
        <v/>
      </c>
      <c r="BK194" t="s">
        <v>170</v>
      </c>
      <c r="BL194" t="str">
        <f t="shared" si="45"/>
        <v>S20_2025</v>
      </c>
      <c r="BM194" t="s">
        <v>159</v>
      </c>
      <c r="BN194" s="11">
        <v>45798</v>
      </c>
      <c r="BO194" t="str">
        <f t="shared" si="41"/>
        <v>S21_2025</v>
      </c>
      <c r="BP194" t="s">
        <v>114</v>
      </c>
      <c r="BQ194" t="s">
        <v>118</v>
      </c>
      <c r="BU194" s="11"/>
      <c r="BW194" s="11"/>
      <c r="BX194" s="11"/>
      <c r="BY194" s="11"/>
      <c r="BZ194" s="11"/>
      <c r="CA194" t="s">
        <v>118</v>
      </c>
      <c r="CB194" s="11">
        <v>45798</v>
      </c>
      <c r="CC194" s="11"/>
      <c r="CD194" s="11"/>
      <c r="CE194" s="11"/>
      <c r="CG194" s="11"/>
      <c r="CI194" t="s">
        <v>119</v>
      </c>
      <c r="CO194" t="str">
        <f t="shared" ref="CO194:CO257" si="46">AV194&amp;CI194</f>
        <v>NEGATIFPAS INCLUS</v>
      </c>
      <c r="CP194" s="11">
        <v>45790</v>
      </c>
      <c r="CR194">
        <f t="shared" si="35"/>
        <v>8</v>
      </c>
      <c r="CS194">
        <f t="shared" si="36"/>
        <v>0</v>
      </c>
      <c r="CT194">
        <f t="shared" si="40"/>
        <v>45790</v>
      </c>
      <c r="CU194">
        <f t="shared" si="37"/>
        <v>25</v>
      </c>
      <c r="CV194" t="str">
        <f t="shared" si="38"/>
        <v/>
      </c>
      <c r="CY194" t="str">
        <f t="shared" ref="CY194:CY257" si="47">IFERROR("S"&amp;(IF(_xlfn.ISOWEEKNUM(CX194)&gt;0,_xlfn.ISOWEEKNUM(CX194),_xlfn.CONCAT("0",_xlfn.ISOWEEKNUM(CX194))))&amp;"_"&amp;(YEAR(CX194+26-(_xlfn.ISOWEEKNUM(CX194)))),"")</f>
        <v/>
      </c>
      <c r="DC194" t="s">
        <v>120</v>
      </c>
    </row>
    <row r="195" spans="1:107" x14ac:dyDescent="0.35">
      <c r="A195" t="s">
        <v>868</v>
      </c>
      <c r="B195" s="10" t="str">
        <f t="shared" si="42"/>
        <v>S21_2025</v>
      </c>
      <c r="C195" s="10" t="str">
        <f t="shared" si="43"/>
        <v>S20_2025</v>
      </c>
      <c r="D195" s="11">
        <v>45799</v>
      </c>
      <c r="E195" t="s">
        <v>123</v>
      </c>
      <c r="F195">
        <v>5</v>
      </c>
      <c r="G195" t="s">
        <v>107</v>
      </c>
      <c r="H195" t="s">
        <v>108</v>
      </c>
      <c r="J195" t="s">
        <v>109</v>
      </c>
      <c r="K195" s="12" t="s">
        <v>110</v>
      </c>
      <c r="L195" t="s">
        <v>163</v>
      </c>
      <c r="M195" t="s">
        <v>298</v>
      </c>
      <c r="N195" t="s">
        <v>220</v>
      </c>
      <c r="O195" t="s">
        <v>110</v>
      </c>
      <c r="P195" t="s">
        <v>110</v>
      </c>
      <c r="Q195" t="s">
        <v>298</v>
      </c>
      <c r="R195" s="11">
        <v>45791</v>
      </c>
      <c r="S195" s="11">
        <v>45791</v>
      </c>
      <c r="T195" s="11">
        <v>45791</v>
      </c>
      <c r="AN195" t="s">
        <v>114</v>
      </c>
      <c r="AR195" t="s">
        <v>869</v>
      </c>
      <c r="AS195" s="11">
        <v>45807</v>
      </c>
      <c r="AU195" t="s">
        <v>114</v>
      </c>
      <c r="AV195" t="s">
        <v>115</v>
      </c>
      <c r="BB195" t="s">
        <v>114</v>
      </c>
      <c r="BC195" s="11">
        <v>45791</v>
      </c>
      <c r="BD195" t="s">
        <v>686</v>
      </c>
      <c r="BF195" t="s">
        <v>220</v>
      </c>
      <c r="BG195" t="s">
        <v>132</v>
      </c>
      <c r="BJ195" t="str">
        <f t="shared" si="44"/>
        <v/>
      </c>
      <c r="BK195" t="s">
        <v>170</v>
      </c>
      <c r="BL195" t="str">
        <f t="shared" si="45"/>
        <v>S20_2025</v>
      </c>
      <c r="BM195" t="s">
        <v>159</v>
      </c>
      <c r="BN195" s="11">
        <v>45810</v>
      </c>
      <c r="BO195" t="str">
        <f t="shared" si="41"/>
        <v>S23_2025</v>
      </c>
      <c r="BP195" t="s">
        <v>114</v>
      </c>
      <c r="BQ195" t="s">
        <v>118</v>
      </c>
      <c r="BU195" s="11"/>
      <c r="BW195" s="11"/>
      <c r="BX195" s="11"/>
      <c r="BY195" s="11"/>
      <c r="BZ195" s="11"/>
      <c r="CA195" t="s">
        <v>118</v>
      </c>
      <c r="CB195" s="11">
        <v>45810</v>
      </c>
      <c r="CC195" s="11"/>
      <c r="CD195" s="11"/>
      <c r="CE195" s="11"/>
      <c r="CG195" s="11"/>
      <c r="CI195" t="s">
        <v>119</v>
      </c>
      <c r="CO195" t="str">
        <f t="shared" si="46"/>
        <v>NEGATIFPAS INCLUS</v>
      </c>
      <c r="CP195" s="11">
        <v>45791</v>
      </c>
      <c r="CR195">
        <f t="shared" ref="CR195:CR258" si="48">IF(BP195="Non","",IF(BP195="","",AS195-BC195))</f>
        <v>16</v>
      </c>
      <c r="CS195">
        <f t="shared" ref="CS195:CS258" si="49">IF(BP195="Non","",IF(BP195="","",BN195-AS195))</f>
        <v>3</v>
      </c>
      <c r="CT195">
        <f t="shared" si="40"/>
        <v>0</v>
      </c>
      <c r="CU195" t="e">
        <f t="shared" ref="CU195:CU258" si="50">IF(J195="Non","",IF(J195="","",CP195-K195))</f>
        <v>#VALUE!</v>
      </c>
      <c r="CV195" t="str">
        <f t="shared" ref="CV195:CV258" si="51">IF(AV195="POSITIF",BI195-CX195,"")</f>
        <v/>
      </c>
      <c r="CX195" s="11">
        <v>45791</v>
      </c>
      <c r="CY195" t="str">
        <f t="shared" si="47"/>
        <v>S20_2025</v>
      </c>
      <c r="DC195" t="s">
        <v>120</v>
      </c>
    </row>
    <row r="196" spans="1:107" x14ac:dyDescent="0.35">
      <c r="A196" t="s">
        <v>870</v>
      </c>
      <c r="B196" s="10" t="str">
        <f t="shared" si="42"/>
        <v>S23_2025</v>
      </c>
      <c r="C196" s="10" t="str">
        <f t="shared" si="43"/>
        <v>S21_2025</v>
      </c>
      <c r="D196" s="11">
        <v>45811</v>
      </c>
      <c r="E196" t="s">
        <v>106</v>
      </c>
      <c r="F196">
        <v>19</v>
      </c>
      <c r="G196" t="s">
        <v>110</v>
      </c>
      <c r="H196" t="s">
        <v>108</v>
      </c>
      <c r="J196" t="s">
        <v>142</v>
      </c>
      <c r="K196" s="12"/>
      <c r="L196" t="s">
        <v>321</v>
      </c>
      <c r="M196" t="s">
        <v>532</v>
      </c>
      <c r="P196" t="s">
        <v>110</v>
      </c>
      <c r="Q196" t="s">
        <v>532</v>
      </c>
      <c r="R196" s="11">
        <v>45802</v>
      </c>
      <c r="S196" s="11">
        <v>45802</v>
      </c>
      <c r="T196" s="11">
        <v>45802</v>
      </c>
      <c r="AR196" t="s">
        <v>871</v>
      </c>
      <c r="AS196" s="11">
        <v>45805</v>
      </c>
      <c r="AU196" t="s">
        <v>114</v>
      </c>
      <c r="AV196" t="s">
        <v>115</v>
      </c>
      <c r="BB196" t="s">
        <v>114</v>
      </c>
      <c r="BC196" s="11">
        <v>45804</v>
      </c>
      <c r="BD196" t="s">
        <v>686</v>
      </c>
      <c r="BG196" t="s">
        <v>114</v>
      </c>
      <c r="BJ196" t="str">
        <f t="shared" si="44"/>
        <v/>
      </c>
      <c r="BK196" t="s">
        <v>321</v>
      </c>
      <c r="BL196" t="str">
        <f t="shared" si="45"/>
        <v>S22_2025</v>
      </c>
      <c r="BM196" t="s">
        <v>159</v>
      </c>
      <c r="BN196" s="11">
        <v>45805</v>
      </c>
      <c r="BO196" t="str">
        <f t="shared" si="41"/>
        <v>S22_2025</v>
      </c>
      <c r="BP196" t="s">
        <v>114</v>
      </c>
      <c r="BQ196" t="s">
        <v>118</v>
      </c>
      <c r="BU196" s="11"/>
      <c r="BW196" s="11"/>
      <c r="BX196" s="11"/>
      <c r="BY196" s="11"/>
      <c r="BZ196" s="11"/>
      <c r="CA196" t="s">
        <v>118</v>
      </c>
      <c r="CB196" s="11">
        <v>45805</v>
      </c>
      <c r="CC196" s="11"/>
      <c r="CD196" s="11"/>
      <c r="CE196" s="11"/>
      <c r="CG196" s="11"/>
      <c r="CI196" t="s">
        <v>119</v>
      </c>
      <c r="CO196" t="str">
        <f t="shared" si="46"/>
        <v>NEGATIFPAS INCLUS</v>
      </c>
      <c r="CP196" s="11">
        <v>45804</v>
      </c>
      <c r="CR196">
        <f t="shared" si="48"/>
        <v>1</v>
      </c>
      <c r="CS196">
        <f t="shared" si="49"/>
        <v>0</v>
      </c>
      <c r="CT196">
        <f t="shared" si="40"/>
        <v>2</v>
      </c>
      <c r="CU196">
        <f t="shared" si="50"/>
        <v>45804</v>
      </c>
      <c r="CV196" t="str">
        <f t="shared" si="51"/>
        <v/>
      </c>
      <c r="CX196" s="11">
        <v>45802</v>
      </c>
      <c r="CY196" t="str">
        <f t="shared" si="47"/>
        <v>S21_2025</v>
      </c>
      <c r="DC196" t="s">
        <v>120</v>
      </c>
    </row>
    <row r="197" spans="1:107" x14ac:dyDescent="0.35">
      <c r="A197" t="s">
        <v>872</v>
      </c>
      <c r="B197" s="10" t="str">
        <f t="shared" si="42"/>
        <v>S26_2025</v>
      </c>
      <c r="C197" s="10" t="str">
        <f t="shared" si="43"/>
        <v/>
      </c>
      <c r="D197" s="11">
        <v>45834</v>
      </c>
      <c r="E197" t="s">
        <v>123</v>
      </c>
      <c r="F197">
        <v>1.5</v>
      </c>
      <c r="G197" t="s">
        <v>141</v>
      </c>
      <c r="H197" t="s">
        <v>835</v>
      </c>
      <c r="J197" t="s">
        <v>142</v>
      </c>
      <c r="K197" s="12"/>
      <c r="L197" t="s">
        <v>111</v>
      </c>
      <c r="M197" t="s">
        <v>143</v>
      </c>
      <c r="N197" t="s">
        <v>873</v>
      </c>
      <c r="P197" t="s">
        <v>110</v>
      </c>
      <c r="Q197" t="s">
        <v>143</v>
      </c>
      <c r="BJ197" t="str">
        <f t="shared" si="44"/>
        <v/>
      </c>
      <c r="BK197" t="s">
        <v>117</v>
      </c>
      <c r="BL197" t="str">
        <f t="shared" si="45"/>
        <v/>
      </c>
      <c r="BM197" t="s">
        <v>159</v>
      </c>
      <c r="BO197" t="str">
        <f t="shared" si="41"/>
        <v/>
      </c>
      <c r="BP197" t="s">
        <v>132</v>
      </c>
      <c r="CI197" t="s">
        <v>119</v>
      </c>
      <c r="CO197" t="str">
        <f t="shared" si="46"/>
        <v>PAS INCLUS</v>
      </c>
      <c r="CP197" s="11">
        <v>45834</v>
      </c>
      <c r="CR197" t="str">
        <f t="shared" si="48"/>
        <v/>
      </c>
      <c r="CS197" t="str">
        <f t="shared" si="49"/>
        <v/>
      </c>
      <c r="CT197">
        <f t="shared" si="40"/>
        <v>45834</v>
      </c>
      <c r="CU197">
        <f t="shared" si="50"/>
        <v>45834</v>
      </c>
      <c r="CV197" t="str">
        <f t="shared" si="51"/>
        <v/>
      </c>
      <c r="CY197" t="str">
        <f t="shared" si="47"/>
        <v/>
      </c>
      <c r="DB197" t="s">
        <v>114</v>
      </c>
      <c r="DC197" t="s">
        <v>160</v>
      </c>
    </row>
    <row r="198" spans="1:107" x14ac:dyDescent="0.35">
      <c r="A198" t="s">
        <v>874</v>
      </c>
      <c r="B198" s="10" t="str">
        <f t="shared" si="42"/>
        <v>S28_2025</v>
      </c>
      <c r="C198" s="10" t="str">
        <f t="shared" si="43"/>
        <v>S27_2025</v>
      </c>
      <c r="D198" s="11">
        <v>45847</v>
      </c>
      <c r="E198" t="s">
        <v>123</v>
      </c>
      <c r="F198">
        <v>1.3</v>
      </c>
      <c r="G198" t="s">
        <v>141</v>
      </c>
      <c r="H198" t="s">
        <v>108</v>
      </c>
      <c r="J198" t="s">
        <v>114</v>
      </c>
      <c r="K198" s="12" t="s">
        <v>110</v>
      </c>
      <c r="L198" t="s">
        <v>111</v>
      </c>
      <c r="M198" t="s">
        <v>143</v>
      </c>
      <c r="N198" t="s">
        <v>875</v>
      </c>
      <c r="O198" t="s">
        <v>876</v>
      </c>
      <c r="P198" t="s">
        <v>110</v>
      </c>
      <c r="Q198" t="s">
        <v>143</v>
      </c>
      <c r="R198" s="11">
        <v>45843</v>
      </c>
      <c r="S198" s="11">
        <v>45843</v>
      </c>
      <c r="T198" s="11">
        <v>45843</v>
      </c>
      <c r="W198" t="s">
        <v>114</v>
      </c>
      <c r="X198" t="s">
        <v>114</v>
      </c>
      <c r="Y198" t="s">
        <v>114</v>
      </c>
      <c r="AA198" t="s">
        <v>114</v>
      </c>
      <c r="AB198" t="s">
        <v>114</v>
      </c>
      <c r="AE198" t="s">
        <v>114</v>
      </c>
      <c r="AK198" t="s">
        <v>132</v>
      </c>
      <c r="AM198" t="s">
        <v>132</v>
      </c>
      <c r="AN198" t="s">
        <v>114</v>
      </c>
      <c r="AQ198" t="s">
        <v>132</v>
      </c>
      <c r="AR198" t="s">
        <v>877</v>
      </c>
      <c r="AS198" s="11">
        <v>45847</v>
      </c>
      <c r="AU198" t="s">
        <v>114</v>
      </c>
      <c r="AV198" t="s">
        <v>134</v>
      </c>
      <c r="AW198" t="s">
        <v>152</v>
      </c>
      <c r="AY198" t="s">
        <v>463</v>
      </c>
      <c r="BB198" t="s">
        <v>114</v>
      </c>
      <c r="BC198" s="11">
        <v>45846</v>
      </c>
      <c r="BD198" t="s">
        <v>878</v>
      </c>
      <c r="BF198" t="s">
        <v>879</v>
      </c>
      <c r="BG198" t="s">
        <v>132</v>
      </c>
      <c r="BI198" s="11">
        <v>45847</v>
      </c>
      <c r="BJ198" t="str">
        <f t="shared" si="44"/>
        <v>S28_2025</v>
      </c>
      <c r="BK198" t="s">
        <v>117</v>
      </c>
      <c r="BL198" t="str">
        <f t="shared" si="45"/>
        <v>S28_2025</v>
      </c>
      <c r="BM198" t="s">
        <v>159</v>
      </c>
      <c r="BN198" s="11">
        <v>45847</v>
      </c>
      <c r="BO198" t="str">
        <f t="shared" si="41"/>
        <v>S28_2025</v>
      </c>
      <c r="BP198" t="s">
        <v>114</v>
      </c>
      <c r="BQ198" t="s">
        <v>118</v>
      </c>
      <c r="BU198" s="11"/>
      <c r="BW198" s="11"/>
      <c r="BX198" s="11"/>
      <c r="BY198" s="11"/>
      <c r="BZ198" s="11"/>
      <c r="CA198" t="s">
        <v>118</v>
      </c>
      <c r="CB198" s="11">
        <v>45847</v>
      </c>
      <c r="CC198" s="11"/>
      <c r="CD198" s="11"/>
      <c r="CE198" s="11"/>
      <c r="CG198" s="11"/>
      <c r="CI198" t="s">
        <v>119</v>
      </c>
      <c r="CK198" t="s">
        <v>880</v>
      </c>
      <c r="CO198" t="str">
        <f t="shared" si="46"/>
        <v>POSITIFPAS INCLUS</v>
      </c>
      <c r="CP198" s="11">
        <v>45846</v>
      </c>
      <c r="CR198">
        <f t="shared" si="48"/>
        <v>1</v>
      </c>
      <c r="CS198">
        <f t="shared" si="49"/>
        <v>0</v>
      </c>
      <c r="CT198">
        <f t="shared" si="40"/>
        <v>3</v>
      </c>
      <c r="CU198" t="e">
        <f t="shared" si="50"/>
        <v>#VALUE!</v>
      </c>
      <c r="CV198">
        <f t="shared" si="51"/>
        <v>4</v>
      </c>
      <c r="CX198" s="11">
        <v>45843</v>
      </c>
      <c r="CY198" t="str">
        <f t="shared" si="47"/>
        <v>S27_2025</v>
      </c>
      <c r="DC198" t="s">
        <v>139</v>
      </c>
    </row>
    <row r="199" spans="1:107" x14ac:dyDescent="0.35">
      <c r="A199" t="s">
        <v>881</v>
      </c>
      <c r="B199" s="10" t="str">
        <f t="shared" si="42"/>
        <v>S29_2025</v>
      </c>
      <c r="C199" s="10" t="str">
        <f t="shared" si="43"/>
        <v/>
      </c>
      <c r="D199" s="11">
        <v>45853</v>
      </c>
      <c r="E199" t="s">
        <v>106</v>
      </c>
      <c r="F199">
        <v>28</v>
      </c>
      <c r="G199" t="s">
        <v>882</v>
      </c>
      <c r="H199" t="s">
        <v>108</v>
      </c>
      <c r="J199" t="s">
        <v>142</v>
      </c>
      <c r="K199" s="12"/>
      <c r="L199" t="s">
        <v>111</v>
      </c>
      <c r="M199" t="s">
        <v>143</v>
      </c>
      <c r="N199" t="s">
        <v>875</v>
      </c>
      <c r="P199" t="s">
        <v>110</v>
      </c>
      <c r="Q199" t="s">
        <v>143</v>
      </c>
      <c r="AR199" t="s">
        <v>883</v>
      </c>
      <c r="AS199" s="11">
        <v>45852</v>
      </c>
      <c r="AU199" t="s">
        <v>114</v>
      </c>
      <c r="AV199" t="s">
        <v>134</v>
      </c>
      <c r="AW199" t="s">
        <v>152</v>
      </c>
      <c r="AY199" t="s">
        <v>463</v>
      </c>
      <c r="BB199" t="s">
        <v>114</v>
      </c>
      <c r="BC199" s="11">
        <v>45851</v>
      </c>
      <c r="BD199" t="s">
        <v>169</v>
      </c>
      <c r="BE199">
        <v>675502304</v>
      </c>
      <c r="BG199" t="s">
        <v>132</v>
      </c>
      <c r="BI199" s="11">
        <v>45853</v>
      </c>
      <c r="BJ199" t="str">
        <f t="shared" si="44"/>
        <v>S29_2025</v>
      </c>
      <c r="BK199" t="s">
        <v>117</v>
      </c>
      <c r="BL199" t="str">
        <f t="shared" si="45"/>
        <v>S28_2025</v>
      </c>
      <c r="BM199" t="s">
        <v>159</v>
      </c>
      <c r="BN199" s="11">
        <v>45853</v>
      </c>
      <c r="BO199" t="str">
        <f t="shared" si="41"/>
        <v>S29_2025</v>
      </c>
      <c r="BP199" t="s">
        <v>114</v>
      </c>
      <c r="BQ199" t="s">
        <v>118</v>
      </c>
      <c r="BU199" s="11"/>
      <c r="BW199" s="11"/>
      <c r="BX199" s="11"/>
      <c r="BY199" s="11"/>
      <c r="BZ199" s="11"/>
      <c r="CA199" t="s">
        <v>118</v>
      </c>
      <c r="CB199" s="11">
        <v>45853</v>
      </c>
      <c r="CC199" s="11"/>
      <c r="CD199" s="11"/>
      <c r="CE199" s="11"/>
      <c r="CG199" s="11"/>
      <c r="CI199" t="s">
        <v>119</v>
      </c>
      <c r="CK199" t="s">
        <v>880</v>
      </c>
      <c r="CO199" t="str">
        <f t="shared" si="46"/>
        <v>POSITIFPAS INCLUS</v>
      </c>
      <c r="CP199" s="11">
        <v>45851</v>
      </c>
      <c r="CR199">
        <f t="shared" si="48"/>
        <v>1</v>
      </c>
      <c r="CS199">
        <f t="shared" si="49"/>
        <v>1</v>
      </c>
      <c r="CT199">
        <f t="shared" si="40"/>
        <v>45851</v>
      </c>
      <c r="CU199">
        <f t="shared" si="50"/>
        <v>45851</v>
      </c>
      <c r="CV199">
        <f t="shared" si="51"/>
        <v>45853</v>
      </c>
      <c r="CY199" t="str">
        <f t="shared" si="47"/>
        <v/>
      </c>
      <c r="DC199" t="s">
        <v>139</v>
      </c>
    </row>
    <row r="200" spans="1:107" x14ac:dyDescent="0.35">
      <c r="A200" t="s">
        <v>884</v>
      </c>
      <c r="B200" s="10" t="str">
        <f t="shared" si="42"/>
        <v>S29_2025</v>
      </c>
      <c r="C200" s="10" t="str">
        <f t="shared" si="43"/>
        <v/>
      </c>
      <c r="D200" s="11">
        <v>45853</v>
      </c>
      <c r="E200" t="s">
        <v>123</v>
      </c>
      <c r="F200">
        <v>6</v>
      </c>
      <c r="G200" t="s">
        <v>107</v>
      </c>
      <c r="H200" t="s">
        <v>108</v>
      </c>
      <c r="J200" t="s">
        <v>142</v>
      </c>
      <c r="K200" s="12"/>
      <c r="L200" t="s">
        <v>111</v>
      </c>
      <c r="M200" t="s">
        <v>143</v>
      </c>
      <c r="N200" t="s">
        <v>875</v>
      </c>
      <c r="P200" t="s">
        <v>110</v>
      </c>
      <c r="Q200" t="s">
        <v>143</v>
      </c>
      <c r="AR200" t="s">
        <v>885</v>
      </c>
      <c r="AS200" s="11">
        <v>45852</v>
      </c>
      <c r="AU200" t="s">
        <v>114</v>
      </c>
      <c r="AV200" t="s">
        <v>134</v>
      </c>
      <c r="AW200" t="s">
        <v>152</v>
      </c>
      <c r="AY200" t="s">
        <v>463</v>
      </c>
      <c r="BB200" t="s">
        <v>114</v>
      </c>
      <c r="BC200" s="11">
        <v>45851</v>
      </c>
      <c r="BD200" t="s">
        <v>169</v>
      </c>
      <c r="BE200">
        <v>675502304</v>
      </c>
      <c r="BG200" t="s">
        <v>132</v>
      </c>
      <c r="BI200" s="11">
        <v>45853</v>
      </c>
      <c r="BJ200" t="str">
        <f t="shared" si="44"/>
        <v>S29_2025</v>
      </c>
      <c r="BK200" t="s">
        <v>117</v>
      </c>
      <c r="BL200" t="str">
        <f t="shared" si="45"/>
        <v>S28_2025</v>
      </c>
      <c r="BM200" t="s">
        <v>159</v>
      </c>
      <c r="BN200" s="11">
        <v>45853</v>
      </c>
      <c r="BO200" t="str">
        <f t="shared" si="41"/>
        <v>S29_2025</v>
      </c>
      <c r="BP200" t="s">
        <v>114</v>
      </c>
      <c r="BQ200" t="s">
        <v>118</v>
      </c>
      <c r="BU200" s="11"/>
      <c r="BW200" s="11"/>
      <c r="BX200" s="11"/>
      <c r="BY200" s="11"/>
      <c r="BZ200" s="11"/>
      <c r="CA200" t="s">
        <v>118</v>
      </c>
      <c r="CB200" s="11">
        <v>45853</v>
      </c>
      <c r="CC200" s="11"/>
      <c r="CD200" s="11"/>
      <c r="CE200" s="11"/>
      <c r="CG200" s="11"/>
      <c r="CI200" t="s">
        <v>119</v>
      </c>
      <c r="CK200" t="s">
        <v>880</v>
      </c>
      <c r="CO200" t="str">
        <f t="shared" si="46"/>
        <v>POSITIFPAS INCLUS</v>
      </c>
      <c r="CP200" s="11">
        <v>45851</v>
      </c>
      <c r="CR200">
        <f t="shared" si="48"/>
        <v>1</v>
      </c>
      <c r="CS200">
        <f t="shared" si="49"/>
        <v>1</v>
      </c>
      <c r="CT200">
        <f t="shared" si="40"/>
        <v>45851</v>
      </c>
      <c r="CU200">
        <f t="shared" si="50"/>
        <v>45851</v>
      </c>
      <c r="CV200">
        <f t="shared" si="51"/>
        <v>45853</v>
      </c>
      <c r="CY200" t="str">
        <f t="shared" si="47"/>
        <v/>
      </c>
      <c r="DC200" t="s">
        <v>139</v>
      </c>
    </row>
    <row r="201" spans="1:107" x14ac:dyDescent="0.35">
      <c r="A201" t="s">
        <v>886</v>
      </c>
      <c r="B201" s="10" t="str">
        <f t="shared" si="42"/>
        <v>S30_2025</v>
      </c>
      <c r="C201" s="10" t="str">
        <f t="shared" si="43"/>
        <v>S29_2025</v>
      </c>
      <c r="D201" s="11">
        <v>45860</v>
      </c>
      <c r="E201" t="s">
        <v>123</v>
      </c>
      <c r="F201">
        <v>1.5</v>
      </c>
      <c r="G201" t="s">
        <v>141</v>
      </c>
      <c r="H201" t="s">
        <v>108</v>
      </c>
      <c r="J201" t="s">
        <v>114</v>
      </c>
      <c r="K201" s="12" t="s">
        <v>110</v>
      </c>
      <c r="L201" t="s">
        <v>111</v>
      </c>
      <c r="M201" t="s">
        <v>143</v>
      </c>
      <c r="N201" t="s">
        <v>887</v>
      </c>
      <c r="O201" t="s">
        <v>888</v>
      </c>
      <c r="P201" t="s">
        <v>110</v>
      </c>
      <c r="Q201" t="s">
        <v>143</v>
      </c>
      <c r="R201" s="11">
        <v>45853</v>
      </c>
      <c r="S201" s="11">
        <v>45853</v>
      </c>
      <c r="T201" s="11">
        <v>45853</v>
      </c>
      <c r="V201" t="s">
        <v>114</v>
      </c>
      <c r="AE201" t="s">
        <v>114</v>
      </c>
      <c r="AN201" t="s">
        <v>114</v>
      </c>
      <c r="AQ201" t="s">
        <v>132</v>
      </c>
      <c r="AR201" t="s">
        <v>889</v>
      </c>
      <c r="AS201" s="11">
        <v>45861</v>
      </c>
      <c r="AU201" t="s">
        <v>114</v>
      </c>
      <c r="AV201" t="s">
        <v>115</v>
      </c>
      <c r="BB201" t="s">
        <v>114</v>
      </c>
      <c r="BC201" s="11">
        <v>45860</v>
      </c>
      <c r="BD201" t="s">
        <v>686</v>
      </c>
      <c r="BE201">
        <v>658954850</v>
      </c>
      <c r="BF201" t="s">
        <v>887</v>
      </c>
      <c r="BG201" t="s">
        <v>132</v>
      </c>
      <c r="BJ201" t="str">
        <f t="shared" si="44"/>
        <v/>
      </c>
      <c r="BK201" t="s">
        <v>117</v>
      </c>
      <c r="BL201" t="str">
        <f t="shared" si="45"/>
        <v>S30_2025</v>
      </c>
      <c r="BM201" t="s">
        <v>159</v>
      </c>
      <c r="BN201" s="11">
        <v>45862</v>
      </c>
      <c r="BO201" t="str">
        <f t="shared" si="41"/>
        <v>S30_2025</v>
      </c>
      <c r="BP201" t="s">
        <v>114</v>
      </c>
      <c r="BQ201" t="s">
        <v>118</v>
      </c>
      <c r="BU201" s="11"/>
      <c r="BW201" s="11"/>
      <c r="BX201" s="11"/>
      <c r="BY201" s="11"/>
      <c r="BZ201" s="11"/>
      <c r="CA201" t="s">
        <v>118</v>
      </c>
      <c r="CB201" s="11">
        <v>45862</v>
      </c>
      <c r="CC201" s="11"/>
      <c r="CD201" s="11"/>
      <c r="CE201" s="11"/>
      <c r="CG201" s="11"/>
      <c r="CI201" t="s">
        <v>119</v>
      </c>
      <c r="CO201" t="str">
        <f t="shared" si="46"/>
        <v>NEGATIFPAS INCLUS</v>
      </c>
      <c r="CP201" s="11">
        <v>45860</v>
      </c>
      <c r="CR201">
        <f t="shared" si="48"/>
        <v>1</v>
      </c>
      <c r="CS201">
        <f t="shared" si="49"/>
        <v>1</v>
      </c>
      <c r="CT201">
        <f t="shared" si="40"/>
        <v>7</v>
      </c>
      <c r="CU201" t="e">
        <f t="shared" si="50"/>
        <v>#VALUE!</v>
      </c>
      <c r="CV201" t="str">
        <f t="shared" si="51"/>
        <v/>
      </c>
      <c r="CX201" s="11">
        <v>45853</v>
      </c>
      <c r="CY201" t="str">
        <f t="shared" si="47"/>
        <v>S29_2025</v>
      </c>
      <c r="DC201" t="s">
        <v>120</v>
      </c>
    </row>
    <row r="202" spans="1:107" x14ac:dyDescent="0.35">
      <c r="A202" t="s">
        <v>890</v>
      </c>
      <c r="B202" s="10" t="str">
        <f t="shared" si="42"/>
        <v>S30_2025</v>
      </c>
      <c r="C202" s="10" t="str">
        <f t="shared" si="43"/>
        <v>S29_2025</v>
      </c>
      <c r="D202" s="11">
        <v>45860</v>
      </c>
      <c r="E202" t="s">
        <v>106</v>
      </c>
      <c r="F202">
        <v>7</v>
      </c>
      <c r="G202" t="s">
        <v>107</v>
      </c>
      <c r="H202" t="s">
        <v>108</v>
      </c>
      <c r="J202" t="s">
        <v>114</v>
      </c>
      <c r="K202" s="12" t="s">
        <v>110</v>
      </c>
      <c r="L202" t="s">
        <v>111</v>
      </c>
      <c r="M202" t="s">
        <v>143</v>
      </c>
      <c r="N202" t="s">
        <v>891</v>
      </c>
      <c r="O202" t="s">
        <v>892</v>
      </c>
      <c r="P202" t="s">
        <v>110</v>
      </c>
      <c r="Q202" t="s">
        <v>143</v>
      </c>
      <c r="R202" s="11">
        <v>45856</v>
      </c>
      <c r="S202" s="11">
        <v>45856</v>
      </c>
      <c r="T202" s="11">
        <v>45856</v>
      </c>
      <c r="V202" t="s">
        <v>114</v>
      </c>
      <c r="AE202" t="s">
        <v>114</v>
      </c>
      <c r="AN202" t="s">
        <v>132</v>
      </c>
      <c r="AR202" t="s">
        <v>893</v>
      </c>
      <c r="AS202" s="11">
        <v>45861</v>
      </c>
      <c r="AU202" t="s">
        <v>114</v>
      </c>
      <c r="AV202" t="s">
        <v>115</v>
      </c>
      <c r="BB202" t="s">
        <v>114</v>
      </c>
      <c r="BC202" s="11">
        <v>45860</v>
      </c>
      <c r="BD202" t="s">
        <v>686</v>
      </c>
      <c r="BE202">
        <v>699475648</v>
      </c>
      <c r="BF202" t="s">
        <v>891</v>
      </c>
      <c r="BG202" t="s">
        <v>114</v>
      </c>
      <c r="BJ202" t="str">
        <f t="shared" si="44"/>
        <v/>
      </c>
      <c r="BK202" t="s">
        <v>117</v>
      </c>
      <c r="BL202" t="str">
        <f t="shared" si="45"/>
        <v>S30_2025</v>
      </c>
      <c r="BM202" t="s">
        <v>159</v>
      </c>
      <c r="BN202" s="11">
        <v>45862</v>
      </c>
      <c r="BO202" t="str">
        <f t="shared" si="41"/>
        <v>S30_2025</v>
      </c>
      <c r="BP202" t="s">
        <v>114</v>
      </c>
      <c r="BQ202" t="s">
        <v>118</v>
      </c>
      <c r="BU202" s="11"/>
      <c r="BW202" s="11"/>
      <c r="BX202" s="11"/>
      <c r="BY202" s="11"/>
      <c r="BZ202" s="11"/>
      <c r="CA202" t="s">
        <v>118</v>
      </c>
      <c r="CB202" s="11">
        <v>45862</v>
      </c>
      <c r="CC202" s="11"/>
      <c r="CD202" s="11"/>
      <c r="CE202" s="11"/>
      <c r="CG202" s="11"/>
      <c r="CI202" t="s">
        <v>119</v>
      </c>
      <c r="CO202" t="str">
        <f t="shared" si="46"/>
        <v>NEGATIFPAS INCLUS</v>
      </c>
      <c r="CP202" s="11">
        <v>45860</v>
      </c>
      <c r="CR202">
        <f t="shared" si="48"/>
        <v>1</v>
      </c>
      <c r="CS202">
        <f t="shared" si="49"/>
        <v>1</v>
      </c>
      <c r="CT202">
        <f t="shared" si="40"/>
        <v>4</v>
      </c>
      <c r="CU202" t="e">
        <f t="shared" si="50"/>
        <v>#VALUE!</v>
      </c>
      <c r="CV202" t="str">
        <f t="shared" si="51"/>
        <v/>
      </c>
      <c r="CX202" s="11">
        <v>45856</v>
      </c>
      <c r="CY202" t="str">
        <f t="shared" si="47"/>
        <v>S29_2025</v>
      </c>
      <c r="DC202" t="s">
        <v>120</v>
      </c>
    </row>
    <row r="203" spans="1:107" x14ac:dyDescent="0.35">
      <c r="A203" t="s">
        <v>894</v>
      </c>
      <c r="B203" s="10" t="str">
        <f t="shared" si="42"/>
        <v>S31_2025</v>
      </c>
      <c r="C203" s="10" t="str">
        <f t="shared" si="43"/>
        <v>S28_2025</v>
      </c>
      <c r="D203" s="11">
        <v>45867</v>
      </c>
      <c r="E203" t="s">
        <v>123</v>
      </c>
      <c r="F203">
        <v>53</v>
      </c>
      <c r="G203" t="s">
        <v>895</v>
      </c>
      <c r="H203" t="s">
        <v>108</v>
      </c>
      <c r="J203" t="s">
        <v>114</v>
      </c>
      <c r="K203" s="12" t="s">
        <v>110</v>
      </c>
      <c r="L203" t="s">
        <v>321</v>
      </c>
      <c r="M203" t="s">
        <v>896</v>
      </c>
      <c r="N203" t="s">
        <v>897</v>
      </c>
      <c r="O203" t="s">
        <v>898</v>
      </c>
      <c r="P203" t="s">
        <v>110</v>
      </c>
      <c r="Q203" t="s">
        <v>896</v>
      </c>
      <c r="R203" s="11">
        <v>45846</v>
      </c>
      <c r="S203" s="11">
        <v>45846</v>
      </c>
      <c r="T203" s="11">
        <v>45846</v>
      </c>
      <c r="V203" t="s">
        <v>114</v>
      </c>
      <c r="AE203" t="s">
        <v>114</v>
      </c>
      <c r="AG203" t="s">
        <v>114</v>
      </c>
      <c r="AK203" t="s">
        <v>114</v>
      </c>
      <c r="AM203" t="s">
        <v>132</v>
      </c>
      <c r="AN203" t="s">
        <v>132</v>
      </c>
      <c r="AQ203" t="s">
        <v>132</v>
      </c>
      <c r="AR203" t="s">
        <v>899</v>
      </c>
      <c r="AS203" s="11">
        <v>45864</v>
      </c>
      <c r="AU203" t="s">
        <v>114</v>
      </c>
      <c r="AV203" t="s">
        <v>134</v>
      </c>
      <c r="AW203" t="s">
        <v>152</v>
      </c>
      <c r="AY203" t="s">
        <v>135</v>
      </c>
      <c r="BB203" t="s">
        <v>114</v>
      </c>
      <c r="BC203" s="11">
        <v>45864</v>
      </c>
      <c r="BD203" t="s">
        <v>686</v>
      </c>
      <c r="BE203">
        <v>670036724</v>
      </c>
      <c r="BF203" s="22" t="s">
        <v>900</v>
      </c>
      <c r="BG203" t="s">
        <v>132</v>
      </c>
      <c r="BI203" s="11">
        <v>45866</v>
      </c>
      <c r="BJ203" t="str">
        <f t="shared" si="44"/>
        <v>S31_2025</v>
      </c>
      <c r="BK203" t="s">
        <v>321</v>
      </c>
      <c r="BL203" t="str">
        <f t="shared" si="45"/>
        <v>S30_2025</v>
      </c>
      <c r="BM203" t="s">
        <v>159</v>
      </c>
      <c r="BN203" s="11">
        <v>45866</v>
      </c>
      <c r="BO203" t="str">
        <f t="shared" si="41"/>
        <v>S31_2025</v>
      </c>
      <c r="BP203" t="s">
        <v>114</v>
      </c>
      <c r="BQ203" t="s">
        <v>118</v>
      </c>
      <c r="BU203" s="11"/>
      <c r="BW203" s="11"/>
      <c r="BX203" s="11"/>
      <c r="BY203" s="11"/>
      <c r="BZ203" s="11"/>
      <c r="CA203" t="s">
        <v>118</v>
      </c>
      <c r="CB203" s="11">
        <v>45866</v>
      </c>
      <c r="CC203" s="11"/>
      <c r="CD203" s="11"/>
      <c r="CE203" s="11"/>
      <c r="CG203" s="11"/>
      <c r="CI203" t="s">
        <v>119</v>
      </c>
      <c r="CK203" t="s">
        <v>138</v>
      </c>
      <c r="CO203" t="str">
        <f t="shared" si="46"/>
        <v>POSITIFPAS INCLUS</v>
      </c>
      <c r="CP203" s="11">
        <v>45864</v>
      </c>
      <c r="CR203">
        <f t="shared" si="48"/>
        <v>0</v>
      </c>
      <c r="CS203">
        <f t="shared" si="49"/>
        <v>2</v>
      </c>
      <c r="CT203">
        <f t="shared" si="40"/>
        <v>18</v>
      </c>
      <c r="CU203" t="e">
        <f t="shared" si="50"/>
        <v>#VALUE!</v>
      </c>
      <c r="CV203">
        <f t="shared" si="51"/>
        <v>20</v>
      </c>
      <c r="CX203" s="11">
        <v>45846</v>
      </c>
      <c r="CY203" t="str">
        <f t="shared" si="47"/>
        <v>S28_2025</v>
      </c>
      <c r="DC203" t="s">
        <v>139</v>
      </c>
    </row>
    <row r="204" spans="1:107" x14ac:dyDescent="0.35">
      <c r="A204" t="s">
        <v>901</v>
      </c>
      <c r="B204" s="10" t="str">
        <f t="shared" si="42"/>
        <v>S31_2025</v>
      </c>
      <c r="C204" s="10" t="str">
        <f t="shared" si="43"/>
        <v>S30_2025</v>
      </c>
      <c r="D204" s="11">
        <v>45870</v>
      </c>
      <c r="E204" t="s">
        <v>123</v>
      </c>
      <c r="F204">
        <v>3</v>
      </c>
      <c r="G204" t="s">
        <v>141</v>
      </c>
      <c r="H204" t="s">
        <v>108</v>
      </c>
      <c r="J204" t="s">
        <v>114</v>
      </c>
      <c r="K204" s="12" t="s">
        <v>110</v>
      </c>
      <c r="L204" t="s">
        <v>111</v>
      </c>
      <c r="M204" t="s">
        <v>143</v>
      </c>
      <c r="N204" t="s">
        <v>875</v>
      </c>
      <c r="O204" t="s">
        <v>876</v>
      </c>
      <c r="P204" t="s">
        <v>110</v>
      </c>
      <c r="Q204" t="s">
        <v>143</v>
      </c>
      <c r="R204" s="11">
        <v>45863</v>
      </c>
      <c r="S204" s="11">
        <v>45863</v>
      </c>
      <c r="T204" s="11">
        <v>45863</v>
      </c>
      <c r="X204" t="s">
        <v>114</v>
      </c>
      <c r="AB204" t="s">
        <v>114</v>
      </c>
      <c r="AE204" t="s">
        <v>114</v>
      </c>
      <c r="AN204" t="s">
        <v>114</v>
      </c>
      <c r="AQ204" t="s">
        <v>132</v>
      </c>
      <c r="AR204" t="s">
        <v>902</v>
      </c>
      <c r="AS204" s="11">
        <v>45869</v>
      </c>
      <c r="AU204" t="s">
        <v>114</v>
      </c>
      <c r="AV204" t="s">
        <v>134</v>
      </c>
      <c r="AW204" t="s">
        <v>152</v>
      </c>
      <c r="AY204" t="s">
        <v>463</v>
      </c>
      <c r="BB204" t="s">
        <v>114</v>
      </c>
      <c r="BC204" s="11">
        <v>45867</v>
      </c>
      <c r="BD204" t="s">
        <v>686</v>
      </c>
      <c r="BE204" s="12" t="s">
        <v>903</v>
      </c>
      <c r="BF204" t="s">
        <v>875</v>
      </c>
      <c r="BG204" t="s">
        <v>132</v>
      </c>
      <c r="BI204" s="11">
        <v>45870</v>
      </c>
      <c r="BJ204" t="str">
        <f t="shared" si="44"/>
        <v>S31_2025</v>
      </c>
      <c r="BK204" t="s">
        <v>117</v>
      </c>
      <c r="BL204" t="str">
        <f t="shared" si="45"/>
        <v>S31_2025</v>
      </c>
      <c r="BM204" t="s">
        <v>159</v>
      </c>
      <c r="BN204" s="11">
        <v>45870</v>
      </c>
      <c r="BO204" t="str">
        <f t="shared" si="41"/>
        <v>S31_2025</v>
      </c>
      <c r="BP204" t="s">
        <v>114</v>
      </c>
      <c r="BQ204" t="s">
        <v>118</v>
      </c>
      <c r="BU204" s="11"/>
      <c r="BW204" s="11"/>
      <c r="BX204" s="11"/>
      <c r="BY204" s="11"/>
      <c r="BZ204" s="11"/>
      <c r="CA204" t="s">
        <v>118</v>
      </c>
      <c r="CB204" s="11">
        <v>45870</v>
      </c>
      <c r="CC204" s="11"/>
      <c r="CD204" s="11"/>
      <c r="CE204" s="11"/>
      <c r="CG204" s="11"/>
      <c r="CI204" t="s">
        <v>119</v>
      </c>
      <c r="CK204" t="s">
        <v>138</v>
      </c>
      <c r="CO204" t="str">
        <f t="shared" si="46"/>
        <v>POSITIFPAS INCLUS</v>
      </c>
      <c r="CP204" s="11">
        <v>45867</v>
      </c>
      <c r="CR204">
        <f t="shared" si="48"/>
        <v>2</v>
      </c>
      <c r="CS204">
        <f t="shared" si="49"/>
        <v>1</v>
      </c>
      <c r="CT204">
        <f t="shared" si="40"/>
        <v>4</v>
      </c>
      <c r="CU204" t="e">
        <f t="shared" si="50"/>
        <v>#VALUE!</v>
      </c>
      <c r="CV204">
        <f t="shared" si="51"/>
        <v>7</v>
      </c>
      <c r="CX204" s="11">
        <v>45863</v>
      </c>
      <c r="CY204" t="str">
        <f t="shared" si="47"/>
        <v>S30_2025</v>
      </c>
      <c r="DC204" t="s">
        <v>139</v>
      </c>
    </row>
    <row r="205" spans="1:107" x14ac:dyDescent="0.35">
      <c r="A205" t="s">
        <v>904</v>
      </c>
      <c r="B205" s="10" t="str">
        <f t="shared" si="42"/>
        <v>S32_2025</v>
      </c>
      <c r="C205" s="10" t="str">
        <f t="shared" si="43"/>
        <v>S29_2025</v>
      </c>
      <c r="D205" s="11">
        <v>45877</v>
      </c>
      <c r="E205" t="s">
        <v>123</v>
      </c>
      <c r="F205">
        <v>9</v>
      </c>
      <c r="G205" t="s">
        <v>107</v>
      </c>
      <c r="H205" t="s">
        <v>108</v>
      </c>
      <c r="J205" t="s">
        <v>142</v>
      </c>
      <c r="K205" s="12"/>
      <c r="L205" t="s">
        <v>182</v>
      </c>
      <c r="M205" t="s">
        <v>420</v>
      </c>
      <c r="P205" t="s">
        <v>110</v>
      </c>
      <c r="Q205" t="s">
        <v>422</v>
      </c>
      <c r="R205" s="11">
        <v>45853</v>
      </c>
      <c r="S205" s="11">
        <v>45853</v>
      </c>
      <c r="T205" s="11">
        <v>45853</v>
      </c>
      <c r="AR205" t="s">
        <v>905</v>
      </c>
      <c r="AS205" s="11">
        <v>45873</v>
      </c>
      <c r="AU205" t="s">
        <v>114</v>
      </c>
      <c r="AV205" t="s">
        <v>115</v>
      </c>
      <c r="BB205" t="s">
        <v>114</v>
      </c>
      <c r="BC205" s="11">
        <v>45866</v>
      </c>
      <c r="BD205" t="s">
        <v>686</v>
      </c>
      <c r="BG205" t="s">
        <v>114</v>
      </c>
      <c r="BJ205" t="str">
        <f t="shared" si="44"/>
        <v/>
      </c>
      <c r="BK205" t="s">
        <v>187</v>
      </c>
      <c r="BL205" t="str">
        <f t="shared" si="45"/>
        <v>S31_2025</v>
      </c>
      <c r="BM205" t="s">
        <v>159</v>
      </c>
      <c r="BN205" s="11">
        <v>45873</v>
      </c>
      <c r="BO205" t="str">
        <f t="shared" si="41"/>
        <v>S32_2025</v>
      </c>
      <c r="BP205" t="s">
        <v>114</v>
      </c>
      <c r="BQ205" t="s">
        <v>118</v>
      </c>
      <c r="BU205" s="11"/>
      <c r="BW205" s="11"/>
      <c r="BX205" s="11"/>
      <c r="BY205" s="11"/>
      <c r="BZ205" s="11"/>
      <c r="CA205" t="s">
        <v>118</v>
      </c>
      <c r="CB205" s="11">
        <v>45873</v>
      </c>
      <c r="CC205" s="11"/>
      <c r="CD205" s="11"/>
      <c r="CE205" s="11"/>
      <c r="CG205" s="11"/>
      <c r="CI205" t="s">
        <v>119</v>
      </c>
      <c r="CO205" t="str">
        <f t="shared" si="46"/>
        <v>NEGATIFPAS INCLUS</v>
      </c>
      <c r="CP205" s="11">
        <v>45866</v>
      </c>
      <c r="CR205">
        <f t="shared" si="48"/>
        <v>7</v>
      </c>
      <c r="CS205">
        <f t="shared" si="49"/>
        <v>0</v>
      </c>
      <c r="CT205">
        <f t="shared" si="40"/>
        <v>13</v>
      </c>
      <c r="CU205">
        <f t="shared" si="50"/>
        <v>45866</v>
      </c>
      <c r="CV205" t="str">
        <f t="shared" si="51"/>
        <v/>
      </c>
      <c r="CX205" s="11">
        <v>45853</v>
      </c>
      <c r="CY205" t="str">
        <f t="shared" si="47"/>
        <v>S29_2025</v>
      </c>
      <c r="DC205" t="s">
        <v>120</v>
      </c>
    </row>
    <row r="206" spans="1:107" x14ac:dyDescent="0.35">
      <c r="A206" t="s">
        <v>906</v>
      </c>
      <c r="B206" s="10" t="str">
        <f t="shared" si="42"/>
        <v>S36_2025</v>
      </c>
      <c r="C206" s="10" t="str">
        <f t="shared" si="43"/>
        <v>S35_2025</v>
      </c>
      <c r="D206" s="11">
        <v>45903</v>
      </c>
      <c r="E206" t="s">
        <v>106</v>
      </c>
      <c r="F206">
        <v>42</v>
      </c>
      <c r="G206" t="s">
        <v>162</v>
      </c>
      <c r="H206" t="s">
        <v>108</v>
      </c>
      <c r="J206" t="s">
        <v>132</v>
      </c>
      <c r="K206" s="12"/>
      <c r="L206" t="s">
        <v>163</v>
      </c>
      <c r="M206" t="s">
        <v>298</v>
      </c>
      <c r="N206" t="s">
        <v>220</v>
      </c>
      <c r="O206" t="s">
        <v>184</v>
      </c>
      <c r="P206" t="s">
        <v>110</v>
      </c>
      <c r="Q206" t="s">
        <v>298</v>
      </c>
      <c r="R206" s="11">
        <v>45899</v>
      </c>
      <c r="S206" s="11">
        <v>45899</v>
      </c>
      <c r="T206" s="11">
        <v>45899</v>
      </c>
      <c r="AE206" t="s">
        <v>114</v>
      </c>
      <c r="AK206" t="s">
        <v>132</v>
      </c>
      <c r="AM206" t="s">
        <v>132</v>
      </c>
      <c r="AN206" t="s">
        <v>132</v>
      </c>
      <c r="AQ206" t="s">
        <v>132</v>
      </c>
      <c r="AR206" t="s">
        <v>907</v>
      </c>
      <c r="AS206" s="11">
        <v>45909</v>
      </c>
      <c r="AU206" t="s">
        <v>114</v>
      </c>
      <c r="AV206" t="s">
        <v>115</v>
      </c>
      <c r="BB206" t="s">
        <v>114</v>
      </c>
      <c r="BC206" s="11">
        <v>45902</v>
      </c>
      <c r="BD206" t="s">
        <v>169</v>
      </c>
      <c r="BE206">
        <v>675108104</v>
      </c>
      <c r="BF206" t="s">
        <v>220</v>
      </c>
      <c r="BG206" t="s">
        <v>132</v>
      </c>
      <c r="BJ206" t="str">
        <f t="shared" si="44"/>
        <v/>
      </c>
      <c r="BK206" t="s">
        <v>170</v>
      </c>
      <c r="BL206" t="str">
        <f t="shared" si="45"/>
        <v>S36_2025</v>
      </c>
      <c r="BM206" t="s">
        <v>159</v>
      </c>
      <c r="BN206" s="11">
        <v>45879</v>
      </c>
      <c r="BO206" t="str">
        <f t="shared" si="41"/>
        <v>S32_2025</v>
      </c>
      <c r="BP206" t="s">
        <v>114</v>
      </c>
      <c r="BQ206" t="s">
        <v>118</v>
      </c>
      <c r="BU206" s="11"/>
      <c r="BW206" s="11"/>
      <c r="BX206" s="11"/>
      <c r="BY206" s="11"/>
      <c r="BZ206" s="11"/>
      <c r="CA206" t="s">
        <v>118</v>
      </c>
      <c r="CB206" s="11">
        <v>45879</v>
      </c>
      <c r="CC206" s="11"/>
      <c r="CD206" s="11"/>
      <c r="CE206" s="11"/>
      <c r="CG206" s="11"/>
      <c r="CI206" t="s">
        <v>119</v>
      </c>
      <c r="CO206" t="str">
        <f t="shared" si="46"/>
        <v>NEGATIFPAS INCLUS</v>
      </c>
      <c r="CP206" s="11">
        <v>45902</v>
      </c>
      <c r="CR206">
        <f t="shared" si="48"/>
        <v>7</v>
      </c>
      <c r="CS206">
        <f t="shared" si="49"/>
        <v>-30</v>
      </c>
      <c r="CT206">
        <f t="shared" si="40"/>
        <v>3</v>
      </c>
      <c r="CU206" t="str">
        <f t="shared" si="50"/>
        <v/>
      </c>
      <c r="CV206" t="str">
        <f t="shared" si="51"/>
        <v/>
      </c>
      <c r="CX206" s="11">
        <v>45899</v>
      </c>
      <c r="CY206" t="str">
        <f t="shared" si="47"/>
        <v>S35_2025</v>
      </c>
      <c r="DC206" t="s">
        <v>120</v>
      </c>
    </row>
    <row r="207" spans="1:107" x14ac:dyDescent="0.35">
      <c r="A207" t="s">
        <v>908</v>
      </c>
      <c r="B207" s="10" t="str">
        <f t="shared" si="42"/>
        <v>S38_2025</v>
      </c>
      <c r="C207" s="10" t="str">
        <f t="shared" si="43"/>
        <v>S36_2025</v>
      </c>
      <c r="D207" s="11">
        <v>45915</v>
      </c>
      <c r="E207" t="s">
        <v>106</v>
      </c>
      <c r="F207">
        <v>3</v>
      </c>
      <c r="G207" t="s">
        <v>107</v>
      </c>
      <c r="H207" t="s">
        <v>108</v>
      </c>
      <c r="J207" t="s">
        <v>132</v>
      </c>
      <c r="K207" s="12"/>
      <c r="L207" t="s">
        <v>182</v>
      </c>
      <c r="M207" t="s">
        <v>183</v>
      </c>
      <c r="N207" t="s">
        <v>225</v>
      </c>
      <c r="O207" t="s">
        <v>184</v>
      </c>
      <c r="P207" t="s">
        <v>110</v>
      </c>
      <c r="Q207" t="s">
        <v>183</v>
      </c>
      <c r="R207" s="11">
        <v>45906</v>
      </c>
      <c r="S207" s="11">
        <v>45906</v>
      </c>
      <c r="T207" s="11">
        <v>45908</v>
      </c>
      <c r="W207" t="s">
        <v>114</v>
      </c>
      <c r="X207" t="s">
        <v>114</v>
      </c>
      <c r="AE207" t="s">
        <v>114</v>
      </c>
      <c r="AK207" t="s">
        <v>114</v>
      </c>
      <c r="AM207" t="s">
        <v>114</v>
      </c>
      <c r="AN207" t="s">
        <v>114</v>
      </c>
      <c r="AS207" s="11">
        <v>45920</v>
      </c>
      <c r="AU207" t="s">
        <v>114</v>
      </c>
      <c r="AV207" t="s">
        <v>134</v>
      </c>
      <c r="AW207" t="s">
        <v>152</v>
      </c>
      <c r="AY207" t="s">
        <v>135</v>
      </c>
      <c r="BB207" t="s">
        <v>114</v>
      </c>
      <c r="BC207" s="11">
        <v>45920</v>
      </c>
      <c r="BD207" t="s">
        <v>686</v>
      </c>
      <c r="BF207" t="s">
        <v>228</v>
      </c>
      <c r="BG207" t="s">
        <v>449</v>
      </c>
      <c r="BI207" s="11">
        <v>45930</v>
      </c>
      <c r="BJ207" t="str">
        <f t="shared" si="44"/>
        <v>S40_2025</v>
      </c>
      <c r="BK207" t="s">
        <v>187</v>
      </c>
      <c r="BL207" t="str">
        <f t="shared" si="45"/>
        <v>S38_2025</v>
      </c>
      <c r="BM207" t="s">
        <v>159</v>
      </c>
      <c r="BN207" s="11">
        <v>45930</v>
      </c>
      <c r="BO207" t="str">
        <f t="shared" si="41"/>
        <v>S40_2025</v>
      </c>
      <c r="BP207" t="s">
        <v>114</v>
      </c>
      <c r="BQ207" t="s">
        <v>450</v>
      </c>
      <c r="BV207" t="s">
        <v>450</v>
      </c>
      <c r="BW207" s="11">
        <v>45930</v>
      </c>
      <c r="BX207" s="11"/>
      <c r="BY207" s="11"/>
      <c r="CB207" s="11"/>
      <c r="CC207" s="11"/>
      <c r="CD207" s="11"/>
      <c r="CG207" s="11"/>
      <c r="CI207" t="s">
        <v>134</v>
      </c>
      <c r="CJ207" t="s">
        <v>456</v>
      </c>
      <c r="CK207" t="s">
        <v>452</v>
      </c>
      <c r="CN207" t="s">
        <v>452</v>
      </c>
      <c r="CO207" t="str">
        <f t="shared" si="46"/>
        <v>POSITIFPOSITIF</v>
      </c>
      <c r="CP207" s="11">
        <v>45915</v>
      </c>
      <c r="CR207">
        <f t="shared" si="48"/>
        <v>0</v>
      </c>
      <c r="CS207">
        <f t="shared" si="49"/>
        <v>10</v>
      </c>
      <c r="CT207">
        <f t="shared" si="40"/>
        <v>9</v>
      </c>
      <c r="CU207" t="str">
        <f t="shared" si="50"/>
        <v/>
      </c>
      <c r="CV207">
        <f t="shared" si="51"/>
        <v>24</v>
      </c>
      <c r="CX207" s="11">
        <v>45906</v>
      </c>
      <c r="CY207" t="str">
        <f t="shared" si="47"/>
        <v>S36_2025</v>
      </c>
      <c r="DC207" t="s">
        <v>139</v>
      </c>
    </row>
    <row r="208" spans="1:107" x14ac:dyDescent="0.35">
      <c r="A208" t="s">
        <v>909</v>
      </c>
      <c r="B208" s="10" t="str">
        <f t="shared" si="42"/>
        <v>S38_2025</v>
      </c>
      <c r="C208" s="10" t="str">
        <f t="shared" si="43"/>
        <v>S37_2025</v>
      </c>
      <c r="D208" s="11">
        <v>45915</v>
      </c>
      <c r="E208" t="s">
        <v>106</v>
      </c>
      <c r="F208">
        <v>2</v>
      </c>
      <c r="G208" t="s">
        <v>141</v>
      </c>
      <c r="H208" t="s">
        <v>108</v>
      </c>
      <c r="J208" t="s">
        <v>132</v>
      </c>
      <c r="K208" s="12"/>
      <c r="L208" t="s">
        <v>182</v>
      </c>
      <c r="M208" t="s">
        <v>183</v>
      </c>
      <c r="N208" t="s">
        <v>225</v>
      </c>
      <c r="O208" t="s">
        <v>184</v>
      </c>
      <c r="P208" t="s">
        <v>110</v>
      </c>
      <c r="Q208" t="s">
        <v>183</v>
      </c>
      <c r="R208" s="11">
        <v>45908</v>
      </c>
      <c r="S208" s="11">
        <v>45908</v>
      </c>
      <c r="T208" s="11">
        <v>45909</v>
      </c>
      <c r="W208" t="s">
        <v>114</v>
      </c>
      <c r="X208" t="s">
        <v>114</v>
      </c>
      <c r="AE208" t="s">
        <v>114</v>
      </c>
      <c r="AK208" t="s">
        <v>114</v>
      </c>
      <c r="AM208" t="s">
        <v>132</v>
      </c>
      <c r="AN208" t="s">
        <v>114</v>
      </c>
      <c r="AS208" s="11">
        <v>45920</v>
      </c>
      <c r="AU208" t="s">
        <v>114</v>
      </c>
      <c r="AV208" t="s">
        <v>134</v>
      </c>
      <c r="AW208" t="s">
        <v>152</v>
      </c>
      <c r="AY208" t="s">
        <v>135</v>
      </c>
      <c r="BB208" t="s">
        <v>114</v>
      </c>
      <c r="BC208" s="11">
        <v>45920</v>
      </c>
      <c r="BD208" t="s">
        <v>686</v>
      </c>
      <c r="BF208" t="s">
        <v>228</v>
      </c>
      <c r="BG208" t="s">
        <v>449</v>
      </c>
      <c r="BI208" s="11">
        <v>45931</v>
      </c>
      <c r="BJ208" t="str">
        <f t="shared" si="44"/>
        <v>S40_2025</v>
      </c>
      <c r="BK208" t="s">
        <v>187</v>
      </c>
      <c r="BL208" t="str">
        <f t="shared" si="45"/>
        <v>S38_2025</v>
      </c>
      <c r="BM208" t="s">
        <v>159</v>
      </c>
      <c r="BN208" s="11">
        <v>45931</v>
      </c>
      <c r="BO208" t="str">
        <f t="shared" si="41"/>
        <v>S40_2025</v>
      </c>
      <c r="BP208" t="s">
        <v>114</v>
      </c>
      <c r="BQ208" t="s">
        <v>450</v>
      </c>
      <c r="BV208" t="s">
        <v>450</v>
      </c>
      <c r="BW208" s="11">
        <v>45931</v>
      </c>
      <c r="BX208" s="11"/>
      <c r="BY208" s="11"/>
      <c r="CB208" s="11"/>
      <c r="CC208" s="11"/>
      <c r="CD208" s="11"/>
      <c r="CG208" s="11"/>
      <c r="CI208" t="s">
        <v>134</v>
      </c>
      <c r="CJ208" t="s">
        <v>456</v>
      </c>
      <c r="CK208" t="s">
        <v>452</v>
      </c>
      <c r="CN208" t="s">
        <v>452</v>
      </c>
      <c r="CO208" t="str">
        <f t="shared" si="46"/>
        <v>POSITIFPOSITIF</v>
      </c>
      <c r="CP208" s="11">
        <v>45915</v>
      </c>
      <c r="CR208">
        <f t="shared" si="48"/>
        <v>0</v>
      </c>
      <c r="CS208">
        <f t="shared" si="49"/>
        <v>11</v>
      </c>
      <c r="CT208">
        <f t="shared" si="40"/>
        <v>7</v>
      </c>
      <c r="CU208" t="str">
        <f t="shared" si="50"/>
        <v/>
      </c>
      <c r="CV208">
        <f t="shared" si="51"/>
        <v>23</v>
      </c>
      <c r="CX208" s="11">
        <v>45908</v>
      </c>
      <c r="CY208" t="str">
        <f t="shared" si="47"/>
        <v>S37_2025</v>
      </c>
      <c r="DC208" t="s">
        <v>139</v>
      </c>
    </row>
    <row r="209" spans="1:107" x14ac:dyDescent="0.35">
      <c r="A209" t="s">
        <v>910</v>
      </c>
      <c r="B209" s="10" t="str">
        <f t="shared" si="42"/>
        <v>S38_2025</v>
      </c>
      <c r="C209" s="10" t="str">
        <f t="shared" si="43"/>
        <v>S37_2025</v>
      </c>
      <c r="D209" s="11">
        <v>45915</v>
      </c>
      <c r="E209" t="s">
        <v>106</v>
      </c>
      <c r="F209">
        <v>26</v>
      </c>
      <c r="G209" t="s">
        <v>110</v>
      </c>
      <c r="H209" t="s">
        <v>108</v>
      </c>
      <c r="J209" t="s">
        <v>132</v>
      </c>
      <c r="K209" s="12"/>
      <c r="L209" t="s">
        <v>182</v>
      </c>
      <c r="M209" t="s">
        <v>183</v>
      </c>
      <c r="N209" t="s">
        <v>225</v>
      </c>
      <c r="O209" t="s">
        <v>184</v>
      </c>
      <c r="P209" t="s">
        <v>110</v>
      </c>
      <c r="Q209" t="s">
        <v>183</v>
      </c>
      <c r="R209" s="11">
        <v>45908</v>
      </c>
      <c r="S209" s="11">
        <v>45908</v>
      </c>
      <c r="T209" s="11">
        <v>45914</v>
      </c>
      <c r="W209" t="s">
        <v>114</v>
      </c>
      <c r="X209" t="s">
        <v>114</v>
      </c>
      <c r="AE209" t="s">
        <v>114</v>
      </c>
      <c r="AK209" t="s">
        <v>114</v>
      </c>
      <c r="AM209" t="s">
        <v>114</v>
      </c>
      <c r="AN209" t="s">
        <v>114</v>
      </c>
      <c r="AS209" s="11">
        <v>45920</v>
      </c>
      <c r="AU209" t="s">
        <v>114</v>
      </c>
      <c r="AV209" t="s">
        <v>134</v>
      </c>
      <c r="AW209" t="s">
        <v>152</v>
      </c>
      <c r="AY209" t="s">
        <v>452</v>
      </c>
      <c r="BB209" t="s">
        <v>114</v>
      </c>
      <c r="BC209" s="11">
        <v>45920</v>
      </c>
      <c r="BD209" t="s">
        <v>686</v>
      </c>
      <c r="BF209" t="s">
        <v>228</v>
      </c>
      <c r="BG209" t="s">
        <v>449</v>
      </c>
      <c r="BI209" s="11">
        <v>45932</v>
      </c>
      <c r="BJ209" t="str">
        <f t="shared" si="44"/>
        <v>S40_2025</v>
      </c>
      <c r="BK209" t="s">
        <v>187</v>
      </c>
      <c r="BL209" t="str">
        <f t="shared" si="45"/>
        <v>S38_2025</v>
      </c>
      <c r="BM209" t="s">
        <v>159</v>
      </c>
      <c r="BN209" s="11">
        <v>45932</v>
      </c>
      <c r="BO209" t="str">
        <f t="shared" si="41"/>
        <v>S40_2025</v>
      </c>
      <c r="BP209" t="s">
        <v>114</v>
      </c>
      <c r="BQ209" t="s">
        <v>450</v>
      </c>
      <c r="BV209" t="s">
        <v>450</v>
      </c>
      <c r="BW209" s="11">
        <v>45932</v>
      </c>
      <c r="BX209" s="11"/>
      <c r="BY209" s="11"/>
      <c r="CB209" s="11"/>
      <c r="CC209" s="11"/>
      <c r="CD209" s="11"/>
      <c r="CG209" s="11"/>
      <c r="CI209" t="s">
        <v>134</v>
      </c>
      <c r="CJ209" t="s">
        <v>452</v>
      </c>
      <c r="CK209" t="s">
        <v>452</v>
      </c>
      <c r="CN209" t="s">
        <v>452</v>
      </c>
      <c r="CO209" t="str">
        <f t="shared" si="46"/>
        <v>POSITIFPOSITIF</v>
      </c>
      <c r="CP209" s="11">
        <v>45915</v>
      </c>
      <c r="CR209">
        <f t="shared" si="48"/>
        <v>0</v>
      </c>
      <c r="CS209">
        <f t="shared" si="49"/>
        <v>12</v>
      </c>
      <c r="CT209">
        <f t="shared" si="40"/>
        <v>7</v>
      </c>
      <c r="CU209" t="str">
        <f t="shared" si="50"/>
        <v/>
      </c>
      <c r="CV209">
        <f t="shared" si="51"/>
        <v>24</v>
      </c>
      <c r="CX209" s="11">
        <v>45908</v>
      </c>
      <c r="CY209" t="str">
        <f t="shared" si="47"/>
        <v>S37_2025</v>
      </c>
      <c r="DC209" t="s">
        <v>139</v>
      </c>
    </row>
    <row r="210" spans="1:107" x14ac:dyDescent="0.35">
      <c r="A210" t="s">
        <v>911</v>
      </c>
      <c r="B210" s="10" t="str">
        <f t="shared" si="42"/>
        <v>S38_2025</v>
      </c>
      <c r="C210" s="10" t="str">
        <f t="shared" si="43"/>
        <v>S37_2025</v>
      </c>
      <c r="D210" s="11">
        <v>45915</v>
      </c>
      <c r="E210" t="s">
        <v>106</v>
      </c>
      <c r="F210">
        <v>46</v>
      </c>
      <c r="G210" t="s">
        <v>110</v>
      </c>
      <c r="H210" t="s">
        <v>108</v>
      </c>
      <c r="J210" t="s">
        <v>132</v>
      </c>
      <c r="K210" s="12"/>
      <c r="L210" t="s">
        <v>182</v>
      </c>
      <c r="M210" t="s">
        <v>183</v>
      </c>
      <c r="N210" t="s">
        <v>225</v>
      </c>
      <c r="O210" t="s">
        <v>184</v>
      </c>
      <c r="P210" t="s">
        <v>110</v>
      </c>
      <c r="Q210" t="s">
        <v>183</v>
      </c>
      <c r="R210" s="11">
        <v>45909</v>
      </c>
      <c r="S210" s="11">
        <v>45909</v>
      </c>
      <c r="T210" s="11">
        <v>45911</v>
      </c>
      <c r="W210" t="s">
        <v>114</v>
      </c>
      <c r="X210" t="s">
        <v>114</v>
      </c>
      <c r="AE210" t="s">
        <v>114</v>
      </c>
      <c r="AK210" t="s">
        <v>132</v>
      </c>
      <c r="AM210" t="s">
        <v>114</v>
      </c>
      <c r="AN210" t="s">
        <v>114</v>
      </c>
      <c r="AS210" s="11">
        <v>45920</v>
      </c>
      <c r="AU210" t="s">
        <v>114</v>
      </c>
      <c r="AV210" t="s">
        <v>134</v>
      </c>
      <c r="AW210" t="s">
        <v>152</v>
      </c>
      <c r="AY210" t="s">
        <v>463</v>
      </c>
      <c r="BB210" t="s">
        <v>114</v>
      </c>
      <c r="BC210" s="11">
        <v>45920</v>
      </c>
      <c r="BD210" t="s">
        <v>686</v>
      </c>
      <c r="BF210" t="s">
        <v>228</v>
      </c>
      <c r="BG210" t="s">
        <v>449</v>
      </c>
      <c r="BI210" s="11">
        <v>45933</v>
      </c>
      <c r="BJ210" t="str">
        <f t="shared" si="44"/>
        <v>S40_2025</v>
      </c>
      <c r="BK210" t="s">
        <v>187</v>
      </c>
      <c r="BL210" t="str">
        <f t="shared" si="45"/>
        <v>S38_2025</v>
      </c>
      <c r="BM210" t="s">
        <v>159</v>
      </c>
      <c r="BN210" s="11">
        <v>45933</v>
      </c>
      <c r="BO210" t="str">
        <f t="shared" si="41"/>
        <v>S40_2025</v>
      </c>
      <c r="BP210" t="s">
        <v>114</v>
      </c>
      <c r="BQ210" t="s">
        <v>450</v>
      </c>
      <c r="BV210" t="s">
        <v>450</v>
      </c>
      <c r="BW210" s="11">
        <v>45933</v>
      </c>
      <c r="BX210" s="11"/>
      <c r="BY210" s="11"/>
      <c r="CB210" s="11"/>
      <c r="CC210" s="11"/>
      <c r="CD210" s="11"/>
      <c r="CG210" s="11"/>
      <c r="CI210" t="s">
        <v>134</v>
      </c>
      <c r="CJ210" t="s">
        <v>466</v>
      </c>
      <c r="CK210" t="s">
        <v>452</v>
      </c>
      <c r="CN210" t="s">
        <v>473</v>
      </c>
      <c r="CO210" t="str">
        <f t="shared" si="46"/>
        <v>POSITIFPOSITIF</v>
      </c>
      <c r="CP210" s="11">
        <v>45915</v>
      </c>
      <c r="CR210">
        <f t="shared" si="48"/>
        <v>0</v>
      </c>
      <c r="CS210">
        <f t="shared" si="49"/>
        <v>13</v>
      </c>
      <c r="CT210">
        <f t="shared" si="40"/>
        <v>6</v>
      </c>
      <c r="CU210" t="str">
        <f t="shared" si="50"/>
        <v/>
      </c>
      <c r="CV210">
        <f t="shared" si="51"/>
        <v>24</v>
      </c>
      <c r="CX210" s="11">
        <v>45909</v>
      </c>
      <c r="CY210" t="str">
        <f t="shared" si="47"/>
        <v>S37_2025</v>
      </c>
      <c r="DC210" t="s">
        <v>139</v>
      </c>
    </row>
    <row r="211" spans="1:107" x14ac:dyDescent="0.35">
      <c r="A211" t="s">
        <v>912</v>
      </c>
      <c r="B211" s="10" t="str">
        <f t="shared" si="42"/>
        <v>S38_2025</v>
      </c>
      <c r="C211" s="10" t="str">
        <f t="shared" si="43"/>
        <v/>
      </c>
      <c r="D211" s="11">
        <v>45915</v>
      </c>
      <c r="E211" t="s">
        <v>110</v>
      </c>
      <c r="F211">
        <v>3</v>
      </c>
      <c r="G211" t="s">
        <v>141</v>
      </c>
      <c r="H211" t="s">
        <v>108</v>
      </c>
      <c r="J211" t="s">
        <v>132</v>
      </c>
      <c r="K211" s="12"/>
      <c r="L211" t="s">
        <v>182</v>
      </c>
      <c r="M211" t="s">
        <v>183</v>
      </c>
      <c r="N211" t="s">
        <v>225</v>
      </c>
      <c r="O211" t="s">
        <v>184</v>
      </c>
      <c r="P211" t="s">
        <v>110</v>
      </c>
      <c r="Q211" t="s">
        <v>183</v>
      </c>
      <c r="AE211" t="s">
        <v>114</v>
      </c>
      <c r="AS211" s="11">
        <v>45920</v>
      </c>
      <c r="AU211" t="s">
        <v>114</v>
      </c>
      <c r="AV211" t="s">
        <v>134</v>
      </c>
      <c r="AW211" t="s">
        <v>152</v>
      </c>
      <c r="AY211" t="s">
        <v>135</v>
      </c>
      <c r="BB211" t="s">
        <v>114</v>
      </c>
      <c r="BC211" s="11">
        <v>45920</v>
      </c>
      <c r="BD211" t="s">
        <v>686</v>
      </c>
      <c r="BF211" t="s">
        <v>228</v>
      </c>
      <c r="BG211" t="s">
        <v>449</v>
      </c>
      <c r="BI211" s="11">
        <v>45934</v>
      </c>
      <c r="BJ211" t="str">
        <f t="shared" si="44"/>
        <v>S40_2025</v>
      </c>
      <c r="BK211" t="s">
        <v>187</v>
      </c>
      <c r="BL211" t="str">
        <f t="shared" si="45"/>
        <v>S38_2025</v>
      </c>
      <c r="BM211" t="s">
        <v>159</v>
      </c>
      <c r="BN211" s="11">
        <v>45934</v>
      </c>
      <c r="BO211" t="str">
        <f t="shared" si="41"/>
        <v>S40_2025</v>
      </c>
      <c r="BP211" t="s">
        <v>114</v>
      </c>
      <c r="BQ211" t="s">
        <v>450</v>
      </c>
      <c r="BV211" t="s">
        <v>450</v>
      </c>
      <c r="BW211" s="11">
        <v>45934</v>
      </c>
      <c r="BX211" s="11"/>
      <c r="BY211" s="11"/>
      <c r="CB211" s="11"/>
      <c r="CC211" s="11"/>
      <c r="CD211" s="11"/>
      <c r="CG211" s="11"/>
      <c r="CI211" t="s">
        <v>134</v>
      </c>
      <c r="CJ211" t="s">
        <v>456</v>
      </c>
      <c r="CK211" t="s">
        <v>452</v>
      </c>
      <c r="CN211" t="s">
        <v>452</v>
      </c>
      <c r="CO211" t="str">
        <f t="shared" si="46"/>
        <v>POSITIFPOSITIF</v>
      </c>
      <c r="CP211" s="11">
        <v>45915</v>
      </c>
      <c r="CR211">
        <f t="shared" si="48"/>
        <v>0</v>
      </c>
      <c r="CS211">
        <f t="shared" si="49"/>
        <v>14</v>
      </c>
      <c r="CT211">
        <f t="shared" si="40"/>
        <v>45915</v>
      </c>
      <c r="CU211" t="str">
        <f t="shared" si="50"/>
        <v/>
      </c>
      <c r="CV211">
        <f t="shared" si="51"/>
        <v>45934</v>
      </c>
      <c r="CY211" t="str">
        <f t="shared" si="47"/>
        <v/>
      </c>
      <c r="DC211" t="s">
        <v>139</v>
      </c>
    </row>
    <row r="212" spans="1:107" x14ac:dyDescent="0.35">
      <c r="A212" t="s">
        <v>913</v>
      </c>
      <c r="B212" s="10" t="str">
        <f t="shared" si="42"/>
        <v>S38_2025</v>
      </c>
      <c r="C212" s="10" t="str">
        <f t="shared" si="43"/>
        <v>S32_2025</v>
      </c>
      <c r="D212" s="11">
        <v>45916</v>
      </c>
      <c r="E212" t="s">
        <v>123</v>
      </c>
      <c r="F212">
        <v>0.25</v>
      </c>
      <c r="G212" t="s">
        <v>141</v>
      </c>
      <c r="H212" t="s">
        <v>108</v>
      </c>
      <c r="J212" t="s">
        <v>114</v>
      </c>
      <c r="K212" s="12" t="s">
        <v>110</v>
      </c>
      <c r="L212" t="s">
        <v>180</v>
      </c>
      <c r="M212" t="s">
        <v>527</v>
      </c>
      <c r="N212" t="s">
        <v>528</v>
      </c>
      <c r="O212" t="s">
        <v>914</v>
      </c>
      <c r="P212" t="s">
        <v>915</v>
      </c>
      <c r="Q212" t="s">
        <v>527</v>
      </c>
      <c r="R212" s="11">
        <v>45874</v>
      </c>
      <c r="S212" s="11">
        <v>45874</v>
      </c>
      <c r="T212" s="11">
        <v>45874</v>
      </c>
      <c r="X212" t="s">
        <v>114</v>
      </c>
      <c r="Y212" t="s">
        <v>114</v>
      </c>
      <c r="AE212" t="s">
        <v>114</v>
      </c>
      <c r="AK212" t="s">
        <v>132</v>
      </c>
      <c r="AN212" t="s">
        <v>132</v>
      </c>
      <c r="AU212" t="s">
        <v>114</v>
      </c>
      <c r="AV212" s="23" t="s">
        <v>115</v>
      </c>
      <c r="BB212" t="s">
        <v>114</v>
      </c>
      <c r="BC212" s="11">
        <v>45921</v>
      </c>
      <c r="BD212" t="s">
        <v>169</v>
      </c>
      <c r="BE212">
        <v>699068861</v>
      </c>
      <c r="BF212" t="s">
        <v>528</v>
      </c>
      <c r="BG212" t="s">
        <v>449</v>
      </c>
      <c r="BJ212" t="str">
        <f t="shared" si="44"/>
        <v/>
      </c>
      <c r="BK212" t="s">
        <v>180</v>
      </c>
      <c r="BL212" t="str">
        <f t="shared" si="45"/>
        <v>S38_2025</v>
      </c>
      <c r="BM212" t="s">
        <v>159</v>
      </c>
      <c r="BN212" s="11">
        <v>45935</v>
      </c>
      <c r="BO212" t="str">
        <f t="shared" si="41"/>
        <v>S40_2025</v>
      </c>
      <c r="BP212" t="s">
        <v>114</v>
      </c>
      <c r="BQ212" t="s">
        <v>450</v>
      </c>
      <c r="BV212" t="s">
        <v>450</v>
      </c>
      <c r="BW212" s="11">
        <v>45935</v>
      </c>
      <c r="BX212" s="11"/>
      <c r="BY212" s="11"/>
      <c r="CB212" s="11"/>
      <c r="CC212" s="11"/>
      <c r="CD212" s="11"/>
      <c r="CG212" s="11"/>
      <c r="CI212" t="s">
        <v>119</v>
      </c>
      <c r="CO212" t="str">
        <f t="shared" si="46"/>
        <v>NEGATIFPAS INCLUS</v>
      </c>
      <c r="CP212" s="11">
        <v>45916</v>
      </c>
      <c r="CR212">
        <f t="shared" si="48"/>
        <v>-45921</v>
      </c>
      <c r="CS212">
        <f t="shared" si="49"/>
        <v>45935</v>
      </c>
      <c r="CT212">
        <f t="shared" si="40"/>
        <v>42</v>
      </c>
      <c r="CU212" t="e">
        <f t="shared" si="50"/>
        <v>#VALUE!</v>
      </c>
      <c r="CV212" t="str">
        <f t="shared" si="51"/>
        <v/>
      </c>
      <c r="CX212" s="11">
        <v>45874</v>
      </c>
      <c r="CY212" t="str">
        <f t="shared" si="47"/>
        <v>S32_2025</v>
      </c>
      <c r="DC212" t="s">
        <v>160</v>
      </c>
    </row>
    <row r="213" spans="1:107" x14ac:dyDescent="0.35">
      <c r="A213" t="s">
        <v>916</v>
      </c>
      <c r="B213" s="10" t="str">
        <f t="shared" si="42"/>
        <v>S39_2025</v>
      </c>
      <c r="C213" s="10" t="str">
        <f t="shared" si="43"/>
        <v/>
      </c>
      <c r="D213" s="11">
        <v>45926</v>
      </c>
      <c r="E213" t="s">
        <v>106</v>
      </c>
      <c r="F213">
        <v>10</v>
      </c>
      <c r="G213" t="s">
        <v>107</v>
      </c>
      <c r="H213" t="s">
        <v>108</v>
      </c>
      <c r="J213" t="s">
        <v>132</v>
      </c>
      <c r="K213" s="12"/>
      <c r="L213" t="s">
        <v>111</v>
      </c>
      <c r="M213" t="s">
        <v>143</v>
      </c>
      <c r="N213" t="s">
        <v>917</v>
      </c>
      <c r="O213" t="s">
        <v>184</v>
      </c>
      <c r="P213" t="s">
        <v>110</v>
      </c>
      <c r="Q213" t="s">
        <v>143</v>
      </c>
      <c r="AK213" t="s">
        <v>451</v>
      </c>
      <c r="AM213" t="s">
        <v>918</v>
      </c>
      <c r="AN213" t="s">
        <v>451</v>
      </c>
      <c r="AV213" s="23" t="s">
        <v>115</v>
      </c>
      <c r="BB213" t="s">
        <v>114</v>
      </c>
      <c r="BC213" s="11">
        <v>45921</v>
      </c>
      <c r="BD213" t="s">
        <v>169</v>
      </c>
      <c r="BF213" t="s">
        <v>919</v>
      </c>
      <c r="BG213" t="s">
        <v>449</v>
      </c>
      <c r="BJ213" t="str">
        <f t="shared" si="44"/>
        <v/>
      </c>
      <c r="BK213" t="s">
        <v>117</v>
      </c>
      <c r="BL213" t="str">
        <f t="shared" si="45"/>
        <v>S38_2025</v>
      </c>
      <c r="BM213" t="s">
        <v>159</v>
      </c>
      <c r="BN213" s="11">
        <v>45930</v>
      </c>
      <c r="BO213" t="str">
        <f t="shared" si="41"/>
        <v>S40_2025</v>
      </c>
      <c r="BP213" t="s">
        <v>114</v>
      </c>
      <c r="BQ213" t="s">
        <v>450</v>
      </c>
      <c r="BV213" t="s">
        <v>450</v>
      </c>
      <c r="BW213" s="11">
        <v>45930</v>
      </c>
      <c r="BX213" s="11"/>
      <c r="BY213" s="11"/>
      <c r="CB213" s="11"/>
      <c r="CC213" s="11"/>
      <c r="CD213" s="11"/>
      <c r="CG213" s="11"/>
      <c r="CI213" t="s">
        <v>119</v>
      </c>
      <c r="CO213" t="str">
        <f t="shared" si="46"/>
        <v>NEGATIFPAS INCLUS</v>
      </c>
      <c r="CP213" s="11">
        <v>45921</v>
      </c>
      <c r="CR213">
        <f t="shared" si="48"/>
        <v>-45921</v>
      </c>
      <c r="CS213">
        <f t="shared" si="49"/>
        <v>45930</v>
      </c>
      <c r="CT213">
        <f t="shared" si="40"/>
        <v>45921</v>
      </c>
      <c r="CU213" t="str">
        <f t="shared" si="50"/>
        <v/>
      </c>
      <c r="CV213" t="str">
        <f t="shared" si="51"/>
        <v/>
      </c>
      <c r="CY213" t="str">
        <f t="shared" si="47"/>
        <v/>
      </c>
      <c r="DC213" t="s">
        <v>160</v>
      </c>
    </row>
    <row r="214" spans="1:107" x14ac:dyDescent="0.35">
      <c r="A214" t="s">
        <v>920</v>
      </c>
      <c r="B214" s="10" t="str">
        <f t="shared" si="42"/>
        <v>S39_2025</v>
      </c>
      <c r="C214" s="10" t="str">
        <f t="shared" si="43"/>
        <v/>
      </c>
      <c r="D214" s="11">
        <v>45926</v>
      </c>
      <c r="E214" t="s">
        <v>106</v>
      </c>
      <c r="F214">
        <v>0.4</v>
      </c>
      <c r="G214" t="s">
        <v>141</v>
      </c>
      <c r="H214" t="s">
        <v>108</v>
      </c>
      <c r="J214" t="s">
        <v>132</v>
      </c>
      <c r="K214" s="12"/>
      <c r="L214" t="s">
        <v>111</v>
      </c>
      <c r="M214" t="s">
        <v>143</v>
      </c>
      <c r="N214" t="s">
        <v>921</v>
      </c>
      <c r="O214" t="s">
        <v>184</v>
      </c>
      <c r="P214" t="s">
        <v>110</v>
      </c>
      <c r="Q214" t="s">
        <v>143</v>
      </c>
      <c r="AK214" t="s">
        <v>918</v>
      </c>
      <c r="AN214" t="s">
        <v>451</v>
      </c>
      <c r="BB214" t="s">
        <v>114</v>
      </c>
      <c r="BC214" s="11">
        <v>45921</v>
      </c>
      <c r="BD214" t="s">
        <v>169</v>
      </c>
      <c r="BF214" t="s">
        <v>921</v>
      </c>
      <c r="BJ214" t="str">
        <f t="shared" si="44"/>
        <v/>
      </c>
      <c r="BK214" t="s">
        <v>117</v>
      </c>
      <c r="BL214" t="str">
        <f t="shared" si="45"/>
        <v>S38_2025</v>
      </c>
      <c r="BM214" t="s">
        <v>159</v>
      </c>
      <c r="BN214" s="11"/>
      <c r="BO214" t="str">
        <f t="shared" si="41"/>
        <v/>
      </c>
      <c r="BP214" t="s">
        <v>132</v>
      </c>
      <c r="BW214" s="11"/>
      <c r="BX214" s="11"/>
      <c r="BY214" s="11"/>
      <c r="CB214" s="11"/>
      <c r="CC214" s="11"/>
      <c r="CD214" s="11"/>
      <c r="CG214" s="11"/>
      <c r="CI214" t="s">
        <v>119</v>
      </c>
      <c r="CO214" t="str">
        <f t="shared" si="46"/>
        <v>PAS INCLUS</v>
      </c>
      <c r="CP214" s="11">
        <v>45921</v>
      </c>
      <c r="CR214" t="str">
        <f t="shared" si="48"/>
        <v/>
      </c>
      <c r="CS214" t="str">
        <f t="shared" si="49"/>
        <v/>
      </c>
      <c r="CT214">
        <f t="shared" si="40"/>
        <v>45921</v>
      </c>
      <c r="CU214" t="str">
        <f t="shared" si="50"/>
        <v/>
      </c>
      <c r="CV214" t="str">
        <f t="shared" si="51"/>
        <v/>
      </c>
      <c r="CY214" t="str">
        <f t="shared" si="47"/>
        <v/>
      </c>
      <c r="DC214" t="s">
        <v>160</v>
      </c>
    </row>
    <row r="215" spans="1:107" x14ac:dyDescent="0.35">
      <c r="A215" t="s">
        <v>922</v>
      </c>
      <c r="B215" s="10" t="str">
        <f t="shared" si="42"/>
        <v>S39_2025</v>
      </c>
      <c r="C215" s="10" t="str">
        <f t="shared" si="43"/>
        <v/>
      </c>
      <c r="D215" s="11">
        <v>45926</v>
      </c>
      <c r="E215" t="s">
        <v>106</v>
      </c>
      <c r="F215">
        <v>0.8</v>
      </c>
      <c r="G215" t="s">
        <v>141</v>
      </c>
      <c r="H215" t="s">
        <v>108</v>
      </c>
      <c r="J215" t="s">
        <v>132</v>
      </c>
      <c r="K215" s="12"/>
      <c r="L215" t="s">
        <v>111</v>
      </c>
      <c r="M215" t="s">
        <v>143</v>
      </c>
      <c r="N215" t="s">
        <v>919</v>
      </c>
      <c r="O215" t="s">
        <v>184</v>
      </c>
      <c r="P215" t="s">
        <v>110</v>
      </c>
      <c r="Q215" t="s">
        <v>143</v>
      </c>
      <c r="AK215" t="s">
        <v>451</v>
      </c>
      <c r="AM215" t="s">
        <v>918</v>
      </c>
      <c r="AN215" t="s">
        <v>918</v>
      </c>
      <c r="AU215" t="s">
        <v>132</v>
      </c>
      <c r="AV215" t="s">
        <v>923</v>
      </c>
      <c r="BB215" t="s">
        <v>114</v>
      </c>
      <c r="BC215" s="11">
        <v>45921</v>
      </c>
      <c r="BD215" t="s">
        <v>169</v>
      </c>
      <c r="BF215" t="s">
        <v>919</v>
      </c>
      <c r="BJ215" t="str">
        <f t="shared" si="44"/>
        <v/>
      </c>
      <c r="BK215" t="s">
        <v>117</v>
      </c>
      <c r="BL215" t="str">
        <f t="shared" si="45"/>
        <v>S38_2025</v>
      </c>
      <c r="BM215" t="s">
        <v>159</v>
      </c>
      <c r="BN215" s="11"/>
      <c r="BO215" t="str">
        <f t="shared" si="41"/>
        <v/>
      </c>
      <c r="BP215" t="s">
        <v>132</v>
      </c>
      <c r="BQ215" t="s">
        <v>450</v>
      </c>
      <c r="BW215" s="11"/>
      <c r="BX215" s="11"/>
      <c r="BY215" s="11"/>
      <c r="CB215" s="11"/>
      <c r="CC215" s="11"/>
      <c r="CD215" s="11"/>
      <c r="CG215" s="11"/>
      <c r="CI215" t="s">
        <v>119</v>
      </c>
      <c r="CO215" t="str">
        <f t="shared" si="46"/>
        <v>NON (Ech non conforme)PAS INCLUS</v>
      </c>
      <c r="CP215" s="11">
        <v>45921</v>
      </c>
      <c r="CR215" t="str">
        <f t="shared" si="48"/>
        <v/>
      </c>
      <c r="CS215" t="str">
        <f t="shared" si="49"/>
        <v/>
      </c>
      <c r="CT215">
        <f t="shared" si="40"/>
        <v>45921</v>
      </c>
      <c r="CU215" t="str">
        <f t="shared" si="50"/>
        <v/>
      </c>
      <c r="CV215" t="str">
        <f t="shared" si="51"/>
        <v/>
      </c>
      <c r="CY215" t="str">
        <f t="shared" si="47"/>
        <v/>
      </c>
      <c r="DB215" t="s">
        <v>114</v>
      </c>
      <c r="DC215" t="s">
        <v>160</v>
      </c>
    </row>
    <row r="216" spans="1:107" x14ac:dyDescent="0.35">
      <c r="A216" t="s">
        <v>924</v>
      </c>
      <c r="B216" s="10" t="str">
        <f t="shared" si="42"/>
        <v>S39_2025</v>
      </c>
      <c r="C216" s="10" t="str">
        <f t="shared" si="43"/>
        <v/>
      </c>
      <c r="D216" s="11">
        <v>45926</v>
      </c>
      <c r="E216" t="s">
        <v>106</v>
      </c>
      <c r="F216">
        <v>25</v>
      </c>
      <c r="G216" t="s">
        <v>323</v>
      </c>
      <c r="H216" t="s">
        <v>108</v>
      </c>
      <c r="J216" t="s">
        <v>132</v>
      </c>
      <c r="K216" s="12"/>
      <c r="L216" t="s">
        <v>111</v>
      </c>
      <c r="M216" t="s">
        <v>143</v>
      </c>
      <c r="N216" t="s">
        <v>925</v>
      </c>
      <c r="O216" t="s">
        <v>184</v>
      </c>
      <c r="P216" t="s">
        <v>110</v>
      </c>
      <c r="Q216" t="s">
        <v>143</v>
      </c>
      <c r="U216" t="s">
        <v>114</v>
      </c>
      <c r="AN216" t="s">
        <v>918</v>
      </c>
      <c r="AU216" t="s">
        <v>114</v>
      </c>
      <c r="AV216" s="23" t="s">
        <v>115</v>
      </c>
      <c r="BB216" t="s">
        <v>114</v>
      </c>
      <c r="BC216" s="11">
        <v>45922</v>
      </c>
      <c r="BD216" t="s">
        <v>169</v>
      </c>
      <c r="BF216" t="s">
        <v>926</v>
      </c>
      <c r="BG216" t="s">
        <v>449</v>
      </c>
      <c r="BJ216" t="str">
        <f t="shared" si="44"/>
        <v/>
      </c>
      <c r="BK216" t="s">
        <v>117</v>
      </c>
      <c r="BL216" t="str">
        <f t="shared" si="45"/>
        <v>S39_2025</v>
      </c>
      <c r="BM216" t="s">
        <v>159</v>
      </c>
      <c r="BN216" s="11">
        <v>45930</v>
      </c>
      <c r="BO216" t="str">
        <f t="shared" si="41"/>
        <v>S40_2025</v>
      </c>
      <c r="BP216" t="s">
        <v>114</v>
      </c>
      <c r="BQ216" t="s">
        <v>450</v>
      </c>
      <c r="BV216" t="s">
        <v>450</v>
      </c>
      <c r="BW216" s="11">
        <v>45930</v>
      </c>
      <c r="BX216" s="11"/>
      <c r="BY216" s="11"/>
      <c r="CB216" s="11"/>
      <c r="CC216" s="11"/>
      <c r="CD216" s="11"/>
      <c r="CG216" s="11"/>
      <c r="CI216" t="s">
        <v>119</v>
      </c>
      <c r="CO216" t="str">
        <f t="shared" si="46"/>
        <v>NEGATIFPAS INCLUS</v>
      </c>
      <c r="CP216" s="11">
        <v>45922</v>
      </c>
      <c r="CR216">
        <f t="shared" si="48"/>
        <v>-45922</v>
      </c>
      <c r="CS216">
        <f t="shared" si="49"/>
        <v>45930</v>
      </c>
      <c r="CT216">
        <f t="shared" si="40"/>
        <v>45922</v>
      </c>
      <c r="CU216" t="str">
        <f t="shared" si="50"/>
        <v/>
      </c>
      <c r="CV216" t="str">
        <f t="shared" si="51"/>
        <v/>
      </c>
      <c r="CY216" t="str">
        <f t="shared" si="47"/>
        <v/>
      </c>
      <c r="DC216" t="s">
        <v>160</v>
      </c>
    </row>
    <row r="217" spans="1:107" x14ac:dyDescent="0.35">
      <c r="A217" t="s">
        <v>927</v>
      </c>
      <c r="B217" s="10" t="str">
        <f t="shared" si="42"/>
        <v>S39_2025</v>
      </c>
      <c r="C217" s="10" t="str">
        <f t="shared" si="43"/>
        <v/>
      </c>
      <c r="D217" s="11">
        <v>45926</v>
      </c>
      <c r="E217" t="s">
        <v>123</v>
      </c>
      <c r="F217">
        <v>28</v>
      </c>
      <c r="G217" t="s">
        <v>162</v>
      </c>
      <c r="H217" t="s">
        <v>108</v>
      </c>
      <c r="J217" t="s">
        <v>132</v>
      </c>
      <c r="K217" s="12"/>
      <c r="L217" t="s">
        <v>111</v>
      </c>
      <c r="M217" t="s">
        <v>143</v>
      </c>
      <c r="N217" t="s">
        <v>928</v>
      </c>
      <c r="O217" t="s">
        <v>184</v>
      </c>
      <c r="P217" t="s">
        <v>110</v>
      </c>
      <c r="Q217" t="s">
        <v>143</v>
      </c>
      <c r="U217" t="s">
        <v>114</v>
      </c>
      <c r="AK217" t="s">
        <v>451</v>
      </c>
      <c r="AM217" t="s">
        <v>918</v>
      </c>
      <c r="AN217" t="s">
        <v>918</v>
      </c>
      <c r="AU217" t="s">
        <v>114</v>
      </c>
      <c r="AV217" s="23" t="s">
        <v>115</v>
      </c>
      <c r="BB217" t="s">
        <v>114</v>
      </c>
      <c r="BC217" s="11">
        <v>45922</v>
      </c>
      <c r="BD217" t="s">
        <v>169</v>
      </c>
      <c r="BF217" t="s">
        <v>928</v>
      </c>
      <c r="BG217" t="s">
        <v>449</v>
      </c>
      <c r="BJ217" t="str">
        <f t="shared" si="44"/>
        <v/>
      </c>
      <c r="BK217" t="s">
        <v>117</v>
      </c>
      <c r="BL217" t="str">
        <f t="shared" si="45"/>
        <v>S39_2025</v>
      </c>
      <c r="BM217" t="s">
        <v>159</v>
      </c>
      <c r="BN217" s="11">
        <v>45930</v>
      </c>
      <c r="BO217" t="str">
        <f t="shared" si="41"/>
        <v>S40_2025</v>
      </c>
      <c r="BP217" t="s">
        <v>114</v>
      </c>
      <c r="BQ217" t="s">
        <v>450</v>
      </c>
      <c r="BV217" t="s">
        <v>450</v>
      </c>
      <c r="BW217" s="11">
        <v>45930</v>
      </c>
      <c r="BX217" s="11"/>
      <c r="BY217" s="11"/>
      <c r="CB217" s="11"/>
      <c r="CC217" s="11"/>
      <c r="CD217" s="11"/>
      <c r="CG217" s="11"/>
      <c r="CI217" t="s">
        <v>119</v>
      </c>
      <c r="CO217" t="str">
        <f t="shared" si="46"/>
        <v>NEGATIFPAS INCLUS</v>
      </c>
      <c r="CP217" s="11">
        <v>45922</v>
      </c>
      <c r="CR217">
        <f t="shared" si="48"/>
        <v>-45922</v>
      </c>
      <c r="CS217">
        <f t="shared" si="49"/>
        <v>45930</v>
      </c>
      <c r="CT217">
        <f t="shared" si="40"/>
        <v>45922</v>
      </c>
      <c r="CU217" t="str">
        <f t="shared" si="50"/>
        <v/>
      </c>
      <c r="CV217" t="str">
        <f t="shared" si="51"/>
        <v/>
      </c>
      <c r="CY217" t="str">
        <f t="shared" si="47"/>
        <v/>
      </c>
      <c r="DC217" t="s">
        <v>160</v>
      </c>
    </row>
    <row r="218" spans="1:107" x14ac:dyDescent="0.35">
      <c r="A218" t="s">
        <v>929</v>
      </c>
      <c r="B218" s="10" t="str">
        <f t="shared" si="42"/>
        <v>S39_2025</v>
      </c>
      <c r="C218" s="10" t="str">
        <f t="shared" si="43"/>
        <v>S22_2025</v>
      </c>
      <c r="D218" s="11">
        <v>45926</v>
      </c>
      <c r="E218" t="s">
        <v>123</v>
      </c>
      <c r="F218">
        <v>3.5</v>
      </c>
      <c r="G218" t="s">
        <v>930</v>
      </c>
      <c r="H218" t="s">
        <v>108</v>
      </c>
      <c r="J218" t="s">
        <v>132</v>
      </c>
      <c r="K218" s="12"/>
      <c r="L218" t="s">
        <v>111</v>
      </c>
      <c r="M218" t="s">
        <v>143</v>
      </c>
      <c r="N218" t="s">
        <v>931</v>
      </c>
      <c r="O218" t="s">
        <v>184</v>
      </c>
      <c r="P218" t="s">
        <v>110</v>
      </c>
      <c r="Q218" t="s">
        <v>143</v>
      </c>
      <c r="R218" s="11">
        <v>45809</v>
      </c>
      <c r="S218" s="11">
        <v>45809</v>
      </c>
      <c r="T218" s="11">
        <v>45809</v>
      </c>
      <c r="U218" t="s">
        <v>114</v>
      </c>
      <c r="AK218" t="s">
        <v>451</v>
      </c>
      <c r="AM218" t="s">
        <v>918</v>
      </c>
      <c r="AN218" t="s">
        <v>451</v>
      </c>
      <c r="AU218" t="s">
        <v>114</v>
      </c>
      <c r="AV218" s="23" t="s">
        <v>115</v>
      </c>
      <c r="BB218" t="s">
        <v>114</v>
      </c>
      <c r="BC218" s="11">
        <v>45923</v>
      </c>
      <c r="BD218" t="s">
        <v>169</v>
      </c>
      <c r="BF218" t="s">
        <v>931</v>
      </c>
      <c r="BG218" t="s">
        <v>449</v>
      </c>
      <c r="BJ218" t="str">
        <f t="shared" si="44"/>
        <v/>
      </c>
      <c r="BK218" t="s">
        <v>117</v>
      </c>
      <c r="BL218" t="str">
        <f t="shared" si="45"/>
        <v>S39_2025</v>
      </c>
      <c r="BM218" t="s">
        <v>159</v>
      </c>
      <c r="BN218" s="11">
        <v>45930</v>
      </c>
      <c r="BO218" t="str">
        <f t="shared" si="41"/>
        <v>S40_2025</v>
      </c>
      <c r="BP218" t="s">
        <v>114</v>
      </c>
      <c r="BQ218" t="s">
        <v>450</v>
      </c>
      <c r="BV218" t="s">
        <v>450</v>
      </c>
      <c r="BW218" s="11">
        <v>45930</v>
      </c>
      <c r="BX218" s="11"/>
      <c r="BY218" s="11"/>
      <c r="CB218" s="11"/>
      <c r="CC218" s="11"/>
      <c r="CD218" s="11"/>
      <c r="CG218" s="11"/>
      <c r="CI218" t="s">
        <v>119</v>
      </c>
      <c r="CO218" t="str">
        <f t="shared" si="46"/>
        <v>NEGATIFPAS INCLUS</v>
      </c>
      <c r="CP218" s="11">
        <v>45923</v>
      </c>
      <c r="CR218">
        <f t="shared" si="48"/>
        <v>-45923</v>
      </c>
      <c r="CS218">
        <f t="shared" si="49"/>
        <v>45930</v>
      </c>
      <c r="CT218">
        <f t="shared" si="40"/>
        <v>114</v>
      </c>
      <c r="CU218" t="str">
        <f t="shared" si="50"/>
        <v/>
      </c>
      <c r="CV218" t="str">
        <f t="shared" si="51"/>
        <v/>
      </c>
      <c r="CX218" s="11">
        <v>45809</v>
      </c>
      <c r="CY218" t="str">
        <f t="shared" si="47"/>
        <v>S22_2025</v>
      </c>
      <c r="DC218" t="s">
        <v>160</v>
      </c>
    </row>
    <row r="219" spans="1:107" x14ac:dyDescent="0.35">
      <c r="A219" t="s">
        <v>932</v>
      </c>
      <c r="B219" s="10" t="str">
        <f t="shared" si="42"/>
        <v>S39_2025</v>
      </c>
      <c r="C219" s="10" t="str">
        <f t="shared" si="43"/>
        <v>S38_2025</v>
      </c>
      <c r="D219" s="11">
        <v>45926</v>
      </c>
      <c r="E219" t="s">
        <v>106</v>
      </c>
      <c r="F219">
        <v>1</v>
      </c>
      <c r="G219" t="s">
        <v>141</v>
      </c>
      <c r="H219" t="s">
        <v>108</v>
      </c>
      <c r="J219" t="s">
        <v>132</v>
      </c>
      <c r="K219" s="12"/>
      <c r="L219" t="s">
        <v>111</v>
      </c>
      <c r="M219" t="s">
        <v>143</v>
      </c>
      <c r="N219" t="s">
        <v>926</v>
      </c>
      <c r="O219" t="s">
        <v>184</v>
      </c>
      <c r="P219" t="s">
        <v>110</v>
      </c>
      <c r="Q219" t="s">
        <v>143</v>
      </c>
      <c r="R219" s="11">
        <v>45920</v>
      </c>
      <c r="S219" s="11">
        <v>45920</v>
      </c>
      <c r="T219" s="11">
        <v>45920</v>
      </c>
      <c r="U219" t="s">
        <v>114</v>
      </c>
      <c r="AK219" t="s">
        <v>451</v>
      </c>
      <c r="AN219" t="s">
        <v>933</v>
      </c>
      <c r="AU219" t="s">
        <v>114</v>
      </c>
      <c r="AV219" s="23" t="s">
        <v>115</v>
      </c>
      <c r="BB219" t="s">
        <v>114</v>
      </c>
      <c r="BC219" s="11">
        <v>45921</v>
      </c>
      <c r="BD219" t="s">
        <v>169</v>
      </c>
      <c r="BF219" t="s">
        <v>925</v>
      </c>
      <c r="BG219" t="s">
        <v>449</v>
      </c>
      <c r="BJ219" t="str">
        <f t="shared" si="44"/>
        <v/>
      </c>
      <c r="BK219" t="s">
        <v>117</v>
      </c>
      <c r="BL219" t="str">
        <f t="shared" si="45"/>
        <v>S38_2025</v>
      </c>
      <c r="BM219" t="s">
        <v>159</v>
      </c>
      <c r="BN219" s="11">
        <v>45930</v>
      </c>
      <c r="BO219" t="str">
        <f t="shared" si="41"/>
        <v>S40_2025</v>
      </c>
      <c r="BP219" t="s">
        <v>114</v>
      </c>
      <c r="BQ219" t="s">
        <v>450</v>
      </c>
      <c r="BV219" t="s">
        <v>450</v>
      </c>
      <c r="BW219" s="11">
        <v>45930</v>
      </c>
      <c r="BX219" s="11"/>
      <c r="BY219" s="11"/>
      <c r="CB219" s="11"/>
      <c r="CC219" s="11"/>
      <c r="CD219" s="11"/>
      <c r="CG219" s="11"/>
      <c r="CI219" t="s">
        <v>119</v>
      </c>
      <c r="CO219" t="str">
        <f t="shared" si="46"/>
        <v>NEGATIFPAS INCLUS</v>
      </c>
      <c r="CP219" s="11">
        <v>45921</v>
      </c>
      <c r="CR219">
        <f t="shared" si="48"/>
        <v>-45921</v>
      </c>
      <c r="CS219">
        <f t="shared" si="49"/>
        <v>45930</v>
      </c>
      <c r="CT219">
        <f t="shared" si="40"/>
        <v>1</v>
      </c>
      <c r="CU219" t="str">
        <f t="shared" si="50"/>
        <v/>
      </c>
      <c r="CV219" t="str">
        <f t="shared" si="51"/>
        <v/>
      </c>
      <c r="CX219" s="11">
        <v>45920</v>
      </c>
      <c r="CY219" t="str">
        <f t="shared" si="47"/>
        <v>S38_2025</v>
      </c>
      <c r="DC219" t="s">
        <v>160</v>
      </c>
    </row>
    <row r="220" spans="1:107" x14ac:dyDescent="0.35">
      <c r="A220" t="s">
        <v>934</v>
      </c>
      <c r="B220" s="10" t="str">
        <f t="shared" si="42"/>
        <v>S39_2025</v>
      </c>
      <c r="C220" s="10" t="str">
        <f t="shared" si="43"/>
        <v>S36_2025</v>
      </c>
      <c r="D220" s="11">
        <v>45928</v>
      </c>
      <c r="E220" t="s">
        <v>106</v>
      </c>
      <c r="F220" s="24">
        <v>40</v>
      </c>
      <c r="G220" t="s">
        <v>323</v>
      </c>
      <c r="H220" t="s">
        <v>108</v>
      </c>
      <c r="J220" t="s">
        <v>132</v>
      </c>
      <c r="K220" s="12"/>
      <c r="L220" t="s">
        <v>163</v>
      </c>
      <c r="M220" t="s">
        <v>164</v>
      </c>
      <c r="N220" t="s">
        <v>165</v>
      </c>
      <c r="O220" t="s">
        <v>184</v>
      </c>
      <c r="P220" t="s">
        <v>110</v>
      </c>
      <c r="Q220" t="s">
        <v>167</v>
      </c>
      <c r="R220" s="11">
        <v>45902</v>
      </c>
      <c r="S220" s="11">
        <v>45902</v>
      </c>
      <c r="T220" s="11">
        <v>45902</v>
      </c>
      <c r="AA220" t="s">
        <v>114</v>
      </c>
      <c r="AC220" t="s">
        <v>935</v>
      </c>
      <c r="AK220" t="s">
        <v>132</v>
      </c>
      <c r="AM220" t="s">
        <v>132</v>
      </c>
      <c r="AN220" t="s">
        <v>114</v>
      </c>
      <c r="AU220" t="s">
        <v>114</v>
      </c>
      <c r="AV220" s="23" t="s">
        <v>115</v>
      </c>
      <c r="BB220" t="s">
        <v>114</v>
      </c>
      <c r="BC220" s="11">
        <v>45920</v>
      </c>
      <c r="BD220" t="s">
        <v>169</v>
      </c>
      <c r="BF220" t="s">
        <v>165</v>
      </c>
      <c r="BG220" t="s">
        <v>449</v>
      </c>
      <c r="BJ220" t="str">
        <f t="shared" si="44"/>
        <v/>
      </c>
      <c r="BK220" t="s">
        <v>170</v>
      </c>
      <c r="BL220" t="str">
        <f t="shared" si="45"/>
        <v>S38_2025</v>
      </c>
      <c r="BM220" t="s">
        <v>159</v>
      </c>
      <c r="BN220" s="11">
        <v>45930</v>
      </c>
      <c r="BO220" t="str">
        <f t="shared" si="41"/>
        <v>S40_2025</v>
      </c>
      <c r="BP220" t="s">
        <v>114</v>
      </c>
      <c r="BQ220" t="s">
        <v>450</v>
      </c>
      <c r="BV220" t="s">
        <v>450</v>
      </c>
      <c r="BW220" s="11">
        <v>45930</v>
      </c>
      <c r="BX220" s="11"/>
      <c r="BY220" s="11"/>
      <c r="CB220" s="11"/>
      <c r="CC220" s="11"/>
      <c r="CD220" s="11"/>
      <c r="CG220" s="11"/>
      <c r="CI220" t="s">
        <v>119</v>
      </c>
      <c r="CO220" t="str">
        <f t="shared" si="46"/>
        <v>NEGATIFPAS INCLUS</v>
      </c>
      <c r="CP220" s="11">
        <v>45920</v>
      </c>
      <c r="CR220">
        <f t="shared" si="48"/>
        <v>-45920</v>
      </c>
      <c r="CS220">
        <f t="shared" si="49"/>
        <v>45930</v>
      </c>
      <c r="CT220">
        <f t="shared" si="40"/>
        <v>18</v>
      </c>
      <c r="CU220" t="str">
        <f t="shared" si="50"/>
        <v/>
      </c>
      <c r="CV220" t="str">
        <f t="shared" si="51"/>
        <v/>
      </c>
      <c r="CX220" s="11">
        <v>45902</v>
      </c>
      <c r="CY220" t="str">
        <f t="shared" si="47"/>
        <v>S36_2025</v>
      </c>
      <c r="DC220" t="s">
        <v>160</v>
      </c>
    </row>
    <row r="221" spans="1:107" x14ac:dyDescent="0.35">
      <c r="A221" t="s">
        <v>936</v>
      </c>
      <c r="B221" s="10" t="str">
        <f t="shared" si="42"/>
        <v>S39_2025</v>
      </c>
      <c r="C221" s="10" t="str">
        <f t="shared" si="43"/>
        <v>S37_2025</v>
      </c>
      <c r="D221" s="11">
        <v>45928</v>
      </c>
      <c r="E221" t="s">
        <v>106</v>
      </c>
      <c r="F221">
        <v>0.1</v>
      </c>
      <c r="G221" t="s">
        <v>141</v>
      </c>
      <c r="H221" t="s">
        <v>108</v>
      </c>
      <c r="J221" t="s">
        <v>132</v>
      </c>
      <c r="K221" s="12"/>
      <c r="L221" t="s">
        <v>163</v>
      </c>
      <c r="M221" t="s">
        <v>164</v>
      </c>
      <c r="N221" t="s">
        <v>165</v>
      </c>
      <c r="O221" t="s">
        <v>184</v>
      </c>
      <c r="P221" t="s">
        <v>110</v>
      </c>
      <c r="Q221" t="s">
        <v>167</v>
      </c>
      <c r="R221" s="11">
        <v>45913</v>
      </c>
      <c r="S221" s="11">
        <v>45913</v>
      </c>
      <c r="T221" s="11">
        <v>45913</v>
      </c>
      <c r="W221" t="s">
        <v>114</v>
      </c>
      <c r="AE221" t="s">
        <v>114</v>
      </c>
      <c r="AJ221" t="s">
        <v>592</v>
      </c>
      <c r="AK221" t="s">
        <v>132</v>
      </c>
      <c r="AM221" t="s">
        <v>132</v>
      </c>
      <c r="AN221" t="s">
        <v>132</v>
      </c>
      <c r="AQ221" t="s">
        <v>132</v>
      </c>
      <c r="AU221" t="s">
        <v>114</v>
      </c>
      <c r="AV221" s="23" t="s">
        <v>115</v>
      </c>
      <c r="BB221" t="s">
        <v>114</v>
      </c>
      <c r="BC221" s="11">
        <v>45920</v>
      </c>
      <c r="BD221" t="s">
        <v>169</v>
      </c>
      <c r="BF221" t="s">
        <v>165</v>
      </c>
      <c r="BG221" t="s">
        <v>449</v>
      </c>
      <c r="BJ221" t="str">
        <f t="shared" si="44"/>
        <v/>
      </c>
      <c r="BK221" t="s">
        <v>170</v>
      </c>
      <c r="BL221" t="str">
        <f t="shared" si="45"/>
        <v>S38_2025</v>
      </c>
      <c r="BM221" t="s">
        <v>159</v>
      </c>
      <c r="BN221" s="11">
        <v>45930</v>
      </c>
      <c r="BO221" t="str">
        <f t="shared" si="41"/>
        <v>S40_2025</v>
      </c>
      <c r="BP221" t="s">
        <v>114</v>
      </c>
      <c r="BQ221" t="s">
        <v>450</v>
      </c>
      <c r="BV221" t="s">
        <v>450</v>
      </c>
      <c r="BW221" s="11">
        <v>45930</v>
      </c>
      <c r="BX221" s="11"/>
      <c r="BY221" s="11"/>
      <c r="CB221" s="11"/>
      <c r="CC221" s="11"/>
      <c r="CD221" s="11"/>
      <c r="CG221" s="11"/>
      <c r="CI221" t="s">
        <v>119</v>
      </c>
      <c r="CO221" t="str">
        <f t="shared" si="46"/>
        <v>NEGATIFPAS INCLUS</v>
      </c>
      <c r="CP221" s="11">
        <v>45920</v>
      </c>
      <c r="CR221">
        <f t="shared" si="48"/>
        <v>-45920</v>
      </c>
      <c r="CS221">
        <f t="shared" si="49"/>
        <v>45930</v>
      </c>
      <c r="CT221">
        <f t="shared" si="40"/>
        <v>7</v>
      </c>
      <c r="CU221" t="str">
        <f t="shared" si="50"/>
        <v/>
      </c>
      <c r="CV221" t="str">
        <f t="shared" si="51"/>
        <v/>
      </c>
      <c r="CX221" s="11">
        <v>45913</v>
      </c>
      <c r="CY221" t="str">
        <f t="shared" si="47"/>
        <v>S37_2025</v>
      </c>
      <c r="DC221" t="s">
        <v>160</v>
      </c>
    </row>
    <row r="222" spans="1:107" x14ac:dyDescent="0.35">
      <c r="A222" t="s">
        <v>937</v>
      </c>
      <c r="B222" s="10" t="str">
        <f t="shared" si="42"/>
        <v>S39_2025</v>
      </c>
      <c r="C222" s="10" t="str">
        <f t="shared" si="43"/>
        <v>S37_2025</v>
      </c>
      <c r="D222" s="11">
        <v>45928</v>
      </c>
      <c r="E222" t="s">
        <v>123</v>
      </c>
      <c r="F222">
        <v>0.9</v>
      </c>
      <c r="G222" t="s">
        <v>141</v>
      </c>
      <c r="H222" t="s">
        <v>108</v>
      </c>
      <c r="J222" t="s">
        <v>132</v>
      </c>
      <c r="K222" s="12"/>
      <c r="L222" t="s">
        <v>163</v>
      </c>
      <c r="M222" t="s">
        <v>164</v>
      </c>
      <c r="N222" t="s">
        <v>165</v>
      </c>
      <c r="O222" t="s">
        <v>184</v>
      </c>
      <c r="P222" t="s">
        <v>110</v>
      </c>
      <c r="Q222" t="s">
        <v>167</v>
      </c>
      <c r="R222" s="11">
        <v>45913</v>
      </c>
      <c r="S222" s="11">
        <v>45913</v>
      </c>
      <c r="T222" s="11">
        <v>45913</v>
      </c>
      <c r="Y222" t="s">
        <v>114</v>
      </c>
      <c r="AC222" t="s">
        <v>935</v>
      </c>
      <c r="AE222" t="s">
        <v>114</v>
      </c>
      <c r="AK222" t="s">
        <v>132</v>
      </c>
      <c r="AN222" t="s">
        <v>132</v>
      </c>
      <c r="AQ222" t="s">
        <v>132</v>
      </c>
      <c r="AU222" t="s">
        <v>114</v>
      </c>
      <c r="AV222" s="23" t="s">
        <v>115</v>
      </c>
      <c r="BB222" t="s">
        <v>114</v>
      </c>
      <c r="BC222" s="11">
        <v>45920</v>
      </c>
      <c r="BD222" t="s">
        <v>169</v>
      </c>
      <c r="BF222" t="s">
        <v>165</v>
      </c>
      <c r="BG222" t="s">
        <v>449</v>
      </c>
      <c r="BJ222" t="str">
        <f t="shared" si="44"/>
        <v/>
      </c>
      <c r="BK222" t="s">
        <v>170</v>
      </c>
      <c r="BL222" t="str">
        <f t="shared" si="45"/>
        <v>S38_2025</v>
      </c>
      <c r="BM222" t="s">
        <v>159</v>
      </c>
      <c r="BN222" s="11">
        <v>45930</v>
      </c>
      <c r="BO222" t="str">
        <f t="shared" si="41"/>
        <v>S40_2025</v>
      </c>
      <c r="BP222" t="s">
        <v>114</v>
      </c>
      <c r="BQ222" t="s">
        <v>450</v>
      </c>
      <c r="BV222" t="s">
        <v>450</v>
      </c>
      <c r="BW222" s="11">
        <v>45930</v>
      </c>
      <c r="BX222" s="11"/>
      <c r="BY222" s="11"/>
      <c r="CB222" s="11"/>
      <c r="CC222" s="11"/>
      <c r="CD222" s="11"/>
      <c r="CG222" s="11"/>
      <c r="CI222" t="s">
        <v>119</v>
      </c>
      <c r="CO222" t="str">
        <f t="shared" si="46"/>
        <v>NEGATIFPAS INCLUS</v>
      </c>
      <c r="CP222" s="11">
        <v>45920</v>
      </c>
      <c r="CR222">
        <f t="shared" si="48"/>
        <v>-45920</v>
      </c>
      <c r="CS222">
        <f t="shared" si="49"/>
        <v>45930</v>
      </c>
      <c r="CT222">
        <f t="shared" si="40"/>
        <v>7</v>
      </c>
      <c r="CU222" t="str">
        <f t="shared" si="50"/>
        <v/>
      </c>
      <c r="CV222" t="str">
        <f t="shared" si="51"/>
        <v/>
      </c>
      <c r="CX222" s="11">
        <v>45913</v>
      </c>
      <c r="CY222" t="str">
        <f t="shared" si="47"/>
        <v>S37_2025</v>
      </c>
      <c r="DC222" t="s">
        <v>160</v>
      </c>
    </row>
    <row r="223" spans="1:107" x14ac:dyDescent="0.35">
      <c r="A223" t="s">
        <v>938</v>
      </c>
      <c r="B223" s="10" t="str">
        <f t="shared" si="42"/>
        <v>S39_2025</v>
      </c>
      <c r="C223" s="10" t="str">
        <f t="shared" si="43"/>
        <v>S36_2025</v>
      </c>
      <c r="D223" s="11">
        <v>45928</v>
      </c>
      <c r="E223" t="s">
        <v>106</v>
      </c>
      <c r="F223">
        <v>39</v>
      </c>
      <c r="G223" t="s">
        <v>110</v>
      </c>
      <c r="H223" t="s">
        <v>108</v>
      </c>
      <c r="J223" t="s">
        <v>132</v>
      </c>
      <c r="K223" s="12"/>
      <c r="L223" t="s">
        <v>163</v>
      </c>
      <c r="M223" t="s">
        <v>164</v>
      </c>
      <c r="N223" t="s">
        <v>165</v>
      </c>
      <c r="O223" t="s">
        <v>184</v>
      </c>
      <c r="P223" t="s">
        <v>166</v>
      </c>
      <c r="Q223" t="s">
        <v>167</v>
      </c>
      <c r="R223" s="11">
        <v>45902</v>
      </c>
      <c r="S223" s="11">
        <v>45902</v>
      </c>
      <c r="T223" s="11">
        <v>45902</v>
      </c>
      <c r="V223" t="s">
        <v>114</v>
      </c>
      <c r="AE223" t="s">
        <v>114</v>
      </c>
      <c r="AK223" t="s">
        <v>132</v>
      </c>
      <c r="AM223" t="s">
        <v>132</v>
      </c>
      <c r="AN223" t="s">
        <v>114</v>
      </c>
      <c r="AQ223" t="s">
        <v>132</v>
      </c>
      <c r="AU223" t="s">
        <v>114</v>
      </c>
      <c r="AV223" s="23" t="s">
        <v>115</v>
      </c>
      <c r="BB223" t="s">
        <v>114</v>
      </c>
      <c r="BC223" s="11">
        <v>45920</v>
      </c>
      <c r="BD223" t="s">
        <v>169</v>
      </c>
      <c r="BF223" t="s">
        <v>165</v>
      </c>
      <c r="BG223" t="s">
        <v>132</v>
      </c>
      <c r="BJ223" t="str">
        <f t="shared" si="44"/>
        <v/>
      </c>
      <c r="BK223" t="s">
        <v>170</v>
      </c>
      <c r="BL223" t="str">
        <f t="shared" si="45"/>
        <v>S38_2025</v>
      </c>
      <c r="BM223" t="s">
        <v>159</v>
      </c>
      <c r="BN223" s="11">
        <v>45930</v>
      </c>
      <c r="BO223" t="str">
        <f t="shared" si="41"/>
        <v>S40_2025</v>
      </c>
      <c r="BP223" t="s">
        <v>114</v>
      </c>
      <c r="BQ223" t="s">
        <v>118</v>
      </c>
      <c r="BW223" s="11"/>
      <c r="BX223" s="11"/>
      <c r="BY223" s="11"/>
      <c r="CB223" s="11"/>
      <c r="CC223" s="11"/>
      <c r="CD223" s="11"/>
      <c r="CG223" s="11"/>
      <c r="CI223" t="s">
        <v>119</v>
      </c>
      <c r="CO223" t="str">
        <f t="shared" si="46"/>
        <v>NEGATIFPAS INCLUS</v>
      </c>
      <c r="CP223" s="11">
        <v>45920</v>
      </c>
      <c r="CR223">
        <f t="shared" si="48"/>
        <v>-45920</v>
      </c>
      <c r="CS223">
        <f t="shared" si="49"/>
        <v>45930</v>
      </c>
      <c r="CT223">
        <f t="shared" si="40"/>
        <v>18</v>
      </c>
      <c r="CU223" t="str">
        <f t="shared" si="50"/>
        <v/>
      </c>
      <c r="CV223" t="str">
        <f t="shared" si="51"/>
        <v/>
      </c>
      <c r="CX223" s="11">
        <v>45902</v>
      </c>
      <c r="CY223" t="str">
        <f t="shared" si="47"/>
        <v>S36_2025</v>
      </c>
      <c r="DC223" t="s">
        <v>160</v>
      </c>
    </row>
    <row r="224" spans="1:107" x14ac:dyDescent="0.35">
      <c r="A224" t="s">
        <v>939</v>
      </c>
      <c r="B224" s="10" t="str">
        <f t="shared" si="42"/>
        <v>S39_2025</v>
      </c>
      <c r="C224" s="10" t="str">
        <f t="shared" si="43"/>
        <v>S37_2025</v>
      </c>
      <c r="D224" s="11">
        <v>45928</v>
      </c>
      <c r="E224" t="s">
        <v>106</v>
      </c>
      <c r="F224">
        <v>70</v>
      </c>
      <c r="G224" t="s">
        <v>323</v>
      </c>
      <c r="H224" t="s">
        <v>108</v>
      </c>
      <c r="J224" t="s">
        <v>114</v>
      </c>
      <c r="K224" s="12" t="s">
        <v>110</v>
      </c>
      <c r="L224" t="s">
        <v>163</v>
      </c>
      <c r="M224" t="s">
        <v>164</v>
      </c>
      <c r="N224" t="s">
        <v>165</v>
      </c>
      <c r="O224" t="s">
        <v>110</v>
      </c>
      <c r="P224" t="s">
        <v>166</v>
      </c>
      <c r="Q224" t="s">
        <v>167</v>
      </c>
      <c r="R224" s="11">
        <v>45911</v>
      </c>
      <c r="S224" s="11">
        <v>45911</v>
      </c>
      <c r="T224" s="11">
        <v>45911</v>
      </c>
      <c r="V224" t="s">
        <v>114</v>
      </c>
      <c r="AE224" t="s">
        <v>114</v>
      </c>
      <c r="AG224" t="s">
        <v>114</v>
      </c>
      <c r="AK224" t="s">
        <v>132</v>
      </c>
      <c r="AM224" t="s">
        <v>132</v>
      </c>
      <c r="AN224" t="s">
        <v>114</v>
      </c>
      <c r="AQ224" t="s">
        <v>132</v>
      </c>
      <c r="AU224" t="s">
        <v>114</v>
      </c>
      <c r="AV224" s="23" t="s">
        <v>115</v>
      </c>
      <c r="BB224" t="s">
        <v>114</v>
      </c>
      <c r="BC224" s="11">
        <v>45921</v>
      </c>
      <c r="BD224" t="s">
        <v>169</v>
      </c>
      <c r="BF224" t="s">
        <v>165</v>
      </c>
      <c r="BG224" t="s">
        <v>449</v>
      </c>
      <c r="BJ224" t="str">
        <f t="shared" si="44"/>
        <v/>
      </c>
      <c r="BK224" t="s">
        <v>170</v>
      </c>
      <c r="BL224" t="str">
        <f t="shared" si="45"/>
        <v>S38_2025</v>
      </c>
      <c r="BM224" t="s">
        <v>159</v>
      </c>
      <c r="BN224" s="11">
        <v>45930</v>
      </c>
      <c r="BO224" t="str">
        <f t="shared" si="41"/>
        <v>S40_2025</v>
      </c>
      <c r="BP224" t="s">
        <v>114</v>
      </c>
      <c r="BQ224" t="s">
        <v>450</v>
      </c>
      <c r="BV224" t="s">
        <v>450</v>
      </c>
      <c r="BW224" s="11">
        <v>45930</v>
      </c>
      <c r="BX224" s="11"/>
      <c r="BY224" s="11"/>
      <c r="CB224" s="11"/>
      <c r="CC224" s="11"/>
      <c r="CD224" s="11"/>
      <c r="CG224" s="11"/>
      <c r="CI224" t="s">
        <v>119</v>
      </c>
      <c r="CO224" t="str">
        <f t="shared" si="46"/>
        <v>NEGATIFPAS INCLUS</v>
      </c>
      <c r="CP224" s="11">
        <v>45921</v>
      </c>
      <c r="CR224">
        <f t="shared" si="48"/>
        <v>-45921</v>
      </c>
      <c r="CS224">
        <f t="shared" si="49"/>
        <v>45930</v>
      </c>
      <c r="CT224">
        <f t="shared" ref="CT224:CT231" si="52">CP224-CX224</f>
        <v>10</v>
      </c>
      <c r="CU224" t="e">
        <f t="shared" si="50"/>
        <v>#VALUE!</v>
      </c>
      <c r="CV224" t="str">
        <f t="shared" si="51"/>
        <v/>
      </c>
      <c r="CX224" s="11">
        <v>45911</v>
      </c>
      <c r="CY224" t="str">
        <f t="shared" si="47"/>
        <v>S37_2025</v>
      </c>
      <c r="DC224" t="s">
        <v>160</v>
      </c>
    </row>
    <row r="225" spans="1:107" x14ac:dyDescent="0.35">
      <c r="A225" t="s">
        <v>940</v>
      </c>
      <c r="B225" s="10" t="str">
        <f t="shared" si="42"/>
        <v>S39_2025</v>
      </c>
      <c r="C225" s="10" t="str">
        <f t="shared" si="43"/>
        <v>S37_2025</v>
      </c>
      <c r="D225" s="11">
        <v>45928</v>
      </c>
      <c r="E225" t="s">
        <v>123</v>
      </c>
      <c r="F225">
        <v>7</v>
      </c>
      <c r="G225" t="s">
        <v>107</v>
      </c>
      <c r="H225" t="s">
        <v>108</v>
      </c>
      <c r="J225" t="s">
        <v>132</v>
      </c>
      <c r="K225" s="12"/>
      <c r="L225" t="s">
        <v>163</v>
      </c>
      <c r="M225" t="s">
        <v>164</v>
      </c>
      <c r="N225" t="s">
        <v>165</v>
      </c>
      <c r="O225" t="s">
        <v>184</v>
      </c>
      <c r="P225" t="s">
        <v>166</v>
      </c>
      <c r="Q225" t="s">
        <v>167</v>
      </c>
      <c r="R225" s="11">
        <v>45911</v>
      </c>
      <c r="S225" s="11">
        <v>45911</v>
      </c>
      <c r="T225" s="11">
        <v>45911</v>
      </c>
      <c r="W225" t="s">
        <v>114</v>
      </c>
      <c r="AC225" t="s">
        <v>935</v>
      </c>
      <c r="AE225" t="s">
        <v>114</v>
      </c>
      <c r="AK225" t="s">
        <v>132</v>
      </c>
      <c r="AM225" t="s">
        <v>132</v>
      </c>
      <c r="AN225" t="s">
        <v>114</v>
      </c>
      <c r="AQ225" t="s">
        <v>132</v>
      </c>
      <c r="AU225" t="s">
        <v>114</v>
      </c>
      <c r="AV225" s="23" t="s">
        <v>115</v>
      </c>
      <c r="BB225" t="s">
        <v>114</v>
      </c>
      <c r="BC225" s="11">
        <v>45920</v>
      </c>
      <c r="BD225" t="s">
        <v>169</v>
      </c>
      <c r="BF225" t="s">
        <v>165</v>
      </c>
      <c r="BG225" t="s">
        <v>449</v>
      </c>
      <c r="BJ225" t="str">
        <f t="shared" si="44"/>
        <v/>
      </c>
      <c r="BK225" t="s">
        <v>170</v>
      </c>
      <c r="BL225" t="str">
        <f t="shared" si="45"/>
        <v>S38_2025</v>
      </c>
      <c r="BM225" t="s">
        <v>159</v>
      </c>
      <c r="BN225" s="11">
        <v>45930</v>
      </c>
      <c r="BO225" t="str">
        <f t="shared" si="41"/>
        <v>S40_2025</v>
      </c>
      <c r="BP225" t="s">
        <v>114</v>
      </c>
      <c r="BQ225" t="s">
        <v>450</v>
      </c>
      <c r="BV225" t="s">
        <v>450</v>
      </c>
      <c r="BW225" s="11">
        <v>45930</v>
      </c>
      <c r="BX225" s="11"/>
      <c r="BY225" s="11"/>
      <c r="CB225" s="11"/>
      <c r="CC225" s="11"/>
      <c r="CD225" s="11"/>
      <c r="CG225" s="11"/>
      <c r="CI225" t="s">
        <v>119</v>
      </c>
      <c r="CO225" t="str">
        <f t="shared" si="46"/>
        <v>NEGATIFPAS INCLUS</v>
      </c>
      <c r="CP225" s="11">
        <v>45920</v>
      </c>
      <c r="CR225">
        <f t="shared" si="48"/>
        <v>-45920</v>
      </c>
      <c r="CS225">
        <f t="shared" si="49"/>
        <v>45930</v>
      </c>
      <c r="CT225">
        <f t="shared" si="52"/>
        <v>9</v>
      </c>
      <c r="CU225" t="str">
        <f t="shared" si="50"/>
        <v/>
      </c>
      <c r="CV225" t="str">
        <f t="shared" si="51"/>
        <v/>
      </c>
      <c r="CX225" s="11">
        <v>45911</v>
      </c>
      <c r="CY225" t="str">
        <f t="shared" si="47"/>
        <v>S37_2025</v>
      </c>
      <c r="DC225" t="s">
        <v>160</v>
      </c>
    </row>
    <row r="226" spans="1:107" x14ac:dyDescent="0.35">
      <c r="A226" t="s">
        <v>941</v>
      </c>
      <c r="B226" s="10" t="str">
        <f t="shared" si="42"/>
        <v>S41_2025</v>
      </c>
      <c r="C226" s="10" t="str">
        <f t="shared" si="43"/>
        <v>S40_2025</v>
      </c>
      <c r="D226" s="11">
        <v>45936</v>
      </c>
      <c r="E226" t="s">
        <v>123</v>
      </c>
      <c r="F226">
        <v>4</v>
      </c>
      <c r="G226" t="s">
        <v>141</v>
      </c>
      <c r="H226" t="s">
        <v>108</v>
      </c>
      <c r="J226" t="s">
        <v>114</v>
      </c>
      <c r="K226" s="14">
        <v>45935</v>
      </c>
      <c r="L226" t="s">
        <v>321</v>
      </c>
      <c r="M226" t="s">
        <v>896</v>
      </c>
      <c r="N226" t="s">
        <v>900</v>
      </c>
      <c r="O226" t="s">
        <v>942</v>
      </c>
      <c r="P226" t="s">
        <v>943</v>
      </c>
      <c r="Q226" t="s">
        <v>896</v>
      </c>
      <c r="R226" s="11">
        <v>45931</v>
      </c>
      <c r="S226" s="11">
        <v>45931</v>
      </c>
      <c r="T226" s="11">
        <v>45931</v>
      </c>
      <c r="U226" t="s">
        <v>114</v>
      </c>
      <c r="V226" t="s">
        <v>114</v>
      </c>
      <c r="AE226" t="s">
        <v>114</v>
      </c>
      <c r="AG226" t="s">
        <v>114</v>
      </c>
      <c r="AK226" t="s">
        <v>132</v>
      </c>
      <c r="AM226" t="s">
        <v>114</v>
      </c>
      <c r="AN226" t="s">
        <v>114</v>
      </c>
      <c r="AQ226" t="s">
        <v>132</v>
      </c>
      <c r="AR226" t="s">
        <v>944</v>
      </c>
      <c r="AS226" s="11">
        <v>45941</v>
      </c>
      <c r="AU226" t="s">
        <v>114</v>
      </c>
      <c r="AV226" s="23" t="s">
        <v>115</v>
      </c>
      <c r="BB226" t="s">
        <v>114</v>
      </c>
      <c r="BC226" s="11">
        <v>45938</v>
      </c>
      <c r="BD226" t="s">
        <v>497</v>
      </c>
      <c r="BF226" t="s">
        <v>900</v>
      </c>
      <c r="BG226" t="s">
        <v>114</v>
      </c>
      <c r="BJ226" t="str">
        <f t="shared" si="44"/>
        <v/>
      </c>
      <c r="BK226" t="s">
        <v>321</v>
      </c>
      <c r="BL226" t="str">
        <f t="shared" si="45"/>
        <v>S41_2025</v>
      </c>
      <c r="BM226" t="s">
        <v>159</v>
      </c>
      <c r="BN226" s="11">
        <v>45941</v>
      </c>
      <c r="BO226" t="str">
        <f t="shared" si="41"/>
        <v>S41_2025</v>
      </c>
      <c r="BP226" t="s">
        <v>114</v>
      </c>
      <c r="BQ226" t="s">
        <v>118</v>
      </c>
      <c r="BU226" s="11"/>
      <c r="BW226" s="11"/>
      <c r="BX226" s="11"/>
      <c r="BY226" s="11"/>
      <c r="BZ226" s="11"/>
      <c r="CA226" t="s">
        <v>118</v>
      </c>
      <c r="CB226" s="11">
        <v>45941</v>
      </c>
      <c r="CC226" s="11"/>
      <c r="CD226" s="11"/>
      <c r="CE226" s="11"/>
      <c r="CG226" s="11"/>
      <c r="CI226" t="s">
        <v>119</v>
      </c>
      <c r="CO226" t="str">
        <f t="shared" si="46"/>
        <v>NEGATIFPAS INCLUS</v>
      </c>
      <c r="CP226" s="11">
        <v>45936</v>
      </c>
      <c r="CR226">
        <f t="shared" si="48"/>
        <v>3</v>
      </c>
      <c r="CS226">
        <f t="shared" si="49"/>
        <v>0</v>
      </c>
      <c r="CT226">
        <f t="shared" si="52"/>
        <v>5</v>
      </c>
      <c r="CU226">
        <f t="shared" si="50"/>
        <v>1</v>
      </c>
      <c r="CV226" t="str">
        <f t="shared" si="51"/>
        <v/>
      </c>
      <c r="CX226" s="11">
        <v>45931</v>
      </c>
      <c r="CY226" t="str">
        <f t="shared" si="47"/>
        <v>S40_2025</v>
      </c>
      <c r="DC226" t="s">
        <v>120</v>
      </c>
    </row>
    <row r="227" spans="1:107" x14ac:dyDescent="0.35">
      <c r="A227" t="s">
        <v>945</v>
      </c>
      <c r="B227" s="10" t="str">
        <f t="shared" si="42"/>
        <v>S41_2025</v>
      </c>
      <c r="C227" s="10" t="str">
        <f t="shared" si="43"/>
        <v/>
      </c>
      <c r="D227" s="11">
        <v>45939</v>
      </c>
      <c r="E227" t="s">
        <v>123</v>
      </c>
      <c r="F227">
        <v>53</v>
      </c>
      <c r="G227" t="s">
        <v>110</v>
      </c>
      <c r="H227" t="s">
        <v>108</v>
      </c>
      <c r="J227" t="s">
        <v>142</v>
      </c>
      <c r="K227" s="12"/>
      <c r="L227" t="s">
        <v>182</v>
      </c>
      <c r="M227" t="s">
        <v>619</v>
      </c>
      <c r="P227" t="s">
        <v>110</v>
      </c>
      <c r="Q227" t="s">
        <v>619</v>
      </c>
      <c r="AS227" s="11">
        <v>45937</v>
      </c>
      <c r="AU227" t="s">
        <v>114</v>
      </c>
      <c r="AV227" s="23" t="s">
        <v>115</v>
      </c>
      <c r="BB227" t="s">
        <v>114</v>
      </c>
      <c r="BC227" s="11">
        <v>45937</v>
      </c>
      <c r="BD227" t="s">
        <v>169</v>
      </c>
      <c r="BG227" t="s">
        <v>449</v>
      </c>
      <c r="BJ227" t="str">
        <f t="shared" si="44"/>
        <v/>
      </c>
      <c r="BK227" t="s">
        <v>187</v>
      </c>
      <c r="BL227" t="str">
        <f t="shared" si="45"/>
        <v>S41_2025</v>
      </c>
      <c r="BM227" t="s">
        <v>159</v>
      </c>
      <c r="BN227" s="11">
        <v>45938</v>
      </c>
      <c r="BO227" t="str">
        <f t="shared" si="41"/>
        <v>S41_2025</v>
      </c>
      <c r="BP227" t="s">
        <v>114</v>
      </c>
      <c r="BQ227" t="s">
        <v>450</v>
      </c>
      <c r="BS227" t="s">
        <v>132</v>
      </c>
      <c r="BU227" s="11">
        <v>45937</v>
      </c>
      <c r="BV227" t="s">
        <v>450</v>
      </c>
      <c r="BW227" s="11">
        <v>45938</v>
      </c>
      <c r="BX227" s="11"/>
      <c r="BY227" s="11"/>
      <c r="BZ227" s="11"/>
      <c r="CB227" s="11"/>
      <c r="CC227" s="11"/>
      <c r="CD227" s="11"/>
      <c r="CE227" s="11"/>
      <c r="CG227" s="11"/>
      <c r="CI227" t="s">
        <v>119</v>
      </c>
      <c r="CO227" t="str">
        <f t="shared" si="46"/>
        <v>NEGATIFPAS INCLUS</v>
      </c>
      <c r="CP227" s="11">
        <v>45937</v>
      </c>
      <c r="CR227">
        <f t="shared" si="48"/>
        <v>0</v>
      </c>
      <c r="CS227">
        <f t="shared" si="49"/>
        <v>1</v>
      </c>
      <c r="CT227">
        <f t="shared" si="52"/>
        <v>45937</v>
      </c>
      <c r="CU227">
        <f t="shared" si="50"/>
        <v>45937</v>
      </c>
      <c r="CV227" t="str">
        <f t="shared" si="51"/>
        <v/>
      </c>
      <c r="CY227" t="str">
        <f t="shared" si="47"/>
        <v/>
      </c>
      <c r="DC227" t="s">
        <v>160</v>
      </c>
    </row>
    <row r="228" spans="1:107" x14ac:dyDescent="0.35">
      <c r="A228" t="s">
        <v>946</v>
      </c>
      <c r="B228" s="10" t="str">
        <f t="shared" si="42"/>
        <v>S42_2025</v>
      </c>
      <c r="C228" s="10" t="str">
        <f t="shared" si="43"/>
        <v>S39_2025</v>
      </c>
      <c r="D228" s="11">
        <v>45949</v>
      </c>
      <c r="E228" t="s">
        <v>123</v>
      </c>
      <c r="F228">
        <v>14</v>
      </c>
      <c r="G228" t="s">
        <v>107</v>
      </c>
      <c r="H228" t="s">
        <v>108</v>
      </c>
      <c r="J228" t="s">
        <v>132</v>
      </c>
      <c r="K228" s="12"/>
      <c r="L228" t="s">
        <v>163</v>
      </c>
      <c r="M228" t="s">
        <v>164</v>
      </c>
      <c r="N228" t="s">
        <v>654</v>
      </c>
      <c r="O228" t="s">
        <v>184</v>
      </c>
      <c r="P228" t="s">
        <v>110</v>
      </c>
      <c r="Q228" t="s">
        <v>167</v>
      </c>
      <c r="R228" s="11">
        <v>45925</v>
      </c>
      <c r="S228" s="11">
        <v>45925</v>
      </c>
      <c r="T228" s="11">
        <v>45925</v>
      </c>
      <c r="X228" t="s">
        <v>114</v>
      </c>
      <c r="AK228" t="s">
        <v>132</v>
      </c>
      <c r="AM228" t="s">
        <v>132</v>
      </c>
      <c r="AN228" t="s">
        <v>132</v>
      </c>
      <c r="AQ228" t="s">
        <v>132</v>
      </c>
      <c r="AR228" t="s">
        <v>947</v>
      </c>
      <c r="AS228" s="11">
        <v>45950</v>
      </c>
      <c r="AU228" t="s">
        <v>114</v>
      </c>
      <c r="AV228" s="23" t="s">
        <v>115</v>
      </c>
      <c r="BB228" t="s">
        <v>114</v>
      </c>
      <c r="BC228" s="11">
        <v>45946</v>
      </c>
      <c r="BD228" t="s">
        <v>243</v>
      </c>
      <c r="BF228" t="s">
        <v>654</v>
      </c>
      <c r="BG228" t="s">
        <v>132</v>
      </c>
      <c r="BJ228" t="str">
        <f t="shared" si="44"/>
        <v/>
      </c>
      <c r="BK228" t="s">
        <v>170</v>
      </c>
      <c r="BL228" t="str">
        <f t="shared" si="45"/>
        <v>S42_2025</v>
      </c>
      <c r="BM228" t="s">
        <v>159</v>
      </c>
      <c r="BN228" s="11">
        <v>45950</v>
      </c>
      <c r="BO228" t="str">
        <f t="shared" si="41"/>
        <v>S43_2025</v>
      </c>
      <c r="BP228" t="s">
        <v>114</v>
      </c>
      <c r="BQ228" t="s">
        <v>118</v>
      </c>
      <c r="BU228" s="11"/>
      <c r="BW228" s="11"/>
      <c r="BX228" s="11"/>
      <c r="BY228" s="11"/>
      <c r="BZ228" s="11"/>
      <c r="CA228" t="s">
        <v>118</v>
      </c>
      <c r="CB228" s="11">
        <v>45950</v>
      </c>
      <c r="CC228" s="11"/>
      <c r="CD228" s="11"/>
      <c r="CE228" s="11"/>
      <c r="CG228" s="11"/>
      <c r="CI228" t="s">
        <v>119</v>
      </c>
      <c r="CO228" t="str">
        <f t="shared" si="46"/>
        <v>NEGATIFPAS INCLUS</v>
      </c>
      <c r="CP228" s="11">
        <v>45946</v>
      </c>
      <c r="CR228">
        <f t="shared" si="48"/>
        <v>4</v>
      </c>
      <c r="CS228">
        <f t="shared" si="49"/>
        <v>0</v>
      </c>
      <c r="CT228">
        <f t="shared" si="52"/>
        <v>21</v>
      </c>
      <c r="CU228" t="str">
        <f t="shared" si="50"/>
        <v/>
      </c>
      <c r="CV228" t="str">
        <f t="shared" si="51"/>
        <v/>
      </c>
      <c r="CX228" s="11">
        <v>45925</v>
      </c>
      <c r="CY228" t="str">
        <f t="shared" si="47"/>
        <v>S39_2025</v>
      </c>
      <c r="DC228" t="s">
        <v>120</v>
      </c>
    </row>
    <row r="229" spans="1:107" x14ac:dyDescent="0.35">
      <c r="A229" t="s">
        <v>948</v>
      </c>
      <c r="B229" s="10" t="str">
        <f t="shared" si="42"/>
        <v>S46_2025</v>
      </c>
      <c r="C229" s="10" t="str">
        <f t="shared" si="43"/>
        <v>S42_2025</v>
      </c>
      <c r="D229" s="11">
        <v>45975</v>
      </c>
      <c r="E229" t="s">
        <v>123</v>
      </c>
      <c r="F229" s="24">
        <v>9</v>
      </c>
      <c r="G229" t="s">
        <v>107</v>
      </c>
      <c r="H229" t="s">
        <v>108</v>
      </c>
      <c r="J229" t="s">
        <v>142</v>
      </c>
      <c r="K229" s="12"/>
      <c r="L229" t="s">
        <v>637</v>
      </c>
      <c r="M229" t="s">
        <v>949</v>
      </c>
      <c r="N229" t="s">
        <v>949</v>
      </c>
      <c r="P229" t="s">
        <v>110</v>
      </c>
      <c r="Q229" t="s">
        <v>949</v>
      </c>
      <c r="R229" s="11">
        <v>45948</v>
      </c>
      <c r="S229" s="11">
        <v>45948</v>
      </c>
      <c r="T229" s="11">
        <v>45948</v>
      </c>
      <c r="AK229" t="s">
        <v>132</v>
      </c>
      <c r="AM229" t="s">
        <v>132</v>
      </c>
      <c r="AN229" t="s">
        <v>132</v>
      </c>
      <c r="AR229" t="s">
        <v>950</v>
      </c>
      <c r="AS229" s="11">
        <v>45973</v>
      </c>
      <c r="AU229" t="s">
        <v>114</v>
      </c>
      <c r="AV229" t="s">
        <v>134</v>
      </c>
      <c r="AW229" t="s">
        <v>152</v>
      </c>
      <c r="AY229" t="s">
        <v>135</v>
      </c>
      <c r="BB229" t="s">
        <v>114</v>
      </c>
      <c r="BC229" s="11">
        <v>45953</v>
      </c>
      <c r="BD229" t="s">
        <v>169</v>
      </c>
      <c r="BF229" t="s">
        <v>949</v>
      </c>
      <c r="BG229" t="s">
        <v>449</v>
      </c>
      <c r="BI229" s="11">
        <v>45975</v>
      </c>
      <c r="BJ229" t="str">
        <f t="shared" si="44"/>
        <v>S46_2025</v>
      </c>
      <c r="BK229" t="s">
        <v>187</v>
      </c>
      <c r="BL229" t="str">
        <f t="shared" si="45"/>
        <v>S43_2025</v>
      </c>
      <c r="BM229" t="s">
        <v>159</v>
      </c>
      <c r="BN229" s="11">
        <v>45975</v>
      </c>
      <c r="BO229" t="str">
        <f t="shared" si="41"/>
        <v>S46_2025</v>
      </c>
      <c r="BP229" t="s">
        <v>114</v>
      </c>
      <c r="BQ229" t="s">
        <v>450</v>
      </c>
      <c r="BR229" t="s">
        <v>142</v>
      </c>
      <c r="BU229" s="11">
        <v>45973</v>
      </c>
      <c r="BV229" t="s">
        <v>450</v>
      </c>
      <c r="BW229" s="11">
        <v>45975</v>
      </c>
      <c r="BX229" s="11" t="s">
        <v>134</v>
      </c>
      <c r="BY229" s="11"/>
      <c r="BZ229" s="11"/>
      <c r="CB229" s="11"/>
      <c r="CC229" s="11"/>
      <c r="CD229" s="11"/>
      <c r="CE229" s="11"/>
      <c r="CG229" s="11"/>
      <c r="CI229" t="s">
        <v>134</v>
      </c>
      <c r="CJ229" t="s">
        <v>456</v>
      </c>
      <c r="CK229" t="s">
        <v>452</v>
      </c>
      <c r="CN229" t="s">
        <v>169</v>
      </c>
      <c r="CO229" t="str">
        <f t="shared" si="46"/>
        <v>POSITIFPOSITIF</v>
      </c>
      <c r="CP229" s="11">
        <v>45953</v>
      </c>
      <c r="CR229">
        <f t="shared" si="48"/>
        <v>20</v>
      </c>
      <c r="CS229">
        <f t="shared" si="49"/>
        <v>2</v>
      </c>
      <c r="CT229">
        <f t="shared" si="52"/>
        <v>0</v>
      </c>
      <c r="CV229">
        <f t="shared" si="51"/>
        <v>22</v>
      </c>
      <c r="CX229" s="11">
        <v>45953</v>
      </c>
      <c r="CY229" t="str">
        <f t="shared" si="47"/>
        <v>S43_2025</v>
      </c>
      <c r="DC229" t="s">
        <v>139</v>
      </c>
    </row>
    <row r="230" spans="1:107" x14ac:dyDescent="0.35">
      <c r="A230" t="s">
        <v>951</v>
      </c>
      <c r="B230" s="10" t="str">
        <f t="shared" si="42"/>
        <v>S46_2025</v>
      </c>
      <c r="C230" s="10" t="str">
        <f t="shared" si="43"/>
        <v>S44_2025</v>
      </c>
      <c r="D230" s="11">
        <v>45975</v>
      </c>
      <c r="E230" t="s">
        <v>123</v>
      </c>
      <c r="F230" s="24">
        <v>44</v>
      </c>
      <c r="G230" t="s">
        <v>952</v>
      </c>
      <c r="H230" t="s">
        <v>108</v>
      </c>
      <c r="J230" t="s">
        <v>114</v>
      </c>
      <c r="K230" s="14">
        <v>45973</v>
      </c>
      <c r="L230" t="s">
        <v>126</v>
      </c>
      <c r="M230" t="s">
        <v>127</v>
      </c>
      <c r="N230" t="s">
        <v>202</v>
      </c>
      <c r="O230" t="s">
        <v>953</v>
      </c>
      <c r="P230" t="s">
        <v>954</v>
      </c>
      <c r="Q230" t="s">
        <v>215</v>
      </c>
      <c r="R230" s="11">
        <v>45959</v>
      </c>
      <c r="S230" s="11">
        <v>45959</v>
      </c>
      <c r="T230" s="11">
        <v>45966</v>
      </c>
      <c r="X230" t="s">
        <v>114</v>
      </c>
      <c r="Y230" t="s">
        <v>114</v>
      </c>
      <c r="AA230" t="s">
        <v>114</v>
      </c>
      <c r="AE230" t="s">
        <v>114</v>
      </c>
      <c r="AG230" t="s">
        <v>114</v>
      </c>
      <c r="AK230" t="s">
        <v>132</v>
      </c>
      <c r="AM230" t="s">
        <v>132</v>
      </c>
      <c r="AN230" t="s">
        <v>114</v>
      </c>
      <c r="AQ230" t="s">
        <v>142</v>
      </c>
      <c r="AS230" s="11">
        <v>45974</v>
      </c>
      <c r="AU230" t="s">
        <v>114</v>
      </c>
      <c r="AV230" t="s">
        <v>134</v>
      </c>
      <c r="AW230" t="s">
        <v>152</v>
      </c>
      <c r="AY230" t="s">
        <v>135</v>
      </c>
      <c r="BB230" t="s">
        <v>114</v>
      </c>
      <c r="BC230" s="11">
        <v>45974</v>
      </c>
      <c r="BD230" t="s">
        <v>955</v>
      </c>
      <c r="BF230" t="s">
        <v>956</v>
      </c>
      <c r="BG230" t="s">
        <v>449</v>
      </c>
      <c r="BI230" s="11">
        <v>45982</v>
      </c>
      <c r="BJ230" t="str">
        <f t="shared" si="44"/>
        <v>S47_2025</v>
      </c>
      <c r="BK230" t="s">
        <v>137</v>
      </c>
      <c r="BL230" t="str">
        <f t="shared" si="45"/>
        <v>S46_2025</v>
      </c>
      <c r="BM230" t="s">
        <v>159</v>
      </c>
      <c r="BN230" s="11">
        <v>45982</v>
      </c>
      <c r="BO230" t="str">
        <f t="shared" si="41"/>
        <v>S47_2025</v>
      </c>
      <c r="BP230" t="s">
        <v>114</v>
      </c>
      <c r="BQ230" t="s">
        <v>450</v>
      </c>
      <c r="BR230" t="s">
        <v>142</v>
      </c>
      <c r="BU230" s="11">
        <v>45974</v>
      </c>
      <c r="BV230" t="s">
        <v>450</v>
      </c>
      <c r="BW230" s="11">
        <v>45982</v>
      </c>
      <c r="BX230" s="11" t="s">
        <v>134</v>
      </c>
      <c r="BY230" s="11"/>
      <c r="BZ230" s="11"/>
      <c r="CB230" s="11"/>
      <c r="CC230" s="11"/>
      <c r="CD230" s="11">
        <v>45974</v>
      </c>
      <c r="CE230" s="11">
        <v>45974</v>
      </c>
      <c r="CF230" t="s">
        <v>957</v>
      </c>
      <c r="CG230" s="11">
        <v>45982</v>
      </c>
      <c r="CH230" t="s">
        <v>134</v>
      </c>
      <c r="CI230" t="s">
        <v>134</v>
      </c>
      <c r="CJ230" t="s">
        <v>456</v>
      </c>
      <c r="CK230" t="s">
        <v>452</v>
      </c>
      <c r="CN230" t="s">
        <v>169</v>
      </c>
      <c r="CO230" t="str">
        <f t="shared" si="46"/>
        <v>POSITIFPOSITIF</v>
      </c>
      <c r="CP230" s="11">
        <v>45972</v>
      </c>
      <c r="CR230">
        <f t="shared" si="48"/>
        <v>0</v>
      </c>
      <c r="CS230">
        <f t="shared" si="49"/>
        <v>8</v>
      </c>
      <c r="CT230">
        <f t="shared" si="52"/>
        <v>13</v>
      </c>
      <c r="CU230">
        <f t="shared" si="50"/>
        <v>-1</v>
      </c>
      <c r="CV230">
        <f t="shared" si="51"/>
        <v>23</v>
      </c>
      <c r="CX230" s="11">
        <v>45959</v>
      </c>
      <c r="CY230" t="str">
        <f t="shared" si="47"/>
        <v>S44_2025</v>
      </c>
      <c r="DC230" t="s">
        <v>139</v>
      </c>
    </row>
    <row r="231" spans="1:107" x14ac:dyDescent="0.35">
      <c r="A231" t="s">
        <v>958</v>
      </c>
      <c r="B231" s="10" t="str">
        <f t="shared" si="42"/>
        <v>S47_2025</v>
      </c>
      <c r="C231" s="10" t="str">
        <f t="shared" si="43"/>
        <v/>
      </c>
      <c r="D231" s="11">
        <v>45981</v>
      </c>
      <c r="E231" t="s">
        <v>110</v>
      </c>
      <c r="G231" t="s">
        <v>110</v>
      </c>
      <c r="H231" t="s">
        <v>108</v>
      </c>
      <c r="J231" t="s">
        <v>142</v>
      </c>
      <c r="K231" s="12"/>
      <c r="L231" t="s">
        <v>637</v>
      </c>
      <c r="M231" t="s">
        <v>959</v>
      </c>
      <c r="N231" t="s">
        <v>110</v>
      </c>
      <c r="P231" t="s">
        <v>110</v>
      </c>
      <c r="Q231" t="s">
        <v>959</v>
      </c>
      <c r="BB231" t="s">
        <v>114</v>
      </c>
      <c r="BC231" s="11">
        <v>45981</v>
      </c>
      <c r="BF231" t="s">
        <v>959</v>
      </c>
      <c r="BJ231" t="str">
        <f t="shared" si="44"/>
        <v/>
      </c>
      <c r="BK231" t="s">
        <v>187</v>
      </c>
      <c r="BL231" t="str">
        <f t="shared" si="45"/>
        <v>S47_2025</v>
      </c>
      <c r="BM231" t="s">
        <v>159</v>
      </c>
      <c r="BO231" t="str">
        <f t="shared" si="41"/>
        <v/>
      </c>
      <c r="BS231" t="s">
        <v>132</v>
      </c>
      <c r="CI231" t="s">
        <v>119</v>
      </c>
      <c r="CO231" t="str">
        <f t="shared" si="46"/>
        <v>PAS INCLUS</v>
      </c>
      <c r="CP231" s="11">
        <v>45981</v>
      </c>
      <c r="CR231" t="str">
        <f t="shared" si="48"/>
        <v/>
      </c>
      <c r="CS231" t="str">
        <f t="shared" si="49"/>
        <v/>
      </c>
      <c r="CT231">
        <f t="shared" si="52"/>
        <v>0</v>
      </c>
      <c r="CV231" t="str">
        <f t="shared" si="51"/>
        <v/>
      </c>
      <c r="CX231" s="11">
        <v>45981</v>
      </c>
      <c r="CY231" t="str">
        <f t="shared" si="47"/>
        <v>S47_2025</v>
      </c>
      <c r="DB231" t="s">
        <v>114</v>
      </c>
      <c r="DC231" t="s">
        <v>160</v>
      </c>
    </row>
    <row r="232" spans="1:107" x14ac:dyDescent="0.35">
      <c r="A232" t="s">
        <v>960</v>
      </c>
      <c r="B232" s="10" t="str">
        <f t="shared" si="42"/>
        <v>S47_2025</v>
      </c>
      <c r="C232" s="10" t="str">
        <f t="shared" si="43"/>
        <v>S28_2025</v>
      </c>
      <c r="D232" s="11">
        <v>45982</v>
      </c>
      <c r="E232" t="s">
        <v>123</v>
      </c>
      <c r="F232" s="24">
        <v>29</v>
      </c>
      <c r="G232" t="s">
        <v>569</v>
      </c>
      <c r="H232" t="s">
        <v>108</v>
      </c>
      <c r="J232" t="s">
        <v>114</v>
      </c>
      <c r="K232" s="14">
        <v>45968</v>
      </c>
      <c r="L232" t="s">
        <v>126</v>
      </c>
      <c r="M232" t="s">
        <v>127</v>
      </c>
      <c r="N232" t="s">
        <v>202</v>
      </c>
      <c r="P232" t="s">
        <v>110</v>
      </c>
      <c r="Q232" t="s">
        <v>158</v>
      </c>
      <c r="R232" s="11">
        <v>45846</v>
      </c>
      <c r="S232" s="11">
        <v>45970</v>
      </c>
      <c r="T232" s="11">
        <v>45846</v>
      </c>
      <c r="AE232" t="s">
        <v>114</v>
      </c>
      <c r="AS232" s="11">
        <v>45975</v>
      </c>
      <c r="AU232" t="s">
        <v>114</v>
      </c>
      <c r="AV232" s="23" t="s">
        <v>115</v>
      </c>
      <c r="BB232" t="s">
        <v>114</v>
      </c>
      <c r="BC232" s="11">
        <v>45975</v>
      </c>
      <c r="BD232" t="s">
        <v>243</v>
      </c>
      <c r="BF232" t="s">
        <v>961</v>
      </c>
      <c r="BG232" t="s">
        <v>449</v>
      </c>
      <c r="BI232" s="11"/>
      <c r="BJ232" t="str">
        <f t="shared" si="44"/>
        <v/>
      </c>
      <c r="BK232" t="s">
        <v>137</v>
      </c>
      <c r="BL232" t="str">
        <f t="shared" si="45"/>
        <v>S46_2025</v>
      </c>
      <c r="BM232" t="s">
        <v>159</v>
      </c>
      <c r="BN232" s="11">
        <v>45982</v>
      </c>
      <c r="BO232" t="str">
        <f t="shared" si="41"/>
        <v>S47_2025</v>
      </c>
      <c r="BP232" t="s">
        <v>114</v>
      </c>
      <c r="BQ232" t="s">
        <v>450</v>
      </c>
      <c r="BU232" s="11">
        <v>45975</v>
      </c>
      <c r="BV232" t="s">
        <v>450</v>
      </c>
      <c r="BW232" s="11">
        <v>45982</v>
      </c>
      <c r="BX232" s="11"/>
      <c r="BY232" s="11"/>
      <c r="BZ232" s="11"/>
      <c r="CB232" s="11"/>
      <c r="CC232" s="11"/>
      <c r="CD232" s="11">
        <v>45975</v>
      </c>
      <c r="CE232" s="11">
        <v>45975</v>
      </c>
      <c r="CF232" t="s">
        <v>957</v>
      </c>
      <c r="CG232" s="11">
        <v>45982</v>
      </c>
      <c r="CH232" t="s">
        <v>115</v>
      </c>
      <c r="CI232" t="s">
        <v>119</v>
      </c>
      <c r="CO232" t="str">
        <f t="shared" si="46"/>
        <v>NEGATIFPAS INCLUS</v>
      </c>
      <c r="CP232" s="11">
        <v>45975</v>
      </c>
      <c r="CR232">
        <f t="shared" si="48"/>
        <v>0</v>
      </c>
      <c r="CS232">
        <f t="shared" si="49"/>
        <v>7</v>
      </c>
      <c r="CU232">
        <f t="shared" si="50"/>
        <v>7</v>
      </c>
      <c r="CV232" t="str">
        <f t="shared" si="51"/>
        <v/>
      </c>
      <c r="CX232" s="11">
        <v>45846</v>
      </c>
      <c r="CY232" t="str">
        <f t="shared" si="47"/>
        <v>S28_2025</v>
      </c>
      <c r="DC232" t="s">
        <v>120</v>
      </c>
    </row>
    <row r="233" spans="1:107" x14ac:dyDescent="0.35">
      <c r="A233" t="s">
        <v>962</v>
      </c>
      <c r="B233" s="10" t="str">
        <f t="shared" si="42"/>
        <v>S48_2025</v>
      </c>
      <c r="C233" s="10" t="str">
        <f t="shared" si="43"/>
        <v>S46_2025</v>
      </c>
      <c r="D233" s="11">
        <v>45986</v>
      </c>
      <c r="E233" t="s">
        <v>123</v>
      </c>
      <c r="F233" s="24">
        <v>15</v>
      </c>
      <c r="G233" t="s">
        <v>107</v>
      </c>
      <c r="H233" t="s">
        <v>108</v>
      </c>
      <c r="J233" t="s">
        <v>132</v>
      </c>
      <c r="K233" s="12"/>
      <c r="L233" t="s">
        <v>126</v>
      </c>
      <c r="M233" t="s">
        <v>853</v>
      </c>
      <c r="N233" t="s">
        <v>963</v>
      </c>
      <c r="O233" t="s">
        <v>184</v>
      </c>
      <c r="P233" t="s">
        <v>964</v>
      </c>
      <c r="Q233" t="s">
        <v>853</v>
      </c>
      <c r="R233" s="11">
        <v>45976</v>
      </c>
      <c r="S233" s="11">
        <v>45976</v>
      </c>
      <c r="T233" s="11">
        <v>45977</v>
      </c>
      <c r="W233" t="s">
        <v>114</v>
      </c>
      <c r="X233" t="s">
        <v>114</v>
      </c>
      <c r="AB233" t="s">
        <v>114</v>
      </c>
      <c r="AE233" t="s">
        <v>114</v>
      </c>
      <c r="AG233" t="s">
        <v>114</v>
      </c>
      <c r="AK233" t="s">
        <v>132</v>
      </c>
      <c r="AM233" t="s">
        <v>132</v>
      </c>
      <c r="AN233" t="s">
        <v>132</v>
      </c>
      <c r="AQ233" t="s">
        <v>132</v>
      </c>
      <c r="AS233" s="11">
        <v>45980</v>
      </c>
      <c r="AU233" t="s">
        <v>114</v>
      </c>
      <c r="AV233" t="s">
        <v>115</v>
      </c>
      <c r="BB233" t="s">
        <v>114</v>
      </c>
      <c r="BC233" s="11">
        <v>45980</v>
      </c>
      <c r="BD233" t="s">
        <v>261</v>
      </c>
      <c r="BF233" t="s">
        <v>965</v>
      </c>
      <c r="BG233" t="s">
        <v>449</v>
      </c>
      <c r="BI233" s="11"/>
      <c r="BJ233" t="str">
        <f t="shared" si="44"/>
        <v/>
      </c>
      <c r="BK233" t="s">
        <v>137</v>
      </c>
      <c r="BL233" t="str">
        <f t="shared" si="45"/>
        <v>S47_2025</v>
      </c>
      <c r="BM233" t="s">
        <v>159</v>
      </c>
      <c r="BN233" s="11">
        <v>45982</v>
      </c>
      <c r="BO233" t="str">
        <f t="shared" si="41"/>
        <v>S47_2025</v>
      </c>
      <c r="BP233" t="s">
        <v>114</v>
      </c>
      <c r="BQ233" t="s">
        <v>450</v>
      </c>
      <c r="BU233" s="11">
        <v>45979</v>
      </c>
      <c r="BV233" t="s">
        <v>450</v>
      </c>
      <c r="BW233" s="11">
        <v>45982</v>
      </c>
      <c r="BX233" s="11"/>
      <c r="BY233" s="11"/>
      <c r="BZ233" s="11"/>
      <c r="CB233" s="11"/>
      <c r="CC233" s="11"/>
      <c r="CD233" s="11"/>
      <c r="CE233" s="11"/>
      <c r="CG233" s="11"/>
      <c r="CI233" t="s">
        <v>119</v>
      </c>
      <c r="CO233" t="str">
        <f t="shared" si="46"/>
        <v>NEGATIFPAS INCLUS</v>
      </c>
      <c r="CP233" s="11">
        <v>45980</v>
      </c>
      <c r="CR233">
        <f t="shared" si="48"/>
        <v>0</v>
      </c>
      <c r="CS233">
        <f t="shared" si="49"/>
        <v>2</v>
      </c>
      <c r="CT233">
        <f>CP233-CX233</f>
        <v>4</v>
      </c>
      <c r="CU233" t="str">
        <f t="shared" si="50"/>
        <v/>
      </c>
      <c r="CV233" t="str">
        <f t="shared" si="51"/>
        <v/>
      </c>
      <c r="CX233" s="11">
        <v>45976</v>
      </c>
      <c r="CY233" t="str">
        <f t="shared" si="47"/>
        <v>S46_2025</v>
      </c>
      <c r="DC233" t="s">
        <v>120</v>
      </c>
    </row>
    <row r="234" spans="1:107" x14ac:dyDescent="0.35">
      <c r="A234" t="s">
        <v>966</v>
      </c>
      <c r="B234" s="10" t="str">
        <f t="shared" si="42"/>
        <v>S48_2025</v>
      </c>
      <c r="C234" s="10" t="str">
        <f t="shared" si="43"/>
        <v>S47_2025</v>
      </c>
      <c r="D234" s="11">
        <v>45987</v>
      </c>
      <c r="E234" t="s">
        <v>123</v>
      </c>
      <c r="F234" s="24">
        <v>6</v>
      </c>
      <c r="G234" t="s">
        <v>107</v>
      </c>
      <c r="H234" t="s">
        <v>108</v>
      </c>
      <c r="J234" t="s">
        <v>114</v>
      </c>
      <c r="K234" s="12" t="s">
        <v>110</v>
      </c>
      <c r="L234" t="s">
        <v>163</v>
      </c>
      <c r="M234" t="s">
        <v>776</v>
      </c>
      <c r="N234" t="s">
        <v>967</v>
      </c>
      <c r="O234" t="s">
        <v>110</v>
      </c>
      <c r="P234" t="s">
        <v>110</v>
      </c>
      <c r="Q234" t="s">
        <v>776</v>
      </c>
      <c r="R234" s="11">
        <v>45982</v>
      </c>
      <c r="S234" s="11">
        <v>45982</v>
      </c>
      <c r="T234" s="11">
        <v>45982</v>
      </c>
      <c r="W234" t="s">
        <v>114</v>
      </c>
      <c r="X234" t="s">
        <v>114</v>
      </c>
      <c r="Y234" t="s">
        <v>114</v>
      </c>
      <c r="AE234" t="s">
        <v>114</v>
      </c>
      <c r="AK234" t="s">
        <v>142</v>
      </c>
      <c r="AM234" t="s">
        <v>142</v>
      </c>
      <c r="AN234" t="s">
        <v>142</v>
      </c>
      <c r="BB234" t="s">
        <v>114</v>
      </c>
      <c r="BC234" s="11">
        <v>45986</v>
      </c>
      <c r="BD234" t="s">
        <v>261</v>
      </c>
      <c r="BF234" t="s">
        <v>967</v>
      </c>
      <c r="BJ234" t="str">
        <f t="shared" si="44"/>
        <v/>
      </c>
      <c r="BK234" t="s">
        <v>170</v>
      </c>
      <c r="BL234" t="str">
        <f t="shared" si="45"/>
        <v>S48_2025</v>
      </c>
      <c r="BM234" t="s">
        <v>159</v>
      </c>
      <c r="BO234" t="str">
        <f t="shared" si="41"/>
        <v/>
      </c>
      <c r="CI234" t="s">
        <v>119</v>
      </c>
      <c r="CO234" t="str">
        <f t="shared" si="46"/>
        <v>PAS INCLUS</v>
      </c>
      <c r="CP234" s="11">
        <v>45986</v>
      </c>
      <c r="CR234" t="str">
        <f t="shared" si="48"/>
        <v/>
      </c>
      <c r="CS234" t="str">
        <f t="shared" si="49"/>
        <v/>
      </c>
      <c r="CT234">
        <f>CP234-CX234</f>
        <v>4</v>
      </c>
      <c r="CV234" t="str">
        <f t="shared" si="51"/>
        <v/>
      </c>
      <c r="CX234" s="11">
        <v>45982</v>
      </c>
      <c r="CY234" t="str">
        <f t="shared" si="47"/>
        <v>S47_2025</v>
      </c>
      <c r="DB234" t="s">
        <v>114</v>
      </c>
      <c r="DC234" t="s">
        <v>160</v>
      </c>
    </row>
    <row r="235" spans="1:107" x14ac:dyDescent="0.35">
      <c r="A235" t="s">
        <v>968</v>
      </c>
      <c r="B235" s="10" t="str">
        <f t="shared" si="42"/>
        <v>S50_2025</v>
      </c>
      <c r="C235" s="10" t="str">
        <f t="shared" si="43"/>
        <v>S31_2025</v>
      </c>
      <c r="D235" s="11">
        <v>45999</v>
      </c>
      <c r="E235" t="s">
        <v>123</v>
      </c>
      <c r="F235" s="24">
        <v>15</v>
      </c>
      <c r="G235" t="s">
        <v>107</v>
      </c>
      <c r="H235" t="s">
        <v>108</v>
      </c>
      <c r="J235" t="s">
        <v>132</v>
      </c>
      <c r="K235" s="12"/>
      <c r="L235" t="s">
        <v>126</v>
      </c>
      <c r="M235" t="s">
        <v>357</v>
      </c>
      <c r="N235" t="s">
        <v>357</v>
      </c>
      <c r="O235" t="s">
        <v>184</v>
      </c>
      <c r="P235" t="s">
        <v>110</v>
      </c>
      <c r="Q235" t="s">
        <v>357</v>
      </c>
      <c r="R235" s="11">
        <v>45870</v>
      </c>
      <c r="S235" s="11">
        <v>45870</v>
      </c>
      <c r="T235" s="11">
        <v>45870</v>
      </c>
      <c r="V235" t="s">
        <v>114</v>
      </c>
      <c r="W235" t="s">
        <v>114</v>
      </c>
      <c r="AG235" t="s">
        <v>114</v>
      </c>
      <c r="AK235" t="s">
        <v>114</v>
      </c>
      <c r="AM235" t="s">
        <v>132</v>
      </c>
      <c r="AN235" t="s">
        <v>132</v>
      </c>
      <c r="AQ235" t="s">
        <v>132</v>
      </c>
      <c r="AS235" s="11">
        <v>45999</v>
      </c>
      <c r="AU235" t="s">
        <v>114</v>
      </c>
      <c r="AV235" t="s">
        <v>115</v>
      </c>
      <c r="BB235" t="s">
        <v>114</v>
      </c>
      <c r="BC235" s="11">
        <v>45999</v>
      </c>
      <c r="BD235" t="s">
        <v>969</v>
      </c>
      <c r="BF235" t="s">
        <v>970</v>
      </c>
      <c r="BI235" s="11"/>
      <c r="BJ235" t="str">
        <f t="shared" si="44"/>
        <v/>
      </c>
      <c r="BK235" t="s">
        <v>137</v>
      </c>
      <c r="BL235" t="str">
        <f t="shared" si="45"/>
        <v>S50_2025</v>
      </c>
      <c r="BM235" t="s">
        <v>159</v>
      </c>
      <c r="BN235" s="11">
        <v>46000</v>
      </c>
      <c r="BO235" t="str">
        <f t="shared" si="41"/>
        <v>S50_2025</v>
      </c>
      <c r="BP235" t="s">
        <v>114</v>
      </c>
      <c r="BQ235" t="s">
        <v>971</v>
      </c>
      <c r="BU235" s="11"/>
      <c r="BW235" s="11"/>
      <c r="BX235" s="11"/>
      <c r="BY235" s="11"/>
      <c r="BZ235" s="11"/>
      <c r="CB235" s="11"/>
      <c r="CC235" s="11"/>
      <c r="CD235" s="11"/>
      <c r="CE235" s="11">
        <v>45999</v>
      </c>
      <c r="CF235" t="s">
        <v>957</v>
      </c>
      <c r="CG235" s="11">
        <v>46000</v>
      </c>
      <c r="CH235" t="s">
        <v>115</v>
      </c>
      <c r="CI235" t="s">
        <v>119</v>
      </c>
      <c r="CO235" t="str">
        <f t="shared" si="46"/>
        <v>NEGATIFPAS INCLUS</v>
      </c>
      <c r="CP235" s="11">
        <v>45999</v>
      </c>
      <c r="CR235">
        <f t="shared" si="48"/>
        <v>0</v>
      </c>
      <c r="CS235">
        <f t="shared" si="49"/>
        <v>1</v>
      </c>
      <c r="CU235" t="str">
        <f t="shared" si="50"/>
        <v/>
      </c>
      <c r="CV235" t="str">
        <f t="shared" si="51"/>
        <v/>
      </c>
      <c r="CX235" s="11">
        <v>45870</v>
      </c>
      <c r="CY235" t="str">
        <f t="shared" si="47"/>
        <v>S31_2025</v>
      </c>
      <c r="DC235" t="s">
        <v>120</v>
      </c>
    </row>
    <row r="236" spans="1:107" x14ac:dyDescent="0.35">
      <c r="A236" t="s">
        <v>972</v>
      </c>
      <c r="B236" s="10" t="str">
        <f t="shared" si="42"/>
        <v>S50_2025</v>
      </c>
      <c r="C236" s="10" t="str">
        <f t="shared" si="43"/>
        <v>S49_2025</v>
      </c>
      <c r="D236" s="11">
        <v>45999</v>
      </c>
      <c r="E236" t="s">
        <v>123</v>
      </c>
      <c r="F236" s="24">
        <v>49</v>
      </c>
      <c r="G236" t="s">
        <v>882</v>
      </c>
      <c r="H236" t="s">
        <v>108</v>
      </c>
      <c r="J236" t="s">
        <v>132</v>
      </c>
      <c r="K236" s="12"/>
      <c r="L236" t="s">
        <v>126</v>
      </c>
      <c r="M236" t="s">
        <v>127</v>
      </c>
      <c r="N236" t="s">
        <v>202</v>
      </c>
      <c r="O236" t="s">
        <v>184</v>
      </c>
      <c r="P236" t="s">
        <v>110</v>
      </c>
      <c r="Q236" t="s">
        <v>973</v>
      </c>
      <c r="R236" s="11">
        <v>45993</v>
      </c>
      <c r="S236" s="11">
        <v>45993</v>
      </c>
      <c r="T236" s="11">
        <v>45996</v>
      </c>
      <c r="V236" t="s">
        <v>114</v>
      </c>
      <c r="AE236" t="s">
        <v>114</v>
      </c>
      <c r="AG236" t="s">
        <v>132</v>
      </c>
      <c r="AK236" t="s">
        <v>132</v>
      </c>
      <c r="AM236" t="s">
        <v>132</v>
      </c>
      <c r="AN236" t="s">
        <v>132</v>
      </c>
      <c r="AQ236" t="s">
        <v>132</v>
      </c>
      <c r="AS236" s="11">
        <v>45999</v>
      </c>
      <c r="AU236" t="s">
        <v>114</v>
      </c>
      <c r="AV236" t="s">
        <v>134</v>
      </c>
      <c r="AW236" t="s">
        <v>152</v>
      </c>
      <c r="AY236" t="s">
        <v>135</v>
      </c>
      <c r="BB236" t="s">
        <v>114</v>
      </c>
      <c r="BC236" s="11">
        <v>45999</v>
      </c>
      <c r="BD236" t="s">
        <v>969</v>
      </c>
      <c r="BF236" t="s">
        <v>974</v>
      </c>
      <c r="BG236" t="s">
        <v>449</v>
      </c>
      <c r="BI236" s="11">
        <v>46000</v>
      </c>
      <c r="BJ236" t="str">
        <f t="shared" si="44"/>
        <v>S50_2025</v>
      </c>
      <c r="BK236" t="s">
        <v>137</v>
      </c>
      <c r="BL236" t="str">
        <f t="shared" si="45"/>
        <v>S50_2025</v>
      </c>
      <c r="BM236" t="s">
        <v>159</v>
      </c>
      <c r="BN236" s="11">
        <v>46000</v>
      </c>
      <c r="BO236" t="str">
        <f t="shared" si="41"/>
        <v>S50_2025</v>
      </c>
      <c r="BP236" t="s">
        <v>114</v>
      </c>
      <c r="BQ236" t="s">
        <v>450</v>
      </c>
      <c r="BR236" t="s">
        <v>142</v>
      </c>
      <c r="BU236" s="11">
        <v>45999</v>
      </c>
      <c r="BV236" t="s">
        <v>450</v>
      </c>
      <c r="BW236" s="11">
        <v>46000</v>
      </c>
      <c r="BX236" s="11" t="s">
        <v>134</v>
      </c>
      <c r="BY236" s="11"/>
      <c r="BZ236" s="11"/>
      <c r="CB236" s="11"/>
      <c r="CC236" s="11"/>
      <c r="CD236" s="11"/>
      <c r="CE236" s="11">
        <v>45999</v>
      </c>
      <c r="CF236" t="s">
        <v>957</v>
      </c>
      <c r="CG236" s="11">
        <v>46000</v>
      </c>
      <c r="CH236" t="s">
        <v>134</v>
      </c>
      <c r="CI236" t="s">
        <v>134</v>
      </c>
      <c r="CJ236" t="s">
        <v>456</v>
      </c>
      <c r="CK236" t="s">
        <v>457</v>
      </c>
      <c r="CN236" t="s">
        <v>243</v>
      </c>
      <c r="CO236" t="str">
        <f t="shared" si="46"/>
        <v>POSITIFPOSITIF</v>
      </c>
      <c r="CP236" s="11">
        <v>45999</v>
      </c>
      <c r="CR236">
        <f t="shared" si="48"/>
        <v>0</v>
      </c>
      <c r="CS236">
        <f t="shared" si="49"/>
        <v>1</v>
      </c>
      <c r="CT236">
        <f t="shared" ref="CT236:CT299" si="53">CP236-CX236</f>
        <v>6</v>
      </c>
      <c r="CU236" t="str">
        <f t="shared" si="50"/>
        <v/>
      </c>
      <c r="CV236">
        <f t="shared" si="51"/>
        <v>7</v>
      </c>
      <c r="CX236" s="11">
        <v>45993</v>
      </c>
      <c r="CY236" t="str">
        <f t="shared" si="47"/>
        <v>S49_2025</v>
      </c>
      <c r="DC236" t="s">
        <v>139</v>
      </c>
    </row>
    <row r="237" spans="1:107" x14ac:dyDescent="0.35">
      <c r="A237" t="s">
        <v>975</v>
      </c>
      <c r="B237" s="10" t="str">
        <f t="shared" si="42"/>
        <v>S52_2025</v>
      </c>
      <c r="C237" s="10" t="str">
        <f t="shared" si="43"/>
        <v>S51_2025</v>
      </c>
      <c r="D237" s="11">
        <v>46014</v>
      </c>
      <c r="E237" t="s">
        <v>123</v>
      </c>
      <c r="F237" s="24">
        <v>28</v>
      </c>
      <c r="G237" t="s">
        <v>976</v>
      </c>
      <c r="H237" t="s">
        <v>108</v>
      </c>
      <c r="J237" t="s">
        <v>132</v>
      </c>
      <c r="K237" s="12"/>
      <c r="L237" t="s">
        <v>126</v>
      </c>
      <c r="M237" t="s">
        <v>146</v>
      </c>
      <c r="N237" t="s">
        <v>147</v>
      </c>
      <c r="O237" t="s">
        <v>184</v>
      </c>
      <c r="P237" t="s">
        <v>110</v>
      </c>
      <c r="Q237" t="s">
        <v>977</v>
      </c>
      <c r="R237" s="11">
        <v>46009</v>
      </c>
      <c r="S237" s="11">
        <v>46011</v>
      </c>
      <c r="T237" s="11">
        <v>46009</v>
      </c>
      <c r="V237" t="s">
        <v>114</v>
      </c>
      <c r="AA237" t="s">
        <v>114</v>
      </c>
      <c r="AE237" t="s">
        <v>114</v>
      </c>
      <c r="AG237" t="s">
        <v>114</v>
      </c>
      <c r="AN237" t="s">
        <v>114</v>
      </c>
      <c r="AQ237" t="s">
        <v>132</v>
      </c>
      <c r="AS237" s="11">
        <v>46014</v>
      </c>
      <c r="AU237" t="s">
        <v>114</v>
      </c>
      <c r="AV237" t="s">
        <v>134</v>
      </c>
      <c r="AW237" t="s">
        <v>152</v>
      </c>
      <c r="AY237" t="s">
        <v>135</v>
      </c>
      <c r="BB237" t="s">
        <v>114</v>
      </c>
      <c r="BC237" s="11">
        <v>46014</v>
      </c>
      <c r="BD237" t="s">
        <v>969</v>
      </c>
      <c r="BF237" t="s">
        <v>978</v>
      </c>
      <c r="BG237" t="s">
        <v>449</v>
      </c>
      <c r="BI237" s="11">
        <v>46019</v>
      </c>
      <c r="BJ237" t="str">
        <f t="shared" si="44"/>
        <v>S52_2025</v>
      </c>
      <c r="BK237" t="s">
        <v>137</v>
      </c>
      <c r="BL237" t="str">
        <f t="shared" si="45"/>
        <v>S52_2025</v>
      </c>
      <c r="BM237" t="s">
        <v>159</v>
      </c>
      <c r="BN237" s="11">
        <v>46015</v>
      </c>
      <c r="BO237" t="str">
        <f t="shared" si="41"/>
        <v>S52_2025</v>
      </c>
      <c r="BP237" t="s">
        <v>114</v>
      </c>
      <c r="BQ237" t="s">
        <v>450</v>
      </c>
      <c r="BR237" t="s">
        <v>451</v>
      </c>
      <c r="BU237" s="11">
        <v>46014</v>
      </c>
      <c r="BV237" t="s">
        <v>450</v>
      </c>
      <c r="BW237" s="11">
        <v>46015</v>
      </c>
      <c r="BX237" s="11" t="s">
        <v>134</v>
      </c>
      <c r="BY237" s="11">
        <v>45989</v>
      </c>
      <c r="BZ237" s="11">
        <v>46029</v>
      </c>
      <c r="CA237" t="s">
        <v>118</v>
      </c>
      <c r="CB237" s="11">
        <v>46034</v>
      </c>
      <c r="CC237" s="11" t="s">
        <v>134</v>
      </c>
      <c r="CD237" s="11"/>
      <c r="CE237" s="11">
        <v>46014</v>
      </c>
      <c r="CF237" t="s">
        <v>957</v>
      </c>
      <c r="CG237" s="11">
        <v>46015</v>
      </c>
      <c r="CH237" t="s">
        <v>134</v>
      </c>
      <c r="CI237" t="s">
        <v>134</v>
      </c>
      <c r="CJ237" t="s">
        <v>456</v>
      </c>
      <c r="CK237" t="s">
        <v>457</v>
      </c>
      <c r="CN237" t="s">
        <v>243</v>
      </c>
      <c r="CO237" t="str">
        <f t="shared" si="46"/>
        <v>POSITIFPOSITIF</v>
      </c>
      <c r="CP237" s="11">
        <v>46014</v>
      </c>
      <c r="CR237">
        <f t="shared" si="48"/>
        <v>0</v>
      </c>
      <c r="CS237">
        <f t="shared" si="49"/>
        <v>1</v>
      </c>
      <c r="CT237">
        <f t="shared" si="53"/>
        <v>5</v>
      </c>
      <c r="CU237" t="str">
        <f t="shared" si="50"/>
        <v/>
      </c>
      <c r="CV237">
        <f t="shared" si="51"/>
        <v>10</v>
      </c>
      <c r="CX237" s="11">
        <v>46009</v>
      </c>
      <c r="CY237" t="str">
        <f t="shared" si="47"/>
        <v>S51_2025</v>
      </c>
      <c r="DC237" t="s">
        <v>139</v>
      </c>
    </row>
    <row r="238" spans="1:107" x14ac:dyDescent="0.35">
      <c r="A238" t="s">
        <v>979</v>
      </c>
      <c r="B238" s="10" t="str">
        <f t="shared" si="42"/>
        <v>S52_2025</v>
      </c>
      <c r="C238" s="10" t="str">
        <f t="shared" si="43"/>
        <v>S51_2025</v>
      </c>
      <c r="D238" s="11">
        <v>46017</v>
      </c>
      <c r="E238" t="s">
        <v>106</v>
      </c>
      <c r="F238" s="24">
        <v>27</v>
      </c>
      <c r="G238" t="s">
        <v>301</v>
      </c>
      <c r="H238" t="s">
        <v>108</v>
      </c>
      <c r="J238" t="s">
        <v>114</v>
      </c>
      <c r="K238" s="14">
        <v>46017</v>
      </c>
      <c r="L238" t="s">
        <v>126</v>
      </c>
      <c r="M238" t="s">
        <v>977</v>
      </c>
      <c r="N238" t="s">
        <v>978</v>
      </c>
      <c r="P238" t="s">
        <v>980</v>
      </c>
      <c r="Q238" t="s">
        <v>977</v>
      </c>
      <c r="R238" s="11">
        <v>46010</v>
      </c>
      <c r="S238" s="11">
        <v>46010</v>
      </c>
      <c r="T238" s="11">
        <v>46010</v>
      </c>
      <c r="W238" t="s">
        <v>114</v>
      </c>
      <c r="AA238" t="s">
        <v>114</v>
      </c>
      <c r="AE238" t="s">
        <v>114</v>
      </c>
      <c r="AK238" t="s">
        <v>132</v>
      </c>
      <c r="AM238" t="s">
        <v>114</v>
      </c>
      <c r="AN238" t="s">
        <v>114</v>
      </c>
      <c r="AQ238" t="s">
        <v>132</v>
      </c>
      <c r="AS238" s="11">
        <v>46021</v>
      </c>
      <c r="AU238" t="s">
        <v>114</v>
      </c>
      <c r="AV238" t="s">
        <v>134</v>
      </c>
      <c r="AW238" t="s">
        <v>152</v>
      </c>
      <c r="AY238" t="s">
        <v>135</v>
      </c>
      <c r="BB238" t="s">
        <v>114</v>
      </c>
      <c r="BC238" s="11">
        <v>46017</v>
      </c>
      <c r="BD238" t="s">
        <v>981</v>
      </c>
      <c r="BF238" t="s">
        <v>978</v>
      </c>
      <c r="BG238" t="s">
        <v>449</v>
      </c>
      <c r="BI238" s="11">
        <v>46019</v>
      </c>
      <c r="BJ238" t="str">
        <f t="shared" si="44"/>
        <v>S52_2025</v>
      </c>
      <c r="BK238" t="s">
        <v>137</v>
      </c>
      <c r="BL238" t="str">
        <f t="shared" si="45"/>
        <v>S52_2025</v>
      </c>
      <c r="BM238" t="s">
        <v>159</v>
      </c>
      <c r="BN238" s="11">
        <v>46021</v>
      </c>
      <c r="BO238" t="str">
        <f t="shared" si="41"/>
        <v>S1_2026</v>
      </c>
      <c r="BP238" t="s">
        <v>114</v>
      </c>
      <c r="BQ238" t="s">
        <v>450</v>
      </c>
      <c r="BR238" t="s">
        <v>451</v>
      </c>
      <c r="BU238" s="11">
        <v>46021</v>
      </c>
      <c r="BV238" t="s">
        <v>450</v>
      </c>
      <c r="BW238" s="11">
        <v>46021</v>
      </c>
      <c r="BX238" s="11" t="s">
        <v>134</v>
      </c>
      <c r="BY238" s="11"/>
      <c r="BZ238" s="11"/>
      <c r="CB238" s="11"/>
      <c r="CC238" s="11"/>
      <c r="CD238" s="11"/>
      <c r="CE238" s="11"/>
      <c r="CG238" s="11"/>
      <c r="CI238" t="s">
        <v>134</v>
      </c>
      <c r="CJ238" t="s">
        <v>456</v>
      </c>
      <c r="CK238" t="s">
        <v>457</v>
      </c>
      <c r="CN238" t="s">
        <v>458</v>
      </c>
      <c r="CO238" t="str">
        <f t="shared" si="46"/>
        <v>POSITIFPOSITIF</v>
      </c>
      <c r="CP238" s="11">
        <v>46017</v>
      </c>
      <c r="CR238">
        <f t="shared" si="48"/>
        <v>4</v>
      </c>
      <c r="CS238">
        <f t="shared" si="49"/>
        <v>0</v>
      </c>
      <c r="CT238">
        <f t="shared" si="53"/>
        <v>7</v>
      </c>
      <c r="CU238">
        <f t="shared" si="50"/>
        <v>0</v>
      </c>
      <c r="CV238">
        <f t="shared" si="51"/>
        <v>9</v>
      </c>
      <c r="CX238" s="11">
        <v>46010</v>
      </c>
      <c r="CY238" t="str">
        <f t="shared" si="47"/>
        <v>S51_2025</v>
      </c>
      <c r="DC238" t="s">
        <v>139</v>
      </c>
    </row>
    <row r="239" spans="1:107" x14ac:dyDescent="0.35">
      <c r="A239" t="s">
        <v>982</v>
      </c>
      <c r="B239" s="10" t="str">
        <f t="shared" si="42"/>
        <v>S52_2025</v>
      </c>
      <c r="C239" s="10" t="str">
        <f t="shared" si="43"/>
        <v>S52_2025</v>
      </c>
      <c r="D239" s="11">
        <v>46019</v>
      </c>
      <c r="E239" t="s">
        <v>123</v>
      </c>
      <c r="F239" s="24">
        <v>56</v>
      </c>
      <c r="G239" t="s">
        <v>983</v>
      </c>
      <c r="H239" t="s">
        <v>108</v>
      </c>
      <c r="J239" t="s">
        <v>132</v>
      </c>
      <c r="K239" s="12"/>
      <c r="L239" t="s">
        <v>126</v>
      </c>
      <c r="M239" t="s">
        <v>977</v>
      </c>
      <c r="N239" t="s">
        <v>978</v>
      </c>
      <c r="O239" t="s">
        <v>184</v>
      </c>
      <c r="P239" t="s">
        <v>980</v>
      </c>
      <c r="Q239" t="s">
        <v>977</v>
      </c>
      <c r="R239" s="11">
        <v>46015</v>
      </c>
      <c r="S239" s="11">
        <v>46015</v>
      </c>
      <c r="T239" s="11">
        <v>46015</v>
      </c>
      <c r="X239" t="s">
        <v>114</v>
      </c>
      <c r="AE239" t="s">
        <v>114</v>
      </c>
      <c r="AJ239" t="s">
        <v>984</v>
      </c>
      <c r="AK239" t="s">
        <v>132</v>
      </c>
      <c r="AM239" t="s">
        <v>114</v>
      </c>
      <c r="AN239" t="s">
        <v>132</v>
      </c>
      <c r="AS239" s="11">
        <v>46021</v>
      </c>
      <c r="AU239" t="s">
        <v>114</v>
      </c>
      <c r="AV239" t="s">
        <v>115</v>
      </c>
      <c r="BB239" t="s">
        <v>114</v>
      </c>
      <c r="BC239" s="11">
        <v>46019</v>
      </c>
      <c r="BD239" t="s">
        <v>169</v>
      </c>
      <c r="BF239" t="s">
        <v>978</v>
      </c>
      <c r="BG239" t="s">
        <v>449</v>
      </c>
      <c r="BJ239" t="str">
        <f t="shared" si="44"/>
        <v/>
      </c>
      <c r="BK239" t="s">
        <v>137</v>
      </c>
      <c r="BL239" t="str">
        <f t="shared" si="45"/>
        <v>S52_2025</v>
      </c>
      <c r="BM239" t="s">
        <v>159</v>
      </c>
      <c r="BN239" s="11">
        <v>46021</v>
      </c>
      <c r="BO239" t="str">
        <f t="shared" si="41"/>
        <v>S1_2026</v>
      </c>
      <c r="BP239" t="s">
        <v>114</v>
      </c>
      <c r="BQ239" t="s">
        <v>450</v>
      </c>
      <c r="BU239" s="11">
        <v>46021</v>
      </c>
      <c r="BV239" t="s">
        <v>450</v>
      </c>
      <c r="BW239" s="11">
        <v>46021</v>
      </c>
      <c r="BX239" s="11" t="s">
        <v>115</v>
      </c>
      <c r="BY239" s="11"/>
      <c r="BZ239" s="11"/>
      <c r="CB239" s="11"/>
      <c r="CC239" s="11"/>
      <c r="CD239" s="11"/>
      <c r="CE239" s="11"/>
      <c r="CG239" s="11"/>
      <c r="CI239" t="s">
        <v>119</v>
      </c>
      <c r="CO239" t="str">
        <f t="shared" si="46"/>
        <v>NEGATIFPAS INCLUS</v>
      </c>
      <c r="CP239" s="11">
        <v>46019</v>
      </c>
      <c r="CR239">
        <f t="shared" si="48"/>
        <v>2</v>
      </c>
      <c r="CS239">
        <f t="shared" si="49"/>
        <v>0</v>
      </c>
      <c r="CT239">
        <f t="shared" si="53"/>
        <v>4</v>
      </c>
      <c r="CU239" t="str">
        <f t="shared" si="50"/>
        <v/>
      </c>
      <c r="CV239" t="str">
        <f t="shared" si="51"/>
        <v/>
      </c>
      <c r="CX239" s="11">
        <v>46015</v>
      </c>
      <c r="CY239" t="str">
        <f t="shared" si="47"/>
        <v>S52_2025</v>
      </c>
      <c r="CZ239" t="s">
        <v>114</v>
      </c>
      <c r="DA239" t="s">
        <v>985</v>
      </c>
      <c r="DC239" t="s">
        <v>986</v>
      </c>
    </row>
    <row r="240" spans="1:107" x14ac:dyDescent="0.35">
      <c r="A240" t="s">
        <v>987</v>
      </c>
      <c r="B240" s="10" t="str">
        <f t="shared" si="42"/>
        <v>S1_2026</v>
      </c>
      <c r="C240" s="10" t="str">
        <f t="shared" si="43"/>
        <v>S48_2025</v>
      </c>
      <c r="D240" s="11">
        <v>46024</v>
      </c>
      <c r="E240" t="s">
        <v>123</v>
      </c>
      <c r="F240" s="24">
        <v>0.5</v>
      </c>
      <c r="G240" t="s">
        <v>141</v>
      </c>
      <c r="H240" t="s">
        <v>108</v>
      </c>
      <c r="J240" t="s">
        <v>142</v>
      </c>
      <c r="K240" s="12"/>
      <c r="L240" t="s">
        <v>722</v>
      </c>
      <c r="M240" t="s">
        <v>949</v>
      </c>
      <c r="N240" t="s">
        <v>988</v>
      </c>
      <c r="P240" t="s">
        <v>110</v>
      </c>
      <c r="Q240" t="s">
        <v>949</v>
      </c>
      <c r="R240" s="11">
        <v>45988</v>
      </c>
      <c r="S240" s="11">
        <v>45988</v>
      </c>
      <c r="T240" s="11">
        <v>45988</v>
      </c>
      <c r="AF240" t="s">
        <v>451</v>
      </c>
      <c r="AI240" t="s">
        <v>451</v>
      </c>
      <c r="AK240" t="s">
        <v>918</v>
      </c>
      <c r="AM240" t="s">
        <v>451</v>
      </c>
      <c r="AN240" t="s">
        <v>918</v>
      </c>
      <c r="AQ240" t="s">
        <v>451</v>
      </c>
      <c r="AS240" s="11">
        <v>46031</v>
      </c>
      <c r="AU240" t="s">
        <v>114</v>
      </c>
      <c r="AV240" t="s">
        <v>134</v>
      </c>
      <c r="AW240" t="s">
        <v>152</v>
      </c>
      <c r="AY240" t="s">
        <v>463</v>
      </c>
      <c r="BB240" t="s">
        <v>114</v>
      </c>
      <c r="BC240" s="11">
        <v>46024</v>
      </c>
      <c r="BF240" t="s">
        <v>988</v>
      </c>
      <c r="BG240" t="s">
        <v>449</v>
      </c>
      <c r="BI240" s="11">
        <v>46035</v>
      </c>
      <c r="BJ240" t="str">
        <f t="shared" si="44"/>
        <v>S3_2026</v>
      </c>
      <c r="BK240" t="s">
        <v>187</v>
      </c>
      <c r="BL240" t="str">
        <f t="shared" si="45"/>
        <v>S1_2026</v>
      </c>
      <c r="BM240" t="s">
        <v>159</v>
      </c>
      <c r="BN240" s="11">
        <v>46035</v>
      </c>
      <c r="BO240" t="str">
        <f t="shared" si="41"/>
        <v>S3_2026</v>
      </c>
      <c r="BP240" t="s">
        <v>114</v>
      </c>
      <c r="BQ240" t="s">
        <v>450</v>
      </c>
      <c r="BR240" t="s">
        <v>451</v>
      </c>
      <c r="BT240" s="11">
        <v>46024</v>
      </c>
      <c r="BU240" s="11">
        <v>46031</v>
      </c>
      <c r="BV240" t="s">
        <v>450</v>
      </c>
      <c r="BW240" s="11">
        <v>46035</v>
      </c>
      <c r="BX240" s="11"/>
      <c r="BY240" s="11"/>
      <c r="BZ240" s="11"/>
      <c r="CB240" s="11"/>
      <c r="CC240" s="11"/>
      <c r="CD240" s="11"/>
      <c r="CE240" s="11"/>
      <c r="CG240" s="11"/>
      <c r="CI240" t="s">
        <v>134</v>
      </c>
      <c r="CJ240" t="s">
        <v>466</v>
      </c>
      <c r="CK240" t="s">
        <v>467</v>
      </c>
      <c r="CN240" t="s">
        <v>458</v>
      </c>
      <c r="CO240" t="str">
        <f t="shared" si="46"/>
        <v>POSITIFPOSITIF</v>
      </c>
      <c r="CP240" s="11">
        <v>46024</v>
      </c>
      <c r="CR240">
        <f t="shared" si="48"/>
        <v>7</v>
      </c>
      <c r="CS240">
        <f t="shared" si="49"/>
        <v>4</v>
      </c>
      <c r="CT240">
        <f t="shared" si="53"/>
        <v>36</v>
      </c>
      <c r="CV240">
        <f t="shared" si="51"/>
        <v>47</v>
      </c>
      <c r="CX240" s="11">
        <v>45988</v>
      </c>
      <c r="CY240" t="str">
        <f t="shared" si="47"/>
        <v>S48_2025</v>
      </c>
      <c r="DC240" t="s">
        <v>139</v>
      </c>
    </row>
    <row r="241" spans="1:107" x14ac:dyDescent="0.35">
      <c r="A241" t="s">
        <v>989</v>
      </c>
      <c r="B241" s="10" t="str">
        <f t="shared" si="42"/>
        <v>S1_2026</v>
      </c>
      <c r="C241" s="10" t="str">
        <f t="shared" si="43"/>
        <v/>
      </c>
      <c r="D241" s="11">
        <v>46024</v>
      </c>
      <c r="E241" t="s">
        <v>123</v>
      </c>
      <c r="F241" s="24">
        <v>7</v>
      </c>
      <c r="G241" t="s">
        <v>107</v>
      </c>
      <c r="H241" t="s">
        <v>108</v>
      </c>
      <c r="J241" t="s">
        <v>142</v>
      </c>
      <c r="K241" s="12"/>
      <c r="L241" t="s">
        <v>722</v>
      </c>
      <c r="M241" t="s">
        <v>949</v>
      </c>
      <c r="N241" t="s">
        <v>990</v>
      </c>
      <c r="P241" t="s">
        <v>110</v>
      </c>
      <c r="Q241" t="s">
        <v>949</v>
      </c>
      <c r="AF241" t="s">
        <v>451</v>
      </c>
      <c r="AI241" t="s">
        <v>451</v>
      </c>
      <c r="AK241" t="s">
        <v>451</v>
      </c>
      <c r="AM241" t="s">
        <v>451</v>
      </c>
      <c r="AN241" t="s">
        <v>451</v>
      </c>
      <c r="AS241" s="11">
        <v>46031</v>
      </c>
      <c r="AU241" t="s">
        <v>114</v>
      </c>
      <c r="AV241" t="s">
        <v>115</v>
      </c>
      <c r="BB241" t="s">
        <v>114</v>
      </c>
      <c r="BC241" s="11">
        <v>46024</v>
      </c>
      <c r="BF241" t="s">
        <v>988</v>
      </c>
      <c r="BG241" t="s">
        <v>449</v>
      </c>
      <c r="BJ241" t="str">
        <f t="shared" si="44"/>
        <v/>
      </c>
      <c r="BK241" t="s">
        <v>187</v>
      </c>
      <c r="BL241" t="str">
        <f t="shared" si="45"/>
        <v>S1_2026</v>
      </c>
      <c r="BM241" t="s">
        <v>159</v>
      </c>
      <c r="BN241" s="11">
        <v>46035</v>
      </c>
      <c r="BO241" t="str">
        <f t="shared" si="41"/>
        <v>S3_2026</v>
      </c>
      <c r="BP241" t="s">
        <v>114</v>
      </c>
      <c r="BQ241" t="s">
        <v>450</v>
      </c>
      <c r="BR241" t="s">
        <v>451</v>
      </c>
      <c r="BT241" s="11">
        <v>46024</v>
      </c>
      <c r="BU241" s="11">
        <v>46031</v>
      </c>
      <c r="BV241" t="s">
        <v>450</v>
      </c>
      <c r="BW241" s="11">
        <v>46035</v>
      </c>
      <c r="BX241" s="11"/>
      <c r="BY241" s="11"/>
      <c r="BZ241" s="11"/>
      <c r="CB241" s="11"/>
      <c r="CC241" s="11"/>
      <c r="CD241" s="11"/>
      <c r="CE241" s="11"/>
      <c r="CG241" s="11"/>
      <c r="CI241" t="s">
        <v>119</v>
      </c>
      <c r="CO241" t="str">
        <f t="shared" si="46"/>
        <v>NEGATIFPAS INCLUS</v>
      </c>
      <c r="CP241" s="11">
        <v>46024</v>
      </c>
      <c r="CR241">
        <f t="shared" si="48"/>
        <v>7</v>
      </c>
      <c r="CS241">
        <f t="shared" si="49"/>
        <v>4</v>
      </c>
      <c r="CT241">
        <f t="shared" si="53"/>
        <v>46</v>
      </c>
      <c r="CV241" t="str">
        <f t="shared" si="51"/>
        <v/>
      </c>
      <c r="CX241" s="11">
        <v>45978</v>
      </c>
      <c r="CY241" t="str">
        <f t="shared" si="47"/>
        <v>S47_2025</v>
      </c>
      <c r="CZ241" t="s">
        <v>114</v>
      </c>
      <c r="DA241" t="s">
        <v>991</v>
      </c>
      <c r="DC241" t="s">
        <v>986</v>
      </c>
    </row>
    <row r="242" spans="1:107" x14ac:dyDescent="0.35">
      <c r="A242" t="s">
        <v>992</v>
      </c>
      <c r="B242" s="10" t="str">
        <f t="shared" si="42"/>
        <v>S1_2026</v>
      </c>
      <c r="C242" s="10" t="str">
        <f t="shared" si="43"/>
        <v>S49_2025</v>
      </c>
      <c r="D242" s="11">
        <v>46024</v>
      </c>
      <c r="E242" t="s">
        <v>123</v>
      </c>
      <c r="F242" s="24">
        <v>6</v>
      </c>
      <c r="G242" t="s">
        <v>107</v>
      </c>
      <c r="H242" t="s">
        <v>108</v>
      </c>
      <c r="J242" t="s">
        <v>142</v>
      </c>
      <c r="K242" s="12"/>
      <c r="L242" t="s">
        <v>722</v>
      </c>
      <c r="M242" t="s">
        <v>949</v>
      </c>
      <c r="N242" t="s">
        <v>993</v>
      </c>
      <c r="P242" t="s">
        <v>110</v>
      </c>
      <c r="Q242" t="s">
        <v>949</v>
      </c>
      <c r="R242" s="11">
        <v>45993</v>
      </c>
      <c r="S242" s="11">
        <v>45993</v>
      </c>
      <c r="T242" s="11">
        <v>45993</v>
      </c>
      <c r="AF242" t="s">
        <v>451</v>
      </c>
      <c r="AI242" t="s">
        <v>451</v>
      </c>
      <c r="AK242" t="s">
        <v>451</v>
      </c>
      <c r="AM242" t="s">
        <v>451</v>
      </c>
      <c r="AN242" t="s">
        <v>451</v>
      </c>
      <c r="AQ242" t="s">
        <v>451</v>
      </c>
      <c r="AS242" s="11">
        <v>46031</v>
      </c>
      <c r="AU242" t="s">
        <v>114</v>
      </c>
      <c r="AV242" t="s">
        <v>134</v>
      </c>
      <c r="AW242" t="s">
        <v>152</v>
      </c>
      <c r="AY242" t="s">
        <v>463</v>
      </c>
      <c r="BB242" t="s">
        <v>114</v>
      </c>
      <c r="BC242" s="11">
        <v>46024</v>
      </c>
      <c r="BD242" t="s">
        <v>994</v>
      </c>
      <c r="BF242" t="s">
        <v>988</v>
      </c>
      <c r="BG242" t="s">
        <v>449</v>
      </c>
      <c r="BI242" s="11">
        <v>46035</v>
      </c>
      <c r="BJ242" t="str">
        <f t="shared" si="44"/>
        <v>S3_2026</v>
      </c>
      <c r="BK242" t="s">
        <v>187</v>
      </c>
      <c r="BL242" t="str">
        <f t="shared" si="45"/>
        <v>S1_2026</v>
      </c>
      <c r="BM242" t="s">
        <v>159</v>
      </c>
      <c r="BN242" s="11">
        <v>46035</v>
      </c>
      <c r="BO242" t="str">
        <f t="shared" si="41"/>
        <v>S3_2026</v>
      </c>
      <c r="BP242" t="s">
        <v>114</v>
      </c>
      <c r="BQ242" t="s">
        <v>450</v>
      </c>
      <c r="BR242" t="s">
        <v>451</v>
      </c>
      <c r="BT242" s="11">
        <v>46024</v>
      </c>
      <c r="BU242" s="11">
        <v>46031</v>
      </c>
      <c r="BV242" t="s">
        <v>450</v>
      </c>
      <c r="BW242" s="11">
        <v>46035</v>
      </c>
      <c r="BX242" s="11"/>
      <c r="BY242" s="11"/>
      <c r="BZ242" s="11"/>
      <c r="CB242" s="11"/>
      <c r="CC242" s="11"/>
      <c r="CD242" s="11"/>
      <c r="CE242" s="11"/>
      <c r="CG242" s="11"/>
      <c r="CI242" t="s">
        <v>134</v>
      </c>
      <c r="CJ242" t="s">
        <v>466</v>
      </c>
      <c r="CK242" t="s">
        <v>452</v>
      </c>
      <c r="CN242" t="s">
        <v>458</v>
      </c>
      <c r="CO242" t="str">
        <f t="shared" si="46"/>
        <v>POSITIFPOSITIF</v>
      </c>
      <c r="CP242" s="11">
        <v>46024</v>
      </c>
      <c r="CR242">
        <f t="shared" si="48"/>
        <v>7</v>
      </c>
      <c r="CS242">
        <f t="shared" si="49"/>
        <v>4</v>
      </c>
      <c r="CT242">
        <f t="shared" si="53"/>
        <v>31</v>
      </c>
      <c r="CV242">
        <f t="shared" si="51"/>
        <v>42</v>
      </c>
      <c r="CX242" s="11">
        <v>45993</v>
      </c>
      <c r="CY242" t="str">
        <f t="shared" si="47"/>
        <v>S49_2025</v>
      </c>
      <c r="DC242" t="s">
        <v>139</v>
      </c>
    </row>
    <row r="243" spans="1:107" x14ac:dyDescent="0.35">
      <c r="A243" t="s">
        <v>995</v>
      </c>
      <c r="B243" s="10" t="str">
        <f t="shared" si="42"/>
        <v>S1_2026</v>
      </c>
      <c r="C243" s="10" t="str">
        <f t="shared" si="43"/>
        <v/>
      </c>
      <c r="D243" s="11">
        <v>46024</v>
      </c>
      <c r="E243" t="s">
        <v>106</v>
      </c>
      <c r="F243" s="24">
        <v>41</v>
      </c>
      <c r="G243" t="s">
        <v>162</v>
      </c>
      <c r="H243" t="s">
        <v>108</v>
      </c>
      <c r="J243" t="s">
        <v>142</v>
      </c>
      <c r="K243" s="12"/>
      <c r="L243" t="s">
        <v>722</v>
      </c>
      <c r="M243" t="s">
        <v>949</v>
      </c>
      <c r="N243" t="s">
        <v>990</v>
      </c>
      <c r="P243" t="s">
        <v>110</v>
      </c>
      <c r="Q243" t="s">
        <v>949</v>
      </c>
      <c r="AF243" t="s">
        <v>451</v>
      </c>
      <c r="AI243" t="s">
        <v>451</v>
      </c>
      <c r="AK243" t="s">
        <v>918</v>
      </c>
      <c r="AM243" t="s">
        <v>918</v>
      </c>
      <c r="AN243" t="s">
        <v>451</v>
      </c>
      <c r="AQ243" t="s">
        <v>451</v>
      </c>
      <c r="AS243" s="11">
        <v>46031</v>
      </c>
      <c r="AU243" t="s">
        <v>114</v>
      </c>
      <c r="AV243" t="s">
        <v>115</v>
      </c>
      <c r="AW243" t="s">
        <v>152</v>
      </c>
      <c r="BB243" t="s">
        <v>114</v>
      </c>
      <c r="BC243" s="11">
        <v>46024</v>
      </c>
      <c r="BD243" t="s">
        <v>223</v>
      </c>
      <c r="BF243" t="s">
        <v>949</v>
      </c>
      <c r="BG243" t="s">
        <v>449</v>
      </c>
      <c r="BJ243" t="str">
        <f t="shared" si="44"/>
        <v/>
      </c>
      <c r="BK243" t="s">
        <v>187</v>
      </c>
      <c r="BL243" t="str">
        <f t="shared" si="45"/>
        <v>S1_2026</v>
      </c>
      <c r="BM243" t="s">
        <v>159</v>
      </c>
      <c r="BN243" s="11">
        <v>46035</v>
      </c>
      <c r="BO243" t="str">
        <f t="shared" si="41"/>
        <v>S3_2026</v>
      </c>
      <c r="BP243" t="s">
        <v>114</v>
      </c>
      <c r="BQ243" t="s">
        <v>450</v>
      </c>
      <c r="BR243" t="s">
        <v>451</v>
      </c>
      <c r="BT243" s="11">
        <v>46024</v>
      </c>
      <c r="BU243" s="11">
        <v>46031</v>
      </c>
      <c r="BV243" t="s">
        <v>450</v>
      </c>
      <c r="BW243" s="11">
        <v>46035</v>
      </c>
      <c r="BX243" s="11"/>
      <c r="BY243" s="11"/>
      <c r="BZ243" s="11"/>
      <c r="CB243" s="11"/>
      <c r="CC243" s="11"/>
      <c r="CD243" s="11"/>
      <c r="CE243" s="11"/>
      <c r="CG243" s="11"/>
      <c r="CI243" t="s">
        <v>119</v>
      </c>
      <c r="CO243" t="str">
        <f t="shared" si="46"/>
        <v>NEGATIFPAS INCLUS</v>
      </c>
      <c r="CP243" s="11">
        <v>46024</v>
      </c>
      <c r="CR243">
        <f t="shared" si="48"/>
        <v>7</v>
      </c>
      <c r="CS243">
        <f t="shared" si="49"/>
        <v>4</v>
      </c>
      <c r="CT243">
        <f t="shared" si="53"/>
        <v>46</v>
      </c>
      <c r="CV243" t="str">
        <f t="shared" si="51"/>
        <v/>
      </c>
      <c r="CX243" s="11">
        <v>45978</v>
      </c>
      <c r="CY243" t="str">
        <f t="shared" si="47"/>
        <v>S47_2025</v>
      </c>
      <c r="CZ243" t="s">
        <v>114</v>
      </c>
      <c r="DA243" t="s">
        <v>991</v>
      </c>
      <c r="DC243" t="s">
        <v>986</v>
      </c>
    </row>
    <row r="244" spans="1:107" x14ac:dyDescent="0.35">
      <c r="A244" t="s">
        <v>996</v>
      </c>
      <c r="B244" s="10" t="str">
        <f t="shared" si="42"/>
        <v>S1_2026</v>
      </c>
      <c r="C244" s="10" t="str">
        <f t="shared" si="43"/>
        <v>S51_2025</v>
      </c>
      <c r="D244" s="11">
        <v>46024</v>
      </c>
      <c r="E244" t="s">
        <v>123</v>
      </c>
      <c r="F244" s="24">
        <v>22</v>
      </c>
      <c r="G244" t="s">
        <v>162</v>
      </c>
      <c r="H244" t="s">
        <v>108</v>
      </c>
      <c r="J244" t="s">
        <v>142</v>
      </c>
      <c r="K244" s="12"/>
      <c r="L244" t="s">
        <v>722</v>
      </c>
      <c r="M244" t="s">
        <v>949</v>
      </c>
      <c r="N244" t="s">
        <v>993</v>
      </c>
      <c r="P244" t="s">
        <v>110</v>
      </c>
      <c r="Q244" t="s">
        <v>949</v>
      </c>
      <c r="R244" s="11">
        <v>46007</v>
      </c>
      <c r="S244" s="11">
        <v>46007</v>
      </c>
      <c r="T244" s="11">
        <v>46007</v>
      </c>
      <c r="AF244" t="s">
        <v>451</v>
      </c>
      <c r="AI244" t="s">
        <v>451</v>
      </c>
      <c r="AK244" t="s">
        <v>451</v>
      </c>
      <c r="AM244" t="s">
        <v>451</v>
      </c>
      <c r="AN244" t="s">
        <v>918</v>
      </c>
      <c r="AQ244" t="s">
        <v>451</v>
      </c>
      <c r="AS244" s="11">
        <v>46031</v>
      </c>
      <c r="AU244" t="s">
        <v>114</v>
      </c>
      <c r="AV244" t="s">
        <v>115</v>
      </c>
      <c r="AW244" t="s">
        <v>152</v>
      </c>
      <c r="BB244" t="s">
        <v>114</v>
      </c>
      <c r="BC244" s="11">
        <v>46023</v>
      </c>
      <c r="BF244" t="s">
        <v>988</v>
      </c>
      <c r="BG244" t="s">
        <v>449</v>
      </c>
      <c r="BJ244" t="str">
        <f t="shared" si="44"/>
        <v/>
      </c>
      <c r="BK244" t="s">
        <v>187</v>
      </c>
      <c r="BL244" t="str">
        <f t="shared" si="45"/>
        <v>S1_2026</v>
      </c>
      <c r="BM244" t="s">
        <v>159</v>
      </c>
      <c r="BN244" s="11">
        <v>46035</v>
      </c>
      <c r="BO244" t="str">
        <f t="shared" si="41"/>
        <v>S3_2026</v>
      </c>
      <c r="BP244" t="s">
        <v>114</v>
      </c>
      <c r="BQ244" t="s">
        <v>450</v>
      </c>
      <c r="BR244" t="s">
        <v>451</v>
      </c>
      <c r="BT244" s="11">
        <v>46023</v>
      </c>
      <c r="BU244" s="11">
        <v>46031</v>
      </c>
      <c r="BV244" t="s">
        <v>450</v>
      </c>
      <c r="BW244" s="11">
        <v>46035</v>
      </c>
      <c r="BX244" s="11"/>
      <c r="BY244" s="11"/>
      <c r="BZ244" s="11"/>
      <c r="CB244" s="11"/>
      <c r="CC244" s="11"/>
      <c r="CD244" s="11"/>
      <c r="CE244" s="11"/>
      <c r="CG244" s="11"/>
      <c r="CI244" t="s">
        <v>119</v>
      </c>
      <c r="CO244" t="str">
        <f t="shared" si="46"/>
        <v>NEGATIFPAS INCLUS</v>
      </c>
      <c r="CP244" s="11">
        <v>46023</v>
      </c>
      <c r="CR244">
        <f t="shared" si="48"/>
        <v>8</v>
      </c>
      <c r="CS244">
        <f t="shared" si="49"/>
        <v>4</v>
      </c>
      <c r="CT244">
        <f t="shared" si="53"/>
        <v>16</v>
      </c>
      <c r="CV244" t="str">
        <f t="shared" si="51"/>
        <v/>
      </c>
      <c r="CX244" s="11">
        <v>46007</v>
      </c>
      <c r="CY244" t="str">
        <f t="shared" si="47"/>
        <v>S51_2025</v>
      </c>
      <c r="CZ244" t="s">
        <v>114</v>
      </c>
      <c r="DA244" t="s">
        <v>991</v>
      </c>
      <c r="DC244" t="s">
        <v>986</v>
      </c>
    </row>
    <row r="245" spans="1:107" x14ac:dyDescent="0.35">
      <c r="A245" t="s">
        <v>997</v>
      </c>
      <c r="B245" s="10" t="str">
        <f t="shared" si="42"/>
        <v>S1_2026</v>
      </c>
      <c r="C245" s="10" t="str">
        <f t="shared" si="43"/>
        <v>S48_2025</v>
      </c>
      <c r="D245" s="11">
        <v>46024</v>
      </c>
      <c r="E245" t="s">
        <v>106</v>
      </c>
      <c r="F245" s="24">
        <v>43</v>
      </c>
      <c r="G245" t="s">
        <v>162</v>
      </c>
      <c r="H245" t="s">
        <v>108</v>
      </c>
      <c r="J245" t="s">
        <v>142</v>
      </c>
      <c r="K245" s="12"/>
      <c r="L245" t="s">
        <v>722</v>
      </c>
      <c r="M245" t="s">
        <v>949</v>
      </c>
      <c r="N245" t="s">
        <v>990</v>
      </c>
      <c r="P245" t="s">
        <v>110</v>
      </c>
      <c r="Q245" t="s">
        <v>949</v>
      </c>
      <c r="R245" s="11">
        <v>45985</v>
      </c>
      <c r="S245" s="11">
        <v>45985</v>
      </c>
      <c r="T245" s="11">
        <v>45985</v>
      </c>
      <c r="AF245" t="s">
        <v>918</v>
      </c>
      <c r="AI245" t="s">
        <v>451</v>
      </c>
      <c r="AK245" t="s">
        <v>451</v>
      </c>
      <c r="AM245" t="s">
        <v>918</v>
      </c>
      <c r="AN245" t="s">
        <v>918</v>
      </c>
      <c r="AQ245" t="s">
        <v>451</v>
      </c>
      <c r="AS245" s="11">
        <v>46031</v>
      </c>
      <c r="AU245" t="s">
        <v>114</v>
      </c>
      <c r="AV245" t="s">
        <v>115</v>
      </c>
      <c r="AW245" t="s">
        <v>152</v>
      </c>
      <c r="BB245" t="s">
        <v>114</v>
      </c>
      <c r="BC245" s="11">
        <v>46023</v>
      </c>
      <c r="BF245" t="s">
        <v>949</v>
      </c>
      <c r="BG245" t="s">
        <v>449</v>
      </c>
      <c r="BJ245" t="str">
        <f t="shared" si="44"/>
        <v/>
      </c>
      <c r="BK245" t="s">
        <v>187</v>
      </c>
      <c r="BL245" t="str">
        <f t="shared" si="45"/>
        <v>S1_2026</v>
      </c>
      <c r="BM245" t="s">
        <v>159</v>
      </c>
      <c r="BN245" s="11">
        <v>46035</v>
      </c>
      <c r="BO245" t="str">
        <f t="shared" ref="BO245:BO308" si="54">IFERROR("S"&amp;(IF(_xlfn.ISOWEEKNUM(BN245)&gt;0,_xlfn.ISOWEEKNUM(BN245),_xlfn.CONCAT("0",_xlfn.ISOWEEKNUM(BN245))))&amp;"_"&amp;(YEAR(BN245+26-(_xlfn.ISOWEEKNUM(BN245)))),"")</f>
        <v>S3_2026</v>
      </c>
      <c r="BP245" t="s">
        <v>114</v>
      </c>
      <c r="BQ245" t="s">
        <v>450</v>
      </c>
      <c r="BR245" t="s">
        <v>451</v>
      </c>
      <c r="BT245" s="11">
        <v>46023</v>
      </c>
      <c r="BU245" s="11">
        <v>46031</v>
      </c>
      <c r="BV245" t="s">
        <v>450</v>
      </c>
      <c r="BW245" s="11">
        <v>46035</v>
      </c>
      <c r="BX245" s="11"/>
      <c r="BY245" s="11"/>
      <c r="BZ245" s="11"/>
      <c r="CB245" s="11"/>
      <c r="CC245" s="11"/>
      <c r="CD245" s="11"/>
      <c r="CE245" s="11"/>
      <c r="CG245" s="11"/>
      <c r="CI245" t="s">
        <v>119</v>
      </c>
      <c r="CO245" t="str">
        <f t="shared" si="46"/>
        <v>NEGATIFPAS INCLUS</v>
      </c>
      <c r="CP245" s="11">
        <v>46023</v>
      </c>
      <c r="CR245">
        <f t="shared" si="48"/>
        <v>8</v>
      </c>
      <c r="CS245">
        <f t="shared" si="49"/>
        <v>4</v>
      </c>
      <c r="CT245">
        <f t="shared" si="53"/>
        <v>38</v>
      </c>
      <c r="CV245" t="str">
        <f t="shared" si="51"/>
        <v/>
      </c>
      <c r="CX245" s="11">
        <v>45985</v>
      </c>
      <c r="CY245" t="str">
        <f t="shared" si="47"/>
        <v>S48_2025</v>
      </c>
      <c r="CZ245" t="s">
        <v>114</v>
      </c>
      <c r="DA245" t="s">
        <v>991</v>
      </c>
      <c r="DC245" t="s">
        <v>986</v>
      </c>
    </row>
    <row r="246" spans="1:107" x14ac:dyDescent="0.35">
      <c r="A246" t="s">
        <v>998</v>
      </c>
      <c r="B246" s="10" t="str">
        <f t="shared" si="42"/>
        <v>S1_2026</v>
      </c>
      <c r="C246" s="10" t="str">
        <f t="shared" si="43"/>
        <v>S1_2026</v>
      </c>
      <c r="D246" s="11">
        <v>46024</v>
      </c>
      <c r="E246" t="s">
        <v>106</v>
      </c>
      <c r="F246" s="24">
        <v>6</v>
      </c>
      <c r="G246" t="s">
        <v>107</v>
      </c>
      <c r="H246" t="s">
        <v>108</v>
      </c>
      <c r="J246" t="s">
        <v>142</v>
      </c>
      <c r="K246" s="12"/>
      <c r="L246" t="s">
        <v>722</v>
      </c>
      <c r="M246" t="s">
        <v>949</v>
      </c>
      <c r="N246" t="s">
        <v>988</v>
      </c>
      <c r="P246" t="s">
        <v>110</v>
      </c>
      <c r="Q246" t="s">
        <v>949</v>
      </c>
      <c r="R246" s="11">
        <v>46023</v>
      </c>
      <c r="S246" s="11">
        <v>46023</v>
      </c>
      <c r="T246" s="11">
        <v>46023</v>
      </c>
      <c r="AF246" t="s">
        <v>918</v>
      </c>
      <c r="AI246" t="s">
        <v>918</v>
      </c>
      <c r="AK246" t="s">
        <v>918</v>
      </c>
      <c r="AM246" t="s">
        <v>451</v>
      </c>
      <c r="AN246" t="s">
        <v>451</v>
      </c>
      <c r="AQ246" t="s">
        <v>451</v>
      </c>
      <c r="AS246" s="11">
        <v>46031</v>
      </c>
      <c r="AU246" t="s">
        <v>114</v>
      </c>
      <c r="AV246" t="s">
        <v>134</v>
      </c>
      <c r="AW246" t="s">
        <v>152</v>
      </c>
      <c r="AY246" t="s">
        <v>463</v>
      </c>
      <c r="BB246" t="s">
        <v>114</v>
      </c>
      <c r="BC246" s="11">
        <v>46023</v>
      </c>
      <c r="BF246" t="s">
        <v>988</v>
      </c>
      <c r="BG246" t="s">
        <v>449</v>
      </c>
      <c r="BI246" s="11">
        <v>46035</v>
      </c>
      <c r="BJ246" t="str">
        <f t="shared" si="44"/>
        <v>S3_2026</v>
      </c>
      <c r="BK246" t="s">
        <v>187</v>
      </c>
      <c r="BL246" t="str">
        <f t="shared" si="45"/>
        <v>S1_2026</v>
      </c>
      <c r="BM246" t="s">
        <v>159</v>
      </c>
      <c r="BN246" s="11">
        <v>46035</v>
      </c>
      <c r="BO246" t="str">
        <f t="shared" si="54"/>
        <v>S3_2026</v>
      </c>
      <c r="BP246" t="s">
        <v>114</v>
      </c>
      <c r="BQ246" t="s">
        <v>450</v>
      </c>
      <c r="BR246" t="s">
        <v>451</v>
      </c>
      <c r="BT246" s="11">
        <v>46023</v>
      </c>
      <c r="BU246" s="11">
        <v>46031</v>
      </c>
      <c r="BV246" t="s">
        <v>450</v>
      </c>
      <c r="BW246" s="11">
        <v>46035</v>
      </c>
      <c r="BX246" s="11"/>
      <c r="BY246" s="11"/>
      <c r="BZ246" s="11"/>
      <c r="CB246" s="11"/>
      <c r="CC246" s="11"/>
      <c r="CD246" s="11"/>
      <c r="CE246" s="11"/>
      <c r="CG246" s="11"/>
      <c r="CI246" t="s">
        <v>134</v>
      </c>
      <c r="CJ246" t="s">
        <v>466</v>
      </c>
      <c r="CK246" t="s">
        <v>452</v>
      </c>
      <c r="CN246" t="s">
        <v>999</v>
      </c>
      <c r="CO246" t="str">
        <f t="shared" si="46"/>
        <v>POSITIFPOSITIF</v>
      </c>
      <c r="CP246" s="11">
        <v>46023</v>
      </c>
      <c r="CR246">
        <f t="shared" si="48"/>
        <v>8</v>
      </c>
      <c r="CS246">
        <f t="shared" si="49"/>
        <v>4</v>
      </c>
      <c r="CT246">
        <f t="shared" si="53"/>
        <v>0</v>
      </c>
      <c r="CV246">
        <f t="shared" si="51"/>
        <v>12</v>
      </c>
      <c r="CX246" s="11">
        <v>46023</v>
      </c>
      <c r="CY246" t="str">
        <f t="shared" si="47"/>
        <v>S1_2026</v>
      </c>
      <c r="DC246" t="s">
        <v>139</v>
      </c>
    </row>
    <row r="247" spans="1:107" x14ac:dyDescent="0.35">
      <c r="A247" t="s">
        <v>1000</v>
      </c>
      <c r="B247" s="10" t="str">
        <f t="shared" si="42"/>
        <v>S1_2026</v>
      </c>
      <c r="C247" s="10" t="str">
        <f t="shared" si="43"/>
        <v>S42_2025</v>
      </c>
      <c r="D247" s="11">
        <v>46024</v>
      </c>
      <c r="E247" t="s">
        <v>123</v>
      </c>
      <c r="F247" s="24">
        <v>9</v>
      </c>
      <c r="G247" t="s">
        <v>107</v>
      </c>
      <c r="H247" t="s">
        <v>108</v>
      </c>
      <c r="J247" t="s">
        <v>142</v>
      </c>
      <c r="K247" s="12"/>
      <c r="L247" t="s">
        <v>722</v>
      </c>
      <c r="M247" t="s">
        <v>949</v>
      </c>
      <c r="N247" t="s">
        <v>990</v>
      </c>
      <c r="P247" t="s">
        <v>110</v>
      </c>
      <c r="Q247" t="s">
        <v>949</v>
      </c>
      <c r="R247" s="11">
        <v>45943</v>
      </c>
      <c r="S247" s="11">
        <v>45943</v>
      </c>
      <c r="T247" s="11">
        <v>45943</v>
      </c>
      <c r="AF247" t="s">
        <v>918</v>
      </c>
      <c r="AI247" t="s">
        <v>918</v>
      </c>
      <c r="AK247" t="s">
        <v>451</v>
      </c>
      <c r="AM247" t="s">
        <v>451</v>
      </c>
      <c r="AN247" t="s">
        <v>918</v>
      </c>
      <c r="AQ247" t="s">
        <v>451</v>
      </c>
      <c r="AS247" s="11">
        <v>46031</v>
      </c>
      <c r="AU247" t="s">
        <v>114</v>
      </c>
      <c r="AV247" t="s">
        <v>115</v>
      </c>
      <c r="AW247" t="s">
        <v>152</v>
      </c>
      <c r="BB247" t="s">
        <v>114</v>
      </c>
      <c r="BC247" s="11">
        <v>46024</v>
      </c>
      <c r="BF247" t="s">
        <v>949</v>
      </c>
      <c r="BG247" t="s">
        <v>449</v>
      </c>
      <c r="BJ247" t="str">
        <f t="shared" si="44"/>
        <v/>
      </c>
      <c r="BK247" t="s">
        <v>187</v>
      </c>
      <c r="BL247" t="str">
        <f t="shared" si="45"/>
        <v>S1_2026</v>
      </c>
      <c r="BM247" t="s">
        <v>159</v>
      </c>
      <c r="BN247" s="11">
        <v>46035</v>
      </c>
      <c r="BO247" t="str">
        <f t="shared" si="54"/>
        <v>S3_2026</v>
      </c>
      <c r="BP247" t="s">
        <v>114</v>
      </c>
      <c r="BQ247" t="s">
        <v>450</v>
      </c>
      <c r="BR247" t="s">
        <v>451</v>
      </c>
      <c r="BT247" s="11">
        <v>46024</v>
      </c>
      <c r="BU247" s="11">
        <v>46031</v>
      </c>
      <c r="BV247" t="s">
        <v>450</v>
      </c>
      <c r="BW247" s="11">
        <v>46035</v>
      </c>
      <c r="BX247" s="11"/>
      <c r="BY247" s="11"/>
      <c r="BZ247" s="11"/>
      <c r="CB247" s="11"/>
      <c r="CC247" s="11"/>
      <c r="CD247" s="11"/>
      <c r="CE247" s="11"/>
      <c r="CG247" s="11"/>
      <c r="CI247" t="s">
        <v>119</v>
      </c>
      <c r="CO247" t="str">
        <f t="shared" si="46"/>
        <v>NEGATIFPAS INCLUS</v>
      </c>
      <c r="CP247" s="11">
        <v>46024</v>
      </c>
      <c r="CR247">
        <f t="shared" si="48"/>
        <v>7</v>
      </c>
      <c r="CS247">
        <f t="shared" si="49"/>
        <v>4</v>
      </c>
      <c r="CT247">
        <f t="shared" si="53"/>
        <v>81</v>
      </c>
      <c r="CV247" t="str">
        <f t="shared" si="51"/>
        <v/>
      </c>
      <c r="CX247" s="11">
        <v>45943</v>
      </c>
      <c r="CY247" t="str">
        <f t="shared" si="47"/>
        <v>S42_2025</v>
      </c>
      <c r="CZ247" t="s">
        <v>114</v>
      </c>
      <c r="DA247" t="s">
        <v>991</v>
      </c>
      <c r="DC247" t="s">
        <v>986</v>
      </c>
    </row>
    <row r="248" spans="1:107" x14ac:dyDescent="0.35">
      <c r="A248" t="s">
        <v>1001</v>
      </c>
      <c r="B248" s="10" t="str">
        <f t="shared" si="42"/>
        <v>S1_2026</v>
      </c>
      <c r="C248" s="10" t="str">
        <f t="shared" si="43"/>
        <v>S45_2025</v>
      </c>
      <c r="D248" s="11">
        <v>46024</v>
      </c>
      <c r="E248" t="s">
        <v>106</v>
      </c>
      <c r="F248" s="24">
        <v>35</v>
      </c>
      <c r="G248" t="s">
        <v>162</v>
      </c>
      <c r="H248" t="s">
        <v>108</v>
      </c>
      <c r="J248" t="s">
        <v>142</v>
      </c>
      <c r="K248" s="12"/>
      <c r="L248" t="s">
        <v>722</v>
      </c>
      <c r="M248" t="s">
        <v>949</v>
      </c>
      <c r="N248" t="s">
        <v>993</v>
      </c>
      <c r="P248" t="s">
        <v>110</v>
      </c>
      <c r="Q248" t="s">
        <v>949</v>
      </c>
      <c r="R248" s="11">
        <v>45964</v>
      </c>
      <c r="S248" s="11">
        <v>45964</v>
      </c>
      <c r="T248" s="11">
        <v>45964</v>
      </c>
      <c r="AF248" t="s">
        <v>451</v>
      </c>
      <c r="AI248" t="s">
        <v>451</v>
      </c>
      <c r="AK248" t="s">
        <v>451</v>
      </c>
      <c r="AM248" t="s">
        <v>451</v>
      </c>
      <c r="AN248" t="s">
        <v>918</v>
      </c>
      <c r="AQ248" t="s">
        <v>451</v>
      </c>
      <c r="AS248" s="11">
        <v>46031</v>
      </c>
      <c r="AU248" t="s">
        <v>114</v>
      </c>
      <c r="AV248" t="s">
        <v>115</v>
      </c>
      <c r="AW248" t="s">
        <v>152</v>
      </c>
      <c r="BB248" t="s">
        <v>114</v>
      </c>
      <c r="BC248" s="11">
        <v>46024</v>
      </c>
      <c r="BF248" t="s">
        <v>988</v>
      </c>
      <c r="BG248" t="s">
        <v>449</v>
      </c>
      <c r="BJ248" t="str">
        <f t="shared" si="44"/>
        <v/>
      </c>
      <c r="BK248" t="s">
        <v>187</v>
      </c>
      <c r="BL248" t="str">
        <f t="shared" si="45"/>
        <v>S1_2026</v>
      </c>
      <c r="BM248" t="s">
        <v>159</v>
      </c>
      <c r="BN248" s="11">
        <v>46035</v>
      </c>
      <c r="BO248" t="str">
        <f t="shared" si="54"/>
        <v>S3_2026</v>
      </c>
      <c r="BP248" t="s">
        <v>114</v>
      </c>
      <c r="BQ248" t="s">
        <v>450</v>
      </c>
      <c r="BR248" t="s">
        <v>451</v>
      </c>
      <c r="BT248" s="11">
        <v>46024</v>
      </c>
      <c r="BU248" s="11">
        <v>46031</v>
      </c>
      <c r="BV248" t="s">
        <v>450</v>
      </c>
      <c r="BW248" s="11">
        <v>46035</v>
      </c>
      <c r="BX248" s="11"/>
      <c r="BY248" s="11"/>
      <c r="BZ248" s="11"/>
      <c r="CB248" s="11"/>
      <c r="CC248" s="11"/>
      <c r="CD248" s="11"/>
      <c r="CE248" s="11"/>
      <c r="CG248" s="11"/>
      <c r="CI248" t="s">
        <v>119</v>
      </c>
      <c r="CO248" t="str">
        <f t="shared" si="46"/>
        <v>NEGATIFPAS INCLUS</v>
      </c>
      <c r="CP248" s="11">
        <v>46024</v>
      </c>
      <c r="CR248">
        <f t="shared" si="48"/>
        <v>7</v>
      </c>
      <c r="CS248">
        <f t="shared" si="49"/>
        <v>4</v>
      </c>
      <c r="CT248">
        <f t="shared" si="53"/>
        <v>60</v>
      </c>
      <c r="CV248" t="str">
        <f t="shared" si="51"/>
        <v/>
      </c>
      <c r="CX248" s="11">
        <v>45964</v>
      </c>
      <c r="CY248" t="str">
        <f t="shared" si="47"/>
        <v>S45_2025</v>
      </c>
      <c r="CZ248" t="s">
        <v>114</v>
      </c>
      <c r="DA248" t="s">
        <v>991</v>
      </c>
      <c r="DC248" t="s">
        <v>986</v>
      </c>
    </row>
    <row r="249" spans="1:107" x14ac:dyDescent="0.35">
      <c r="A249" t="s">
        <v>1002</v>
      </c>
      <c r="B249" s="10" t="str">
        <f t="shared" si="42"/>
        <v>S1_2026</v>
      </c>
      <c r="C249" s="10" t="str">
        <f t="shared" si="43"/>
        <v>S1_2026</v>
      </c>
      <c r="D249" s="11">
        <v>46024</v>
      </c>
      <c r="E249" s="19" t="s">
        <v>123</v>
      </c>
      <c r="F249" s="24">
        <v>1</v>
      </c>
      <c r="G249" t="s">
        <v>141</v>
      </c>
      <c r="H249" t="s">
        <v>108</v>
      </c>
      <c r="J249" t="s">
        <v>142</v>
      </c>
      <c r="K249" s="12"/>
      <c r="L249" t="s">
        <v>182</v>
      </c>
      <c r="M249" t="s">
        <v>949</v>
      </c>
      <c r="N249" t="s">
        <v>949</v>
      </c>
      <c r="P249" t="s">
        <v>1003</v>
      </c>
      <c r="Q249" s="19" t="s">
        <v>949</v>
      </c>
      <c r="R249" s="11">
        <v>46024</v>
      </c>
      <c r="S249" s="11">
        <v>46024</v>
      </c>
      <c r="T249" s="11">
        <v>46024</v>
      </c>
      <c r="AF249" t="s">
        <v>114</v>
      </c>
      <c r="AG249" t="s">
        <v>114</v>
      </c>
      <c r="AJ249" t="s">
        <v>592</v>
      </c>
      <c r="AK249" t="s">
        <v>132</v>
      </c>
      <c r="AM249" t="s">
        <v>132</v>
      </c>
      <c r="AN249" t="s">
        <v>132</v>
      </c>
      <c r="AQ249" t="s">
        <v>132</v>
      </c>
      <c r="AS249" s="11">
        <v>46031</v>
      </c>
      <c r="AU249" t="s">
        <v>114</v>
      </c>
      <c r="AV249" t="s">
        <v>134</v>
      </c>
      <c r="AW249" t="s">
        <v>152</v>
      </c>
      <c r="AY249" t="s">
        <v>463</v>
      </c>
      <c r="BB249" t="s">
        <v>114</v>
      </c>
      <c r="BC249" s="11">
        <v>46024</v>
      </c>
      <c r="BD249" t="s">
        <v>169</v>
      </c>
      <c r="BF249" t="s">
        <v>949</v>
      </c>
      <c r="BG249" t="s">
        <v>449</v>
      </c>
      <c r="BI249" s="11">
        <v>46035</v>
      </c>
      <c r="BJ249" t="str">
        <f t="shared" si="44"/>
        <v>S3_2026</v>
      </c>
      <c r="BK249" t="s">
        <v>187</v>
      </c>
      <c r="BL249" t="str">
        <f t="shared" si="45"/>
        <v>S1_2026</v>
      </c>
      <c r="BM249" t="s">
        <v>159</v>
      </c>
      <c r="BN249" s="11">
        <v>46035</v>
      </c>
      <c r="BO249" t="str">
        <f t="shared" si="54"/>
        <v>S3_2026</v>
      </c>
      <c r="BP249" t="s">
        <v>114</v>
      </c>
      <c r="BQ249" t="s">
        <v>450</v>
      </c>
      <c r="BR249" t="s">
        <v>451</v>
      </c>
      <c r="CI249" t="s">
        <v>134</v>
      </c>
      <c r="CJ249" t="s">
        <v>466</v>
      </c>
      <c r="CK249" t="s">
        <v>467</v>
      </c>
      <c r="CN249" t="s">
        <v>460</v>
      </c>
      <c r="CO249" t="str">
        <f t="shared" si="46"/>
        <v>POSITIFPOSITIF</v>
      </c>
      <c r="CP249" s="11">
        <v>46024</v>
      </c>
      <c r="CR249">
        <f t="shared" si="48"/>
        <v>7</v>
      </c>
      <c r="CS249">
        <f t="shared" si="49"/>
        <v>4</v>
      </c>
      <c r="CT249">
        <f t="shared" si="53"/>
        <v>0</v>
      </c>
      <c r="CV249">
        <f t="shared" si="51"/>
        <v>11</v>
      </c>
      <c r="CX249" s="11">
        <v>46024</v>
      </c>
      <c r="CY249" t="str">
        <f t="shared" si="47"/>
        <v>S1_2026</v>
      </c>
      <c r="DC249" t="s">
        <v>139</v>
      </c>
    </row>
    <row r="250" spans="1:107" x14ac:dyDescent="0.35">
      <c r="A250" t="s">
        <v>1004</v>
      </c>
      <c r="B250" s="10" t="str">
        <f t="shared" si="42"/>
        <v>S1_2026</v>
      </c>
      <c r="C250" s="10" t="str">
        <f t="shared" si="43"/>
        <v>S1_2026</v>
      </c>
      <c r="D250" s="11">
        <v>46024</v>
      </c>
      <c r="E250" s="19" t="s">
        <v>123</v>
      </c>
      <c r="F250" s="24">
        <v>31</v>
      </c>
      <c r="G250" t="s">
        <v>162</v>
      </c>
      <c r="H250" t="s">
        <v>108</v>
      </c>
      <c r="J250" t="s">
        <v>142</v>
      </c>
      <c r="K250" s="12"/>
      <c r="L250" t="s">
        <v>182</v>
      </c>
      <c r="M250" t="s">
        <v>949</v>
      </c>
      <c r="N250" t="s">
        <v>988</v>
      </c>
      <c r="P250" t="s">
        <v>110</v>
      </c>
      <c r="Q250" s="19" t="s">
        <v>949</v>
      </c>
      <c r="R250" s="11">
        <v>46024</v>
      </c>
      <c r="AK250" t="s">
        <v>132</v>
      </c>
      <c r="AM250" t="s">
        <v>132</v>
      </c>
      <c r="AN250" t="s">
        <v>132</v>
      </c>
      <c r="AQ250" t="s">
        <v>132</v>
      </c>
      <c r="AS250" s="11">
        <v>46031</v>
      </c>
      <c r="AU250" t="s">
        <v>114</v>
      </c>
      <c r="AV250" t="s">
        <v>134</v>
      </c>
      <c r="AW250" t="s">
        <v>152</v>
      </c>
      <c r="AY250" t="s">
        <v>463</v>
      </c>
      <c r="BB250" t="s">
        <v>114</v>
      </c>
      <c r="BC250" s="11">
        <v>46024</v>
      </c>
      <c r="BD250" t="s">
        <v>334</v>
      </c>
      <c r="BF250" t="s">
        <v>949</v>
      </c>
      <c r="BG250" t="s">
        <v>449</v>
      </c>
      <c r="BI250" s="11">
        <v>46035</v>
      </c>
      <c r="BJ250" t="str">
        <f>IFERROR("S"&amp;(IF(_xlfn.ISOWEEKNUM(BI250)&gt;0,_xlfn.ISOWEEKNUM(BI250),_xlfn.CONCAT("0",_xlfn.ISOWEEKNUM(BI250))))&amp;"_"&amp;(YEAR(BI250+26-(_xlfn.ISOWEEKNUM(BI250)))),"")</f>
        <v>S3_2026</v>
      </c>
      <c r="BK250" t="s">
        <v>187</v>
      </c>
      <c r="BL250" t="str">
        <f t="shared" si="45"/>
        <v>S1_2026</v>
      </c>
      <c r="BM250" t="s">
        <v>159</v>
      </c>
      <c r="BN250" s="11">
        <v>46035</v>
      </c>
      <c r="BO250" t="str">
        <f t="shared" si="54"/>
        <v>S3_2026</v>
      </c>
      <c r="BP250" t="s">
        <v>114</v>
      </c>
      <c r="BQ250" t="s">
        <v>450</v>
      </c>
      <c r="BR250" t="s">
        <v>142</v>
      </c>
      <c r="CI250" t="s">
        <v>134</v>
      </c>
      <c r="CJ250" t="s">
        <v>466</v>
      </c>
      <c r="CK250" t="s">
        <v>467</v>
      </c>
      <c r="CN250" t="s">
        <v>460</v>
      </c>
      <c r="CO250" t="str">
        <f t="shared" si="46"/>
        <v>POSITIFPOSITIF</v>
      </c>
      <c r="CP250" s="11">
        <v>46024</v>
      </c>
      <c r="CR250">
        <f t="shared" si="48"/>
        <v>7</v>
      </c>
      <c r="CS250">
        <f t="shared" si="49"/>
        <v>4</v>
      </c>
      <c r="CT250">
        <f t="shared" si="53"/>
        <v>46</v>
      </c>
      <c r="CV250">
        <f t="shared" si="51"/>
        <v>57</v>
      </c>
      <c r="CX250" s="11">
        <v>45978</v>
      </c>
      <c r="CY250" t="str">
        <f t="shared" si="47"/>
        <v>S47_2025</v>
      </c>
      <c r="DC250" t="s">
        <v>139</v>
      </c>
    </row>
    <row r="251" spans="1:107" x14ac:dyDescent="0.35">
      <c r="A251" t="s">
        <v>1005</v>
      </c>
      <c r="B251" s="10" t="str">
        <f t="shared" si="42"/>
        <v>S2_2026</v>
      </c>
      <c r="C251" s="10" t="str">
        <f t="shared" si="43"/>
        <v>S51_2025</v>
      </c>
      <c r="D251" s="11">
        <v>46029</v>
      </c>
      <c r="E251" t="s">
        <v>123</v>
      </c>
      <c r="F251" s="24">
        <v>0.16</v>
      </c>
      <c r="G251" t="s">
        <v>141</v>
      </c>
      <c r="H251" t="s">
        <v>108</v>
      </c>
      <c r="J251" t="s">
        <v>132</v>
      </c>
      <c r="K251" s="12"/>
      <c r="L251" t="s">
        <v>111</v>
      </c>
      <c r="M251" t="s">
        <v>143</v>
      </c>
      <c r="N251" t="s">
        <v>1006</v>
      </c>
      <c r="O251" t="s">
        <v>184</v>
      </c>
      <c r="P251" t="s">
        <v>1007</v>
      </c>
      <c r="Q251" t="s">
        <v>143</v>
      </c>
      <c r="R251" s="11">
        <v>46006</v>
      </c>
      <c r="S251" s="11">
        <v>46006</v>
      </c>
      <c r="T251" s="11">
        <v>46006</v>
      </c>
      <c r="W251" t="s">
        <v>114</v>
      </c>
      <c r="X251" t="s">
        <v>114</v>
      </c>
      <c r="Y251" t="s">
        <v>114</v>
      </c>
      <c r="AE251" t="s">
        <v>114</v>
      </c>
      <c r="AG251" t="s">
        <v>114</v>
      </c>
      <c r="AK251" t="s">
        <v>114</v>
      </c>
      <c r="AM251" t="s">
        <v>132</v>
      </c>
      <c r="AN251" t="s">
        <v>114</v>
      </c>
      <c r="AQ251" t="s">
        <v>132</v>
      </c>
      <c r="AS251" s="11">
        <v>46032</v>
      </c>
      <c r="AU251" t="s">
        <v>114</v>
      </c>
      <c r="AV251" t="s">
        <v>115</v>
      </c>
      <c r="BB251" t="s">
        <v>114</v>
      </c>
      <c r="BC251" s="11">
        <v>46029</v>
      </c>
      <c r="BD251" t="s">
        <v>116</v>
      </c>
      <c r="BF251" t="s">
        <v>1006</v>
      </c>
      <c r="BG251" t="s">
        <v>132</v>
      </c>
      <c r="BJ251" t="str">
        <f t="shared" ref="BJ251:BJ271" si="55">IFERROR("S"&amp;(IF(_xlfn.ISOWEEKNUM(BI251)&gt;0,_xlfn.ISOWEEKNUM(BI251),_xlfn.CONCAT("0",_xlfn.ISOWEEKNUM(BI251))))&amp;"_"&amp;(YEAR(BI251+26-(_xlfn.ISOWEEKNUM(BI251)))),"")</f>
        <v/>
      </c>
      <c r="BK251" t="s">
        <v>117</v>
      </c>
      <c r="BL251" t="str">
        <f t="shared" si="45"/>
        <v>S2_2026</v>
      </c>
      <c r="BM251" t="s">
        <v>159</v>
      </c>
      <c r="BN251" s="11">
        <v>46038</v>
      </c>
      <c r="BO251" t="str">
        <f t="shared" si="54"/>
        <v>S3_2026</v>
      </c>
      <c r="BP251" t="s">
        <v>114</v>
      </c>
      <c r="BQ251" t="s">
        <v>118</v>
      </c>
      <c r="BR251" t="s">
        <v>451</v>
      </c>
      <c r="BU251" s="11"/>
      <c r="BW251" s="11"/>
      <c r="BX251" s="11"/>
      <c r="BY251" s="11">
        <v>46029</v>
      </c>
      <c r="BZ251" s="11">
        <v>46032</v>
      </c>
      <c r="CA251" t="s">
        <v>118</v>
      </c>
      <c r="CB251" s="11">
        <v>46034</v>
      </c>
      <c r="CC251" s="11" t="s">
        <v>115</v>
      </c>
      <c r="CD251" s="11"/>
      <c r="CE251" s="11"/>
      <c r="CG251" s="11"/>
      <c r="CI251" t="s">
        <v>119</v>
      </c>
      <c r="CO251" t="str">
        <f t="shared" si="46"/>
        <v>NEGATIFPAS INCLUS</v>
      </c>
      <c r="CP251" s="11">
        <v>46029</v>
      </c>
      <c r="CR251">
        <f t="shared" si="48"/>
        <v>3</v>
      </c>
      <c r="CS251">
        <f t="shared" si="49"/>
        <v>6</v>
      </c>
      <c r="CT251">
        <f t="shared" si="53"/>
        <v>23</v>
      </c>
      <c r="CU251" t="str">
        <f t="shared" si="50"/>
        <v/>
      </c>
      <c r="CV251" t="str">
        <f t="shared" si="51"/>
        <v/>
      </c>
      <c r="CX251" s="11">
        <v>46006</v>
      </c>
      <c r="CY251" t="str">
        <f t="shared" si="47"/>
        <v>S51_2025</v>
      </c>
      <c r="DC251" t="s">
        <v>120</v>
      </c>
    </row>
    <row r="252" spans="1:107" x14ac:dyDescent="0.35">
      <c r="A252" t="s">
        <v>1008</v>
      </c>
      <c r="B252" s="10" t="str">
        <f t="shared" si="42"/>
        <v>S2_2026</v>
      </c>
      <c r="C252" s="10" t="str">
        <f t="shared" si="43"/>
        <v/>
      </c>
      <c r="D252" s="25">
        <v>46029</v>
      </c>
      <c r="E252" s="26" t="s">
        <v>123</v>
      </c>
      <c r="F252" s="33">
        <v>1</v>
      </c>
      <c r="G252" t="s">
        <v>141</v>
      </c>
      <c r="H252" t="s">
        <v>108</v>
      </c>
      <c r="J252" t="s">
        <v>114</v>
      </c>
      <c r="K252" s="14">
        <v>45992</v>
      </c>
      <c r="L252" t="s">
        <v>126</v>
      </c>
      <c r="M252" t="s">
        <v>977</v>
      </c>
      <c r="N252" s="27" t="s">
        <v>1009</v>
      </c>
      <c r="O252" s="26" t="s">
        <v>1010</v>
      </c>
      <c r="P252" s="26" t="s">
        <v>1011</v>
      </c>
      <c r="Q252" t="s">
        <v>977</v>
      </c>
      <c r="R252" t="s">
        <v>110</v>
      </c>
      <c r="S252" t="s">
        <v>110</v>
      </c>
      <c r="T252" t="s">
        <v>110</v>
      </c>
      <c r="V252" t="s">
        <v>142</v>
      </c>
      <c r="W252" t="s">
        <v>142</v>
      </c>
      <c r="X252" t="s">
        <v>142</v>
      </c>
      <c r="Y252" t="s">
        <v>142</v>
      </c>
      <c r="Z252" t="s">
        <v>142</v>
      </c>
      <c r="AA252" t="s">
        <v>142</v>
      </c>
      <c r="AB252" t="s">
        <v>142</v>
      </c>
      <c r="AC252" t="s">
        <v>114</v>
      </c>
      <c r="AE252" t="s">
        <v>114</v>
      </c>
      <c r="AF252" t="s">
        <v>142</v>
      </c>
      <c r="AG252" t="s">
        <v>142</v>
      </c>
      <c r="AH252" t="s">
        <v>142</v>
      </c>
      <c r="AI252" t="s">
        <v>142</v>
      </c>
      <c r="AJ252" t="s">
        <v>142</v>
      </c>
      <c r="AK252" t="s">
        <v>142</v>
      </c>
      <c r="AM252" t="s">
        <v>142</v>
      </c>
      <c r="AN252" t="s">
        <v>142</v>
      </c>
      <c r="AP252" t="s">
        <v>142</v>
      </c>
      <c r="AQ252" t="s">
        <v>142</v>
      </c>
      <c r="BF252" s="27" t="s">
        <v>1009</v>
      </c>
      <c r="BJ252" t="str">
        <f t="shared" si="55"/>
        <v/>
      </c>
      <c r="BK252" t="s">
        <v>137</v>
      </c>
      <c r="BL252" t="str">
        <f t="shared" si="45"/>
        <v/>
      </c>
      <c r="BM252" t="s">
        <v>159</v>
      </c>
      <c r="BO252" t="str">
        <f t="shared" si="54"/>
        <v/>
      </c>
      <c r="BR252" t="s">
        <v>451</v>
      </c>
      <c r="BS252" t="s">
        <v>114</v>
      </c>
      <c r="CI252" t="s">
        <v>119</v>
      </c>
      <c r="CO252" t="str">
        <f t="shared" si="46"/>
        <v>PAS INCLUS</v>
      </c>
      <c r="CP252" s="25">
        <v>46029</v>
      </c>
      <c r="CR252" t="str">
        <f t="shared" si="48"/>
        <v/>
      </c>
      <c r="CS252" t="str">
        <f t="shared" si="49"/>
        <v/>
      </c>
      <c r="CT252">
        <f t="shared" si="53"/>
        <v>37</v>
      </c>
      <c r="CU252">
        <f t="shared" si="50"/>
        <v>37</v>
      </c>
      <c r="CV252" t="str">
        <f t="shared" si="51"/>
        <v/>
      </c>
      <c r="CW252" s="11"/>
      <c r="CX252" s="11">
        <v>45992</v>
      </c>
      <c r="CY252" t="str">
        <f t="shared" si="47"/>
        <v>S49_2025</v>
      </c>
      <c r="DB252" t="s">
        <v>114</v>
      </c>
      <c r="DC252" t="s">
        <v>160</v>
      </c>
    </row>
    <row r="253" spans="1:107" x14ac:dyDescent="0.35">
      <c r="A253" t="s">
        <v>1012</v>
      </c>
      <c r="B253" s="10" t="str">
        <f t="shared" si="42"/>
        <v>S2_2026</v>
      </c>
      <c r="C253" s="10" t="str">
        <f t="shared" si="43"/>
        <v/>
      </c>
      <c r="D253" s="25">
        <v>46029</v>
      </c>
      <c r="E253" s="26" t="s">
        <v>106</v>
      </c>
      <c r="F253" s="33">
        <v>5</v>
      </c>
      <c r="G253" t="s">
        <v>107</v>
      </c>
      <c r="H253" t="s">
        <v>108</v>
      </c>
      <c r="J253" t="s">
        <v>114</v>
      </c>
      <c r="K253" s="14">
        <v>45996</v>
      </c>
      <c r="L253" t="s">
        <v>126</v>
      </c>
      <c r="M253" t="s">
        <v>977</v>
      </c>
      <c r="N253" s="27" t="s">
        <v>1009</v>
      </c>
      <c r="O253" s="26" t="s">
        <v>1010</v>
      </c>
      <c r="P253" s="26" t="s">
        <v>1013</v>
      </c>
      <c r="Q253" t="s">
        <v>977</v>
      </c>
      <c r="R253" t="s">
        <v>110</v>
      </c>
      <c r="S253" t="s">
        <v>110</v>
      </c>
      <c r="T253" t="s">
        <v>110</v>
      </c>
      <c r="V253" t="s">
        <v>142</v>
      </c>
      <c r="W253" t="s">
        <v>142</v>
      </c>
      <c r="X253" t="s">
        <v>142</v>
      </c>
      <c r="Y253" t="s">
        <v>142</v>
      </c>
      <c r="Z253" t="s">
        <v>142</v>
      </c>
      <c r="AA253" t="s">
        <v>142</v>
      </c>
      <c r="AB253" t="s">
        <v>142</v>
      </c>
      <c r="AC253" t="s">
        <v>114</v>
      </c>
      <c r="AE253" t="s">
        <v>114</v>
      </c>
      <c r="AF253" t="s">
        <v>142</v>
      </c>
      <c r="AG253" t="s">
        <v>142</v>
      </c>
      <c r="AH253" t="s">
        <v>142</v>
      </c>
      <c r="AI253" t="s">
        <v>142</v>
      </c>
      <c r="AJ253" t="s">
        <v>142</v>
      </c>
      <c r="AK253" t="s">
        <v>142</v>
      </c>
      <c r="AM253" t="s">
        <v>142</v>
      </c>
      <c r="AN253" t="s">
        <v>142</v>
      </c>
      <c r="AP253" t="s">
        <v>142</v>
      </c>
      <c r="AQ253" t="s">
        <v>142</v>
      </c>
      <c r="BF253" s="27" t="s">
        <v>1009</v>
      </c>
      <c r="BJ253" t="str">
        <f t="shared" si="55"/>
        <v/>
      </c>
      <c r="BK253" t="s">
        <v>137</v>
      </c>
      <c r="BL253" t="str">
        <f t="shared" si="45"/>
        <v/>
      </c>
      <c r="BM253" t="s">
        <v>159</v>
      </c>
      <c r="BO253" t="str">
        <f t="shared" si="54"/>
        <v/>
      </c>
      <c r="BR253" t="s">
        <v>451</v>
      </c>
      <c r="BS253" t="s">
        <v>114</v>
      </c>
      <c r="CI253" t="s">
        <v>119</v>
      </c>
      <c r="CO253" t="str">
        <f t="shared" si="46"/>
        <v>PAS INCLUS</v>
      </c>
      <c r="CP253" s="25">
        <v>46029</v>
      </c>
      <c r="CR253" t="str">
        <f t="shared" si="48"/>
        <v/>
      </c>
      <c r="CS253" t="str">
        <f t="shared" si="49"/>
        <v/>
      </c>
      <c r="CT253">
        <f t="shared" si="53"/>
        <v>33</v>
      </c>
      <c r="CU253">
        <f t="shared" si="50"/>
        <v>33</v>
      </c>
      <c r="CV253" t="str">
        <f t="shared" si="51"/>
        <v/>
      </c>
      <c r="CX253" s="11">
        <v>45996</v>
      </c>
      <c r="CY253" t="str">
        <f t="shared" si="47"/>
        <v>S49_2025</v>
      </c>
      <c r="DB253" t="s">
        <v>114</v>
      </c>
      <c r="DC253" t="s">
        <v>160</v>
      </c>
    </row>
    <row r="254" spans="1:107" x14ac:dyDescent="0.35">
      <c r="A254" t="s">
        <v>1014</v>
      </c>
      <c r="B254" s="10" t="str">
        <f t="shared" si="42"/>
        <v>S2_2026</v>
      </c>
      <c r="C254" s="10" t="str">
        <f t="shared" si="43"/>
        <v/>
      </c>
      <c r="D254" s="25">
        <v>46029</v>
      </c>
      <c r="E254" s="26" t="s">
        <v>106</v>
      </c>
      <c r="F254" s="33">
        <v>3</v>
      </c>
      <c r="G254" t="s">
        <v>141</v>
      </c>
      <c r="H254" t="s">
        <v>108</v>
      </c>
      <c r="J254" t="s">
        <v>114</v>
      </c>
      <c r="K254" s="14">
        <v>46002</v>
      </c>
      <c r="L254" t="s">
        <v>126</v>
      </c>
      <c r="M254" t="s">
        <v>977</v>
      </c>
      <c r="N254" s="27" t="s">
        <v>1009</v>
      </c>
      <c r="O254" s="26" t="s">
        <v>1010</v>
      </c>
      <c r="P254" s="26" t="s">
        <v>1015</v>
      </c>
      <c r="Q254" t="s">
        <v>977</v>
      </c>
      <c r="R254" t="s">
        <v>110</v>
      </c>
      <c r="S254" t="s">
        <v>110</v>
      </c>
      <c r="T254" t="s">
        <v>110</v>
      </c>
      <c r="V254" t="s">
        <v>142</v>
      </c>
      <c r="W254" t="s">
        <v>142</v>
      </c>
      <c r="X254" t="s">
        <v>142</v>
      </c>
      <c r="Y254" t="s">
        <v>142</v>
      </c>
      <c r="Z254" t="s">
        <v>142</v>
      </c>
      <c r="AA254" t="s">
        <v>142</v>
      </c>
      <c r="AB254" t="s">
        <v>142</v>
      </c>
      <c r="AC254" t="s">
        <v>114</v>
      </c>
      <c r="AE254" t="s">
        <v>114</v>
      </c>
      <c r="AF254" t="s">
        <v>142</v>
      </c>
      <c r="AG254" t="s">
        <v>142</v>
      </c>
      <c r="AH254" t="s">
        <v>142</v>
      </c>
      <c r="AI254" t="s">
        <v>142</v>
      </c>
      <c r="AJ254" t="s">
        <v>142</v>
      </c>
      <c r="AK254" t="s">
        <v>142</v>
      </c>
      <c r="AM254" t="s">
        <v>142</v>
      </c>
      <c r="AN254" t="s">
        <v>142</v>
      </c>
      <c r="AP254" t="s">
        <v>142</v>
      </c>
      <c r="AQ254" t="s">
        <v>142</v>
      </c>
      <c r="BF254" s="27" t="s">
        <v>1009</v>
      </c>
      <c r="BJ254" t="str">
        <f t="shared" si="55"/>
        <v/>
      </c>
      <c r="BK254" t="s">
        <v>137</v>
      </c>
      <c r="BL254" t="str">
        <f t="shared" si="45"/>
        <v/>
      </c>
      <c r="BM254" t="s">
        <v>159</v>
      </c>
      <c r="BO254" t="str">
        <f t="shared" si="54"/>
        <v/>
      </c>
      <c r="BR254" t="s">
        <v>451</v>
      </c>
      <c r="BS254" t="s">
        <v>114</v>
      </c>
      <c r="CI254" t="s">
        <v>119</v>
      </c>
      <c r="CO254" t="str">
        <f t="shared" si="46"/>
        <v>PAS INCLUS</v>
      </c>
      <c r="CP254" s="25">
        <v>46029</v>
      </c>
      <c r="CR254" t="str">
        <f t="shared" si="48"/>
        <v/>
      </c>
      <c r="CS254" t="str">
        <f t="shared" si="49"/>
        <v/>
      </c>
      <c r="CT254">
        <f t="shared" si="53"/>
        <v>27</v>
      </c>
      <c r="CU254">
        <f t="shared" si="50"/>
        <v>27</v>
      </c>
      <c r="CV254" t="str">
        <f t="shared" si="51"/>
        <v/>
      </c>
      <c r="CX254" s="11">
        <v>46002</v>
      </c>
      <c r="CY254" t="str">
        <f t="shared" si="47"/>
        <v>S50_2025</v>
      </c>
      <c r="DB254" t="s">
        <v>114</v>
      </c>
      <c r="DC254" t="s">
        <v>160</v>
      </c>
    </row>
    <row r="255" spans="1:107" x14ac:dyDescent="0.35">
      <c r="A255" t="s">
        <v>1016</v>
      </c>
      <c r="B255" s="10" t="str">
        <f t="shared" si="42"/>
        <v>S2_2026</v>
      </c>
      <c r="C255" s="10" t="str">
        <f t="shared" si="43"/>
        <v/>
      </c>
      <c r="D255" s="25">
        <v>46029</v>
      </c>
      <c r="E255" s="26" t="s">
        <v>106</v>
      </c>
      <c r="F255" s="33">
        <v>1</v>
      </c>
      <c r="G255" t="s">
        <v>141</v>
      </c>
      <c r="H255" t="s">
        <v>108</v>
      </c>
      <c r="J255" t="s">
        <v>114</v>
      </c>
      <c r="K255" s="14">
        <v>46002</v>
      </c>
      <c r="L255" t="s">
        <v>126</v>
      </c>
      <c r="M255" t="s">
        <v>977</v>
      </c>
      <c r="N255" s="27" t="s">
        <v>1009</v>
      </c>
      <c r="O255" s="26" t="s">
        <v>1010</v>
      </c>
      <c r="P255" t="s">
        <v>110</v>
      </c>
      <c r="Q255" t="s">
        <v>977</v>
      </c>
      <c r="R255" t="s">
        <v>110</v>
      </c>
      <c r="S255" t="s">
        <v>110</v>
      </c>
      <c r="T255" t="s">
        <v>110</v>
      </c>
      <c r="V255" t="s">
        <v>142</v>
      </c>
      <c r="W255" t="s">
        <v>142</v>
      </c>
      <c r="X255" t="s">
        <v>142</v>
      </c>
      <c r="Y255" t="s">
        <v>142</v>
      </c>
      <c r="Z255" t="s">
        <v>142</v>
      </c>
      <c r="AA255" t="s">
        <v>142</v>
      </c>
      <c r="AB255" t="s">
        <v>142</v>
      </c>
      <c r="AC255" t="s">
        <v>114</v>
      </c>
      <c r="AE255" t="s">
        <v>114</v>
      </c>
      <c r="AF255" t="s">
        <v>142</v>
      </c>
      <c r="AG255" t="s">
        <v>142</v>
      </c>
      <c r="AH255" t="s">
        <v>142</v>
      </c>
      <c r="AI255" t="s">
        <v>142</v>
      </c>
      <c r="AJ255" t="s">
        <v>142</v>
      </c>
      <c r="AK255" t="s">
        <v>142</v>
      </c>
      <c r="AM255" t="s">
        <v>142</v>
      </c>
      <c r="AN255" t="s">
        <v>142</v>
      </c>
      <c r="AP255" t="s">
        <v>142</v>
      </c>
      <c r="AQ255" t="s">
        <v>142</v>
      </c>
      <c r="BF255" s="27" t="s">
        <v>1009</v>
      </c>
      <c r="BJ255" t="str">
        <f t="shared" si="55"/>
        <v/>
      </c>
      <c r="BK255" t="s">
        <v>137</v>
      </c>
      <c r="BL255" t="str">
        <f t="shared" si="45"/>
        <v/>
      </c>
      <c r="BM255" t="s">
        <v>159</v>
      </c>
      <c r="BO255" t="str">
        <f t="shared" si="54"/>
        <v/>
      </c>
      <c r="BR255" t="s">
        <v>451</v>
      </c>
      <c r="BS255" t="s">
        <v>114</v>
      </c>
      <c r="CI255" t="s">
        <v>119</v>
      </c>
      <c r="CO255" t="str">
        <f t="shared" si="46"/>
        <v>PAS INCLUS</v>
      </c>
      <c r="CP255" s="25">
        <v>46029</v>
      </c>
      <c r="CR255" t="str">
        <f t="shared" si="48"/>
        <v/>
      </c>
      <c r="CS255" t="str">
        <f t="shared" si="49"/>
        <v/>
      </c>
      <c r="CT255">
        <f t="shared" si="53"/>
        <v>27</v>
      </c>
      <c r="CU255">
        <f t="shared" si="50"/>
        <v>27</v>
      </c>
      <c r="CV255" t="str">
        <f t="shared" si="51"/>
        <v/>
      </c>
      <c r="CX255" s="11">
        <v>46002</v>
      </c>
      <c r="CY255" t="str">
        <f t="shared" si="47"/>
        <v>S50_2025</v>
      </c>
      <c r="DB255" t="s">
        <v>114</v>
      </c>
      <c r="DC255" t="s">
        <v>160</v>
      </c>
    </row>
    <row r="256" spans="1:107" x14ac:dyDescent="0.35">
      <c r="A256" t="s">
        <v>1017</v>
      </c>
      <c r="B256" s="10" t="str">
        <f t="shared" si="42"/>
        <v>S2_2026</v>
      </c>
      <c r="C256" s="10" t="str">
        <f t="shared" si="43"/>
        <v/>
      </c>
      <c r="D256" s="25">
        <v>46029</v>
      </c>
      <c r="E256" s="26" t="s">
        <v>106</v>
      </c>
      <c r="F256" s="33">
        <v>38</v>
      </c>
      <c r="G256" t="s">
        <v>110</v>
      </c>
      <c r="H256" t="s">
        <v>108</v>
      </c>
      <c r="J256" t="s">
        <v>114</v>
      </c>
      <c r="K256" s="14">
        <v>46028</v>
      </c>
      <c r="L256" t="s">
        <v>126</v>
      </c>
      <c r="M256" t="s">
        <v>977</v>
      </c>
      <c r="N256" s="27" t="s">
        <v>1009</v>
      </c>
      <c r="O256" s="26" t="s">
        <v>1010</v>
      </c>
      <c r="P256" s="26" t="s">
        <v>1018</v>
      </c>
      <c r="Q256" t="s">
        <v>977</v>
      </c>
      <c r="R256" t="s">
        <v>110</v>
      </c>
      <c r="S256" t="s">
        <v>110</v>
      </c>
      <c r="T256" t="s">
        <v>110</v>
      </c>
      <c r="V256" t="s">
        <v>142</v>
      </c>
      <c r="W256" t="s">
        <v>142</v>
      </c>
      <c r="X256" t="s">
        <v>142</v>
      </c>
      <c r="Y256" t="s">
        <v>142</v>
      </c>
      <c r="Z256" t="s">
        <v>142</v>
      </c>
      <c r="AA256" t="s">
        <v>142</v>
      </c>
      <c r="AB256" t="s">
        <v>142</v>
      </c>
      <c r="AC256" t="s">
        <v>114</v>
      </c>
      <c r="AE256" t="s">
        <v>114</v>
      </c>
      <c r="AF256" t="s">
        <v>142</v>
      </c>
      <c r="AG256" t="s">
        <v>142</v>
      </c>
      <c r="AH256" t="s">
        <v>142</v>
      </c>
      <c r="AI256" t="s">
        <v>142</v>
      </c>
      <c r="AJ256" t="s">
        <v>142</v>
      </c>
      <c r="AK256" t="s">
        <v>142</v>
      </c>
      <c r="AM256" t="s">
        <v>142</v>
      </c>
      <c r="AN256" t="s">
        <v>142</v>
      </c>
      <c r="AP256" t="s">
        <v>142</v>
      </c>
      <c r="AQ256" t="s">
        <v>142</v>
      </c>
      <c r="BF256" s="27" t="s">
        <v>1009</v>
      </c>
      <c r="BJ256" t="str">
        <f t="shared" si="55"/>
        <v/>
      </c>
      <c r="BK256" t="s">
        <v>137</v>
      </c>
      <c r="BL256" t="str">
        <f t="shared" si="45"/>
        <v/>
      </c>
      <c r="BM256" t="s">
        <v>159</v>
      </c>
      <c r="BO256" t="str">
        <f t="shared" si="54"/>
        <v/>
      </c>
      <c r="BR256" t="s">
        <v>451</v>
      </c>
      <c r="BS256" t="s">
        <v>114</v>
      </c>
      <c r="CI256" t="s">
        <v>119</v>
      </c>
      <c r="CO256" t="str">
        <f t="shared" si="46"/>
        <v>PAS INCLUS</v>
      </c>
      <c r="CP256" s="25">
        <v>46029</v>
      </c>
      <c r="CR256" t="str">
        <f t="shared" si="48"/>
        <v/>
      </c>
      <c r="CS256" t="str">
        <f t="shared" si="49"/>
        <v/>
      </c>
      <c r="CT256">
        <f t="shared" si="53"/>
        <v>1</v>
      </c>
      <c r="CU256">
        <f t="shared" si="50"/>
        <v>1</v>
      </c>
      <c r="CV256" t="str">
        <f t="shared" si="51"/>
        <v/>
      </c>
      <c r="CX256" s="11">
        <v>46028</v>
      </c>
      <c r="CY256" t="str">
        <f t="shared" si="47"/>
        <v>S2_2026</v>
      </c>
      <c r="DB256" t="s">
        <v>114</v>
      </c>
      <c r="DC256" t="s">
        <v>160</v>
      </c>
    </row>
    <row r="257" spans="1:107" x14ac:dyDescent="0.35">
      <c r="A257" t="s">
        <v>1019</v>
      </c>
      <c r="B257" s="10" t="str">
        <f t="shared" ref="B257:B320" si="56">IFERROR("S"&amp;(IF(_xlfn.ISOWEEKNUM(D257)&gt;0,_xlfn.ISOWEEKNUM(D257),_xlfn.CONCAT("0",_xlfn.ISOWEEKNUM(D257))))&amp;"_"&amp;(YEAR(D257+26-(_xlfn.ISOWEEKNUM(D257)))),"")</f>
        <v>S2_2026</v>
      </c>
      <c r="C257" s="10" t="str">
        <f t="shared" ref="C257:C320" si="57">IFERROR("S"&amp;(IF(_xlfn.ISOWEEKNUM(R257)&gt;0,_xlfn.ISOWEEKNUM(R257),_xlfn.CONCAT("0",_xlfn.ISOWEEKNUM(R257))))&amp;"_"&amp;(YEAR(R257+26-(_xlfn.ISOWEEKNUM(R257)))),"")</f>
        <v/>
      </c>
      <c r="D257" s="25">
        <v>46029</v>
      </c>
      <c r="E257" s="27" t="s">
        <v>106</v>
      </c>
      <c r="F257" s="65">
        <v>0.83333333333333337</v>
      </c>
      <c r="G257" t="s">
        <v>141</v>
      </c>
      <c r="H257" t="s">
        <v>108</v>
      </c>
      <c r="J257" t="s">
        <v>114</v>
      </c>
      <c r="K257" s="14">
        <v>46001</v>
      </c>
      <c r="L257" t="s">
        <v>126</v>
      </c>
      <c r="M257" t="s">
        <v>977</v>
      </c>
      <c r="N257" s="27" t="s">
        <v>1020</v>
      </c>
      <c r="O257" s="26" t="s">
        <v>1021</v>
      </c>
      <c r="P257" s="27" t="s">
        <v>1022</v>
      </c>
      <c r="Q257" t="s">
        <v>155</v>
      </c>
      <c r="R257" t="s">
        <v>110</v>
      </c>
      <c r="S257" t="s">
        <v>110</v>
      </c>
      <c r="T257" t="s">
        <v>110</v>
      </c>
      <c r="V257" t="s">
        <v>142</v>
      </c>
      <c r="W257" t="s">
        <v>142</v>
      </c>
      <c r="X257" t="s">
        <v>142</v>
      </c>
      <c r="Y257" t="s">
        <v>142</v>
      </c>
      <c r="Z257" t="s">
        <v>142</v>
      </c>
      <c r="AA257" t="s">
        <v>142</v>
      </c>
      <c r="AB257" t="s">
        <v>142</v>
      </c>
      <c r="AC257" t="s">
        <v>114</v>
      </c>
      <c r="AE257" t="s">
        <v>114</v>
      </c>
      <c r="AF257" t="s">
        <v>142</v>
      </c>
      <c r="AG257" t="s">
        <v>142</v>
      </c>
      <c r="AH257" t="s">
        <v>142</v>
      </c>
      <c r="AI257" t="s">
        <v>142</v>
      </c>
      <c r="AJ257" t="s">
        <v>142</v>
      </c>
      <c r="AK257" t="s">
        <v>142</v>
      </c>
      <c r="AM257" t="s">
        <v>142</v>
      </c>
      <c r="AN257" t="s">
        <v>142</v>
      </c>
      <c r="AP257" t="s">
        <v>142</v>
      </c>
      <c r="AQ257" t="s">
        <v>142</v>
      </c>
      <c r="BF257" s="27" t="s">
        <v>1023</v>
      </c>
      <c r="BJ257" t="str">
        <f t="shared" si="55"/>
        <v/>
      </c>
      <c r="BK257" t="s">
        <v>137</v>
      </c>
      <c r="BL257" t="str">
        <f t="shared" ref="BL257:BL320" si="58">IFERROR("S"&amp;(IF(_xlfn.ISOWEEKNUM(BC257)&gt;0,_xlfn.ISOWEEKNUM(BC257),_xlfn.CONCAT("0",_xlfn.ISOWEEKNUM(BC257))))&amp;"_"&amp;(YEAR(BC257+26-(_xlfn.ISOWEEKNUM(BC257)))),"")</f>
        <v/>
      </c>
      <c r="BM257" t="s">
        <v>159</v>
      </c>
      <c r="BO257" t="str">
        <f t="shared" si="54"/>
        <v/>
      </c>
      <c r="BR257" t="s">
        <v>451</v>
      </c>
      <c r="BS257" t="s">
        <v>114</v>
      </c>
      <c r="CI257" t="s">
        <v>119</v>
      </c>
      <c r="CO257" t="str">
        <f t="shared" si="46"/>
        <v>PAS INCLUS</v>
      </c>
      <c r="CP257" s="25">
        <v>46029</v>
      </c>
      <c r="CR257" t="str">
        <f t="shared" si="48"/>
        <v/>
      </c>
      <c r="CS257" t="str">
        <f t="shared" si="49"/>
        <v/>
      </c>
      <c r="CT257">
        <f t="shared" si="53"/>
        <v>28</v>
      </c>
      <c r="CU257">
        <f t="shared" si="50"/>
        <v>28</v>
      </c>
      <c r="CV257" t="str">
        <f t="shared" si="51"/>
        <v/>
      </c>
      <c r="CX257" s="11">
        <v>46001</v>
      </c>
      <c r="CY257" t="str">
        <f t="shared" si="47"/>
        <v>S50_2025</v>
      </c>
      <c r="DB257" t="s">
        <v>114</v>
      </c>
      <c r="DC257" t="s">
        <v>160</v>
      </c>
    </row>
    <row r="258" spans="1:107" x14ac:dyDescent="0.35">
      <c r="A258" t="s">
        <v>1024</v>
      </c>
      <c r="B258" s="10" t="str">
        <f t="shared" si="56"/>
        <v>S2_2026</v>
      </c>
      <c r="C258" s="10" t="str">
        <f t="shared" si="57"/>
        <v/>
      </c>
      <c r="D258" s="25">
        <v>46029</v>
      </c>
      <c r="E258" s="27" t="s">
        <v>123</v>
      </c>
      <c r="F258" s="66">
        <v>5</v>
      </c>
      <c r="G258" t="s">
        <v>107</v>
      </c>
      <c r="H258" t="s">
        <v>108</v>
      </c>
      <c r="J258" t="s">
        <v>114</v>
      </c>
      <c r="K258" s="14">
        <v>46008</v>
      </c>
      <c r="L258" t="s">
        <v>126</v>
      </c>
      <c r="M258" t="s">
        <v>977</v>
      </c>
      <c r="N258" s="27" t="s">
        <v>1020</v>
      </c>
      <c r="O258" s="26" t="s">
        <v>1021</v>
      </c>
      <c r="P258" s="27" t="s">
        <v>1025</v>
      </c>
      <c r="Q258" t="s">
        <v>977</v>
      </c>
      <c r="R258" t="s">
        <v>110</v>
      </c>
      <c r="S258" t="s">
        <v>110</v>
      </c>
      <c r="T258" t="s">
        <v>110</v>
      </c>
      <c r="V258" t="s">
        <v>142</v>
      </c>
      <c r="W258" t="s">
        <v>142</v>
      </c>
      <c r="X258" t="s">
        <v>142</v>
      </c>
      <c r="Y258" t="s">
        <v>142</v>
      </c>
      <c r="Z258" t="s">
        <v>142</v>
      </c>
      <c r="AA258" t="s">
        <v>142</v>
      </c>
      <c r="AB258" t="s">
        <v>142</v>
      </c>
      <c r="AC258" t="s">
        <v>114</v>
      </c>
      <c r="AE258" t="s">
        <v>114</v>
      </c>
      <c r="AF258" t="s">
        <v>142</v>
      </c>
      <c r="AG258" t="s">
        <v>142</v>
      </c>
      <c r="AH258" t="s">
        <v>142</v>
      </c>
      <c r="AI258" t="s">
        <v>142</v>
      </c>
      <c r="AJ258" t="s">
        <v>142</v>
      </c>
      <c r="AK258" t="s">
        <v>142</v>
      </c>
      <c r="AM258" t="s">
        <v>142</v>
      </c>
      <c r="AN258" t="s">
        <v>142</v>
      </c>
      <c r="AP258" t="s">
        <v>142</v>
      </c>
      <c r="AQ258" t="s">
        <v>142</v>
      </c>
      <c r="BF258" s="27" t="s">
        <v>1020</v>
      </c>
      <c r="BJ258" t="str">
        <f t="shared" si="55"/>
        <v/>
      </c>
      <c r="BK258" t="s">
        <v>137</v>
      </c>
      <c r="BL258" t="str">
        <f t="shared" si="58"/>
        <v/>
      </c>
      <c r="BM258" t="s">
        <v>159</v>
      </c>
      <c r="BO258" t="str">
        <f t="shared" si="54"/>
        <v/>
      </c>
      <c r="BR258" t="s">
        <v>451</v>
      </c>
      <c r="BS258" t="s">
        <v>114</v>
      </c>
      <c r="CI258" t="s">
        <v>119</v>
      </c>
      <c r="CO258" t="str">
        <f t="shared" ref="CO258:CO323" si="59">AV258&amp;CI258</f>
        <v>PAS INCLUS</v>
      </c>
      <c r="CP258" s="25">
        <v>46029</v>
      </c>
      <c r="CR258" t="str">
        <f t="shared" si="48"/>
        <v/>
      </c>
      <c r="CS258" t="str">
        <f t="shared" si="49"/>
        <v/>
      </c>
      <c r="CT258">
        <f t="shared" si="53"/>
        <v>21</v>
      </c>
      <c r="CU258">
        <f t="shared" si="50"/>
        <v>21</v>
      </c>
      <c r="CV258" t="str">
        <f t="shared" si="51"/>
        <v/>
      </c>
      <c r="CX258" s="11">
        <v>46008</v>
      </c>
      <c r="CY258" t="str">
        <f t="shared" ref="CY258:CY321" si="60">IFERROR("S"&amp;(IF(_xlfn.ISOWEEKNUM(CX258)&gt;0,_xlfn.ISOWEEKNUM(CX258),_xlfn.CONCAT("0",_xlfn.ISOWEEKNUM(CX258))))&amp;"_"&amp;(YEAR(CX258+26-(_xlfn.ISOWEEKNUM(CX258)))),"")</f>
        <v>S51_2025</v>
      </c>
      <c r="DB258" t="s">
        <v>114</v>
      </c>
      <c r="DC258" t="s">
        <v>160</v>
      </c>
    </row>
    <row r="259" spans="1:107" x14ac:dyDescent="0.35">
      <c r="A259" t="s">
        <v>1026</v>
      </c>
      <c r="B259" s="10" t="str">
        <f t="shared" si="56"/>
        <v>S2_2026</v>
      </c>
      <c r="C259" s="10" t="str">
        <f t="shared" si="57"/>
        <v/>
      </c>
      <c r="D259" s="25">
        <v>46029</v>
      </c>
      <c r="E259" s="27" t="s">
        <v>123</v>
      </c>
      <c r="F259" s="66">
        <v>2</v>
      </c>
      <c r="G259" t="s">
        <v>141</v>
      </c>
      <c r="H259" t="s">
        <v>108</v>
      </c>
      <c r="J259" t="s">
        <v>114</v>
      </c>
      <c r="K259" s="14">
        <v>46010</v>
      </c>
      <c r="L259" t="s">
        <v>126</v>
      </c>
      <c r="M259" t="s">
        <v>977</v>
      </c>
      <c r="N259" s="27" t="s">
        <v>1020</v>
      </c>
      <c r="O259" s="26" t="s">
        <v>1021</v>
      </c>
      <c r="P259" s="27" t="s">
        <v>1027</v>
      </c>
      <c r="Q259" t="s">
        <v>977</v>
      </c>
      <c r="R259" t="s">
        <v>110</v>
      </c>
      <c r="S259" t="s">
        <v>110</v>
      </c>
      <c r="T259" t="s">
        <v>110</v>
      </c>
      <c r="V259" t="s">
        <v>142</v>
      </c>
      <c r="W259" t="s">
        <v>142</v>
      </c>
      <c r="X259" t="s">
        <v>142</v>
      </c>
      <c r="Y259" t="s">
        <v>142</v>
      </c>
      <c r="Z259" t="s">
        <v>142</v>
      </c>
      <c r="AA259" t="s">
        <v>142</v>
      </c>
      <c r="AB259" t="s">
        <v>142</v>
      </c>
      <c r="AC259" t="s">
        <v>114</v>
      </c>
      <c r="AE259" t="s">
        <v>114</v>
      </c>
      <c r="AF259" t="s">
        <v>142</v>
      </c>
      <c r="AG259" t="s">
        <v>142</v>
      </c>
      <c r="AH259" t="s">
        <v>142</v>
      </c>
      <c r="AI259" t="s">
        <v>142</v>
      </c>
      <c r="AJ259" t="s">
        <v>142</v>
      </c>
      <c r="AK259" t="s">
        <v>142</v>
      </c>
      <c r="AM259" t="s">
        <v>142</v>
      </c>
      <c r="AN259" t="s">
        <v>142</v>
      </c>
      <c r="AP259" t="s">
        <v>142</v>
      </c>
      <c r="AQ259" t="s">
        <v>142</v>
      </c>
      <c r="BF259" s="27" t="s">
        <v>1020</v>
      </c>
      <c r="BJ259" t="str">
        <f t="shared" si="55"/>
        <v/>
      </c>
      <c r="BK259" t="s">
        <v>137</v>
      </c>
      <c r="BL259" t="str">
        <f t="shared" si="58"/>
        <v/>
      </c>
      <c r="BM259" t="s">
        <v>159</v>
      </c>
      <c r="BO259" t="str">
        <f t="shared" si="54"/>
        <v/>
      </c>
      <c r="BR259" t="s">
        <v>451</v>
      </c>
      <c r="BS259" t="s">
        <v>114</v>
      </c>
      <c r="CI259" t="s">
        <v>119</v>
      </c>
      <c r="CO259" t="str">
        <f t="shared" si="59"/>
        <v>PAS INCLUS</v>
      </c>
      <c r="CP259" s="25">
        <v>46029</v>
      </c>
      <c r="CR259" t="str">
        <f t="shared" ref="CR259:CR322" si="61">IF(BP259="Non","",IF(BP259="","",AS259-BC259))</f>
        <v/>
      </c>
      <c r="CS259" t="str">
        <f t="shared" ref="CS259:CS322" si="62">IF(BP259="Non","",IF(BP259="","",BN259-AS259))</f>
        <v/>
      </c>
      <c r="CT259">
        <f t="shared" si="53"/>
        <v>19</v>
      </c>
      <c r="CU259">
        <f t="shared" ref="CU259:CU322" si="63">IF(J259="Non","",IF(J259="","",CP259-K259))</f>
        <v>19</v>
      </c>
      <c r="CV259" t="str">
        <f t="shared" ref="CV259:CV322" si="64">IF(AV259="POSITIF",BI259-CX259,"")</f>
        <v/>
      </c>
      <c r="CX259" s="11">
        <v>46010</v>
      </c>
      <c r="CY259" t="str">
        <f t="shared" si="60"/>
        <v>S51_2025</v>
      </c>
      <c r="DB259" t="s">
        <v>114</v>
      </c>
      <c r="DC259" t="s">
        <v>160</v>
      </c>
    </row>
    <row r="260" spans="1:107" x14ac:dyDescent="0.35">
      <c r="A260" t="s">
        <v>1028</v>
      </c>
      <c r="B260" s="10" t="str">
        <f t="shared" si="56"/>
        <v>S2_2026</v>
      </c>
      <c r="C260" s="10" t="str">
        <f t="shared" si="57"/>
        <v/>
      </c>
      <c r="D260" s="25">
        <v>46029</v>
      </c>
      <c r="E260" s="27" t="s">
        <v>106</v>
      </c>
      <c r="F260" s="66">
        <v>6</v>
      </c>
      <c r="G260" t="s">
        <v>107</v>
      </c>
      <c r="H260" t="s">
        <v>108</v>
      </c>
      <c r="J260" t="s">
        <v>114</v>
      </c>
      <c r="K260" s="14">
        <v>46012</v>
      </c>
      <c r="L260" t="s">
        <v>126</v>
      </c>
      <c r="M260" t="s">
        <v>977</v>
      </c>
      <c r="N260" s="27" t="s">
        <v>1020</v>
      </c>
      <c r="O260" s="26" t="s">
        <v>1021</v>
      </c>
      <c r="P260" s="27" t="s">
        <v>1029</v>
      </c>
      <c r="Q260" t="s">
        <v>977</v>
      </c>
      <c r="R260" t="s">
        <v>110</v>
      </c>
      <c r="S260" t="s">
        <v>110</v>
      </c>
      <c r="T260" t="s">
        <v>110</v>
      </c>
      <c r="V260" t="s">
        <v>142</v>
      </c>
      <c r="W260" t="s">
        <v>142</v>
      </c>
      <c r="X260" t="s">
        <v>142</v>
      </c>
      <c r="Y260" t="s">
        <v>142</v>
      </c>
      <c r="Z260" t="s">
        <v>142</v>
      </c>
      <c r="AA260" t="s">
        <v>142</v>
      </c>
      <c r="AB260" t="s">
        <v>142</v>
      </c>
      <c r="AC260" t="s">
        <v>114</v>
      </c>
      <c r="AE260" t="s">
        <v>114</v>
      </c>
      <c r="AF260" t="s">
        <v>142</v>
      </c>
      <c r="AG260" t="s">
        <v>142</v>
      </c>
      <c r="AH260" t="s">
        <v>142</v>
      </c>
      <c r="AI260" t="s">
        <v>142</v>
      </c>
      <c r="AJ260" t="s">
        <v>142</v>
      </c>
      <c r="AK260" t="s">
        <v>142</v>
      </c>
      <c r="AM260" t="s">
        <v>142</v>
      </c>
      <c r="AN260" t="s">
        <v>142</v>
      </c>
      <c r="AP260" t="s">
        <v>142</v>
      </c>
      <c r="AQ260" t="s">
        <v>142</v>
      </c>
      <c r="BF260" s="27" t="s">
        <v>1020</v>
      </c>
      <c r="BJ260" t="str">
        <f t="shared" si="55"/>
        <v/>
      </c>
      <c r="BK260" t="s">
        <v>137</v>
      </c>
      <c r="BL260" t="str">
        <f t="shared" si="58"/>
        <v/>
      </c>
      <c r="BM260" t="s">
        <v>159</v>
      </c>
      <c r="BO260" t="str">
        <f t="shared" si="54"/>
        <v/>
      </c>
      <c r="BR260" t="s">
        <v>451</v>
      </c>
      <c r="BS260" t="s">
        <v>114</v>
      </c>
      <c r="CI260" t="s">
        <v>119</v>
      </c>
      <c r="CO260" t="str">
        <f t="shared" si="59"/>
        <v>PAS INCLUS</v>
      </c>
      <c r="CP260" s="25">
        <v>46029</v>
      </c>
      <c r="CR260" t="str">
        <f t="shared" si="61"/>
        <v/>
      </c>
      <c r="CS260" t="str">
        <f t="shared" si="62"/>
        <v/>
      </c>
      <c r="CT260">
        <f t="shared" si="53"/>
        <v>17</v>
      </c>
      <c r="CU260">
        <f t="shared" si="63"/>
        <v>17</v>
      </c>
      <c r="CV260" t="str">
        <f t="shared" si="64"/>
        <v/>
      </c>
      <c r="CX260" s="11">
        <v>46012</v>
      </c>
      <c r="CY260" t="str">
        <f t="shared" si="60"/>
        <v>S51_2025</v>
      </c>
      <c r="DB260" t="s">
        <v>114</v>
      </c>
      <c r="DC260" t="s">
        <v>160</v>
      </c>
    </row>
    <row r="261" spans="1:107" x14ac:dyDescent="0.35">
      <c r="A261" t="s">
        <v>1030</v>
      </c>
      <c r="B261" s="10" t="str">
        <f t="shared" si="56"/>
        <v>S2_2026</v>
      </c>
      <c r="C261" s="10" t="str">
        <f t="shared" si="57"/>
        <v/>
      </c>
      <c r="D261" s="25">
        <v>46029</v>
      </c>
      <c r="E261" s="27" t="s">
        <v>123</v>
      </c>
      <c r="F261" s="66">
        <v>5</v>
      </c>
      <c r="G261" t="s">
        <v>107</v>
      </c>
      <c r="H261" t="s">
        <v>108</v>
      </c>
      <c r="J261" t="s">
        <v>114</v>
      </c>
      <c r="K261" s="14">
        <v>46020</v>
      </c>
      <c r="L261" t="s">
        <v>126</v>
      </c>
      <c r="M261" t="s">
        <v>977</v>
      </c>
      <c r="N261" s="27" t="s">
        <v>1020</v>
      </c>
      <c r="O261" s="26" t="s">
        <v>1021</v>
      </c>
      <c r="P261" s="27" t="s">
        <v>1031</v>
      </c>
      <c r="Q261" t="s">
        <v>977</v>
      </c>
      <c r="R261" t="s">
        <v>110</v>
      </c>
      <c r="S261" t="s">
        <v>110</v>
      </c>
      <c r="T261" t="s">
        <v>110</v>
      </c>
      <c r="V261" t="s">
        <v>142</v>
      </c>
      <c r="W261" t="s">
        <v>142</v>
      </c>
      <c r="X261" t="s">
        <v>142</v>
      </c>
      <c r="Y261" t="s">
        <v>142</v>
      </c>
      <c r="Z261" t="s">
        <v>142</v>
      </c>
      <c r="AA261" t="s">
        <v>142</v>
      </c>
      <c r="AB261" t="s">
        <v>142</v>
      </c>
      <c r="AC261" t="s">
        <v>114</v>
      </c>
      <c r="AE261" t="s">
        <v>114</v>
      </c>
      <c r="AF261" t="s">
        <v>142</v>
      </c>
      <c r="AG261" t="s">
        <v>142</v>
      </c>
      <c r="AH261" t="s">
        <v>142</v>
      </c>
      <c r="AI261" t="s">
        <v>142</v>
      </c>
      <c r="AJ261" t="s">
        <v>142</v>
      </c>
      <c r="AK261" t="s">
        <v>142</v>
      </c>
      <c r="AM261" t="s">
        <v>142</v>
      </c>
      <c r="AN261" t="s">
        <v>142</v>
      </c>
      <c r="AP261" t="s">
        <v>142</v>
      </c>
      <c r="AQ261" t="s">
        <v>142</v>
      </c>
      <c r="BF261" s="27" t="s">
        <v>1020</v>
      </c>
      <c r="BJ261" t="str">
        <f t="shared" si="55"/>
        <v/>
      </c>
      <c r="BK261" t="s">
        <v>137</v>
      </c>
      <c r="BL261" t="str">
        <f t="shared" si="58"/>
        <v/>
      </c>
      <c r="BM261" t="s">
        <v>159</v>
      </c>
      <c r="BO261" t="str">
        <f t="shared" si="54"/>
        <v/>
      </c>
      <c r="BR261" t="s">
        <v>451</v>
      </c>
      <c r="BS261" t="s">
        <v>114</v>
      </c>
      <c r="CI261" t="s">
        <v>119</v>
      </c>
      <c r="CO261" t="str">
        <f t="shared" si="59"/>
        <v>PAS INCLUS</v>
      </c>
      <c r="CP261" s="25">
        <v>46029</v>
      </c>
      <c r="CR261" t="str">
        <f t="shared" si="61"/>
        <v/>
      </c>
      <c r="CS261" t="str">
        <f t="shared" si="62"/>
        <v/>
      </c>
      <c r="CT261">
        <f t="shared" si="53"/>
        <v>9</v>
      </c>
      <c r="CU261">
        <f t="shared" si="63"/>
        <v>9</v>
      </c>
      <c r="CV261" t="str">
        <f t="shared" si="64"/>
        <v/>
      </c>
      <c r="CX261" s="11">
        <v>46020</v>
      </c>
      <c r="CY261" t="str">
        <f t="shared" si="60"/>
        <v>S1_2026</v>
      </c>
      <c r="DB261" t="s">
        <v>114</v>
      </c>
      <c r="DC261" t="s">
        <v>160</v>
      </c>
    </row>
    <row r="262" spans="1:107" x14ac:dyDescent="0.35">
      <c r="A262" t="s">
        <v>1032</v>
      </c>
      <c r="B262" s="10" t="str">
        <f t="shared" si="56"/>
        <v>S2_2026</v>
      </c>
      <c r="C262" s="10" t="str">
        <f t="shared" si="57"/>
        <v/>
      </c>
      <c r="D262" s="25">
        <v>46029</v>
      </c>
      <c r="E262" s="27" t="s">
        <v>106</v>
      </c>
      <c r="F262" s="65">
        <v>0.58333333333333337</v>
      </c>
      <c r="G262" t="s">
        <v>141</v>
      </c>
      <c r="H262" t="s">
        <v>108</v>
      </c>
      <c r="J262" t="s">
        <v>114</v>
      </c>
      <c r="K262" s="14">
        <v>46022</v>
      </c>
      <c r="L262" t="s">
        <v>126</v>
      </c>
      <c r="M262" t="s">
        <v>977</v>
      </c>
      <c r="N262" s="27" t="s">
        <v>1020</v>
      </c>
      <c r="O262" s="26" t="s">
        <v>1021</v>
      </c>
      <c r="P262" s="27" t="s">
        <v>1018</v>
      </c>
      <c r="Q262" t="s">
        <v>977</v>
      </c>
      <c r="R262" t="s">
        <v>110</v>
      </c>
      <c r="S262" t="s">
        <v>110</v>
      </c>
      <c r="T262" t="s">
        <v>110</v>
      </c>
      <c r="V262" t="s">
        <v>142</v>
      </c>
      <c r="W262" t="s">
        <v>142</v>
      </c>
      <c r="X262" t="s">
        <v>142</v>
      </c>
      <c r="Y262" t="s">
        <v>142</v>
      </c>
      <c r="Z262" t="s">
        <v>142</v>
      </c>
      <c r="AA262" t="s">
        <v>142</v>
      </c>
      <c r="AB262" t="s">
        <v>142</v>
      </c>
      <c r="AC262" t="s">
        <v>114</v>
      </c>
      <c r="AE262" t="s">
        <v>114</v>
      </c>
      <c r="AF262" t="s">
        <v>142</v>
      </c>
      <c r="AG262" t="s">
        <v>142</v>
      </c>
      <c r="AH262" t="s">
        <v>142</v>
      </c>
      <c r="AI262" t="s">
        <v>142</v>
      </c>
      <c r="AJ262" t="s">
        <v>142</v>
      </c>
      <c r="AK262" t="s">
        <v>142</v>
      </c>
      <c r="AM262" t="s">
        <v>142</v>
      </c>
      <c r="AN262" t="s">
        <v>142</v>
      </c>
      <c r="AP262" t="s">
        <v>142</v>
      </c>
      <c r="AQ262" t="s">
        <v>142</v>
      </c>
      <c r="BF262" s="27" t="s">
        <v>1020</v>
      </c>
      <c r="BJ262" t="str">
        <f t="shared" si="55"/>
        <v/>
      </c>
      <c r="BK262" t="s">
        <v>137</v>
      </c>
      <c r="BL262" t="str">
        <f t="shared" si="58"/>
        <v/>
      </c>
      <c r="BM262" t="s">
        <v>159</v>
      </c>
      <c r="BO262" t="str">
        <f t="shared" si="54"/>
        <v/>
      </c>
      <c r="BR262" t="s">
        <v>451</v>
      </c>
      <c r="BS262" t="s">
        <v>114</v>
      </c>
      <c r="CI262" t="s">
        <v>119</v>
      </c>
      <c r="CO262" t="str">
        <f t="shared" si="59"/>
        <v>PAS INCLUS</v>
      </c>
      <c r="CP262" s="25">
        <v>46029</v>
      </c>
      <c r="CR262" t="str">
        <f t="shared" si="61"/>
        <v/>
      </c>
      <c r="CS262" t="str">
        <f t="shared" si="62"/>
        <v/>
      </c>
      <c r="CT262">
        <f t="shared" si="53"/>
        <v>7</v>
      </c>
      <c r="CU262">
        <f t="shared" si="63"/>
        <v>7</v>
      </c>
      <c r="CV262" t="str">
        <f t="shared" si="64"/>
        <v/>
      </c>
      <c r="CX262" s="11">
        <v>46022</v>
      </c>
      <c r="CY262" t="str">
        <f t="shared" si="60"/>
        <v>S1_2026</v>
      </c>
      <c r="DB262" t="s">
        <v>114</v>
      </c>
      <c r="DC262" t="s">
        <v>160</v>
      </c>
    </row>
    <row r="263" spans="1:107" x14ac:dyDescent="0.35">
      <c r="A263" t="s">
        <v>1033</v>
      </c>
      <c r="B263" s="10" t="str">
        <f t="shared" si="56"/>
        <v>S2_2026</v>
      </c>
      <c r="C263" s="10" t="str">
        <f t="shared" si="57"/>
        <v/>
      </c>
      <c r="D263" s="25">
        <v>46030</v>
      </c>
      <c r="E263" s="26" t="s">
        <v>106</v>
      </c>
      <c r="F263" s="33">
        <v>6</v>
      </c>
      <c r="G263" t="s">
        <v>107</v>
      </c>
      <c r="H263" t="s">
        <v>108</v>
      </c>
      <c r="J263" t="s">
        <v>114</v>
      </c>
      <c r="K263" s="14">
        <v>46029</v>
      </c>
      <c r="L263" t="s">
        <v>126</v>
      </c>
      <c r="M263" t="s">
        <v>977</v>
      </c>
      <c r="N263" s="26" t="s">
        <v>1034</v>
      </c>
      <c r="O263" s="26" t="s">
        <v>1035</v>
      </c>
      <c r="P263" s="26" t="s">
        <v>1036</v>
      </c>
      <c r="Q263" t="s">
        <v>977</v>
      </c>
      <c r="R263" t="s">
        <v>110</v>
      </c>
      <c r="S263" t="s">
        <v>110</v>
      </c>
      <c r="T263" t="s">
        <v>110</v>
      </c>
      <c r="V263" t="s">
        <v>142</v>
      </c>
      <c r="W263" t="s">
        <v>142</v>
      </c>
      <c r="X263" t="s">
        <v>142</v>
      </c>
      <c r="Y263" t="s">
        <v>142</v>
      </c>
      <c r="Z263" t="s">
        <v>142</v>
      </c>
      <c r="AA263" t="s">
        <v>142</v>
      </c>
      <c r="AB263" t="s">
        <v>142</v>
      </c>
      <c r="AC263" t="s">
        <v>114</v>
      </c>
      <c r="AE263" t="s">
        <v>114</v>
      </c>
      <c r="AF263" t="s">
        <v>142</v>
      </c>
      <c r="AG263" t="s">
        <v>142</v>
      </c>
      <c r="AH263" t="s">
        <v>142</v>
      </c>
      <c r="AI263" t="s">
        <v>142</v>
      </c>
      <c r="AJ263" t="s">
        <v>142</v>
      </c>
      <c r="AK263" t="s">
        <v>142</v>
      </c>
      <c r="AM263" t="s">
        <v>142</v>
      </c>
      <c r="AN263" t="s">
        <v>142</v>
      </c>
      <c r="AP263" t="s">
        <v>142</v>
      </c>
      <c r="AQ263" t="s">
        <v>142</v>
      </c>
      <c r="BF263" s="26" t="s">
        <v>1034</v>
      </c>
      <c r="BJ263" t="str">
        <f t="shared" si="55"/>
        <v/>
      </c>
      <c r="BK263" t="s">
        <v>137</v>
      </c>
      <c r="BL263" t="str">
        <f t="shared" si="58"/>
        <v/>
      </c>
      <c r="BM263" t="s">
        <v>159</v>
      </c>
      <c r="BO263" t="str">
        <f t="shared" si="54"/>
        <v/>
      </c>
      <c r="BR263" t="s">
        <v>451</v>
      </c>
      <c r="BS263" t="s">
        <v>114</v>
      </c>
      <c r="CI263" t="s">
        <v>119</v>
      </c>
      <c r="CO263" t="str">
        <f t="shared" si="59"/>
        <v>PAS INCLUS</v>
      </c>
      <c r="CP263" s="25">
        <v>46030</v>
      </c>
      <c r="CR263" t="str">
        <f t="shared" si="61"/>
        <v/>
      </c>
      <c r="CS263" t="str">
        <f t="shared" si="62"/>
        <v/>
      </c>
      <c r="CT263">
        <f t="shared" si="53"/>
        <v>1</v>
      </c>
      <c r="CU263">
        <f t="shared" si="63"/>
        <v>1</v>
      </c>
      <c r="CV263" t="str">
        <f t="shared" si="64"/>
        <v/>
      </c>
      <c r="CX263" s="11">
        <v>46029</v>
      </c>
      <c r="CY263" t="str">
        <f t="shared" si="60"/>
        <v>S2_2026</v>
      </c>
      <c r="DB263" t="s">
        <v>114</v>
      </c>
      <c r="DC263" t="s">
        <v>160</v>
      </c>
    </row>
    <row r="264" spans="1:107" x14ac:dyDescent="0.35">
      <c r="A264" t="s">
        <v>1037</v>
      </c>
      <c r="B264" s="10" t="str">
        <f t="shared" si="56"/>
        <v>S2_2026</v>
      </c>
      <c r="C264" s="10" t="str">
        <f t="shared" si="57"/>
        <v/>
      </c>
      <c r="D264" s="25">
        <v>46030</v>
      </c>
      <c r="E264" s="26" t="s">
        <v>123</v>
      </c>
      <c r="F264" s="33">
        <v>1.25</v>
      </c>
      <c r="G264" t="s">
        <v>141</v>
      </c>
      <c r="H264" t="s">
        <v>108</v>
      </c>
      <c r="J264" t="s">
        <v>114</v>
      </c>
      <c r="K264" s="14">
        <v>46015</v>
      </c>
      <c r="L264" t="s">
        <v>126</v>
      </c>
      <c r="M264" t="s">
        <v>977</v>
      </c>
      <c r="N264" s="26" t="s">
        <v>1034</v>
      </c>
      <c r="O264" s="26" t="s">
        <v>1035</v>
      </c>
      <c r="P264" s="26" t="s">
        <v>1038</v>
      </c>
      <c r="Q264" t="s">
        <v>977</v>
      </c>
      <c r="R264" t="s">
        <v>110</v>
      </c>
      <c r="S264" t="s">
        <v>110</v>
      </c>
      <c r="T264" t="s">
        <v>110</v>
      </c>
      <c r="V264" t="s">
        <v>142</v>
      </c>
      <c r="W264" t="s">
        <v>142</v>
      </c>
      <c r="X264" t="s">
        <v>142</v>
      </c>
      <c r="Y264" t="s">
        <v>142</v>
      </c>
      <c r="Z264" t="s">
        <v>142</v>
      </c>
      <c r="AA264" t="s">
        <v>142</v>
      </c>
      <c r="AB264" t="s">
        <v>142</v>
      </c>
      <c r="AC264" t="s">
        <v>114</v>
      </c>
      <c r="AE264" t="s">
        <v>114</v>
      </c>
      <c r="AF264" t="s">
        <v>142</v>
      </c>
      <c r="AG264" t="s">
        <v>142</v>
      </c>
      <c r="AH264" t="s">
        <v>142</v>
      </c>
      <c r="AI264" t="s">
        <v>142</v>
      </c>
      <c r="AJ264" t="s">
        <v>142</v>
      </c>
      <c r="AK264" t="s">
        <v>142</v>
      </c>
      <c r="AM264" t="s">
        <v>142</v>
      </c>
      <c r="AN264" t="s">
        <v>142</v>
      </c>
      <c r="AP264" t="s">
        <v>142</v>
      </c>
      <c r="AQ264" t="s">
        <v>142</v>
      </c>
      <c r="BF264" s="26" t="s">
        <v>1034</v>
      </c>
      <c r="BJ264" t="str">
        <f t="shared" si="55"/>
        <v/>
      </c>
      <c r="BK264" t="s">
        <v>137</v>
      </c>
      <c r="BL264" t="str">
        <f t="shared" si="58"/>
        <v/>
      </c>
      <c r="BM264" t="s">
        <v>159</v>
      </c>
      <c r="BO264" t="str">
        <f t="shared" si="54"/>
        <v/>
      </c>
      <c r="BR264" t="s">
        <v>451</v>
      </c>
      <c r="BS264" t="s">
        <v>114</v>
      </c>
      <c r="CI264" t="s">
        <v>119</v>
      </c>
      <c r="CO264" t="str">
        <f t="shared" si="59"/>
        <v>PAS INCLUS</v>
      </c>
      <c r="CP264" s="25">
        <v>46030</v>
      </c>
      <c r="CR264" t="str">
        <f t="shared" si="61"/>
        <v/>
      </c>
      <c r="CS264" t="str">
        <f t="shared" si="62"/>
        <v/>
      </c>
      <c r="CT264">
        <f t="shared" si="53"/>
        <v>15</v>
      </c>
      <c r="CU264">
        <f t="shared" si="63"/>
        <v>15</v>
      </c>
      <c r="CV264" t="str">
        <f t="shared" si="64"/>
        <v/>
      </c>
      <c r="CX264" s="11">
        <v>46015</v>
      </c>
      <c r="CY264" t="str">
        <f t="shared" si="60"/>
        <v>S52_2025</v>
      </c>
      <c r="DB264" t="s">
        <v>114</v>
      </c>
      <c r="DC264" t="s">
        <v>160</v>
      </c>
    </row>
    <row r="265" spans="1:107" x14ac:dyDescent="0.35">
      <c r="A265" t="s">
        <v>1039</v>
      </c>
      <c r="B265" s="10" t="str">
        <f t="shared" si="56"/>
        <v>S2_2026</v>
      </c>
      <c r="C265" s="10" t="str">
        <f t="shared" si="57"/>
        <v/>
      </c>
      <c r="D265" s="25">
        <v>46030</v>
      </c>
      <c r="E265" s="26" t="s">
        <v>106</v>
      </c>
      <c r="F265" s="33">
        <v>0.57999999999999996</v>
      </c>
      <c r="G265" t="s">
        <v>141</v>
      </c>
      <c r="H265" t="s">
        <v>108</v>
      </c>
      <c r="J265" t="s">
        <v>114</v>
      </c>
      <c r="K265" s="14">
        <v>46012</v>
      </c>
      <c r="L265" t="s">
        <v>126</v>
      </c>
      <c r="M265" t="s">
        <v>977</v>
      </c>
      <c r="N265" s="26" t="s">
        <v>1034</v>
      </c>
      <c r="O265" s="26" t="s">
        <v>1035</v>
      </c>
      <c r="P265" s="26" t="s">
        <v>1011</v>
      </c>
      <c r="Q265" t="s">
        <v>977</v>
      </c>
      <c r="R265" t="s">
        <v>110</v>
      </c>
      <c r="S265" t="s">
        <v>110</v>
      </c>
      <c r="T265" t="s">
        <v>110</v>
      </c>
      <c r="V265" t="s">
        <v>142</v>
      </c>
      <c r="W265" t="s">
        <v>142</v>
      </c>
      <c r="X265" t="s">
        <v>142</v>
      </c>
      <c r="Y265" t="s">
        <v>142</v>
      </c>
      <c r="Z265" t="s">
        <v>142</v>
      </c>
      <c r="AA265" t="s">
        <v>142</v>
      </c>
      <c r="AB265" t="s">
        <v>142</v>
      </c>
      <c r="AC265" t="s">
        <v>114</v>
      </c>
      <c r="AE265" t="s">
        <v>114</v>
      </c>
      <c r="AF265" t="s">
        <v>142</v>
      </c>
      <c r="AG265" t="s">
        <v>142</v>
      </c>
      <c r="AH265" t="s">
        <v>142</v>
      </c>
      <c r="AI265" t="s">
        <v>142</v>
      </c>
      <c r="AJ265" t="s">
        <v>142</v>
      </c>
      <c r="AK265" t="s">
        <v>142</v>
      </c>
      <c r="AM265" t="s">
        <v>142</v>
      </c>
      <c r="AN265" t="s">
        <v>142</v>
      </c>
      <c r="AP265" t="s">
        <v>142</v>
      </c>
      <c r="AQ265" t="s">
        <v>142</v>
      </c>
      <c r="BF265" s="26" t="s">
        <v>1034</v>
      </c>
      <c r="BJ265" t="str">
        <f t="shared" si="55"/>
        <v/>
      </c>
      <c r="BK265" t="s">
        <v>137</v>
      </c>
      <c r="BL265" t="str">
        <f t="shared" si="58"/>
        <v/>
      </c>
      <c r="BM265" t="s">
        <v>159</v>
      </c>
      <c r="BO265" t="str">
        <f t="shared" si="54"/>
        <v/>
      </c>
      <c r="BR265" t="s">
        <v>451</v>
      </c>
      <c r="BS265" t="s">
        <v>114</v>
      </c>
      <c r="CI265" t="s">
        <v>119</v>
      </c>
      <c r="CO265" t="str">
        <f t="shared" si="59"/>
        <v>PAS INCLUS</v>
      </c>
      <c r="CP265" s="25">
        <v>46030</v>
      </c>
      <c r="CR265" t="str">
        <f t="shared" si="61"/>
        <v/>
      </c>
      <c r="CS265" t="str">
        <f t="shared" si="62"/>
        <v/>
      </c>
      <c r="CT265">
        <f t="shared" si="53"/>
        <v>18</v>
      </c>
      <c r="CU265">
        <f t="shared" si="63"/>
        <v>18</v>
      </c>
      <c r="CV265" t="str">
        <f t="shared" si="64"/>
        <v/>
      </c>
      <c r="CX265" s="11">
        <v>46012</v>
      </c>
      <c r="CY265" t="str">
        <f t="shared" si="60"/>
        <v>S51_2025</v>
      </c>
      <c r="DB265" t="s">
        <v>114</v>
      </c>
      <c r="DC265" t="s">
        <v>160</v>
      </c>
    </row>
    <row r="266" spans="1:107" x14ac:dyDescent="0.35">
      <c r="A266" t="s">
        <v>1040</v>
      </c>
      <c r="B266" s="10" t="str">
        <f t="shared" si="56"/>
        <v>S2_2026</v>
      </c>
      <c r="C266" s="10" t="str">
        <f t="shared" si="57"/>
        <v/>
      </c>
      <c r="D266" s="25">
        <v>46030</v>
      </c>
      <c r="E266" s="26" t="s">
        <v>123</v>
      </c>
      <c r="F266" s="33">
        <v>0.35</v>
      </c>
      <c r="G266" t="s">
        <v>141</v>
      </c>
      <c r="H266" t="s">
        <v>108</v>
      </c>
      <c r="J266" t="s">
        <v>114</v>
      </c>
      <c r="K266" s="14">
        <v>46017</v>
      </c>
      <c r="L266" t="s">
        <v>126</v>
      </c>
      <c r="M266" t="s">
        <v>977</v>
      </c>
      <c r="N266" s="26" t="s">
        <v>1034</v>
      </c>
      <c r="O266" s="26" t="s">
        <v>1035</v>
      </c>
      <c r="P266" s="26" t="s">
        <v>1041</v>
      </c>
      <c r="Q266" t="s">
        <v>146</v>
      </c>
      <c r="R266" t="s">
        <v>110</v>
      </c>
      <c r="S266" t="s">
        <v>110</v>
      </c>
      <c r="T266" t="s">
        <v>110</v>
      </c>
      <c r="V266" t="s">
        <v>142</v>
      </c>
      <c r="W266" t="s">
        <v>142</v>
      </c>
      <c r="X266" t="s">
        <v>142</v>
      </c>
      <c r="Y266" t="s">
        <v>142</v>
      </c>
      <c r="Z266" t="s">
        <v>142</v>
      </c>
      <c r="AA266" t="s">
        <v>142</v>
      </c>
      <c r="AB266" t="s">
        <v>142</v>
      </c>
      <c r="AC266" t="s">
        <v>114</v>
      </c>
      <c r="AE266" t="s">
        <v>114</v>
      </c>
      <c r="AF266" t="s">
        <v>142</v>
      </c>
      <c r="AG266" t="s">
        <v>142</v>
      </c>
      <c r="AH266" t="s">
        <v>142</v>
      </c>
      <c r="AI266" t="s">
        <v>142</v>
      </c>
      <c r="AJ266" t="s">
        <v>142</v>
      </c>
      <c r="AK266" t="s">
        <v>142</v>
      </c>
      <c r="AM266" t="s">
        <v>142</v>
      </c>
      <c r="AN266" t="s">
        <v>142</v>
      </c>
      <c r="AP266" t="s">
        <v>142</v>
      </c>
      <c r="AQ266" t="s">
        <v>142</v>
      </c>
      <c r="BF266" s="26" t="s">
        <v>1042</v>
      </c>
      <c r="BJ266" t="str">
        <f t="shared" si="55"/>
        <v/>
      </c>
      <c r="BK266" t="s">
        <v>137</v>
      </c>
      <c r="BL266" t="str">
        <f t="shared" si="58"/>
        <v/>
      </c>
      <c r="BM266" t="s">
        <v>159</v>
      </c>
      <c r="BO266" t="str">
        <f t="shared" si="54"/>
        <v/>
      </c>
      <c r="BR266" t="s">
        <v>451</v>
      </c>
      <c r="BS266" t="s">
        <v>114</v>
      </c>
      <c r="CI266" t="s">
        <v>119</v>
      </c>
      <c r="CO266" t="str">
        <f t="shared" si="59"/>
        <v>PAS INCLUS</v>
      </c>
      <c r="CP266" s="25">
        <v>46030</v>
      </c>
      <c r="CR266" t="str">
        <f t="shared" si="61"/>
        <v/>
      </c>
      <c r="CS266" t="str">
        <f t="shared" si="62"/>
        <v/>
      </c>
      <c r="CT266">
        <f t="shared" si="53"/>
        <v>13</v>
      </c>
      <c r="CU266">
        <f t="shared" si="63"/>
        <v>13</v>
      </c>
      <c r="CV266" t="str">
        <f t="shared" si="64"/>
        <v/>
      </c>
      <c r="CX266" s="11">
        <v>46017</v>
      </c>
      <c r="CY266" t="str">
        <f t="shared" si="60"/>
        <v>S52_2025</v>
      </c>
      <c r="DB266" t="s">
        <v>114</v>
      </c>
      <c r="DC266" t="s">
        <v>160</v>
      </c>
    </row>
    <row r="267" spans="1:107" x14ac:dyDescent="0.35">
      <c r="A267" t="s">
        <v>1043</v>
      </c>
      <c r="B267" s="10" t="str">
        <f t="shared" si="56"/>
        <v>S2_2026</v>
      </c>
      <c r="C267" s="10" t="str">
        <f t="shared" si="57"/>
        <v/>
      </c>
      <c r="D267" s="25">
        <v>46030</v>
      </c>
      <c r="E267" s="26" t="s">
        <v>123</v>
      </c>
      <c r="F267" s="33">
        <v>0.35</v>
      </c>
      <c r="G267" t="s">
        <v>141</v>
      </c>
      <c r="H267" t="s">
        <v>108</v>
      </c>
      <c r="J267" t="s">
        <v>114</v>
      </c>
      <c r="K267" s="14">
        <v>46017</v>
      </c>
      <c r="L267" t="s">
        <v>126</v>
      </c>
      <c r="M267" t="s">
        <v>977</v>
      </c>
      <c r="N267" s="26" t="s">
        <v>1034</v>
      </c>
      <c r="O267" s="26" t="s">
        <v>1035</v>
      </c>
      <c r="P267" s="26" t="s">
        <v>1041</v>
      </c>
      <c r="Q267" t="s">
        <v>146</v>
      </c>
      <c r="R267" t="s">
        <v>110</v>
      </c>
      <c r="S267" t="s">
        <v>110</v>
      </c>
      <c r="T267" t="s">
        <v>110</v>
      </c>
      <c r="V267" t="s">
        <v>142</v>
      </c>
      <c r="W267" t="s">
        <v>142</v>
      </c>
      <c r="X267" t="s">
        <v>142</v>
      </c>
      <c r="Y267" t="s">
        <v>142</v>
      </c>
      <c r="Z267" t="s">
        <v>142</v>
      </c>
      <c r="AA267" t="s">
        <v>142</v>
      </c>
      <c r="AB267" t="s">
        <v>142</v>
      </c>
      <c r="AC267" t="s">
        <v>114</v>
      </c>
      <c r="AE267" t="s">
        <v>114</v>
      </c>
      <c r="AF267" t="s">
        <v>142</v>
      </c>
      <c r="AG267" t="s">
        <v>142</v>
      </c>
      <c r="AH267" t="s">
        <v>142</v>
      </c>
      <c r="AI267" t="s">
        <v>142</v>
      </c>
      <c r="AJ267" t="s">
        <v>142</v>
      </c>
      <c r="AK267" t="s">
        <v>142</v>
      </c>
      <c r="AM267" t="s">
        <v>142</v>
      </c>
      <c r="AN267" t="s">
        <v>142</v>
      </c>
      <c r="AP267" t="s">
        <v>142</v>
      </c>
      <c r="AQ267" t="s">
        <v>142</v>
      </c>
      <c r="BF267" s="26" t="s">
        <v>1042</v>
      </c>
      <c r="BJ267" t="str">
        <f t="shared" si="55"/>
        <v/>
      </c>
      <c r="BK267" t="s">
        <v>137</v>
      </c>
      <c r="BL267" t="str">
        <f t="shared" si="58"/>
        <v/>
      </c>
      <c r="BM267" t="s">
        <v>159</v>
      </c>
      <c r="BO267" t="str">
        <f t="shared" si="54"/>
        <v/>
      </c>
      <c r="BR267" t="s">
        <v>451</v>
      </c>
      <c r="BS267" t="s">
        <v>114</v>
      </c>
      <c r="CI267" t="s">
        <v>119</v>
      </c>
      <c r="CO267" t="str">
        <f t="shared" si="59"/>
        <v>PAS INCLUS</v>
      </c>
      <c r="CP267" s="25">
        <v>46030</v>
      </c>
      <c r="CR267" t="str">
        <f t="shared" si="61"/>
        <v/>
      </c>
      <c r="CS267" t="str">
        <f t="shared" si="62"/>
        <v/>
      </c>
      <c r="CT267">
        <f t="shared" si="53"/>
        <v>13</v>
      </c>
      <c r="CU267">
        <f t="shared" si="63"/>
        <v>13</v>
      </c>
      <c r="CV267" t="str">
        <f t="shared" si="64"/>
        <v/>
      </c>
      <c r="CX267" s="11">
        <v>46017</v>
      </c>
      <c r="CY267" t="str">
        <f t="shared" si="60"/>
        <v>S52_2025</v>
      </c>
      <c r="DB267" t="s">
        <v>114</v>
      </c>
      <c r="DC267" t="s">
        <v>160</v>
      </c>
    </row>
    <row r="268" spans="1:107" x14ac:dyDescent="0.35">
      <c r="A268" t="s">
        <v>1044</v>
      </c>
      <c r="B268" s="10" t="str">
        <f t="shared" si="56"/>
        <v>S2_2026</v>
      </c>
      <c r="C268" s="10" t="str">
        <f t="shared" si="57"/>
        <v/>
      </c>
      <c r="D268" s="25">
        <v>46030</v>
      </c>
      <c r="E268" s="26" t="s">
        <v>106</v>
      </c>
      <c r="F268" s="33">
        <v>17</v>
      </c>
      <c r="G268" t="s">
        <v>107</v>
      </c>
      <c r="H268" t="s">
        <v>108</v>
      </c>
      <c r="J268" t="s">
        <v>114</v>
      </c>
      <c r="K268" s="14">
        <v>45993</v>
      </c>
      <c r="L268" t="s">
        <v>126</v>
      </c>
      <c r="M268" t="s">
        <v>977</v>
      </c>
      <c r="N268" s="26" t="s">
        <v>1034</v>
      </c>
      <c r="O268" s="26" t="s">
        <v>1035</v>
      </c>
      <c r="P268" s="26" t="s">
        <v>1034</v>
      </c>
      <c r="Q268" t="s">
        <v>977</v>
      </c>
      <c r="R268" t="s">
        <v>110</v>
      </c>
      <c r="S268" t="s">
        <v>110</v>
      </c>
      <c r="T268" t="s">
        <v>110</v>
      </c>
      <c r="V268" t="s">
        <v>142</v>
      </c>
      <c r="W268" t="s">
        <v>142</v>
      </c>
      <c r="X268" t="s">
        <v>142</v>
      </c>
      <c r="Y268" t="s">
        <v>142</v>
      </c>
      <c r="Z268" t="s">
        <v>142</v>
      </c>
      <c r="AA268" t="s">
        <v>142</v>
      </c>
      <c r="AB268" t="s">
        <v>142</v>
      </c>
      <c r="AC268" t="s">
        <v>114</v>
      </c>
      <c r="AE268" t="s">
        <v>114</v>
      </c>
      <c r="AF268" t="s">
        <v>142</v>
      </c>
      <c r="AG268" t="s">
        <v>142</v>
      </c>
      <c r="AH268" t="s">
        <v>142</v>
      </c>
      <c r="AI268" t="s">
        <v>142</v>
      </c>
      <c r="AJ268" t="s">
        <v>142</v>
      </c>
      <c r="AK268" t="s">
        <v>142</v>
      </c>
      <c r="AM268" t="s">
        <v>142</v>
      </c>
      <c r="AN268" t="s">
        <v>142</v>
      </c>
      <c r="AP268" t="s">
        <v>142</v>
      </c>
      <c r="AQ268" t="s">
        <v>142</v>
      </c>
      <c r="BF268" s="26" t="s">
        <v>1034</v>
      </c>
      <c r="BJ268" t="str">
        <f t="shared" si="55"/>
        <v/>
      </c>
      <c r="BK268" t="s">
        <v>137</v>
      </c>
      <c r="BL268" t="str">
        <f t="shared" si="58"/>
        <v/>
      </c>
      <c r="BM268" t="s">
        <v>159</v>
      </c>
      <c r="BO268" t="str">
        <f t="shared" si="54"/>
        <v/>
      </c>
      <c r="BR268" t="s">
        <v>451</v>
      </c>
      <c r="BS268" t="s">
        <v>114</v>
      </c>
      <c r="CI268" t="s">
        <v>119</v>
      </c>
      <c r="CO268" t="str">
        <f t="shared" si="59"/>
        <v>PAS INCLUS</v>
      </c>
      <c r="CP268" s="25">
        <v>46030</v>
      </c>
      <c r="CR268" t="str">
        <f t="shared" si="61"/>
        <v/>
      </c>
      <c r="CS268" t="str">
        <f t="shared" si="62"/>
        <v/>
      </c>
      <c r="CT268">
        <f t="shared" si="53"/>
        <v>37</v>
      </c>
      <c r="CU268">
        <f t="shared" si="63"/>
        <v>37</v>
      </c>
      <c r="CV268" t="str">
        <f t="shared" si="64"/>
        <v/>
      </c>
      <c r="CX268" s="11">
        <v>45993</v>
      </c>
      <c r="CY268" t="str">
        <f t="shared" si="60"/>
        <v>S49_2025</v>
      </c>
      <c r="DB268" t="s">
        <v>114</v>
      </c>
      <c r="DC268" t="s">
        <v>160</v>
      </c>
    </row>
    <row r="269" spans="1:107" x14ac:dyDescent="0.35">
      <c r="A269" t="s">
        <v>1045</v>
      </c>
      <c r="B269" s="10" t="str">
        <f t="shared" si="56"/>
        <v>S2_2026</v>
      </c>
      <c r="C269" s="10" t="str">
        <f t="shared" si="57"/>
        <v>S2_2026</v>
      </c>
      <c r="D269" s="25">
        <v>46030</v>
      </c>
      <c r="E269" s="26" t="s">
        <v>106</v>
      </c>
      <c r="F269" s="33">
        <v>1</v>
      </c>
      <c r="G269" t="s">
        <v>141</v>
      </c>
      <c r="H269" t="s">
        <v>108</v>
      </c>
      <c r="J269" t="s">
        <v>114</v>
      </c>
      <c r="K269" s="14">
        <v>46030</v>
      </c>
      <c r="L269" t="s">
        <v>126</v>
      </c>
      <c r="M269" t="s">
        <v>977</v>
      </c>
      <c r="N269" s="27" t="s">
        <v>1020</v>
      </c>
      <c r="O269" s="19" t="s">
        <v>1046</v>
      </c>
      <c r="P269" s="26" t="s">
        <v>1047</v>
      </c>
      <c r="Q269" t="s">
        <v>977</v>
      </c>
      <c r="R269" s="11">
        <v>46030</v>
      </c>
      <c r="S269" t="s">
        <v>110</v>
      </c>
      <c r="T269" t="s">
        <v>110</v>
      </c>
      <c r="V269" t="s">
        <v>114</v>
      </c>
      <c r="W269" t="s">
        <v>114</v>
      </c>
      <c r="X269" t="s">
        <v>114</v>
      </c>
      <c r="Y269" t="s">
        <v>114</v>
      </c>
      <c r="Z269" t="s">
        <v>114</v>
      </c>
      <c r="AA269" t="s">
        <v>114</v>
      </c>
      <c r="AB269" t="s">
        <v>114</v>
      </c>
      <c r="AC269" t="s">
        <v>114</v>
      </c>
      <c r="AE269" t="s">
        <v>114</v>
      </c>
      <c r="AF269" t="s">
        <v>142</v>
      </c>
      <c r="AG269" t="s">
        <v>142</v>
      </c>
      <c r="AH269" t="s">
        <v>142</v>
      </c>
      <c r="AI269" t="s">
        <v>142</v>
      </c>
      <c r="AJ269" t="s">
        <v>142</v>
      </c>
      <c r="AK269" t="s">
        <v>142</v>
      </c>
      <c r="AM269" t="s">
        <v>142</v>
      </c>
      <c r="AN269" t="s">
        <v>142</v>
      </c>
      <c r="AP269" t="s">
        <v>142</v>
      </c>
      <c r="AQ269" t="s">
        <v>142</v>
      </c>
      <c r="AS269" s="11">
        <v>46037</v>
      </c>
      <c r="AU269" t="s">
        <v>114</v>
      </c>
      <c r="AV269" t="s">
        <v>115</v>
      </c>
      <c r="BB269" t="s">
        <v>114</v>
      </c>
      <c r="BC269" s="11">
        <v>46031</v>
      </c>
      <c r="BD269" t="s">
        <v>169</v>
      </c>
      <c r="BF269" s="27" t="s">
        <v>1020</v>
      </c>
      <c r="BG269" t="s">
        <v>449</v>
      </c>
      <c r="BJ269" t="str">
        <f t="shared" si="55"/>
        <v/>
      </c>
      <c r="BK269" t="s">
        <v>137</v>
      </c>
      <c r="BL269" t="str">
        <f t="shared" si="58"/>
        <v>S2_2026</v>
      </c>
      <c r="BM269" t="s">
        <v>159</v>
      </c>
      <c r="BN269" s="11">
        <v>46038</v>
      </c>
      <c r="BO269" t="str">
        <f t="shared" si="54"/>
        <v>S3_2026</v>
      </c>
      <c r="BP269" t="s">
        <v>114</v>
      </c>
      <c r="BQ269" t="s">
        <v>450</v>
      </c>
      <c r="BR269" t="s">
        <v>451</v>
      </c>
      <c r="BS269" t="s">
        <v>114</v>
      </c>
      <c r="BT269" s="11">
        <v>46031</v>
      </c>
      <c r="BU269" s="11">
        <v>46037</v>
      </c>
      <c r="BV269" t="s">
        <v>450</v>
      </c>
      <c r="BW269" s="11">
        <v>46038</v>
      </c>
      <c r="BX269" s="11"/>
      <c r="BY269" s="11"/>
      <c r="BZ269" s="11"/>
      <c r="CB269" s="11"/>
      <c r="CC269" s="11"/>
      <c r="CD269" s="11"/>
      <c r="CE269" s="11"/>
      <c r="CG269" s="11"/>
      <c r="CI269" t="s">
        <v>119</v>
      </c>
      <c r="CO269" t="str">
        <f t="shared" si="59"/>
        <v>NEGATIFPAS INCLUS</v>
      </c>
      <c r="CP269" s="11">
        <v>46030</v>
      </c>
      <c r="CR269">
        <f t="shared" si="61"/>
        <v>6</v>
      </c>
      <c r="CS269">
        <f t="shared" si="62"/>
        <v>1</v>
      </c>
      <c r="CT269">
        <f t="shared" si="53"/>
        <v>0</v>
      </c>
      <c r="CU269">
        <f t="shared" si="63"/>
        <v>0</v>
      </c>
      <c r="CV269" t="str">
        <f t="shared" si="64"/>
        <v/>
      </c>
      <c r="CX269" s="11">
        <v>46030</v>
      </c>
      <c r="CY269" t="str">
        <f t="shared" si="60"/>
        <v>S2_2026</v>
      </c>
      <c r="DB269" t="s">
        <v>114</v>
      </c>
      <c r="DC269" t="s">
        <v>160</v>
      </c>
    </row>
    <row r="270" spans="1:107" x14ac:dyDescent="0.35">
      <c r="A270" t="s">
        <v>1048</v>
      </c>
      <c r="B270" s="10" t="str">
        <f t="shared" si="56"/>
        <v>S2_2026</v>
      </c>
      <c r="C270" s="10" t="str">
        <f t="shared" si="57"/>
        <v>S1_2026</v>
      </c>
      <c r="D270" s="11">
        <v>46031</v>
      </c>
      <c r="E270" t="s">
        <v>123</v>
      </c>
      <c r="F270" s="24">
        <v>4.58</v>
      </c>
      <c r="G270" t="s">
        <v>107</v>
      </c>
      <c r="H270" t="s">
        <v>108</v>
      </c>
      <c r="J270" t="s">
        <v>114</v>
      </c>
      <c r="K270" s="14">
        <v>46030</v>
      </c>
      <c r="L270" t="s">
        <v>126</v>
      </c>
      <c r="M270" t="s">
        <v>127</v>
      </c>
      <c r="N270" t="s">
        <v>1049</v>
      </c>
      <c r="P270" t="s">
        <v>1050</v>
      </c>
      <c r="Q270" t="s">
        <v>215</v>
      </c>
      <c r="R270" s="11">
        <v>46025</v>
      </c>
      <c r="S270" s="11"/>
      <c r="T270" s="11">
        <v>45660</v>
      </c>
      <c r="W270" t="s">
        <v>114</v>
      </c>
      <c r="AA270" t="s">
        <v>114</v>
      </c>
      <c r="AC270" t="s">
        <v>1051</v>
      </c>
      <c r="AE270" t="s">
        <v>132</v>
      </c>
      <c r="AK270" t="s">
        <v>451</v>
      </c>
      <c r="AM270" t="s">
        <v>451</v>
      </c>
      <c r="AN270" t="s">
        <v>918</v>
      </c>
      <c r="AQ270" t="s">
        <v>451</v>
      </c>
      <c r="AS270" s="11">
        <v>46037</v>
      </c>
      <c r="AU270" t="s">
        <v>114</v>
      </c>
      <c r="AV270" t="s">
        <v>115</v>
      </c>
      <c r="BB270" t="s">
        <v>114</v>
      </c>
      <c r="BC270" s="11">
        <v>46033</v>
      </c>
      <c r="BD270" t="s">
        <v>169</v>
      </c>
      <c r="BE270">
        <v>687491524</v>
      </c>
      <c r="BF270" t="s">
        <v>1049</v>
      </c>
      <c r="BG270" t="s">
        <v>449</v>
      </c>
      <c r="BJ270" t="str">
        <f t="shared" si="55"/>
        <v/>
      </c>
      <c r="BK270" t="s">
        <v>137</v>
      </c>
      <c r="BL270" t="str">
        <f t="shared" si="58"/>
        <v>S2_2026</v>
      </c>
      <c r="BM270" t="s">
        <v>159</v>
      </c>
      <c r="BN270" s="11">
        <v>46038</v>
      </c>
      <c r="BO270" t="str">
        <f t="shared" si="54"/>
        <v>S3_2026</v>
      </c>
      <c r="BP270" t="s">
        <v>114</v>
      </c>
      <c r="BQ270" t="s">
        <v>450</v>
      </c>
      <c r="BR270" t="s">
        <v>451</v>
      </c>
      <c r="BT270" s="11">
        <v>46033</v>
      </c>
      <c r="BU270" s="11">
        <v>46037</v>
      </c>
      <c r="BV270" t="s">
        <v>450</v>
      </c>
      <c r="BW270" s="11">
        <v>46038</v>
      </c>
      <c r="BX270" s="11"/>
      <c r="BY270" s="11"/>
      <c r="BZ270" s="11"/>
      <c r="CB270" s="11"/>
      <c r="CC270" s="11"/>
      <c r="CD270" s="11"/>
      <c r="CE270" s="11"/>
      <c r="CG270" s="11"/>
      <c r="CI270" t="s">
        <v>119</v>
      </c>
      <c r="CO270" t="str">
        <f t="shared" si="59"/>
        <v>NEGATIFPAS INCLUS</v>
      </c>
      <c r="CP270" s="11">
        <v>46031</v>
      </c>
      <c r="CR270">
        <f t="shared" si="61"/>
        <v>4</v>
      </c>
      <c r="CS270">
        <f t="shared" si="62"/>
        <v>1</v>
      </c>
      <c r="CT270">
        <f t="shared" si="53"/>
        <v>6</v>
      </c>
      <c r="CU270">
        <f t="shared" si="63"/>
        <v>1</v>
      </c>
      <c r="CV270" t="str">
        <f t="shared" si="64"/>
        <v/>
      </c>
      <c r="CX270" s="11">
        <v>46025</v>
      </c>
      <c r="CY270" t="str">
        <f t="shared" si="60"/>
        <v>S1_2026</v>
      </c>
      <c r="DB270" t="s">
        <v>114</v>
      </c>
      <c r="DC270" t="s">
        <v>160</v>
      </c>
    </row>
    <row r="271" spans="1:107" x14ac:dyDescent="0.35">
      <c r="A271" t="s">
        <v>1052</v>
      </c>
      <c r="B271" s="10" t="str">
        <f t="shared" si="56"/>
        <v>S2_2026</v>
      </c>
      <c r="C271" s="10" t="str">
        <f t="shared" si="57"/>
        <v>S2_2026</v>
      </c>
      <c r="D271" s="11">
        <v>46031</v>
      </c>
      <c r="E271" t="s">
        <v>123</v>
      </c>
      <c r="F271" s="24">
        <v>6</v>
      </c>
      <c r="G271" t="s">
        <v>107</v>
      </c>
      <c r="H271" t="s">
        <v>108</v>
      </c>
      <c r="J271" t="s">
        <v>114</v>
      </c>
      <c r="K271" s="14">
        <v>46022</v>
      </c>
      <c r="L271" t="s">
        <v>126</v>
      </c>
      <c r="M271" t="s">
        <v>977</v>
      </c>
      <c r="N271" s="26" t="s">
        <v>1034</v>
      </c>
      <c r="O271" s="26" t="s">
        <v>1035</v>
      </c>
      <c r="P271" t="s">
        <v>110</v>
      </c>
      <c r="Q271" t="s">
        <v>1053</v>
      </c>
      <c r="R271" s="11">
        <v>46028</v>
      </c>
      <c r="S271" s="11">
        <v>46028</v>
      </c>
      <c r="T271" s="11">
        <v>46028</v>
      </c>
      <c r="W271" t="s">
        <v>114</v>
      </c>
      <c r="X271" t="s">
        <v>114</v>
      </c>
      <c r="Y271" t="s">
        <v>114</v>
      </c>
      <c r="Z271" t="s">
        <v>114</v>
      </c>
      <c r="AA271" t="s">
        <v>114</v>
      </c>
      <c r="AB271" t="s">
        <v>114</v>
      </c>
      <c r="AE271" t="s">
        <v>114</v>
      </c>
      <c r="AK271" t="s">
        <v>451</v>
      </c>
      <c r="AM271" t="s">
        <v>451</v>
      </c>
      <c r="AN271" t="s">
        <v>451</v>
      </c>
      <c r="AQ271" t="s">
        <v>451</v>
      </c>
      <c r="AS271" s="11">
        <v>46037</v>
      </c>
      <c r="AU271" t="s">
        <v>114</v>
      </c>
      <c r="AV271" t="s">
        <v>115</v>
      </c>
      <c r="BB271" t="s">
        <v>114</v>
      </c>
      <c r="BC271" s="11">
        <v>46031</v>
      </c>
      <c r="BD271" t="s">
        <v>169</v>
      </c>
      <c r="BE271" t="s">
        <v>1054</v>
      </c>
      <c r="BF271" s="28" t="s">
        <v>1055</v>
      </c>
      <c r="BG271" t="s">
        <v>449</v>
      </c>
      <c r="BJ271" t="str">
        <f t="shared" si="55"/>
        <v/>
      </c>
      <c r="BK271" t="s">
        <v>137</v>
      </c>
      <c r="BL271" t="str">
        <f t="shared" si="58"/>
        <v>S2_2026</v>
      </c>
      <c r="BM271" t="s">
        <v>159</v>
      </c>
      <c r="BN271" s="11">
        <v>46038</v>
      </c>
      <c r="BO271" t="str">
        <f t="shared" si="54"/>
        <v>S3_2026</v>
      </c>
      <c r="BP271" t="s">
        <v>114</v>
      </c>
      <c r="BQ271" t="s">
        <v>450</v>
      </c>
      <c r="BR271" t="s">
        <v>451</v>
      </c>
      <c r="BT271" s="11">
        <v>46035</v>
      </c>
      <c r="BU271" s="11">
        <v>46037</v>
      </c>
      <c r="BV271" t="s">
        <v>450</v>
      </c>
      <c r="BW271" s="11">
        <v>46038</v>
      </c>
      <c r="BX271" s="11"/>
      <c r="BY271" s="11"/>
      <c r="BZ271" s="11"/>
      <c r="CB271" s="11"/>
      <c r="CC271" s="11"/>
      <c r="CD271" s="11"/>
      <c r="CE271" s="11"/>
      <c r="CG271" s="11"/>
      <c r="CI271" t="s">
        <v>119</v>
      </c>
      <c r="CO271" t="str">
        <f t="shared" si="59"/>
        <v>NEGATIFPAS INCLUS</v>
      </c>
      <c r="CP271" s="11">
        <v>46031</v>
      </c>
      <c r="CR271">
        <f t="shared" si="61"/>
        <v>6</v>
      </c>
      <c r="CS271">
        <f t="shared" si="62"/>
        <v>1</v>
      </c>
      <c r="CT271">
        <f t="shared" si="53"/>
        <v>3</v>
      </c>
      <c r="CU271">
        <f t="shared" si="63"/>
        <v>9</v>
      </c>
      <c r="CV271" t="str">
        <f t="shared" si="64"/>
        <v/>
      </c>
      <c r="CX271" s="11">
        <v>46028</v>
      </c>
      <c r="CY271" t="str">
        <f t="shared" si="60"/>
        <v>S2_2026</v>
      </c>
      <c r="DB271" t="s">
        <v>114</v>
      </c>
      <c r="DC271" t="s">
        <v>160</v>
      </c>
    </row>
    <row r="272" spans="1:107" x14ac:dyDescent="0.35">
      <c r="A272" t="s">
        <v>1056</v>
      </c>
      <c r="B272" s="10" t="str">
        <f t="shared" si="56"/>
        <v>S2_2026</v>
      </c>
      <c r="C272" s="10" t="str">
        <f t="shared" si="57"/>
        <v>S1_2026</v>
      </c>
      <c r="D272" s="11">
        <v>46032</v>
      </c>
      <c r="E272" t="s">
        <v>123</v>
      </c>
      <c r="F272" s="24">
        <v>25</v>
      </c>
      <c r="G272" t="s">
        <v>162</v>
      </c>
      <c r="H272" t="s">
        <v>108</v>
      </c>
      <c r="J272" t="s">
        <v>114</v>
      </c>
      <c r="K272" s="14">
        <v>46030</v>
      </c>
      <c r="L272" t="s">
        <v>126</v>
      </c>
      <c r="M272" t="s">
        <v>1057</v>
      </c>
      <c r="N272" s="29"/>
      <c r="O272" t="s">
        <v>1058</v>
      </c>
      <c r="P272" t="s">
        <v>110</v>
      </c>
      <c r="Q272" t="s">
        <v>422</v>
      </c>
      <c r="R272" s="11">
        <v>46025</v>
      </c>
      <c r="S272" s="11">
        <v>46025</v>
      </c>
      <c r="T272" s="11">
        <v>46025</v>
      </c>
      <c r="V272" t="s">
        <v>114</v>
      </c>
      <c r="W272" t="s">
        <v>114</v>
      </c>
      <c r="X272" t="s">
        <v>114</v>
      </c>
      <c r="Y272" t="s">
        <v>114</v>
      </c>
      <c r="Z272" t="s">
        <v>114</v>
      </c>
      <c r="AA272" t="s">
        <v>114</v>
      </c>
      <c r="AB272" t="s">
        <v>114</v>
      </c>
      <c r="AE272" t="s">
        <v>114</v>
      </c>
      <c r="AG272" t="s">
        <v>132</v>
      </c>
      <c r="AK272" t="s">
        <v>918</v>
      </c>
      <c r="AM272" t="s">
        <v>918</v>
      </c>
      <c r="AN272" t="s">
        <v>918</v>
      </c>
      <c r="AQ272" t="s">
        <v>451</v>
      </c>
      <c r="AS272" s="11">
        <v>46037</v>
      </c>
      <c r="AU272" t="s">
        <v>114</v>
      </c>
      <c r="AV272" t="s">
        <v>115</v>
      </c>
      <c r="BB272" t="s">
        <v>114</v>
      </c>
      <c r="BC272" s="11">
        <v>46032</v>
      </c>
      <c r="BD272" t="s">
        <v>169</v>
      </c>
      <c r="BF272" t="s">
        <v>421</v>
      </c>
      <c r="BG272" t="s">
        <v>449</v>
      </c>
      <c r="BJ272" t="str">
        <f>IFERROR("S"&amp;(IF(_xlfn.ISOWEEKNUM(BI272)&gt;0,_xlfn.ISOWEEKNUM(BI272),_xlfn.CONCAT("0",_xlfn.ISOWEEKNUM(BI272))))&amp;"_"&amp;(YEAR(BI272+26-(_xlfn.ISOWEEKNUM(BI272)))),"")</f>
        <v/>
      </c>
      <c r="BK272" t="s">
        <v>187</v>
      </c>
      <c r="BL272" t="str">
        <f t="shared" si="58"/>
        <v>S2_2026</v>
      </c>
      <c r="BM272" t="s">
        <v>159</v>
      </c>
      <c r="BN272" s="11">
        <v>46038</v>
      </c>
      <c r="BO272" t="str">
        <f t="shared" si="54"/>
        <v>S3_2026</v>
      </c>
      <c r="BP272" t="s">
        <v>114</v>
      </c>
      <c r="BQ272" t="s">
        <v>450</v>
      </c>
      <c r="BR272" t="s">
        <v>451</v>
      </c>
      <c r="BS272" t="s">
        <v>132</v>
      </c>
      <c r="BT272" s="11">
        <v>46035</v>
      </c>
      <c r="BU272" s="11">
        <v>46037</v>
      </c>
      <c r="BV272" t="s">
        <v>450</v>
      </c>
      <c r="BW272" s="11">
        <v>46038</v>
      </c>
      <c r="BX272" s="11" t="s">
        <v>115</v>
      </c>
      <c r="BY272" s="11"/>
      <c r="BZ272" s="11"/>
      <c r="CB272" s="11"/>
      <c r="CC272" s="11"/>
      <c r="CD272" s="11"/>
      <c r="CE272" s="11"/>
      <c r="CG272" s="11"/>
      <c r="CI272" t="s">
        <v>119</v>
      </c>
      <c r="CO272" t="str">
        <f t="shared" si="59"/>
        <v>NEGATIFPAS INCLUS</v>
      </c>
      <c r="CP272" s="11">
        <v>46032</v>
      </c>
      <c r="CR272">
        <f t="shared" si="61"/>
        <v>5</v>
      </c>
      <c r="CS272">
        <f t="shared" si="62"/>
        <v>1</v>
      </c>
      <c r="CT272">
        <f t="shared" si="53"/>
        <v>7</v>
      </c>
      <c r="CU272">
        <f t="shared" si="63"/>
        <v>2</v>
      </c>
      <c r="CV272" t="str">
        <f t="shared" si="64"/>
        <v/>
      </c>
      <c r="CX272" s="11">
        <v>46025</v>
      </c>
      <c r="CY272" t="str">
        <f t="shared" si="60"/>
        <v>S1_2026</v>
      </c>
      <c r="DB272" t="s">
        <v>114</v>
      </c>
      <c r="DC272" t="s">
        <v>160</v>
      </c>
    </row>
    <row r="273" spans="1:107" x14ac:dyDescent="0.35">
      <c r="A273" t="s">
        <v>1059</v>
      </c>
      <c r="B273" s="30" t="str">
        <f t="shared" si="56"/>
        <v>S2_2026</v>
      </c>
      <c r="C273" s="10" t="str">
        <f t="shared" si="57"/>
        <v/>
      </c>
      <c r="D273" s="25">
        <v>46032</v>
      </c>
      <c r="E273" s="31" t="s">
        <v>123</v>
      </c>
      <c r="F273" s="67">
        <v>2.25</v>
      </c>
      <c r="G273" t="s">
        <v>141</v>
      </c>
      <c r="H273" t="s">
        <v>108</v>
      </c>
      <c r="J273" t="s">
        <v>114</v>
      </c>
      <c r="K273" s="14">
        <v>46030</v>
      </c>
      <c r="L273" t="s">
        <v>126</v>
      </c>
      <c r="M273" s="31" t="s">
        <v>155</v>
      </c>
      <c r="N273" s="31" t="s">
        <v>155</v>
      </c>
      <c r="O273" s="32" t="s">
        <v>1060</v>
      </c>
      <c r="P273" t="s">
        <v>110</v>
      </c>
      <c r="Q273" s="31" t="s">
        <v>155</v>
      </c>
      <c r="R273" t="s">
        <v>110</v>
      </c>
      <c r="S273" t="s">
        <v>110</v>
      </c>
      <c r="T273" t="s">
        <v>110</v>
      </c>
      <c r="V273" t="s">
        <v>142</v>
      </c>
      <c r="W273" t="s">
        <v>142</v>
      </c>
      <c r="X273" t="s">
        <v>142</v>
      </c>
      <c r="Y273" t="s">
        <v>142</v>
      </c>
      <c r="Z273" t="s">
        <v>142</v>
      </c>
      <c r="AA273" t="s">
        <v>142</v>
      </c>
      <c r="AB273" t="s">
        <v>142</v>
      </c>
      <c r="AC273" t="s">
        <v>114</v>
      </c>
      <c r="AE273" t="s">
        <v>114</v>
      </c>
      <c r="AF273" t="s">
        <v>142</v>
      </c>
      <c r="AG273" t="s">
        <v>142</v>
      </c>
      <c r="AH273" t="s">
        <v>142</v>
      </c>
      <c r="AI273" t="s">
        <v>142</v>
      </c>
      <c r="AJ273" t="s">
        <v>142</v>
      </c>
      <c r="AK273" t="s">
        <v>142</v>
      </c>
      <c r="AM273" t="s">
        <v>142</v>
      </c>
      <c r="AN273" t="s">
        <v>142</v>
      </c>
      <c r="AP273" t="s">
        <v>142</v>
      </c>
      <c r="AQ273" t="s">
        <v>142</v>
      </c>
      <c r="BF273" s="31" t="s">
        <v>155</v>
      </c>
      <c r="BJ273" t="str">
        <f t="shared" ref="BJ273:BJ336" si="65">IFERROR("S"&amp;(IF(_xlfn.ISOWEEKNUM(BI273)&gt;0,_xlfn.ISOWEEKNUM(BI273),_xlfn.CONCAT("0",_xlfn.ISOWEEKNUM(BI273))))&amp;"_"&amp;(YEAR(BI273+26-(_xlfn.ISOWEEKNUM(BI273)))),"")</f>
        <v/>
      </c>
      <c r="BK273" t="s">
        <v>137</v>
      </c>
      <c r="BL273" t="str">
        <f t="shared" si="58"/>
        <v/>
      </c>
      <c r="BM273" t="s">
        <v>159</v>
      </c>
      <c r="BO273" t="str">
        <f t="shared" si="54"/>
        <v/>
      </c>
      <c r="BR273" t="s">
        <v>451</v>
      </c>
      <c r="BS273" t="s">
        <v>114</v>
      </c>
      <c r="CI273" t="s">
        <v>119</v>
      </c>
      <c r="CO273" t="str">
        <f t="shared" si="59"/>
        <v>PAS INCLUS</v>
      </c>
      <c r="CP273" s="11">
        <v>46032</v>
      </c>
      <c r="CR273" t="str">
        <f t="shared" si="61"/>
        <v/>
      </c>
      <c r="CS273" t="str">
        <f t="shared" si="62"/>
        <v/>
      </c>
      <c r="CT273">
        <f t="shared" si="53"/>
        <v>2</v>
      </c>
      <c r="CU273">
        <f t="shared" si="63"/>
        <v>2</v>
      </c>
      <c r="CV273" t="str">
        <f t="shared" si="64"/>
        <v/>
      </c>
      <c r="CX273" s="11">
        <v>46030</v>
      </c>
      <c r="CY273" t="str">
        <f t="shared" si="60"/>
        <v>S2_2026</v>
      </c>
      <c r="DB273" t="s">
        <v>114</v>
      </c>
      <c r="DC273" t="s">
        <v>160</v>
      </c>
    </row>
    <row r="274" spans="1:107" x14ac:dyDescent="0.35">
      <c r="A274" t="s">
        <v>1061</v>
      </c>
      <c r="B274" s="10" t="str">
        <f t="shared" si="56"/>
        <v>S2_2026</v>
      </c>
      <c r="C274" s="10" t="str">
        <f t="shared" si="57"/>
        <v/>
      </c>
      <c r="D274" s="25">
        <v>46032</v>
      </c>
      <c r="E274" s="31" t="s">
        <v>106</v>
      </c>
      <c r="F274" s="67">
        <v>1.25</v>
      </c>
      <c r="G274" t="s">
        <v>141</v>
      </c>
      <c r="H274" t="s">
        <v>108</v>
      </c>
      <c r="J274" t="s">
        <v>114</v>
      </c>
      <c r="K274" s="14">
        <v>46022</v>
      </c>
      <c r="L274" t="s">
        <v>126</v>
      </c>
      <c r="M274" s="31" t="s">
        <v>155</v>
      </c>
      <c r="N274" s="31" t="s">
        <v>155</v>
      </c>
      <c r="O274" s="32" t="s">
        <v>1060</v>
      </c>
      <c r="P274" t="s">
        <v>110</v>
      </c>
      <c r="Q274" s="31" t="s">
        <v>155</v>
      </c>
      <c r="R274" t="s">
        <v>110</v>
      </c>
      <c r="S274" t="s">
        <v>110</v>
      </c>
      <c r="T274" t="s">
        <v>110</v>
      </c>
      <c r="V274" t="s">
        <v>142</v>
      </c>
      <c r="W274" t="s">
        <v>142</v>
      </c>
      <c r="X274" t="s">
        <v>142</v>
      </c>
      <c r="Y274" t="s">
        <v>142</v>
      </c>
      <c r="Z274" t="s">
        <v>142</v>
      </c>
      <c r="AA274" t="s">
        <v>142</v>
      </c>
      <c r="AB274" t="s">
        <v>142</v>
      </c>
      <c r="AC274" t="s">
        <v>114</v>
      </c>
      <c r="AE274" t="s">
        <v>114</v>
      </c>
      <c r="AF274" t="s">
        <v>142</v>
      </c>
      <c r="AG274" t="s">
        <v>142</v>
      </c>
      <c r="AH274" t="s">
        <v>142</v>
      </c>
      <c r="AI274" t="s">
        <v>142</v>
      </c>
      <c r="AJ274" t="s">
        <v>142</v>
      </c>
      <c r="AK274" t="s">
        <v>142</v>
      </c>
      <c r="AM274" t="s">
        <v>142</v>
      </c>
      <c r="AN274" t="s">
        <v>142</v>
      </c>
      <c r="AP274" t="s">
        <v>142</v>
      </c>
      <c r="AQ274" t="s">
        <v>142</v>
      </c>
      <c r="BF274" s="31" t="s">
        <v>155</v>
      </c>
      <c r="BJ274" t="str">
        <f t="shared" si="65"/>
        <v/>
      </c>
      <c r="BK274" t="s">
        <v>137</v>
      </c>
      <c r="BL274" t="str">
        <f t="shared" si="58"/>
        <v/>
      </c>
      <c r="BM274" t="s">
        <v>159</v>
      </c>
      <c r="BO274" t="str">
        <f t="shared" si="54"/>
        <v/>
      </c>
      <c r="BR274" t="s">
        <v>451</v>
      </c>
      <c r="BS274" t="s">
        <v>114</v>
      </c>
      <c r="CI274" t="s">
        <v>119</v>
      </c>
      <c r="CO274" t="str">
        <f t="shared" si="59"/>
        <v>PAS INCLUS</v>
      </c>
      <c r="CP274" s="11">
        <v>46032</v>
      </c>
      <c r="CR274" t="str">
        <f t="shared" si="61"/>
        <v/>
      </c>
      <c r="CS274" t="str">
        <f t="shared" si="62"/>
        <v/>
      </c>
      <c r="CT274">
        <f t="shared" si="53"/>
        <v>10</v>
      </c>
      <c r="CU274">
        <f t="shared" si="63"/>
        <v>10</v>
      </c>
      <c r="CV274" t="str">
        <f t="shared" si="64"/>
        <v/>
      </c>
      <c r="CX274" s="11">
        <v>46022</v>
      </c>
      <c r="CY274" t="str">
        <f t="shared" si="60"/>
        <v>S1_2026</v>
      </c>
      <c r="DB274" t="s">
        <v>114</v>
      </c>
      <c r="DC274" t="s">
        <v>160</v>
      </c>
    </row>
    <row r="275" spans="1:107" x14ac:dyDescent="0.35">
      <c r="A275" t="s">
        <v>1062</v>
      </c>
      <c r="B275" s="10" t="str">
        <f t="shared" si="56"/>
        <v>S2_2026</v>
      </c>
      <c r="C275" s="10" t="str">
        <f t="shared" si="57"/>
        <v/>
      </c>
      <c r="D275" s="25">
        <v>46032</v>
      </c>
      <c r="E275" s="31" t="s">
        <v>106</v>
      </c>
      <c r="F275" s="67">
        <v>1.5</v>
      </c>
      <c r="G275" t="s">
        <v>141</v>
      </c>
      <c r="H275" t="s">
        <v>108</v>
      </c>
      <c r="J275" t="s">
        <v>114</v>
      </c>
      <c r="K275" s="14">
        <v>46020</v>
      </c>
      <c r="L275" t="s">
        <v>126</v>
      </c>
      <c r="M275" s="31" t="s">
        <v>155</v>
      </c>
      <c r="N275" s="31" t="s">
        <v>1063</v>
      </c>
      <c r="O275" s="32" t="s">
        <v>1064</v>
      </c>
      <c r="P275" t="s">
        <v>110</v>
      </c>
      <c r="Q275" s="31" t="s">
        <v>155</v>
      </c>
      <c r="R275" t="s">
        <v>110</v>
      </c>
      <c r="S275" t="s">
        <v>110</v>
      </c>
      <c r="T275" t="s">
        <v>110</v>
      </c>
      <c r="V275" t="s">
        <v>142</v>
      </c>
      <c r="W275" t="s">
        <v>142</v>
      </c>
      <c r="X275" t="s">
        <v>142</v>
      </c>
      <c r="Y275" t="s">
        <v>142</v>
      </c>
      <c r="Z275" t="s">
        <v>142</v>
      </c>
      <c r="AA275" t="s">
        <v>142</v>
      </c>
      <c r="AB275" t="s">
        <v>142</v>
      </c>
      <c r="AC275" t="s">
        <v>114</v>
      </c>
      <c r="AE275" t="s">
        <v>114</v>
      </c>
      <c r="AF275" t="s">
        <v>142</v>
      </c>
      <c r="AG275" t="s">
        <v>142</v>
      </c>
      <c r="AH275" t="s">
        <v>142</v>
      </c>
      <c r="AI275" t="s">
        <v>142</v>
      </c>
      <c r="AJ275" t="s">
        <v>142</v>
      </c>
      <c r="AK275" t="s">
        <v>142</v>
      </c>
      <c r="AM275" t="s">
        <v>142</v>
      </c>
      <c r="AN275" t="s">
        <v>142</v>
      </c>
      <c r="AP275" t="s">
        <v>142</v>
      </c>
      <c r="AQ275" t="s">
        <v>142</v>
      </c>
      <c r="BF275" s="31" t="s">
        <v>1063</v>
      </c>
      <c r="BJ275" t="str">
        <f t="shared" si="65"/>
        <v/>
      </c>
      <c r="BK275" t="s">
        <v>137</v>
      </c>
      <c r="BL275" t="str">
        <f t="shared" si="58"/>
        <v/>
      </c>
      <c r="BM275" t="s">
        <v>159</v>
      </c>
      <c r="BO275" t="str">
        <f t="shared" si="54"/>
        <v/>
      </c>
      <c r="BR275" t="s">
        <v>451</v>
      </c>
      <c r="BS275" t="s">
        <v>114</v>
      </c>
      <c r="CI275" t="s">
        <v>119</v>
      </c>
      <c r="CO275" t="str">
        <f t="shared" si="59"/>
        <v>PAS INCLUS</v>
      </c>
      <c r="CP275" s="11">
        <v>46032</v>
      </c>
      <c r="CR275" t="str">
        <f t="shared" si="61"/>
        <v/>
      </c>
      <c r="CS275" t="str">
        <f t="shared" si="62"/>
        <v/>
      </c>
      <c r="CT275">
        <f t="shared" si="53"/>
        <v>12</v>
      </c>
      <c r="CU275">
        <f t="shared" si="63"/>
        <v>12</v>
      </c>
      <c r="CV275" t="str">
        <f t="shared" si="64"/>
        <v/>
      </c>
      <c r="CX275" s="11">
        <v>46020</v>
      </c>
      <c r="CY275" t="str">
        <f t="shared" si="60"/>
        <v>S1_2026</v>
      </c>
      <c r="DB275" t="s">
        <v>114</v>
      </c>
      <c r="DC275" t="s">
        <v>160</v>
      </c>
    </row>
    <row r="276" spans="1:107" x14ac:dyDescent="0.35">
      <c r="A276" t="s">
        <v>1065</v>
      </c>
      <c r="B276" s="10" t="str">
        <f t="shared" si="56"/>
        <v>S2_2026</v>
      </c>
      <c r="C276" s="10" t="str">
        <f t="shared" si="57"/>
        <v/>
      </c>
      <c r="D276" s="25">
        <v>46032</v>
      </c>
      <c r="E276" s="31" t="s">
        <v>123</v>
      </c>
      <c r="F276" s="67">
        <v>16</v>
      </c>
      <c r="G276" t="s">
        <v>107</v>
      </c>
      <c r="H276" t="s">
        <v>108</v>
      </c>
      <c r="J276" t="s">
        <v>114</v>
      </c>
      <c r="K276" s="14">
        <v>46006</v>
      </c>
      <c r="L276" t="s">
        <v>126</v>
      </c>
      <c r="M276" s="31" t="s">
        <v>155</v>
      </c>
      <c r="N276" s="31" t="s">
        <v>155</v>
      </c>
      <c r="O276" s="32" t="s">
        <v>1060</v>
      </c>
      <c r="P276" t="s">
        <v>110</v>
      </c>
      <c r="Q276" s="31" t="s">
        <v>155</v>
      </c>
      <c r="R276" t="s">
        <v>110</v>
      </c>
      <c r="S276" t="s">
        <v>110</v>
      </c>
      <c r="T276" t="s">
        <v>110</v>
      </c>
      <c r="V276" t="s">
        <v>142</v>
      </c>
      <c r="W276" t="s">
        <v>142</v>
      </c>
      <c r="X276" t="s">
        <v>142</v>
      </c>
      <c r="Y276" t="s">
        <v>142</v>
      </c>
      <c r="Z276" t="s">
        <v>142</v>
      </c>
      <c r="AA276" t="s">
        <v>142</v>
      </c>
      <c r="AB276" t="s">
        <v>142</v>
      </c>
      <c r="AC276" t="s">
        <v>114</v>
      </c>
      <c r="AE276" t="s">
        <v>114</v>
      </c>
      <c r="AF276" t="s">
        <v>142</v>
      </c>
      <c r="AG276" t="s">
        <v>142</v>
      </c>
      <c r="AH276" t="s">
        <v>142</v>
      </c>
      <c r="AI276" t="s">
        <v>142</v>
      </c>
      <c r="AJ276" t="s">
        <v>142</v>
      </c>
      <c r="AK276" t="s">
        <v>142</v>
      </c>
      <c r="AM276" t="s">
        <v>142</v>
      </c>
      <c r="AN276" t="s">
        <v>142</v>
      </c>
      <c r="AP276" t="s">
        <v>142</v>
      </c>
      <c r="AQ276" t="s">
        <v>142</v>
      </c>
      <c r="BF276" s="31" t="s">
        <v>155</v>
      </c>
      <c r="BJ276" t="str">
        <f t="shared" si="65"/>
        <v/>
      </c>
      <c r="BK276" t="s">
        <v>137</v>
      </c>
      <c r="BL276" t="str">
        <f t="shared" si="58"/>
        <v/>
      </c>
      <c r="BM276" t="s">
        <v>159</v>
      </c>
      <c r="BO276" t="str">
        <f t="shared" si="54"/>
        <v/>
      </c>
      <c r="BR276" t="s">
        <v>451</v>
      </c>
      <c r="BS276" t="s">
        <v>114</v>
      </c>
      <c r="CI276" t="s">
        <v>119</v>
      </c>
      <c r="CO276" t="str">
        <f t="shared" si="59"/>
        <v>PAS INCLUS</v>
      </c>
      <c r="CP276" s="11">
        <v>46032</v>
      </c>
      <c r="CR276" t="str">
        <f t="shared" si="61"/>
        <v/>
      </c>
      <c r="CS276" t="str">
        <f t="shared" si="62"/>
        <v/>
      </c>
      <c r="CT276">
        <f t="shared" si="53"/>
        <v>26</v>
      </c>
      <c r="CU276">
        <f t="shared" si="63"/>
        <v>26</v>
      </c>
      <c r="CV276" t="str">
        <f t="shared" si="64"/>
        <v/>
      </c>
      <c r="CX276" s="11">
        <v>46006</v>
      </c>
      <c r="CY276" t="str">
        <f t="shared" si="60"/>
        <v>S51_2025</v>
      </c>
      <c r="DB276" t="s">
        <v>114</v>
      </c>
      <c r="DC276" t="s">
        <v>160</v>
      </c>
    </row>
    <row r="277" spans="1:107" x14ac:dyDescent="0.35">
      <c r="A277" t="s">
        <v>1066</v>
      </c>
      <c r="B277" s="10" t="str">
        <f t="shared" si="56"/>
        <v>S2_2026</v>
      </c>
      <c r="C277" s="10" t="str">
        <f t="shared" si="57"/>
        <v>S2_2026</v>
      </c>
      <c r="D277" s="11">
        <v>46033</v>
      </c>
      <c r="E277" t="s">
        <v>123</v>
      </c>
      <c r="F277" s="24">
        <v>1.5</v>
      </c>
      <c r="G277" t="s">
        <v>141</v>
      </c>
      <c r="H277" t="s">
        <v>108</v>
      </c>
      <c r="J277" t="s">
        <v>142</v>
      </c>
      <c r="K277" s="12"/>
      <c r="L277" t="s">
        <v>126</v>
      </c>
      <c r="M277" t="s">
        <v>127</v>
      </c>
      <c r="N277" t="s">
        <v>1049</v>
      </c>
      <c r="P277" t="s">
        <v>1050</v>
      </c>
      <c r="Q277" t="s">
        <v>215</v>
      </c>
      <c r="R277" s="11">
        <v>46027</v>
      </c>
      <c r="T277" s="11">
        <v>46027</v>
      </c>
      <c r="X277" t="s">
        <v>114</v>
      </c>
      <c r="Y277" t="s">
        <v>114</v>
      </c>
      <c r="AA277" t="s">
        <v>114</v>
      </c>
      <c r="AC277" t="s">
        <v>1067</v>
      </c>
      <c r="AE277" t="s">
        <v>132</v>
      </c>
      <c r="AK277" t="s">
        <v>451</v>
      </c>
      <c r="AM277" t="s">
        <v>451</v>
      </c>
      <c r="AN277" t="s">
        <v>918</v>
      </c>
      <c r="AQ277" t="s">
        <v>451</v>
      </c>
      <c r="AS277" s="11">
        <v>46037</v>
      </c>
      <c r="AU277" t="s">
        <v>114</v>
      </c>
      <c r="AV277" t="s">
        <v>115</v>
      </c>
      <c r="BB277" t="s">
        <v>114</v>
      </c>
      <c r="BC277" s="11">
        <v>46033</v>
      </c>
      <c r="BD277" t="s">
        <v>169</v>
      </c>
      <c r="BE277">
        <v>687491524</v>
      </c>
      <c r="BF277" t="s">
        <v>1049</v>
      </c>
      <c r="BG277" t="s">
        <v>449</v>
      </c>
      <c r="BJ277" t="str">
        <f t="shared" si="65"/>
        <v/>
      </c>
      <c r="BK277" t="s">
        <v>137</v>
      </c>
      <c r="BL277" t="str">
        <f t="shared" si="58"/>
        <v>S2_2026</v>
      </c>
      <c r="BM277" t="s">
        <v>159</v>
      </c>
      <c r="BN277" s="11">
        <v>46038</v>
      </c>
      <c r="BO277" t="str">
        <f t="shared" si="54"/>
        <v>S3_2026</v>
      </c>
      <c r="BP277" t="s">
        <v>114</v>
      </c>
      <c r="BQ277" t="s">
        <v>450</v>
      </c>
      <c r="BR277" t="s">
        <v>451</v>
      </c>
      <c r="BT277" s="11">
        <v>46033</v>
      </c>
      <c r="BU277" s="11">
        <v>46037</v>
      </c>
      <c r="BV277" t="s">
        <v>450</v>
      </c>
      <c r="BW277" s="11">
        <v>46038</v>
      </c>
      <c r="BX277" s="11"/>
      <c r="BY277" s="11"/>
      <c r="BZ277" s="11"/>
      <c r="CB277" s="11"/>
      <c r="CC277" s="11"/>
      <c r="CD277" s="11"/>
      <c r="CE277" s="11"/>
      <c r="CG277" s="11"/>
      <c r="CI277" t="s">
        <v>119</v>
      </c>
      <c r="CO277" t="str">
        <f t="shared" si="59"/>
        <v>NEGATIFPAS INCLUS</v>
      </c>
      <c r="CP277" s="11">
        <v>46033</v>
      </c>
      <c r="CR277">
        <f t="shared" si="61"/>
        <v>4</v>
      </c>
      <c r="CS277">
        <f t="shared" si="62"/>
        <v>1</v>
      </c>
      <c r="CT277">
        <f t="shared" si="53"/>
        <v>6</v>
      </c>
      <c r="CV277" t="str">
        <f t="shared" si="64"/>
        <v/>
      </c>
      <c r="CX277" s="11">
        <v>46027</v>
      </c>
      <c r="CY277" t="str">
        <f t="shared" si="60"/>
        <v>S2_2026</v>
      </c>
      <c r="DB277" t="s">
        <v>114</v>
      </c>
      <c r="DC277" t="s">
        <v>160</v>
      </c>
    </row>
    <row r="278" spans="1:107" x14ac:dyDescent="0.35">
      <c r="A278" t="s">
        <v>1068</v>
      </c>
      <c r="B278" s="10" t="str">
        <f t="shared" si="56"/>
        <v>S2_2026</v>
      </c>
      <c r="C278" s="10" t="str">
        <f t="shared" si="57"/>
        <v>S2_2026</v>
      </c>
      <c r="D278" s="11">
        <v>46033</v>
      </c>
      <c r="E278" t="s">
        <v>123</v>
      </c>
      <c r="F278" s="24">
        <v>6.17</v>
      </c>
      <c r="G278" t="s">
        <v>107</v>
      </c>
      <c r="H278" t="s">
        <v>108</v>
      </c>
      <c r="J278" t="s">
        <v>142</v>
      </c>
      <c r="K278" s="12"/>
      <c r="L278" t="s">
        <v>126</v>
      </c>
      <c r="M278" t="s">
        <v>127</v>
      </c>
      <c r="N278" t="s">
        <v>1049</v>
      </c>
      <c r="P278" s="29" t="s">
        <v>1050</v>
      </c>
      <c r="Q278" t="s">
        <v>215</v>
      </c>
      <c r="R278" s="11">
        <v>46029</v>
      </c>
      <c r="T278" s="11">
        <v>46029</v>
      </c>
      <c r="AC278" t="s">
        <v>1069</v>
      </c>
      <c r="AE278" t="s">
        <v>132</v>
      </c>
      <c r="AK278" t="s">
        <v>451</v>
      </c>
      <c r="AM278" t="s">
        <v>451</v>
      </c>
      <c r="AN278" t="s">
        <v>918</v>
      </c>
      <c r="AQ278" t="s">
        <v>451</v>
      </c>
      <c r="AS278" s="11">
        <v>46037</v>
      </c>
      <c r="AU278" t="s">
        <v>114</v>
      </c>
      <c r="AV278" t="s">
        <v>115</v>
      </c>
      <c r="BB278" t="s">
        <v>114</v>
      </c>
      <c r="BC278" s="11">
        <v>46033</v>
      </c>
      <c r="BD278" t="s">
        <v>169</v>
      </c>
      <c r="BE278">
        <v>687491524</v>
      </c>
      <c r="BF278" t="s">
        <v>1049</v>
      </c>
      <c r="BG278" t="s">
        <v>449</v>
      </c>
      <c r="BJ278" t="str">
        <f t="shared" si="65"/>
        <v/>
      </c>
      <c r="BK278" t="s">
        <v>137</v>
      </c>
      <c r="BL278" t="str">
        <f t="shared" si="58"/>
        <v>S2_2026</v>
      </c>
      <c r="BM278" t="s">
        <v>159</v>
      </c>
      <c r="BN278" s="11">
        <v>46038</v>
      </c>
      <c r="BO278" t="str">
        <f t="shared" si="54"/>
        <v>S3_2026</v>
      </c>
      <c r="BP278" t="s">
        <v>114</v>
      </c>
      <c r="BQ278" t="s">
        <v>450</v>
      </c>
      <c r="BR278" t="s">
        <v>451</v>
      </c>
      <c r="BT278" s="11">
        <v>46033</v>
      </c>
      <c r="BU278" s="11">
        <v>46037</v>
      </c>
      <c r="BV278" t="s">
        <v>450</v>
      </c>
      <c r="BW278" s="11">
        <v>46038</v>
      </c>
      <c r="BX278" s="11"/>
      <c r="BY278" s="11"/>
      <c r="BZ278" s="11"/>
      <c r="CB278" s="11"/>
      <c r="CC278" s="11"/>
      <c r="CD278" s="11"/>
      <c r="CE278" s="11"/>
      <c r="CG278" s="11"/>
      <c r="CI278" t="s">
        <v>119</v>
      </c>
      <c r="CO278" t="str">
        <f t="shared" si="59"/>
        <v>NEGATIFPAS INCLUS</v>
      </c>
      <c r="CP278" s="11">
        <v>46033</v>
      </c>
      <c r="CR278">
        <f t="shared" si="61"/>
        <v>4</v>
      </c>
      <c r="CS278">
        <f t="shared" si="62"/>
        <v>1</v>
      </c>
      <c r="CT278">
        <f t="shared" si="53"/>
        <v>4</v>
      </c>
      <c r="CV278" t="str">
        <f t="shared" si="64"/>
        <v/>
      </c>
      <c r="CX278" s="11">
        <v>46029</v>
      </c>
      <c r="CY278" t="str">
        <f t="shared" si="60"/>
        <v>S2_2026</v>
      </c>
      <c r="DB278" t="s">
        <v>114</v>
      </c>
      <c r="DC278" t="s">
        <v>160</v>
      </c>
    </row>
    <row r="279" spans="1:107" x14ac:dyDescent="0.35">
      <c r="A279" t="s">
        <v>1070</v>
      </c>
      <c r="B279" s="10" t="str">
        <f t="shared" si="56"/>
        <v>S3_2026</v>
      </c>
      <c r="C279" s="10" t="str">
        <f t="shared" si="57"/>
        <v/>
      </c>
      <c r="D279" s="25">
        <v>46034</v>
      </c>
      <c r="E279" s="26" t="s">
        <v>106</v>
      </c>
      <c r="F279" s="24">
        <v>39</v>
      </c>
      <c r="G279" t="s">
        <v>110</v>
      </c>
      <c r="H279" t="s">
        <v>108</v>
      </c>
      <c r="J279" t="s">
        <v>114</v>
      </c>
      <c r="K279" s="14">
        <v>46033</v>
      </c>
      <c r="L279" s="26" t="s">
        <v>126</v>
      </c>
      <c r="M279" s="26" t="s">
        <v>158</v>
      </c>
      <c r="N279" s="26" t="s">
        <v>1071</v>
      </c>
      <c r="O279" s="19" t="s">
        <v>1072</v>
      </c>
      <c r="P279" s="26" t="s">
        <v>1073</v>
      </c>
      <c r="Q279" s="31" t="s">
        <v>158</v>
      </c>
      <c r="R279" t="s">
        <v>110</v>
      </c>
      <c r="S279" t="s">
        <v>110</v>
      </c>
      <c r="T279" t="s">
        <v>110</v>
      </c>
      <c r="V279" t="s">
        <v>142</v>
      </c>
      <c r="W279" t="s">
        <v>142</v>
      </c>
      <c r="X279" t="s">
        <v>142</v>
      </c>
      <c r="Y279" t="s">
        <v>142</v>
      </c>
      <c r="Z279" t="s">
        <v>142</v>
      </c>
      <c r="AA279" t="s">
        <v>142</v>
      </c>
      <c r="AB279" t="s">
        <v>142</v>
      </c>
      <c r="AC279" t="s">
        <v>114</v>
      </c>
      <c r="AE279" t="s">
        <v>114</v>
      </c>
      <c r="AF279" t="s">
        <v>142</v>
      </c>
      <c r="AG279" t="s">
        <v>142</v>
      </c>
      <c r="AH279" t="s">
        <v>142</v>
      </c>
      <c r="AI279" t="s">
        <v>142</v>
      </c>
      <c r="AJ279" t="s">
        <v>142</v>
      </c>
      <c r="AK279" t="s">
        <v>142</v>
      </c>
      <c r="AM279" t="s">
        <v>142</v>
      </c>
      <c r="AN279" t="s">
        <v>142</v>
      </c>
      <c r="AP279" t="s">
        <v>142</v>
      </c>
      <c r="AQ279" t="s">
        <v>142</v>
      </c>
      <c r="BE279" s="33">
        <v>690478383</v>
      </c>
      <c r="BF279" s="26" t="s">
        <v>1074</v>
      </c>
      <c r="BJ279" t="str">
        <f t="shared" si="65"/>
        <v/>
      </c>
      <c r="BK279" t="s">
        <v>137</v>
      </c>
      <c r="BL279" t="str">
        <f t="shared" si="58"/>
        <v/>
      </c>
      <c r="BO279" t="str">
        <f t="shared" si="54"/>
        <v/>
      </c>
      <c r="BR279" t="s">
        <v>451</v>
      </c>
      <c r="BS279" t="s">
        <v>114</v>
      </c>
      <c r="CI279" t="s">
        <v>119</v>
      </c>
      <c r="CO279" t="str">
        <f t="shared" si="59"/>
        <v>PAS INCLUS</v>
      </c>
      <c r="CP279" s="11">
        <v>46034</v>
      </c>
      <c r="CR279" t="str">
        <f t="shared" si="61"/>
        <v/>
      </c>
      <c r="CS279" t="str">
        <f t="shared" si="62"/>
        <v/>
      </c>
      <c r="CT279">
        <f t="shared" si="53"/>
        <v>1</v>
      </c>
      <c r="CU279">
        <f t="shared" si="63"/>
        <v>1</v>
      </c>
      <c r="CV279" t="str">
        <f t="shared" si="64"/>
        <v/>
      </c>
      <c r="CX279" s="11">
        <v>46033</v>
      </c>
      <c r="CY279" t="str">
        <f t="shared" si="60"/>
        <v>S2_2026</v>
      </c>
      <c r="DB279" t="s">
        <v>114</v>
      </c>
      <c r="DC279" t="s">
        <v>160</v>
      </c>
    </row>
    <row r="280" spans="1:107" x14ac:dyDescent="0.35">
      <c r="A280" t="s">
        <v>1075</v>
      </c>
      <c r="B280" s="10" t="str">
        <f t="shared" si="56"/>
        <v>S3_2026</v>
      </c>
      <c r="C280" s="10" t="str">
        <f t="shared" si="57"/>
        <v/>
      </c>
      <c r="D280" s="25">
        <v>46034</v>
      </c>
      <c r="E280" s="26" t="s">
        <v>106</v>
      </c>
      <c r="F280" s="24">
        <v>60</v>
      </c>
      <c r="G280" t="s">
        <v>110</v>
      </c>
      <c r="H280" t="s">
        <v>108</v>
      </c>
      <c r="J280" t="s">
        <v>114</v>
      </c>
      <c r="K280" s="14">
        <v>46023</v>
      </c>
      <c r="L280" s="26" t="s">
        <v>126</v>
      </c>
      <c r="M280" s="26" t="s">
        <v>158</v>
      </c>
      <c r="N280" s="26" t="s">
        <v>1074</v>
      </c>
      <c r="O280" s="19" t="s">
        <v>1076</v>
      </c>
      <c r="P280" s="26" t="s">
        <v>1077</v>
      </c>
      <c r="Q280" s="31" t="s">
        <v>158</v>
      </c>
      <c r="R280" t="s">
        <v>110</v>
      </c>
      <c r="S280" t="s">
        <v>110</v>
      </c>
      <c r="T280" t="s">
        <v>110</v>
      </c>
      <c r="V280" t="s">
        <v>142</v>
      </c>
      <c r="W280" t="s">
        <v>142</v>
      </c>
      <c r="X280" t="s">
        <v>142</v>
      </c>
      <c r="Y280" t="s">
        <v>142</v>
      </c>
      <c r="Z280" t="s">
        <v>142</v>
      </c>
      <c r="AA280" t="s">
        <v>142</v>
      </c>
      <c r="AB280" t="s">
        <v>142</v>
      </c>
      <c r="AC280" t="s">
        <v>114</v>
      </c>
      <c r="AE280" t="s">
        <v>114</v>
      </c>
      <c r="AF280" t="s">
        <v>142</v>
      </c>
      <c r="AG280" t="s">
        <v>142</v>
      </c>
      <c r="AH280" t="s">
        <v>142</v>
      </c>
      <c r="AI280" t="s">
        <v>142</v>
      </c>
      <c r="AJ280" t="s">
        <v>142</v>
      </c>
      <c r="AK280" t="s">
        <v>142</v>
      </c>
      <c r="AM280" t="s">
        <v>142</v>
      </c>
      <c r="AN280" t="s">
        <v>142</v>
      </c>
      <c r="AP280" t="s">
        <v>142</v>
      </c>
      <c r="AQ280" t="s">
        <v>142</v>
      </c>
      <c r="BE280" s="33">
        <v>675495012</v>
      </c>
      <c r="BF280" s="26" t="s">
        <v>1074</v>
      </c>
      <c r="BJ280" t="str">
        <f t="shared" si="65"/>
        <v/>
      </c>
      <c r="BK280" t="s">
        <v>137</v>
      </c>
      <c r="BL280" t="str">
        <f t="shared" si="58"/>
        <v/>
      </c>
      <c r="BO280" t="str">
        <f t="shared" si="54"/>
        <v/>
      </c>
      <c r="BR280" t="s">
        <v>451</v>
      </c>
      <c r="BS280" t="s">
        <v>114</v>
      </c>
      <c r="CI280" t="s">
        <v>119</v>
      </c>
      <c r="CO280" t="str">
        <f t="shared" si="59"/>
        <v>PAS INCLUS</v>
      </c>
      <c r="CP280" s="11">
        <v>46034</v>
      </c>
      <c r="CR280" t="str">
        <f t="shared" si="61"/>
        <v/>
      </c>
      <c r="CS280" t="str">
        <f t="shared" si="62"/>
        <v/>
      </c>
      <c r="CT280">
        <f t="shared" si="53"/>
        <v>11</v>
      </c>
      <c r="CU280">
        <f t="shared" si="63"/>
        <v>11</v>
      </c>
      <c r="CV280" t="str">
        <f t="shared" si="64"/>
        <v/>
      </c>
      <c r="CX280" s="11">
        <v>46023</v>
      </c>
      <c r="CY280" t="str">
        <f t="shared" si="60"/>
        <v>S1_2026</v>
      </c>
      <c r="DB280" t="s">
        <v>114</v>
      </c>
      <c r="DC280" t="s">
        <v>160</v>
      </c>
    </row>
    <row r="281" spans="1:107" x14ac:dyDescent="0.35">
      <c r="A281" t="s">
        <v>1078</v>
      </c>
      <c r="B281" s="10" t="str">
        <f t="shared" si="56"/>
        <v>S3_2026</v>
      </c>
      <c r="C281" s="10" t="str">
        <f t="shared" si="57"/>
        <v/>
      </c>
      <c r="D281" s="25">
        <v>46034</v>
      </c>
      <c r="E281" s="26" t="s">
        <v>106</v>
      </c>
      <c r="F281" s="24">
        <v>1.17</v>
      </c>
      <c r="G281" t="s">
        <v>141</v>
      </c>
      <c r="H281" t="s">
        <v>108</v>
      </c>
      <c r="J281" t="s">
        <v>114</v>
      </c>
      <c r="K281" s="14">
        <v>46024</v>
      </c>
      <c r="L281" s="26" t="s">
        <v>126</v>
      </c>
      <c r="M281" s="26" t="s">
        <v>158</v>
      </c>
      <c r="N281" s="26" t="s">
        <v>961</v>
      </c>
      <c r="O281" s="19" t="s">
        <v>1079</v>
      </c>
      <c r="P281" t="s">
        <v>110</v>
      </c>
      <c r="Q281" s="31" t="s">
        <v>158</v>
      </c>
      <c r="R281" t="s">
        <v>110</v>
      </c>
      <c r="S281" t="s">
        <v>110</v>
      </c>
      <c r="T281" t="s">
        <v>110</v>
      </c>
      <c r="V281" t="s">
        <v>142</v>
      </c>
      <c r="W281" t="s">
        <v>142</v>
      </c>
      <c r="X281" t="s">
        <v>142</v>
      </c>
      <c r="Y281" t="s">
        <v>142</v>
      </c>
      <c r="Z281" t="s">
        <v>142</v>
      </c>
      <c r="AA281" t="s">
        <v>142</v>
      </c>
      <c r="AB281" t="s">
        <v>142</v>
      </c>
      <c r="AC281" t="s">
        <v>114</v>
      </c>
      <c r="AE281" t="s">
        <v>114</v>
      </c>
      <c r="AF281" t="s">
        <v>142</v>
      </c>
      <c r="AG281" t="s">
        <v>142</v>
      </c>
      <c r="AH281" t="s">
        <v>142</v>
      </c>
      <c r="AI281" t="s">
        <v>142</v>
      </c>
      <c r="AJ281" t="s">
        <v>142</v>
      </c>
      <c r="AK281" t="s">
        <v>142</v>
      </c>
      <c r="AM281" t="s">
        <v>142</v>
      </c>
      <c r="AN281" t="s">
        <v>142</v>
      </c>
      <c r="AP281" t="s">
        <v>142</v>
      </c>
      <c r="AQ281" t="s">
        <v>142</v>
      </c>
      <c r="BE281" s="33">
        <v>694196830</v>
      </c>
      <c r="BF281" s="26" t="s">
        <v>961</v>
      </c>
      <c r="BJ281" t="str">
        <f t="shared" si="65"/>
        <v/>
      </c>
      <c r="BK281" t="s">
        <v>137</v>
      </c>
      <c r="BL281" t="str">
        <f t="shared" si="58"/>
        <v/>
      </c>
      <c r="BO281" t="str">
        <f t="shared" si="54"/>
        <v/>
      </c>
      <c r="BR281" t="s">
        <v>451</v>
      </c>
      <c r="BS281" t="s">
        <v>114</v>
      </c>
      <c r="CI281" t="s">
        <v>119</v>
      </c>
      <c r="CO281" t="str">
        <f t="shared" si="59"/>
        <v>PAS INCLUS</v>
      </c>
      <c r="CP281" s="11">
        <v>46034</v>
      </c>
      <c r="CR281" t="str">
        <f t="shared" si="61"/>
        <v/>
      </c>
      <c r="CS281" t="str">
        <f t="shared" si="62"/>
        <v/>
      </c>
      <c r="CT281">
        <f t="shared" si="53"/>
        <v>10</v>
      </c>
      <c r="CU281">
        <f t="shared" si="63"/>
        <v>10</v>
      </c>
      <c r="CV281" t="str">
        <f t="shared" si="64"/>
        <v/>
      </c>
      <c r="CX281" s="11">
        <v>46024</v>
      </c>
      <c r="CY281" t="str">
        <f t="shared" si="60"/>
        <v>S1_2026</v>
      </c>
      <c r="DB281" t="s">
        <v>114</v>
      </c>
      <c r="DC281" t="s">
        <v>160</v>
      </c>
    </row>
    <row r="282" spans="1:107" ht="31" x14ac:dyDescent="0.35">
      <c r="A282" t="s">
        <v>1080</v>
      </c>
      <c r="B282" s="30" t="str">
        <f t="shared" si="56"/>
        <v>S3_2026</v>
      </c>
      <c r="C282" s="10" t="str">
        <f t="shared" si="57"/>
        <v/>
      </c>
      <c r="D282" s="25">
        <v>46034</v>
      </c>
      <c r="E282" s="26" t="s">
        <v>106</v>
      </c>
      <c r="F282" s="24">
        <v>1.58</v>
      </c>
      <c r="G282" t="s">
        <v>141</v>
      </c>
      <c r="H282" t="s">
        <v>108</v>
      </c>
      <c r="J282" t="s">
        <v>114</v>
      </c>
      <c r="K282" s="14">
        <v>46034</v>
      </c>
      <c r="L282" s="26" t="s">
        <v>126</v>
      </c>
      <c r="M282" s="26" t="s">
        <v>158</v>
      </c>
      <c r="N282" s="26" t="s">
        <v>1081</v>
      </c>
      <c r="O282" s="19" t="s">
        <v>1082</v>
      </c>
      <c r="P282" s="26" t="s">
        <v>1083</v>
      </c>
      <c r="Q282" s="31" t="s">
        <v>1084</v>
      </c>
      <c r="R282" t="s">
        <v>110</v>
      </c>
      <c r="S282" t="s">
        <v>110</v>
      </c>
      <c r="T282" t="s">
        <v>110</v>
      </c>
      <c r="V282" t="s">
        <v>142</v>
      </c>
      <c r="W282" t="s">
        <v>142</v>
      </c>
      <c r="X282" t="s">
        <v>142</v>
      </c>
      <c r="Y282" t="s">
        <v>142</v>
      </c>
      <c r="Z282" t="s">
        <v>142</v>
      </c>
      <c r="AA282" t="s">
        <v>142</v>
      </c>
      <c r="AB282" t="s">
        <v>142</v>
      </c>
      <c r="AC282" t="s">
        <v>114</v>
      </c>
      <c r="AE282" t="s">
        <v>114</v>
      </c>
      <c r="AF282" t="s">
        <v>142</v>
      </c>
      <c r="AG282" t="s">
        <v>142</v>
      </c>
      <c r="AH282" t="s">
        <v>142</v>
      </c>
      <c r="AI282" t="s">
        <v>142</v>
      </c>
      <c r="AJ282" t="s">
        <v>142</v>
      </c>
      <c r="AK282" t="s">
        <v>142</v>
      </c>
      <c r="AM282" t="s">
        <v>142</v>
      </c>
      <c r="AN282" t="s">
        <v>142</v>
      </c>
      <c r="AP282" t="s">
        <v>142</v>
      </c>
      <c r="AQ282" t="s">
        <v>142</v>
      </c>
      <c r="BE282" s="33">
        <v>651298808</v>
      </c>
      <c r="BF282" t="s">
        <v>1083</v>
      </c>
      <c r="BJ282" t="str">
        <f t="shared" si="65"/>
        <v/>
      </c>
      <c r="BK282" t="s">
        <v>137</v>
      </c>
      <c r="BL282" t="str">
        <f t="shared" si="58"/>
        <v/>
      </c>
      <c r="BO282" t="str">
        <f t="shared" si="54"/>
        <v/>
      </c>
      <c r="BR282" t="s">
        <v>451</v>
      </c>
      <c r="BS282" t="s">
        <v>114</v>
      </c>
      <c r="CI282" t="s">
        <v>119</v>
      </c>
      <c r="CO282" t="str">
        <f t="shared" si="59"/>
        <v>PAS INCLUS</v>
      </c>
      <c r="CP282" s="11">
        <v>46034</v>
      </c>
      <c r="CR282" t="str">
        <f t="shared" si="61"/>
        <v/>
      </c>
      <c r="CS282" t="str">
        <f t="shared" si="62"/>
        <v/>
      </c>
      <c r="CT282">
        <f t="shared" si="53"/>
        <v>0</v>
      </c>
      <c r="CU282">
        <f t="shared" si="63"/>
        <v>0</v>
      </c>
      <c r="CV282" t="str">
        <f t="shared" si="64"/>
        <v/>
      </c>
      <c r="CX282" s="11">
        <v>46034</v>
      </c>
      <c r="CY282" t="str">
        <f t="shared" si="60"/>
        <v>S3_2026</v>
      </c>
      <c r="DB282" t="s">
        <v>114</v>
      </c>
      <c r="DC282" t="s">
        <v>160</v>
      </c>
    </row>
    <row r="283" spans="1:107" x14ac:dyDescent="0.35">
      <c r="A283" t="s">
        <v>1085</v>
      </c>
      <c r="B283" s="10" t="str">
        <f t="shared" si="56"/>
        <v>S3_2026</v>
      </c>
      <c r="C283" s="10" t="str">
        <f t="shared" si="57"/>
        <v>S52_2025</v>
      </c>
      <c r="D283" s="25">
        <v>46034</v>
      </c>
      <c r="E283" s="26" t="s">
        <v>123</v>
      </c>
      <c r="F283" s="24">
        <v>64</v>
      </c>
      <c r="G283" t="s">
        <v>110</v>
      </c>
      <c r="H283" t="s">
        <v>108</v>
      </c>
      <c r="J283" t="s">
        <v>114</v>
      </c>
      <c r="K283" s="14">
        <v>46018</v>
      </c>
      <c r="L283" s="26" t="s">
        <v>126</v>
      </c>
      <c r="M283" s="26" t="s">
        <v>158</v>
      </c>
      <c r="N283" s="26" t="s">
        <v>1071</v>
      </c>
      <c r="O283" s="19" t="s">
        <v>1072</v>
      </c>
      <c r="P283" s="26" t="s">
        <v>1086</v>
      </c>
      <c r="Q283" s="31" t="s">
        <v>158</v>
      </c>
      <c r="R283" s="11">
        <v>46018</v>
      </c>
      <c r="S283" t="s">
        <v>110</v>
      </c>
      <c r="T283" t="s">
        <v>110</v>
      </c>
      <c r="V283" t="s">
        <v>132</v>
      </c>
      <c r="W283" t="s">
        <v>114</v>
      </c>
      <c r="X283" t="s">
        <v>132</v>
      </c>
      <c r="Y283" t="s">
        <v>114</v>
      </c>
      <c r="Z283" t="s">
        <v>132</v>
      </c>
      <c r="AA283" t="s">
        <v>132</v>
      </c>
      <c r="AB283" t="s">
        <v>132</v>
      </c>
      <c r="AC283" t="s">
        <v>114</v>
      </c>
      <c r="AE283" t="s">
        <v>114</v>
      </c>
      <c r="AF283" t="s">
        <v>142</v>
      </c>
      <c r="AG283" t="s">
        <v>142</v>
      </c>
      <c r="AH283" t="s">
        <v>142</v>
      </c>
      <c r="AI283" t="s">
        <v>142</v>
      </c>
      <c r="AJ283" t="s">
        <v>142</v>
      </c>
      <c r="AK283" t="s">
        <v>142</v>
      </c>
      <c r="AM283" t="s">
        <v>142</v>
      </c>
      <c r="AN283" t="s">
        <v>142</v>
      </c>
      <c r="AP283" t="s">
        <v>142</v>
      </c>
      <c r="AQ283" t="s">
        <v>142</v>
      </c>
      <c r="AS283" s="11">
        <v>46037</v>
      </c>
      <c r="AU283" t="s">
        <v>114</v>
      </c>
      <c r="AV283" t="s">
        <v>115</v>
      </c>
      <c r="BB283" t="s">
        <v>114</v>
      </c>
      <c r="BC283" s="11">
        <v>46034</v>
      </c>
      <c r="BE283" s="33">
        <v>699589847</v>
      </c>
      <c r="BF283" s="26" t="s">
        <v>1071</v>
      </c>
      <c r="BG283" t="s">
        <v>449</v>
      </c>
      <c r="BJ283" t="str">
        <f t="shared" si="65"/>
        <v/>
      </c>
      <c r="BK283" t="s">
        <v>137</v>
      </c>
      <c r="BL283" t="str">
        <f t="shared" si="58"/>
        <v>S3_2026</v>
      </c>
      <c r="BN283" s="11">
        <v>46038</v>
      </c>
      <c r="BO283" t="str">
        <f t="shared" si="54"/>
        <v>S3_2026</v>
      </c>
      <c r="BP283" t="s">
        <v>114</v>
      </c>
      <c r="BQ283" t="s">
        <v>450</v>
      </c>
      <c r="BR283" t="s">
        <v>451</v>
      </c>
      <c r="BS283" t="s">
        <v>114</v>
      </c>
      <c r="BT283" s="11">
        <v>46034</v>
      </c>
      <c r="BU283" s="11">
        <v>46037</v>
      </c>
      <c r="BV283" t="s">
        <v>450</v>
      </c>
      <c r="BW283" s="11">
        <v>46038</v>
      </c>
      <c r="BX283" s="11"/>
      <c r="BY283" s="11"/>
      <c r="BZ283" s="11"/>
      <c r="CB283" s="11"/>
      <c r="CC283" s="11"/>
      <c r="CD283" s="11"/>
      <c r="CE283" s="11"/>
      <c r="CG283" s="11"/>
      <c r="CI283" t="s">
        <v>119</v>
      </c>
      <c r="CO283" t="str">
        <f t="shared" si="59"/>
        <v>NEGATIFPAS INCLUS</v>
      </c>
      <c r="CP283" s="11">
        <v>46034</v>
      </c>
      <c r="CR283">
        <f t="shared" si="61"/>
        <v>3</v>
      </c>
      <c r="CS283">
        <f t="shared" si="62"/>
        <v>1</v>
      </c>
      <c r="CT283">
        <f t="shared" si="53"/>
        <v>16</v>
      </c>
      <c r="CU283">
        <f t="shared" si="63"/>
        <v>16</v>
      </c>
      <c r="CV283" t="str">
        <f t="shared" si="64"/>
        <v/>
      </c>
      <c r="CX283" s="11">
        <v>46018</v>
      </c>
      <c r="CY283" t="str">
        <f t="shared" si="60"/>
        <v>S52_2025</v>
      </c>
      <c r="DB283" t="s">
        <v>114</v>
      </c>
      <c r="DC283" t="s">
        <v>160</v>
      </c>
    </row>
    <row r="284" spans="1:107" x14ac:dyDescent="0.35">
      <c r="A284" t="s">
        <v>1087</v>
      </c>
      <c r="B284" s="10" t="str">
        <f t="shared" si="56"/>
        <v>S3_2026</v>
      </c>
      <c r="C284" s="10" t="str">
        <f t="shared" si="57"/>
        <v>S3_2026</v>
      </c>
      <c r="D284" s="11">
        <v>46035</v>
      </c>
      <c r="E284" t="s">
        <v>123</v>
      </c>
      <c r="F284" s="24">
        <v>37</v>
      </c>
      <c r="G284" t="s">
        <v>110</v>
      </c>
      <c r="H284" t="s">
        <v>108</v>
      </c>
      <c r="J284" t="s">
        <v>114</v>
      </c>
      <c r="K284" s="14">
        <v>46034</v>
      </c>
      <c r="L284" t="s">
        <v>126</v>
      </c>
      <c r="M284" t="s">
        <v>1088</v>
      </c>
      <c r="N284" s="29" t="s">
        <v>1089</v>
      </c>
      <c r="O284" t="s">
        <v>1090</v>
      </c>
      <c r="P284" s="29" t="s">
        <v>1091</v>
      </c>
      <c r="Q284" t="s">
        <v>853</v>
      </c>
      <c r="R284" s="11">
        <v>46034</v>
      </c>
      <c r="S284" t="s">
        <v>110</v>
      </c>
      <c r="T284" t="s">
        <v>110</v>
      </c>
      <c r="V284" t="s">
        <v>132</v>
      </c>
      <c r="W284" t="s">
        <v>114</v>
      </c>
      <c r="X284" t="s">
        <v>114</v>
      </c>
      <c r="Y284" t="s">
        <v>132</v>
      </c>
      <c r="Z284" t="s">
        <v>132</v>
      </c>
      <c r="AA284" t="s">
        <v>132</v>
      </c>
      <c r="AB284" t="s">
        <v>132</v>
      </c>
      <c r="AC284" t="s">
        <v>114</v>
      </c>
      <c r="AE284" t="s">
        <v>114</v>
      </c>
      <c r="AF284" t="s">
        <v>142</v>
      </c>
      <c r="AG284" t="s">
        <v>142</v>
      </c>
      <c r="AH284" t="s">
        <v>142</v>
      </c>
      <c r="AI284" t="s">
        <v>142</v>
      </c>
      <c r="AJ284" t="s">
        <v>142</v>
      </c>
      <c r="AK284" t="s">
        <v>142</v>
      </c>
      <c r="AM284" t="s">
        <v>142</v>
      </c>
      <c r="AN284" t="s">
        <v>142</v>
      </c>
      <c r="AP284" t="s">
        <v>142</v>
      </c>
      <c r="AQ284" t="s">
        <v>142</v>
      </c>
      <c r="AS284" s="11">
        <v>46037</v>
      </c>
      <c r="AU284" t="s">
        <v>114</v>
      </c>
      <c r="AV284" t="s">
        <v>115</v>
      </c>
      <c r="BB284" t="s">
        <v>114</v>
      </c>
      <c r="BC284" s="11">
        <v>46035</v>
      </c>
      <c r="BD284" t="s">
        <v>169</v>
      </c>
      <c r="BE284">
        <v>697990937</v>
      </c>
      <c r="BF284" s="29" t="s">
        <v>1089</v>
      </c>
      <c r="BG284" t="s">
        <v>449</v>
      </c>
      <c r="BJ284" t="str">
        <f t="shared" si="65"/>
        <v/>
      </c>
      <c r="BK284" t="s">
        <v>137</v>
      </c>
      <c r="BL284" t="str">
        <f t="shared" si="58"/>
        <v>S3_2026</v>
      </c>
      <c r="BN284" s="11">
        <v>46038</v>
      </c>
      <c r="BO284" t="str">
        <f t="shared" si="54"/>
        <v>S3_2026</v>
      </c>
      <c r="BP284" t="s">
        <v>114</v>
      </c>
      <c r="BQ284" t="s">
        <v>450</v>
      </c>
      <c r="BR284" t="s">
        <v>451</v>
      </c>
      <c r="BS284" t="s">
        <v>114</v>
      </c>
      <c r="BT284" s="11">
        <v>46035</v>
      </c>
      <c r="BU284" s="11">
        <v>46037</v>
      </c>
      <c r="BV284" t="s">
        <v>450</v>
      </c>
      <c r="BW284" s="11">
        <v>46038</v>
      </c>
      <c r="BX284" s="11"/>
      <c r="BY284" s="11"/>
      <c r="BZ284" s="11"/>
      <c r="CB284" s="11"/>
      <c r="CC284" s="11"/>
      <c r="CD284" s="11"/>
      <c r="CE284" s="11"/>
      <c r="CG284" s="11"/>
      <c r="CI284" t="s">
        <v>119</v>
      </c>
      <c r="CO284" t="str">
        <f t="shared" si="59"/>
        <v>NEGATIFPAS INCLUS</v>
      </c>
      <c r="CP284" s="11">
        <v>46035</v>
      </c>
      <c r="CR284">
        <f t="shared" si="61"/>
        <v>2</v>
      </c>
      <c r="CS284">
        <f t="shared" si="62"/>
        <v>1</v>
      </c>
      <c r="CT284">
        <f t="shared" si="53"/>
        <v>1</v>
      </c>
      <c r="CU284">
        <f t="shared" si="63"/>
        <v>1</v>
      </c>
      <c r="CV284" t="str">
        <f t="shared" si="64"/>
        <v/>
      </c>
      <c r="CX284" s="11">
        <v>46034</v>
      </c>
      <c r="CY284" t="str">
        <f t="shared" si="60"/>
        <v>S3_2026</v>
      </c>
      <c r="DB284" t="s">
        <v>114</v>
      </c>
      <c r="DC284" t="s">
        <v>160</v>
      </c>
    </row>
    <row r="285" spans="1:107" x14ac:dyDescent="0.35">
      <c r="A285" t="s">
        <v>1092</v>
      </c>
      <c r="B285" s="10" t="str">
        <f t="shared" si="56"/>
        <v>S3_2026</v>
      </c>
      <c r="C285" s="10" t="str">
        <f t="shared" si="57"/>
        <v/>
      </c>
      <c r="D285" s="11">
        <v>46035</v>
      </c>
      <c r="E285" t="s">
        <v>123</v>
      </c>
      <c r="F285" s="24">
        <v>3</v>
      </c>
      <c r="G285" t="s">
        <v>141</v>
      </c>
      <c r="H285" t="s">
        <v>108</v>
      </c>
      <c r="J285" t="s">
        <v>114</v>
      </c>
      <c r="K285" s="14">
        <v>46034.000405092593</v>
      </c>
      <c r="L285" t="s">
        <v>126</v>
      </c>
      <c r="M285" t="s">
        <v>1088</v>
      </c>
      <c r="N285" s="26" t="s">
        <v>1093</v>
      </c>
      <c r="O285" s="19" t="s">
        <v>1094</v>
      </c>
      <c r="P285" t="s">
        <v>110</v>
      </c>
      <c r="Q285" t="s">
        <v>853</v>
      </c>
      <c r="R285" t="s">
        <v>110</v>
      </c>
      <c r="S285" t="s">
        <v>110</v>
      </c>
      <c r="T285" t="s">
        <v>110</v>
      </c>
      <c r="V285" t="s">
        <v>142</v>
      </c>
      <c r="W285" t="s">
        <v>142</v>
      </c>
      <c r="X285" t="s">
        <v>142</v>
      </c>
      <c r="Y285" t="s">
        <v>142</v>
      </c>
      <c r="Z285" t="s">
        <v>142</v>
      </c>
      <c r="AA285" t="s">
        <v>142</v>
      </c>
      <c r="AB285" t="s">
        <v>142</v>
      </c>
      <c r="AC285" t="s">
        <v>114</v>
      </c>
      <c r="AE285" t="s">
        <v>114</v>
      </c>
      <c r="AF285" t="s">
        <v>142</v>
      </c>
      <c r="AG285" t="s">
        <v>142</v>
      </c>
      <c r="AH285" t="s">
        <v>142</v>
      </c>
      <c r="AI285" t="s">
        <v>142</v>
      </c>
      <c r="AJ285" t="s">
        <v>142</v>
      </c>
      <c r="AK285" t="s">
        <v>142</v>
      </c>
      <c r="AM285" t="s">
        <v>142</v>
      </c>
      <c r="AN285" t="s">
        <v>142</v>
      </c>
      <c r="AP285" t="s">
        <v>142</v>
      </c>
      <c r="AQ285" t="s">
        <v>142</v>
      </c>
      <c r="BF285" s="26" t="s">
        <v>1093</v>
      </c>
      <c r="BJ285" t="str">
        <f t="shared" si="65"/>
        <v/>
      </c>
      <c r="BK285" t="s">
        <v>137</v>
      </c>
      <c r="BL285" t="str">
        <f t="shared" si="58"/>
        <v/>
      </c>
      <c r="BO285" t="str">
        <f t="shared" si="54"/>
        <v/>
      </c>
      <c r="BR285" t="s">
        <v>451</v>
      </c>
      <c r="BS285" t="s">
        <v>114</v>
      </c>
      <c r="CI285" t="s">
        <v>119</v>
      </c>
      <c r="CO285" t="str">
        <f t="shared" si="59"/>
        <v>PAS INCLUS</v>
      </c>
      <c r="CP285" s="11">
        <v>46035</v>
      </c>
      <c r="CR285" t="str">
        <f t="shared" si="61"/>
        <v/>
      </c>
      <c r="CS285" t="str">
        <f t="shared" si="62"/>
        <v/>
      </c>
      <c r="CT285">
        <f t="shared" si="53"/>
        <v>1</v>
      </c>
      <c r="CU285">
        <f t="shared" si="63"/>
        <v>0.99959490740729962</v>
      </c>
      <c r="CV285" t="str">
        <f t="shared" si="64"/>
        <v/>
      </c>
      <c r="CX285" s="11">
        <v>46034</v>
      </c>
      <c r="CY285" t="str">
        <f t="shared" si="60"/>
        <v>S3_2026</v>
      </c>
      <c r="DB285" t="s">
        <v>114</v>
      </c>
      <c r="DC285" t="s">
        <v>160</v>
      </c>
    </row>
    <row r="286" spans="1:107" x14ac:dyDescent="0.35">
      <c r="A286" t="s">
        <v>1095</v>
      </c>
      <c r="B286" s="10" t="str">
        <f t="shared" si="56"/>
        <v>S3_2026</v>
      </c>
      <c r="C286" s="10" t="str">
        <f t="shared" si="57"/>
        <v/>
      </c>
      <c r="D286" s="11">
        <v>46035</v>
      </c>
      <c r="E286" t="s">
        <v>106</v>
      </c>
      <c r="F286" s="24">
        <v>1</v>
      </c>
      <c r="G286" t="s">
        <v>141</v>
      </c>
      <c r="H286" t="s">
        <v>108</v>
      </c>
      <c r="J286" t="s">
        <v>114</v>
      </c>
      <c r="K286" s="14">
        <v>46032.000405092593</v>
      </c>
      <c r="L286" t="s">
        <v>126</v>
      </c>
      <c r="M286" t="s">
        <v>1088</v>
      </c>
      <c r="N286" s="26" t="s">
        <v>1093</v>
      </c>
      <c r="O286" s="19" t="s">
        <v>1094</v>
      </c>
      <c r="P286" t="s">
        <v>110</v>
      </c>
      <c r="Q286" t="s">
        <v>853</v>
      </c>
      <c r="R286" t="s">
        <v>110</v>
      </c>
      <c r="S286" t="s">
        <v>110</v>
      </c>
      <c r="T286" t="s">
        <v>110</v>
      </c>
      <c r="V286" t="s">
        <v>142</v>
      </c>
      <c r="W286" t="s">
        <v>142</v>
      </c>
      <c r="X286" t="s">
        <v>142</v>
      </c>
      <c r="Y286" t="s">
        <v>142</v>
      </c>
      <c r="Z286" t="s">
        <v>142</v>
      </c>
      <c r="AA286" t="s">
        <v>142</v>
      </c>
      <c r="AB286" t="s">
        <v>142</v>
      </c>
      <c r="AC286" t="s">
        <v>114</v>
      </c>
      <c r="AE286" t="s">
        <v>114</v>
      </c>
      <c r="AF286" t="s">
        <v>142</v>
      </c>
      <c r="AG286" t="s">
        <v>142</v>
      </c>
      <c r="AH286" t="s">
        <v>142</v>
      </c>
      <c r="AI286" t="s">
        <v>142</v>
      </c>
      <c r="AJ286" t="s">
        <v>142</v>
      </c>
      <c r="AK286" t="s">
        <v>142</v>
      </c>
      <c r="AM286" t="s">
        <v>142</v>
      </c>
      <c r="AN286" t="s">
        <v>142</v>
      </c>
      <c r="AP286" t="s">
        <v>142</v>
      </c>
      <c r="AQ286" t="s">
        <v>142</v>
      </c>
      <c r="BF286" s="26" t="s">
        <v>1093</v>
      </c>
      <c r="BJ286" t="str">
        <f t="shared" si="65"/>
        <v/>
      </c>
      <c r="BK286" t="s">
        <v>137</v>
      </c>
      <c r="BL286" t="str">
        <f t="shared" si="58"/>
        <v/>
      </c>
      <c r="BO286" t="str">
        <f t="shared" si="54"/>
        <v/>
      </c>
      <c r="BR286" t="s">
        <v>451</v>
      </c>
      <c r="BS286" t="s">
        <v>114</v>
      </c>
      <c r="CI286" t="s">
        <v>119</v>
      </c>
      <c r="CO286" t="str">
        <f t="shared" si="59"/>
        <v>PAS INCLUS</v>
      </c>
      <c r="CP286" s="11">
        <v>46035</v>
      </c>
      <c r="CR286" t="str">
        <f t="shared" si="61"/>
        <v/>
      </c>
      <c r="CS286" t="str">
        <f t="shared" si="62"/>
        <v/>
      </c>
      <c r="CT286">
        <f t="shared" si="53"/>
        <v>3</v>
      </c>
      <c r="CU286">
        <f t="shared" si="63"/>
        <v>2.9995949074072996</v>
      </c>
      <c r="CV286" t="str">
        <f t="shared" si="64"/>
        <v/>
      </c>
      <c r="CX286" s="11">
        <v>46032</v>
      </c>
      <c r="CY286" t="str">
        <f t="shared" si="60"/>
        <v>S2_2026</v>
      </c>
      <c r="DB286" t="s">
        <v>114</v>
      </c>
      <c r="DC286" t="s">
        <v>160</v>
      </c>
    </row>
    <row r="287" spans="1:107" x14ac:dyDescent="0.35">
      <c r="A287" t="s">
        <v>1096</v>
      </c>
      <c r="B287" s="10" t="str">
        <f t="shared" si="56"/>
        <v>S3_2026</v>
      </c>
      <c r="C287" s="10" t="str">
        <f t="shared" si="57"/>
        <v/>
      </c>
      <c r="D287" s="11">
        <v>46035</v>
      </c>
      <c r="E287" t="s">
        <v>123</v>
      </c>
      <c r="F287" s="24">
        <v>1</v>
      </c>
      <c r="G287" t="s">
        <v>141</v>
      </c>
      <c r="H287" t="s">
        <v>108</v>
      </c>
      <c r="J287" t="s">
        <v>114</v>
      </c>
      <c r="K287" s="14">
        <v>46032.000405092593</v>
      </c>
      <c r="L287" t="s">
        <v>126</v>
      </c>
      <c r="M287" t="s">
        <v>1088</v>
      </c>
      <c r="N287" s="26" t="s">
        <v>1093</v>
      </c>
      <c r="O287" s="19" t="s">
        <v>1094</v>
      </c>
      <c r="P287" t="s">
        <v>110</v>
      </c>
      <c r="Q287" t="s">
        <v>853</v>
      </c>
      <c r="R287" t="s">
        <v>110</v>
      </c>
      <c r="S287" t="s">
        <v>110</v>
      </c>
      <c r="T287" t="s">
        <v>110</v>
      </c>
      <c r="V287" t="s">
        <v>142</v>
      </c>
      <c r="W287" t="s">
        <v>142</v>
      </c>
      <c r="X287" t="s">
        <v>142</v>
      </c>
      <c r="Y287" t="s">
        <v>142</v>
      </c>
      <c r="Z287" t="s">
        <v>142</v>
      </c>
      <c r="AA287" t="s">
        <v>142</v>
      </c>
      <c r="AB287" t="s">
        <v>142</v>
      </c>
      <c r="AC287" t="s">
        <v>114</v>
      </c>
      <c r="AE287" t="s">
        <v>114</v>
      </c>
      <c r="AF287" t="s">
        <v>142</v>
      </c>
      <c r="AG287" t="s">
        <v>142</v>
      </c>
      <c r="AH287" t="s">
        <v>142</v>
      </c>
      <c r="AI287" t="s">
        <v>142</v>
      </c>
      <c r="AJ287" t="s">
        <v>142</v>
      </c>
      <c r="AK287" t="s">
        <v>142</v>
      </c>
      <c r="AM287" t="s">
        <v>142</v>
      </c>
      <c r="AN287" t="s">
        <v>142</v>
      </c>
      <c r="AP287" t="s">
        <v>142</v>
      </c>
      <c r="AQ287" t="s">
        <v>142</v>
      </c>
      <c r="BF287" s="26" t="s">
        <v>1093</v>
      </c>
      <c r="BJ287" t="str">
        <f t="shared" si="65"/>
        <v/>
      </c>
      <c r="BK287" t="s">
        <v>137</v>
      </c>
      <c r="BL287" t="str">
        <f t="shared" si="58"/>
        <v/>
      </c>
      <c r="BO287" t="str">
        <f t="shared" si="54"/>
        <v/>
      </c>
      <c r="BR287" t="s">
        <v>451</v>
      </c>
      <c r="BS287" t="s">
        <v>114</v>
      </c>
      <c r="CI287" t="s">
        <v>119</v>
      </c>
      <c r="CO287" t="str">
        <f t="shared" si="59"/>
        <v>PAS INCLUS</v>
      </c>
      <c r="CP287" s="11">
        <v>46035</v>
      </c>
      <c r="CR287" t="str">
        <f t="shared" si="61"/>
        <v/>
      </c>
      <c r="CS287" t="str">
        <f t="shared" si="62"/>
        <v/>
      </c>
      <c r="CT287">
        <f t="shared" si="53"/>
        <v>3</v>
      </c>
      <c r="CU287">
        <f t="shared" si="63"/>
        <v>2.9995949074072996</v>
      </c>
      <c r="CV287" t="str">
        <f t="shared" si="64"/>
        <v/>
      </c>
      <c r="CX287" s="11">
        <v>46032</v>
      </c>
      <c r="CY287" t="str">
        <f t="shared" si="60"/>
        <v>S2_2026</v>
      </c>
      <c r="DB287" t="s">
        <v>114</v>
      </c>
      <c r="DC287" t="s">
        <v>160</v>
      </c>
    </row>
    <row r="288" spans="1:107" x14ac:dyDescent="0.35">
      <c r="A288" t="s">
        <v>1097</v>
      </c>
      <c r="B288" s="10" t="str">
        <f t="shared" si="56"/>
        <v>S3_2026</v>
      </c>
      <c r="C288" s="10" t="str">
        <f t="shared" si="57"/>
        <v>S2_2026</v>
      </c>
      <c r="D288" s="11">
        <v>46035</v>
      </c>
      <c r="E288" t="s">
        <v>123</v>
      </c>
      <c r="F288" s="24">
        <v>39</v>
      </c>
      <c r="G288" t="s">
        <v>1098</v>
      </c>
      <c r="H288" t="s">
        <v>835</v>
      </c>
      <c r="J288" t="s">
        <v>114</v>
      </c>
      <c r="K288" s="14">
        <v>46033</v>
      </c>
      <c r="L288" t="s">
        <v>126</v>
      </c>
      <c r="M288" t="s">
        <v>127</v>
      </c>
      <c r="N288" s="26" t="s">
        <v>340</v>
      </c>
      <c r="O288" s="34" t="s">
        <v>1099</v>
      </c>
      <c r="P288" t="s">
        <v>110</v>
      </c>
      <c r="Q288" t="s">
        <v>215</v>
      </c>
      <c r="R288" s="11">
        <v>46028</v>
      </c>
      <c r="AA288" t="s">
        <v>114</v>
      </c>
      <c r="AE288" t="s">
        <v>114</v>
      </c>
      <c r="AS288" s="11">
        <v>46037</v>
      </c>
      <c r="AU288" t="s">
        <v>114</v>
      </c>
      <c r="AV288" t="s">
        <v>115</v>
      </c>
      <c r="BB288" t="s">
        <v>114</v>
      </c>
      <c r="BC288" s="11">
        <v>46036</v>
      </c>
      <c r="BD288" t="s">
        <v>169</v>
      </c>
      <c r="BF288" t="s">
        <v>340</v>
      </c>
      <c r="BG288" t="s">
        <v>449</v>
      </c>
      <c r="BJ288" t="str">
        <f t="shared" si="65"/>
        <v/>
      </c>
      <c r="BK288" t="s">
        <v>137</v>
      </c>
      <c r="BL288" t="str">
        <f t="shared" si="58"/>
        <v>S3_2026</v>
      </c>
      <c r="BN288" s="11">
        <v>46038</v>
      </c>
      <c r="BO288" t="str">
        <f t="shared" si="54"/>
        <v>S3_2026</v>
      </c>
      <c r="BP288" t="s">
        <v>114</v>
      </c>
      <c r="BQ288" t="s">
        <v>450</v>
      </c>
      <c r="BR288" t="s">
        <v>451</v>
      </c>
      <c r="BT288" s="11">
        <v>46036</v>
      </c>
      <c r="BU288" s="11">
        <v>46037</v>
      </c>
      <c r="BV288" t="s">
        <v>450</v>
      </c>
      <c r="BW288" s="11">
        <v>46038</v>
      </c>
      <c r="BX288" s="11"/>
      <c r="BY288" s="11"/>
      <c r="BZ288" s="11"/>
      <c r="CB288" s="11"/>
      <c r="CC288" s="11"/>
      <c r="CD288" s="11"/>
      <c r="CE288" s="11"/>
      <c r="CG288" s="11"/>
      <c r="CI288" t="s">
        <v>119</v>
      </c>
      <c r="CO288" t="str">
        <f t="shared" si="59"/>
        <v>NEGATIFPAS INCLUS</v>
      </c>
      <c r="CP288" s="11">
        <v>46035</v>
      </c>
      <c r="CR288">
        <f t="shared" si="61"/>
        <v>1</v>
      </c>
      <c r="CS288">
        <f t="shared" si="62"/>
        <v>1</v>
      </c>
      <c r="CT288">
        <f t="shared" si="53"/>
        <v>7</v>
      </c>
      <c r="CU288">
        <f t="shared" si="63"/>
        <v>2</v>
      </c>
      <c r="CV288" t="str">
        <f t="shared" si="64"/>
        <v/>
      </c>
      <c r="CX288" s="11">
        <v>46028</v>
      </c>
      <c r="CY288" t="str">
        <f t="shared" si="60"/>
        <v>S2_2026</v>
      </c>
      <c r="DB288" t="s">
        <v>114</v>
      </c>
      <c r="DC288" t="s">
        <v>160</v>
      </c>
    </row>
    <row r="289" spans="1:107" ht="31" x14ac:dyDescent="0.35">
      <c r="A289" t="s">
        <v>1100</v>
      </c>
      <c r="B289" s="10" t="str">
        <f t="shared" si="56"/>
        <v>S3_2026</v>
      </c>
      <c r="C289" s="10" t="str">
        <f t="shared" si="57"/>
        <v>S3_2026</v>
      </c>
      <c r="D289" s="11">
        <v>46035</v>
      </c>
      <c r="E289" t="s">
        <v>123</v>
      </c>
      <c r="F289" s="24">
        <v>24</v>
      </c>
      <c r="G289" t="s">
        <v>1098</v>
      </c>
      <c r="H289" t="s">
        <v>835</v>
      </c>
      <c r="J289" t="s">
        <v>114</v>
      </c>
      <c r="K289" s="14">
        <v>46033</v>
      </c>
      <c r="L289" t="s">
        <v>126</v>
      </c>
      <c r="M289" t="s">
        <v>127</v>
      </c>
      <c r="N289" s="26" t="s">
        <v>340</v>
      </c>
      <c r="O289" s="19" t="s">
        <v>1099</v>
      </c>
      <c r="P289" t="s">
        <v>110</v>
      </c>
      <c r="Q289" t="s">
        <v>215</v>
      </c>
      <c r="R289" s="11">
        <v>46034</v>
      </c>
      <c r="AA289" t="s">
        <v>114</v>
      </c>
      <c r="AE289" t="s">
        <v>114</v>
      </c>
      <c r="AS289" s="11">
        <v>46037</v>
      </c>
      <c r="AU289" t="s">
        <v>114</v>
      </c>
      <c r="AV289" t="s">
        <v>115</v>
      </c>
      <c r="BB289" t="s">
        <v>114</v>
      </c>
      <c r="BC289" s="11">
        <v>46036</v>
      </c>
      <c r="BD289" t="s">
        <v>169</v>
      </c>
      <c r="BF289" t="s">
        <v>340</v>
      </c>
      <c r="BG289" t="s">
        <v>449</v>
      </c>
      <c r="BJ289" t="str">
        <f t="shared" si="65"/>
        <v/>
      </c>
      <c r="BK289" t="s">
        <v>137</v>
      </c>
      <c r="BL289" t="str">
        <f t="shared" si="58"/>
        <v>S3_2026</v>
      </c>
      <c r="BN289" s="11">
        <v>46038</v>
      </c>
      <c r="BO289" t="str">
        <f t="shared" si="54"/>
        <v>S3_2026</v>
      </c>
      <c r="BP289" t="s">
        <v>114</v>
      </c>
      <c r="BQ289" t="s">
        <v>450</v>
      </c>
      <c r="BR289" t="s">
        <v>451</v>
      </c>
      <c r="BT289" s="11">
        <v>46036</v>
      </c>
      <c r="BU289" s="11">
        <v>46037</v>
      </c>
      <c r="BV289" t="s">
        <v>450</v>
      </c>
      <c r="BW289" s="11">
        <v>46038</v>
      </c>
      <c r="BX289" s="11"/>
      <c r="BY289" s="11"/>
      <c r="BZ289" s="11"/>
      <c r="CB289" s="11"/>
      <c r="CC289" s="11"/>
      <c r="CD289" s="11"/>
      <c r="CE289" s="11"/>
      <c r="CG289" s="11"/>
      <c r="CI289" t="s">
        <v>119</v>
      </c>
      <c r="CO289" t="str">
        <f t="shared" si="59"/>
        <v>NEGATIFPAS INCLUS</v>
      </c>
      <c r="CP289" s="11">
        <v>46035</v>
      </c>
      <c r="CR289">
        <f t="shared" si="61"/>
        <v>1</v>
      </c>
      <c r="CS289">
        <f t="shared" si="62"/>
        <v>1</v>
      </c>
      <c r="CT289">
        <f t="shared" si="53"/>
        <v>1</v>
      </c>
      <c r="CU289">
        <f t="shared" si="63"/>
        <v>2</v>
      </c>
      <c r="CV289" t="str">
        <f t="shared" si="64"/>
        <v/>
      </c>
      <c r="CX289" s="11">
        <v>46034</v>
      </c>
      <c r="CY289" t="str">
        <f t="shared" si="60"/>
        <v>S3_2026</v>
      </c>
      <c r="DB289" t="s">
        <v>114</v>
      </c>
      <c r="DC289" t="s">
        <v>160</v>
      </c>
    </row>
    <row r="290" spans="1:107" ht="31" x14ac:dyDescent="0.35">
      <c r="A290" t="s">
        <v>1101</v>
      </c>
      <c r="B290" s="10" t="str">
        <f t="shared" si="56"/>
        <v>S3_2026</v>
      </c>
      <c r="C290" s="10" t="str">
        <f t="shared" si="57"/>
        <v>S2_2026</v>
      </c>
      <c r="D290" s="11">
        <v>46035</v>
      </c>
      <c r="E290" t="s">
        <v>123</v>
      </c>
      <c r="F290" s="24">
        <v>27</v>
      </c>
      <c r="G290" t="s">
        <v>1098</v>
      </c>
      <c r="H290" t="s">
        <v>835</v>
      </c>
      <c r="J290" t="s">
        <v>114</v>
      </c>
      <c r="K290" s="14">
        <v>46033</v>
      </c>
      <c r="L290" t="s">
        <v>126</v>
      </c>
      <c r="M290" t="s">
        <v>127</v>
      </c>
      <c r="N290" s="26" t="s">
        <v>340</v>
      </c>
      <c r="O290" s="19" t="s">
        <v>1099</v>
      </c>
      <c r="P290" t="s">
        <v>110</v>
      </c>
      <c r="Q290" t="s">
        <v>215</v>
      </c>
      <c r="R290" s="11">
        <v>46032</v>
      </c>
      <c r="AA290" t="s">
        <v>114</v>
      </c>
      <c r="AE290" t="s">
        <v>114</v>
      </c>
      <c r="AS290" s="11">
        <v>46037</v>
      </c>
      <c r="AU290" t="s">
        <v>114</v>
      </c>
      <c r="AV290" t="s">
        <v>115</v>
      </c>
      <c r="BB290" t="s">
        <v>114</v>
      </c>
      <c r="BC290" s="11">
        <v>46036</v>
      </c>
      <c r="BD290" t="s">
        <v>169</v>
      </c>
      <c r="BF290" t="s">
        <v>340</v>
      </c>
      <c r="BG290" t="s">
        <v>449</v>
      </c>
      <c r="BJ290" t="str">
        <f t="shared" si="65"/>
        <v/>
      </c>
      <c r="BK290" t="s">
        <v>137</v>
      </c>
      <c r="BL290" t="str">
        <f t="shared" si="58"/>
        <v>S3_2026</v>
      </c>
      <c r="BN290" s="11">
        <v>46038</v>
      </c>
      <c r="BO290" t="str">
        <f t="shared" si="54"/>
        <v>S3_2026</v>
      </c>
      <c r="BP290" t="s">
        <v>114</v>
      </c>
      <c r="BQ290" t="s">
        <v>450</v>
      </c>
      <c r="BR290" t="s">
        <v>451</v>
      </c>
      <c r="BT290" s="11">
        <v>46036</v>
      </c>
      <c r="BU290" s="11">
        <v>46037</v>
      </c>
      <c r="BV290" t="s">
        <v>450</v>
      </c>
      <c r="BW290" s="11">
        <v>46038</v>
      </c>
      <c r="BX290" s="11"/>
      <c r="BY290" s="11"/>
      <c r="BZ290" s="11"/>
      <c r="CB290" s="11"/>
      <c r="CC290" s="11"/>
      <c r="CD290" s="11"/>
      <c r="CE290" s="11"/>
      <c r="CG290" s="11"/>
      <c r="CI290" t="s">
        <v>119</v>
      </c>
      <c r="CO290" t="str">
        <f t="shared" si="59"/>
        <v>NEGATIFPAS INCLUS</v>
      </c>
      <c r="CP290" s="11">
        <v>46035</v>
      </c>
      <c r="CR290">
        <f t="shared" si="61"/>
        <v>1</v>
      </c>
      <c r="CS290">
        <f t="shared" si="62"/>
        <v>1</v>
      </c>
      <c r="CT290">
        <f t="shared" si="53"/>
        <v>3</v>
      </c>
      <c r="CU290">
        <f t="shared" si="63"/>
        <v>2</v>
      </c>
      <c r="CV290" t="str">
        <f t="shared" si="64"/>
        <v/>
      </c>
      <c r="CX290" s="11">
        <v>46032</v>
      </c>
      <c r="CY290" t="str">
        <f t="shared" si="60"/>
        <v>S2_2026</v>
      </c>
      <c r="DB290" t="s">
        <v>114</v>
      </c>
      <c r="DC290" t="s">
        <v>160</v>
      </c>
    </row>
    <row r="291" spans="1:107" x14ac:dyDescent="0.35">
      <c r="A291" t="s">
        <v>1102</v>
      </c>
      <c r="B291" s="10" t="str">
        <f t="shared" si="56"/>
        <v>S3_2026</v>
      </c>
      <c r="C291" s="10" t="str">
        <f t="shared" si="57"/>
        <v>S1_2026</v>
      </c>
      <c r="D291" s="11">
        <v>46036</v>
      </c>
      <c r="E291" s="31" t="s">
        <v>123</v>
      </c>
      <c r="F291" s="67">
        <v>7</v>
      </c>
      <c r="G291" t="s">
        <v>107</v>
      </c>
      <c r="H291" t="s">
        <v>108</v>
      </c>
      <c r="J291" t="s">
        <v>114</v>
      </c>
      <c r="K291" s="14">
        <v>46025</v>
      </c>
      <c r="L291" t="s">
        <v>126</v>
      </c>
      <c r="M291" s="31" t="s">
        <v>127</v>
      </c>
      <c r="N291" s="31" t="s">
        <v>202</v>
      </c>
      <c r="O291" s="32" t="s">
        <v>1103</v>
      </c>
      <c r="P291" s="29" t="s">
        <v>541</v>
      </c>
      <c r="Q291" s="31" t="s">
        <v>158</v>
      </c>
      <c r="R291" s="11">
        <v>46023</v>
      </c>
      <c r="S291" s="11">
        <v>46023</v>
      </c>
      <c r="T291" s="11">
        <v>46023</v>
      </c>
      <c r="V291" t="s">
        <v>114</v>
      </c>
      <c r="W291" t="s">
        <v>114</v>
      </c>
      <c r="X291" t="s">
        <v>114</v>
      </c>
      <c r="Y291" t="s">
        <v>114</v>
      </c>
      <c r="Z291" t="s">
        <v>114</v>
      </c>
      <c r="AA291" t="s">
        <v>114</v>
      </c>
      <c r="AB291" t="s">
        <v>114</v>
      </c>
      <c r="AE291" t="s">
        <v>114</v>
      </c>
      <c r="AM291" t="s">
        <v>114</v>
      </c>
      <c r="AN291" t="s">
        <v>132</v>
      </c>
      <c r="AQ291" t="s">
        <v>132</v>
      </c>
      <c r="AS291" s="11">
        <v>46037</v>
      </c>
      <c r="AU291" t="s">
        <v>114</v>
      </c>
      <c r="AV291" t="s">
        <v>115</v>
      </c>
      <c r="BB291" t="s">
        <v>114</v>
      </c>
      <c r="BC291" s="11">
        <v>46036</v>
      </c>
      <c r="BD291" t="s">
        <v>169</v>
      </c>
      <c r="BF291" t="s">
        <v>961</v>
      </c>
      <c r="BG291" t="s">
        <v>449</v>
      </c>
      <c r="BJ291" t="str">
        <f t="shared" si="65"/>
        <v/>
      </c>
      <c r="BK291" t="s">
        <v>137</v>
      </c>
      <c r="BL291" t="str">
        <f t="shared" si="58"/>
        <v>S3_2026</v>
      </c>
      <c r="BM291" t="s">
        <v>159</v>
      </c>
      <c r="BN291" s="11">
        <v>46038</v>
      </c>
      <c r="BO291" t="str">
        <f t="shared" si="54"/>
        <v>S3_2026</v>
      </c>
      <c r="BP291" t="s">
        <v>114</v>
      </c>
      <c r="BQ291" t="s">
        <v>450</v>
      </c>
      <c r="BR291" t="s">
        <v>451</v>
      </c>
      <c r="BT291" s="11">
        <v>46036</v>
      </c>
      <c r="BU291" s="11">
        <v>46037</v>
      </c>
      <c r="BV291" t="s">
        <v>450</v>
      </c>
      <c r="BW291" s="11">
        <v>46038</v>
      </c>
      <c r="BX291" s="11"/>
      <c r="BY291" s="11"/>
      <c r="BZ291" s="11"/>
      <c r="CB291" s="11"/>
      <c r="CC291" s="11"/>
      <c r="CD291" s="11"/>
      <c r="CE291" s="11"/>
      <c r="CG291" s="11"/>
      <c r="CI291" t="s">
        <v>119</v>
      </c>
      <c r="CO291" t="str">
        <f t="shared" si="59"/>
        <v>NEGATIFPAS INCLUS</v>
      </c>
      <c r="CP291" s="11">
        <v>46036</v>
      </c>
      <c r="CR291">
        <f t="shared" si="61"/>
        <v>1</v>
      </c>
      <c r="CS291">
        <f t="shared" si="62"/>
        <v>1</v>
      </c>
      <c r="CT291">
        <f t="shared" si="53"/>
        <v>13</v>
      </c>
      <c r="CU291">
        <f t="shared" si="63"/>
        <v>11</v>
      </c>
      <c r="CV291" t="str">
        <f t="shared" si="64"/>
        <v/>
      </c>
      <c r="CX291" s="11">
        <v>46023</v>
      </c>
      <c r="CY291" t="str">
        <f t="shared" si="60"/>
        <v>S1_2026</v>
      </c>
      <c r="DB291" t="s">
        <v>114</v>
      </c>
      <c r="DC291" t="s">
        <v>160</v>
      </c>
    </row>
    <row r="292" spans="1:107" ht="31" x14ac:dyDescent="0.35">
      <c r="A292" t="s">
        <v>1104</v>
      </c>
      <c r="B292" s="10" t="str">
        <f t="shared" si="56"/>
        <v>S3_2026</v>
      </c>
      <c r="C292" s="10" t="str">
        <f t="shared" si="57"/>
        <v>S2_2026</v>
      </c>
      <c r="D292" s="11">
        <v>46036</v>
      </c>
      <c r="E292" t="s">
        <v>123</v>
      </c>
      <c r="F292" s="24">
        <v>29</v>
      </c>
      <c r="G292" t="s">
        <v>1098</v>
      </c>
      <c r="H292" t="s">
        <v>835</v>
      </c>
      <c r="J292" t="s">
        <v>114</v>
      </c>
      <c r="K292" s="14">
        <v>46033</v>
      </c>
      <c r="L292" t="s">
        <v>126</v>
      </c>
      <c r="M292" t="s">
        <v>127</v>
      </c>
      <c r="N292" s="26" t="s">
        <v>340</v>
      </c>
      <c r="O292" s="19" t="s">
        <v>1099</v>
      </c>
      <c r="P292" t="s">
        <v>110</v>
      </c>
      <c r="Q292" t="s">
        <v>215</v>
      </c>
      <c r="R292" s="11">
        <v>46027</v>
      </c>
      <c r="AA292" t="s">
        <v>132</v>
      </c>
      <c r="AE292" t="s">
        <v>114</v>
      </c>
      <c r="AS292" s="11">
        <v>46037</v>
      </c>
      <c r="AU292" t="s">
        <v>114</v>
      </c>
      <c r="AV292" t="s">
        <v>115</v>
      </c>
      <c r="BB292" t="s">
        <v>114</v>
      </c>
      <c r="BC292" s="11">
        <v>46036</v>
      </c>
      <c r="BD292" t="s">
        <v>169</v>
      </c>
      <c r="BF292" t="s">
        <v>340</v>
      </c>
      <c r="BG292" t="s">
        <v>449</v>
      </c>
      <c r="BJ292" t="str">
        <f t="shared" si="65"/>
        <v/>
      </c>
      <c r="BK292" t="s">
        <v>137</v>
      </c>
      <c r="BL292" t="str">
        <f t="shared" si="58"/>
        <v>S3_2026</v>
      </c>
      <c r="BN292" s="11">
        <v>46038</v>
      </c>
      <c r="BO292" t="str">
        <f t="shared" si="54"/>
        <v>S3_2026</v>
      </c>
      <c r="BP292" t="s">
        <v>114</v>
      </c>
      <c r="BQ292" t="s">
        <v>450</v>
      </c>
      <c r="BR292" t="s">
        <v>451</v>
      </c>
      <c r="BT292" s="11">
        <v>46036</v>
      </c>
      <c r="BU292" s="11">
        <v>46037</v>
      </c>
      <c r="BV292" t="s">
        <v>450</v>
      </c>
      <c r="BW292" s="11">
        <v>46038</v>
      </c>
      <c r="BX292" s="11"/>
      <c r="BY292" s="11"/>
      <c r="BZ292" s="11"/>
      <c r="CB292" s="11"/>
      <c r="CC292" s="11"/>
      <c r="CD292" s="11"/>
      <c r="CE292" s="11"/>
      <c r="CG292" s="11"/>
      <c r="CI292" t="s">
        <v>119</v>
      </c>
      <c r="CO292" t="str">
        <f t="shared" si="59"/>
        <v>NEGATIFPAS INCLUS</v>
      </c>
      <c r="CP292" s="11">
        <v>46036</v>
      </c>
      <c r="CR292">
        <f t="shared" si="61"/>
        <v>1</v>
      </c>
      <c r="CS292">
        <f t="shared" si="62"/>
        <v>1</v>
      </c>
      <c r="CT292">
        <f t="shared" si="53"/>
        <v>9</v>
      </c>
      <c r="CU292">
        <f t="shared" si="63"/>
        <v>3</v>
      </c>
      <c r="CV292" t="str">
        <f t="shared" si="64"/>
        <v/>
      </c>
      <c r="CX292" s="11">
        <v>46027</v>
      </c>
      <c r="CY292" t="str">
        <f t="shared" si="60"/>
        <v>S2_2026</v>
      </c>
      <c r="DB292" t="s">
        <v>114</v>
      </c>
      <c r="DC292" t="s">
        <v>160</v>
      </c>
    </row>
    <row r="293" spans="1:107" ht="31" x14ac:dyDescent="0.35">
      <c r="A293" t="s">
        <v>1105</v>
      </c>
      <c r="B293" s="10" t="str">
        <f t="shared" si="56"/>
        <v>S3_2026</v>
      </c>
      <c r="C293" s="10" t="str">
        <f t="shared" si="57"/>
        <v>S2_2026</v>
      </c>
      <c r="D293" s="11">
        <v>46036</v>
      </c>
      <c r="E293" t="s">
        <v>123</v>
      </c>
      <c r="F293" s="24">
        <v>22</v>
      </c>
      <c r="G293" t="s">
        <v>1098</v>
      </c>
      <c r="H293" t="s">
        <v>835</v>
      </c>
      <c r="J293" t="s">
        <v>114</v>
      </c>
      <c r="K293" s="14">
        <v>46033</v>
      </c>
      <c r="L293" t="s">
        <v>126</v>
      </c>
      <c r="M293" t="s">
        <v>127</v>
      </c>
      <c r="N293" s="26" t="s">
        <v>340</v>
      </c>
      <c r="O293" s="19" t="s">
        <v>1099</v>
      </c>
      <c r="P293" t="s">
        <v>110</v>
      </c>
      <c r="Q293" t="s">
        <v>215</v>
      </c>
      <c r="R293" s="11">
        <v>46029</v>
      </c>
      <c r="AA293" t="s">
        <v>114</v>
      </c>
      <c r="AE293" t="s">
        <v>114</v>
      </c>
      <c r="AS293" s="11">
        <v>46037</v>
      </c>
      <c r="AU293" t="s">
        <v>114</v>
      </c>
      <c r="AV293" t="s">
        <v>115</v>
      </c>
      <c r="BB293" t="s">
        <v>114</v>
      </c>
      <c r="BC293" s="11">
        <v>46036</v>
      </c>
      <c r="BD293" t="s">
        <v>169</v>
      </c>
      <c r="BF293" t="s">
        <v>340</v>
      </c>
      <c r="BG293" t="s">
        <v>449</v>
      </c>
      <c r="BJ293" t="str">
        <f t="shared" si="65"/>
        <v/>
      </c>
      <c r="BK293" t="s">
        <v>137</v>
      </c>
      <c r="BL293" t="str">
        <f t="shared" si="58"/>
        <v>S3_2026</v>
      </c>
      <c r="BN293" s="11">
        <v>46038</v>
      </c>
      <c r="BO293" t="str">
        <f t="shared" si="54"/>
        <v>S3_2026</v>
      </c>
      <c r="BP293" t="s">
        <v>114</v>
      </c>
      <c r="BQ293" t="s">
        <v>450</v>
      </c>
      <c r="BR293" t="s">
        <v>451</v>
      </c>
      <c r="BT293" s="11">
        <v>46036</v>
      </c>
      <c r="BU293" s="11">
        <v>46037</v>
      </c>
      <c r="BV293" t="s">
        <v>450</v>
      </c>
      <c r="BW293" s="11">
        <v>46038</v>
      </c>
      <c r="BX293" s="11"/>
      <c r="BY293" s="11"/>
      <c r="BZ293" s="11"/>
      <c r="CB293" s="11"/>
      <c r="CC293" s="11"/>
      <c r="CD293" s="11"/>
      <c r="CE293" s="11"/>
      <c r="CG293" s="11"/>
      <c r="CI293" t="s">
        <v>119</v>
      </c>
      <c r="CO293" t="str">
        <f t="shared" si="59"/>
        <v>NEGATIFPAS INCLUS</v>
      </c>
      <c r="CP293" s="11">
        <v>46036</v>
      </c>
      <c r="CR293">
        <f t="shared" si="61"/>
        <v>1</v>
      </c>
      <c r="CS293">
        <f t="shared" si="62"/>
        <v>1</v>
      </c>
      <c r="CT293">
        <f t="shared" si="53"/>
        <v>7</v>
      </c>
      <c r="CU293">
        <f t="shared" si="63"/>
        <v>3</v>
      </c>
      <c r="CV293" t="str">
        <f t="shared" si="64"/>
        <v/>
      </c>
      <c r="CX293" s="11">
        <v>46029</v>
      </c>
      <c r="CY293" t="str">
        <f t="shared" si="60"/>
        <v>S2_2026</v>
      </c>
      <c r="DB293" t="s">
        <v>114</v>
      </c>
      <c r="DC293" t="s">
        <v>160</v>
      </c>
    </row>
    <row r="294" spans="1:107" ht="31" x14ac:dyDescent="0.35">
      <c r="A294" t="s">
        <v>1106</v>
      </c>
      <c r="B294" s="10" t="str">
        <f t="shared" si="56"/>
        <v>S3_2026</v>
      </c>
      <c r="C294" s="10" t="str">
        <f t="shared" si="57"/>
        <v>S2_2026</v>
      </c>
      <c r="D294" s="11">
        <v>46036</v>
      </c>
      <c r="E294" t="s">
        <v>123</v>
      </c>
      <c r="F294" s="24">
        <v>32</v>
      </c>
      <c r="G294" t="s">
        <v>1098</v>
      </c>
      <c r="H294" t="s">
        <v>835</v>
      </c>
      <c r="J294" t="s">
        <v>114</v>
      </c>
      <c r="K294" s="14">
        <v>46033</v>
      </c>
      <c r="L294" t="s">
        <v>126</v>
      </c>
      <c r="M294" t="s">
        <v>127</v>
      </c>
      <c r="N294" s="26" t="s">
        <v>340</v>
      </c>
      <c r="O294" s="19" t="s">
        <v>1099</v>
      </c>
      <c r="P294" t="s">
        <v>110</v>
      </c>
      <c r="Q294" t="s">
        <v>215</v>
      </c>
      <c r="R294" s="11">
        <v>46032</v>
      </c>
      <c r="AA294" t="s">
        <v>132</v>
      </c>
      <c r="AE294" t="s">
        <v>114</v>
      </c>
      <c r="AS294" s="11">
        <v>46037</v>
      </c>
      <c r="AU294" t="s">
        <v>114</v>
      </c>
      <c r="AV294" t="s">
        <v>115</v>
      </c>
      <c r="BB294" t="s">
        <v>114</v>
      </c>
      <c r="BC294" s="11">
        <v>46036</v>
      </c>
      <c r="BD294" t="s">
        <v>169</v>
      </c>
      <c r="BF294" t="s">
        <v>340</v>
      </c>
      <c r="BG294" t="s">
        <v>449</v>
      </c>
      <c r="BJ294" t="str">
        <f t="shared" si="65"/>
        <v/>
      </c>
      <c r="BK294" t="s">
        <v>137</v>
      </c>
      <c r="BL294" t="str">
        <f t="shared" si="58"/>
        <v>S3_2026</v>
      </c>
      <c r="BN294" s="11">
        <v>46038</v>
      </c>
      <c r="BO294" t="str">
        <f t="shared" si="54"/>
        <v>S3_2026</v>
      </c>
      <c r="BP294" t="s">
        <v>114</v>
      </c>
      <c r="BQ294" t="s">
        <v>450</v>
      </c>
      <c r="BR294" t="s">
        <v>451</v>
      </c>
      <c r="BT294" s="11">
        <v>46036</v>
      </c>
      <c r="BU294" s="11">
        <v>46037</v>
      </c>
      <c r="BV294" t="s">
        <v>450</v>
      </c>
      <c r="BW294" s="11">
        <v>46038</v>
      </c>
      <c r="BX294" s="11"/>
      <c r="BY294" s="11"/>
      <c r="BZ294" s="11"/>
      <c r="CB294" s="11"/>
      <c r="CC294" s="11"/>
      <c r="CD294" s="11"/>
      <c r="CE294" s="11"/>
      <c r="CG294" s="11"/>
      <c r="CI294" t="s">
        <v>119</v>
      </c>
      <c r="CO294" t="str">
        <f t="shared" si="59"/>
        <v>NEGATIFPAS INCLUS</v>
      </c>
      <c r="CP294" s="11">
        <v>46036</v>
      </c>
      <c r="CR294">
        <f t="shared" si="61"/>
        <v>1</v>
      </c>
      <c r="CS294">
        <f t="shared" si="62"/>
        <v>1</v>
      </c>
      <c r="CT294">
        <f t="shared" si="53"/>
        <v>4</v>
      </c>
      <c r="CU294">
        <f t="shared" si="63"/>
        <v>3</v>
      </c>
      <c r="CV294" t="str">
        <f t="shared" si="64"/>
        <v/>
      </c>
      <c r="CX294" s="11">
        <v>46032</v>
      </c>
      <c r="CY294" t="str">
        <f t="shared" si="60"/>
        <v>S2_2026</v>
      </c>
      <c r="DB294" t="s">
        <v>114</v>
      </c>
      <c r="DC294" t="s">
        <v>160</v>
      </c>
    </row>
    <row r="295" spans="1:107" ht="31" x14ac:dyDescent="0.35">
      <c r="A295" t="s">
        <v>1107</v>
      </c>
      <c r="B295" s="10" t="str">
        <f t="shared" si="56"/>
        <v>S3_2026</v>
      </c>
      <c r="C295" s="10" t="str">
        <f t="shared" si="57"/>
        <v>S1_2026</v>
      </c>
      <c r="D295" s="11">
        <v>46036</v>
      </c>
      <c r="E295" t="s">
        <v>123</v>
      </c>
      <c r="F295" s="24">
        <v>28</v>
      </c>
      <c r="G295" t="s">
        <v>1098</v>
      </c>
      <c r="H295" t="s">
        <v>835</v>
      </c>
      <c r="J295" t="s">
        <v>114</v>
      </c>
      <c r="K295" s="14">
        <v>46033</v>
      </c>
      <c r="L295" t="s">
        <v>126</v>
      </c>
      <c r="M295" t="s">
        <v>127</v>
      </c>
      <c r="N295" s="26" t="s">
        <v>340</v>
      </c>
      <c r="O295" s="19" t="s">
        <v>1099</v>
      </c>
      <c r="P295" t="s">
        <v>110</v>
      </c>
      <c r="Q295" t="s">
        <v>215</v>
      </c>
      <c r="R295" s="11">
        <v>46026</v>
      </c>
      <c r="AA295" t="s">
        <v>114</v>
      </c>
      <c r="AE295" t="s">
        <v>114</v>
      </c>
      <c r="AS295" s="11">
        <v>46037</v>
      </c>
      <c r="AU295" t="s">
        <v>114</v>
      </c>
      <c r="AV295" t="s">
        <v>115</v>
      </c>
      <c r="BB295" t="s">
        <v>114</v>
      </c>
      <c r="BC295" s="11">
        <v>46036</v>
      </c>
      <c r="BD295" t="s">
        <v>169</v>
      </c>
      <c r="BF295" t="s">
        <v>340</v>
      </c>
      <c r="BG295" t="s">
        <v>449</v>
      </c>
      <c r="BJ295" t="str">
        <f t="shared" si="65"/>
        <v/>
      </c>
      <c r="BK295" t="s">
        <v>137</v>
      </c>
      <c r="BL295" t="str">
        <f t="shared" si="58"/>
        <v>S3_2026</v>
      </c>
      <c r="BN295" s="11">
        <v>46038</v>
      </c>
      <c r="BO295" t="str">
        <f t="shared" si="54"/>
        <v>S3_2026</v>
      </c>
      <c r="BP295" t="s">
        <v>114</v>
      </c>
      <c r="BQ295" t="s">
        <v>450</v>
      </c>
      <c r="BR295" t="s">
        <v>451</v>
      </c>
      <c r="BT295" s="11">
        <v>46036</v>
      </c>
      <c r="BU295" s="11">
        <v>46037</v>
      </c>
      <c r="BV295" t="s">
        <v>450</v>
      </c>
      <c r="BW295" s="11">
        <v>46038</v>
      </c>
      <c r="BX295" s="11"/>
      <c r="BY295" s="11"/>
      <c r="BZ295" s="11"/>
      <c r="CB295" s="11"/>
      <c r="CC295" s="11"/>
      <c r="CD295" s="11"/>
      <c r="CE295" s="11"/>
      <c r="CG295" s="11"/>
      <c r="CI295" t="s">
        <v>119</v>
      </c>
      <c r="CO295" t="str">
        <f t="shared" si="59"/>
        <v>NEGATIFPAS INCLUS</v>
      </c>
      <c r="CP295" s="11">
        <v>46036</v>
      </c>
      <c r="CR295">
        <f t="shared" si="61"/>
        <v>1</v>
      </c>
      <c r="CS295">
        <f t="shared" si="62"/>
        <v>1</v>
      </c>
      <c r="CT295">
        <f t="shared" si="53"/>
        <v>10</v>
      </c>
      <c r="CU295">
        <f t="shared" si="63"/>
        <v>3</v>
      </c>
      <c r="CV295" t="str">
        <f t="shared" si="64"/>
        <v/>
      </c>
      <c r="CX295" s="11">
        <v>46026</v>
      </c>
      <c r="CY295" t="str">
        <f t="shared" si="60"/>
        <v>S1_2026</v>
      </c>
      <c r="DB295" t="s">
        <v>114</v>
      </c>
      <c r="DC295" t="s">
        <v>160</v>
      </c>
    </row>
    <row r="296" spans="1:107" ht="31" x14ac:dyDescent="0.35">
      <c r="A296" t="s">
        <v>1108</v>
      </c>
      <c r="B296" s="10" t="str">
        <f t="shared" si="56"/>
        <v>S3_2026</v>
      </c>
      <c r="C296" s="10" t="str">
        <f t="shared" si="57"/>
        <v>S1_2026</v>
      </c>
      <c r="D296" s="11">
        <v>46036</v>
      </c>
      <c r="E296" t="s">
        <v>123</v>
      </c>
      <c r="F296" s="24">
        <v>27</v>
      </c>
      <c r="G296" t="s">
        <v>1098</v>
      </c>
      <c r="H296" t="s">
        <v>835</v>
      </c>
      <c r="J296" t="s">
        <v>114</v>
      </c>
      <c r="K296" s="14">
        <v>46033</v>
      </c>
      <c r="L296" t="s">
        <v>126</v>
      </c>
      <c r="M296" t="s">
        <v>127</v>
      </c>
      <c r="N296" s="26" t="s">
        <v>340</v>
      </c>
      <c r="O296" s="19" t="s">
        <v>1099</v>
      </c>
      <c r="P296" t="s">
        <v>110</v>
      </c>
      <c r="Q296" t="s">
        <v>215</v>
      </c>
      <c r="R296" s="11">
        <v>46023</v>
      </c>
      <c r="AA296" t="s">
        <v>114</v>
      </c>
      <c r="AE296" t="s">
        <v>114</v>
      </c>
      <c r="AS296" s="11">
        <v>46037</v>
      </c>
      <c r="AU296" t="s">
        <v>114</v>
      </c>
      <c r="AV296" t="s">
        <v>115</v>
      </c>
      <c r="BB296" t="s">
        <v>114</v>
      </c>
      <c r="BC296" s="11">
        <v>46036</v>
      </c>
      <c r="BD296" t="s">
        <v>169</v>
      </c>
      <c r="BF296" t="s">
        <v>340</v>
      </c>
      <c r="BG296" t="s">
        <v>449</v>
      </c>
      <c r="BJ296" t="str">
        <f t="shared" si="65"/>
        <v/>
      </c>
      <c r="BK296" t="s">
        <v>137</v>
      </c>
      <c r="BL296" t="str">
        <f t="shared" si="58"/>
        <v>S3_2026</v>
      </c>
      <c r="BN296" s="11">
        <v>46038</v>
      </c>
      <c r="BO296" t="str">
        <f t="shared" si="54"/>
        <v>S3_2026</v>
      </c>
      <c r="BP296" t="s">
        <v>114</v>
      </c>
      <c r="BQ296" t="s">
        <v>450</v>
      </c>
      <c r="BR296" t="s">
        <v>451</v>
      </c>
      <c r="BT296" s="11">
        <v>46036</v>
      </c>
      <c r="BU296" s="11">
        <v>46037</v>
      </c>
      <c r="BV296" t="s">
        <v>450</v>
      </c>
      <c r="BW296" s="11">
        <v>46038</v>
      </c>
      <c r="BX296" s="11"/>
      <c r="BY296" s="11"/>
      <c r="BZ296" s="11"/>
      <c r="CB296" s="11"/>
      <c r="CC296" s="11"/>
      <c r="CD296" s="11"/>
      <c r="CE296" s="11"/>
      <c r="CG296" s="11"/>
      <c r="CI296" t="s">
        <v>119</v>
      </c>
      <c r="CO296" t="str">
        <f t="shared" si="59"/>
        <v>NEGATIFPAS INCLUS</v>
      </c>
      <c r="CP296" s="11">
        <v>46036</v>
      </c>
      <c r="CR296">
        <f t="shared" si="61"/>
        <v>1</v>
      </c>
      <c r="CS296">
        <f t="shared" si="62"/>
        <v>1</v>
      </c>
      <c r="CT296">
        <f t="shared" si="53"/>
        <v>13</v>
      </c>
      <c r="CU296">
        <f t="shared" si="63"/>
        <v>3</v>
      </c>
      <c r="CV296" t="str">
        <f t="shared" si="64"/>
        <v/>
      </c>
      <c r="CX296" s="11">
        <v>46023</v>
      </c>
      <c r="CY296" t="str">
        <f t="shared" si="60"/>
        <v>S1_2026</v>
      </c>
      <c r="DB296" t="s">
        <v>114</v>
      </c>
      <c r="DC296" t="s">
        <v>160</v>
      </c>
    </row>
    <row r="297" spans="1:107" ht="31" x14ac:dyDescent="0.35">
      <c r="A297" t="s">
        <v>1109</v>
      </c>
      <c r="B297" s="30" t="str">
        <f t="shared" si="56"/>
        <v>S3_2026</v>
      </c>
      <c r="C297" s="30" t="str">
        <f t="shared" si="57"/>
        <v>S1_2026</v>
      </c>
      <c r="D297" s="11">
        <v>46036</v>
      </c>
      <c r="E297" t="s">
        <v>123</v>
      </c>
      <c r="F297" s="24">
        <v>23</v>
      </c>
      <c r="G297" t="s">
        <v>1098</v>
      </c>
      <c r="H297" t="s">
        <v>835</v>
      </c>
      <c r="J297" t="s">
        <v>114</v>
      </c>
      <c r="K297" s="14">
        <v>46033</v>
      </c>
      <c r="L297" t="s">
        <v>126</v>
      </c>
      <c r="M297" t="s">
        <v>127</v>
      </c>
      <c r="N297" s="26" t="s">
        <v>340</v>
      </c>
      <c r="O297" s="19" t="s">
        <v>1099</v>
      </c>
      <c r="P297" t="s">
        <v>110</v>
      </c>
      <c r="Q297" t="s">
        <v>215</v>
      </c>
      <c r="R297" s="11">
        <v>46022</v>
      </c>
      <c r="AA297" t="s">
        <v>114</v>
      </c>
      <c r="AE297" t="s">
        <v>114</v>
      </c>
      <c r="AS297" s="11">
        <v>46037</v>
      </c>
      <c r="AU297" t="s">
        <v>114</v>
      </c>
      <c r="AV297" t="s">
        <v>115</v>
      </c>
      <c r="BB297" t="s">
        <v>114</v>
      </c>
      <c r="BC297" s="11">
        <v>46036</v>
      </c>
      <c r="BD297" t="s">
        <v>169</v>
      </c>
      <c r="BF297" t="s">
        <v>340</v>
      </c>
      <c r="BG297" t="s">
        <v>449</v>
      </c>
      <c r="BJ297" t="str">
        <f t="shared" si="65"/>
        <v/>
      </c>
      <c r="BK297" t="s">
        <v>137</v>
      </c>
      <c r="BL297" t="str">
        <f t="shared" si="58"/>
        <v>S3_2026</v>
      </c>
      <c r="BN297" s="11">
        <v>46038</v>
      </c>
      <c r="BO297" t="str">
        <f t="shared" si="54"/>
        <v>S3_2026</v>
      </c>
      <c r="BP297" t="s">
        <v>114</v>
      </c>
      <c r="BQ297" t="s">
        <v>450</v>
      </c>
      <c r="BR297" t="s">
        <v>451</v>
      </c>
      <c r="BT297" s="11">
        <v>46036</v>
      </c>
      <c r="BU297" s="11">
        <v>46037</v>
      </c>
      <c r="BV297" t="s">
        <v>450</v>
      </c>
      <c r="BW297" s="11">
        <v>46038</v>
      </c>
      <c r="BX297" s="11"/>
      <c r="BY297" s="11"/>
      <c r="BZ297" s="11"/>
      <c r="CB297" s="11"/>
      <c r="CC297" s="11"/>
      <c r="CD297" s="11"/>
      <c r="CE297" s="11"/>
      <c r="CG297" s="11"/>
      <c r="CI297" t="s">
        <v>119</v>
      </c>
      <c r="CO297" t="str">
        <f t="shared" si="59"/>
        <v>NEGATIFPAS INCLUS</v>
      </c>
      <c r="CP297" s="11">
        <v>46036</v>
      </c>
      <c r="CR297">
        <f t="shared" si="61"/>
        <v>1</v>
      </c>
      <c r="CS297">
        <f t="shared" si="62"/>
        <v>1</v>
      </c>
      <c r="CT297">
        <f t="shared" si="53"/>
        <v>14</v>
      </c>
      <c r="CU297">
        <f t="shared" si="63"/>
        <v>3</v>
      </c>
      <c r="CV297" t="str">
        <f t="shared" si="64"/>
        <v/>
      </c>
      <c r="CX297" s="11">
        <v>46022</v>
      </c>
      <c r="CY297" t="str">
        <f t="shared" si="60"/>
        <v>S1_2026</v>
      </c>
      <c r="DB297" t="s">
        <v>114</v>
      </c>
      <c r="DC297" t="s">
        <v>160</v>
      </c>
    </row>
    <row r="298" spans="1:107" x14ac:dyDescent="0.35">
      <c r="A298" t="s">
        <v>1110</v>
      </c>
      <c r="B298" s="10" t="str">
        <f t="shared" si="56"/>
        <v>S3_2026</v>
      </c>
      <c r="C298" s="10" t="str">
        <f t="shared" si="57"/>
        <v>S1_2026</v>
      </c>
      <c r="D298" s="11">
        <v>46037</v>
      </c>
      <c r="E298" t="s">
        <v>106</v>
      </c>
      <c r="F298" s="24">
        <v>5</v>
      </c>
      <c r="G298" t="s">
        <v>107</v>
      </c>
      <c r="H298" t="s">
        <v>835</v>
      </c>
      <c r="J298" t="s">
        <v>114</v>
      </c>
      <c r="K298" s="12" t="s">
        <v>110</v>
      </c>
      <c r="L298" t="s">
        <v>111</v>
      </c>
      <c r="M298" t="s">
        <v>1111</v>
      </c>
      <c r="N298" s="26" t="s">
        <v>1111</v>
      </c>
      <c r="O298" s="19" t="s">
        <v>1112</v>
      </c>
      <c r="P298" t="s">
        <v>110</v>
      </c>
      <c r="Q298" t="s">
        <v>1111</v>
      </c>
      <c r="R298" s="11">
        <v>46022</v>
      </c>
      <c r="S298" s="11">
        <v>46022</v>
      </c>
      <c r="T298" s="11">
        <v>46022</v>
      </c>
      <c r="V298" t="s">
        <v>114</v>
      </c>
      <c r="W298" t="s">
        <v>114</v>
      </c>
      <c r="X298" t="s">
        <v>114</v>
      </c>
      <c r="Y298" t="s">
        <v>114</v>
      </c>
      <c r="Z298" t="s">
        <v>114</v>
      </c>
      <c r="AA298" t="s">
        <v>114</v>
      </c>
      <c r="AE298" t="s">
        <v>114</v>
      </c>
      <c r="AK298" t="s">
        <v>132</v>
      </c>
      <c r="AN298" t="s">
        <v>114</v>
      </c>
      <c r="AQ298" t="s">
        <v>132</v>
      </c>
      <c r="AS298" s="11">
        <v>46036</v>
      </c>
      <c r="AU298" t="s">
        <v>114</v>
      </c>
      <c r="AV298" t="s">
        <v>115</v>
      </c>
      <c r="BB298" t="s">
        <v>114</v>
      </c>
      <c r="BC298" s="11">
        <v>46034</v>
      </c>
      <c r="BD298" t="s">
        <v>210</v>
      </c>
      <c r="BF298" t="s">
        <v>1111</v>
      </c>
      <c r="BG298" t="s">
        <v>449</v>
      </c>
      <c r="BI298" s="11"/>
      <c r="BJ298" t="str">
        <f t="shared" si="65"/>
        <v/>
      </c>
      <c r="BK298" t="s">
        <v>117</v>
      </c>
      <c r="BL298" t="str">
        <f t="shared" si="58"/>
        <v>S3_2026</v>
      </c>
      <c r="BM298" t="s">
        <v>159</v>
      </c>
      <c r="BN298" s="11">
        <v>46038</v>
      </c>
      <c r="BO298" t="str">
        <f t="shared" si="54"/>
        <v>S3_2026</v>
      </c>
      <c r="BP298" t="s">
        <v>114</v>
      </c>
      <c r="BQ298" t="s">
        <v>450</v>
      </c>
      <c r="BR298" t="s">
        <v>451</v>
      </c>
      <c r="BT298" s="11">
        <v>46034</v>
      </c>
      <c r="BU298" s="11">
        <v>46036</v>
      </c>
      <c r="BV298" t="s">
        <v>450</v>
      </c>
      <c r="BW298" s="11">
        <v>46038</v>
      </c>
      <c r="BX298" s="11"/>
      <c r="BY298" s="11"/>
      <c r="BZ298" s="11"/>
      <c r="CB298" s="11"/>
      <c r="CC298" s="11"/>
      <c r="CD298" s="11"/>
      <c r="CE298" s="11"/>
      <c r="CG298" s="11"/>
      <c r="CI298" t="s">
        <v>115</v>
      </c>
      <c r="CN298" t="s">
        <v>243</v>
      </c>
      <c r="CO298" t="str">
        <f t="shared" si="59"/>
        <v>NEGATIFNEGATIF</v>
      </c>
      <c r="CP298" s="11">
        <v>46034</v>
      </c>
      <c r="CR298">
        <f t="shared" si="61"/>
        <v>2</v>
      </c>
      <c r="CS298">
        <f t="shared" si="62"/>
        <v>2</v>
      </c>
      <c r="CT298">
        <f t="shared" si="53"/>
        <v>12</v>
      </c>
      <c r="CV298" t="str">
        <f t="shared" si="64"/>
        <v/>
      </c>
      <c r="CX298" s="11">
        <v>46022</v>
      </c>
      <c r="CY298" t="str">
        <f t="shared" si="60"/>
        <v>S1_2026</v>
      </c>
      <c r="DC298" t="s">
        <v>120</v>
      </c>
    </row>
    <row r="299" spans="1:107" x14ac:dyDescent="0.35">
      <c r="A299" t="s">
        <v>1113</v>
      </c>
      <c r="B299" s="10" t="str">
        <f t="shared" si="56"/>
        <v>S3_2026</v>
      </c>
      <c r="C299" s="10" t="str">
        <f t="shared" si="57"/>
        <v>S3_2026</v>
      </c>
      <c r="D299" s="11">
        <v>46037</v>
      </c>
      <c r="E299" t="s">
        <v>106</v>
      </c>
      <c r="F299" s="24">
        <v>8</v>
      </c>
      <c r="G299" t="s">
        <v>107</v>
      </c>
      <c r="H299" t="s">
        <v>835</v>
      </c>
      <c r="J299" t="s">
        <v>114</v>
      </c>
      <c r="K299" s="14">
        <v>46036</v>
      </c>
      <c r="L299" t="s">
        <v>126</v>
      </c>
      <c r="M299" t="s">
        <v>977</v>
      </c>
      <c r="N299" s="26" t="s">
        <v>1114</v>
      </c>
      <c r="P299" t="s">
        <v>110</v>
      </c>
      <c r="Q299" t="s">
        <v>977</v>
      </c>
      <c r="R299" s="11">
        <v>46034</v>
      </c>
      <c r="S299" s="11">
        <v>46034</v>
      </c>
      <c r="T299" s="11">
        <v>46034</v>
      </c>
      <c r="AB299" t="s">
        <v>114</v>
      </c>
      <c r="AC299" t="s">
        <v>1115</v>
      </c>
      <c r="AE299" t="s">
        <v>114</v>
      </c>
      <c r="AK299" t="s">
        <v>132</v>
      </c>
      <c r="AM299" t="s">
        <v>114</v>
      </c>
      <c r="AN299" t="s">
        <v>114</v>
      </c>
      <c r="AQ299" t="s">
        <v>132</v>
      </c>
      <c r="AR299" t="s">
        <v>1116</v>
      </c>
      <c r="AS299" s="11">
        <v>46043</v>
      </c>
      <c r="AU299" t="s">
        <v>114</v>
      </c>
      <c r="AV299" t="s">
        <v>134</v>
      </c>
      <c r="AW299" t="s">
        <v>152</v>
      </c>
      <c r="AY299" t="s">
        <v>463</v>
      </c>
      <c r="BB299" t="s">
        <v>114</v>
      </c>
      <c r="BC299" s="11">
        <v>46037</v>
      </c>
      <c r="BD299" t="s">
        <v>169</v>
      </c>
      <c r="BF299" t="s">
        <v>1117</v>
      </c>
      <c r="BG299" t="s">
        <v>449</v>
      </c>
      <c r="BI299" s="11">
        <v>46044</v>
      </c>
      <c r="BJ299" t="str">
        <f t="shared" si="65"/>
        <v>S4_2026</v>
      </c>
      <c r="BK299" t="s">
        <v>137</v>
      </c>
      <c r="BL299" t="str">
        <f t="shared" si="58"/>
        <v>S3_2026</v>
      </c>
      <c r="BN299" s="11">
        <v>46044</v>
      </c>
      <c r="BO299" t="str">
        <f t="shared" si="54"/>
        <v>S4_2026</v>
      </c>
      <c r="BP299" t="s">
        <v>114</v>
      </c>
      <c r="BQ299" t="s">
        <v>450</v>
      </c>
      <c r="BR299" t="s">
        <v>451</v>
      </c>
      <c r="BT299" s="11">
        <v>46037</v>
      </c>
      <c r="BU299" s="11">
        <v>46043</v>
      </c>
      <c r="BV299" t="s">
        <v>450</v>
      </c>
      <c r="BW299" s="11">
        <v>46044</v>
      </c>
      <c r="BX299" s="11" t="s">
        <v>134</v>
      </c>
      <c r="BY299" s="11"/>
      <c r="BZ299" s="11"/>
      <c r="CB299" s="11"/>
      <c r="CC299" s="11"/>
      <c r="CD299" s="11"/>
      <c r="CE299" s="11"/>
      <c r="CG299" s="11"/>
      <c r="CI299" t="s">
        <v>134</v>
      </c>
      <c r="CJ299" t="s">
        <v>466</v>
      </c>
      <c r="CK299" t="s">
        <v>467</v>
      </c>
      <c r="CN299" t="s">
        <v>458</v>
      </c>
      <c r="CO299" t="str">
        <f t="shared" si="59"/>
        <v>POSITIFPOSITIF</v>
      </c>
      <c r="CP299" s="11">
        <v>46037</v>
      </c>
      <c r="CR299">
        <f t="shared" si="61"/>
        <v>6</v>
      </c>
      <c r="CS299">
        <f t="shared" si="62"/>
        <v>1</v>
      </c>
      <c r="CT299">
        <f t="shared" si="53"/>
        <v>3</v>
      </c>
      <c r="CU299">
        <f t="shared" si="63"/>
        <v>1</v>
      </c>
      <c r="CV299">
        <f t="shared" si="64"/>
        <v>10</v>
      </c>
      <c r="CX299" s="11">
        <v>46034</v>
      </c>
      <c r="CY299" t="str">
        <f t="shared" si="60"/>
        <v>S3_2026</v>
      </c>
      <c r="DC299" t="s">
        <v>139</v>
      </c>
    </row>
    <row r="300" spans="1:107" x14ac:dyDescent="0.35">
      <c r="A300" t="s">
        <v>1118</v>
      </c>
      <c r="B300" s="10" t="str">
        <f t="shared" si="56"/>
        <v>S3_2026</v>
      </c>
      <c r="C300" s="10" t="str">
        <f t="shared" si="57"/>
        <v/>
      </c>
      <c r="D300" s="11">
        <v>46037</v>
      </c>
      <c r="E300" s="19" t="s">
        <v>123</v>
      </c>
      <c r="F300" s="33">
        <v>24</v>
      </c>
      <c r="G300" t="s">
        <v>110</v>
      </c>
      <c r="H300" t="s">
        <v>835</v>
      </c>
      <c r="J300" t="s">
        <v>114</v>
      </c>
      <c r="K300" s="14">
        <v>46025</v>
      </c>
      <c r="L300" s="19" t="s">
        <v>126</v>
      </c>
      <c r="M300" s="19" t="s">
        <v>1119</v>
      </c>
      <c r="N300" s="19" t="s">
        <v>1120</v>
      </c>
      <c r="O300" s="19" t="s">
        <v>1121</v>
      </c>
      <c r="P300" s="19" t="s">
        <v>1120</v>
      </c>
      <c r="Q300" s="19" t="s">
        <v>146</v>
      </c>
      <c r="R300" t="s">
        <v>110</v>
      </c>
      <c r="S300" t="s">
        <v>110</v>
      </c>
      <c r="T300" t="s">
        <v>110</v>
      </c>
      <c r="V300" t="s">
        <v>142</v>
      </c>
      <c r="W300" t="s">
        <v>142</v>
      </c>
      <c r="X300" t="s">
        <v>142</v>
      </c>
      <c r="Y300" t="s">
        <v>142</v>
      </c>
      <c r="Z300" t="s">
        <v>142</v>
      </c>
      <c r="AA300" t="s">
        <v>142</v>
      </c>
      <c r="AB300" t="s">
        <v>142</v>
      </c>
      <c r="AC300" t="s">
        <v>114</v>
      </c>
      <c r="AE300" t="s">
        <v>114</v>
      </c>
      <c r="AF300" t="s">
        <v>142</v>
      </c>
      <c r="AG300" t="s">
        <v>142</v>
      </c>
      <c r="AH300" t="s">
        <v>142</v>
      </c>
      <c r="AI300" t="s">
        <v>142</v>
      </c>
      <c r="AJ300" t="s">
        <v>142</v>
      </c>
      <c r="AK300" t="s">
        <v>142</v>
      </c>
      <c r="AM300" t="s">
        <v>142</v>
      </c>
      <c r="AN300" t="s">
        <v>142</v>
      </c>
      <c r="AP300" t="s">
        <v>142</v>
      </c>
      <c r="AQ300" t="s">
        <v>142</v>
      </c>
      <c r="BE300" s="19">
        <v>698269010</v>
      </c>
      <c r="BF300" s="19" t="s">
        <v>1120</v>
      </c>
      <c r="BJ300" t="str">
        <f t="shared" si="65"/>
        <v/>
      </c>
      <c r="BK300" s="19" t="s">
        <v>126</v>
      </c>
      <c r="BL300" t="str">
        <f t="shared" si="58"/>
        <v/>
      </c>
      <c r="BO300" t="str">
        <f t="shared" si="54"/>
        <v/>
      </c>
      <c r="BR300" t="s">
        <v>451</v>
      </c>
      <c r="BS300" t="s">
        <v>114</v>
      </c>
      <c r="CI300" t="s">
        <v>119</v>
      </c>
      <c r="CO300" t="str">
        <f t="shared" si="59"/>
        <v>PAS INCLUS</v>
      </c>
      <c r="CP300" s="11">
        <v>46037</v>
      </c>
      <c r="CR300" t="str">
        <f t="shared" si="61"/>
        <v/>
      </c>
      <c r="CS300" t="str">
        <f t="shared" si="62"/>
        <v/>
      </c>
      <c r="CT300">
        <f t="shared" ref="CT300:CT363" si="66">CP300-CX300</f>
        <v>12</v>
      </c>
      <c r="CU300">
        <f t="shared" si="63"/>
        <v>12</v>
      </c>
      <c r="CV300" t="str">
        <f t="shared" si="64"/>
        <v/>
      </c>
      <c r="CX300" s="11">
        <v>46025</v>
      </c>
      <c r="CY300" t="str">
        <f t="shared" si="60"/>
        <v>S1_2026</v>
      </c>
      <c r="DB300" t="s">
        <v>114</v>
      </c>
      <c r="DC300" t="s">
        <v>160</v>
      </c>
    </row>
    <row r="301" spans="1:107" x14ac:dyDescent="0.35">
      <c r="A301" t="s">
        <v>1122</v>
      </c>
      <c r="B301" s="10" t="str">
        <f t="shared" si="56"/>
        <v>S3_2026</v>
      </c>
      <c r="C301" s="10" t="str">
        <f t="shared" si="57"/>
        <v/>
      </c>
      <c r="D301" s="11">
        <v>46037</v>
      </c>
      <c r="E301" s="19" t="s">
        <v>123</v>
      </c>
      <c r="F301" s="33">
        <v>24</v>
      </c>
      <c r="G301" t="s">
        <v>110</v>
      </c>
      <c r="H301" t="s">
        <v>835</v>
      </c>
      <c r="J301" t="s">
        <v>114</v>
      </c>
      <c r="K301" s="14">
        <v>46036</v>
      </c>
      <c r="L301" s="19" t="s">
        <v>126</v>
      </c>
      <c r="M301" s="19" t="s">
        <v>1119</v>
      </c>
      <c r="N301" s="19" t="s">
        <v>1120</v>
      </c>
      <c r="O301" s="19" t="s">
        <v>1121</v>
      </c>
      <c r="P301" s="19" t="s">
        <v>1123</v>
      </c>
      <c r="Q301" s="19" t="s">
        <v>146</v>
      </c>
      <c r="R301" t="s">
        <v>110</v>
      </c>
      <c r="S301" t="s">
        <v>110</v>
      </c>
      <c r="T301" t="s">
        <v>110</v>
      </c>
      <c r="V301" t="s">
        <v>142</v>
      </c>
      <c r="W301" t="s">
        <v>142</v>
      </c>
      <c r="X301" t="s">
        <v>142</v>
      </c>
      <c r="Y301" t="s">
        <v>142</v>
      </c>
      <c r="Z301" t="s">
        <v>142</v>
      </c>
      <c r="AA301" t="s">
        <v>142</v>
      </c>
      <c r="AB301" t="s">
        <v>142</v>
      </c>
      <c r="AC301" t="s">
        <v>114</v>
      </c>
      <c r="AE301" t="s">
        <v>114</v>
      </c>
      <c r="AF301" t="s">
        <v>142</v>
      </c>
      <c r="AG301" t="s">
        <v>142</v>
      </c>
      <c r="AH301" t="s">
        <v>142</v>
      </c>
      <c r="AI301" t="s">
        <v>142</v>
      </c>
      <c r="AJ301" t="s">
        <v>142</v>
      </c>
      <c r="AK301" t="s">
        <v>142</v>
      </c>
      <c r="AM301" t="s">
        <v>142</v>
      </c>
      <c r="AN301" t="s">
        <v>142</v>
      </c>
      <c r="AP301" t="s">
        <v>142</v>
      </c>
      <c r="AQ301" t="s">
        <v>142</v>
      </c>
      <c r="BA301"/>
      <c r="BE301" s="19">
        <v>676763762</v>
      </c>
      <c r="BF301" s="26" t="s">
        <v>1042</v>
      </c>
      <c r="BJ301" t="str">
        <f t="shared" si="65"/>
        <v/>
      </c>
      <c r="BK301" s="19" t="s">
        <v>126</v>
      </c>
      <c r="BL301" t="str">
        <f t="shared" si="58"/>
        <v/>
      </c>
      <c r="BO301" t="str">
        <f t="shared" si="54"/>
        <v/>
      </c>
      <c r="BR301" t="s">
        <v>451</v>
      </c>
      <c r="BS301" t="s">
        <v>114</v>
      </c>
      <c r="CI301" t="s">
        <v>119</v>
      </c>
      <c r="CO301" t="str">
        <f t="shared" si="59"/>
        <v>PAS INCLUS</v>
      </c>
      <c r="CP301" s="11">
        <v>46037</v>
      </c>
      <c r="CR301" t="str">
        <f t="shared" si="61"/>
        <v/>
      </c>
      <c r="CS301" t="str">
        <f t="shared" si="62"/>
        <v/>
      </c>
      <c r="CT301">
        <f t="shared" si="66"/>
        <v>1</v>
      </c>
      <c r="CU301">
        <f t="shared" si="63"/>
        <v>1</v>
      </c>
      <c r="CV301" t="str">
        <f t="shared" si="64"/>
        <v/>
      </c>
      <c r="CX301" s="11">
        <v>46036</v>
      </c>
      <c r="CY301" t="str">
        <f t="shared" si="60"/>
        <v>S3_2026</v>
      </c>
      <c r="DB301" t="s">
        <v>114</v>
      </c>
      <c r="DC301" t="s">
        <v>160</v>
      </c>
    </row>
    <row r="302" spans="1:107" ht="31" x14ac:dyDescent="0.35">
      <c r="A302" t="s">
        <v>1124</v>
      </c>
      <c r="B302" s="10" t="str">
        <f t="shared" si="56"/>
        <v>S3_2026</v>
      </c>
      <c r="C302" s="10" t="str">
        <f t="shared" si="57"/>
        <v/>
      </c>
      <c r="D302" s="11">
        <v>46037</v>
      </c>
      <c r="E302" s="19" t="s">
        <v>123</v>
      </c>
      <c r="F302" s="33">
        <v>3</v>
      </c>
      <c r="G302" t="s">
        <v>141</v>
      </c>
      <c r="H302" t="s">
        <v>835</v>
      </c>
      <c r="J302" t="s">
        <v>114</v>
      </c>
      <c r="K302" s="14">
        <v>46032</v>
      </c>
      <c r="L302" s="19" t="s">
        <v>126</v>
      </c>
      <c r="M302" s="19" t="s">
        <v>1119</v>
      </c>
      <c r="N302" s="19" t="s">
        <v>1120</v>
      </c>
      <c r="O302" s="19" t="s">
        <v>1125</v>
      </c>
      <c r="P302" s="19" t="s">
        <v>1126</v>
      </c>
      <c r="Q302" s="19" t="s">
        <v>977</v>
      </c>
      <c r="R302" t="s">
        <v>110</v>
      </c>
      <c r="S302" t="s">
        <v>110</v>
      </c>
      <c r="T302" t="s">
        <v>110</v>
      </c>
      <c r="V302" t="s">
        <v>142</v>
      </c>
      <c r="W302" t="s">
        <v>142</v>
      </c>
      <c r="X302" t="s">
        <v>142</v>
      </c>
      <c r="Y302" t="s">
        <v>142</v>
      </c>
      <c r="Z302" t="s">
        <v>142</v>
      </c>
      <c r="AA302" t="s">
        <v>142</v>
      </c>
      <c r="AB302" t="s">
        <v>142</v>
      </c>
      <c r="AC302" t="s">
        <v>114</v>
      </c>
      <c r="AE302" t="s">
        <v>114</v>
      </c>
      <c r="AF302" t="s">
        <v>142</v>
      </c>
      <c r="AG302" t="s">
        <v>142</v>
      </c>
      <c r="AH302" t="s">
        <v>142</v>
      </c>
      <c r="AI302" t="s">
        <v>142</v>
      </c>
      <c r="AJ302" t="s">
        <v>142</v>
      </c>
      <c r="AK302" t="s">
        <v>142</v>
      </c>
      <c r="AM302" t="s">
        <v>142</v>
      </c>
      <c r="AN302" t="s">
        <v>142</v>
      </c>
      <c r="AP302" t="s">
        <v>142</v>
      </c>
      <c r="AQ302" t="s">
        <v>142</v>
      </c>
      <c r="BE302" s="19">
        <v>651669020</v>
      </c>
      <c r="BF302" t="s">
        <v>1127</v>
      </c>
      <c r="BJ302" t="str">
        <f t="shared" si="65"/>
        <v/>
      </c>
      <c r="BK302" s="19" t="s">
        <v>126</v>
      </c>
      <c r="BL302" t="str">
        <f t="shared" si="58"/>
        <v/>
      </c>
      <c r="BO302" t="str">
        <f t="shared" si="54"/>
        <v/>
      </c>
      <c r="BR302" t="s">
        <v>451</v>
      </c>
      <c r="BS302" t="s">
        <v>114</v>
      </c>
      <c r="CI302" t="s">
        <v>119</v>
      </c>
      <c r="CO302" t="str">
        <f t="shared" si="59"/>
        <v>PAS INCLUS</v>
      </c>
      <c r="CP302" s="11">
        <v>46037</v>
      </c>
      <c r="CR302" t="str">
        <f t="shared" si="61"/>
        <v/>
      </c>
      <c r="CS302" t="str">
        <f t="shared" si="62"/>
        <v/>
      </c>
      <c r="CT302">
        <f t="shared" si="66"/>
        <v>5</v>
      </c>
      <c r="CU302">
        <f t="shared" si="63"/>
        <v>5</v>
      </c>
      <c r="CV302" t="str">
        <f t="shared" si="64"/>
        <v/>
      </c>
      <c r="CX302" s="11">
        <v>46032</v>
      </c>
      <c r="CY302" t="str">
        <f t="shared" si="60"/>
        <v>S2_2026</v>
      </c>
      <c r="DB302" t="s">
        <v>114</v>
      </c>
      <c r="DC302" t="s">
        <v>160</v>
      </c>
    </row>
    <row r="303" spans="1:107" x14ac:dyDescent="0.35">
      <c r="A303" t="s">
        <v>1128</v>
      </c>
      <c r="B303" s="10" t="str">
        <f t="shared" si="56"/>
        <v>S3_2026</v>
      </c>
      <c r="C303" s="10" t="str">
        <f t="shared" si="57"/>
        <v>S1_2026</v>
      </c>
      <c r="D303" s="11">
        <v>46037</v>
      </c>
      <c r="E303" s="19" t="s">
        <v>106</v>
      </c>
      <c r="F303" s="33">
        <v>13</v>
      </c>
      <c r="G303" t="s">
        <v>107</v>
      </c>
      <c r="H303" t="s">
        <v>835</v>
      </c>
      <c r="J303" t="s">
        <v>114</v>
      </c>
      <c r="K303" s="35">
        <v>46038</v>
      </c>
      <c r="L303" s="19" t="s">
        <v>111</v>
      </c>
      <c r="M303" s="19" t="s">
        <v>112</v>
      </c>
      <c r="N303" s="19" t="s">
        <v>304</v>
      </c>
      <c r="O303" s="19" t="s">
        <v>1129</v>
      </c>
      <c r="P303" s="19" t="s">
        <v>1130</v>
      </c>
      <c r="Q303" s="19" t="s">
        <v>1131</v>
      </c>
      <c r="R303" s="11">
        <v>46024</v>
      </c>
      <c r="S303" s="11">
        <v>46024</v>
      </c>
      <c r="T303" s="11">
        <v>46024</v>
      </c>
      <c r="V303" t="s">
        <v>114</v>
      </c>
      <c r="AE303" t="s">
        <v>114</v>
      </c>
      <c r="AR303" t="s">
        <v>1132</v>
      </c>
      <c r="AS303" s="11">
        <v>46038</v>
      </c>
      <c r="AU303" t="s">
        <v>114</v>
      </c>
      <c r="AV303" t="s">
        <v>115</v>
      </c>
      <c r="BB303" t="s">
        <v>114</v>
      </c>
      <c r="BC303" s="11">
        <v>46037</v>
      </c>
      <c r="BD303" t="s">
        <v>1133</v>
      </c>
      <c r="BE303" t="s">
        <v>1134</v>
      </c>
      <c r="BF303" t="s">
        <v>1135</v>
      </c>
      <c r="BG303" t="s">
        <v>132</v>
      </c>
      <c r="BJ303" t="str">
        <f t="shared" si="65"/>
        <v/>
      </c>
      <c r="BK303" s="19" t="s">
        <v>117</v>
      </c>
      <c r="BL303" t="str">
        <f t="shared" si="58"/>
        <v>S3_2026</v>
      </c>
      <c r="BN303" s="11">
        <v>46038</v>
      </c>
      <c r="BO303" t="str">
        <f t="shared" si="54"/>
        <v>S3_2026</v>
      </c>
      <c r="BP303" t="s">
        <v>114</v>
      </c>
      <c r="BQ303" t="s">
        <v>118</v>
      </c>
      <c r="BR303" t="s">
        <v>451</v>
      </c>
      <c r="BU303" s="11"/>
      <c r="BW303" s="11"/>
      <c r="BX303" s="11"/>
      <c r="BY303" s="11"/>
      <c r="BZ303" s="11"/>
      <c r="CA303" t="s">
        <v>118</v>
      </c>
      <c r="CB303" s="11">
        <v>46038</v>
      </c>
      <c r="CC303" s="11"/>
      <c r="CD303" s="11"/>
      <c r="CE303" s="11"/>
      <c r="CG303" s="11"/>
      <c r="CI303" t="s">
        <v>119</v>
      </c>
      <c r="CO303" t="str">
        <f t="shared" si="59"/>
        <v>NEGATIFPAS INCLUS</v>
      </c>
      <c r="CP303" s="11">
        <v>46037</v>
      </c>
      <c r="CR303">
        <f t="shared" si="61"/>
        <v>1</v>
      </c>
      <c r="CS303">
        <f t="shared" si="62"/>
        <v>0</v>
      </c>
      <c r="CT303">
        <f t="shared" si="66"/>
        <v>13</v>
      </c>
      <c r="CU303">
        <f t="shared" si="63"/>
        <v>-1</v>
      </c>
      <c r="CV303" t="str">
        <f t="shared" si="64"/>
        <v/>
      </c>
      <c r="CX303" s="11">
        <v>46024</v>
      </c>
      <c r="CY303" t="str">
        <f t="shared" si="60"/>
        <v>S1_2026</v>
      </c>
      <c r="DC303" t="s">
        <v>120</v>
      </c>
    </row>
    <row r="304" spans="1:107" x14ac:dyDescent="0.35">
      <c r="A304" t="s">
        <v>1136</v>
      </c>
      <c r="B304" s="10" t="str">
        <f t="shared" si="56"/>
        <v>S3_2026</v>
      </c>
      <c r="C304" s="10" t="str">
        <f t="shared" si="57"/>
        <v>S3_2026</v>
      </c>
      <c r="D304" s="11">
        <v>46038</v>
      </c>
      <c r="E304" s="19" t="s">
        <v>123</v>
      </c>
      <c r="F304" s="33">
        <v>5</v>
      </c>
      <c r="G304" t="s">
        <v>107</v>
      </c>
      <c r="H304" t="s">
        <v>835</v>
      </c>
      <c r="J304" t="s">
        <v>142</v>
      </c>
      <c r="K304" s="12"/>
      <c r="L304" s="19" t="s">
        <v>111</v>
      </c>
      <c r="M304" s="19" t="s">
        <v>445</v>
      </c>
      <c r="N304" s="19" t="s">
        <v>445</v>
      </c>
      <c r="P304" s="19" t="s">
        <v>445</v>
      </c>
      <c r="Q304" s="19" t="s">
        <v>445</v>
      </c>
      <c r="R304" s="11">
        <v>46034</v>
      </c>
      <c r="S304" s="11">
        <v>46034</v>
      </c>
      <c r="T304" s="11">
        <v>46034</v>
      </c>
      <c r="V304" t="s">
        <v>114</v>
      </c>
      <c r="W304" t="s">
        <v>114</v>
      </c>
      <c r="X304" t="s">
        <v>114</v>
      </c>
      <c r="Y304" t="s">
        <v>114</v>
      </c>
      <c r="Z304" t="s">
        <v>114</v>
      </c>
      <c r="AA304" t="s">
        <v>114</v>
      </c>
      <c r="AB304" t="s">
        <v>114</v>
      </c>
      <c r="AE304" t="s">
        <v>114</v>
      </c>
      <c r="AN304" t="s">
        <v>114</v>
      </c>
      <c r="AR304" t="s">
        <v>1137</v>
      </c>
      <c r="AS304" s="11">
        <v>46041</v>
      </c>
      <c r="AU304" t="s">
        <v>114</v>
      </c>
      <c r="AV304" t="s">
        <v>115</v>
      </c>
      <c r="BB304" t="s">
        <v>114</v>
      </c>
      <c r="BC304" s="11">
        <v>46038</v>
      </c>
      <c r="BD304" t="s">
        <v>243</v>
      </c>
      <c r="BE304" s="19">
        <v>686989940</v>
      </c>
      <c r="BF304" t="s">
        <v>445</v>
      </c>
      <c r="BG304" t="s">
        <v>114</v>
      </c>
      <c r="BJ304" t="str">
        <f t="shared" si="65"/>
        <v/>
      </c>
      <c r="BK304" s="19" t="s">
        <v>117</v>
      </c>
      <c r="BL304" t="str">
        <f t="shared" si="58"/>
        <v>S3_2026</v>
      </c>
      <c r="BN304" s="11">
        <v>46041</v>
      </c>
      <c r="BO304" t="str">
        <f t="shared" si="54"/>
        <v>S4_2026</v>
      </c>
      <c r="BP304" t="s">
        <v>114</v>
      </c>
      <c r="BQ304" t="s">
        <v>118</v>
      </c>
      <c r="BR304" t="s">
        <v>451</v>
      </c>
      <c r="BU304" s="11"/>
      <c r="BW304" s="11"/>
      <c r="BX304" s="11"/>
      <c r="BY304" s="11"/>
      <c r="BZ304" s="11"/>
      <c r="CA304" t="s">
        <v>118</v>
      </c>
      <c r="CB304" s="11">
        <v>46041</v>
      </c>
      <c r="CC304" s="11"/>
      <c r="CD304" s="11"/>
      <c r="CE304" s="11"/>
      <c r="CG304" s="11"/>
      <c r="CI304" t="s">
        <v>119</v>
      </c>
      <c r="CO304" t="str">
        <f t="shared" si="59"/>
        <v>NEGATIFPAS INCLUS</v>
      </c>
      <c r="CP304" s="11">
        <v>46038</v>
      </c>
      <c r="CR304">
        <f t="shared" si="61"/>
        <v>3</v>
      </c>
      <c r="CS304">
        <f t="shared" si="62"/>
        <v>0</v>
      </c>
      <c r="CT304">
        <f t="shared" si="66"/>
        <v>4</v>
      </c>
      <c r="CV304" t="str">
        <f t="shared" si="64"/>
        <v/>
      </c>
      <c r="CX304" s="11">
        <v>46034</v>
      </c>
      <c r="CY304" t="str">
        <f t="shared" si="60"/>
        <v>S3_2026</v>
      </c>
      <c r="DC304" t="s">
        <v>120</v>
      </c>
    </row>
    <row r="305" spans="1:107" ht="31" x14ac:dyDescent="0.35">
      <c r="A305" t="s">
        <v>1138</v>
      </c>
      <c r="B305" s="10" t="str">
        <f t="shared" si="56"/>
        <v>S51_2025</v>
      </c>
      <c r="C305" s="10" t="str">
        <f t="shared" si="57"/>
        <v>S50_2025</v>
      </c>
      <c r="D305" s="11">
        <v>46007</v>
      </c>
      <c r="E305" t="s">
        <v>106</v>
      </c>
      <c r="F305" s="24">
        <v>14</v>
      </c>
      <c r="G305" t="s">
        <v>107</v>
      </c>
      <c r="H305" t="s">
        <v>108</v>
      </c>
      <c r="J305" t="s">
        <v>114</v>
      </c>
      <c r="K305" s="14">
        <v>46003</v>
      </c>
      <c r="L305" t="s">
        <v>117</v>
      </c>
      <c r="M305" t="s">
        <v>348</v>
      </c>
      <c r="N305" s="19" t="s">
        <v>1139</v>
      </c>
      <c r="O305" s="19" t="s">
        <v>1140</v>
      </c>
      <c r="P305" s="19" t="s">
        <v>1141</v>
      </c>
      <c r="Q305" t="s">
        <v>348</v>
      </c>
      <c r="R305" s="11">
        <v>46003</v>
      </c>
      <c r="V305" t="s">
        <v>114</v>
      </c>
      <c r="AE305" t="s">
        <v>114</v>
      </c>
      <c r="AF305" t="s">
        <v>114</v>
      </c>
      <c r="AG305" t="s">
        <v>114</v>
      </c>
      <c r="AS305" s="11">
        <v>46007</v>
      </c>
      <c r="AU305" t="s">
        <v>114</v>
      </c>
      <c r="AV305" t="s">
        <v>134</v>
      </c>
      <c r="AW305" t="s">
        <v>152</v>
      </c>
      <c r="AY305" t="s">
        <v>463</v>
      </c>
      <c r="BB305" t="s">
        <v>114</v>
      </c>
      <c r="BC305" s="11">
        <v>46007</v>
      </c>
      <c r="BD305" t="s">
        <v>458</v>
      </c>
      <c r="BE305" s="19">
        <v>677735019</v>
      </c>
      <c r="BF305" t="s">
        <v>353</v>
      </c>
      <c r="BG305" t="s">
        <v>449</v>
      </c>
      <c r="BI305" s="11">
        <v>46007</v>
      </c>
      <c r="BJ305" t="str">
        <f t="shared" si="65"/>
        <v>S51_2025</v>
      </c>
      <c r="BK305" t="s">
        <v>117</v>
      </c>
      <c r="BL305" t="str">
        <f t="shared" si="58"/>
        <v>S51_2025</v>
      </c>
      <c r="BM305" t="s">
        <v>159</v>
      </c>
      <c r="BN305" s="11">
        <v>46007</v>
      </c>
      <c r="BO305" t="str">
        <f t="shared" si="54"/>
        <v>S51_2025</v>
      </c>
      <c r="BP305" t="s">
        <v>114</v>
      </c>
      <c r="BQ305" t="s">
        <v>450</v>
      </c>
      <c r="BR305" t="s">
        <v>451</v>
      </c>
      <c r="BS305" t="s">
        <v>132</v>
      </c>
      <c r="CI305" t="s">
        <v>134</v>
      </c>
      <c r="CJ305" t="s">
        <v>466</v>
      </c>
      <c r="CK305" t="s">
        <v>467</v>
      </c>
      <c r="CN305" t="s">
        <v>458</v>
      </c>
      <c r="CO305" t="str">
        <f t="shared" si="59"/>
        <v>POSITIFPOSITIF</v>
      </c>
      <c r="CP305" s="11">
        <v>46007</v>
      </c>
      <c r="CR305">
        <f t="shared" si="61"/>
        <v>0</v>
      </c>
      <c r="CS305">
        <f t="shared" si="62"/>
        <v>0</v>
      </c>
      <c r="CT305">
        <f t="shared" si="66"/>
        <v>4</v>
      </c>
      <c r="CU305">
        <f t="shared" si="63"/>
        <v>4</v>
      </c>
      <c r="CV305">
        <f t="shared" si="64"/>
        <v>4</v>
      </c>
      <c r="CX305" s="11">
        <v>46003</v>
      </c>
      <c r="CY305" t="str">
        <f t="shared" si="60"/>
        <v>S50_2025</v>
      </c>
      <c r="DC305" t="s">
        <v>139</v>
      </c>
    </row>
    <row r="306" spans="1:107" x14ac:dyDescent="0.35">
      <c r="A306" t="s">
        <v>1142</v>
      </c>
      <c r="B306" s="10" t="str">
        <f t="shared" si="56"/>
        <v>S3_2026</v>
      </c>
      <c r="C306" s="10" t="str">
        <f t="shared" si="57"/>
        <v>S3_2026</v>
      </c>
      <c r="D306" s="11">
        <v>46039</v>
      </c>
      <c r="E306" s="19" t="s">
        <v>123</v>
      </c>
      <c r="F306" s="33">
        <v>30</v>
      </c>
      <c r="G306" t="s">
        <v>124</v>
      </c>
      <c r="H306" t="s">
        <v>835</v>
      </c>
      <c r="J306" t="s">
        <v>114</v>
      </c>
      <c r="K306" s="12" t="s">
        <v>110</v>
      </c>
      <c r="L306" s="19" t="s">
        <v>552</v>
      </c>
      <c r="M306" s="19" t="s">
        <v>1143</v>
      </c>
      <c r="N306" s="19" t="s">
        <v>1144</v>
      </c>
      <c r="O306" s="19" t="s">
        <v>1145</v>
      </c>
      <c r="P306" s="19" t="s">
        <v>1146</v>
      </c>
      <c r="Q306" s="19" t="s">
        <v>1143</v>
      </c>
      <c r="R306" s="11">
        <v>46036</v>
      </c>
      <c r="S306" s="11">
        <v>46036</v>
      </c>
      <c r="T306" s="11">
        <v>46036</v>
      </c>
      <c r="W306" t="s">
        <v>114</v>
      </c>
      <c r="X306" t="s">
        <v>114</v>
      </c>
      <c r="AB306" t="s">
        <v>114</v>
      </c>
      <c r="AC306" t="s">
        <v>1147</v>
      </c>
      <c r="AE306" t="s">
        <v>114</v>
      </c>
      <c r="AG306" t="s">
        <v>114</v>
      </c>
      <c r="AJ306" t="s">
        <v>592</v>
      </c>
      <c r="AK306" t="s">
        <v>132</v>
      </c>
      <c r="AM306" t="s">
        <v>132</v>
      </c>
      <c r="AN306" t="s">
        <v>114</v>
      </c>
      <c r="AQ306" t="s">
        <v>132</v>
      </c>
      <c r="AS306" s="11">
        <v>46044</v>
      </c>
      <c r="AU306" t="s">
        <v>114</v>
      </c>
      <c r="AV306" t="s">
        <v>134</v>
      </c>
      <c r="AW306" t="s">
        <v>152</v>
      </c>
      <c r="AY306" t="s">
        <v>452</v>
      </c>
      <c r="BB306" t="s">
        <v>114</v>
      </c>
      <c r="BC306" s="11">
        <v>46039</v>
      </c>
      <c r="BD306" t="s">
        <v>1148</v>
      </c>
      <c r="BE306" t="s">
        <v>1149</v>
      </c>
      <c r="BF306" s="28" t="s">
        <v>1150</v>
      </c>
      <c r="BG306" t="s">
        <v>449</v>
      </c>
      <c r="BI306" s="11">
        <v>46044</v>
      </c>
      <c r="BJ306" t="str">
        <f t="shared" si="65"/>
        <v>S4_2026</v>
      </c>
      <c r="BK306" s="19" t="s">
        <v>552</v>
      </c>
      <c r="BL306" t="str">
        <f t="shared" si="58"/>
        <v>S3_2026</v>
      </c>
      <c r="BN306" s="11">
        <v>46044</v>
      </c>
      <c r="BO306" t="str">
        <f t="shared" si="54"/>
        <v>S4_2026</v>
      </c>
      <c r="BP306" t="s">
        <v>114</v>
      </c>
      <c r="BQ306" t="s">
        <v>450</v>
      </c>
      <c r="BR306" t="s">
        <v>451</v>
      </c>
      <c r="BS306" t="s">
        <v>132</v>
      </c>
      <c r="BT306" s="11">
        <v>46042</v>
      </c>
      <c r="BU306" s="11">
        <v>46044</v>
      </c>
      <c r="BV306" t="s">
        <v>450</v>
      </c>
      <c r="BW306" s="11">
        <v>46044</v>
      </c>
      <c r="BX306" s="11" t="s">
        <v>115</v>
      </c>
      <c r="BY306" s="11"/>
      <c r="BZ306" s="11"/>
      <c r="CB306" s="11"/>
      <c r="CC306" s="11"/>
      <c r="CD306" s="11"/>
      <c r="CE306" s="11"/>
      <c r="CG306" s="11"/>
      <c r="CI306" t="s">
        <v>134</v>
      </c>
      <c r="CJ306" t="s">
        <v>456</v>
      </c>
      <c r="CK306" t="s">
        <v>452</v>
      </c>
      <c r="CN306" t="s">
        <v>473</v>
      </c>
      <c r="CO306" t="str">
        <f t="shared" si="59"/>
        <v>POSITIFPOSITIF</v>
      </c>
      <c r="CP306" s="11">
        <v>46039</v>
      </c>
      <c r="CR306">
        <f t="shared" si="61"/>
        <v>5</v>
      </c>
      <c r="CS306">
        <f t="shared" si="62"/>
        <v>0</v>
      </c>
      <c r="CT306">
        <f t="shared" si="66"/>
        <v>3</v>
      </c>
      <c r="CV306">
        <f t="shared" si="64"/>
        <v>8</v>
      </c>
      <c r="CX306" s="11">
        <v>46036</v>
      </c>
      <c r="CY306" t="str">
        <f t="shared" si="60"/>
        <v>S3_2026</v>
      </c>
      <c r="DC306" t="s">
        <v>139</v>
      </c>
    </row>
    <row r="307" spans="1:107" x14ac:dyDescent="0.35">
      <c r="A307" t="s">
        <v>1151</v>
      </c>
      <c r="B307" s="10" t="str">
        <f t="shared" si="56"/>
        <v>S4_2026</v>
      </c>
      <c r="C307" s="10" t="str">
        <f t="shared" si="57"/>
        <v>S2_2026</v>
      </c>
      <c r="D307" s="11">
        <v>46041</v>
      </c>
      <c r="E307" s="19" t="s">
        <v>123</v>
      </c>
      <c r="F307" s="33">
        <v>40</v>
      </c>
      <c r="G307" t="s">
        <v>429</v>
      </c>
      <c r="H307" t="s">
        <v>835</v>
      </c>
      <c r="J307" t="s">
        <v>114</v>
      </c>
      <c r="K307" s="12" t="s">
        <v>110</v>
      </c>
      <c r="L307" s="19" t="s">
        <v>111</v>
      </c>
      <c r="M307" s="19" t="s">
        <v>308</v>
      </c>
      <c r="N307" s="19" t="s">
        <v>1152</v>
      </c>
      <c r="O307" s="19" t="s">
        <v>1153</v>
      </c>
      <c r="P307" s="19" t="s">
        <v>1154</v>
      </c>
      <c r="Q307" s="19" t="s">
        <v>312</v>
      </c>
      <c r="R307" s="11">
        <v>46033</v>
      </c>
      <c r="S307" s="11">
        <v>46033</v>
      </c>
      <c r="T307" s="11">
        <v>46033</v>
      </c>
      <c r="W307" t="s">
        <v>114</v>
      </c>
      <c r="AA307" t="s">
        <v>114</v>
      </c>
      <c r="AE307" t="s">
        <v>114</v>
      </c>
      <c r="AG307" t="s">
        <v>114</v>
      </c>
      <c r="AJ307" t="s">
        <v>259</v>
      </c>
      <c r="AK307" t="s">
        <v>114</v>
      </c>
      <c r="AM307" t="s">
        <v>132</v>
      </c>
      <c r="AN307" t="s">
        <v>132</v>
      </c>
      <c r="AQ307" t="s">
        <v>132</v>
      </c>
      <c r="AS307" s="11">
        <v>46043</v>
      </c>
      <c r="AU307" t="s">
        <v>114</v>
      </c>
      <c r="AV307" t="s">
        <v>134</v>
      </c>
      <c r="AW307" t="s">
        <v>152</v>
      </c>
      <c r="AY307" t="s">
        <v>463</v>
      </c>
      <c r="BB307" t="s">
        <v>114</v>
      </c>
      <c r="BC307" s="11">
        <v>46041</v>
      </c>
      <c r="BD307" t="s">
        <v>1133</v>
      </c>
      <c r="BE307" s="19" t="s">
        <v>1155</v>
      </c>
      <c r="BF307" s="28" t="s">
        <v>1156</v>
      </c>
      <c r="BG307" t="s">
        <v>449</v>
      </c>
      <c r="BI307" s="11">
        <v>46044</v>
      </c>
      <c r="BJ307" t="str">
        <f t="shared" si="65"/>
        <v>S4_2026</v>
      </c>
      <c r="BK307" s="19" t="s">
        <v>117</v>
      </c>
      <c r="BL307" t="str">
        <f t="shared" si="58"/>
        <v>S4_2026</v>
      </c>
      <c r="BN307" s="11">
        <v>46044</v>
      </c>
      <c r="BO307" t="str">
        <f t="shared" si="54"/>
        <v>S4_2026</v>
      </c>
      <c r="BP307" t="s">
        <v>114</v>
      </c>
      <c r="BQ307" t="s">
        <v>450</v>
      </c>
      <c r="BR307" t="s">
        <v>451</v>
      </c>
      <c r="BS307" t="s">
        <v>132</v>
      </c>
      <c r="BT307" s="11">
        <v>46041</v>
      </c>
      <c r="BU307" s="11">
        <v>46043</v>
      </c>
      <c r="BV307" t="s">
        <v>450</v>
      </c>
      <c r="BW307" s="11">
        <v>46044</v>
      </c>
      <c r="BX307" s="11" t="s">
        <v>134</v>
      </c>
      <c r="BY307" s="11"/>
      <c r="BZ307" s="11"/>
      <c r="CB307" s="11"/>
      <c r="CC307" s="11"/>
      <c r="CD307" s="11"/>
      <c r="CE307" s="11"/>
      <c r="CG307" s="11"/>
      <c r="CI307" t="s">
        <v>134</v>
      </c>
      <c r="CJ307" t="s">
        <v>466</v>
      </c>
      <c r="CK307" t="s">
        <v>467</v>
      </c>
      <c r="CN307" t="s">
        <v>473</v>
      </c>
      <c r="CO307" t="str">
        <f t="shared" si="59"/>
        <v>POSITIFPOSITIF</v>
      </c>
      <c r="CP307" s="11">
        <v>46041</v>
      </c>
      <c r="CR307">
        <f t="shared" si="61"/>
        <v>2</v>
      </c>
      <c r="CS307">
        <f t="shared" si="62"/>
        <v>1</v>
      </c>
      <c r="CT307">
        <f t="shared" si="66"/>
        <v>8</v>
      </c>
      <c r="CV307">
        <f t="shared" si="64"/>
        <v>11</v>
      </c>
      <c r="CX307" s="11">
        <v>46033</v>
      </c>
      <c r="CY307" t="str">
        <f t="shared" si="60"/>
        <v>S2_2026</v>
      </c>
      <c r="DC307" t="s">
        <v>139</v>
      </c>
    </row>
    <row r="308" spans="1:107" x14ac:dyDescent="0.35">
      <c r="A308" s="36" t="s">
        <v>1157</v>
      </c>
      <c r="B308" s="10" t="str">
        <f t="shared" si="56"/>
        <v>S4_2026</v>
      </c>
      <c r="C308" s="10" t="str">
        <f t="shared" si="57"/>
        <v/>
      </c>
      <c r="D308" s="37">
        <v>46042</v>
      </c>
      <c r="E308" s="36" t="s">
        <v>123</v>
      </c>
      <c r="F308" s="68">
        <v>28</v>
      </c>
      <c r="G308" t="s">
        <v>110</v>
      </c>
      <c r="H308" s="36" t="s">
        <v>835</v>
      </c>
      <c r="I308" s="36"/>
      <c r="J308" t="s">
        <v>114</v>
      </c>
      <c r="K308" s="35">
        <v>46038</v>
      </c>
      <c r="L308" s="36" t="s">
        <v>126</v>
      </c>
      <c r="M308" s="36" t="s">
        <v>357</v>
      </c>
      <c r="N308" s="36" t="s">
        <v>358</v>
      </c>
      <c r="O308" s="36" t="s">
        <v>1158</v>
      </c>
      <c r="P308" s="36" t="s">
        <v>1159</v>
      </c>
      <c r="Q308" s="36" t="s">
        <v>357</v>
      </c>
      <c r="R308" t="s">
        <v>110</v>
      </c>
      <c r="S308" t="s">
        <v>110</v>
      </c>
      <c r="T308" t="s">
        <v>110</v>
      </c>
      <c r="U308" s="36"/>
      <c r="V308" t="s">
        <v>142</v>
      </c>
      <c r="W308" t="s">
        <v>142</v>
      </c>
      <c r="X308" t="s">
        <v>142</v>
      </c>
      <c r="Y308" t="s">
        <v>142</v>
      </c>
      <c r="Z308" t="s">
        <v>142</v>
      </c>
      <c r="AA308" t="s">
        <v>142</v>
      </c>
      <c r="AB308" t="s">
        <v>142</v>
      </c>
      <c r="AC308" t="s">
        <v>114</v>
      </c>
      <c r="AD308" s="36"/>
      <c r="AE308" t="s">
        <v>114</v>
      </c>
      <c r="AF308" t="s">
        <v>142</v>
      </c>
      <c r="AG308" t="s">
        <v>142</v>
      </c>
      <c r="AH308" t="s">
        <v>142</v>
      </c>
      <c r="AI308" t="s">
        <v>142</v>
      </c>
      <c r="AJ308" t="s">
        <v>142</v>
      </c>
      <c r="AK308" t="s">
        <v>142</v>
      </c>
      <c r="AM308" t="s">
        <v>142</v>
      </c>
      <c r="AN308" t="s">
        <v>142</v>
      </c>
      <c r="AP308" t="s">
        <v>142</v>
      </c>
      <c r="AQ308" t="s">
        <v>142</v>
      </c>
      <c r="AR308" s="36"/>
      <c r="AS308" s="36"/>
      <c r="AT308" s="36"/>
      <c r="AU308" s="36"/>
      <c r="AV308" s="36"/>
      <c r="AW308" s="36"/>
      <c r="AX308" s="36"/>
      <c r="AY308" s="36"/>
      <c r="AZ308" s="36"/>
      <c r="BA308" s="38"/>
      <c r="BB308" s="36"/>
      <c r="BC308" s="37"/>
      <c r="BD308" s="36"/>
      <c r="BE308" s="36">
        <v>680664968</v>
      </c>
      <c r="BF308" s="36" t="s">
        <v>1159</v>
      </c>
      <c r="BG308" s="36"/>
      <c r="BH308" s="36"/>
      <c r="BI308" s="37"/>
      <c r="BJ308" t="str">
        <f t="shared" si="65"/>
        <v/>
      </c>
      <c r="BK308" s="36" t="s">
        <v>137</v>
      </c>
      <c r="BL308" t="str">
        <f t="shared" si="58"/>
        <v/>
      </c>
      <c r="BM308" s="36"/>
      <c r="BN308" s="37"/>
      <c r="BO308" t="str">
        <f t="shared" si="54"/>
        <v/>
      </c>
      <c r="BP308" s="36"/>
      <c r="BQ308" s="36"/>
      <c r="BR308" s="36" t="s">
        <v>451</v>
      </c>
      <c r="BS308" t="s">
        <v>114</v>
      </c>
      <c r="BT308" s="36"/>
      <c r="BU308" s="36"/>
      <c r="BV308" s="36"/>
      <c r="BW308" s="37"/>
      <c r="BX308" s="37"/>
      <c r="BY308" s="37"/>
      <c r="BZ308" s="36"/>
      <c r="CA308" s="36"/>
      <c r="CB308" s="37"/>
      <c r="CC308" s="37"/>
      <c r="CD308" s="37"/>
      <c r="CE308" s="36"/>
      <c r="CF308" s="36"/>
      <c r="CG308" s="37"/>
      <c r="CI308" t="s">
        <v>119</v>
      </c>
      <c r="CO308" t="str">
        <f t="shared" si="59"/>
        <v>PAS INCLUS</v>
      </c>
      <c r="CP308" s="11">
        <v>46042</v>
      </c>
      <c r="CR308" t="str">
        <f t="shared" si="61"/>
        <v/>
      </c>
      <c r="CS308" t="str">
        <f t="shared" si="62"/>
        <v/>
      </c>
      <c r="CT308">
        <f t="shared" si="66"/>
        <v>4</v>
      </c>
      <c r="CU308">
        <f t="shared" si="63"/>
        <v>4</v>
      </c>
      <c r="CV308" t="str">
        <f t="shared" si="64"/>
        <v/>
      </c>
      <c r="CX308" s="37">
        <v>46038</v>
      </c>
      <c r="CY308" t="str">
        <f t="shared" si="60"/>
        <v>S3_2026</v>
      </c>
      <c r="DB308" t="s">
        <v>114</v>
      </c>
      <c r="DC308" t="s">
        <v>160</v>
      </c>
    </row>
    <row r="309" spans="1:107" x14ac:dyDescent="0.35">
      <c r="A309" t="s">
        <v>1160</v>
      </c>
      <c r="B309" s="10" t="str">
        <f t="shared" si="56"/>
        <v>S4_2026</v>
      </c>
      <c r="C309" s="10" t="str">
        <f t="shared" si="57"/>
        <v>S3_2026</v>
      </c>
      <c r="D309" s="11">
        <v>46042</v>
      </c>
      <c r="E309" s="19" t="s">
        <v>106</v>
      </c>
      <c r="F309" s="33">
        <v>15</v>
      </c>
      <c r="G309" t="s">
        <v>107</v>
      </c>
      <c r="H309" t="s">
        <v>835</v>
      </c>
      <c r="J309" t="s">
        <v>114</v>
      </c>
      <c r="K309" s="12" t="s">
        <v>110</v>
      </c>
      <c r="L309" s="19" t="s">
        <v>111</v>
      </c>
      <c r="M309" s="19" t="s">
        <v>308</v>
      </c>
      <c r="N309" s="19" t="s">
        <v>631</v>
      </c>
      <c r="O309" s="19" t="s">
        <v>1161</v>
      </c>
      <c r="P309" s="19" t="s">
        <v>631</v>
      </c>
      <c r="Q309" s="19" t="s">
        <v>312</v>
      </c>
      <c r="R309" s="11">
        <v>46038</v>
      </c>
      <c r="S309" s="11">
        <v>46038</v>
      </c>
      <c r="T309" s="11">
        <v>46038</v>
      </c>
      <c r="V309" t="s">
        <v>114</v>
      </c>
      <c r="W309" t="s">
        <v>114</v>
      </c>
      <c r="X309" t="s">
        <v>114</v>
      </c>
      <c r="Y309" t="s">
        <v>114</v>
      </c>
      <c r="Z309" t="s">
        <v>114</v>
      </c>
      <c r="AA309" t="s">
        <v>114</v>
      </c>
      <c r="AB309" t="s">
        <v>114</v>
      </c>
      <c r="AE309" t="s">
        <v>114</v>
      </c>
      <c r="AG309" t="s">
        <v>114</v>
      </c>
      <c r="AK309" t="s">
        <v>132</v>
      </c>
      <c r="AM309" t="s">
        <v>132</v>
      </c>
      <c r="AN309" t="s">
        <v>114</v>
      </c>
      <c r="AS309" s="11">
        <v>46042</v>
      </c>
      <c r="AU309" t="s">
        <v>114</v>
      </c>
      <c r="AV309" t="s">
        <v>134</v>
      </c>
      <c r="AW309" t="s">
        <v>152</v>
      </c>
      <c r="AY309" t="s">
        <v>463</v>
      </c>
      <c r="BB309" t="s">
        <v>114</v>
      </c>
      <c r="BC309" s="11">
        <v>46042</v>
      </c>
      <c r="BD309" t="s">
        <v>313</v>
      </c>
      <c r="BE309">
        <v>679626259</v>
      </c>
      <c r="BF309" t="s">
        <v>631</v>
      </c>
      <c r="BG309" t="s">
        <v>449</v>
      </c>
      <c r="BI309" s="11">
        <v>46044</v>
      </c>
      <c r="BJ309" t="str">
        <f t="shared" si="65"/>
        <v>S4_2026</v>
      </c>
      <c r="BK309" s="19" t="s">
        <v>117</v>
      </c>
      <c r="BL309" t="str">
        <f t="shared" si="58"/>
        <v>S4_2026</v>
      </c>
      <c r="BN309" s="11">
        <v>46044</v>
      </c>
      <c r="BO309" t="str">
        <f t="shared" ref="BO309:BO372" si="67">IFERROR("S"&amp;(IF(_xlfn.ISOWEEKNUM(BN309)&gt;0,_xlfn.ISOWEEKNUM(BN309),_xlfn.CONCAT("0",_xlfn.ISOWEEKNUM(BN309))))&amp;"_"&amp;(YEAR(BN309+26-(_xlfn.ISOWEEKNUM(BN309)))),"")</f>
        <v>S4_2026</v>
      </c>
      <c r="BP309" t="s">
        <v>114</v>
      </c>
      <c r="BQ309" t="s">
        <v>450</v>
      </c>
      <c r="BR309" t="s">
        <v>451</v>
      </c>
      <c r="BT309" s="11">
        <v>46042</v>
      </c>
      <c r="BU309" s="11">
        <v>46042</v>
      </c>
      <c r="BV309" t="s">
        <v>450</v>
      </c>
      <c r="BW309" s="11">
        <v>46044</v>
      </c>
      <c r="BX309" s="11" t="s">
        <v>134</v>
      </c>
      <c r="BY309" s="11"/>
      <c r="BZ309" s="11"/>
      <c r="CB309" s="11"/>
      <c r="CC309" s="11"/>
      <c r="CD309" s="11"/>
      <c r="CE309" s="11"/>
      <c r="CG309" s="11"/>
      <c r="CI309" t="s">
        <v>134</v>
      </c>
      <c r="CJ309" t="s">
        <v>466</v>
      </c>
      <c r="CK309" t="s">
        <v>452</v>
      </c>
      <c r="CN309" t="s">
        <v>458</v>
      </c>
      <c r="CO309" t="str">
        <f t="shared" si="59"/>
        <v>POSITIFPOSITIF</v>
      </c>
      <c r="CP309" s="11">
        <v>46042</v>
      </c>
      <c r="CR309">
        <f t="shared" si="61"/>
        <v>0</v>
      </c>
      <c r="CS309">
        <f t="shared" si="62"/>
        <v>2</v>
      </c>
      <c r="CT309">
        <f t="shared" si="66"/>
        <v>4</v>
      </c>
      <c r="CV309">
        <f t="shared" si="64"/>
        <v>6</v>
      </c>
      <c r="CX309" s="11">
        <v>46038</v>
      </c>
      <c r="CY309" t="str">
        <f t="shared" si="60"/>
        <v>S3_2026</v>
      </c>
      <c r="DC309" t="s">
        <v>139</v>
      </c>
    </row>
    <row r="310" spans="1:107" x14ac:dyDescent="0.35">
      <c r="A310" t="s">
        <v>1162</v>
      </c>
      <c r="B310" s="10" t="str">
        <f t="shared" si="56"/>
        <v>S4_2026</v>
      </c>
      <c r="C310" s="10" t="str">
        <f t="shared" si="57"/>
        <v>S2_2026</v>
      </c>
      <c r="D310" s="11">
        <v>46043</v>
      </c>
      <c r="E310" s="19" t="s">
        <v>123</v>
      </c>
      <c r="F310" s="33">
        <v>42</v>
      </c>
      <c r="G310" t="s">
        <v>124</v>
      </c>
      <c r="H310" t="s">
        <v>835</v>
      </c>
      <c r="J310" t="s">
        <v>132</v>
      </c>
      <c r="K310" s="12"/>
      <c r="L310" s="19" t="s">
        <v>111</v>
      </c>
      <c r="M310" s="19" t="s">
        <v>143</v>
      </c>
      <c r="N310" s="19" t="s">
        <v>1006</v>
      </c>
      <c r="O310" t="s">
        <v>184</v>
      </c>
      <c r="P310" s="19" t="s">
        <v>1163</v>
      </c>
      <c r="Q310" s="19" t="s">
        <v>143</v>
      </c>
      <c r="R310" s="11">
        <v>46028</v>
      </c>
      <c r="S310" s="11">
        <v>46028</v>
      </c>
      <c r="T310" s="11">
        <v>46028</v>
      </c>
      <c r="W310" t="s">
        <v>114</v>
      </c>
      <c r="AB310" t="s">
        <v>114</v>
      </c>
      <c r="AC310" t="s">
        <v>1164</v>
      </c>
      <c r="AE310" t="s">
        <v>114</v>
      </c>
      <c r="AK310" t="s">
        <v>114</v>
      </c>
      <c r="AM310" t="s">
        <v>114</v>
      </c>
      <c r="AN310" t="s">
        <v>132</v>
      </c>
      <c r="AQ310" t="s">
        <v>132</v>
      </c>
      <c r="AR310" t="s">
        <v>1165</v>
      </c>
      <c r="AS310" s="11">
        <v>46048</v>
      </c>
      <c r="AU310" t="s">
        <v>114</v>
      </c>
      <c r="AV310" t="s">
        <v>134</v>
      </c>
      <c r="AW310" t="s">
        <v>152</v>
      </c>
      <c r="AY310" t="s">
        <v>463</v>
      </c>
      <c r="BB310" t="s">
        <v>114</v>
      </c>
      <c r="BC310" s="11">
        <v>46043</v>
      </c>
      <c r="BD310" t="s">
        <v>261</v>
      </c>
      <c r="BE310">
        <v>686082869</v>
      </c>
      <c r="BF310" t="s">
        <v>1006</v>
      </c>
      <c r="BG310" t="s">
        <v>449</v>
      </c>
      <c r="BI310" s="11">
        <v>46050</v>
      </c>
      <c r="BJ310" t="str">
        <f t="shared" si="65"/>
        <v>S5_2026</v>
      </c>
      <c r="BK310" s="19" t="s">
        <v>117</v>
      </c>
      <c r="BL310" t="str">
        <f t="shared" si="58"/>
        <v>S4_2026</v>
      </c>
      <c r="BM310" t="s">
        <v>159</v>
      </c>
      <c r="BN310" s="11">
        <v>46050</v>
      </c>
      <c r="BO310" t="str">
        <f t="shared" si="67"/>
        <v>S5_2026</v>
      </c>
      <c r="BP310" t="s">
        <v>114</v>
      </c>
      <c r="BQ310" t="s">
        <v>450</v>
      </c>
      <c r="BR310" t="s">
        <v>451</v>
      </c>
      <c r="BS310" t="s">
        <v>132</v>
      </c>
      <c r="BT310" s="11">
        <v>46043</v>
      </c>
      <c r="BU310" s="11">
        <v>46048</v>
      </c>
      <c r="BV310" t="s">
        <v>450</v>
      </c>
      <c r="BW310" s="11">
        <v>46050</v>
      </c>
      <c r="BX310" s="11" t="s">
        <v>134</v>
      </c>
      <c r="BY310" s="11"/>
      <c r="BZ310" s="11"/>
      <c r="CB310" s="11"/>
      <c r="CC310" s="11"/>
      <c r="CD310" s="11"/>
      <c r="CE310" s="11"/>
      <c r="CG310" s="11"/>
      <c r="CI310" t="s">
        <v>119</v>
      </c>
      <c r="CJ310" t="s">
        <v>466</v>
      </c>
      <c r="CK310" t="s">
        <v>138</v>
      </c>
      <c r="CO310" t="str">
        <f t="shared" si="59"/>
        <v>POSITIFPAS INCLUS</v>
      </c>
      <c r="CP310" s="11">
        <v>46043</v>
      </c>
      <c r="CR310">
        <f t="shared" si="61"/>
        <v>5</v>
      </c>
      <c r="CS310">
        <f t="shared" si="62"/>
        <v>2</v>
      </c>
      <c r="CT310">
        <f t="shared" si="66"/>
        <v>15</v>
      </c>
      <c r="CU310" t="str">
        <f t="shared" si="63"/>
        <v/>
      </c>
      <c r="CV310">
        <f t="shared" si="64"/>
        <v>22</v>
      </c>
      <c r="CX310" s="11">
        <v>46028</v>
      </c>
      <c r="CY310" t="str">
        <f t="shared" si="60"/>
        <v>S2_2026</v>
      </c>
      <c r="DC310" t="s">
        <v>139</v>
      </c>
    </row>
    <row r="311" spans="1:107" x14ac:dyDescent="0.35">
      <c r="A311" t="s">
        <v>1166</v>
      </c>
      <c r="B311" s="10" t="str">
        <f t="shared" si="56"/>
        <v>S4_2026</v>
      </c>
      <c r="C311" s="10" t="str">
        <f t="shared" si="57"/>
        <v>S4_2026</v>
      </c>
      <c r="D311" s="11">
        <v>46045</v>
      </c>
      <c r="E311" s="19" t="s">
        <v>106</v>
      </c>
      <c r="F311" s="24">
        <v>43</v>
      </c>
      <c r="G311" t="s">
        <v>323</v>
      </c>
      <c r="H311" t="s">
        <v>835</v>
      </c>
      <c r="J311" t="s">
        <v>132</v>
      </c>
      <c r="K311" s="12"/>
      <c r="L311" s="19" t="s">
        <v>111</v>
      </c>
      <c r="M311" s="19" t="s">
        <v>445</v>
      </c>
      <c r="N311" s="19" t="s">
        <v>1167</v>
      </c>
      <c r="O311" t="s">
        <v>184</v>
      </c>
      <c r="P311" s="19" t="s">
        <v>1168</v>
      </c>
      <c r="Q311" s="19" t="s">
        <v>445</v>
      </c>
      <c r="R311" s="11">
        <v>46042</v>
      </c>
      <c r="T311" s="11">
        <v>46042</v>
      </c>
      <c r="Z311" t="s">
        <v>114</v>
      </c>
      <c r="AE311" t="s">
        <v>132</v>
      </c>
      <c r="AK311" t="s">
        <v>114</v>
      </c>
      <c r="AM311" t="s">
        <v>142</v>
      </c>
      <c r="AN311" t="s">
        <v>114</v>
      </c>
      <c r="AR311" t="s">
        <v>1169</v>
      </c>
      <c r="AS311" s="11">
        <v>46045</v>
      </c>
      <c r="AT311" s="11"/>
      <c r="AU311" t="s">
        <v>114</v>
      </c>
      <c r="AV311" t="s">
        <v>115</v>
      </c>
      <c r="BA311"/>
      <c r="BB311" t="s">
        <v>114</v>
      </c>
      <c r="BC311" s="11">
        <v>46045</v>
      </c>
      <c r="BD311" t="s">
        <v>284</v>
      </c>
      <c r="BF311" t="s">
        <v>1167</v>
      </c>
      <c r="BG311" t="s">
        <v>132</v>
      </c>
      <c r="BI311" s="11">
        <v>46046</v>
      </c>
      <c r="BJ311" t="str">
        <f t="shared" si="65"/>
        <v>S4_2026</v>
      </c>
      <c r="BK311" s="19" t="s">
        <v>117</v>
      </c>
      <c r="BL311" t="str">
        <f t="shared" si="58"/>
        <v>S4_2026</v>
      </c>
      <c r="BM311" t="s">
        <v>1170</v>
      </c>
      <c r="BN311" s="11">
        <v>46046</v>
      </c>
      <c r="BO311" t="str">
        <f t="shared" si="67"/>
        <v>S4_2026</v>
      </c>
      <c r="BP311" t="s">
        <v>114</v>
      </c>
      <c r="BQ311" t="s">
        <v>118</v>
      </c>
      <c r="BR311" t="s">
        <v>451</v>
      </c>
      <c r="BS311" t="s">
        <v>132</v>
      </c>
      <c r="BU311" s="11"/>
      <c r="BW311" s="11"/>
      <c r="BX311" s="11"/>
      <c r="BY311" s="11"/>
      <c r="BZ311" s="11"/>
      <c r="CA311" t="s">
        <v>118</v>
      </c>
      <c r="CB311" s="11">
        <v>46046</v>
      </c>
      <c r="CC311" s="11"/>
      <c r="CD311" s="11"/>
      <c r="CE311" s="11"/>
      <c r="CG311" s="11"/>
      <c r="CI311" t="s">
        <v>119</v>
      </c>
      <c r="CO311" t="str">
        <f t="shared" si="59"/>
        <v>NEGATIFPAS INCLUS</v>
      </c>
      <c r="CP311" s="11">
        <v>46045</v>
      </c>
      <c r="CR311">
        <f t="shared" si="61"/>
        <v>0</v>
      </c>
      <c r="CS311">
        <f t="shared" si="62"/>
        <v>1</v>
      </c>
      <c r="CT311">
        <f t="shared" si="66"/>
        <v>3</v>
      </c>
      <c r="CU311" t="str">
        <f t="shared" si="63"/>
        <v/>
      </c>
      <c r="CV311" t="str">
        <f t="shared" si="64"/>
        <v/>
      </c>
      <c r="CX311" s="11">
        <v>46042</v>
      </c>
      <c r="CY311" t="str">
        <f t="shared" si="60"/>
        <v>S4_2026</v>
      </c>
      <c r="DC311" t="s">
        <v>120</v>
      </c>
    </row>
    <row r="312" spans="1:107" x14ac:dyDescent="0.35">
      <c r="A312" t="s">
        <v>1171</v>
      </c>
      <c r="B312" s="10" t="str">
        <f t="shared" si="56"/>
        <v>S4_2026</v>
      </c>
      <c r="C312" s="10" t="str">
        <f t="shared" si="57"/>
        <v>S2_2026</v>
      </c>
      <c r="D312" s="11">
        <v>46045</v>
      </c>
      <c r="E312" s="19" t="s">
        <v>106</v>
      </c>
      <c r="F312" s="24">
        <v>16</v>
      </c>
      <c r="G312" t="s">
        <v>107</v>
      </c>
      <c r="H312" t="s">
        <v>835</v>
      </c>
      <c r="J312" t="s">
        <v>114</v>
      </c>
      <c r="K312" s="12" t="s">
        <v>110</v>
      </c>
      <c r="L312" s="19" t="s">
        <v>111</v>
      </c>
      <c r="M312" s="19" t="s">
        <v>348</v>
      </c>
      <c r="N312" s="19" t="s">
        <v>1172</v>
      </c>
      <c r="O312" s="19" t="s">
        <v>1173</v>
      </c>
      <c r="P312" s="19" t="s">
        <v>1174</v>
      </c>
      <c r="Q312" s="19" t="s">
        <v>348</v>
      </c>
      <c r="R312" s="11">
        <v>46031</v>
      </c>
      <c r="S312" s="11">
        <v>46031</v>
      </c>
      <c r="T312" s="11">
        <v>46031</v>
      </c>
      <c r="V312" t="s">
        <v>114</v>
      </c>
      <c r="W312" t="s">
        <v>114</v>
      </c>
      <c r="X312" t="s">
        <v>114</v>
      </c>
      <c r="Y312" t="s">
        <v>114</v>
      </c>
      <c r="Z312" t="s">
        <v>114</v>
      </c>
      <c r="AA312" t="s">
        <v>114</v>
      </c>
      <c r="AB312" t="s">
        <v>114</v>
      </c>
      <c r="AJ312" t="s">
        <v>592</v>
      </c>
      <c r="AK312" t="s">
        <v>114</v>
      </c>
      <c r="AM312" t="s">
        <v>132</v>
      </c>
      <c r="AN312" t="s">
        <v>132</v>
      </c>
      <c r="AQ312" t="s">
        <v>132</v>
      </c>
      <c r="AR312" t="s">
        <v>1175</v>
      </c>
      <c r="AS312" s="11">
        <v>46048</v>
      </c>
      <c r="AU312" t="s">
        <v>114</v>
      </c>
      <c r="AV312" t="s">
        <v>115</v>
      </c>
      <c r="BB312" t="s">
        <v>114</v>
      </c>
      <c r="BC312" s="11">
        <v>46045</v>
      </c>
      <c r="BD312" t="s">
        <v>169</v>
      </c>
      <c r="BE312" t="s">
        <v>1176</v>
      </c>
      <c r="BF312" t="s">
        <v>1177</v>
      </c>
      <c r="BG312" t="s">
        <v>449</v>
      </c>
      <c r="BI312" s="11">
        <v>46050</v>
      </c>
      <c r="BJ312" t="str">
        <f t="shared" si="65"/>
        <v>S5_2026</v>
      </c>
      <c r="BK312" s="19" t="s">
        <v>117</v>
      </c>
      <c r="BL312" t="str">
        <f t="shared" si="58"/>
        <v>S4_2026</v>
      </c>
      <c r="BM312" t="s">
        <v>159</v>
      </c>
      <c r="BN312" s="11">
        <v>46050</v>
      </c>
      <c r="BO312" t="str">
        <f t="shared" si="67"/>
        <v>S5_2026</v>
      </c>
      <c r="BP312" t="s">
        <v>114</v>
      </c>
      <c r="BQ312" t="s">
        <v>450</v>
      </c>
      <c r="BR312" t="s">
        <v>451</v>
      </c>
      <c r="BS312" t="s">
        <v>132</v>
      </c>
      <c r="BT312" s="11">
        <v>46045</v>
      </c>
      <c r="BU312" s="11">
        <v>46048</v>
      </c>
      <c r="BV312" t="s">
        <v>450</v>
      </c>
      <c r="BW312" s="11">
        <v>46050</v>
      </c>
      <c r="BX312" s="11" t="s">
        <v>115</v>
      </c>
      <c r="BY312" s="11"/>
      <c r="BZ312" s="11"/>
      <c r="CB312" s="11"/>
      <c r="CC312" s="11"/>
      <c r="CD312" s="11"/>
      <c r="CE312" s="11"/>
      <c r="CG312" s="11"/>
      <c r="CI312" t="s">
        <v>119</v>
      </c>
      <c r="CO312" t="str">
        <f t="shared" si="59"/>
        <v>NEGATIFPAS INCLUS</v>
      </c>
      <c r="CP312" s="11">
        <v>46045</v>
      </c>
      <c r="CR312">
        <f t="shared" si="61"/>
        <v>3</v>
      </c>
      <c r="CS312">
        <f t="shared" si="62"/>
        <v>2</v>
      </c>
      <c r="CT312">
        <f t="shared" si="66"/>
        <v>14</v>
      </c>
      <c r="CV312" t="str">
        <f t="shared" si="64"/>
        <v/>
      </c>
      <c r="CX312" s="11">
        <v>46031</v>
      </c>
      <c r="CY312" t="str">
        <f t="shared" si="60"/>
        <v>S2_2026</v>
      </c>
      <c r="DB312" t="s">
        <v>114</v>
      </c>
      <c r="DC312" t="s">
        <v>160</v>
      </c>
    </row>
    <row r="313" spans="1:107" x14ac:dyDescent="0.35">
      <c r="A313" t="s">
        <v>1178</v>
      </c>
      <c r="B313" s="10" t="str">
        <f t="shared" si="56"/>
        <v>S5_2026</v>
      </c>
      <c r="C313" s="10" t="str">
        <f t="shared" si="57"/>
        <v>S2_2026</v>
      </c>
      <c r="D313" s="11">
        <v>46048</v>
      </c>
      <c r="E313" s="19" t="s">
        <v>106</v>
      </c>
      <c r="F313" s="24">
        <v>2</v>
      </c>
      <c r="G313" t="s">
        <v>141</v>
      </c>
      <c r="H313" t="s">
        <v>835</v>
      </c>
      <c r="J313" t="s">
        <v>132</v>
      </c>
      <c r="K313" s="12"/>
      <c r="L313" s="19" t="s">
        <v>111</v>
      </c>
      <c r="M313" s="19" t="s">
        <v>143</v>
      </c>
      <c r="N313" s="19" t="s">
        <v>394</v>
      </c>
      <c r="O313" t="s">
        <v>184</v>
      </c>
      <c r="P313" s="19" t="s">
        <v>1179</v>
      </c>
      <c r="Q313" s="19" t="s">
        <v>143</v>
      </c>
      <c r="R313" s="11">
        <v>46032</v>
      </c>
      <c r="S313" s="11">
        <v>46032</v>
      </c>
      <c r="T313" s="11">
        <v>46032</v>
      </c>
      <c r="X313" t="s">
        <v>114</v>
      </c>
      <c r="Y313" t="s">
        <v>114</v>
      </c>
      <c r="AA313" t="s">
        <v>114</v>
      </c>
      <c r="AE313" t="s">
        <v>114</v>
      </c>
      <c r="AK313" t="s">
        <v>132</v>
      </c>
      <c r="AM313" t="s">
        <v>114</v>
      </c>
      <c r="AN313" t="s">
        <v>114</v>
      </c>
      <c r="AQ313" t="s">
        <v>132</v>
      </c>
      <c r="AR313" t="s">
        <v>1180</v>
      </c>
      <c r="AS313" s="11">
        <v>46048</v>
      </c>
      <c r="AU313" t="s">
        <v>114</v>
      </c>
      <c r="AV313" t="s">
        <v>115</v>
      </c>
      <c r="BB313" t="s">
        <v>114</v>
      </c>
      <c r="BC313" s="11">
        <v>46045</v>
      </c>
      <c r="BD313" t="s">
        <v>334</v>
      </c>
      <c r="BE313">
        <v>659114231</v>
      </c>
      <c r="BF313" s="39" t="s">
        <v>891</v>
      </c>
      <c r="BG313" t="s">
        <v>449</v>
      </c>
      <c r="BI313" s="11">
        <v>46050</v>
      </c>
      <c r="BJ313" t="str">
        <f t="shared" si="65"/>
        <v>S5_2026</v>
      </c>
      <c r="BK313" s="19" t="s">
        <v>117</v>
      </c>
      <c r="BL313" t="str">
        <f t="shared" si="58"/>
        <v>S4_2026</v>
      </c>
      <c r="BM313" t="s">
        <v>159</v>
      </c>
      <c r="BN313" s="11">
        <v>46050</v>
      </c>
      <c r="BO313" t="str">
        <f t="shared" si="67"/>
        <v>S5_2026</v>
      </c>
      <c r="BP313" t="s">
        <v>114</v>
      </c>
      <c r="BQ313" t="s">
        <v>450</v>
      </c>
      <c r="BR313" t="s">
        <v>451</v>
      </c>
      <c r="BS313" t="s">
        <v>132</v>
      </c>
      <c r="BT313" s="11">
        <v>46045</v>
      </c>
      <c r="BU313" s="11">
        <v>46048</v>
      </c>
      <c r="BV313" t="s">
        <v>450</v>
      </c>
      <c r="BW313" s="11">
        <v>46050</v>
      </c>
      <c r="BX313" s="11" t="s">
        <v>115</v>
      </c>
      <c r="BY313" s="11"/>
      <c r="BZ313" s="11"/>
      <c r="CB313" s="11"/>
      <c r="CC313" s="11"/>
      <c r="CD313" s="11"/>
      <c r="CE313" s="11"/>
      <c r="CG313" s="11"/>
      <c r="CI313" t="s">
        <v>119</v>
      </c>
      <c r="CO313" t="str">
        <f t="shared" si="59"/>
        <v>NEGATIFPAS INCLUS</v>
      </c>
      <c r="CP313" s="11">
        <v>46045</v>
      </c>
      <c r="CR313">
        <f t="shared" si="61"/>
        <v>3</v>
      </c>
      <c r="CS313">
        <f t="shared" si="62"/>
        <v>2</v>
      </c>
      <c r="CT313">
        <f t="shared" si="66"/>
        <v>13</v>
      </c>
      <c r="CU313" t="str">
        <f t="shared" si="63"/>
        <v/>
      </c>
      <c r="CV313" t="str">
        <f t="shared" si="64"/>
        <v/>
      </c>
      <c r="CX313" s="11">
        <v>46032</v>
      </c>
      <c r="CY313" t="str">
        <f t="shared" si="60"/>
        <v>S2_2026</v>
      </c>
      <c r="DC313" t="s">
        <v>120</v>
      </c>
    </row>
    <row r="314" spans="1:107" x14ac:dyDescent="0.35">
      <c r="A314" t="s">
        <v>1181</v>
      </c>
      <c r="B314" s="10" t="str">
        <f t="shared" si="56"/>
        <v>S5_2026</v>
      </c>
      <c r="C314" s="10" t="str">
        <f t="shared" si="57"/>
        <v>S52_2025</v>
      </c>
      <c r="D314" s="11">
        <v>46048</v>
      </c>
      <c r="E314" s="19" t="s">
        <v>123</v>
      </c>
      <c r="F314" s="24">
        <v>28</v>
      </c>
      <c r="G314" t="s">
        <v>162</v>
      </c>
      <c r="H314" t="s">
        <v>835</v>
      </c>
      <c r="J314" t="s">
        <v>132</v>
      </c>
      <c r="K314" s="12"/>
      <c r="L314" s="19" t="s">
        <v>111</v>
      </c>
      <c r="M314" s="19" t="s">
        <v>143</v>
      </c>
      <c r="N314" s="19" t="s">
        <v>394</v>
      </c>
      <c r="O314" t="s">
        <v>184</v>
      </c>
      <c r="P314" s="19" t="s">
        <v>1179</v>
      </c>
      <c r="Q314" s="19" t="s">
        <v>143</v>
      </c>
      <c r="R314" s="11">
        <v>46018</v>
      </c>
      <c r="S314" s="11">
        <v>46018</v>
      </c>
      <c r="T314" s="11">
        <v>46018</v>
      </c>
      <c r="AA314" t="s">
        <v>114</v>
      </c>
      <c r="AB314" t="s">
        <v>114</v>
      </c>
      <c r="AC314" t="s">
        <v>1182</v>
      </c>
      <c r="AE314" t="s">
        <v>114</v>
      </c>
      <c r="AK314" t="s">
        <v>132</v>
      </c>
      <c r="AM314" t="s">
        <v>114</v>
      </c>
      <c r="AN314" t="s">
        <v>114</v>
      </c>
      <c r="AQ314" t="s">
        <v>132</v>
      </c>
      <c r="AR314" t="s">
        <v>1183</v>
      </c>
      <c r="AS314" s="11">
        <v>46048</v>
      </c>
      <c r="AU314" t="s">
        <v>114</v>
      </c>
      <c r="AV314" t="s">
        <v>115</v>
      </c>
      <c r="BB314" t="s">
        <v>114</v>
      </c>
      <c r="BC314" s="11">
        <v>46045</v>
      </c>
      <c r="BD314" t="s">
        <v>169</v>
      </c>
      <c r="BE314">
        <v>659114231</v>
      </c>
      <c r="BF314" s="39" t="s">
        <v>891</v>
      </c>
      <c r="BG314" t="s">
        <v>449</v>
      </c>
      <c r="BI314" s="11">
        <v>46050</v>
      </c>
      <c r="BJ314" t="str">
        <f t="shared" si="65"/>
        <v>S5_2026</v>
      </c>
      <c r="BK314" s="19" t="s">
        <v>117</v>
      </c>
      <c r="BL314" t="str">
        <f t="shared" si="58"/>
        <v>S4_2026</v>
      </c>
      <c r="BM314" t="s">
        <v>159</v>
      </c>
      <c r="BN314" s="11">
        <v>46050</v>
      </c>
      <c r="BO314" t="str">
        <f t="shared" si="67"/>
        <v>S5_2026</v>
      </c>
      <c r="BP314" t="s">
        <v>114</v>
      </c>
      <c r="BQ314" t="s">
        <v>450</v>
      </c>
      <c r="BR314" t="s">
        <v>451</v>
      </c>
      <c r="BS314" t="s">
        <v>132</v>
      </c>
      <c r="BT314" s="11">
        <v>46045</v>
      </c>
      <c r="BU314" s="11">
        <v>46048</v>
      </c>
      <c r="BV314" t="s">
        <v>450</v>
      </c>
      <c r="BW314" s="11">
        <v>46050</v>
      </c>
      <c r="BX314" s="11" t="s">
        <v>115</v>
      </c>
      <c r="BY314" s="11"/>
      <c r="BZ314" s="11"/>
      <c r="CB314" s="11"/>
      <c r="CC314" s="11"/>
      <c r="CD314" s="11"/>
      <c r="CE314" s="11"/>
      <c r="CG314" s="11"/>
      <c r="CI314" t="s">
        <v>119</v>
      </c>
      <c r="CO314" t="str">
        <f t="shared" si="59"/>
        <v>NEGATIFPAS INCLUS</v>
      </c>
      <c r="CP314" s="11">
        <v>46043</v>
      </c>
      <c r="CR314">
        <f t="shared" si="61"/>
        <v>3</v>
      </c>
      <c r="CS314">
        <f t="shared" si="62"/>
        <v>2</v>
      </c>
      <c r="CT314">
        <f t="shared" si="66"/>
        <v>25</v>
      </c>
      <c r="CU314" t="str">
        <f t="shared" si="63"/>
        <v/>
      </c>
      <c r="CV314" t="str">
        <f t="shared" si="64"/>
        <v/>
      </c>
      <c r="CX314" s="11">
        <v>46018</v>
      </c>
      <c r="CY314" t="str">
        <f t="shared" si="60"/>
        <v>S52_2025</v>
      </c>
      <c r="DB314" t="s">
        <v>114</v>
      </c>
      <c r="DC314" t="s">
        <v>160</v>
      </c>
    </row>
    <row r="315" spans="1:107" x14ac:dyDescent="0.35">
      <c r="A315" t="s">
        <v>1184</v>
      </c>
      <c r="B315" s="10" t="str">
        <f t="shared" si="56"/>
        <v>S5_2026</v>
      </c>
      <c r="C315" s="10" t="str">
        <f t="shared" si="57"/>
        <v>S1_2026</v>
      </c>
      <c r="D315" s="11">
        <v>46048</v>
      </c>
      <c r="E315" s="19" t="s">
        <v>106</v>
      </c>
      <c r="F315" s="24">
        <v>26</v>
      </c>
      <c r="G315" t="s">
        <v>162</v>
      </c>
      <c r="H315" t="s">
        <v>835</v>
      </c>
      <c r="J315" t="s">
        <v>132</v>
      </c>
      <c r="K315" s="12"/>
      <c r="L315" s="19" t="s">
        <v>111</v>
      </c>
      <c r="M315" s="19" t="s">
        <v>143</v>
      </c>
      <c r="N315" s="19" t="s">
        <v>394</v>
      </c>
      <c r="O315" t="s">
        <v>184</v>
      </c>
      <c r="P315" s="19" t="s">
        <v>1179</v>
      </c>
      <c r="Q315" s="19" t="s">
        <v>143</v>
      </c>
      <c r="R315" s="11">
        <v>46024</v>
      </c>
      <c r="S315" s="11">
        <v>46024</v>
      </c>
      <c r="T315" s="11">
        <v>46024</v>
      </c>
      <c r="AA315" t="s">
        <v>114</v>
      </c>
      <c r="AB315" t="s">
        <v>114</v>
      </c>
      <c r="AE315" t="s">
        <v>114</v>
      </c>
      <c r="AK315" t="s">
        <v>132</v>
      </c>
      <c r="AM315" t="s">
        <v>114</v>
      </c>
      <c r="AN315" t="s">
        <v>114</v>
      </c>
      <c r="AQ315" t="s">
        <v>132</v>
      </c>
      <c r="AR315" t="s">
        <v>1185</v>
      </c>
      <c r="AS315" s="11">
        <v>46048</v>
      </c>
      <c r="AU315" t="s">
        <v>114</v>
      </c>
      <c r="AV315" t="s">
        <v>115</v>
      </c>
      <c r="BB315" t="s">
        <v>114</v>
      </c>
      <c r="BC315" s="11">
        <v>46045</v>
      </c>
      <c r="BD315" t="s">
        <v>169</v>
      </c>
      <c r="BE315">
        <v>659114231</v>
      </c>
      <c r="BF315" s="39" t="s">
        <v>891</v>
      </c>
      <c r="BG315" t="s">
        <v>449</v>
      </c>
      <c r="BI315" s="11">
        <v>46050</v>
      </c>
      <c r="BJ315" t="str">
        <f t="shared" si="65"/>
        <v>S5_2026</v>
      </c>
      <c r="BK315" s="19" t="s">
        <v>117</v>
      </c>
      <c r="BL315" t="str">
        <f t="shared" si="58"/>
        <v>S4_2026</v>
      </c>
      <c r="BM315" t="s">
        <v>159</v>
      </c>
      <c r="BN315" s="11">
        <v>46050</v>
      </c>
      <c r="BO315" t="str">
        <f t="shared" si="67"/>
        <v>S5_2026</v>
      </c>
      <c r="BP315" t="s">
        <v>114</v>
      </c>
      <c r="BQ315" t="s">
        <v>450</v>
      </c>
      <c r="BR315" t="s">
        <v>451</v>
      </c>
      <c r="BS315" t="s">
        <v>132</v>
      </c>
      <c r="BT315" s="11">
        <v>46045</v>
      </c>
      <c r="BU315" s="11">
        <v>46048</v>
      </c>
      <c r="BV315" t="s">
        <v>450</v>
      </c>
      <c r="BW315" s="11">
        <v>46050</v>
      </c>
      <c r="BX315" s="11" t="s">
        <v>115</v>
      </c>
      <c r="BY315" s="11"/>
      <c r="BZ315" s="11"/>
      <c r="CB315" s="11"/>
      <c r="CC315" s="11"/>
      <c r="CD315" s="11"/>
      <c r="CE315" s="11"/>
      <c r="CG315" s="11"/>
      <c r="CI315" t="s">
        <v>119</v>
      </c>
      <c r="CO315" t="str">
        <f t="shared" si="59"/>
        <v>NEGATIFPAS INCLUS</v>
      </c>
      <c r="CP315" s="11">
        <v>46043</v>
      </c>
      <c r="CR315">
        <f t="shared" si="61"/>
        <v>3</v>
      </c>
      <c r="CS315">
        <f t="shared" si="62"/>
        <v>2</v>
      </c>
      <c r="CT315">
        <f t="shared" si="66"/>
        <v>19</v>
      </c>
      <c r="CU315" t="str">
        <f t="shared" si="63"/>
        <v/>
      </c>
      <c r="CV315" t="str">
        <f t="shared" si="64"/>
        <v/>
      </c>
      <c r="CX315" s="11">
        <v>46024</v>
      </c>
      <c r="CY315" t="str">
        <f t="shared" si="60"/>
        <v>S1_2026</v>
      </c>
      <c r="DB315" t="s">
        <v>114</v>
      </c>
      <c r="DC315" t="s">
        <v>160</v>
      </c>
    </row>
    <row r="316" spans="1:107" x14ac:dyDescent="0.35">
      <c r="A316" s="36" t="s">
        <v>1186</v>
      </c>
      <c r="B316" s="10" t="str">
        <f t="shared" si="56"/>
        <v>S5_2026</v>
      </c>
      <c r="C316" s="10" t="str">
        <f t="shared" si="57"/>
        <v>S4_2026</v>
      </c>
      <c r="D316" s="11">
        <v>46048</v>
      </c>
      <c r="E316" s="19" t="s">
        <v>123</v>
      </c>
      <c r="F316" s="24">
        <v>14</v>
      </c>
      <c r="G316" t="s">
        <v>107</v>
      </c>
      <c r="H316" t="s">
        <v>835</v>
      </c>
      <c r="J316" t="s">
        <v>114</v>
      </c>
      <c r="K316" s="14">
        <v>46045</v>
      </c>
      <c r="L316" s="19" t="s">
        <v>126</v>
      </c>
      <c r="M316" s="19" t="s">
        <v>127</v>
      </c>
      <c r="N316" s="19" t="s">
        <v>202</v>
      </c>
      <c r="O316" s="19" t="s">
        <v>953</v>
      </c>
      <c r="P316" s="19" t="s">
        <v>1187</v>
      </c>
      <c r="Q316" s="19" t="s">
        <v>155</v>
      </c>
      <c r="R316" s="11">
        <v>46044</v>
      </c>
      <c r="S316" s="11">
        <v>46044</v>
      </c>
      <c r="T316" s="11">
        <v>46044</v>
      </c>
      <c r="V316" t="s">
        <v>114</v>
      </c>
      <c r="W316" t="s">
        <v>114</v>
      </c>
      <c r="X316" t="s">
        <v>114</v>
      </c>
      <c r="Y316" t="s">
        <v>114</v>
      </c>
      <c r="Z316" t="s">
        <v>114</v>
      </c>
      <c r="AA316" t="s">
        <v>114</v>
      </c>
      <c r="AB316" t="s">
        <v>114</v>
      </c>
      <c r="AE316" t="s">
        <v>114</v>
      </c>
      <c r="AK316" t="s">
        <v>114</v>
      </c>
      <c r="AM316" t="s">
        <v>114</v>
      </c>
      <c r="AN316" t="s">
        <v>142</v>
      </c>
      <c r="AQ316" t="s">
        <v>132</v>
      </c>
      <c r="AR316" t="s">
        <v>1188</v>
      </c>
      <c r="AS316" s="11">
        <v>46050</v>
      </c>
      <c r="AU316" t="s">
        <v>114</v>
      </c>
      <c r="AV316" t="s">
        <v>134</v>
      </c>
      <c r="AW316" t="s">
        <v>152</v>
      </c>
      <c r="AY316" t="s">
        <v>135</v>
      </c>
      <c r="BB316" t="s">
        <v>114</v>
      </c>
      <c r="BC316" s="11">
        <v>46048</v>
      </c>
      <c r="BF316" t="s">
        <v>1189</v>
      </c>
      <c r="BG316" t="s">
        <v>114</v>
      </c>
      <c r="BI316" s="11">
        <v>46052</v>
      </c>
      <c r="BJ316" t="str">
        <f t="shared" si="65"/>
        <v>S5_2026</v>
      </c>
      <c r="BK316" s="19" t="s">
        <v>137</v>
      </c>
      <c r="BL316" t="str">
        <f t="shared" si="58"/>
        <v>S5_2026</v>
      </c>
      <c r="BM316" t="s">
        <v>159</v>
      </c>
      <c r="BN316" s="11">
        <v>46052</v>
      </c>
      <c r="BO316" t="str">
        <f t="shared" si="67"/>
        <v>S5_2026</v>
      </c>
      <c r="BP316" t="s">
        <v>114</v>
      </c>
      <c r="BQ316" t="s">
        <v>118</v>
      </c>
      <c r="BR316" t="s">
        <v>451</v>
      </c>
      <c r="BS316" t="s">
        <v>132</v>
      </c>
      <c r="CI316" t="s">
        <v>119</v>
      </c>
      <c r="CJ316" t="s">
        <v>466</v>
      </c>
      <c r="CK316" t="s">
        <v>138</v>
      </c>
      <c r="CO316" t="str">
        <f t="shared" si="59"/>
        <v>POSITIFPAS INCLUS</v>
      </c>
      <c r="CP316" s="11">
        <v>46048</v>
      </c>
      <c r="CQ316" t="s">
        <v>114</v>
      </c>
      <c r="CR316">
        <f t="shared" si="61"/>
        <v>2</v>
      </c>
      <c r="CS316">
        <f t="shared" si="62"/>
        <v>2</v>
      </c>
      <c r="CT316">
        <f t="shared" si="66"/>
        <v>4</v>
      </c>
      <c r="CU316">
        <f t="shared" si="63"/>
        <v>3</v>
      </c>
      <c r="CV316">
        <f t="shared" si="64"/>
        <v>8</v>
      </c>
      <c r="CX316" s="11">
        <v>46044</v>
      </c>
      <c r="CY316" t="str">
        <f t="shared" si="60"/>
        <v>S4_2026</v>
      </c>
      <c r="DC316" t="s">
        <v>139</v>
      </c>
    </row>
    <row r="317" spans="1:107" x14ac:dyDescent="0.35">
      <c r="A317" s="36" t="s">
        <v>1190</v>
      </c>
      <c r="B317" s="10" t="str">
        <f t="shared" si="56"/>
        <v>S5_2026</v>
      </c>
      <c r="C317" s="10" t="str">
        <f t="shared" si="57"/>
        <v>S4_2026</v>
      </c>
      <c r="D317" s="11">
        <v>46048</v>
      </c>
      <c r="E317" s="19" t="s">
        <v>123</v>
      </c>
      <c r="F317" s="24">
        <v>35</v>
      </c>
      <c r="G317" t="s">
        <v>952</v>
      </c>
      <c r="H317" t="s">
        <v>835</v>
      </c>
      <c r="J317" t="s">
        <v>114</v>
      </c>
      <c r="K317" s="14">
        <v>46046</v>
      </c>
      <c r="L317" s="19" t="s">
        <v>126</v>
      </c>
      <c r="M317" s="19" t="s">
        <v>127</v>
      </c>
      <c r="N317" s="19" t="s">
        <v>202</v>
      </c>
      <c r="O317" s="19" t="s">
        <v>953</v>
      </c>
      <c r="P317" s="19" t="s">
        <v>1191</v>
      </c>
      <c r="Q317" s="19" t="s">
        <v>1084</v>
      </c>
      <c r="R317" s="11">
        <v>46046</v>
      </c>
      <c r="S317" s="11">
        <v>46046</v>
      </c>
      <c r="T317" s="11">
        <v>46046</v>
      </c>
      <c r="W317" t="s">
        <v>114</v>
      </c>
      <c r="X317" t="s">
        <v>114</v>
      </c>
      <c r="AA317" t="s">
        <v>114</v>
      </c>
      <c r="AC317" t="s">
        <v>1192</v>
      </c>
      <c r="AE317" t="s">
        <v>114</v>
      </c>
      <c r="AK317" t="s">
        <v>114</v>
      </c>
      <c r="AM317" t="s">
        <v>132</v>
      </c>
      <c r="AN317" t="s">
        <v>132</v>
      </c>
      <c r="AQ317" t="s">
        <v>132</v>
      </c>
      <c r="AR317" t="s">
        <v>1193</v>
      </c>
      <c r="AS317" s="11">
        <v>46050</v>
      </c>
      <c r="AU317" t="s">
        <v>114</v>
      </c>
      <c r="AV317" t="s">
        <v>134</v>
      </c>
      <c r="AW317" t="s">
        <v>152</v>
      </c>
      <c r="AY317" t="s">
        <v>135</v>
      </c>
      <c r="BB317" t="s">
        <v>114</v>
      </c>
      <c r="BC317" s="11">
        <v>46048</v>
      </c>
      <c r="BD317" t="s">
        <v>1194</v>
      </c>
      <c r="BF317" t="s">
        <v>1195</v>
      </c>
      <c r="BG317" t="s">
        <v>132</v>
      </c>
      <c r="BI317" s="11">
        <v>46052</v>
      </c>
      <c r="BJ317" t="str">
        <f t="shared" si="65"/>
        <v>S5_2026</v>
      </c>
      <c r="BK317" s="19" t="s">
        <v>137</v>
      </c>
      <c r="BL317" t="str">
        <f t="shared" si="58"/>
        <v>S5_2026</v>
      </c>
      <c r="BM317" t="s">
        <v>159</v>
      </c>
      <c r="BN317" s="11">
        <v>46052</v>
      </c>
      <c r="BO317" t="str">
        <f t="shared" si="67"/>
        <v>S5_2026</v>
      </c>
      <c r="BP317" t="s">
        <v>114</v>
      </c>
      <c r="BQ317" t="s">
        <v>118</v>
      </c>
      <c r="BR317" t="s">
        <v>114</v>
      </c>
      <c r="BS317" t="s">
        <v>132</v>
      </c>
      <c r="CI317" t="s">
        <v>119</v>
      </c>
      <c r="CK317" t="s">
        <v>138</v>
      </c>
      <c r="CO317" t="str">
        <f t="shared" si="59"/>
        <v>POSITIFPAS INCLUS</v>
      </c>
      <c r="CP317" s="11">
        <v>46048</v>
      </c>
      <c r="CQ317" t="s">
        <v>132</v>
      </c>
      <c r="CR317">
        <f t="shared" si="61"/>
        <v>2</v>
      </c>
      <c r="CS317">
        <f t="shared" si="62"/>
        <v>2</v>
      </c>
      <c r="CT317">
        <f t="shared" si="66"/>
        <v>2</v>
      </c>
      <c r="CU317">
        <f t="shared" si="63"/>
        <v>2</v>
      </c>
      <c r="CV317">
        <f t="shared" si="64"/>
        <v>6</v>
      </c>
      <c r="CW317" t="s">
        <v>114</v>
      </c>
      <c r="CX317" s="11">
        <v>46046</v>
      </c>
      <c r="CY317" t="str">
        <f t="shared" si="60"/>
        <v>S4_2026</v>
      </c>
      <c r="DC317" t="s">
        <v>139</v>
      </c>
    </row>
    <row r="318" spans="1:107" x14ac:dyDescent="0.35">
      <c r="A318" s="36" t="s">
        <v>1196</v>
      </c>
      <c r="B318" s="10" t="str">
        <f t="shared" si="56"/>
        <v>S5_2026</v>
      </c>
      <c r="C318" s="10" t="str">
        <f t="shared" si="57"/>
        <v>S3_2026</v>
      </c>
      <c r="D318" s="37">
        <v>46049</v>
      </c>
      <c r="E318" s="36" t="s">
        <v>106</v>
      </c>
      <c r="F318" s="68">
        <v>23</v>
      </c>
      <c r="G318" s="36" t="s">
        <v>1197</v>
      </c>
      <c r="H318" s="36" t="s">
        <v>835</v>
      </c>
      <c r="I318" s="36"/>
      <c r="J318" s="36" t="s">
        <v>114</v>
      </c>
      <c r="K318" s="35">
        <v>46048</v>
      </c>
      <c r="L318" s="36" t="s">
        <v>126</v>
      </c>
      <c r="M318" s="36" t="s">
        <v>977</v>
      </c>
      <c r="N318" s="36" t="s">
        <v>978</v>
      </c>
      <c r="O318" s="36"/>
      <c r="P318" s="36" t="s">
        <v>1198</v>
      </c>
      <c r="Q318" s="36" t="s">
        <v>541</v>
      </c>
      <c r="R318" s="37">
        <v>46037</v>
      </c>
      <c r="S318" s="37">
        <v>46037</v>
      </c>
      <c r="T318" s="37">
        <v>46039</v>
      </c>
      <c r="U318" s="36"/>
      <c r="V318" s="36"/>
      <c r="W318" s="36"/>
      <c r="X318" s="36" t="s">
        <v>114</v>
      </c>
      <c r="Y318" s="36" t="s">
        <v>114</v>
      </c>
      <c r="Z318" s="36"/>
      <c r="AA318" s="36"/>
      <c r="AB318" s="36" t="s">
        <v>114</v>
      </c>
      <c r="AC318" s="36" t="s">
        <v>1199</v>
      </c>
      <c r="AD318" s="36"/>
      <c r="AE318" s="36" t="s">
        <v>114</v>
      </c>
      <c r="AF318" s="36"/>
      <c r="AG318" s="36"/>
      <c r="AH318" s="36"/>
      <c r="AI318" s="36"/>
      <c r="AJ318" s="36"/>
      <c r="AK318" s="36" t="s">
        <v>114</v>
      </c>
      <c r="AL318" s="36"/>
      <c r="AM318" s="36" t="s">
        <v>132</v>
      </c>
      <c r="AN318" s="36" t="s">
        <v>132</v>
      </c>
      <c r="AO318" s="36"/>
      <c r="AP318" s="36"/>
      <c r="AQ318" s="36" t="s">
        <v>132</v>
      </c>
      <c r="AR318" t="s">
        <v>1200</v>
      </c>
      <c r="AS318" s="37">
        <v>46051</v>
      </c>
      <c r="AT318" s="36"/>
      <c r="AU318" s="36" t="s">
        <v>114</v>
      </c>
      <c r="AV318" t="s">
        <v>134</v>
      </c>
      <c r="AW318" t="s">
        <v>152</v>
      </c>
      <c r="AX318" s="36"/>
      <c r="AY318" t="s">
        <v>463</v>
      </c>
      <c r="AZ318" s="36"/>
      <c r="BA318" s="38"/>
      <c r="BB318" s="36" t="s">
        <v>114</v>
      </c>
      <c r="BC318" s="37">
        <v>46049</v>
      </c>
      <c r="BD318" s="36" t="s">
        <v>169</v>
      </c>
      <c r="BE318" s="36"/>
      <c r="BF318" s="39" t="s">
        <v>1201</v>
      </c>
      <c r="BG318" t="s">
        <v>449</v>
      </c>
      <c r="BH318" s="36"/>
      <c r="BI318" s="37">
        <v>46052</v>
      </c>
      <c r="BJ318" t="str">
        <f t="shared" si="65"/>
        <v>S5_2026</v>
      </c>
      <c r="BK318" s="36" t="s">
        <v>137</v>
      </c>
      <c r="BL318" t="str">
        <f t="shared" si="58"/>
        <v>S5_2026</v>
      </c>
      <c r="BM318" s="36" t="s">
        <v>159</v>
      </c>
      <c r="BN318" s="37">
        <v>46052</v>
      </c>
      <c r="BO318" t="str">
        <f t="shared" si="67"/>
        <v>S5_2026</v>
      </c>
      <c r="BP318" t="s">
        <v>114</v>
      </c>
      <c r="BQ318" s="36" t="s">
        <v>450</v>
      </c>
      <c r="BR318" s="36" t="s">
        <v>451</v>
      </c>
      <c r="BS318" t="s">
        <v>132</v>
      </c>
      <c r="CI318" t="s">
        <v>119</v>
      </c>
      <c r="CJ318" t="s">
        <v>466</v>
      </c>
      <c r="CK318" t="s">
        <v>138</v>
      </c>
      <c r="CO318" t="str">
        <f t="shared" si="59"/>
        <v>POSITIFPAS INCLUS</v>
      </c>
      <c r="CP318" s="11">
        <v>46048</v>
      </c>
      <c r="CR318">
        <f t="shared" si="61"/>
        <v>2</v>
      </c>
      <c r="CS318">
        <f t="shared" si="62"/>
        <v>1</v>
      </c>
      <c r="CT318">
        <f t="shared" si="66"/>
        <v>11</v>
      </c>
      <c r="CU318">
        <f t="shared" si="63"/>
        <v>0</v>
      </c>
      <c r="CV318">
        <f t="shared" si="64"/>
        <v>15</v>
      </c>
      <c r="CX318" s="37">
        <v>46037</v>
      </c>
      <c r="CY318" t="str">
        <f t="shared" si="60"/>
        <v>S3_2026</v>
      </c>
      <c r="DC318" t="s">
        <v>139</v>
      </c>
    </row>
    <row r="319" spans="1:107" x14ac:dyDescent="0.35">
      <c r="A319" s="36" t="s">
        <v>1202</v>
      </c>
      <c r="B319" s="10" t="str">
        <f t="shared" si="56"/>
        <v>S5_2026</v>
      </c>
      <c r="C319" s="10" t="str">
        <f t="shared" si="57"/>
        <v>S4_2026</v>
      </c>
      <c r="D319" s="11">
        <v>46049</v>
      </c>
      <c r="E319" s="19" t="s">
        <v>123</v>
      </c>
      <c r="F319" s="24">
        <v>24</v>
      </c>
      <c r="G319" s="16" t="s">
        <v>429</v>
      </c>
      <c r="H319" t="s">
        <v>108</v>
      </c>
      <c r="J319" t="s">
        <v>132</v>
      </c>
      <c r="K319" s="12"/>
      <c r="L319" s="19" t="s">
        <v>126</v>
      </c>
      <c r="M319" s="19" t="s">
        <v>1203</v>
      </c>
      <c r="N319" s="19" t="s">
        <v>1204</v>
      </c>
      <c r="O319" t="s">
        <v>184</v>
      </c>
      <c r="P319" s="19" t="s">
        <v>1205</v>
      </c>
      <c r="Q319" s="19" t="s">
        <v>1203</v>
      </c>
      <c r="R319" s="11">
        <v>46045</v>
      </c>
      <c r="S319" s="11">
        <v>46045</v>
      </c>
      <c r="T319" s="11">
        <v>46045</v>
      </c>
      <c r="V319" t="s">
        <v>114</v>
      </c>
      <c r="AE319" t="s">
        <v>114</v>
      </c>
      <c r="AF319" t="s">
        <v>114</v>
      </c>
      <c r="AK319" t="s">
        <v>132</v>
      </c>
      <c r="AM319" t="s">
        <v>132</v>
      </c>
      <c r="AN319" t="s">
        <v>114</v>
      </c>
      <c r="AQ319" t="s">
        <v>132</v>
      </c>
      <c r="AR319" t="s">
        <v>1206</v>
      </c>
      <c r="AS319" s="11">
        <v>46051</v>
      </c>
      <c r="AU319" t="s">
        <v>114</v>
      </c>
      <c r="AV319" t="s">
        <v>115</v>
      </c>
      <c r="BB319" t="s">
        <v>114</v>
      </c>
      <c r="BC319" s="11">
        <v>46050</v>
      </c>
      <c r="BD319" t="s">
        <v>512</v>
      </c>
      <c r="BF319" s="39" t="s">
        <v>1207</v>
      </c>
      <c r="BG319" t="s">
        <v>449</v>
      </c>
      <c r="BI319" s="11">
        <v>46051</v>
      </c>
      <c r="BJ319" t="str">
        <f t="shared" si="65"/>
        <v>S5_2026</v>
      </c>
      <c r="BK319" s="19" t="s">
        <v>137</v>
      </c>
      <c r="BL319" t="str">
        <f t="shared" si="58"/>
        <v>S5_2026</v>
      </c>
      <c r="BM319" t="s">
        <v>159</v>
      </c>
      <c r="BN319" s="11">
        <v>46051</v>
      </c>
      <c r="BO319" t="str">
        <f t="shared" si="67"/>
        <v>S5_2026</v>
      </c>
      <c r="BP319" t="s">
        <v>114</v>
      </c>
      <c r="BQ319" t="s">
        <v>450</v>
      </c>
      <c r="BR319" t="s">
        <v>451</v>
      </c>
      <c r="BS319" t="s">
        <v>132</v>
      </c>
      <c r="CI319" t="s">
        <v>119</v>
      </c>
      <c r="CO319" t="str">
        <f t="shared" si="59"/>
        <v>NEGATIFPAS INCLUS</v>
      </c>
      <c r="CP319" s="11">
        <v>46049</v>
      </c>
      <c r="CR319">
        <f t="shared" si="61"/>
        <v>1</v>
      </c>
      <c r="CS319">
        <f t="shared" si="62"/>
        <v>0</v>
      </c>
      <c r="CT319">
        <f t="shared" si="66"/>
        <v>4</v>
      </c>
      <c r="CU319" t="str">
        <f t="shared" si="63"/>
        <v/>
      </c>
      <c r="CV319" t="str">
        <f t="shared" si="64"/>
        <v/>
      </c>
      <c r="CX319" s="11">
        <v>46045</v>
      </c>
      <c r="CY319" t="str">
        <f t="shared" si="60"/>
        <v>S4_2026</v>
      </c>
      <c r="DC319" t="s">
        <v>120</v>
      </c>
    </row>
    <row r="320" spans="1:107" x14ac:dyDescent="0.35">
      <c r="A320" s="36" t="s">
        <v>1208</v>
      </c>
      <c r="B320" s="10" t="str">
        <f t="shared" si="56"/>
        <v>S5_2026</v>
      </c>
      <c r="C320" s="10" t="str">
        <f t="shared" si="57"/>
        <v>S4_2026</v>
      </c>
      <c r="D320" s="11">
        <v>46049</v>
      </c>
      <c r="E320" s="19" t="s">
        <v>123</v>
      </c>
      <c r="F320" s="24">
        <v>18</v>
      </c>
      <c r="G320" s="16" t="s">
        <v>429</v>
      </c>
      <c r="H320" t="s">
        <v>108</v>
      </c>
      <c r="J320" t="s">
        <v>132</v>
      </c>
      <c r="K320" s="12"/>
      <c r="L320" s="19" t="s">
        <v>126</v>
      </c>
      <c r="M320" s="19" t="s">
        <v>1203</v>
      </c>
      <c r="N320" s="19" t="s">
        <v>1204</v>
      </c>
      <c r="O320" t="s">
        <v>184</v>
      </c>
      <c r="P320" s="19" t="s">
        <v>1205</v>
      </c>
      <c r="Q320" s="19" t="s">
        <v>1203</v>
      </c>
      <c r="R320" s="11">
        <v>46044</v>
      </c>
      <c r="S320" s="11">
        <v>46044</v>
      </c>
      <c r="T320" s="11">
        <v>46044</v>
      </c>
      <c r="AB320" t="s">
        <v>114</v>
      </c>
      <c r="AC320" t="s">
        <v>1209</v>
      </c>
      <c r="AE320" t="s">
        <v>114</v>
      </c>
      <c r="AK320" t="s">
        <v>132</v>
      </c>
      <c r="AM320" t="s">
        <v>132</v>
      </c>
      <c r="AN320" t="s">
        <v>114</v>
      </c>
      <c r="AQ320" t="s">
        <v>132</v>
      </c>
      <c r="AR320" t="s">
        <v>1210</v>
      </c>
      <c r="AS320" s="11">
        <v>46051</v>
      </c>
      <c r="AU320" t="s">
        <v>114</v>
      </c>
      <c r="AV320" t="s">
        <v>115</v>
      </c>
      <c r="BB320" t="s">
        <v>114</v>
      </c>
      <c r="BC320" s="11">
        <v>46050</v>
      </c>
      <c r="BD320" t="s">
        <v>512</v>
      </c>
      <c r="BF320" s="39" t="s">
        <v>1207</v>
      </c>
      <c r="BG320" t="s">
        <v>449</v>
      </c>
      <c r="BI320" s="11">
        <v>46051</v>
      </c>
      <c r="BJ320" t="str">
        <f t="shared" si="65"/>
        <v>S5_2026</v>
      </c>
      <c r="BK320" s="19" t="s">
        <v>137</v>
      </c>
      <c r="BL320" t="str">
        <f t="shared" si="58"/>
        <v>S5_2026</v>
      </c>
      <c r="BM320" t="s">
        <v>159</v>
      </c>
      <c r="BN320" s="11">
        <v>46051</v>
      </c>
      <c r="BO320" t="str">
        <f t="shared" si="67"/>
        <v>S5_2026</v>
      </c>
      <c r="BP320" t="s">
        <v>114</v>
      </c>
      <c r="BQ320" t="s">
        <v>450</v>
      </c>
      <c r="BR320" t="s">
        <v>451</v>
      </c>
      <c r="BS320" t="s">
        <v>132</v>
      </c>
      <c r="CI320" t="s">
        <v>119</v>
      </c>
      <c r="CO320" t="str">
        <f t="shared" si="59"/>
        <v>NEGATIFPAS INCLUS</v>
      </c>
      <c r="CP320" s="11">
        <v>46049</v>
      </c>
      <c r="CR320">
        <f t="shared" si="61"/>
        <v>1</v>
      </c>
      <c r="CS320">
        <f t="shared" si="62"/>
        <v>0</v>
      </c>
      <c r="CT320">
        <f t="shared" si="66"/>
        <v>5</v>
      </c>
      <c r="CU320" t="str">
        <f t="shared" si="63"/>
        <v/>
      </c>
      <c r="CV320" t="str">
        <f t="shared" si="64"/>
        <v/>
      </c>
      <c r="CX320" s="11">
        <v>46044</v>
      </c>
      <c r="CY320" t="str">
        <f t="shared" si="60"/>
        <v>S4_2026</v>
      </c>
      <c r="DC320" t="s">
        <v>120</v>
      </c>
    </row>
    <row r="321" spans="1:107" x14ac:dyDescent="0.35">
      <c r="A321" t="s">
        <v>1211</v>
      </c>
      <c r="B321" s="10" t="str">
        <f t="shared" ref="B321:B344" si="68">IFERROR("S"&amp;(IF(_xlfn.ISOWEEKNUM(D321)&gt;0,_xlfn.ISOWEEKNUM(D321),_xlfn.CONCAT("0",_xlfn.ISOWEEKNUM(D321))))&amp;"_"&amp;(YEAR(D321+26-(_xlfn.ISOWEEKNUM(D321)))),"")</f>
        <v>S5_2026</v>
      </c>
      <c r="C321" s="10" t="str">
        <f t="shared" ref="C321:C384" si="69">IFERROR("S"&amp;(IF(_xlfn.ISOWEEKNUM(R321)&gt;0,_xlfn.ISOWEEKNUM(R321),_xlfn.CONCAT("0",_xlfn.ISOWEEKNUM(R321))))&amp;"_"&amp;(YEAR(R321+26-(_xlfn.ISOWEEKNUM(R321)))),"")</f>
        <v>S4_2026</v>
      </c>
      <c r="D321" s="11">
        <v>46050</v>
      </c>
      <c r="E321" s="19" t="s">
        <v>106</v>
      </c>
      <c r="F321" s="24">
        <v>14</v>
      </c>
      <c r="G321" t="s">
        <v>107</v>
      </c>
      <c r="H321" t="s">
        <v>108</v>
      </c>
      <c r="J321" t="s">
        <v>132</v>
      </c>
      <c r="K321" s="12"/>
      <c r="L321" s="19" t="s">
        <v>111</v>
      </c>
      <c r="M321" s="19" t="s">
        <v>308</v>
      </c>
      <c r="N321" s="19" t="s">
        <v>309</v>
      </c>
      <c r="O321" t="s">
        <v>184</v>
      </c>
      <c r="P321" s="19" t="s">
        <v>332</v>
      </c>
      <c r="Q321" s="19" t="s">
        <v>312</v>
      </c>
      <c r="R321" s="11">
        <v>46044</v>
      </c>
      <c r="S321" s="11">
        <v>46044</v>
      </c>
      <c r="T321" s="11">
        <v>46044</v>
      </c>
      <c r="V321" t="s">
        <v>114</v>
      </c>
      <c r="AE321" t="s">
        <v>114</v>
      </c>
      <c r="AK321" t="s">
        <v>132</v>
      </c>
      <c r="AM321" t="s">
        <v>114</v>
      </c>
      <c r="AQ321" t="s">
        <v>132</v>
      </c>
      <c r="AR321" t="s">
        <v>1212</v>
      </c>
      <c r="AS321" s="11">
        <v>46050</v>
      </c>
      <c r="AU321" t="s">
        <v>114</v>
      </c>
      <c r="AV321" t="s">
        <v>115</v>
      </c>
      <c r="BB321" t="s">
        <v>114</v>
      </c>
      <c r="BC321" s="11">
        <v>46050</v>
      </c>
      <c r="BD321" t="s">
        <v>1213</v>
      </c>
      <c r="BE321">
        <v>677989762</v>
      </c>
      <c r="BF321" t="s">
        <v>309</v>
      </c>
      <c r="BG321" t="s">
        <v>449</v>
      </c>
      <c r="BI321" s="11">
        <v>46051</v>
      </c>
      <c r="BJ321" t="str">
        <f t="shared" si="65"/>
        <v>S5_2026</v>
      </c>
      <c r="BK321" s="19" t="s">
        <v>117</v>
      </c>
      <c r="BL321" t="str">
        <f t="shared" ref="BL321:BL353" si="70">IFERROR("S"&amp;(IF(_xlfn.ISOWEEKNUM(BC321)&gt;0,_xlfn.ISOWEEKNUM(BC321),_xlfn.CONCAT("0",_xlfn.ISOWEEKNUM(BC321))))&amp;"_"&amp;(YEAR(BC321+26-(_xlfn.ISOWEEKNUM(BC321)))),"")</f>
        <v>S5_2026</v>
      </c>
      <c r="BM321" t="s">
        <v>159</v>
      </c>
      <c r="BN321" s="11">
        <v>46051</v>
      </c>
      <c r="BO321" t="str">
        <f t="shared" si="67"/>
        <v>S5_2026</v>
      </c>
      <c r="BP321" t="s">
        <v>114</v>
      </c>
      <c r="BQ321" t="s">
        <v>450</v>
      </c>
      <c r="BR321" t="s">
        <v>451</v>
      </c>
      <c r="BS321" t="s">
        <v>132</v>
      </c>
      <c r="CI321" t="s">
        <v>119</v>
      </c>
      <c r="CO321" t="str">
        <f t="shared" si="59"/>
        <v>NEGATIFPAS INCLUS</v>
      </c>
      <c r="CP321" s="11">
        <v>46050</v>
      </c>
      <c r="CR321">
        <f t="shared" si="61"/>
        <v>0</v>
      </c>
      <c r="CS321">
        <f t="shared" si="62"/>
        <v>1</v>
      </c>
      <c r="CT321">
        <f t="shared" si="66"/>
        <v>6</v>
      </c>
      <c r="CU321" t="str">
        <f t="shared" si="63"/>
        <v/>
      </c>
      <c r="CV321" t="str">
        <f t="shared" si="64"/>
        <v/>
      </c>
      <c r="CX321" s="11">
        <v>46044</v>
      </c>
      <c r="CY321" t="str">
        <f t="shared" si="60"/>
        <v>S4_2026</v>
      </c>
      <c r="DC321" t="s">
        <v>120</v>
      </c>
    </row>
    <row r="322" spans="1:107" x14ac:dyDescent="0.35">
      <c r="A322" s="36" t="s">
        <v>1214</v>
      </c>
      <c r="B322" s="10" t="str">
        <f t="shared" si="68"/>
        <v>S5_2026</v>
      </c>
      <c r="C322" s="10" t="str">
        <f t="shared" si="69"/>
        <v>S4_2026</v>
      </c>
      <c r="D322" s="11">
        <v>46050</v>
      </c>
      <c r="E322" s="19" t="s">
        <v>106</v>
      </c>
      <c r="F322" s="24">
        <v>63</v>
      </c>
      <c r="G322" t="s">
        <v>1215</v>
      </c>
      <c r="H322" t="s">
        <v>108</v>
      </c>
      <c r="J322" t="s">
        <v>132</v>
      </c>
      <c r="K322" s="12"/>
      <c r="L322" s="19" t="s">
        <v>126</v>
      </c>
      <c r="M322" s="19" t="s">
        <v>146</v>
      </c>
      <c r="N322" s="19" t="s">
        <v>147</v>
      </c>
      <c r="O322" t="s">
        <v>184</v>
      </c>
      <c r="P322" s="19" t="s">
        <v>1216</v>
      </c>
      <c r="Q322" s="19" t="s">
        <v>146</v>
      </c>
      <c r="R322" s="11">
        <v>46045</v>
      </c>
      <c r="S322" s="11"/>
      <c r="T322" s="11">
        <v>46045</v>
      </c>
      <c r="AC322" t="s">
        <v>935</v>
      </c>
      <c r="AG322" t="s">
        <v>114</v>
      </c>
      <c r="AK322" t="s">
        <v>114</v>
      </c>
      <c r="AM322" t="s">
        <v>132</v>
      </c>
      <c r="AN322" t="s">
        <v>114</v>
      </c>
      <c r="AQ322" t="s">
        <v>132</v>
      </c>
      <c r="AR322" t="s">
        <v>1217</v>
      </c>
      <c r="AS322" s="11">
        <v>46051</v>
      </c>
      <c r="AU322" t="s">
        <v>114</v>
      </c>
      <c r="AV322" t="s">
        <v>115</v>
      </c>
      <c r="BB322" t="s">
        <v>114</v>
      </c>
      <c r="BC322" s="11">
        <v>46050</v>
      </c>
      <c r="BD322" t="s">
        <v>116</v>
      </c>
      <c r="BF322" t="s">
        <v>147</v>
      </c>
      <c r="BG322" t="s">
        <v>449</v>
      </c>
      <c r="BI322" s="11">
        <v>46051</v>
      </c>
      <c r="BJ322" t="str">
        <f t="shared" si="65"/>
        <v>S5_2026</v>
      </c>
      <c r="BK322" s="19" t="s">
        <v>137</v>
      </c>
      <c r="BL322" t="str">
        <f t="shared" si="70"/>
        <v>S5_2026</v>
      </c>
      <c r="BM322" t="s">
        <v>159</v>
      </c>
      <c r="BN322" s="11">
        <v>46051</v>
      </c>
      <c r="BO322" t="str">
        <f t="shared" si="67"/>
        <v>S5_2026</v>
      </c>
      <c r="BP322" t="s">
        <v>114</v>
      </c>
      <c r="BQ322" t="s">
        <v>450</v>
      </c>
      <c r="BR322" t="s">
        <v>451</v>
      </c>
      <c r="BS322" t="s">
        <v>132</v>
      </c>
      <c r="CI322" t="s">
        <v>119</v>
      </c>
      <c r="CO322" t="str">
        <f t="shared" si="59"/>
        <v>NEGATIFPAS INCLUS</v>
      </c>
      <c r="CP322" s="11">
        <v>46050</v>
      </c>
      <c r="CR322">
        <f t="shared" si="61"/>
        <v>1</v>
      </c>
      <c r="CS322">
        <f t="shared" si="62"/>
        <v>0</v>
      </c>
      <c r="CT322">
        <f t="shared" si="66"/>
        <v>5</v>
      </c>
      <c r="CU322" t="str">
        <f t="shared" si="63"/>
        <v/>
      </c>
      <c r="CV322" t="str">
        <f t="shared" si="64"/>
        <v/>
      </c>
      <c r="CX322" s="11">
        <v>46045</v>
      </c>
      <c r="CY322" t="str">
        <f t="shared" ref="CY322:CY390" si="71">IFERROR("S"&amp;(IF(_xlfn.ISOWEEKNUM(CX322)&gt;0,_xlfn.ISOWEEKNUM(CX322),_xlfn.CONCAT("0",_xlfn.ISOWEEKNUM(CX322))))&amp;"_"&amp;(YEAR(CX322+26-(_xlfn.ISOWEEKNUM(CX322)))),"")</f>
        <v>S4_2026</v>
      </c>
      <c r="DC322" t="s">
        <v>120</v>
      </c>
    </row>
    <row r="323" spans="1:107" x14ac:dyDescent="0.35">
      <c r="A323" t="s">
        <v>1218</v>
      </c>
      <c r="B323" s="10" t="str">
        <f t="shared" si="68"/>
        <v>S5_2026</v>
      </c>
      <c r="C323" s="10" t="str">
        <f t="shared" si="69"/>
        <v>S5_2026</v>
      </c>
      <c r="D323" s="11">
        <v>46051</v>
      </c>
      <c r="E323" s="19" t="s">
        <v>123</v>
      </c>
      <c r="F323" s="24">
        <v>3</v>
      </c>
      <c r="G323" t="s">
        <v>107</v>
      </c>
      <c r="H323" t="s">
        <v>108</v>
      </c>
      <c r="J323" t="s">
        <v>114</v>
      </c>
      <c r="K323" s="14">
        <v>46050</v>
      </c>
      <c r="L323" t="s">
        <v>722</v>
      </c>
      <c r="M323" t="s">
        <v>619</v>
      </c>
      <c r="N323" s="19" t="s">
        <v>1219</v>
      </c>
      <c r="P323" t="s">
        <v>110</v>
      </c>
      <c r="Q323" t="s">
        <v>619</v>
      </c>
      <c r="R323" s="11">
        <v>46049</v>
      </c>
      <c r="S323" s="11">
        <v>46050</v>
      </c>
      <c r="T323" s="11">
        <v>46049</v>
      </c>
      <c r="V323" t="s">
        <v>114</v>
      </c>
      <c r="AE323" t="s">
        <v>114</v>
      </c>
      <c r="AK323" t="s">
        <v>132</v>
      </c>
      <c r="AM323" t="s">
        <v>132</v>
      </c>
      <c r="AN323" t="s">
        <v>132</v>
      </c>
      <c r="AQ323" t="s">
        <v>132</v>
      </c>
      <c r="AR323" t="s">
        <v>1220</v>
      </c>
      <c r="AS323" s="11">
        <v>46056</v>
      </c>
      <c r="AU323" t="s">
        <v>114</v>
      </c>
      <c r="AV323" t="s">
        <v>115</v>
      </c>
      <c r="BB323" t="s">
        <v>114</v>
      </c>
      <c r="BC323" s="11">
        <v>46052</v>
      </c>
      <c r="BD323" t="s">
        <v>1221</v>
      </c>
      <c r="BF323" s="39" t="s">
        <v>1222</v>
      </c>
      <c r="BG323" t="s">
        <v>449</v>
      </c>
      <c r="BI323" s="11">
        <v>46060</v>
      </c>
      <c r="BJ323" t="str">
        <f t="shared" si="65"/>
        <v>S6_2026</v>
      </c>
      <c r="BK323" t="s">
        <v>187</v>
      </c>
      <c r="BL323" t="str">
        <f t="shared" si="70"/>
        <v>S5_2026</v>
      </c>
      <c r="BM323" t="s">
        <v>159</v>
      </c>
      <c r="BN323" s="11">
        <v>46060</v>
      </c>
      <c r="BO323" t="str">
        <f t="shared" si="67"/>
        <v>S6_2026</v>
      </c>
      <c r="BP323" t="s">
        <v>114</v>
      </c>
      <c r="BQ323" t="s">
        <v>450</v>
      </c>
      <c r="BR323" t="s">
        <v>451</v>
      </c>
      <c r="BS323" t="s">
        <v>132</v>
      </c>
      <c r="CI323" t="s">
        <v>119</v>
      </c>
      <c r="CO323" t="str">
        <f t="shared" si="59"/>
        <v>NEGATIFPAS INCLUS</v>
      </c>
      <c r="CP323" s="11">
        <v>46051</v>
      </c>
      <c r="CR323">
        <f t="shared" ref="CR323:CR386" si="72">IF(BP323="Non","",IF(BP323="","",AS323-BC323))</f>
        <v>4</v>
      </c>
      <c r="CS323">
        <f t="shared" ref="CS323:CS386" si="73">IF(BP323="Non","",IF(BP323="","",BN323-AS323))</f>
        <v>4</v>
      </c>
      <c r="CT323">
        <f t="shared" si="66"/>
        <v>2</v>
      </c>
      <c r="CU323">
        <f t="shared" ref="CU323:CU385" si="74">IF(J323="Non","",IF(J323="","",CP323-K323))</f>
        <v>1</v>
      </c>
      <c r="CV323" t="str">
        <f t="shared" ref="CV323:CV386" si="75">IF(AV323="POSITIF",BI323-CX323,"")</f>
        <v/>
      </c>
      <c r="CX323" s="11">
        <v>46049</v>
      </c>
      <c r="CY323" t="str">
        <f t="shared" si="71"/>
        <v>S5_2026</v>
      </c>
      <c r="DC323" t="s">
        <v>120</v>
      </c>
    </row>
    <row r="324" spans="1:107" x14ac:dyDescent="0.35">
      <c r="A324" t="s">
        <v>1223</v>
      </c>
      <c r="B324" s="10" t="str">
        <f t="shared" si="68"/>
        <v>S5_2026</v>
      </c>
      <c r="C324" s="10" t="str">
        <f t="shared" si="69"/>
        <v>S4_2026</v>
      </c>
      <c r="D324" s="11">
        <v>46052</v>
      </c>
      <c r="E324" t="s">
        <v>106</v>
      </c>
      <c r="F324" s="24">
        <v>40</v>
      </c>
      <c r="G324" t="s">
        <v>323</v>
      </c>
      <c r="H324" t="s">
        <v>108</v>
      </c>
      <c r="J324" t="s">
        <v>142</v>
      </c>
      <c r="K324" s="12"/>
      <c r="L324" t="s">
        <v>126</v>
      </c>
      <c r="M324" t="s">
        <v>1224</v>
      </c>
      <c r="N324" t="s">
        <v>1225</v>
      </c>
      <c r="P324" t="s">
        <v>629</v>
      </c>
      <c r="Q324" s="19" t="s">
        <v>1224</v>
      </c>
      <c r="R324" s="11">
        <v>46042</v>
      </c>
      <c r="S324" s="11">
        <v>46042</v>
      </c>
      <c r="T324" s="11">
        <v>46042</v>
      </c>
      <c r="V324" t="s">
        <v>114</v>
      </c>
      <c r="AE324" t="s">
        <v>114</v>
      </c>
      <c r="AF324" t="s">
        <v>114</v>
      </c>
      <c r="AG324" t="s">
        <v>114</v>
      </c>
      <c r="AK324" t="s">
        <v>114</v>
      </c>
      <c r="AM324" t="s">
        <v>132</v>
      </c>
      <c r="AN324" t="s">
        <v>132</v>
      </c>
      <c r="AQ324" t="s">
        <v>132</v>
      </c>
      <c r="AR324" t="s">
        <v>1226</v>
      </c>
      <c r="AS324" s="11">
        <v>46055</v>
      </c>
      <c r="AU324" t="s">
        <v>114</v>
      </c>
      <c r="AV324" t="s">
        <v>134</v>
      </c>
      <c r="AW324" t="s">
        <v>152</v>
      </c>
      <c r="AY324" t="s">
        <v>135</v>
      </c>
      <c r="BB324" t="s">
        <v>114</v>
      </c>
      <c r="BC324" s="11">
        <v>46050</v>
      </c>
      <c r="BD324" t="s">
        <v>1194</v>
      </c>
      <c r="BF324" t="s">
        <v>1225</v>
      </c>
      <c r="BG324" t="s">
        <v>449</v>
      </c>
      <c r="BI324" s="11">
        <v>46055</v>
      </c>
      <c r="BJ324" t="str">
        <f t="shared" si="65"/>
        <v>S6_2026</v>
      </c>
      <c r="BK324" t="s">
        <v>137</v>
      </c>
      <c r="BL324" t="str">
        <f t="shared" si="70"/>
        <v>S5_2026</v>
      </c>
      <c r="BM324" t="s">
        <v>159</v>
      </c>
      <c r="BN324" s="11">
        <v>46055</v>
      </c>
      <c r="BO324" t="str">
        <f t="shared" si="67"/>
        <v>S6_2026</v>
      </c>
      <c r="BP324" t="s">
        <v>114</v>
      </c>
      <c r="BQ324" t="s">
        <v>450</v>
      </c>
      <c r="BR324" t="s">
        <v>451</v>
      </c>
      <c r="BS324" t="s">
        <v>132</v>
      </c>
      <c r="CI324" t="s">
        <v>119</v>
      </c>
      <c r="CK324" t="s">
        <v>138</v>
      </c>
      <c r="CP324" s="11">
        <v>46050</v>
      </c>
      <c r="CR324">
        <f t="shared" si="72"/>
        <v>5</v>
      </c>
      <c r="CS324">
        <f t="shared" si="73"/>
        <v>0</v>
      </c>
      <c r="CT324">
        <f t="shared" si="66"/>
        <v>8</v>
      </c>
      <c r="CV324">
        <f t="shared" si="75"/>
        <v>13</v>
      </c>
      <c r="CX324" s="11">
        <v>46042</v>
      </c>
      <c r="CY324" t="str">
        <f t="shared" si="71"/>
        <v>S4_2026</v>
      </c>
      <c r="DC324" t="s">
        <v>139</v>
      </c>
    </row>
    <row r="325" spans="1:107" ht="31" x14ac:dyDescent="0.35">
      <c r="A325" t="s">
        <v>1227</v>
      </c>
      <c r="B325" s="10" t="str">
        <f t="shared" si="68"/>
        <v>S5_2026</v>
      </c>
      <c r="C325" s="10" t="str">
        <f t="shared" si="69"/>
        <v>S5_2026</v>
      </c>
      <c r="D325" s="11">
        <v>46053</v>
      </c>
      <c r="E325" s="19" t="s">
        <v>106</v>
      </c>
      <c r="F325" s="24">
        <v>10</v>
      </c>
      <c r="G325" t="s">
        <v>107</v>
      </c>
      <c r="H325" t="s">
        <v>108</v>
      </c>
      <c r="J325" t="s">
        <v>132</v>
      </c>
      <c r="K325" s="12"/>
      <c r="L325" s="19" t="s">
        <v>111</v>
      </c>
      <c r="M325" s="19" t="s">
        <v>626</v>
      </c>
      <c r="N325" t="s">
        <v>1228</v>
      </c>
      <c r="O325" t="s">
        <v>184</v>
      </c>
      <c r="P325" s="19" t="s">
        <v>1229</v>
      </c>
      <c r="Q325" s="19" t="s">
        <v>626</v>
      </c>
      <c r="R325" s="11">
        <v>46051</v>
      </c>
      <c r="S325" s="11">
        <v>46052</v>
      </c>
      <c r="T325" s="11">
        <v>46051</v>
      </c>
      <c r="V325" t="s">
        <v>114</v>
      </c>
      <c r="AE325" t="s">
        <v>114</v>
      </c>
      <c r="AG325" t="s">
        <v>114</v>
      </c>
      <c r="AK325" t="s">
        <v>132</v>
      </c>
      <c r="AM325" t="s">
        <v>114</v>
      </c>
      <c r="AN325" t="s">
        <v>132</v>
      </c>
      <c r="AQ325" t="s">
        <v>132</v>
      </c>
      <c r="AR325" t="s">
        <v>1230</v>
      </c>
      <c r="AS325" s="11">
        <v>46055</v>
      </c>
      <c r="AU325" t="s">
        <v>114</v>
      </c>
      <c r="AV325" t="s">
        <v>115</v>
      </c>
      <c r="BB325" t="s">
        <v>114</v>
      </c>
      <c r="BC325" s="11">
        <v>46055</v>
      </c>
      <c r="BD325" t="s">
        <v>1231</v>
      </c>
      <c r="BF325" t="s">
        <v>1228</v>
      </c>
      <c r="BG325" t="s">
        <v>449</v>
      </c>
      <c r="BJ325" t="str">
        <f t="shared" si="65"/>
        <v/>
      </c>
      <c r="BK325" s="19" t="s">
        <v>117</v>
      </c>
      <c r="BL325" t="str">
        <f t="shared" si="70"/>
        <v>S6_2026</v>
      </c>
      <c r="BM325" t="s">
        <v>159</v>
      </c>
      <c r="BN325" s="11">
        <v>46060</v>
      </c>
      <c r="BO325" t="str">
        <f t="shared" si="67"/>
        <v>S6_2026</v>
      </c>
      <c r="BP325" t="s">
        <v>114</v>
      </c>
      <c r="BQ325" t="s">
        <v>450</v>
      </c>
      <c r="BR325" t="s">
        <v>451</v>
      </c>
      <c r="BS325" t="s">
        <v>132</v>
      </c>
      <c r="CI325" t="s">
        <v>119</v>
      </c>
      <c r="CP325" s="11">
        <v>46053</v>
      </c>
      <c r="CR325">
        <f t="shared" si="72"/>
        <v>0</v>
      </c>
      <c r="CS325">
        <f t="shared" si="73"/>
        <v>5</v>
      </c>
      <c r="CT325">
        <f t="shared" si="66"/>
        <v>2</v>
      </c>
      <c r="CU325" t="str">
        <f t="shared" si="74"/>
        <v/>
      </c>
      <c r="CV325" t="str">
        <f t="shared" si="75"/>
        <v/>
      </c>
      <c r="CX325" s="11">
        <v>46051</v>
      </c>
      <c r="CY325" t="str">
        <f t="shared" si="71"/>
        <v>S5_2026</v>
      </c>
      <c r="DC325" t="s">
        <v>120</v>
      </c>
    </row>
    <row r="326" spans="1:107" x14ac:dyDescent="0.35">
      <c r="A326" t="s">
        <v>1232</v>
      </c>
      <c r="B326" s="10" t="str">
        <f t="shared" si="68"/>
        <v>S5_2026</v>
      </c>
      <c r="C326" s="10" t="str">
        <f t="shared" si="69"/>
        <v>S51_2025</v>
      </c>
      <c r="D326" s="11">
        <v>46054</v>
      </c>
      <c r="E326" s="19" t="s">
        <v>106</v>
      </c>
      <c r="F326" s="24">
        <v>71</v>
      </c>
      <c r="G326" t="s">
        <v>162</v>
      </c>
      <c r="H326" t="s">
        <v>108</v>
      </c>
      <c r="J326" t="s">
        <v>132</v>
      </c>
      <c r="K326" s="12"/>
      <c r="L326" s="19" t="s">
        <v>552</v>
      </c>
      <c r="M326" s="19" t="s">
        <v>1233</v>
      </c>
      <c r="N326" t="s">
        <v>1234</v>
      </c>
      <c r="O326" t="s">
        <v>184</v>
      </c>
      <c r="P326" s="19" t="s">
        <v>1235</v>
      </c>
      <c r="Q326" s="19" t="s">
        <v>1233</v>
      </c>
      <c r="R326" s="11">
        <v>46011</v>
      </c>
      <c r="S326" s="11">
        <v>46011</v>
      </c>
      <c r="T326" s="11">
        <v>46011</v>
      </c>
      <c r="V326" t="s">
        <v>114</v>
      </c>
      <c r="W326" t="s">
        <v>114</v>
      </c>
      <c r="X326" t="s">
        <v>114</v>
      </c>
      <c r="Y326" t="s">
        <v>114</v>
      </c>
      <c r="Z326" t="s">
        <v>114</v>
      </c>
      <c r="AA326" t="s">
        <v>114</v>
      </c>
      <c r="AB326" t="s">
        <v>114</v>
      </c>
      <c r="AK326" t="s">
        <v>114</v>
      </c>
      <c r="AM326" t="s">
        <v>132</v>
      </c>
      <c r="AN326" t="s">
        <v>132</v>
      </c>
      <c r="AQ326" t="s">
        <v>132</v>
      </c>
      <c r="AT326" s="11"/>
      <c r="BB326" t="s">
        <v>114</v>
      </c>
      <c r="BC326" s="11">
        <v>46054</v>
      </c>
      <c r="BD326" t="s">
        <v>169</v>
      </c>
      <c r="BF326" t="s">
        <v>1236</v>
      </c>
      <c r="BJ326" t="str">
        <f>IFERROR("S"&amp;(IF(_xlfn.ISOWEEKNUM(BI326)&gt;0,_xlfn.ISOWEEKNUM(BI326),_xlfn.CONCAT("0",_xlfn.ISOWEEKNUM(BI326))))&amp;"_"&amp;(YEAR(BI326+26-(_xlfn.ISOWEEKNUM(BI326)))),"")</f>
        <v/>
      </c>
      <c r="BK326" s="19" t="s">
        <v>552</v>
      </c>
      <c r="BL326" t="str">
        <f t="shared" si="70"/>
        <v>S5_2026</v>
      </c>
      <c r="BM326" t="s">
        <v>159</v>
      </c>
      <c r="BO326" t="str">
        <f t="shared" si="67"/>
        <v/>
      </c>
      <c r="BR326" t="s">
        <v>451</v>
      </c>
      <c r="BS326" t="s">
        <v>132</v>
      </c>
      <c r="CI326" t="s">
        <v>119</v>
      </c>
      <c r="CP326" s="11">
        <v>46054</v>
      </c>
      <c r="CR326" t="str">
        <f t="shared" si="72"/>
        <v/>
      </c>
      <c r="CS326" t="str">
        <f t="shared" si="73"/>
        <v/>
      </c>
      <c r="CT326">
        <f t="shared" si="66"/>
        <v>43</v>
      </c>
      <c r="CU326" t="str">
        <f t="shared" si="74"/>
        <v/>
      </c>
      <c r="CV326" t="str">
        <f t="shared" si="75"/>
        <v/>
      </c>
      <c r="CX326" s="11">
        <v>46011</v>
      </c>
      <c r="CY326" t="str">
        <f t="shared" si="71"/>
        <v>S51_2025</v>
      </c>
      <c r="DB326" t="s">
        <v>114</v>
      </c>
      <c r="DC326" t="s">
        <v>160</v>
      </c>
    </row>
    <row r="327" spans="1:107" x14ac:dyDescent="0.35">
      <c r="A327" t="s">
        <v>1237</v>
      </c>
      <c r="B327" s="10" t="str">
        <f t="shared" si="68"/>
        <v>S6_2026</v>
      </c>
      <c r="C327" s="10" t="str">
        <f t="shared" si="69"/>
        <v>S3_2026</v>
      </c>
      <c r="D327" s="11">
        <v>46055</v>
      </c>
      <c r="E327" s="19" t="s">
        <v>106</v>
      </c>
      <c r="F327" s="24">
        <v>26</v>
      </c>
      <c r="G327" t="s">
        <v>564</v>
      </c>
      <c r="H327" t="s">
        <v>108</v>
      </c>
      <c r="J327" t="s">
        <v>132</v>
      </c>
      <c r="K327" s="12"/>
      <c r="L327" s="19" t="s">
        <v>126</v>
      </c>
      <c r="M327" s="19" t="s">
        <v>127</v>
      </c>
      <c r="N327" t="s">
        <v>202</v>
      </c>
      <c r="O327" t="s">
        <v>184</v>
      </c>
      <c r="P327" s="19" t="s">
        <v>1191</v>
      </c>
      <c r="Q327" s="19" t="s">
        <v>1084</v>
      </c>
      <c r="R327" s="11">
        <v>46039</v>
      </c>
      <c r="S327" s="11">
        <v>46044</v>
      </c>
      <c r="T327" s="11">
        <v>46039</v>
      </c>
      <c r="W327" t="s">
        <v>114</v>
      </c>
      <c r="AA327" t="s">
        <v>114</v>
      </c>
      <c r="AC327" t="s">
        <v>1238</v>
      </c>
      <c r="AE327" t="s">
        <v>114</v>
      </c>
      <c r="AG327" t="s">
        <v>114</v>
      </c>
      <c r="AR327" t="s">
        <v>1239</v>
      </c>
      <c r="AS327" s="11">
        <v>46055</v>
      </c>
      <c r="AU327" t="s">
        <v>114</v>
      </c>
      <c r="AV327" t="s">
        <v>134</v>
      </c>
      <c r="AW327" t="s">
        <v>152</v>
      </c>
      <c r="AY327" t="s">
        <v>135</v>
      </c>
      <c r="BB327" t="s">
        <v>114</v>
      </c>
      <c r="BC327" s="11">
        <v>46052</v>
      </c>
      <c r="BD327" t="s">
        <v>243</v>
      </c>
      <c r="BF327" t="s">
        <v>1195</v>
      </c>
      <c r="BG327" t="s">
        <v>449</v>
      </c>
      <c r="BI327" s="11">
        <v>46055</v>
      </c>
      <c r="BJ327" t="str">
        <f>IFERROR("S"&amp;(IF(_xlfn.ISOWEEKNUM(BI327)&gt;0,_xlfn.ISOWEEKNUM(BI327),_xlfn.CONCAT("0",_xlfn.ISOWEEKNUM(BI327))))&amp;"_"&amp;(YEAR(BI327+26-(_xlfn.ISOWEEKNUM(BI327)))),"")</f>
        <v>S6_2026</v>
      </c>
      <c r="BK327" s="19" t="s">
        <v>137</v>
      </c>
      <c r="BL327" t="str">
        <f t="shared" si="70"/>
        <v>S5_2026</v>
      </c>
      <c r="BM327" t="s">
        <v>159</v>
      </c>
      <c r="BN327" s="11">
        <v>46055</v>
      </c>
      <c r="BO327" t="str">
        <f t="shared" si="67"/>
        <v>S6_2026</v>
      </c>
      <c r="BP327" t="s">
        <v>114</v>
      </c>
      <c r="BQ327" t="s">
        <v>450</v>
      </c>
      <c r="BR327" t="s">
        <v>451</v>
      </c>
      <c r="BS327" t="s">
        <v>132</v>
      </c>
      <c r="CI327" t="s">
        <v>119</v>
      </c>
      <c r="CJ327" t="s">
        <v>456</v>
      </c>
      <c r="CK327" t="s">
        <v>138</v>
      </c>
      <c r="CP327" s="11">
        <v>46052</v>
      </c>
      <c r="CR327">
        <f t="shared" si="72"/>
        <v>3</v>
      </c>
      <c r="CS327">
        <f t="shared" si="73"/>
        <v>0</v>
      </c>
      <c r="CT327">
        <f t="shared" si="66"/>
        <v>13</v>
      </c>
      <c r="CU327" t="str">
        <f t="shared" si="74"/>
        <v/>
      </c>
      <c r="CV327">
        <f t="shared" si="75"/>
        <v>16</v>
      </c>
      <c r="CX327" s="11">
        <v>46039</v>
      </c>
      <c r="CY327" t="str">
        <f t="shared" si="71"/>
        <v>S3_2026</v>
      </c>
      <c r="DC327" t="s">
        <v>139</v>
      </c>
    </row>
    <row r="328" spans="1:107" x14ac:dyDescent="0.35">
      <c r="A328" t="s">
        <v>1240</v>
      </c>
      <c r="B328" s="10" t="str">
        <f t="shared" si="68"/>
        <v>S6_2026</v>
      </c>
      <c r="C328" s="10" t="str">
        <f t="shared" si="69"/>
        <v/>
      </c>
      <c r="D328" s="11">
        <v>46055</v>
      </c>
      <c r="E328" s="19" t="s">
        <v>123</v>
      </c>
      <c r="F328" s="24">
        <v>0.9</v>
      </c>
      <c r="G328" t="s">
        <v>141</v>
      </c>
      <c r="H328" t="s">
        <v>108</v>
      </c>
      <c r="J328" t="s">
        <v>142</v>
      </c>
      <c r="K328" s="12"/>
      <c r="L328" s="19" t="s">
        <v>182</v>
      </c>
      <c r="M328" s="19" t="s">
        <v>949</v>
      </c>
      <c r="N328" t="s">
        <v>1241</v>
      </c>
      <c r="P328" s="19" t="s">
        <v>1242</v>
      </c>
      <c r="Q328" s="19" t="s">
        <v>949</v>
      </c>
      <c r="AR328" t="s">
        <v>1243</v>
      </c>
      <c r="AS328" s="11">
        <v>46056</v>
      </c>
      <c r="AU328" t="s">
        <v>114</v>
      </c>
      <c r="AV328" t="s">
        <v>115</v>
      </c>
      <c r="BB328" t="s">
        <v>114</v>
      </c>
      <c r="BC328" s="11">
        <v>46054</v>
      </c>
      <c r="BF328" t="s">
        <v>988</v>
      </c>
      <c r="BG328" t="s">
        <v>449</v>
      </c>
      <c r="BJ328" t="str">
        <f t="shared" si="65"/>
        <v/>
      </c>
      <c r="BK328" t="s">
        <v>187</v>
      </c>
      <c r="BL328" t="str">
        <f t="shared" si="70"/>
        <v>S5_2026</v>
      </c>
      <c r="BM328" t="s">
        <v>159</v>
      </c>
      <c r="BN328" s="11">
        <v>46060</v>
      </c>
      <c r="BO328" t="str">
        <f t="shared" si="67"/>
        <v>S6_2026</v>
      </c>
      <c r="BP328" t="s">
        <v>114</v>
      </c>
      <c r="BQ328" t="s">
        <v>450</v>
      </c>
      <c r="BR328" t="s">
        <v>451</v>
      </c>
      <c r="BS328" t="s">
        <v>132</v>
      </c>
      <c r="CI328" t="s">
        <v>119</v>
      </c>
      <c r="CP328" s="11">
        <v>46054</v>
      </c>
      <c r="CR328">
        <f t="shared" si="72"/>
        <v>2</v>
      </c>
      <c r="CS328">
        <f t="shared" si="73"/>
        <v>4</v>
      </c>
      <c r="CT328">
        <f t="shared" si="66"/>
        <v>31</v>
      </c>
      <c r="CV328" t="str">
        <f t="shared" si="75"/>
        <v/>
      </c>
      <c r="CX328" s="11">
        <v>46023</v>
      </c>
      <c r="CY328" t="str">
        <f t="shared" si="71"/>
        <v>S1_2026</v>
      </c>
      <c r="DB328" t="s">
        <v>114</v>
      </c>
      <c r="DC328" t="s">
        <v>160</v>
      </c>
    </row>
    <row r="329" spans="1:107" x14ac:dyDescent="0.35">
      <c r="A329" t="s">
        <v>1244</v>
      </c>
      <c r="B329" s="10" t="str">
        <f t="shared" si="68"/>
        <v>S6_2026</v>
      </c>
      <c r="C329" s="10" t="str">
        <f t="shared" si="69"/>
        <v/>
      </c>
      <c r="D329" s="11">
        <v>46055</v>
      </c>
      <c r="E329" s="19" t="s">
        <v>106</v>
      </c>
      <c r="F329" s="24">
        <v>27</v>
      </c>
      <c r="G329" t="s">
        <v>162</v>
      </c>
      <c r="H329" t="s">
        <v>108</v>
      </c>
      <c r="J329" t="s">
        <v>132</v>
      </c>
      <c r="K329" s="12"/>
      <c r="L329" s="19" t="s">
        <v>637</v>
      </c>
      <c r="M329" s="19" t="s">
        <v>949</v>
      </c>
      <c r="N329" t="s">
        <v>990</v>
      </c>
      <c r="O329" t="s">
        <v>184</v>
      </c>
      <c r="P329" t="s">
        <v>110</v>
      </c>
      <c r="Q329" s="19" t="s">
        <v>949</v>
      </c>
      <c r="AR329" t="s">
        <v>1245</v>
      </c>
      <c r="AS329" s="11">
        <v>46056</v>
      </c>
      <c r="AU329" t="s">
        <v>114</v>
      </c>
      <c r="AV329" t="s">
        <v>115</v>
      </c>
      <c r="BB329" t="s">
        <v>114</v>
      </c>
      <c r="BC329" s="11">
        <v>46054</v>
      </c>
      <c r="BD329" t="s">
        <v>169</v>
      </c>
      <c r="BF329" t="s">
        <v>949</v>
      </c>
      <c r="BG329" t="s">
        <v>449</v>
      </c>
      <c r="BJ329" t="str">
        <f t="shared" si="65"/>
        <v/>
      </c>
      <c r="BK329" t="s">
        <v>187</v>
      </c>
      <c r="BL329" t="str">
        <f t="shared" si="70"/>
        <v>S5_2026</v>
      </c>
      <c r="BM329" t="s">
        <v>159</v>
      </c>
      <c r="BN329" s="11">
        <v>46060</v>
      </c>
      <c r="BO329" t="str">
        <f t="shared" si="67"/>
        <v>S6_2026</v>
      </c>
      <c r="BP329" t="s">
        <v>114</v>
      </c>
      <c r="BQ329" t="s">
        <v>450</v>
      </c>
      <c r="BR329" t="s">
        <v>451</v>
      </c>
      <c r="BS329" t="s">
        <v>132</v>
      </c>
      <c r="CI329" t="s">
        <v>119</v>
      </c>
      <c r="CP329" s="11">
        <v>46054</v>
      </c>
      <c r="CR329">
        <f t="shared" si="72"/>
        <v>2</v>
      </c>
      <c r="CS329">
        <f t="shared" si="73"/>
        <v>4</v>
      </c>
      <c r="CT329">
        <f t="shared" si="66"/>
        <v>31</v>
      </c>
      <c r="CU329" t="str">
        <f t="shared" si="74"/>
        <v/>
      </c>
      <c r="CV329" t="str">
        <f t="shared" si="75"/>
        <v/>
      </c>
      <c r="CX329" s="11">
        <v>46023</v>
      </c>
      <c r="CY329" t="str">
        <f t="shared" si="71"/>
        <v>S1_2026</v>
      </c>
      <c r="DC329" t="s">
        <v>120</v>
      </c>
    </row>
    <row r="330" spans="1:107" x14ac:dyDescent="0.35">
      <c r="A330" t="s">
        <v>1246</v>
      </c>
      <c r="B330" s="10" t="str">
        <f t="shared" si="68"/>
        <v>S6_2026</v>
      </c>
      <c r="C330" s="10" t="str">
        <f t="shared" si="69"/>
        <v/>
      </c>
      <c r="D330" s="11">
        <v>46055</v>
      </c>
      <c r="E330" s="19" t="s">
        <v>123</v>
      </c>
      <c r="F330" s="24">
        <v>50</v>
      </c>
      <c r="G330" t="s">
        <v>162</v>
      </c>
      <c r="H330" t="s">
        <v>108</v>
      </c>
      <c r="J330" t="s">
        <v>132</v>
      </c>
      <c r="K330" s="12"/>
      <c r="L330" s="19" t="s">
        <v>637</v>
      </c>
      <c r="M330" s="19" t="s">
        <v>949</v>
      </c>
      <c r="N330" t="s">
        <v>990</v>
      </c>
      <c r="O330" t="s">
        <v>184</v>
      </c>
      <c r="P330" t="s">
        <v>110</v>
      </c>
      <c r="Q330" s="19" t="s">
        <v>949</v>
      </c>
      <c r="AR330" t="s">
        <v>1247</v>
      </c>
      <c r="AS330" s="11">
        <v>46056</v>
      </c>
      <c r="AU330" t="s">
        <v>114</v>
      </c>
      <c r="AV330" t="s">
        <v>115</v>
      </c>
      <c r="BB330" t="s">
        <v>114</v>
      </c>
      <c r="BC330" s="11">
        <v>46054</v>
      </c>
      <c r="BD330" t="s">
        <v>169</v>
      </c>
      <c r="BF330" t="s">
        <v>949</v>
      </c>
      <c r="BG330" t="s">
        <v>449</v>
      </c>
      <c r="BJ330" t="str">
        <f t="shared" si="65"/>
        <v/>
      </c>
      <c r="BK330" t="s">
        <v>187</v>
      </c>
      <c r="BL330" t="str">
        <f t="shared" si="70"/>
        <v>S5_2026</v>
      </c>
      <c r="BM330" t="s">
        <v>159</v>
      </c>
      <c r="BN330" s="11">
        <v>46060</v>
      </c>
      <c r="BO330" t="str">
        <f t="shared" si="67"/>
        <v>S6_2026</v>
      </c>
      <c r="BP330" t="s">
        <v>114</v>
      </c>
      <c r="BQ330" t="s">
        <v>450</v>
      </c>
      <c r="BR330" t="s">
        <v>451</v>
      </c>
      <c r="BS330" t="s">
        <v>132</v>
      </c>
      <c r="CI330" t="s">
        <v>119</v>
      </c>
      <c r="CP330" s="11">
        <v>46054</v>
      </c>
      <c r="CR330">
        <f t="shared" si="72"/>
        <v>2</v>
      </c>
      <c r="CS330">
        <f t="shared" si="73"/>
        <v>4</v>
      </c>
      <c r="CT330">
        <f t="shared" si="66"/>
        <v>31</v>
      </c>
      <c r="CU330" t="str">
        <f t="shared" si="74"/>
        <v/>
      </c>
      <c r="CV330" t="str">
        <f t="shared" si="75"/>
        <v/>
      </c>
      <c r="CX330" s="11">
        <v>46023</v>
      </c>
      <c r="CY330" t="str">
        <f t="shared" si="71"/>
        <v>S1_2026</v>
      </c>
      <c r="DC330" t="s">
        <v>120</v>
      </c>
    </row>
    <row r="331" spans="1:107" x14ac:dyDescent="0.35">
      <c r="A331" t="s">
        <v>1248</v>
      </c>
      <c r="B331" s="10" t="str">
        <f t="shared" si="68"/>
        <v>S6_2026</v>
      </c>
      <c r="C331" s="10" t="str">
        <f t="shared" si="69"/>
        <v/>
      </c>
      <c r="D331" s="11">
        <v>46055</v>
      </c>
      <c r="E331" s="19" t="s">
        <v>106</v>
      </c>
      <c r="F331" s="24">
        <v>5</v>
      </c>
      <c r="G331" t="s">
        <v>107</v>
      </c>
      <c r="H331" t="s">
        <v>108</v>
      </c>
      <c r="J331" t="s">
        <v>132</v>
      </c>
      <c r="K331" s="12"/>
      <c r="L331" s="19" t="s">
        <v>637</v>
      </c>
      <c r="M331" s="19" t="s">
        <v>949</v>
      </c>
      <c r="N331" t="s">
        <v>949</v>
      </c>
      <c r="O331" t="s">
        <v>184</v>
      </c>
      <c r="P331" t="s">
        <v>110</v>
      </c>
      <c r="Q331" s="19" t="s">
        <v>949</v>
      </c>
      <c r="AR331" t="s">
        <v>1249</v>
      </c>
      <c r="AS331" s="11">
        <v>46056</v>
      </c>
      <c r="AU331" t="s">
        <v>114</v>
      </c>
      <c r="AV331" t="s">
        <v>115</v>
      </c>
      <c r="BB331" t="s">
        <v>114</v>
      </c>
      <c r="BC331" s="11">
        <v>46054</v>
      </c>
      <c r="BD331" t="s">
        <v>169</v>
      </c>
      <c r="BF331" t="s">
        <v>949</v>
      </c>
      <c r="BG331" t="s">
        <v>449</v>
      </c>
      <c r="BJ331" t="str">
        <f t="shared" si="65"/>
        <v/>
      </c>
      <c r="BK331" t="s">
        <v>187</v>
      </c>
      <c r="BL331" t="str">
        <f t="shared" si="70"/>
        <v>S5_2026</v>
      </c>
      <c r="BM331" t="s">
        <v>159</v>
      </c>
      <c r="BN331" s="11">
        <v>46060</v>
      </c>
      <c r="BO331" t="str">
        <f t="shared" si="67"/>
        <v>S6_2026</v>
      </c>
      <c r="BP331" t="s">
        <v>114</v>
      </c>
      <c r="BQ331" t="s">
        <v>450</v>
      </c>
      <c r="BR331" t="s">
        <v>451</v>
      </c>
      <c r="BS331" t="s">
        <v>132</v>
      </c>
      <c r="CI331" t="s">
        <v>119</v>
      </c>
      <c r="CP331" s="11">
        <v>46054</v>
      </c>
      <c r="CR331">
        <f t="shared" si="72"/>
        <v>2</v>
      </c>
      <c r="CS331">
        <f t="shared" si="73"/>
        <v>4</v>
      </c>
      <c r="CT331">
        <f t="shared" si="66"/>
        <v>31</v>
      </c>
      <c r="CU331" t="str">
        <f t="shared" si="74"/>
        <v/>
      </c>
      <c r="CV331" t="str">
        <f t="shared" si="75"/>
        <v/>
      </c>
      <c r="CX331" s="11">
        <v>46023</v>
      </c>
      <c r="CY331" t="str">
        <f t="shared" si="71"/>
        <v>S1_2026</v>
      </c>
      <c r="DC331" t="s">
        <v>120</v>
      </c>
    </row>
    <row r="332" spans="1:107" x14ac:dyDescent="0.35">
      <c r="A332" t="s">
        <v>1250</v>
      </c>
      <c r="B332" s="10" t="str">
        <f t="shared" si="68"/>
        <v>S6_2026</v>
      </c>
      <c r="C332" s="10" t="str">
        <f t="shared" si="69"/>
        <v>S5_2026</v>
      </c>
      <c r="D332" s="11">
        <v>46058</v>
      </c>
      <c r="E332" s="19" t="s">
        <v>106</v>
      </c>
      <c r="F332" s="24">
        <v>53</v>
      </c>
      <c r="G332" t="s">
        <v>429</v>
      </c>
      <c r="H332" t="s">
        <v>108</v>
      </c>
      <c r="J332" t="s">
        <v>114</v>
      </c>
      <c r="K332" s="14">
        <v>46058</v>
      </c>
      <c r="L332" s="19" t="s">
        <v>126</v>
      </c>
      <c r="M332" s="19" t="s">
        <v>357</v>
      </c>
      <c r="N332" t="s">
        <v>1251</v>
      </c>
      <c r="P332" t="s">
        <v>1252</v>
      </c>
      <c r="Q332" s="19" t="s">
        <v>357</v>
      </c>
      <c r="R332" s="11">
        <v>46048</v>
      </c>
      <c r="S332" s="11">
        <v>46054</v>
      </c>
      <c r="T332" s="11">
        <v>46048</v>
      </c>
      <c r="V332" t="s">
        <v>114</v>
      </c>
      <c r="AE332" t="s">
        <v>114</v>
      </c>
      <c r="AF332" t="s">
        <v>132</v>
      </c>
      <c r="AG332" t="s">
        <v>132</v>
      </c>
      <c r="AJ332" t="s">
        <v>259</v>
      </c>
      <c r="AK332" t="s">
        <v>114</v>
      </c>
      <c r="AM332" t="s">
        <v>132</v>
      </c>
      <c r="AN332" t="s">
        <v>132</v>
      </c>
      <c r="AQ332" t="s">
        <v>132</v>
      </c>
      <c r="AR332" t="s">
        <v>1253</v>
      </c>
      <c r="AS332" s="11">
        <v>46059</v>
      </c>
      <c r="AU332" t="s">
        <v>114</v>
      </c>
      <c r="AV332" t="s">
        <v>115</v>
      </c>
      <c r="BB332" t="s">
        <v>114</v>
      </c>
      <c r="BC332" s="11">
        <v>46058</v>
      </c>
      <c r="BD332" t="s">
        <v>178</v>
      </c>
      <c r="BF332" t="s">
        <v>1251</v>
      </c>
      <c r="BG332" t="s">
        <v>449</v>
      </c>
      <c r="BJ332" t="str">
        <f t="shared" si="65"/>
        <v/>
      </c>
      <c r="BK332" s="19" t="s">
        <v>137</v>
      </c>
      <c r="BL332" t="str">
        <f t="shared" si="70"/>
        <v>S6_2026</v>
      </c>
      <c r="BM332" t="s">
        <v>159</v>
      </c>
      <c r="BN332" s="11">
        <v>46065</v>
      </c>
      <c r="BO332" t="str">
        <f t="shared" si="67"/>
        <v>S7_2026</v>
      </c>
      <c r="BP332" t="s">
        <v>114</v>
      </c>
      <c r="BQ332" t="s">
        <v>450</v>
      </c>
      <c r="BR332" t="s">
        <v>451</v>
      </c>
      <c r="BS332" t="s">
        <v>132</v>
      </c>
      <c r="CI332" t="s">
        <v>119</v>
      </c>
      <c r="CP332" s="11">
        <v>46058</v>
      </c>
      <c r="CR332">
        <f t="shared" si="72"/>
        <v>1</v>
      </c>
      <c r="CS332">
        <f t="shared" si="73"/>
        <v>6</v>
      </c>
      <c r="CT332">
        <f t="shared" si="66"/>
        <v>10</v>
      </c>
      <c r="CU332">
        <f t="shared" si="74"/>
        <v>0</v>
      </c>
      <c r="CV332" t="str">
        <f t="shared" si="75"/>
        <v/>
      </c>
      <c r="CX332" s="11">
        <v>46048</v>
      </c>
      <c r="CY332" t="str">
        <f t="shared" si="71"/>
        <v>S5_2026</v>
      </c>
      <c r="DC332" t="s">
        <v>120</v>
      </c>
    </row>
    <row r="333" spans="1:107" x14ac:dyDescent="0.35">
      <c r="A333" t="s">
        <v>1254</v>
      </c>
      <c r="B333" s="10" t="str">
        <f t="shared" si="68"/>
        <v>S6_2026</v>
      </c>
      <c r="C333" s="10" t="str">
        <f t="shared" si="69"/>
        <v>S52_2025</v>
      </c>
      <c r="D333" s="11">
        <v>46058</v>
      </c>
      <c r="E333" s="19" t="s">
        <v>123</v>
      </c>
      <c r="F333" s="24">
        <v>2</v>
      </c>
      <c r="G333" t="s">
        <v>141</v>
      </c>
      <c r="H333" t="s">
        <v>108</v>
      </c>
      <c r="J333" t="s">
        <v>114</v>
      </c>
      <c r="K333" s="14">
        <v>46054</v>
      </c>
      <c r="L333" s="19" t="s">
        <v>722</v>
      </c>
      <c r="M333" s="19" t="s">
        <v>1255</v>
      </c>
      <c r="N333" t="s">
        <v>1256</v>
      </c>
      <c r="O333" t="s">
        <v>1257</v>
      </c>
      <c r="P333" t="s">
        <v>1256</v>
      </c>
      <c r="Q333" s="19" t="s">
        <v>1255</v>
      </c>
      <c r="R333" s="11">
        <v>46016</v>
      </c>
      <c r="S333" s="11">
        <v>46016</v>
      </c>
      <c r="T333" s="11">
        <v>46016</v>
      </c>
      <c r="V333" t="s">
        <v>114</v>
      </c>
      <c r="AN333" t="s">
        <v>114</v>
      </c>
      <c r="AS333" s="11">
        <v>46056</v>
      </c>
      <c r="AU333" t="s">
        <v>114</v>
      </c>
      <c r="AV333" t="s">
        <v>115</v>
      </c>
      <c r="BB333" t="s">
        <v>114</v>
      </c>
      <c r="BC333" s="11">
        <v>46054</v>
      </c>
      <c r="BD333" t="s">
        <v>169</v>
      </c>
      <c r="BF333" t="s">
        <v>1256</v>
      </c>
      <c r="BG333" t="s">
        <v>449</v>
      </c>
      <c r="BJ333" t="str">
        <f t="shared" si="65"/>
        <v/>
      </c>
      <c r="BK333" t="s">
        <v>187</v>
      </c>
      <c r="BL333" t="str">
        <f t="shared" si="70"/>
        <v>S5_2026</v>
      </c>
      <c r="BM333" t="s">
        <v>159</v>
      </c>
      <c r="BN333" s="11">
        <v>46060</v>
      </c>
      <c r="BO333" t="str">
        <f t="shared" si="67"/>
        <v>S6_2026</v>
      </c>
      <c r="BP333" t="s">
        <v>114</v>
      </c>
      <c r="BQ333" t="s">
        <v>450</v>
      </c>
      <c r="BR333" t="s">
        <v>451</v>
      </c>
      <c r="BS333" t="s">
        <v>132</v>
      </c>
      <c r="CI333" t="s">
        <v>119</v>
      </c>
      <c r="CP333" s="11">
        <v>46054</v>
      </c>
      <c r="CR333">
        <f t="shared" si="72"/>
        <v>2</v>
      </c>
      <c r="CS333">
        <f t="shared" si="73"/>
        <v>4</v>
      </c>
      <c r="CT333">
        <f t="shared" si="66"/>
        <v>38</v>
      </c>
      <c r="CU333">
        <f t="shared" si="74"/>
        <v>0</v>
      </c>
      <c r="CV333" t="str">
        <f t="shared" si="75"/>
        <v/>
      </c>
      <c r="CX333" s="11">
        <v>46016</v>
      </c>
      <c r="CY333" t="str">
        <f t="shared" si="71"/>
        <v>S52_2025</v>
      </c>
      <c r="DB333" t="s">
        <v>114</v>
      </c>
      <c r="DC333" t="s">
        <v>160</v>
      </c>
    </row>
    <row r="334" spans="1:107" x14ac:dyDescent="0.35">
      <c r="A334" t="s">
        <v>1258</v>
      </c>
      <c r="B334" s="10" t="str">
        <f t="shared" si="68"/>
        <v>S6_2026</v>
      </c>
      <c r="C334" s="10" t="str">
        <f t="shared" si="69"/>
        <v>S5_2026</v>
      </c>
      <c r="D334" s="11">
        <v>46059</v>
      </c>
      <c r="E334" s="19" t="s">
        <v>123</v>
      </c>
      <c r="F334" s="24">
        <v>16</v>
      </c>
      <c r="G334" t="s">
        <v>162</v>
      </c>
      <c r="H334" t="s">
        <v>108</v>
      </c>
      <c r="J334" t="s">
        <v>114</v>
      </c>
      <c r="K334" s="14">
        <v>46057</v>
      </c>
      <c r="L334" s="19" t="s">
        <v>552</v>
      </c>
      <c r="M334" s="19" t="s">
        <v>1259</v>
      </c>
      <c r="N334" t="s">
        <v>1260</v>
      </c>
      <c r="O334" t="s">
        <v>1261</v>
      </c>
      <c r="P334" t="s">
        <v>1262</v>
      </c>
      <c r="Q334" s="19" t="s">
        <v>1259</v>
      </c>
      <c r="R334" s="11">
        <v>46050</v>
      </c>
      <c r="S334" s="11">
        <v>46050</v>
      </c>
      <c r="T334" s="11">
        <v>46050</v>
      </c>
      <c r="V334" t="s">
        <v>114</v>
      </c>
      <c r="AE334" t="s">
        <v>114</v>
      </c>
      <c r="AF334" t="s">
        <v>114</v>
      </c>
      <c r="AG334" t="s">
        <v>114</v>
      </c>
      <c r="AJ334" t="s">
        <v>259</v>
      </c>
      <c r="AQ334" t="s">
        <v>132</v>
      </c>
      <c r="AR334" t="s">
        <v>1263</v>
      </c>
      <c r="AS334" s="11">
        <v>46062</v>
      </c>
      <c r="AU334" t="s">
        <v>114</v>
      </c>
      <c r="AV334" t="s">
        <v>115</v>
      </c>
      <c r="BB334" t="s">
        <v>114</v>
      </c>
      <c r="BC334" s="11">
        <v>46059</v>
      </c>
      <c r="BD334" t="s">
        <v>178</v>
      </c>
      <c r="BF334" t="s">
        <v>1264</v>
      </c>
      <c r="BG334" t="s">
        <v>449</v>
      </c>
      <c r="BJ334" t="str">
        <f t="shared" si="65"/>
        <v/>
      </c>
      <c r="BK334" s="19" t="s">
        <v>552</v>
      </c>
      <c r="BL334" t="str">
        <f t="shared" si="70"/>
        <v>S6_2026</v>
      </c>
      <c r="BM334" t="s">
        <v>159</v>
      </c>
      <c r="BN334" s="11">
        <v>46065</v>
      </c>
      <c r="BO334" t="str">
        <f t="shared" si="67"/>
        <v>S7_2026</v>
      </c>
      <c r="BP334" t="s">
        <v>114</v>
      </c>
      <c r="BQ334" t="s">
        <v>450</v>
      </c>
      <c r="BR334" t="s">
        <v>451</v>
      </c>
      <c r="BS334" t="s">
        <v>132</v>
      </c>
      <c r="CI334" t="s">
        <v>119</v>
      </c>
      <c r="CP334" s="11">
        <v>46059</v>
      </c>
      <c r="CR334">
        <f t="shared" si="72"/>
        <v>3</v>
      </c>
      <c r="CS334">
        <f t="shared" si="73"/>
        <v>3</v>
      </c>
      <c r="CT334">
        <f t="shared" si="66"/>
        <v>9</v>
      </c>
      <c r="CU334">
        <f t="shared" si="74"/>
        <v>2</v>
      </c>
      <c r="CV334" t="str">
        <f t="shared" si="75"/>
        <v/>
      </c>
      <c r="CX334" s="11">
        <v>46050</v>
      </c>
      <c r="CY334" t="str">
        <f t="shared" si="71"/>
        <v>S5_2026</v>
      </c>
      <c r="DC334" t="s">
        <v>120</v>
      </c>
    </row>
    <row r="335" spans="1:107" x14ac:dyDescent="0.35">
      <c r="A335" t="s">
        <v>1265</v>
      </c>
      <c r="B335" s="10" t="str">
        <f t="shared" si="68"/>
        <v>S6_2026</v>
      </c>
      <c r="C335" s="10" t="str">
        <f t="shared" si="69"/>
        <v>S5_2026</v>
      </c>
      <c r="D335" s="11">
        <v>46061</v>
      </c>
      <c r="E335" s="19" t="s">
        <v>106</v>
      </c>
      <c r="F335" s="24">
        <v>8</v>
      </c>
      <c r="G335" t="s">
        <v>107</v>
      </c>
      <c r="H335" t="s">
        <v>108</v>
      </c>
      <c r="J335" t="s">
        <v>132</v>
      </c>
      <c r="K335" s="12"/>
      <c r="L335" s="19" t="s">
        <v>552</v>
      </c>
      <c r="M335" s="19" t="s">
        <v>1233</v>
      </c>
      <c r="N335" t="s">
        <v>1266</v>
      </c>
      <c r="O335" t="s">
        <v>184</v>
      </c>
      <c r="P335" t="s">
        <v>1267</v>
      </c>
      <c r="Q335" s="19" t="s">
        <v>1233</v>
      </c>
      <c r="R335" s="11">
        <v>46052</v>
      </c>
      <c r="S335" s="11">
        <v>46052</v>
      </c>
      <c r="T335" s="11">
        <v>46052</v>
      </c>
      <c r="V335" t="s">
        <v>132</v>
      </c>
      <c r="W335" t="s">
        <v>132</v>
      </c>
      <c r="X335" t="s">
        <v>132</v>
      </c>
      <c r="Y335" t="s">
        <v>132</v>
      </c>
      <c r="Z335" t="s">
        <v>132</v>
      </c>
      <c r="AA335" t="s">
        <v>132</v>
      </c>
      <c r="AB335" t="s">
        <v>132</v>
      </c>
      <c r="AC335" t="s">
        <v>935</v>
      </c>
      <c r="AE335" t="s">
        <v>114</v>
      </c>
      <c r="AF335" t="s">
        <v>132</v>
      </c>
      <c r="AG335" t="s">
        <v>132</v>
      </c>
      <c r="AH335" t="s">
        <v>132</v>
      </c>
      <c r="AI335" t="s">
        <v>142</v>
      </c>
      <c r="AJ335" t="s">
        <v>259</v>
      </c>
      <c r="AK335" t="s">
        <v>132</v>
      </c>
      <c r="AM335" t="s">
        <v>132</v>
      </c>
      <c r="AN335" t="s">
        <v>132</v>
      </c>
      <c r="AP335" t="s">
        <v>132</v>
      </c>
      <c r="AQ335" t="s">
        <v>132</v>
      </c>
      <c r="AR335" t="s">
        <v>1268</v>
      </c>
      <c r="AS335" s="11">
        <v>46071</v>
      </c>
      <c r="AU335" t="s">
        <v>114</v>
      </c>
      <c r="AV335" t="s">
        <v>115</v>
      </c>
      <c r="BB335" t="s">
        <v>114</v>
      </c>
      <c r="BC335" s="11">
        <v>46067</v>
      </c>
      <c r="BD335" t="s">
        <v>210</v>
      </c>
      <c r="BF335" t="s">
        <v>1266</v>
      </c>
      <c r="BG335" t="s">
        <v>449</v>
      </c>
      <c r="BJ335" t="str">
        <f t="shared" si="65"/>
        <v/>
      </c>
      <c r="BK335" s="19" t="s">
        <v>552</v>
      </c>
      <c r="BL335" t="str">
        <f t="shared" si="70"/>
        <v>S7_2026</v>
      </c>
      <c r="BM335" t="s">
        <v>159</v>
      </c>
      <c r="BN335" s="11">
        <v>46073</v>
      </c>
      <c r="BO335" t="str">
        <f t="shared" si="67"/>
        <v>S8_2026</v>
      </c>
      <c r="BP335" t="s">
        <v>114</v>
      </c>
      <c r="BQ335" t="s">
        <v>450</v>
      </c>
      <c r="BR335" t="s">
        <v>451</v>
      </c>
      <c r="BS335" t="s">
        <v>132</v>
      </c>
      <c r="CI335" t="s">
        <v>119</v>
      </c>
      <c r="CP335" s="11">
        <v>46060</v>
      </c>
      <c r="CR335">
        <f t="shared" si="72"/>
        <v>4</v>
      </c>
      <c r="CS335">
        <f t="shared" si="73"/>
        <v>2</v>
      </c>
      <c r="CT335">
        <f t="shared" si="66"/>
        <v>8</v>
      </c>
      <c r="CU335" t="str">
        <f t="shared" si="74"/>
        <v/>
      </c>
      <c r="CV335" t="str">
        <f t="shared" si="75"/>
        <v/>
      </c>
      <c r="CW335" t="s">
        <v>132</v>
      </c>
      <c r="CX335" s="11">
        <v>46052</v>
      </c>
      <c r="CY335" t="str">
        <f t="shared" si="71"/>
        <v>S5_2026</v>
      </c>
      <c r="DC335" t="s">
        <v>120</v>
      </c>
    </row>
    <row r="336" spans="1:107" x14ac:dyDescent="0.35">
      <c r="A336" s="36" t="s">
        <v>1269</v>
      </c>
      <c r="B336" s="10" t="str">
        <f t="shared" si="68"/>
        <v>S6_2026</v>
      </c>
      <c r="C336" s="10" t="str">
        <f t="shared" si="69"/>
        <v/>
      </c>
      <c r="D336" s="37">
        <v>46060</v>
      </c>
      <c r="E336" s="36" t="s">
        <v>123</v>
      </c>
      <c r="F336" s="69">
        <v>23</v>
      </c>
      <c r="G336" s="36" t="s">
        <v>1197</v>
      </c>
      <c r="H336" s="36" t="s">
        <v>108</v>
      </c>
      <c r="I336" s="36"/>
      <c r="J336" s="36" t="s">
        <v>114</v>
      </c>
      <c r="K336" s="12" t="s">
        <v>110</v>
      </c>
      <c r="L336" s="36" t="s">
        <v>126</v>
      </c>
      <c r="M336" s="36" t="s">
        <v>1084</v>
      </c>
      <c r="N336" s="36" t="s">
        <v>1195</v>
      </c>
      <c r="O336" s="36" t="s">
        <v>1270</v>
      </c>
      <c r="P336" s="36" t="s">
        <v>1271</v>
      </c>
      <c r="Q336" s="36" t="s">
        <v>155</v>
      </c>
      <c r="R336" s="36"/>
      <c r="S336" s="36"/>
      <c r="T336" s="36"/>
      <c r="U336" s="36"/>
      <c r="V336" s="36"/>
      <c r="W336" s="36"/>
      <c r="X336" s="36"/>
      <c r="Y336" s="36"/>
      <c r="Z336" s="36" t="s">
        <v>114</v>
      </c>
      <c r="AA336" s="36" t="s">
        <v>114</v>
      </c>
      <c r="AB336" s="36"/>
      <c r="AC336" s="36" t="s">
        <v>1272</v>
      </c>
      <c r="AD336" s="36"/>
      <c r="AE336" s="36" t="s">
        <v>114</v>
      </c>
      <c r="AF336" s="36" t="s">
        <v>114</v>
      </c>
      <c r="AG336" s="36"/>
      <c r="AH336" s="36"/>
      <c r="AI336" s="36"/>
      <c r="AJ336" s="36"/>
      <c r="AK336" s="36"/>
      <c r="AL336" s="36"/>
      <c r="AM336" s="36" t="s">
        <v>451</v>
      </c>
      <c r="AN336" s="36" t="s">
        <v>451</v>
      </c>
      <c r="AO336" s="36"/>
      <c r="AP336" s="36"/>
      <c r="AQ336" s="36" t="s">
        <v>132</v>
      </c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 t="s">
        <v>132</v>
      </c>
      <c r="BC336" s="36"/>
      <c r="BD336" s="36"/>
      <c r="BE336" s="36">
        <v>677408695</v>
      </c>
      <c r="BF336" s="36" t="s">
        <v>1189</v>
      </c>
      <c r="BG336" s="36"/>
      <c r="BH336" s="36"/>
      <c r="BI336" s="36"/>
      <c r="BJ336" t="str">
        <f t="shared" si="65"/>
        <v/>
      </c>
      <c r="BK336" s="36" t="s">
        <v>137</v>
      </c>
      <c r="BL336" t="str">
        <f t="shared" si="70"/>
        <v/>
      </c>
      <c r="BM336" s="36" t="s">
        <v>159</v>
      </c>
      <c r="BN336" s="36"/>
      <c r="BO336" t="str">
        <f t="shared" si="67"/>
        <v/>
      </c>
      <c r="BP336" s="36"/>
      <c r="BQ336" s="36"/>
      <c r="BR336" t="s">
        <v>451</v>
      </c>
      <c r="BS336" t="s">
        <v>132</v>
      </c>
      <c r="CI336" t="s">
        <v>119</v>
      </c>
      <c r="CP336" s="11">
        <v>46060</v>
      </c>
      <c r="CR336" t="str">
        <f t="shared" si="72"/>
        <v/>
      </c>
      <c r="CS336" t="str">
        <f t="shared" si="73"/>
        <v/>
      </c>
      <c r="CT336">
        <f t="shared" si="66"/>
        <v>0</v>
      </c>
      <c r="CV336" t="str">
        <f t="shared" si="75"/>
        <v/>
      </c>
      <c r="CX336" s="37">
        <v>46060</v>
      </c>
      <c r="CY336" t="str">
        <f t="shared" si="71"/>
        <v>S6_2026</v>
      </c>
      <c r="DB336" t="s">
        <v>114</v>
      </c>
      <c r="DC336" t="s">
        <v>160</v>
      </c>
    </row>
    <row r="337" spans="1:107" x14ac:dyDescent="0.35">
      <c r="A337" s="36" t="s">
        <v>1273</v>
      </c>
      <c r="B337" s="10" t="str">
        <f t="shared" si="68"/>
        <v>S6_2026</v>
      </c>
      <c r="C337" s="10" t="str">
        <f t="shared" si="69"/>
        <v>S6_2026</v>
      </c>
      <c r="D337" s="37">
        <v>46060</v>
      </c>
      <c r="E337" s="36" t="s">
        <v>106</v>
      </c>
      <c r="F337" s="69">
        <v>3</v>
      </c>
      <c r="G337" t="s">
        <v>107</v>
      </c>
      <c r="H337" s="36" t="s">
        <v>108</v>
      </c>
      <c r="I337" s="36"/>
      <c r="J337" s="36" t="s">
        <v>114</v>
      </c>
      <c r="K337" s="40" t="s">
        <v>110</v>
      </c>
      <c r="L337" s="36" t="s">
        <v>126</v>
      </c>
      <c r="M337" s="36" t="s">
        <v>1084</v>
      </c>
      <c r="N337" s="36" t="s">
        <v>1274</v>
      </c>
      <c r="O337" s="36" t="s">
        <v>1275</v>
      </c>
      <c r="P337" s="36" t="s">
        <v>1276</v>
      </c>
      <c r="Q337" s="36" t="s">
        <v>853</v>
      </c>
      <c r="R337" s="37">
        <v>46058</v>
      </c>
      <c r="S337" s="37">
        <v>46058</v>
      </c>
      <c r="T337" s="37">
        <v>46058</v>
      </c>
      <c r="U337" s="36"/>
      <c r="V337" s="36"/>
      <c r="W337" s="36"/>
      <c r="X337" s="36"/>
      <c r="Y337" s="36"/>
      <c r="Z337" s="36"/>
      <c r="AA337" s="36"/>
      <c r="AB337" s="36"/>
      <c r="AC337" s="36" t="s">
        <v>1277</v>
      </c>
      <c r="AD337" s="36"/>
      <c r="AE337" s="36" t="s">
        <v>114</v>
      </c>
      <c r="AF337" s="36"/>
      <c r="AG337" s="36"/>
      <c r="AH337" s="36"/>
      <c r="AI337" s="36"/>
      <c r="AJ337" s="36"/>
      <c r="AK337" s="36" t="s">
        <v>451</v>
      </c>
      <c r="AL337" s="36"/>
      <c r="AM337" s="36" t="s">
        <v>451</v>
      </c>
      <c r="AN337" s="36" t="s">
        <v>142</v>
      </c>
      <c r="AO337" s="36"/>
      <c r="AP337" s="36"/>
      <c r="AQ337" s="36" t="s">
        <v>132</v>
      </c>
      <c r="AR337" s="36" t="s">
        <v>1278</v>
      </c>
      <c r="AS337" s="37">
        <v>46063</v>
      </c>
      <c r="AT337" s="36"/>
      <c r="AU337" s="36" t="s">
        <v>114</v>
      </c>
      <c r="AV337" s="36" t="s">
        <v>115</v>
      </c>
      <c r="AW337" s="36"/>
      <c r="AX337" s="36"/>
      <c r="AY337" s="36"/>
      <c r="AZ337" s="36"/>
      <c r="BA337" s="36"/>
      <c r="BB337" s="36" t="s">
        <v>114</v>
      </c>
      <c r="BC337" s="37">
        <v>46060</v>
      </c>
      <c r="BD337" s="36" t="s">
        <v>116</v>
      </c>
      <c r="BE337" s="36">
        <v>673196006</v>
      </c>
      <c r="BF337" s="36" t="s">
        <v>1276</v>
      </c>
      <c r="BG337" t="s">
        <v>449</v>
      </c>
      <c r="BH337" s="36"/>
      <c r="BI337" s="36"/>
      <c r="BJ337" t="str">
        <f t="shared" ref="BJ337:BJ400" si="76">IFERROR("S"&amp;(IF(_xlfn.ISOWEEKNUM(BI337)&gt;0,_xlfn.ISOWEEKNUM(BI337),_xlfn.CONCAT("0",_xlfn.ISOWEEKNUM(BI337))))&amp;"_"&amp;(YEAR(BI337+26-(_xlfn.ISOWEEKNUM(BI337)))),"")</f>
        <v/>
      </c>
      <c r="BK337" s="36" t="s">
        <v>137</v>
      </c>
      <c r="BL337" t="str">
        <f t="shared" si="70"/>
        <v>S6_2026</v>
      </c>
      <c r="BM337" s="36" t="s">
        <v>159</v>
      </c>
      <c r="BN337" s="37">
        <v>46065</v>
      </c>
      <c r="BO337" t="str">
        <f t="shared" si="67"/>
        <v>S7_2026</v>
      </c>
      <c r="BP337" s="36" t="s">
        <v>114</v>
      </c>
      <c r="BQ337" s="36" t="s">
        <v>450</v>
      </c>
      <c r="BR337" t="s">
        <v>451</v>
      </c>
      <c r="BS337" t="s">
        <v>132</v>
      </c>
      <c r="CI337" t="s">
        <v>119</v>
      </c>
      <c r="CP337" s="11">
        <v>46060</v>
      </c>
      <c r="CR337">
        <f t="shared" si="72"/>
        <v>3</v>
      </c>
      <c r="CS337">
        <f t="shared" si="73"/>
        <v>2</v>
      </c>
      <c r="CT337">
        <f t="shared" si="66"/>
        <v>2</v>
      </c>
      <c r="CV337" t="str">
        <f t="shared" si="75"/>
        <v/>
      </c>
      <c r="CX337" s="37">
        <v>46058</v>
      </c>
      <c r="CY337" t="str">
        <f t="shared" si="71"/>
        <v>S6_2026</v>
      </c>
      <c r="DC337" t="s">
        <v>120</v>
      </c>
    </row>
    <row r="338" spans="1:107" x14ac:dyDescent="0.35">
      <c r="A338" s="36" t="s">
        <v>1279</v>
      </c>
      <c r="B338" s="10" t="str">
        <f t="shared" si="68"/>
        <v>S6_2026</v>
      </c>
      <c r="C338" s="10" t="str">
        <f t="shared" si="69"/>
        <v>S6_2026</v>
      </c>
      <c r="D338" s="11">
        <v>46059</v>
      </c>
      <c r="E338" s="19" t="s">
        <v>123</v>
      </c>
      <c r="F338" s="24">
        <v>36</v>
      </c>
      <c r="G338" s="16" t="s">
        <v>429</v>
      </c>
      <c r="H338" t="s">
        <v>108</v>
      </c>
      <c r="J338" t="s">
        <v>150</v>
      </c>
      <c r="K338" s="12"/>
      <c r="L338" s="19" t="s">
        <v>126</v>
      </c>
      <c r="M338" s="19" t="s">
        <v>146</v>
      </c>
      <c r="N338" t="s">
        <v>1042</v>
      </c>
      <c r="O338" t="s">
        <v>184</v>
      </c>
      <c r="P338" t="s">
        <v>1280</v>
      </c>
      <c r="Q338" s="19" t="s">
        <v>146</v>
      </c>
      <c r="R338" s="11">
        <v>46056</v>
      </c>
      <c r="S338" s="11">
        <v>46056</v>
      </c>
      <c r="T338" s="11">
        <v>46056</v>
      </c>
      <c r="V338" t="s">
        <v>114</v>
      </c>
      <c r="AE338" t="s">
        <v>114</v>
      </c>
      <c r="AF338" t="s">
        <v>132</v>
      </c>
      <c r="AG338" t="s">
        <v>114</v>
      </c>
      <c r="AK338" t="s">
        <v>114</v>
      </c>
      <c r="AM338" t="s">
        <v>142</v>
      </c>
      <c r="AN338" t="s">
        <v>451</v>
      </c>
      <c r="AQ338" t="s">
        <v>132</v>
      </c>
      <c r="AR338" t="s">
        <v>1281</v>
      </c>
      <c r="AS338" s="11">
        <v>46059</v>
      </c>
      <c r="AU338" t="s">
        <v>114</v>
      </c>
      <c r="AV338" t="s">
        <v>134</v>
      </c>
      <c r="AW338" t="s">
        <v>152</v>
      </c>
      <c r="AY338" t="s">
        <v>135</v>
      </c>
      <c r="BB338" t="s">
        <v>114</v>
      </c>
      <c r="BC338" s="11">
        <v>46059</v>
      </c>
      <c r="BD338" t="s">
        <v>261</v>
      </c>
      <c r="BF338" s="26" t="s">
        <v>1042</v>
      </c>
      <c r="BG338" t="s">
        <v>449</v>
      </c>
      <c r="BI338" s="11">
        <v>46065</v>
      </c>
      <c r="BJ338" t="str">
        <f t="shared" si="76"/>
        <v>S7_2026</v>
      </c>
      <c r="BK338" s="19" t="s">
        <v>137</v>
      </c>
      <c r="BL338" t="str">
        <f t="shared" si="70"/>
        <v>S6_2026</v>
      </c>
      <c r="BM338" t="s">
        <v>159</v>
      </c>
      <c r="BN338" s="11">
        <v>46065</v>
      </c>
      <c r="BO338" t="str">
        <f t="shared" si="67"/>
        <v>S7_2026</v>
      </c>
      <c r="BP338" t="s">
        <v>114</v>
      </c>
      <c r="BQ338" t="s">
        <v>450</v>
      </c>
      <c r="BR338" t="s">
        <v>451</v>
      </c>
      <c r="BS338" t="s">
        <v>132</v>
      </c>
      <c r="CI338" t="s">
        <v>119</v>
      </c>
      <c r="CK338" t="s">
        <v>138</v>
      </c>
      <c r="CP338" s="11">
        <v>46059</v>
      </c>
      <c r="CR338">
        <f t="shared" si="72"/>
        <v>0</v>
      </c>
      <c r="CS338">
        <f t="shared" si="73"/>
        <v>6</v>
      </c>
      <c r="CT338">
        <f t="shared" si="66"/>
        <v>3</v>
      </c>
      <c r="CU338" t="str">
        <f t="shared" si="74"/>
        <v/>
      </c>
      <c r="CV338">
        <f t="shared" si="75"/>
        <v>9</v>
      </c>
      <c r="CW338" t="s">
        <v>132</v>
      </c>
      <c r="CX338" s="11">
        <v>46056</v>
      </c>
      <c r="CY338" t="str">
        <f t="shared" si="71"/>
        <v>S6_2026</v>
      </c>
      <c r="DC338" t="s">
        <v>139</v>
      </c>
    </row>
    <row r="339" spans="1:107" x14ac:dyDescent="0.35">
      <c r="A339" s="36" t="s">
        <v>1282</v>
      </c>
      <c r="B339" s="10" t="str">
        <f t="shared" si="68"/>
        <v>S7_2026</v>
      </c>
      <c r="C339" s="10" t="str">
        <f t="shared" si="69"/>
        <v>S6_2026</v>
      </c>
      <c r="D339" s="11">
        <v>46062</v>
      </c>
      <c r="E339" t="s">
        <v>123</v>
      </c>
      <c r="F339" s="24">
        <v>4</v>
      </c>
      <c r="G339" t="s">
        <v>107</v>
      </c>
      <c r="H339" t="s">
        <v>108</v>
      </c>
      <c r="J339" t="s">
        <v>114</v>
      </c>
      <c r="K339" s="12" t="s">
        <v>110</v>
      </c>
      <c r="L339" s="19" t="s">
        <v>111</v>
      </c>
      <c r="M339" s="19" t="s">
        <v>308</v>
      </c>
      <c r="N339" t="s">
        <v>631</v>
      </c>
      <c r="O339" t="s">
        <v>1283</v>
      </c>
      <c r="P339" t="s">
        <v>631</v>
      </c>
      <c r="Q339" s="19" t="s">
        <v>312</v>
      </c>
      <c r="R339" s="11">
        <v>46058</v>
      </c>
      <c r="S339" s="11">
        <v>46058</v>
      </c>
      <c r="T339" s="11">
        <v>46058</v>
      </c>
      <c r="V339" t="s">
        <v>114</v>
      </c>
      <c r="AE339" t="s">
        <v>114</v>
      </c>
      <c r="AK339" t="s">
        <v>451</v>
      </c>
      <c r="AM339" t="s">
        <v>114</v>
      </c>
      <c r="AN339" t="s">
        <v>142</v>
      </c>
      <c r="AQ339" t="s">
        <v>132</v>
      </c>
      <c r="AR339" t="s">
        <v>1284</v>
      </c>
      <c r="AS339" s="11">
        <v>46062</v>
      </c>
      <c r="AU339" t="s">
        <v>114</v>
      </c>
      <c r="AV339" t="s">
        <v>115</v>
      </c>
      <c r="BB339" t="s">
        <v>114</v>
      </c>
      <c r="BC339" s="11">
        <v>46062</v>
      </c>
      <c r="BD339" t="s">
        <v>116</v>
      </c>
      <c r="BF339" t="s">
        <v>631</v>
      </c>
      <c r="BG339" t="s">
        <v>114</v>
      </c>
      <c r="BJ339" t="str">
        <f t="shared" si="76"/>
        <v/>
      </c>
      <c r="BK339" s="19" t="s">
        <v>117</v>
      </c>
      <c r="BL339" t="str">
        <f t="shared" si="70"/>
        <v>S7_2026</v>
      </c>
      <c r="BM339" t="s">
        <v>159</v>
      </c>
      <c r="BN339" s="11">
        <v>46064</v>
      </c>
      <c r="BO339" t="str">
        <f t="shared" si="67"/>
        <v>S7_2026</v>
      </c>
      <c r="BP339" t="s">
        <v>114</v>
      </c>
      <c r="BQ339" t="s">
        <v>118</v>
      </c>
      <c r="BR339" t="s">
        <v>451</v>
      </c>
      <c r="BS339" t="s">
        <v>132</v>
      </c>
      <c r="CI339" t="s">
        <v>119</v>
      </c>
      <c r="CP339" s="11">
        <v>46062</v>
      </c>
      <c r="CR339">
        <f t="shared" si="72"/>
        <v>0</v>
      </c>
      <c r="CS339">
        <f t="shared" si="73"/>
        <v>2</v>
      </c>
      <c r="CT339">
        <f t="shared" si="66"/>
        <v>0</v>
      </c>
      <c r="CV339" t="str">
        <f t="shared" si="75"/>
        <v/>
      </c>
      <c r="CW339" t="s">
        <v>132</v>
      </c>
      <c r="CX339" s="11">
        <v>46062</v>
      </c>
      <c r="CY339" t="str">
        <f t="shared" si="71"/>
        <v>S7_2026</v>
      </c>
      <c r="DC339" t="s">
        <v>120</v>
      </c>
    </row>
    <row r="340" spans="1:107" x14ac:dyDescent="0.35">
      <c r="A340" s="36" t="s">
        <v>1285</v>
      </c>
      <c r="B340" s="10" t="str">
        <f t="shared" si="68"/>
        <v>S7_2026</v>
      </c>
      <c r="C340" s="10" t="str">
        <f t="shared" si="69"/>
        <v>S6_2026</v>
      </c>
      <c r="D340" s="11">
        <v>46062</v>
      </c>
      <c r="E340" t="s">
        <v>123</v>
      </c>
      <c r="F340" s="24">
        <v>43</v>
      </c>
      <c r="G340" t="s">
        <v>882</v>
      </c>
      <c r="H340" t="s">
        <v>108</v>
      </c>
      <c r="J340" t="s">
        <v>114</v>
      </c>
      <c r="K340" s="14">
        <v>46059</v>
      </c>
      <c r="L340" s="19" t="s">
        <v>111</v>
      </c>
      <c r="M340" s="19" t="s">
        <v>598</v>
      </c>
      <c r="N340" t="s">
        <v>1286</v>
      </c>
      <c r="O340" t="s">
        <v>1287</v>
      </c>
      <c r="P340" t="s">
        <v>110</v>
      </c>
      <c r="Q340" s="19" t="s">
        <v>598</v>
      </c>
      <c r="R340" s="11">
        <v>46059</v>
      </c>
      <c r="S340" s="11">
        <v>46059</v>
      </c>
      <c r="T340" s="11">
        <v>46059</v>
      </c>
      <c r="V340" t="s">
        <v>114</v>
      </c>
      <c r="AE340" t="s">
        <v>114</v>
      </c>
      <c r="AF340" t="s">
        <v>114</v>
      </c>
      <c r="AG340" t="s">
        <v>114</v>
      </c>
      <c r="AJ340" t="s">
        <v>1288</v>
      </c>
      <c r="AK340" t="s">
        <v>114</v>
      </c>
      <c r="AM340" t="s">
        <v>132</v>
      </c>
      <c r="AN340" t="s">
        <v>114</v>
      </c>
      <c r="AQ340" t="s">
        <v>132</v>
      </c>
      <c r="AR340" t="s">
        <v>1289</v>
      </c>
      <c r="AS340" s="11">
        <v>46062</v>
      </c>
      <c r="AU340" t="s">
        <v>114</v>
      </c>
      <c r="AV340" t="s">
        <v>115</v>
      </c>
      <c r="BB340" t="s">
        <v>114</v>
      </c>
      <c r="BC340" s="11">
        <v>46060</v>
      </c>
      <c r="BD340" t="s">
        <v>169</v>
      </c>
      <c r="BF340" t="s">
        <v>1290</v>
      </c>
      <c r="BG340" t="s">
        <v>449</v>
      </c>
      <c r="BJ340" t="str">
        <f t="shared" si="76"/>
        <v/>
      </c>
      <c r="BK340" s="19" t="s">
        <v>117</v>
      </c>
      <c r="BL340" t="str">
        <f t="shared" si="70"/>
        <v>S6_2026</v>
      </c>
      <c r="BM340" t="s">
        <v>159</v>
      </c>
      <c r="BN340" s="11">
        <v>46065</v>
      </c>
      <c r="BO340" t="str">
        <f t="shared" si="67"/>
        <v>S7_2026</v>
      </c>
      <c r="BP340" t="s">
        <v>114</v>
      </c>
      <c r="BQ340" t="s">
        <v>450</v>
      </c>
      <c r="BR340" t="s">
        <v>451</v>
      </c>
      <c r="BS340" t="s">
        <v>132</v>
      </c>
      <c r="CI340" t="s">
        <v>119</v>
      </c>
      <c r="CP340" s="11">
        <v>46060</v>
      </c>
      <c r="CR340">
        <f t="shared" si="72"/>
        <v>2</v>
      </c>
      <c r="CS340">
        <f t="shared" si="73"/>
        <v>3</v>
      </c>
      <c r="CT340">
        <f t="shared" si="66"/>
        <v>1</v>
      </c>
      <c r="CU340">
        <f t="shared" si="74"/>
        <v>1</v>
      </c>
      <c r="CV340" t="str">
        <f t="shared" si="75"/>
        <v/>
      </c>
      <c r="CW340" t="s">
        <v>132</v>
      </c>
      <c r="CX340" s="11">
        <v>46059</v>
      </c>
      <c r="CY340" t="str">
        <f t="shared" si="71"/>
        <v>S6_2026</v>
      </c>
      <c r="DB340" t="s">
        <v>114</v>
      </c>
      <c r="DC340" t="s">
        <v>160</v>
      </c>
    </row>
    <row r="341" spans="1:107" x14ac:dyDescent="0.35">
      <c r="A341" s="36" t="s">
        <v>1291</v>
      </c>
      <c r="B341" s="10" t="str">
        <f t="shared" si="68"/>
        <v>S7_2026</v>
      </c>
      <c r="C341" s="10" t="str">
        <f t="shared" si="69"/>
        <v>S5_2026</v>
      </c>
      <c r="D341" s="11">
        <v>46063</v>
      </c>
      <c r="E341" t="s">
        <v>106</v>
      </c>
      <c r="F341" s="24">
        <v>31</v>
      </c>
      <c r="G341" t="s">
        <v>162</v>
      </c>
      <c r="H341" t="s">
        <v>108</v>
      </c>
      <c r="J341" t="s">
        <v>132</v>
      </c>
      <c r="K341" s="12"/>
      <c r="L341" t="s">
        <v>111</v>
      </c>
      <c r="M341" t="s">
        <v>143</v>
      </c>
      <c r="N341" t="s">
        <v>887</v>
      </c>
      <c r="O341" t="s">
        <v>184</v>
      </c>
      <c r="P341" t="s">
        <v>1292</v>
      </c>
      <c r="Q341" t="s">
        <v>143</v>
      </c>
      <c r="R341" s="11">
        <v>46054</v>
      </c>
      <c r="S341" s="11">
        <v>46054</v>
      </c>
      <c r="T341" s="11">
        <v>46054</v>
      </c>
      <c r="Z341" t="s">
        <v>114</v>
      </c>
      <c r="AE341" t="s">
        <v>114</v>
      </c>
      <c r="AK341" t="s">
        <v>132</v>
      </c>
      <c r="AM341" t="s">
        <v>114</v>
      </c>
      <c r="AN341" t="s">
        <v>132</v>
      </c>
      <c r="AQ341" t="s">
        <v>132</v>
      </c>
      <c r="BB341" t="s">
        <v>114</v>
      </c>
      <c r="BC341" s="11">
        <v>46063</v>
      </c>
      <c r="BD341" t="s">
        <v>512</v>
      </c>
      <c r="BE341">
        <v>691308842</v>
      </c>
      <c r="BF341" t="s">
        <v>887</v>
      </c>
      <c r="BJ341" t="str">
        <f t="shared" si="76"/>
        <v/>
      </c>
      <c r="BK341" t="s">
        <v>117</v>
      </c>
      <c r="BL341" t="str">
        <f t="shared" si="70"/>
        <v>S7_2026</v>
      </c>
      <c r="BM341" t="s">
        <v>159</v>
      </c>
      <c r="BO341" t="str">
        <f t="shared" si="67"/>
        <v/>
      </c>
      <c r="BR341" t="s">
        <v>451</v>
      </c>
      <c r="BS341" t="s">
        <v>132</v>
      </c>
      <c r="CI341" t="s">
        <v>119</v>
      </c>
      <c r="CP341" s="11">
        <v>46063</v>
      </c>
      <c r="CR341" t="str">
        <f t="shared" si="72"/>
        <v/>
      </c>
      <c r="CS341" t="str">
        <f t="shared" si="73"/>
        <v/>
      </c>
      <c r="CT341">
        <f t="shared" si="66"/>
        <v>9</v>
      </c>
      <c r="CU341" t="str">
        <f t="shared" si="74"/>
        <v/>
      </c>
      <c r="CV341" t="str">
        <f t="shared" si="75"/>
        <v/>
      </c>
      <c r="CW341" t="s">
        <v>132</v>
      </c>
      <c r="CX341" s="11">
        <v>46054</v>
      </c>
      <c r="CY341" t="str">
        <f t="shared" si="71"/>
        <v>S5_2026</v>
      </c>
      <c r="DC341" t="s">
        <v>1293</v>
      </c>
    </row>
    <row r="342" spans="1:107" x14ac:dyDescent="0.35">
      <c r="A342" s="36" t="s">
        <v>1294</v>
      </c>
      <c r="B342" s="10" t="str">
        <f t="shared" si="68"/>
        <v>S7_2026</v>
      </c>
      <c r="C342" s="10" t="str">
        <f t="shared" si="69"/>
        <v>S6_2026</v>
      </c>
      <c r="D342" s="11">
        <v>46063</v>
      </c>
      <c r="E342" s="36" t="s">
        <v>123</v>
      </c>
      <c r="F342" s="69">
        <v>29</v>
      </c>
      <c r="G342" s="36" t="s">
        <v>429</v>
      </c>
      <c r="H342" s="36" t="s">
        <v>108</v>
      </c>
      <c r="I342" s="36"/>
      <c r="J342" s="36" t="s">
        <v>114</v>
      </c>
      <c r="K342" s="35">
        <v>46063</v>
      </c>
      <c r="L342" s="36" t="s">
        <v>126</v>
      </c>
      <c r="M342" s="36" t="s">
        <v>146</v>
      </c>
      <c r="N342" s="36" t="s">
        <v>340</v>
      </c>
      <c r="O342" s="36" t="s">
        <v>1295</v>
      </c>
      <c r="P342" s="36" t="s">
        <v>1296</v>
      </c>
      <c r="Q342" s="36" t="s">
        <v>146</v>
      </c>
      <c r="R342" s="37">
        <v>46059</v>
      </c>
      <c r="S342" s="37">
        <v>46059</v>
      </c>
      <c r="T342" s="37">
        <v>46059</v>
      </c>
      <c r="U342" s="36"/>
      <c r="V342" s="36" t="s">
        <v>114</v>
      </c>
      <c r="W342" s="36" t="s">
        <v>114</v>
      </c>
      <c r="X342" s="36" t="s">
        <v>114</v>
      </c>
      <c r="Y342" s="36" t="s">
        <v>132</v>
      </c>
      <c r="Z342" s="36" t="s">
        <v>114</v>
      </c>
      <c r="AA342" s="36"/>
      <c r="AB342" s="36" t="s">
        <v>114</v>
      </c>
      <c r="AC342" s="36"/>
      <c r="AD342" s="36"/>
      <c r="AE342" s="36" t="s">
        <v>114</v>
      </c>
      <c r="AF342" s="36" t="s">
        <v>132</v>
      </c>
      <c r="AG342" s="36" t="s">
        <v>132</v>
      </c>
      <c r="AH342" s="36" t="s">
        <v>132</v>
      </c>
      <c r="AI342" s="36" t="s">
        <v>132</v>
      </c>
      <c r="AJ342" s="36" t="s">
        <v>132</v>
      </c>
      <c r="AK342" s="36" t="s">
        <v>132</v>
      </c>
      <c r="AL342" s="36"/>
      <c r="AM342" s="36" t="s">
        <v>132</v>
      </c>
      <c r="AN342" s="36" t="s">
        <v>132</v>
      </c>
      <c r="AO342" s="36"/>
      <c r="AP342" s="36" t="s">
        <v>132</v>
      </c>
      <c r="AQ342" s="36" t="s">
        <v>132</v>
      </c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 t="s">
        <v>114</v>
      </c>
      <c r="BC342" s="37">
        <v>46063</v>
      </c>
      <c r="BD342" s="36"/>
      <c r="BE342" s="36"/>
      <c r="BF342" s="36" t="s">
        <v>1297</v>
      </c>
      <c r="BG342" s="36"/>
      <c r="BH342" s="36"/>
      <c r="BI342" s="36"/>
      <c r="BJ342" t="str">
        <f t="shared" si="76"/>
        <v/>
      </c>
      <c r="BK342" s="36" t="s">
        <v>137</v>
      </c>
      <c r="BL342" t="str">
        <f t="shared" si="70"/>
        <v>S7_2026</v>
      </c>
      <c r="BM342" s="36" t="s">
        <v>159</v>
      </c>
      <c r="BN342" s="37"/>
      <c r="BO342" t="str">
        <f t="shared" si="67"/>
        <v/>
      </c>
      <c r="BP342" s="36"/>
      <c r="BQ342" s="36"/>
      <c r="BR342" s="36" t="s">
        <v>451</v>
      </c>
      <c r="BS342" t="s">
        <v>132</v>
      </c>
      <c r="CI342" t="s">
        <v>119</v>
      </c>
      <c r="CP342" s="11">
        <v>46063</v>
      </c>
      <c r="CR342" t="str">
        <f t="shared" si="72"/>
        <v/>
      </c>
      <c r="CS342" t="str">
        <f t="shared" si="73"/>
        <v/>
      </c>
      <c r="CT342">
        <f t="shared" si="66"/>
        <v>4</v>
      </c>
      <c r="CU342">
        <f t="shared" si="74"/>
        <v>0</v>
      </c>
      <c r="CV342" t="str">
        <f t="shared" si="75"/>
        <v/>
      </c>
      <c r="CW342" t="s">
        <v>132</v>
      </c>
      <c r="CX342" s="37">
        <v>46059</v>
      </c>
      <c r="CY342" t="str">
        <f t="shared" si="71"/>
        <v>S6_2026</v>
      </c>
      <c r="DB342" t="s">
        <v>114</v>
      </c>
      <c r="DC342" t="s">
        <v>160</v>
      </c>
    </row>
    <row r="343" spans="1:107" x14ac:dyDescent="0.35">
      <c r="A343" s="36" t="s">
        <v>1298</v>
      </c>
      <c r="B343" s="10" t="str">
        <f t="shared" si="68"/>
        <v>S7_2026</v>
      </c>
      <c r="C343" s="10" t="str">
        <f t="shared" si="69"/>
        <v>S6_2026</v>
      </c>
      <c r="D343" s="11">
        <v>46063</v>
      </c>
      <c r="E343" t="s">
        <v>123</v>
      </c>
      <c r="F343" s="24">
        <v>3</v>
      </c>
      <c r="G343" t="s">
        <v>141</v>
      </c>
      <c r="H343" t="s">
        <v>108</v>
      </c>
      <c r="J343" t="s">
        <v>132</v>
      </c>
      <c r="K343" s="12"/>
      <c r="L343" t="s">
        <v>126</v>
      </c>
      <c r="M343" t="s">
        <v>127</v>
      </c>
      <c r="N343" t="s">
        <v>1299</v>
      </c>
      <c r="O343" t="s">
        <v>184</v>
      </c>
      <c r="P343" t="s">
        <v>1300</v>
      </c>
      <c r="Q343" t="s">
        <v>215</v>
      </c>
      <c r="R343" s="11">
        <v>46061</v>
      </c>
      <c r="S343" s="11">
        <v>46061</v>
      </c>
      <c r="T343" s="11">
        <v>46061</v>
      </c>
      <c r="V343" t="s">
        <v>114</v>
      </c>
      <c r="AE343" t="s">
        <v>114</v>
      </c>
      <c r="AF343" t="s">
        <v>114</v>
      </c>
      <c r="AG343" t="s">
        <v>114</v>
      </c>
      <c r="AJ343" t="s">
        <v>259</v>
      </c>
      <c r="AK343" t="s">
        <v>451</v>
      </c>
      <c r="AM343" t="s">
        <v>132</v>
      </c>
      <c r="AN343" t="s">
        <v>142</v>
      </c>
      <c r="AQ343" t="s">
        <v>132</v>
      </c>
      <c r="AR343" t="s">
        <v>1301</v>
      </c>
      <c r="AS343" s="11">
        <v>46063</v>
      </c>
      <c r="AU343" t="s">
        <v>114</v>
      </c>
      <c r="AV343" t="s">
        <v>115</v>
      </c>
      <c r="BB343" t="s">
        <v>114</v>
      </c>
      <c r="BC343" s="11">
        <v>46062</v>
      </c>
      <c r="BD343" t="s">
        <v>1302</v>
      </c>
      <c r="BF343" t="s">
        <v>1299</v>
      </c>
      <c r="BG343" t="s">
        <v>114</v>
      </c>
      <c r="BJ343" t="str">
        <f t="shared" si="76"/>
        <v/>
      </c>
      <c r="BK343" t="s">
        <v>137</v>
      </c>
      <c r="BL343" t="str">
        <f t="shared" si="70"/>
        <v>S7_2026</v>
      </c>
      <c r="BM343" t="s">
        <v>159</v>
      </c>
      <c r="BN343" s="11">
        <v>46065</v>
      </c>
      <c r="BO343" t="str">
        <f t="shared" si="67"/>
        <v>S7_2026</v>
      </c>
      <c r="BP343" t="s">
        <v>114</v>
      </c>
      <c r="BQ343" t="s">
        <v>450</v>
      </c>
      <c r="BR343" t="s">
        <v>451</v>
      </c>
      <c r="BS343" t="s">
        <v>132</v>
      </c>
      <c r="CI343" t="s">
        <v>119</v>
      </c>
      <c r="CP343" s="11">
        <v>46062</v>
      </c>
      <c r="CR343">
        <f t="shared" si="72"/>
        <v>1</v>
      </c>
      <c r="CS343">
        <f t="shared" si="73"/>
        <v>2</v>
      </c>
      <c r="CT343">
        <f t="shared" si="66"/>
        <v>1</v>
      </c>
      <c r="CU343" t="str">
        <f t="shared" si="74"/>
        <v/>
      </c>
      <c r="CV343" t="str">
        <f t="shared" si="75"/>
        <v/>
      </c>
      <c r="CW343" t="s">
        <v>132</v>
      </c>
      <c r="CX343" s="11">
        <v>46061</v>
      </c>
      <c r="CY343" t="str">
        <f t="shared" si="71"/>
        <v>S6_2026</v>
      </c>
      <c r="DC343" t="s">
        <v>120</v>
      </c>
    </row>
    <row r="344" spans="1:107" x14ac:dyDescent="0.35">
      <c r="A344" s="36" t="s">
        <v>1303</v>
      </c>
      <c r="B344" s="10" t="str">
        <f t="shared" si="68"/>
        <v>S7_2026</v>
      </c>
      <c r="C344" s="10" t="str">
        <f t="shared" si="69"/>
        <v>S6_2026</v>
      </c>
      <c r="D344" s="11">
        <v>46066</v>
      </c>
      <c r="E344" t="s">
        <v>106</v>
      </c>
      <c r="F344" s="24">
        <v>3</v>
      </c>
      <c r="G344" t="s">
        <v>141</v>
      </c>
      <c r="H344" t="s">
        <v>108</v>
      </c>
      <c r="J344" t="s">
        <v>132</v>
      </c>
      <c r="K344" s="12"/>
      <c r="L344" t="s">
        <v>111</v>
      </c>
      <c r="M344" t="s">
        <v>308</v>
      </c>
      <c r="N344" t="s">
        <v>631</v>
      </c>
      <c r="O344" t="s">
        <v>184</v>
      </c>
      <c r="P344" t="s">
        <v>631</v>
      </c>
      <c r="Q344" t="s">
        <v>312</v>
      </c>
      <c r="R344" s="11">
        <v>46057</v>
      </c>
      <c r="S344" s="11">
        <v>46057</v>
      </c>
      <c r="T344" s="11">
        <v>46057</v>
      </c>
      <c r="V344" t="s">
        <v>132</v>
      </c>
      <c r="W344" t="s">
        <v>132</v>
      </c>
      <c r="X344" t="s">
        <v>114</v>
      </c>
      <c r="Y344" t="s">
        <v>132</v>
      </c>
      <c r="Z344" t="s">
        <v>132</v>
      </c>
      <c r="AA344" t="s">
        <v>132</v>
      </c>
      <c r="AB344" t="s">
        <v>132</v>
      </c>
      <c r="AC344" t="s">
        <v>1115</v>
      </c>
      <c r="AE344" t="s">
        <v>114</v>
      </c>
      <c r="AF344" t="s">
        <v>132</v>
      </c>
      <c r="AG344" t="s">
        <v>132</v>
      </c>
      <c r="AH344" t="s">
        <v>132</v>
      </c>
      <c r="AI344" t="s">
        <v>142</v>
      </c>
      <c r="AJ344" t="s">
        <v>259</v>
      </c>
      <c r="AK344" t="s">
        <v>132</v>
      </c>
      <c r="AM344" t="s">
        <v>114</v>
      </c>
      <c r="AN344" t="s">
        <v>114</v>
      </c>
      <c r="AP344" t="s">
        <v>132</v>
      </c>
      <c r="AQ344" t="s">
        <v>132</v>
      </c>
      <c r="AR344" t="s">
        <v>1304</v>
      </c>
      <c r="AS344" s="11">
        <v>46065</v>
      </c>
      <c r="AU344" t="s">
        <v>114</v>
      </c>
      <c r="AV344" t="s">
        <v>115</v>
      </c>
      <c r="BB344" t="s">
        <v>114</v>
      </c>
      <c r="BC344" s="11">
        <v>46063</v>
      </c>
      <c r="BD344" t="s">
        <v>116</v>
      </c>
      <c r="BE344">
        <v>673625391</v>
      </c>
      <c r="BF344" t="s">
        <v>631</v>
      </c>
      <c r="BG344" t="s">
        <v>114</v>
      </c>
      <c r="BJ344" t="str">
        <f t="shared" si="76"/>
        <v/>
      </c>
      <c r="BK344" t="s">
        <v>117</v>
      </c>
      <c r="BL344" t="str">
        <f t="shared" si="70"/>
        <v>S7_2026</v>
      </c>
      <c r="BM344" t="s">
        <v>159</v>
      </c>
      <c r="BN344" s="11">
        <v>46066</v>
      </c>
      <c r="BO344" t="str">
        <f t="shared" si="67"/>
        <v>S7_2026</v>
      </c>
      <c r="BP344" t="s">
        <v>114</v>
      </c>
      <c r="BQ344" t="s">
        <v>118</v>
      </c>
      <c r="BR344" t="s">
        <v>451</v>
      </c>
      <c r="BS344" t="s">
        <v>132</v>
      </c>
      <c r="CI344" t="s">
        <v>119</v>
      </c>
      <c r="CP344" s="11">
        <v>46063</v>
      </c>
      <c r="CQ344" t="s">
        <v>132</v>
      </c>
      <c r="CR344">
        <f t="shared" si="72"/>
        <v>2</v>
      </c>
      <c r="CS344">
        <f t="shared" si="73"/>
        <v>1</v>
      </c>
      <c r="CT344">
        <f t="shared" si="66"/>
        <v>6</v>
      </c>
      <c r="CU344" t="str">
        <f t="shared" si="74"/>
        <v/>
      </c>
      <c r="CV344" t="str">
        <f t="shared" si="75"/>
        <v/>
      </c>
      <c r="CW344" t="s">
        <v>132</v>
      </c>
      <c r="CX344" s="11">
        <v>46057</v>
      </c>
      <c r="CY344" t="str">
        <f t="shared" si="71"/>
        <v>S6_2026</v>
      </c>
      <c r="DC344" t="s">
        <v>120</v>
      </c>
    </row>
    <row r="345" spans="1:107" x14ac:dyDescent="0.35">
      <c r="A345" s="36" t="s">
        <v>1305</v>
      </c>
      <c r="B345" s="10" t="str">
        <f>IFERROR("S"&amp;(IF(_xlfn.ISOWEEKNUM(D345)&gt;0,_xlfn.ISOWEEKNUM(D345),_xlfn.CONCAT("0",_xlfn.ISOWEEKNUM(D345))))&amp;"_"&amp;(YEAR(D345+26-(_xlfn.ISOWEEKNUM(D345)))),"")</f>
        <v>S8_2026</v>
      </c>
      <c r="C345" s="10" t="str">
        <f t="shared" si="69"/>
        <v>S7_2026</v>
      </c>
      <c r="D345" s="37">
        <v>46069</v>
      </c>
      <c r="E345" s="36" t="s">
        <v>106</v>
      </c>
      <c r="F345" s="69">
        <v>21</v>
      </c>
      <c r="G345" t="s">
        <v>564</v>
      </c>
      <c r="H345" s="36" t="s">
        <v>108</v>
      </c>
      <c r="I345" s="36"/>
      <c r="J345" s="36" t="s">
        <v>114</v>
      </c>
      <c r="K345" s="35">
        <v>46067</v>
      </c>
      <c r="L345" s="36" t="s">
        <v>126</v>
      </c>
      <c r="M345" s="36" t="s">
        <v>357</v>
      </c>
      <c r="N345" s="36" t="s">
        <v>1306</v>
      </c>
      <c r="O345" s="36" t="s">
        <v>1307</v>
      </c>
      <c r="P345" s="36" t="s">
        <v>1308</v>
      </c>
      <c r="Q345" s="36" t="s">
        <v>357</v>
      </c>
      <c r="R345" s="37">
        <v>46064</v>
      </c>
      <c r="S345" s="37">
        <v>46064</v>
      </c>
      <c r="T345" s="37">
        <v>46064</v>
      </c>
      <c r="U345" s="36"/>
      <c r="V345" s="36" t="s">
        <v>114</v>
      </c>
      <c r="W345" s="36" t="s">
        <v>114</v>
      </c>
      <c r="X345" s="36" t="s">
        <v>114</v>
      </c>
      <c r="Y345" s="36" t="s">
        <v>114</v>
      </c>
      <c r="Z345" s="36" t="s">
        <v>114</v>
      </c>
      <c r="AA345" s="36" t="s">
        <v>114</v>
      </c>
      <c r="AB345" s="36" t="s">
        <v>114</v>
      </c>
      <c r="AC345" s="36"/>
      <c r="AD345" s="36"/>
      <c r="AE345" s="36" t="s">
        <v>114</v>
      </c>
      <c r="AF345" s="36" t="s">
        <v>114</v>
      </c>
      <c r="AG345" s="36" t="s">
        <v>114</v>
      </c>
      <c r="AH345" s="36" t="s">
        <v>132</v>
      </c>
      <c r="AI345" s="36" t="s">
        <v>132</v>
      </c>
      <c r="AJ345" s="36" t="s">
        <v>259</v>
      </c>
      <c r="AK345" s="36" t="s">
        <v>114</v>
      </c>
      <c r="AL345" s="36"/>
      <c r="AM345" s="36" t="s">
        <v>132</v>
      </c>
      <c r="AN345" s="36" t="s">
        <v>142</v>
      </c>
      <c r="AO345" s="36"/>
      <c r="AP345" s="36" t="s">
        <v>132</v>
      </c>
      <c r="AQ345" s="36" t="s">
        <v>132</v>
      </c>
      <c r="AR345" s="36" t="s">
        <v>1309</v>
      </c>
      <c r="AS345" s="37">
        <v>46070</v>
      </c>
      <c r="AT345" s="36"/>
      <c r="AU345" s="36" t="s">
        <v>114</v>
      </c>
      <c r="AV345" t="s">
        <v>134</v>
      </c>
      <c r="AW345" t="s">
        <v>152</v>
      </c>
      <c r="AX345" s="36"/>
      <c r="AY345" t="s">
        <v>135</v>
      </c>
      <c r="AZ345" s="36"/>
      <c r="BA345" s="36"/>
      <c r="BB345" s="36" t="s">
        <v>114</v>
      </c>
      <c r="BC345" s="37">
        <v>46069</v>
      </c>
      <c r="BD345" s="36" t="s">
        <v>1310</v>
      </c>
      <c r="BE345" s="36"/>
      <c r="BF345" s="36" t="s">
        <v>1306</v>
      </c>
      <c r="BG345" t="s">
        <v>449</v>
      </c>
      <c r="BH345" s="36"/>
      <c r="BI345" s="37">
        <v>46073</v>
      </c>
      <c r="BJ345" t="str">
        <f t="shared" si="76"/>
        <v>S8_2026</v>
      </c>
      <c r="BK345" s="36" t="s">
        <v>137</v>
      </c>
      <c r="BL345" t="str">
        <f t="shared" si="70"/>
        <v>S8_2026</v>
      </c>
      <c r="BM345" s="36" t="s">
        <v>159</v>
      </c>
      <c r="BN345" s="37">
        <v>46073</v>
      </c>
      <c r="BO345" t="str">
        <f t="shared" si="67"/>
        <v>S8_2026</v>
      </c>
      <c r="BP345" s="36" t="s">
        <v>114</v>
      </c>
      <c r="BQ345" s="36" t="s">
        <v>450</v>
      </c>
      <c r="BR345" s="36" t="s">
        <v>451</v>
      </c>
      <c r="BS345" t="s">
        <v>132</v>
      </c>
      <c r="CI345" t="s">
        <v>119</v>
      </c>
      <c r="CK345" t="s">
        <v>138</v>
      </c>
      <c r="CP345" s="11">
        <v>46069</v>
      </c>
      <c r="CQ345" t="s">
        <v>132</v>
      </c>
      <c r="CR345">
        <f t="shared" si="72"/>
        <v>1</v>
      </c>
      <c r="CS345">
        <f t="shared" si="73"/>
        <v>3</v>
      </c>
      <c r="CT345">
        <f t="shared" si="66"/>
        <v>5</v>
      </c>
      <c r="CU345">
        <f t="shared" si="74"/>
        <v>2</v>
      </c>
      <c r="CV345">
        <f t="shared" si="75"/>
        <v>9</v>
      </c>
      <c r="CW345" t="s">
        <v>132</v>
      </c>
      <c r="CX345" s="11">
        <v>46064</v>
      </c>
      <c r="CY345" t="str">
        <f t="shared" si="71"/>
        <v>S7_2026</v>
      </c>
      <c r="DC345" t="s">
        <v>139</v>
      </c>
    </row>
    <row r="346" spans="1:107" x14ac:dyDescent="0.35">
      <c r="A346" s="36" t="s">
        <v>1311</v>
      </c>
      <c r="B346" s="10" t="str">
        <f>IFERROR("S"&amp;(IF(_xlfn.ISOWEEKNUM(D346)&gt;0,_xlfn.ISOWEEKNUM(D346),_xlfn.CONCAT("0",_xlfn.ISOWEEKNUM(D346))))&amp;"_"&amp;(YEAR(D346+26-(_xlfn.ISOWEEKNUM(D346)))),"")</f>
        <v>S8_2026</v>
      </c>
      <c r="C346" s="10" t="str">
        <f t="shared" si="69"/>
        <v>S7_2026</v>
      </c>
      <c r="D346" s="11">
        <v>46073</v>
      </c>
      <c r="E346" t="s">
        <v>106</v>
      </c>
      <c r="F346" s="24">
        <v>4</v>
      </c>
      <c r="G346" t="s">
        <v>107</v>
      </c>
      <c r="H346" t="s">
        <v>108</v>
      </c>
      <c r="J346" t="s">
        <v>132</v>
      </c>
      <c r="L346" t="s">
        <v>111</v>
      </c>
      <c r="M346" t="s">
        <v>504</v>
      </c>
      <c r="N346" t="s">
        <v>1312</v>
      </c>
      <c r="O346" t="s">
        <v>184</v>
      </c>
      <c r="P346" t="s">
        <v>1312</v>
      </c>
      <c r="Q346" t="s">
        <v>504</v>
      </c>
      <c r="R346" s="11">
        <v>46066</v>
      </c>
      <c r="S346" s="11">
        <v>46066</v>
      </c>
      <c r="T346" s="11">
        <v>46066</v>
      </c>
      <c r="V346" t="s">
        <v>114</v>
      </c>
      <c r="W346" t="s">
        <v>114</v>
      </c>
      <c r="X346" t="s">
        <v>114</v>
      </c>
      <c r="Y346" t="s">
        <v>114</v>
      </c>
      <c r="Z346" t="s">
        <v>114</v>
      </c>
      <c r="AA346" t="s">
        <v>114</v>
      </c>
      <c r="AB346" t="s">
        <v>114</v>
      </c>
      <c r="AC346" t="s">
        <v>114</v>
      </c>
      <c r="AE346" t="s">
        <v>114</v>
      </c>
      <c r="AF346" t="s">
        <v>132</v>
      </c>
      <c r="AG346" t="s">
        <v>132</v>
      </c>
      <c r="AH346" t="s">
        <v>132</v>
      </c>
      <c r="AI346" t="s">
        <v>142</v>
      </c>
      <c r="AJ346" t="s">
        <v>259</v>
      </c>
      <c r="AK346" t="s">
        <v>132</v>
      </c>
      <c r="AM346" t="s">
        <v>114</v>
      </c>
      <c r="AN346" t="s">
        <v>132</v>
      </c>
      <c r="AP346" t="s">
        <v>132</v>
      </c>
      <c r="AQ346" t="s">
        <v>132</v>
      </c>
      <c r="AR346" t="s">
        <v>1313</v>
      </c>
      <c r="AS346" s="11">
        <v>46070</v>
      </c>
      <c r="AU346" t="s">
        <v>114</v>
      </c>
      <c r="AV346" t="s">
        <v>115</v>
      </c>
      <c r="BB346" t="s">
        <v>114</v>
      </c>
      <c r="BC346" s="11">
        <v>46070</v>
      </c>
      <c r="BD346" t="s">
        <v>524</v>
      </c>
      <c r="BE346">
        <v>676611239</v>
      </c>
      <c r="BF346" t="s">
        <v>1312</v>
      </c>
      <c r="BG346" t="s">
        <v>449</v>
      </c>
      <c r="BJ346" t="str">
        <f t="shared" si="76"/>
        <v/>
      </c>
      <c r="BK346" t="s">
        <v>117</v>
      </c>
      <c r="BL346" t="str">
        <f t="shared" si="70"/>
        <v>S8_2026</v>
      </c>
      <c r="BM346" t="s">
        <v>159</v>
      </c>
      <c r="BN346" s="11">
        <v>46072</v>
      </c>
      <c r="BO346" t="str">
        <f t="shared" si="67"/>
        <v>S8_2026</v>
      </c>
      <c r="BP346" t="s">
        <v>114</v>
      </c>
      <c r="BQ346" t="s">
        <v>450</v>
      </c>
      <c r="BR346" t="s">
        <v>451</v>
      </c>
      <c r="BS346" t="s">
        <v>132</v>
      </c>
      <c r="CI346" t="s">
        <v>119</v>
      </c>
      <c r="CP346" s="11">
        <v>46070</v>
      </c>
      <c r="CQ346" t="s">
        <v>132</v>
      </c>
      <c r="CR346">
        <f t="shared" si="72"/>
        <v>0</v>
      </c>
      <c r="CS346">
        <f t="shared" si="73"/>
        <v>2</v>
      </c>
      <c r="CT346">
        <f t="shared" si="66"/>
        <v>4</v>
      </c>
      <c r="CU346" t="str">
        <f t="shared" si="74"/>
        <v/>
      </c>
      <c r="CV346" t="str">
        <f t="shared" si="75"/>
        <v/>
      </c>
      <c r="CW346" t="s">
        <v>132</v>
      </c>
      <c r="CX346" s="11">
        <v>46066</v>
      </c>
      <c r="CY346" t="str">
        <f t="shared" si="71"/>
        <v>S7_2026</v>
      </c>
      <c r="DC346" t="s">
        <v>120</v>
      </c>
    </row>
    <row r="347" spans="1:107" x14ac:dyDescent="0.35">
      <c r="A347" t="s">
        <v>1314</v>
      </c>
      <c r="B347" s="10" t="str">
        <f t="shared" ref="B347:B410" si="77">IFERROR("S"&amp;(IF(_xlfn.ISOWEEKNUM(D347)&gt;0,_xlfn.ISOWEEKNUM(D347),_xlfn.CONCAT("0",_xlfn.ISOWEEKNUM(D347))))&amp;"_"&amp;(YEAR(D347+26-(_xlfn.ISOWEEKNUM(D347)))),"")</f>
        <v>S7_2026</v>
      </c>
      <c r="C347" s="10" t="str">
        <f t="shared" si="69"/>
        <v>S6_2026</v>
      </c>
      <c r="D347" s="14">
        <v>46067</v>
      </c>
      <c r="E347" s="19" t="s">
        <v>123</v>
      </c>
      <c r="F347" s="24">
        <v>39</v>
      </c>
      <c r="G347" t="s">
        <v>364</v>
      </c>
      <c r="H347" t="s">
        <v>108</v>
      </c>
      <c r="J347" t="s">
        <v>132</v>
      </c>
      <c r="L347" s="19" t="s">
        <v>182</v>
      </c>
      <c r="M347" s="19" t="s">
        <v>949</v>
      </c>
      <c r="N347" t="s">
        <v>988</v>
      </c>
      <c r="O347" t="s">
        <v>184</v>
      </c>
      <c r="P347" t="s">
        <v>1315</v>
      </c>
      <c r="Q347" s="19" t="s">
        <v>949</v>
      </c>
      <c r="R347" s="14">
        <v>46056</v>
      </c>
      <c r="S347" s="14">
        <v>46056</v>
      </c>
      <c r="T347" s="14">
        <v>46056</v>
      </c>
      <c r="V347" t="s">
        <v>132</v>
      </c>
      <c r="W347" t="s">
        <v>132</v>
      </c>
      <c r="X347" t="s">
        <v>132</v>
      </c>
      <c r="Y347" t="s">
        <v>132</v>
      </c>
      <c r="Z347" t="s">
        <v>114</v>
      </c>
      <c r="AA347" t="s">
        <v>132</v>
      </c>
      <c r="AB347" t="s">
        <v>132</v>
      </c>
      <c r="AE347" t="s">
        <v>132</v>
      </c>
      <c r="AF347" t="s">
        <v>132</v>
      </c>
      <c r="AG347" t="s">
        <v>114</v>
      </c>
      <c r="AH347" t="s">
        <v>132</v>
      </c>
      <c r="AI347" t="s">
        <v>132</v>
      </c>
      <c r="AJ347" t="s">
        <v>132</v>
      </c>
      <c r="AK347" t="s">
        <v>132</v>
      </c>
      <c r="AM347" t="s">
        <v>114</v>
      </c>
      <c r="AN347" t="s">
        <v>114</v>
      </c>
      <c r="AP347" t="s">
        <v>114</v>
      </c>
      <c r="AQ347" t="s">
        <v>142</v>
      </c>
      <c r="AR347" t="s">
        <v>1316</v>
      </c>
      <c r="AS347" s="11">
        <v>46071</v>
      </c>
      <c r="AU347" t="s">
        <v>114</v>
      </c>
      <c r="AV347" t="s">
        <v>115</v>
      </c>
      <c r="BB347" t="s">
        <v>114</v>
      </c>
      <c r="BC347" s="11">
        <v>46067</v>
      </c>
      <c r="BD347" t="s">
        <v>243</v>
      </c>
      <c r="BF347" t="s">
        <v>988</v>
      </c>
      <c r="BG347" t="s">
        <v>449</v>
      </c>
      <c r="BJ347" t="str">
        <f t="shared" si="76"/>
        <v/>
      </c>
      <c r="BK347" t="s">
        <v>187</v>
      </c>
      <c r="BL347" t="str">
        <f t="shared" si="70"/>
        <v>S7_2026</v>
      </c>
      <c r="BM347" t="s">
        <v>159</v>
      </c>
      <c r="BN347" s="11">
        <v>46073</v>
      </c>
      <c r="BO347" t="str">
        <f t="shared" si="67"/>
        <v>S8_2026</v>
      </c>
      <c r="BP347" t="s">
        <v>114</v>
      </c>
      <c r="BQ347" t="s">
        <v>450</v>
      </c>
      <c r="BR347" t="s">
        <v>451</v>
      </c>
      <c r="BS347" t="s">
        <v>132</v>
      </c>
      <c r="CI347" t="s">
        <v>119</v>
      </c>
      <c r="CP347" s="14">
        <v>46067</v>
      </c>
      <c r="CQ347" t="s">
        <v>132</v>
      </c>
      <c r="CR347">
        <f t="shared" si="72"/>
        <v>4</v>
      </c>
      <c r="CS347">
        <f t="shared" si="73"/>
        <v>2</v>
      </c>
      <c r="CT347">
        <f t="shared" si="66"/>
        <v>11</v>
      </c>
      <c r="CU347" t="str">
        <f t="shared" si="74"/>
        <v/>
      </c>
      <c r="CV347" t="str">
        <f t="shared" si="75"/>
        <v/>
      </c>
      <c r="CW347" t="s">
        <v>132</v>
      </c>
      <c r="CX347" s="14">
        <v>46056</v>
      </c>
      <c r="CY347" t="str">
        <f t="shared" si="71"/>
        <v>S6_2026</v>
      </c>
      <c r="DC347" t="s">
        <v>120</v>
      </c>
    </row>
    <row r="348" spans="1:107" x14ac:dyDescent="0.35">
      <c r="A348" t="s">
        <v>1317</v>
      </c>
      <c r="B348" s="10" t="str">
        <f t="shared" si="77"/>
        <v>S6_2026</v>
      </c>
      <c r="C348" s="10" t="str">
        <f t="shared" si="69"/>
        <v>S1_2026</v>
      </c>
      <c r="D348" s="14">
        <v>46055</v>
      </c>
      <c r="E348" t="s">
        <v>106</v>
      </c>
      <c r="F348" s="24">
        <v>6</v>
      </c>
      <c r="G348" t="s">
        <v>107</v>
      </c>
      <c r="H348" t="s">
        <v>108</v>
      </c>
      <c r="J348" t="s">
        <v>132</v>
      </c>
      <c r="L348" s="19" t="s">
        <v>182</v>
      </c>
      <c r="M348" s="19" t="s">
        <v>949</v>
      </c>
      <c r="N348" t="s">
        <v>988</v>
      </c>
      <c r="O348" t="s">
        <v>184</v>
      </c>
      <c r="P348" t="s">
        <v>1318</v>
      </c>
      <c r="Q348" s="19" t="s">
        <v>949</v>
      </c>
      <c r="R348" s="14">
        <v>46025</v>
      </c>
      <c r="S348" s="14">
        <v>46025</v>
      </c>
      <c r="T348" s="14">
        <v>46025</v>
      </c>
      <c r="V348" t="s">
        <v>132</v>
      </c>
      <c r="W348" t="s">
        <v>132</v>
      </c>
      <c r="X348" t="s">
        <v>132</v>
      </c>
      <c r="Y348" t="s">
        <v>114</v>
      </c>
      <c r="Z348" t="s">
        <v>132</v>
      </c>
      <c r="AA348" t="s">
        <v>132</v>
      </c>
      <c r="AB348" t="s">
        <v>132</v>
      </c>
      <c r="AE348" t="s">
        <v>114</v>
      </c>
      <c r="AF348" t="s">
        <v>132</v>
      </c>
      <c r="AG348" t="s">
        <v>114</v>
      </c>
      <c r="AH348" t="s">
        <v>132</v>
      </c>
      <c r="AI348" t="s">
        <v>132</v>
      </c>
      <c r="AJ348" t="s">
        <v>132</v>
      </c>
      <c r="AK348" t="s">
        <v>132</v>
      </c>
      <c r="AM348" t="s">
        <v>114</v>
      </c>
      <c r="AN348" t="s">
        <v>114</v>
      </c>
      <c r="AP348" t="s">
        <v>132</v>
      </c>
      <c r="AQ348" t="s">
        <v>142</v>
      </c>
      <c r="AR348" t="s">
        <v>1319</v>
      </c>
      <c r="AS348" s="11">
        <v>46071</v>
      </c>
      <c r="AU348" t="s">
        <v>114</v>
      </c>
      <c r="AV348" t="s">
        <v>115</v>
      </c>
      <c r="BA348"/>
      <c r="BB348" t="s">
        <v>114</v>
      </c>
      <c r="BC348" s="11">
        <v>46061</v>
      </c>
      <c r="BD348" t="s">
        <v>116</v>
      </c>
      <c r="BF348" t="s">
        <v>988</v>
      </c>
      <c r="BG348" t="s">
        <v>449</v>
      </c>
      <c r="BJ348" t="str">
        <f t="shared" si="76"/>
        <v/>
      </c>
      <c r="BK348" t="s">
        <v>187</v>
      </c>
      <c r="BL348" t="str">
        <f t="shared" si="70"/>
        <v>S6_2026</v>
      </c>
      <c r="BM348" t="s">
        <v>159</v>
      </c>
      <c r="BN348" s="11">
        <v>46072</v>
      </c>
      <c r="BO348" t="str">
        <f t="shared" si="67"/>
        <v>S8_2026</v>
      </c>
      <c r="BP348" t="s">
        <v>114</v>
      </c>
      <c r="BQ348" t="s">
        <v>450</v>
      </c>
      <c r="BR348" t="s">
        <v>451</v>
      </c>
      <c r="BS348" t="s">
        <v>132</v>
      </c>
      <c r="CI348" t="s">
        <v>119</v>
      </c>
      <c r="CP348" s="14">
        <v>46055</v>
      </c>
      <c r="CQ348" t="s">
        <v>132</v>
      </c>
      <c r="CR348">
        <f t="shared" si="72"/>
        <v>10</v>
      </c>
      <c r="CS348">
        <f t="shared" si="73"/>
        <v>1</v>
      </c>
      <c r="CT348">
        <f t="shared" si="66"/>
        <v>30</v>
      </c>
      <c r="CU348" t="str">
        <f t="shared" si="74"/>
        <v/>
      </c>
      <c r="CV348" t="str">
        <f t="shared" si="75"/>
        <v/>
      </c>
      <c r="CW348" t="s">
        <v>132</v>
      </c>
      <c r="CX348" s="14">
        <v>46025</v>
      </c>
      <c r="CY348" t="str">
        <f t="shared" si="71"/>
        <v>S1_2026</v>
      </c>
      <c r="DC348" t="s">
        <v>120</v>
      </c>
    </row>
    <row r="349" spans="1:107" x14ac:dyDescent="0.35">
      <c r="A349" t="s">
        <v>1320</v>
      </c>
      <c r="B349" s="10" t="str">
        <f t="shared" si="77"/>
        <v>S1_2026</v>
      </c>
      <c r="C349" s="10" t="str">
        <f t="shared" si="69"/>
        <v>S40_2025</v>
      </c>
      <c r="D349" s="14">
        <v>46026</v>
      </c>
      <c r="E349" t="s">
        <v>106</v>
      </c>
      <c r="F349" s="24">
        <v>18</v>
      </c>
      <c r="G349" t="s">
        <v>162</v>
      </c>
      <c r="H349" t="s">
        <v>108</v>
      </c>
      <c r="J349" t="s">
        <v>132</v>
      </c>
      <c r="L349" s="19" t="s">
        <v>182</v>
      </c>
      <c r="M349" s="19" t="s">
        <v>949</v>
      </c>
      <c r="N349" t="s">
        <v>988</v>
      </c>
      <c r="O349" t="s">
        <v>184</v>
      </c>
      <c r="P349" t="s">
        <v>949</v>
      </c>
      <c r="Q349" s="19" t="s">
        <v>949</v>
      </c>
      <c r="R349" s="14">
        <v>45929</v>
      </c>
      <c r="S349" s="14">
        <v>45929</v>
      </c>
      <c r="T349" s="14">
        <v>45929</v>
      </c>
      <c r="V349" t="s">
        <v>114</v>
      </c>
      <c r="W349" t="s">
        <v>114</v>
      </c>
      <c r="X349" t="s">
        <v>114</v>
      </c>
      <c r="Y349" t="s">
        <v>114</v>
      </c>
      <c r="Z349" t="s">
        <v>114</v>
      </c>
      <c r="AA349" t="s">
        <v>114</v>
      </c>
      <c r="AB349" t="s">
        <v>114</v>
      </c>
      <c r="AE349" t="s">
        <v>114</v>
      </c>
      <c r="AF349" t="s">
        <v>132</v>
      </c>
      <c r="AG349" t="s">
        <v>114</v>
      </c>
      <c r="AH349" t="s">
        <v>132</v>
      </c>
      <c r="AI349" t="s">
        <v>132</v>
      </c>
      <c r="AJ349" t="s">
        <v>132</v>
      </c>
      <c r="AK349" t="s">
        <v>132</v>
      </c>
      <c r="AM349" t="s">
        <v>114</v>
      </c>
      <c r="AN349" t="s">
        <v>114</v>
      </c>
      <c r="AP349" t="s">
        <v>114</v>
      </c>
      <c r="AQ349" t="s">
        <v>142</v>
      </c>
      <c r="AR349" t="s">
        <v>1321</v>
      </c>
      <c r="AS349" s="11">
        <v>46071</v>
      </c>
      <c r="AU349" t="s">
        <v>114</v>
      </c>
      <c r="AV349" t="s">
        <v>115</v>
      </c>
      <c r="BA349"/>
      <c r="BB349" t="s">
        <v>114</v>
      </c>
      <c r="BC349" s="11">
        <v>46060</v>
      </c>
      <c r="BD349" t="s">
        <v>252</v>
      </c>
      <c r="BF349" t="s">
        <v>988</v>
      </c>
      <c r="BG349" t="s">
        <v>449</v>
      </c>
      <c r="BJ349" t="str">
        <f t="shared" si="76"/>
        <v/>
      </c>
      <c r="BK349" t="s">
        <v>187</v>
      </c>
      <c r="BL349" t="str">
        <f t="shared" si="70"/>
        <v>S6_2026</v>
      </c>
      <c r="BM349" t="s">
        <v>159</v>
      </c>
      <c r="BN349" s="11">
        <v>46072</v>
      </c>
      <c r="BO349" t="str">
        <f t="shared" si="67"/>
        <v>S8_2026</v>
      </c>
      <c r="BP349" t="s">
        <v>114</v>
      </c>
      <c r="BQ349" t="s">
        <v>450</v>
      </c>
      <c r="BR349" t="s">
        <v>451</v>
      </c>
      <c r="BS349" t="s">
        <v>132</v>
      </c>
      <c r="CI349" t="s">
        <v>119</v>
      </c>
      <c r="CP349" s="14">
        <v>46026</v>
      </c>
      <c r="CQ349" t="s">
        <v>132</v>
      </c>
      <c r="CR349">
        <f t="shared" si="72"/>
        <v>11</v>
      </c>
      <c r="CS349">
        <f t="shared" si="73"/>
        <v>1</v>
      </c>
      <c r="CT349">
        <f t="shared" si="66"/>
        <v>97</v>
      </c>
      <c r="CU349" t="str">
        <f t="shared" si="74"/>
        <v/>
      </c>
      <c r="CV349" t="str">
        <f t="shared" si="75"/>
        <v/>
      </c>
      <c r="CW349" t="s">
        <v>132</v>
      </c>
      <c r="CX349" s="14">
        <v>45929</v>
      </c>
      <c r="CY349" t="str">
        <f t="shared" si="71"/>
        <v>S40_2025</v>
      </c>
      <c r="DC349" t="s">
        <v>120</v>
      </c>
    </row>
    <row r="350" spans="1:107" x14ac:dyDescent="0.35">
      <c r="A350" t="s">
        <v>1322</v>
      </c>
      <c r="B350" s="10" t="str">
        <f t="shared" si="77"/>
        <v>S2_2026</v>
      </c>
      <c r="C350" s="10" t="str">
        <f t="shared" si="69"/>
        <v>S6_2026</v>
      </c>
      <c r="D350" s="14">
        <v>46027</v>
      </c>
      <c r="E350" t="s">
        <v>106</v>
      </c>
      <c r="F350" s="24">
        <v>0.25</v>
      </c>
      <c r="G350" t="s">
        <v>141</v>
      </c>
      <c r="H350" t="s">
        <v>108</v>
      </c>
      <c r="J350" t="s">
        <v>132</v>
      </c>
      <c r="L350" s="19" t="s">
        <v>182</v>
      </c>
      <c r="M350" s="19" t="s">
        <v>949</v>
      </c>
      <c r="N350" t="s">
        <v>988</v>
      </c>
      <c r="O350" t="s">
        <v>184</v>
      </c>
      <c r="P350" t="s">
        <v>949</v>
      </c>
      <c r="Q350" s="19" t="s">
        <v>949</v>
      </c>
      <c r="R350" s="14">
        <v>46055</v>
      </c>
      <c r="S350" s="14">
        <v>46055</v>
      </c>
      <c r="T350" s="14">
        <v>46055</v>
      </c>
      <c r="V350" t="s">
        <v>114</v>
      </c>
      <c r="W350" t="s">
        <v>114</v>
      </c>
      <c r="X350" t="s">
        <v>114</v>
      </c>
      <c r="Y350" t="s">
        <v>114</v>
      </c>
      <c r="Z350" t="s">
        <v>114</v>
      </c>
      <c r="AA350" t="s">
        <v>114</v>
      </c>
      <c r="AB350" t="s">
        <v>114</v>
      </c>
      <c r="AE350" t="s">
        <v>114</v>
      </c>
      <c r="AF350" t="s">
        <v>132</v>
      </c>
      <c r="AG350" t="s">
        <v>114</v>
      </c>
      <c r="AH350" t="s">
        <v>132</v>
      </c>
      <c r="AI350" t="s">
        <v>132</v>
      </c>
      <c r="AJ350" t="s">
        <v>132</v>
      </c>
      <c r="AK350" t="s">
        <v>132</v>
      </c>
      <c r="AM350" t="s">
        <v>114</v>
      </c>
      <c r="AN350" t="s">
        <v>114</v>
      </c>
      <c r="AP350" t="s">
        <v>132</v>
      </c>
      <c r="AQ350" t="s">
        <v>142</v>
      </c>
      <c r="AR350" t="s">
        <v>1323</v>
      </c>
      <c r="AS350" s="11">
        <v>46071</v>
      </c>
      <c r="AU350" t="s">
        <v>114</v>
      </c>
      <c r="AV350" t="s">
        <v>115</v>
      </c>
      <c r="BA350"/>
      <c r="BB350" t="s">
        <v>114</v>
      </c>
      <c r="BC350" s="11">
        <v>46061</v>
      </c>
      <c r="BD350" t="s">
        <v>116</v>
      </c>
      <c r="BF350" t="s">
        <v>988</v>
      </c>
      <c r="BG350" t="s">
        <v>449</v>
      </c>
      <c r="BJ350" t="str">
        <f t="shared" si="76"/>
        <v/>
      </c>
      <c r="BK350" t="s">
        <v>187</v>
      </c>
      <c r="BL350" t="str">
        <f t="shared" si="70"/>
        <v>S6_2026</v>
      </c>
      <c r="BM350" t="s">
        <v>159</v>
      </c>
      <c r="BN350" s="11">
        <v>46072</v>
      </c>
      <c r="BO350" t="str">
        <f t="shared" si="67"/>
        <v>S8_2026</v>
      </c>
      <c r="BP350" t="s">
        <v>114</v>
      </c>
      <c r="BQ350" t="s">
        <v>450</v>
      </c>
      <c r="BR350" t="s">
        <v>451</v>
      </c>
      <c r="BS350" t="s">
        <v>132</v>
      </c>
      <c r="CI350" t="s">
        <v>119</v>
      </c>
      <c r="CP350" s="14">
        <v>46027</v>
      </c>
      <c r="CQ350" t="s">
        <v>132</v>
      </c>
      <c r="CR350">
        <f t="shared" si="72"/>
        <v>10</v>
      </c>
      <c r="CS350">
        <f t="shared" si="73"/>
        <v>1</v>
      </c>
      <c r="CT350">
        <f t="shared" si="66"/>
        <v>-28</v>
      </c>
      <c r="CU350" t="str">
        <f t="shared" si="74"/>
        <v/>
      </c>
      <c r="CV350" t="str">
        <f t="shared" si="75"/>
        <v/>
      </c>
      <c r="CW350" t="s">
        <v>132</v>
      </c>
      <c r="CX350" s="14">
        <v>46055</v>
      </c>
      <c r="CY350" t="str">
        <f t="shared" si="71"/>
        <v>S6_2026</v>
      </c>
      <c r="DC350" t="s">
        <v>120</v>
      </c>
    </row>
    <row r="351" spans="1:107" x14ac:dyDescent="0.35">
      <c r="A351" t="s">
        <v>1324</v>
      </c>
      <c r="B351" s="10" t="str">
        <f t="shared" si="77"/>
        <v>S6_2026</v>
      </c>
      <c r="C351" s="10" t="str">
        <f t="shared" si="69"/>
        <v>S4_2026</v>
      </c>
      <c r="D351" s="14">
        <v>46060</v>
      </c>
      <c r="E351" t="s">
        <v>106</v>
      </c>
      <c r="F351" s="24">
        <v>2</v>
      </c>
      <c r="G351" t="s">
        <v>141</v>
      </c>
      <c r="H351" t="s">
        <v>108</v>
      </c>
      <c r="J351" t="s">
        <v>132</v>
      </c>
      <c r="L351" s="19" t="s">
        <v>182</v>
      </c>
      <c r="M351" s="19" t="s">
        <v>949</v>
      </c>
      <c r="N351" t="s">
        <v>988</v>
      </c>
      <c r="O351" t="s">
        <v>184</v>
      </c>
      <c r="P351" t="s">
        <v>1325</v>
      </c>
      <c r="Q351" s="19" t="s">
        <v>949</v>
      </c>
      <c r="R351" s="14">
        <v>46046</v>
      </c>
      <c r="S351" s="14">
        <v>46046</v>
      </c>
      <c r="T351" s="14">
        <v>46046</v>
      </c>
      <c r="V351" t="s">
        <v>114</v>
      </c>
      <c r="W351" t="s">
        <v>114</v>
      </c>
      <c r="X351" t="s">
        <v>114</v>
      </c>
      <c r="Y351" t="s">
        <v>114</v>
      </c>
      <c r="Z351" t="s">
        <v>114</v>
      </c>
      <c r="AA351" t="s">
        <v>132</v>
      </c>
      <c r="AB351" t="s">
        <v>132</v>
      </c>
      <c r="AE351" t="s">
        <v>114</v>
      </c>
      <c r="AF351" t="s">
        <v>132</v>
      </c>
      <c r="AG351" t="s">
        <v>114</v>
      </c>
      <c r="AH351" t="s">
        <v>132</v>
      </c>
      <c r="AI351" t="s">
        <v>132</v>
      </c>
      <c r="AJ351" t="s">
        <v>132</v>
      </c>
      <c r="AK351" t="s">
        <v>132</v>
      </c>
      <c r="AM351" t="s">
        <v>114</v>
      </c>
      <c r="AN351" t="s">
        <v>114</v>
      </c>
      <c r="AP351" t="s">
        <v>132</v>
      </c>
      <c r="AQ351" t="s">
        <v>142</v>
      </c>
      <c r="AR351" t="s">
        <v>1326</v>
      </c>
      <c r="AS351" s="11">
        <v>46071</v>
      </c>
      <c r="AU351" t="s">
        <v>114</v>
      </c>
      <c r="AV351" t="s">
        <v>115</v>
      </c>
      <c r="BA351"/>
      <c r="BB351" t="s">
        <v>114</v>
      </c>
      <c r="BC351" s="11">
        <v>46060</v>
      </c>
      <c r="BD351" t="s">
        <v>116</v>
      </c>
      <c r="BF351" t="s">
        <v>988</v>
      </c>
      <c r="BG351" t="s">
        <v>449</v>
      </c>
      <c r="BJ351" t="str">
        <f t="shared" si="76"/>
        <v/>
      </c>
      <c r="BK351" t="s">
        <v>187</v>
      </c>
      <c r="BL351" t="str">
        <f t="shared" si="70"/>
        <v>S6_2026</v>
      </c>
      <c r="BM351" t="s">
        <v>159</v>
      </c>
      <c r="BN351" s="11">
        <v>46072</v>
      </c>
      <c r="BO351" t="str">
        <f t="shared" si="67"/>
        <v>S8_2026</v>
      </c>
      <c r="BP351" t="s">
        <v>114</v>
      </c>
      <c r="BQ351" t="s">
        <v>450</v>
      </c>
      <c r="BR351" t="s">
        <v>451</v>
      </c>
      <c r="BS351" t="s">
        <v>132</v>
      </c>
      <c r="CI351" t="s">
        <v>119</v>
      </c>
      <c r="CP351" s="14">
        <v>46060</v>
      </c>
      <c r="CQ351" t="s">
        <v>132</v>
      </c>
      <c r="CR351">
        <f t="shared" si="72"/>
        <v>11</v>
      </c>
      <c r="CS351">
        <f t="shared" si="73"/>
        <v>1</v>
      </c>
      <c r="CT351">
        <f t="shared" si="66"/>
        <v>14</v>
      </c>
      <c r="CU351" t="str">
        <f t="shared" si="74"/>
        <v/>
      </c>
      <c r="CV351" t="str">
        <f t="shared" si="75"/>
        <v/>
      </c>
      <c r="CW351" t="s">
        <v>132</v>
      </c>
      <c r="CX351" s="14">
        <v>46046</v>
      </c>
      <c r="CY351" t="str">
        <f t="shared" si="71"/>
        <v>S4_2026</v>
      </c>
      <c r="DC351" t="s">
        <v>120</v>
      </c>
    </row>
    <row r="352" spans="1:107" x14ac:dyDescent="0.35">
      <c r="A352" t="s">
        <v>1327</v>
      </c>
      <c r="B352" s="10" t="str">
        <f t="shared" si="77"/>
        <v>S6_2026</v>
      </c>
      <c r="C352" s="10" t="str">
        <f t="shared" si="69"/>
        <v>S31_2025</v>
      </c>
      <c r="D352" s="14">
        <v>46060</v>
      </c>
      <c r="E352" s="19" t="s">
        <v>123</v>
      </c>
      <c r="F352" s="24">
        <v>11</v>
      </c>
      <c r="G352" t="s">
        <v>107</v>
      </c>
      <c r="H352" t="s">
        <v>108</v>
      </c>
      <c r="J352" t="s">
        <v>132</v>
      </c>
      <c r="L352" s="19" t="s">
        <v>182</v>
      </c>
      <c r="M352" s="19" t="s">
        <v>949</v>
      </c>
      <c r="N352" t="s">
        <v>988</v>
      </c>
      <c r="O352" t="s">
        <v>184</v>
      </c>
      <c r="P352" t="s">
        <v>988</v>
      </c>
      <c r="Q352" s="19" t="s">
        <v>949</v>
      </c>
      <c r="R352" s="11">
        <v>45871</v>
      </c>
      <c r="S352" s="14">
        <v>45871</v>
      </c>
      <c r="T352" s="11">
        <v>45871</v>
      </c>
      <c r="V352" t="s">
        <v>114</v>
      </c>
      <c r="W352" t="s">
        <v>132</v>
      </c>
      <c r="X352" t="s">
        <v>132</v>
      </c>
      <c r="Y352" t="s">
        <v>132</v>
      </c>
      <c r="Z352" t="s">
        <v>132</v>
      </c>
      <c r="AA352" t="s">
        <v>132</v>
      </c>
      <c r="AB352" t="s">
        <v>114</v>
      </c>
      <c r="AE352" t="s">
        <v>114</v>
      </c>
      <c r="AF352" t="s">
        <v>114</v>
      </c>
      <c r="AG352" t="s">
        <v>114</v>
      </c>
      <c r="AH352" t="s">
        <v>132</v>
      </c>
      <c r="AI352" t="s">
        <v>132</v>
      </c>
      <c r="AJ352" t="s">
        <v>132</v>
      </c>
      <c r="AK352" t="s">
        <v>114</v>
      </c>
      <c r="AM352" t="s">
        <v>114</v>
      </c>
      <c r="AN352" t="s">
        <v>114</v>
      </c>
      <c r="AP352" t="s">
        <v>132</v>
      </c>
      <c r="AQ352" t="s">
        <v>142</v>
      </c>
      <c r="AR352" t="s">
        <v>1328</v>
      </c>
      <c r="AS352" s="11">
        <v>46071</v>
      </c>
      <c r="AU352" t="s">
        <v>114</v>
      </c>
      <c r="AV352" t="s">
        <v>115</v>
      </c>
      <c r="BA352"/>
      <c r="BB352" t="s">
        <v>114</v>
      </c>
      <c r="BC352" s="11">
        <v>46060</v>
      </c>
      <c r="BD352" t="s">
        <v>116</v>
      </c>
      <c r="BF352" t="s">
        <v>988</v>
      </c>
      <c r="BG352" t="s">
        <v>449</v>
      </c>
      <c r="BJ352" t="str">
        <f t="shared" si="76"/>
        <v/>
      </c>
      <c r="BK352" t="s">
        <v>187</v>
      </c>
      <c r="BL352" t="str">
        <f t="shared" si="70"/>
        <v>S6_2026</v>
      </c>
      <c r="BM352" t="s">
        <v>159</v>
      </c>
      <c r="BN352" s="11">
        <v>46072</v>
      </c>
      <c r="BO352" t="str">
        <f t="shared" si="67"/>
        <v>S8_2026</v>
      </c>
      <c r="BP352" t="s">
        <v>114</v>
      </c>
      <c r="BQ352" t="s">
        <v>450</v>
      </c>
      <c r="BR352" t="s">
        <v>451</v>
      </c>
      <c r="BS352" t="s">
        <v>132</v>
      </c>
      <c r="CI352" t="s">
        <v>119</v>
      </c>
      <c r="CP352" s="14">
        <v>46060</v>
      </c>
      <c r="CQ352" t="s">
        <v>132</v>
      </c>
      <c r="CR352">
        <f t="shared" si="72"/>
        <v>11</v>
      </c>
      <c r="CS352">
        <f t="shared" si="73"/>
        <v>1</v>
      </c>
      <c r="CT352">
        <f t="shared" si="66"/>
        <v>189</v>
      </c>
      <c r="CU352" t="str">
        <f t="shared" si="74"/>
        <v/>
      </c>
      <c r="CV352" t="str">
        <f t="shared" si="75"/>
        <v/>
      </c>
      <c r="CW352" t="s">
        <v>132</v>
      </c>
      <c r="CX352" s="11">
        <v>45871</v>
      </c>
      <c r="CY352" t="str">
        <f t="shared" si="71"/>
        <v>S31_2025</v>
      </c>
      <c r="DC352" t="s">
        <v>120</v>
      </c>
    </row>
    <row r="353" spans="1:107" x14ac:dyDescent="0.35">
      <c r="A353" t="s">
        <v>1329</v>
      </c>
      <c r="B353" s="10" t="str">
        <f t="shared" si="77"/>
        <v>S6_2026</v>
      </c>
      <c r="C353" s="10" t="str">
        <f t="shared" si="69"/>
        <v>S40_2025</v>
      </c>
      <c r="D353" s="14">
        <v>46060</v>
      </c>
      <c r="E353" t="s">
        <v>106</v>
      </c>
      <c r="F353" s="24">
        <v>3</v>
      </c>
      <c r="G353" t="s">
        <v>141</v>
      </c>
      <c r="H353" t="s">
        <v>108</v>
      </c>
      <c r="J353" t="s">
        <v>132</v>
      </c>
      <c r="L353" s="19" t="s">
        <v>182</v>
      </c>
      <c r="M353" s="19" t="s">
        <v>949</v>
      </c>
      <c r="N353" t="s">
        <v>988</v>
      </c>
      <c r="O353" t="s">
        <v>184</v>
      </c>
      <c r="P353" t="s">
        <v>988</v>
      </c>
      <c r="Q353" s="19" t="s">
        <v>949</v>
      </c>
      <c r="R353" s="11">
        <v>45931</v>
      </c>
      <c r="S353" s="14">
        <v>45931</v>
      </c>
      <c r="T353" s="11">
        <v>45931</v>
      </c>
      <c r="V353" t="s">
        <v>132</v>
      </c>
      <c r="W353" t="s">
        <v>132</v>
      </c>
      <c r="X353" t="s">
        <v>132</v>
      </c>
      <c r="Y353" t="s">
        <v>114</v>
      </c>
      <c r="Z353" t="s">
        <v>114</v>
      </c>
      <c r="AA353" t="s">
        <v>114</v>
      </c>
      <c r="AB353" t="s">
        <v>132</v>
      </c>
      <c r="AE353" t="s">
        <v>114</v>
      </c>
      <c r="AF353" t="s">
        <v>132</v>
      </c>
      <c r="AG353" t="s">
        <v>114</v>
      </c>
      <c r="AH353" t="s">
        <v>132</v>
      </c>
      <c r="AI353" t="s">
        <v>132</v>
      </c>
      <c r="AJ353" t="s">
        <v>132</v>
      </c>
      <c r="AK353" t="s">
        <v>114</v>
      </c>
      <c r="AM353" t="s">
        <v>114</v>
      </c>
      <c r="AN353" t="s">
        <v>114</v>
      </c>
      <c r="AP353" t="s">
        <v>132</v>
      </c>
      <c r="AQ353" t="s">
        <v>114</v>
      </c>
      <c r="AR353" t="s">
        <v>1330</v>
      </c>
      <c r="AS353" s="11">
        <v>46071</v>
      </c>
      <c r="AU353" t="s">
        <v>114</v>
      </c>
      <c r="AV353" t="s">
        <v>115</v>
      </c>
      <c r="BA353"/>
      <c r="BB353" t="s">
        <v>114</v>
      </c>
      <c r="BC353" s="11">
        <v>46060</v>
      </c>
      <c r="BD353" t="s">
        <v>252</v>
      </c>
      <c r="BF353" t="s">
        <v>988</v>
      </c>
      <c r="BG353" t="s">
        <v>449</v>
      </c>
      <c r="BJ353" t="str">
        <f t="shared" si="76"/>
        <v/>
      </c>
      <c r="BK353" t="s">
        <v>187</v>
      </c>
      <c r="BL353" t="str">
        <f t="shared" si="70"/>
        <v>S6_2026</v>
      </c>
      <c r="BM353" t="s">
        <v>159</v>
      </c>
      <c r="BN353" s="11">
        <v>46072</v>
      </c>
      <c r="BO353" t="str">
        <f t="shared" si="67"/>
        <v>S8_2026</v>
      </c>
      <c r="BP353" t="s">
        <v>114</v>
      </c>
      <c r="BQ353" t="s">
        <v>450</v>
      </c>
      <c r="BR353" t="s">
        <v>451</v>
      </c>
      <c r="BS353" t="s">
        <v>132</v>
      </c>
      <c r="CI353" t="s">
        <v>119</v>
      </c>
      <c r="CP353" s="14">
        <v>46060</v>
      </c>
      <c r="CQ353" t="s">
        <v>132</v>
      </c>
      <c r="CR353">
        <f t="shared" si="72"/>
        <v>11</v>
      </c>
      <c r="CS353">
        <f t="shared" si="73"/>
        <v>1</v>
      </c>
      <c r="CT353">
        <f t="shared" si="66"/>
        <v>129</v>
      </c>
      <c r="CU353" t="str">
        <f t="shared" si="74"/>
        <v/>
      </c>
      <c r="CV353" t="str">
        <f t="shared" si="75"/>
        <v/>
      </c>
      <c r="CW353" t="s">
        <v>132</v>
      </c>
      <c r="CX353" s="11">
        <v>45931</v>
      </c>
      <c r="CY353" t="str">
        <f t="shared" si="71"/>
        <v>S40_2025</v>
      </c>
      <c r="DC353" t="s">
        <v>120</v>
      </c>
    </row>
    <row r="354" spans="1:107" x14ac:dyDescent="0.35">
      <c r="A354" t="s">
        <v>1331</v>
      </c>
      <c r="B354" s="10" t="str">
        <f t="shared" si="77"/>
        <v>S6_2026</v>
      </c>
      <c r="C354" s="10" t="str">
        <f t="shared" si="69"/>
        <v>S36_2025</v>
      </c>
      <c r="D354" s="14">
        <v>46060</v>
      </c>
      <c r="E354" t="s">
        <v>106</v>
      </c>
      <c r="F354" s="24">
        <v>37</v>
      </c>
      <c r="G354" t="s">
        <v>323</v>
      </c>
      <c r="H354" t="s">
        <v>108</v>
      </c>
      <c r="J354" t="s">
        <v>132</v>
      </c>
      <c r="L354" s="19" t="s">
        <v>182</v>
      </c>
      <c r="M354" s="19" t="s">
        <v>949</v>
      </c>
      <c r="N354" t="s">
        <v>988</v>
      </c>
      <c r="O354" t="s">
        <v>184</v>
      </c>
      <c r="P354" t="s">
        <v>988</v>
      </c>
      <c r="Q354" s="19" t="s">
        <v>949</v>
      </c>
      <c r="R354" s="11">
        <v>45905</v>
      </c>
      <c r="S354" s="14">
        <v>45905</v>
      </c>
      <c r="T354" s="11">
        <v>45905</v>
      </c>
      <c r="V354" t="s">
        <v>114</v>
      </c>
      <c r="W354" t="s">
        <v>114</v>
      </c>
      <c r="X354" t="s">
        <v>114</v>
      </c>
      <c r="Y354" t="s">
        <v>114</v>
      </c>
      <c r="Z354" t="s">
        <v>114</v>
      </c>
      <c r="AA354" t="s">
        <v>132</v>
      </c>
      <c r="AB354" t="s">
        <v>114</v>
      </c>
      <c r="AE354" t="s">
        <v>114</v>
      </c>
      <c r="AF354" t="s">
        <v>114</v>
      </c>
      <c r="AG354" t="s">
        <v>114</v>
      </c>
      <c r="AH354" t="s">
        <v>132</v>
      </c>
      <c r="AI354" t="s">
        <v>132</v>
      </c>
      <c r="AJ354" t="s">
        <v>132</v>
      </c>
      <c r="AK354" t="s">
        <v>132</v>
      </c>
      <c r="AM354" t="s">
        <v>114</v>
      </c>
      <c r="AN354" t="s">
        <v>114</v>
      </c>
      <c r="AP354" t="s">
        <v>114</v>
      </c>
      <c r="AQ354" t="s">
        <v>142</v>
      </c>
      <c r="AR354" t="s">
        <v>1332</v>
      </c>
      <c r="AS354" s="11">
        <v>46071</v>
      </c>
      <c r="AU354" t="s">
        <v>114</v>
      </c>
      <c r="AV354" t="s">
        <v>115</v>
      </c>
      <c r="BA354"/>
      <c r="BB354" t="s">
        <v>114</v>
      </c>
      <c r="BC354" s="11">
        <v>46060</v>
      </c>
      <c r="BD354" t="s">
        <v>252</v>
      </c>
      <c r="BF354" t="s">
        <v>988</v>
      </c>
      <c r="BG354" t="s">
        <v>449</v>
      </c>
      <c r="BJ354" t="str">
        <f t="shared" si="76"/>
        <v/>
      </c>
      <c r="BK354" t="s">
        <v>187</v>
      </c>
      <c r="BL354" t="str">
        <f>IFERROR("S"&amp;(IF(_xlfn.ISOWEEKNUM(BC354)&gt;0,_xlfn.ISOWEEKNUM(BC354),_xlfn.CONCAT("0",_xlfn.ISOWEEKNUM(BC354))))&amp;"_"&amp;(YEAR(BC354+26-(_xlfn.ISOWEEKNUM(BC354)))),"")</f>
        <v>S6_2026</v>
      </c>
      <c r="BM354" t="s">
        <v>159</v>
      </c>
      <c r="BN354" s="11">
        <v>46072</v>
      </c>
      <c r="BO354" t="str">
        <f t="shared" si="67"/>
        <v>S8_2026</v>
      </c>
      <c r="BP354" t="s">
        <v>114</v>
      </c>
      <c r="BQ354" t="s">
        <v>450</v>
      </c>
      <c r="BR354" t="s">
        <v>451</v>
      </c>
      <c r="BS354" t="s">
        <v>132</v>
      </c>
      <c r="CI354" t="s">
        <v>119</v>
      </c>
      <c r="CP354" s="14">
        <v>46060</v>
      </c>
      <c r="CQ354" t="s">
        <v>132</v>
      </c>
      <c r="CR354">
        <f t="shared" si="72"/>
        <v>11</v>
      </c>
      <c r="CS354">
        <f t="shared" si="73"/>
        <v>1</v>
      </c>
      <c r="CT354">
        <f t="shared" si="66"/>
        <v>155</v>
      </c>
      <c r="CU354" t="str">
        <f t="shared" si="74"/>
        <v/>
      </c>
      <c r="CV354" t="str">
        <f t="shared" si="75"/>
        <v/>
      </c>
      <c r="CW354" t="s">
        <v>132</v>
      </c>
      <c r="CX354" s="11">
        <v>45905</v>
      </c>
      <c r="CY354" t="str">
        <f t="shared" si="71"/>
        <v>S36_2025</v>
      </c>
      <c r="DC354" t="s">
        <v>120</v>
      </c>
    </row>
    <row r="355" spans="1:107" x14ac:dyDescent="0.35">
      <c r="A355" t="s">
        <v>1333</v>
      </c>
      <c r="B355" s="10" t="str">
        <f t="shared" si="77"/>
        <v>S6_2026</v>
      </c>
      <c r="C355" s="10" t="str">
        <f t="shared" si="69"/>
        <v>S1_2026</v>
      </c>
      <c r="D355" s="14">
        <v>46061</v>
      </c>
      <c r="E355" s="19" t="s">
        <v>123</v>
      </c>
      <c r="F355" s="24">
        <v>9</v>
      </c>
      <c r="G355" t="s">
        <v>107</v>
      </c>
      <c r="H355" t="s">
        <v>108</v>
      </c>
      <c r="J355" t="s">
        <v>132</v>
      </c>
      <c r="L355" s="19" t="s">
        <v>182</v>
      </c>
      <c r="M355" s="19" t="s">
        <v>949</v>
      </c>
      <c r="N355" t="s">
        <v>988</v>
      </c>
      <c r="O355" t="s">
        <v>184</v>
      </c>
      <c r="P355" t="s">
        <v>1318</v>
      </c>
      <c r="Q355" s="19" t="s">
        <v>949</v>
      </c>
      <c r="R355" s="14">
        <v>46023</v>
      </c>
      <c r="S355" s="14">
        <v>46023</v>
      </c>
      <c r="T355" s="14">
        <v>46023</v>
      </c>
      <c r="V355" t="s">
        <v>132</v>
      </c>
      <c r="W355" t="s">
        <v>114</v>
      </c>
      <c r="X355" t="s">
        <v>132</v>
      </c>
      <c r="Y355" t="s">
        <v>114</v>
      </c>
      <c r="Z355" t="s">
        <v>132</v>
      </c>
      <c r="AA355" t="s">
        <v>132</v>
      </c>
      <c r="AB355" t="s">
        <v>132</v>
      </c>
      <c r="AE355" t="s">
        <v>132</v>
      </c>
      <c r="AF355" t="s">
        <v>114</v>
      </c>
      <c r="AG355" t="s">
        <v>114</v>
      </c>
      <c r="AH355" t="s">
        <v>132</v>
      </c>
      <c r="AI355" t="s">
        <v>132</v>
      </c>
      <c r="AJ355" t="s">
        <v>132</v>
      </c>
      <c r="AK355" t="s">
        <v>132</v>
      </c>
      <c r="AM355" t="s">
        <v>114</v>
      </c>
      <c r="AN355" t="s">
        <v>114</v>
      </c>
      <c r="AP355" t="s">
        <v>132</v>
      </c>
      <c r="AQ355" t="s">
        <v>142</v>
      </c>
      <c r="AR355" t="s">
        <v>1334</v>
      </c>
      <c r="AS355" s="11">
        <v>46071</v>
      </c>
      <c r="AU355" t="s">
        <v>114</v>
      </c>
      <c r="AV355" t="s">
        <v>115</v>
      </c>
      <c r="BA355"/>
      <c r="BB355" t="s">
        <v>114</v>
      </c>
      <c r="BC355" s="11">
        <v>46061</v>
      </c>
      <c r="BD355" t="s">
        <v>116</v>
      </c>
      <c r="BF355" t="s">
        <v>988</v>
      </c>
      <c r="BG355" t="s">
        <v>449</v>
      </c>
      <c r="BJ355" t="str">
        <f t="shared" si="76"/>
        <v/>
      </c>
      <c r="BK355" t="s">
        <v>187</v>
      </c>
      <c r="BL355" t="str">
        <f>IFERROR("S"&amp;(IF(_xlfn.ISOWEEKNUM(BC355)&gt;0,_xlfn.ISOWEEKNUM(BC355),_xlfn.CONCAT("0",_xlfn.ISOWEEKNUM(BC355))))&amp;"_"&amp;(YEAR(BC355+26-(_xlfn.ISOWEEKNUM(BC355)))),"")</f>
        <v>S6_2026</v>
      </c>
      <c r="BM355" t="s">
        <v>159</v>
      </c>
      <c r="BN355" s="11">
        <v>46072</v>
      </c>
      <c r="BO355" t="str">
        <f t="shared" si="67"/>
        <v>S8_2026</v>
      </c>
      <c r="BP355" t="s">
        <v>114</v>
      </c>
      <c r="BQ355" t="s">
        <v>450</v>
      </c>
      <c r="BR355" t="s">
        <v>451</v>
      </c>
      <c r="BS355" t="s">
        <v>132</v>
      </c>
      <c r="CI355" t="s">
        <v>119</v>
      </c>
      <c r="CP355" s="14">
        <v>46061</v>
      </c>
      <c r="CQ355" t="s">
        <v>132</v>
      </c>
      <c r="CR355">
        <f t="shared" si="72"/>
        <v>10</v>
      </c>
      <c r="CS355">
        <f t="shared" si="73"/>
        <v>1</v>
      </c>
      <c r="CT355">
        <f t="shared" si="66"/>
        <v>38</v>
      </c>
      <c r="CU355" t="str">
        <f t="shared" si="74"/>
        <v/>
      </c>
      <c r="CV355" t="str">
        <f t="shared" si="75"/>
        <v/>
      </c>
      <c r="CW355" t="s">
        <v>132</v>
      </c>
      <c r="CX355" s="14">
        <v>46023</v>
      </c>
      <c r="CY355" t="str">
        <f t="shared" si="71"/>
        <v>S1_2026</v>
      </c>
      <c r="DC355" t="s">
        <v>120</v>
      </c>
    </row>
    <row r="356" spans="1:107" x14ac:dyDescent="0.35">
      <c r="A356" t="s">
        <v>1335</v>
      </c>
      <c r="B356" s="10" t="str">
        <f t="shared" si="77"/>
        <v>S6_2026</v>
      </c>
      <c r="C356" s="10" t="str">
        <f t="shared" si="69"/>
        <v>S22_2025</v>
      </c>
      <c r="D356" s="14">
        <v>46061</v>
      </c>
      <c r="E356" t="s">
        <v>106</v>
      </c>
      <c r="F356" s="24">
        <v>12</v>
      </c>
      <c r="G356" t="s">
        <v>107</v>
      </c>
      <c r="H356" t="s">
        <v>108</v>
      </c>
      <c r="J356" t="s">
        <v>132</v>
      </c>
      <c r="L356" s="19" t="s">
        <v>182</v>
      </c>
      <c r="M356" s="19" t="s">
        <v>949</v>
      </c>
      <c r="N356" t="s">
        <v>988</v>
      </c>
      <c r="O356" t="s">
        <v>184</v>
      </c>
      <c r="P356" t="s">
        <v>1318</v>
      </c>
      <c r="Q356" s="19" t="s">
        <v>949</v>
      </c>
      <c r="R356" s="14">
        <v>45809</v>
      </c>
      <c r="S356" s="14">
        <v>45809</v>
      </c>
      <c r="T356" s="14">
        <v>45809</v>
      </c>
      <c r="V356" t="s">
        <v>132</v>
      </c>
      <c r="W356" t="s">
        <v>114</v>
      </c>
      <c r="X356" t="s">
        <v>132</v>
      </c>
      <c r="Y356" t="s">
        <v>132</v>
      </c>
      <c r="Z356" t="s">
        <v>132</v>
      </c>
      <c r="AA356" t="s">
        <v>132</v>
      </c>
      <c r="AB356" t="s">
        <v>132</v>
      </c>
      <c r="AE356" t="s">
        <v>132</v>
      </c>
      <c r="AF356" t="s">
        <v>114</v>
      </c>
      <c r="AG356" t="s">
        <v>114</v>
      </c>
      <c r="AH356" t="s">
        <v>132</v>
      </c>
      <c r="AI356" t="s">
        <v>132</v>
      </c>
      <c r="AJ356" t="s">
        <v>132</v>
      </c>
      <c r="AK356" t="s">
        <v>132</v>
      </c>
      <c r="AM356" t="s">
        <v>114</v>
      </c>
      <c r="AN356" t="s">
        <v>114</v>
      </c>
      <c r="AP356" t="s">
        <v>132</v>
      </c>
      <c r="AQ356" t="s">
        <v>142</v>
      </c>
      <c r="AR356" t="s">
        <v>1336</v>
      </c>
      <c r="AS356" s="11">
        <v>46071</v>
      </c>
      <c r="AU356" t="s">
        <v>114</v>
      </c>
      <c r="AV356" t="s">
        <v>115</v>
      </c>
      <c r="BA356"/>
      <c r="BB356" t="s">
        <v>114</v>
      </c>
      <c r="BC356" s="11">
        <v>46061</v>
      </c>
      <c r="BD356" t="s">
        <v>116</v>
      </c>
      <c r="BF356" t="s">
        <v>988</v>
      </c>
      <c r="BG356" t="s">
        <v>449</v>
      </c>
      <c r="BJ356" t="str">
        <f t="shared" si="76"/>
        <v/>
      </c>
      <c r="BK356" t="s">
        <v>187</v>
      </c>
      <c r="BL356" t="str">
        <f t="shared" ref="BL356:BL419" si="78">IFERROR("S"&amp;(IF(_xlfn.ISOWEEKNUM(BC356)&gt;0,_xlfn.ISOWEEKNUM(BC356),_xlfn.CONCAT("0",_xlfn.ISOWEEKNUM(BC356))))&amp;"_"&amp;(YEAR(BC356+26-(_xlfn.ISOWEEKNUM(BC356)))),"")</f>
        <v>S6_2026</v>
      </c>
      <c r="BM356" t="s">
        <v>159</v>
      </c>
      <c r="BN356" s="11">
        <v>46072</v>
      </c>
      <c r="BO356" t="str">
        <f t="shared" si="67"/>
        <v>S8_2026</v>
      </c>
      <c r="BP356" t="s">
        <v>114</v>
      </c>
      <c r="BQ356" t="s">
        <v>450</v>
      </c>
      <c r="BR356" t="s">
        <v>451</v>
      </c>
      <c r="BS356" t="s">
        <v>132</v>
      </c>
      <c r="CI356" t="s">
        <v>119</v>
      </c>
      <c r="CP356" s="14">
        <v>46061</v>
      </c>
      <c r="CQ356" t="s">
        <v>132</v>
      </c>
      <c r="CR356">
        <f t="shared" si="72"/>
        <v>10</v>
      </c>
      <c r="CS356">
        <f t="shared" si="73"/>
        <v>1</v>
      </c>
      <c r="CT356">
        <f t="shared" si="66"/>
        <v>252</v>
      </c>
      <c r="CU356" t="str">
        <f t="shared" si="74"/>
        <v/>
      </c>
      <c r="CV356" t="str">
        <f t="shared" si="75"/>
        <v/>
      </c>
      <c r="CW356" t="s">
        <v>132</v>
      </c>
      <c r="CX356" s="14">
        <v>45809</v>
      </c>
      <c r="CY356" t="str">
        <f t="shared" si="71"/>
        <v>S22_2025</v>
      </c>
      <c r="DC356" t="s">
        <v>120</v>
      </c>
    </row>
    <row r="357" spans="1:107" x14ac:dyDescent="0.35">
      <c r="A357" t="s">
        <v>1337</v>
      </c>
      <c r="B357" s="10" t="str">
        <f t="shared" si="77"/>
        <v>S6_2026</v>
      </c>
      <c r="C357" s="10" t="str">
        <f t="shared" si="69"/>
        <v>S49_2025</v>
      </c>
      <c r="D357" s="14">
        <v>46061</v>
      </c>
      <c r="E357" t="s">
        <v>106</v>
      </c>
      <c r="F357" s="24">
        <v>25</v>
      </c>
      <c r="G357" t="s">
        <v>323</v>
      </c>
      <c r="H357" t="s">
        <v>108</v>
      </c>
      <c r="J357" t="s">
        <v>132</v>
      </c>
      <c r="L357" s="19" t="s">
        <v>182</v>
      </c>
      <c r="M357" s="19" t="s">
        <v>949</v>
      </c>
      <c r="N357" t="s">
        <v>988</v>
      </c>
      <c r="O357" t="s">
        <v>184</v>
      </c>
      <c r="P357" t="s">
        <v>1318</v>
      </c>
      <c r="Q357" s="19" t="s">
        <v>949</v>
      </c>
      <c r="R357" s="14">
        <v>45997</v>
      </c>
      <c r="S357" s="14">
        <v>45997</v>
      </c>
      <c r="T357" s="14">
        <v>45997</v>
      </c>
      <c r="V357" t="s">
        <v>132</v>
      </c>
      <c r="W357" t="s">
        <v>114</v>
      </c>
      <c r="X357" t="s">
        <v>114</v>
      </c>
      <c r="Y357" t="s">
        <v>114</v>
      </c>
      <c r="Z357" t="s">
        <v>132</v>
      </c>
      <c r="AA357" t="s">
        <v>114</v>
      </c>
      <c r="AB357" t="s">
        <v>132</v>
      </c>
      <c r="AE357" t="s">
        <v>114</v>
      </c>
      <c r="AF357" t="s">
        <v>132</v>
      </c>
      <c r="AG357" t="s">
        <v>114</v>
      </c>
      <c r="AH357" t="s">
        <v>132</v>
      </c>
      <c r="AI357" t="s">
        <v>132</v>
      </c>
      <c r="AJ357" t="s">
        <v>132</v>
      </c>
      <c r="AK357" t="s">
        <v>132</v>
      </c>
      <c r="AM357" t="s">
        <v>114</v>
      </c>
      <c r="AN357" t="s">
        <v>114</v>
      </c>
      <c r="AP357" t="s">
        <v>114</v>
      </c>
      <c r="AQ357" t="s">
        <v>142</v>
      </c>
      <c r="AR357" t="s">
        <v>1338</v>
      </c>
      <c r="AS357" s="11">
        <v>46071</v>
      </c>
      <c r="AU357" t="s">
        <v>114</v>
      </c>
      <c r="AV357" t="s">
        <v>115</v>
      </c>
      <c r="BA357"/>
      <c r="BB357" t="s">
        <v>114</v>
      </c>
      <c r="BC357" s="11">
        <v>46061</v>
      </c>
      <c r="BD357" t="s">
        <v>116</v>
      </c>
      <c r="BF357" t="s">
        <v>988</v>
      </c>
      <c r="BG357" t="s">
        <v>449</v>
      </c>
      <c r="BJ357" t="str">
        <f t="shared" si="76"/>
        <v/>
      </c>
      <c r="BK357" t="s">
        <v>187</v>
      </c>
      <c r="BL357" t="str">
        <f t="shared" si="78"/>
        <v>S6_2026</v>
      </c>
      <c r="BM357" t="s">
        <v>159</v>
      </c>
      <c r="BN357" s="11">
        <v>46072</v>
      </c>
      <c r="BO357" t="str">
        <f t="shared" si="67"/>
        <v>S8_2026</v>
      </c>
      <c r="BP357" t="s">
        <v>114</v>
      </c>
      <c r="BQ357" t="s">
        <v>450</v>
      </c>
      <c r="BR357" t="s">
        <v>451</v>
      </c>
      <c r="BS357" t="s">
        <v>132</v>
      </c>
      <c r="CI357" t="s">
        <v>119</v>
      </c>
      <c r="CP357" s="14">
        <v>46061</v>
      </c>
      <c r="CQ357" t="s">
        <v>132</v>
      </c>
      <c r="CR357">
        <f t="shared" si="72"/>
        <v>10</v>
      </c>
      <c r="CS357">
        <f t="shared" si="73"/>
        <v>1</v>
      </c>
      <c r="CT357">
        <f t="shared" si="66"/>
        <v>64</v>
      </c>
      <c r="CU357" t="str">
        <f t="shared" si="74"/>
        <v/>
      </c>
      <c r="CV357" t="str">
        <f t="shared" si="75"/>
        <v/>
      </c>
      <c r="CW357" t="s">
        <v>132</v>
      </c>
      <c r="CX357" s="14">
        <v>45997</v>
      </c>
      <c r="CY357" t="str">
        <f t="shared" si="71"/>
        <v>S49_2025</v>
      </c>
      <c r="DC357" t="s">
        <v>120</v>
      </c>
    </row>
    <row r="358" spans="1:107" x14ac:dyDescent="0.35">
      <c r="A358" t="s">
        <v>1339</v>
      </c>
      <c r="B358" s="10" t="str">
        <f t="shared" si="77"/>
        <v>S6_2026</v>
      </c>
      <c r="C358" s="10" t="str">
        <f t="shared" si="69"/>
        <v>S6_2026</v>
      </c>
      <c r="D358" s="14">
        <v>46061</v>
      </c>
      <c r="E358" s="19" t="s">
        <v>123</v>
      </c>
      <c r="F358" s="24">
        <v>15</v>
      </c>
      <c r="G358" t="s">
        <v>107</v>
      </c>
      <c r="H358" t="s">
        <v>108</v>
      </c>
      <c r="J358" t="s">
        <v>132</v>
      </c>
      <c r="L358" s="19" t="s">
        <v>182</v>
      </c>
      <c r="M358" s="19" t="s">
        <v>949</v>
      </c>
      <c r="N358" t="s">
        <v>988</v>
      </c>
      <c r="O358" t="s">
        <v>184</v>
      </c>
      <c r="P358" t="s">
        <v>1340</v>
      </c>
      <c r="Q358" s="19" t="s">
        <v>949</v>
      </c>
      <c r="R358" s="14">
        <v>46061</v>
      </c>
      <c r="S358" s="14">
        <v>46061</v>
      </c>
      <c r="T358" s="14">
        <v>46061</v>
      </c>
      <c r="V358" t="s">
        <v>132</v>
      </c>
      <c r="W358" t="s">
        <v>114</v>
      </c>
      <c r="X358" t="s">
        <v>132</v>
      </c>
      <c r="Y358" t="s">
        <v>132</v>
      </c>
      <c r="Z358" t="s">
        <v>132</v>
      </c>
      <c r="AA358" t="s">
        <v>132</v>
      </c>
      <c r="AB358" t="s">
        <v>132</v>
      </c>
      <c r="AE358" t="s">
        <v>114</v>
      </c>
      <c r="AF358" t="s">
        <v>114</v>
      </c>
      <c r="AG358" t="s">
        <v>114</v>
      </c>
      <c r="AH358" t="s">
        <v>132</v>
      </c>
      <c r="AI358" t="s">
        <v>132</v>
      </c>
      <c r="AJ358" t="s">
        <v>132</v>
      </c>
      <c r="AK358" t="s">
        <v>132</v>
      </c>
      <c r="AM358" t="s">
        <v>1341</v>
      </c>
      <c r="AN358" t="s">
        <v>114</v>
      </c>
      <c r="AP358" t="s">
        <v>114</v>
      </c>
      <c r="AQ358" t="s">
        <v>142</v>
      </c>
      <c r="BA358"/>
      <c r="BF358" t="s">
        <v>988</v>
      </c>
      <c r="BJ358" t="str">
        <f t="shared" si="76"/>
        <v/>
      </c>
      <c r="BK358" t="s">
        <v>187</v>
      </c>
      <c r="BL358" t="str">
        <f t="shared" si="78"/>
        <v/>
      </c>
      <c r="BM358" t="s">
        <v>159</v>
      </c>
      <c r="BO358" t="str">
        <f t="shared" si="67"/>
        <v/>
      </c>
      <c r="BR358" t="s">
        <v>451</v>
      </c>
      <c r="BS358" t="s">
        <v>132</v>
      </c>
      <c r="CI358" t="s">
        <v>119</v>
      </c>
      <c r="CP358" s="14">
        <v>46061</v>
      </c>
      <c r="CR358" t="str">
        <f t="shared" si="72"/>
        <v/>
      </c>
      <c r="CS358" t="str">
        <f t="shared" si="73"/>
        <v/>
      </c>
      <c r="CT358">
        <f t="shared" si="66"/>
        <v>0</v>
      </c>
      <c r="CU358" t="str">
        <f t="shared" si="74"/>
        <v/>
      </c>
      <c r="CV358" t="str">
        <f t="shared" si="75"/>
        <v/>
      </c>
      <c r="CW358" t="s">
        <v>132</v>
      </c>
      <c r="CX358" s="14">
        <v>46061</v>
      </c>
      <c r="CY358" t="str">
        <f t="shared" si="71"/>
        <v>S6_2026</v>
      </c>
      <c r="DB358" t="s">
        <v>114</v>
      </c>
      <c r="DC358" t="s">
        <v>160</v>
      </c>
    </row>
    <row r="359" spans="1:107" x14ac:dyDescent="0.35">
      <c r="A359" t="s">
        <v>1342</v>
      </c>
      <c r="B359" s="10" t="str">
        <f t="shared" si="77"/>
        <v>S6_2026</v>
      </c>
      <c r="C359" s="10" t="str">
        <f t="shared" si="69"/>
        <v>S1_2026</v>
      </c>
      <c r="D359" s="14">
        <v>46061</v>
      </c>
      <c r="E359" t="s">
        <v>106</v>
      </c>
      <c r="F359" s="24">
        <v>62</v>
      </c>
      <c r="G359" t="s">
        <v>162</v>
      </c>
      <c r="H359" t="s">
        <v>108</v>
      </c>
      <c r="J359" t="s">
        <v>132</v>
      </c>
      <c r="L359" s="19" t="s">
        <v>182</v>
      </c>
      <c r="M359" s="19" t="s">
        <v>949</v>
      </c>
      <c r="N359" t="s">
        <v>988</v>
      </c>
      <c r="O359" t="s">
        <v>184</v>
      </c>
      <c r="P359" t="s">
        <v>1318</v>
      </c>
      <c r="Q359" s="19" t="s">
        <v>949</v>
      </c>
      <c r="R359" s="14">
        <v>46026</v>
      </c>
      <c r="S359" s="14">
        <v>46026</v>
      </c>
      <c r="T359" s="14">
        <v>46026</v>
      </c>
      <c r="V359" t="s">
        <v>132</v>
      </c>
      <c r="W359" t="s">
        <v>132</v>
      </c>
      <c r="X359" t="s">
        <v>132</v>
      </c>
      <c r="Y359" t="s">
        <v>114</v>
      </c>
      <c r="Z359" t="s">
        <v>132</v>
      </c>
      <c r="AA359" t="s">
        <v>132</v>
      </c>
      <c r="AB359" t="s">
        <v>132</v>
      </c>
      <c r="AE359" t="s">
        <v>132</v>
      </c>
      <c r="AF359" t="s">
        <v>114</v>
      </c>
      <c r="AG359" t="s">
        <v>114</v>
      </c>
      <c r="AH359" t="s">
        <v>132</v>
      </c>
      <c r="AI359" t="s">
        <v>132</v>
      </c>
      <c r="AJ359" t="s">
        <v>132</v>
      </c>
      <c r="AK359" t="s">
        <v>132</v>
      </c>
      <c r="AM359" t="s">
        <v>114</v>
      </c>
      <c r="AN359" t="s">
        <v>114</v>
      </c>
      <c r="AP359" t="s">
        <v>114</v>
      </c>
      <c r="AQ359" t="s">
        <v>142</v>
      </c>
      <c r="AR359" t="s">
        <v>1343</v>
      </c>
      <c r="AS359" s="11">
        <v>46071</v>
      </c>
      <c r="AU359" t="s">
        <v>114</v>
      </c>
      <c r="AV359" t="s">
        <v>115</v>
      </c>
      <c r="BA359"/>
      <c r="BB359" t="s">
        <v>114</v>
      </c>
      <c r="BC359" s="11">
        <v>46061</v>
      </c>
      <c r="BD359" t="s">
        <v>116</v>
      </c>
      <c r="BF359" t="s">
        <v>988</v>
      </c>
      <c r="BG359" t="s">
        <v>449</v>
      </c>
      <c r="BJ359" t="str">
        <f t="shared" si="76"/>
        <v/>
      </c>
      <c r="BK359" t="s">
        <v>187</v>
      </c>
      <c r="BL359" t="str">
        <f t="shared" si="78"/>
        <v>S6_2026</v>
      </c>
      <c r="BM359" t="s">
        <v>159</v>
      </c>
      <c r="BN359" s="11">
        <v>46072</v>
      </c>
      <c r="BO359" t="str">
        <f t="shared" si="67"/>
        <v>S8_2026</v>
      </c>
      <c r="BP359" t="s">
        <v>114</v>
      </c>
      <c r="BQ359" t="s">
        <v>450</v>
      </c>
      <c r="BR359" t="s">
        <v>451</v>
      </c>
      <c r="BS359" t="s">
        <v>132</v>
      </c>
      <c r="CI359" t="s">
        <v>119</v>
      </c>
      <c r="CP359" s="14">
        <v>46061</v>
      </c>
      <c r="CQ359" t="s">
        <v>132</v>
      </c>
      <c r="CR359">
        <f t="shared" si="72"/>
        <v>10</v>
      </c>
      <c r="CS359">
        <f t="shared" si="73"/>
        <v>1</v>
      </c>
      <c r="CT359">
        <f t="shared" si="66"/>
        <v>35</v>
      </c>
      <c r="CU359" t="str">
        <f t="shared" si="74"/>
        <v/>
      </c>
      <c r="CV359" t="str">
        <f t="shared" si="75"/>
        <v/>
      </c>
      <c r="CW359" t="s">
        <v>132</v>
      </c>
      <c r="CX359" s="14">
        <v>46026</v>
      </c>
      <c r="CY359" t="str">
        <f t="shared" si="71"/>
        <v>S1_2026</v>
      </c>
      <c r="DC359" t="s">
        <v>120</v>
      </c>
    </row>
    <row r="360" spans="1:107" x14ac:dyDescent="0.35">
      <c r="A360" t="s">
        <v>1344</v>
      </c>
      <c r="B360" s="10" t="str">
        <f t="shared" si="77"/>
        <v>S6_2026</v>
      </c>
      <c r="C360" s="10" t="str">
        <f t="shared" si="69"/>
        <v>S47_2025</v>
      </c>
      <c r="D360" s="14">
        <v>46061</v>
      </c>
      <c r="E360" t="s">
        <v>106</v>
      </c>
      <c r="F360" s="24">
        <v>5</v>
      </c>
      <c r="G360" t="s">
        <v>107</v>
      </c>
      <c r="H360" t="s">
        <v>108</v>
      </c>
      <c r="J360" t="s">
        <v>132</v>
      </c>
      <c r="L360" s="19" t="s">
        <v>182</v>
      </c>
      <c r="M360" s="19" t="s">
        <v>949</v>
      </c>
      <c r="N360" t="s">
        <v>988</v>
      </c>
      <c r="O360" t="s">
        <v>184</v>
      </c>
      <c r="P360" t="s">
        <v>1318</v>
      </c>
      <c r="Q360" s="19" t="s">
        <v>949</v>
      </c>
      <c r="R360" s="14">
        <v>45983</v>
      </c>
      <c r="S360" s="14">
        <v>45983</v>
      </c>
      <c r="T360" s="14">
        <v>45983</v>
      </c>
      <c r="V360" t="s">
        <v>132</v>
      </c>
      <c r="W360" t="s">
        <v>132</v>
      </c>
      <c r="X360" t="s">
        <v>114</v>
      </c>
      <c r="Y360" t="s">
        <v>114</v>
      </c>
      <c r="Z360" t="s">
        <v>132</v>
      </c>
      <c r="AA360" t="s">
        <v>132</v>
      </c>
      <c r="AB360" t="s">
        <v>132</v>
      </c>
      <c r="AE360" t="s">
        <v>132</v>
      </c>
      <c r="AF360" t="s">
        <v>114</v>
      </c>
      <c r="AG360" t="s">
        <v>114</v>
      </c>
      <c r="AH360" t="s">
        <v>132</v>
      </c>
      <c r="AI360" t="s">
        <v>132</v>
      </c>
      <c r="AJ360" t="s">
        <v>132</v>
      </c>
      <c r="AK360" t="s">
        <v>132</v>
      </c>
      <c r="AM360" t="s">
        <v>1341</v>
      </c>
      <c r="AN360" t="s">
        <v>132</v>
      </c>
      <c r="AP360" t="s">
        <v>132</v>
      </c>
      <c r="AQ360" t="s">
        <v>142</v>
      </c>
      <c r="AR360" t="s">
        <v>1345</v>
      </c>
      <c r="AS360" s="11">
        <v>46071</v>
      </c>
      <c r="AU360" t="s">
        <v>114</v>
      </c>
      <c r="AV360" t="s">
        <v>115</v>
      </c>
      <c r="BA360"/>
      <c r="BB360" t="s">
        <v>114</v>
      </c>
      <c r="BC360" s="11">
        <v>46061</v>
      </c>
      <c r="BD360" t="s">
        <v>116</v>
      </c>
      <c r="BF360" t="s">
        <v>988</v>
      </c>
      <c r="BG360" t="s">
        <v>449</v>
      </c>
      <c r="BJ360" t="str">
        <f t="shared" si="76"/>
        <v/>
      </c>
      <c r="BK360" t="s">
        <v>187</v>
      </c>
      <c r="BL360" t="str">
        <f t="shared" si="78"/>
        <v>S6_2026</v>
      </c>
      <c r="BM360" t="s">
        <v>159</v>
      </c>
      <c r="BN360" s="11">
        <v>46072</v>
      </c>
      <c r="BO360" t="str">
        <f t="shared" si="67"/>
        <v>S8_2026</v>
      </c>
      <c r="BP360" t="s">
        <v>114</v>
      </c>
      <c r="BQ360" t="s">
        <v>450</v>
      </c>
      <c r="BR360" t="s">
        <v>451</v>
      </c>
      <c r="BS360" t="s">
        <v>132</v>
      </c>
      <c r="CI360" t="s">
        <v>119</v>
      </c>
      <c r="CP360" s="14">
        <v>46061</v>
      </c>
      <c r="CQ360" t="s">
        <v>132</v>
      </c>
      <c r="CR360">
        <f t="shared" si="72"/>
        <v>10</v>
      </c>
      <c r="CS360">
        <f t="shared" si="73"/>
        <v>1</v>
      </c>
      <c r="CT360">
        <f t="shared" si="66"/>
        <v>78</v>
      </c>
      <c r="CU360" t="str">
        <f t="shared" si="74"/>
        <v/>
      </c>
      <c r="CV360" t="str">
        <f t="shared" si="75"/>
        <v/>
      </c>
      <c r="CW360" t="s">
        <v>132</v>
      </c>
      <c r="CX360" s="14">
        <v>45983</v>
      </c>
      <c r="CY360" t="str">
        <f t="shared" si="71"/>
        <v>S47_2025</v>
      </c>
      <c r="DC360" t="s">
        <v>120</v>
      </c>
    </row>
    <row r="361" spans="1:107" x14ac:dyDescent="0.35">
      <c r="A361" t="s">
        <v>1346</v>
      </c>
      <c r="B361" s="10" t="str">
        <f t="shared" si="77"/>
        <v>S7_2026</v>
      </c>
      <c r="C361" s="10" t="str">
        <f t="shared" si="69"/>
        <v>S51_2025</v>
      </c>
      <c r="D361" s="14">
        <v>46062</v>
      </c>
      <c r="E361" s="19" t="s">
        <v>123</v>
      </c>
      <c r="F361" s="24">
        <v>10</v>
      </c>
      <c r="G361" t="s">
        <v>107</v>
      </c>
      <c r="H361" t="s">
        <v>108</v>
      </c>
      <c r="J361" t="s">
        <v>132</v>
      </c>
      <c r="L361" s="19" t="s">
        <v>182</v>
      </c>
      <c r="M361" s="19" t="s">
        <v>949</v>
      </c>
      <c r="N361" t="s">
        <v>988</v>
      </c>
      <c r="O361" t="s">
        <v>184</v>
      </c>
      <c r="P361" t="s">
        <v>1347</v>
      </c>
      <c r="Q361" s="19" t="s">
        <v>949</v>
      </c>
      <c r="R361" s="14">
        <v>46009</v>
      </c>
      <c r="S361" s="14">
        <v>46009</v>
      </c>
      <c r="T361" s="14">
        <v>46009</v>
      </c>
      <c r="V361" t="s">
        <v>132</v>
      </c>
      <c r="W361" t="s">
        <v>132</v>
      </c>
      <c r="X361" t="s">
        <v>132</v>
      </c>
      <c r="Y361" t="s">
        <v>132</v>
      </c>
      <c r="Z361" t="s">
        <v>132</v>
      </c>
      <c r="AA361" t="s">
        <v>132</v>
      </c>
      <c r="AB361" t="s">
        <v>132</v>
      </c>
      <c r="AE361" t="s">
        <v>114</v>
      </c>
      <c r="AF361" t="s">
        <v>114</v>
      </c>
      <c r="AG361" t="s">
        <v>114</v>
      </c>
      <c r="AH361" t="s">
        <v>132</v>
      </c>
      <c r="AI361" t="s">
        <v>132</v>
      </c>
      <c r="AJ361" t="s">
        <v>132</v>
      </c>
      <c r="AK361" t="s">
        <v>114</v>
      </c>
      <c r="AM361" t="s">
        <v>114</v>
      </c>
      <c r="AN361" t="s">
        <v>114</v>
      </c>
      <c r="AP361" t="s">
        <v>132</v>
      </c>
      <c r="AQ361" t="s">
        <v>142</v>
      </c>
      <c r="AR361" t="s">
        <v>1348</v>
      </c>
      <c r="AS361" s="11">
        <v>46071</v>
      </c>
      <c r="AU361" t="s">
        <v>114</v>
      </c>
      <c r="AV361" t="s">
        <v>115</v>
      </c>
      <c r="BA361"/>
      <c r="BB361" t="s">
        <v>114</v>
      </c>
      <c r="BC361" s="11">
        <v>46062</v>
      </c>
      <c r="BD361" t="s">
        <v>116</v>
      </c>
      <c r="BF361" t="s">
        <v>988</v>
      </c>
      <c r="BG361" t="s">
        <v>449</v>
      </c>
      <c r="BJ361" t="str">
        <f t="shared" si="76"/>
        <v/>
      </c>
      <c r="BK361" t="s">
        <v>187</v>
      </c>
      <c r="BL361" t="str">
        <f t="shared" si="78"/>
        <v>S7_2026</v>
      </c>
      <c r="BM361" t="s">
        <v>159</v>
      </c>
      <c r="BN361" s="11">
        <v>46072</v>
      </c>
      <c r="BO361" t="str">
        <f t="shared" si="67"/>
        <v>S8_2026</v>
      </c>
      <c r="BP361" t="s">
        <v>114</v>
      </c>
      <c r="BQ361" t="s">
        <v>450</v>
      </c>
      <c r="BR361" t="s">
        <v>451</v>
      </c>
      <c r="BS361" t="s">
        <v>132</v>
      </c>
      <c r="CI361" t="s">
        <v>119</v>
      </c>
      <c r="CP361" s="14">
        <v>46062</v>
      </c>
      <c r="CQ361" t="s">
        <v>132</v>
      </c>
      <c r="CR361">
        <f t="shared" si="72"/>
        <v>9</v>
      </c>
      <c r="CS361">
        <f t="shared" si="73"/>
        <v>1</v>
      </c>
      <c r="CT361">
        <f t="shared" si="66"/>
        <v>53</v>
      </c>
      <c r="CU361" t="str">
        <f t="shared" si="74"/>
        <v/>
      </c>
      <c r="CV361" t="str">
        <f t="shared" si="75"/>
        <v/>
      </c>
      <c r="CW361" t="s">
        <v>132</v>
      </c>
      <c r="CX361" s="14">
        <v>46009</v>
      </c>
      <c r="CY361" t="str">
        <f t="shared" si="71"/>
        <v>S51_2025</v>
      </c>
      <c r="DC361" t="s">
        <v>120</v>
      </c>
    </row>
    <row r="362" spans="1:107" x14ac:dyDescent="0.35">
      <c r="A362" t="s">
        <v>1349</v>
      </c>
      <c r="B362" s="10" t="str">
        <f t="shared" si="77"/>
        <v>S7_2026</v>
      </c>
      <c r="C362" s="10" t="str">
        <f t="shared" si="69"/>
        <v>S5_2026</v>
      </c>
      <c r="D362" s="14">
        <v>46062</v>
      </c>
      <c r="E362" t="s">
        <v>106</v>
      </c>
      <c r="F362" s="24">
        <v>39</v>
      </c>
      <c r="G362" t="s">
        <v>323</v>
      </c>
      <c r="H362" t="s">
        <v>108</v>
      </c>
      <c r="J362" t="s">
        <v>132</v>
      </c>
      <c r="L362" s="19" t="s">
        <v>182</v>
      </c>
      <c r="M362" s="19" t="s">
        <v>949</v>
      </c>
      <c r="N362" t="s">
        <v>988</v>
      </c>
      <c r="O362" t="s">
        <v>184</v>
      </c>
      <c r="P362" t="s">
        <v>1318</v>
      </c>
      <c r="Q362" s="19" t="s">
        <v>949</v>
      </c>
      <c r="R362" s="14">
        <v>46053</v>
      </c>
      <c r="S362" s="14">
        <v>46053</v>
      </c>
      <c r="T362" s="14">
        <v>46053</v>
      </c>
      <c r="V362" t="s">
        <v>132</v>
      </c>
      <c r="W362" t="s">
        <v>132</v>
      </c>
      <c r="X362" t="s">
        <v>132</v>
      </c>
      <c r="Y362" t="s">
        <v>114</v>
      </c>
      <c r="Z362" t="s">
        <v>132</v>
      </c>
      <c r="AA362" t="s">
        <v>132</v>
      </c>
      <c r="AB362" t="s">
        <v>132</v>
      </c>
      <c r="AE362" t="s">
        <v>132</v>
      </c>
      <c r="AF362" t="s">
        <v>114</v>
      </c>
      <c r="AG362" t="s">
        <v>114</v>
      </c>
      <c r="AH362" t="s">
        <v>132</v>
      </c>
      <c r="AI362" t="s">
        <v>132</v>
      </c>
      <c r="AJ362" t="s">
        <v>132</v>
      </c>
      <c r="AK362" t="s">
        <v>114</v>
      </c>
      <c r="AM362" t="s">
        <v>114</v>
      </c>
      <c r="AN362" t="s">
        <v>114</v>
      </c>
      <c r="AP362" t="s">
        <v>114</v>
      </c>
      <c r="AQ362" t="s">
        <v>142</v>
      </c>
      <c r="AR362" t="s">
        <v>1350</v>
      </c>
      <c r="AS362" s="11">
        <v>46071</v>
      </c>
      <c r="AU362" t="s">
        <v>114</v>
      </c>
      <c r="AV362" t="s">
        <v>115</v>
      </c>
      <c r="BA362"/>
      <c r="BB362" t="s">
        <v>114</v>
      </c>
      <c r="BC362" s="11">
        <v>46062</v>
      </c>
      <c r="BD362" t="s">
        <v>116</v>
      </c>
      <c r="BF362" t="s">
        <v>988</v>
      </c>
      <c r="BG362" t="s">
        <v>449</v>
      </c>
      <c r="BJ362" t="str">
        <f t="shared" si="76"/>
        <v/>
      </c>
      <c r="BK362" t="s">
        <v>187</v>
      </c>
      <c r="BL362" t="str">
        <f t="shared" si="78"/>
        <v>S7_2026</v>
      </c>
      <c r="BM362" t="s">
        <v>159</v>
      </c>
      <c r="BN362" s="11">
        <v>46072</v>
      </c>
      <c r="BO362" t="str">
        <f t="shared" si="67"/>
        <v>S8_2026</v>
      </c>
      <c r="BP362" t="s">
        <v>114</v>
      </c>
      <c r="BQ362" t="s">
        <v>450</v>
      </c>
      <c r="BR362" t="s">
        <v>451</v>
      </c>
      <c r="BS362" t="s">
        <v>132</v>
      </c>
      <c r="CI362" t="s">
        <v>119</v>
      </c>
      <c r="CP362" s="14">
        <v>46062</v>
      </c>
      <c r="CQ362" t="s">
        <v>132</v>
      </c>
      <c r="CR362">
        <f t="shared" si="72"/>
        <v>9</v>
      </c>
      <c r="CS362">
        <f t="shared" si="73"/>
        <v>1</v>
      </c>
      <c r="CT362">
        <f t="shared" si="66"/>
        <v>9</v>
      </c>
      <c r="CU362" t="str">
        <f t="shared" si="74"/>
        <v/>
      </c>
      <c r="CV362" t="str">
        <f t="shared" si="75"/>
        <v/>
      </c>
      <c r="CW362" t="s">
        <v>132</v>
      </c>
      <c r="CX362" s="14">
        <v>46053</v>
      </c>
      <c r="CY362" t="str">
        <f t="shared" si="71"/>
        <v>S5_2026</v>
      </c>
      <c r="DC362" t="s">
        <v>120</v>
      </c>
    </row>
    <row r="363" spans="1:107" x14ac:dyDescent="0.35">
      <c r="A363" t="s">
        <v>1351</v>
      </c>
      <c r="B363" s="10" t="str">
        <f t="shared" si="77"/>
        <v>S7_2026</v>
      </c>
      <c r="C363" s="10" t="str">
        <f t="shared" si="69"/>
        <v>S1_2026</v>
      </c>
      <c r="D363" s="14">
        <v>46062</v>
      </c>
      <c r="E363" s="19" t="s">
        <v>123</v>
      </c>
      <c r="F363" s="24">
        <v>20</v>
      </c>
      <c r="G363" t="s">
        <v>162</v>
      </c>
      <c r="H363" t="s">
        <v>108</v>
      </c>
      <c r="J363" t="s">
        <v>132</v>
      </c>
      <c r="L363" s="19" t="s">
        <v>182</v>
      </c>
      <c r="M363" s="19" t="s">
        <v>949</v>
      </c>
      <c r="N363" t="s">
        <v>988</v>
      </c>
      <c r="O363" t="s">
        <v>184</v>
      </c>
      <c r="P363" t="s">
        <v>1318</v>
      </c>
      <c r="Q363" s="19" t="s">
        <v>949</v>
      </c>
      <c r="R363" s="14">
        <v>46023</v>
      </c>
      <c r="S363" s="14">
        <v>46023</v>
      </c>
      <c r="T363" s="14">
        <v>46023</v>
      </c>
      <c r="V363" t="s">
        <v>132</v>
      </c>
      <c r="W363" t="s">
        <v>114</v>
      </c>
      <c r="X363" t="s">
        <v>132</v>
      </c>
      <c r="Y363" t="s">
        <v>132</v>
      </c>
      <c r="Z363" t="s">
        <v>132</v>
      </c>
      <c r="AA363" t="s">
        <v>132</v>
      </c>
      <c r="AB363" t="s">
        <v>132</v>
      </c>
      <c r="AE363" t="s">
        <v>114</v>
      </c>
      <c r="AF363" t="s">
        <v>132</v>
      </c>
      <c r="AG363" t="s">
        <v>114</v>
      </c>
      <c r="AH363" t="s">
        <v>132</v>
      </c>
      <c r="AI363" t="s">
        <v>132</v>
      </c>
      <c r="AJ363" t="s">
        <v>132</v>
      </c>
      <c r="AK363" t="s">
        <v>114</v>
      </c>
      <c r="AM363" t="s">
        <v>114</v>
      </c>
      <c r="AN363" t="s">
        <v>114</v>
      </c>
      <c r="AP363" t="s">
        <v>132</v>
      </c>
      <c r="AQ363" t="s">
        <v>142</v>
      </c>
      <c r="AR363" t="s">
        <v>1352</v>
      </c>
      <c r="AS363" s="11">
        <v>46071</v>
      </c>
      <c r="AU363" t="s">
        <v>114</v>
      </c>
      <c r="AV363" t="s">
        <v>115</v>
      </c>
      <c r="BA363"/>
      <c r="BB363" t="s">
        <v>114</v>
      </c>
      <c r="BC363" s="11">
        <v>46062</v>
      </c>
      <c r="BD363" t="s">
        <v>116</v>
      </c>
      <c r="BF363" t="s">
        <v>988</v>
      </c>
      <c r="BG363" t="s">
        <v>449</v>
      </c>
      <c r="BJ363" t="str">
        <f t="shared" si="76"/>
        <v/>
      </c>
      <c r="BK363" t="s">
        <v>187</v>
      </c>
      <c r="BL363" t="str">
        <f t="shared" si="78"/>
        <v>S7_2026</v>
      </c>
      <c r="BM363" t="s">
        <v>159</v>
      </c>
      <c r="BN363" s="11">
        <v>46072</v>
      </c>
      <c r="BO363" t="str">
        <f t="shared" si="67"/>
        <v>S8_2026</v>
      </c>
      <c r="BP363" t="s">
        <v>114</v>
      </c>
      <c r="BQ363" t="s">
        <v>450</v>
      </c>
      <c r="BR363" t="s">
        <v>451</v>
      </c>
      <c r="BS363" t="s">
        <v>132</v>
      </c>
      <c r="CI363" t="s">
        <v>119</v>
      </c>
      <c r="CP363" s="14">
        <v>46062</v>
      </c>
      <c r="CQ363" t="s">
        <v>132</v>
      </c>
      <c r="CR363">
        <f t="shared" si="72"/>
        <v>9</v>
      </c>
      <c r="CS363">
        <f t="shared" si="73"/>
        <v>1</v>
      </c>
      <c r="CT363">
        <f t="shared" si="66"/>
        <v>39</v>
      </c>
      <c r="CU363" t="str">
        <f t="shared" si="74"/>
        <v/>
      </c>
      <c r="CV363" t="str">
        <f t="shared" si="75"/>
        <v/>
      </c>
      <c r="CW363" t="s">
        <v>132</v>
      </c>
      <c r="CX363" s="14">
        <v>46023</v>
      </c>
      <c r="CY363" t="str">
        <f t="shared" si="71"/>
        <v>S1_2026</v>
      </c>
      <c r="DC363" t="s">
        <v>120</v>
      </c>
    </row>
    <row r="364" spans="1:107" x14ac:dyDescent="0.35">
      <c r="A364" t="s">
        <v>1353</v>
      </c>
      <c r="B364" s="10" t="str">
        <f t="shared" si="77"/>
        <v>S7_2026</v>
      </c>
      <c r="C364" s="10" t="str">
        <f t="shared" si="69"/>
        <v>S47_2025</v>
      </c>
      <c r="D364" s="14">
        <v>46062</v>
      </c>
      <c r="E364" t="s">
        <v>106</v>
      </c>
      <c r="F364" s="24">
        <v>11</v>
      </c>
      <c r="G364" t="s">
        <v>107</v>
      </c>
      <c r="H364" t="s">
        <v>108</v>
      </c>
      <c r="J364" t="s">
        <v>132</v>
      </c>
      <c r="L364" s="19" t="s">
        <v>182</v>
      </c>
      <c r="M364" s="19" t="s">
        <v>949</v>
      </c>
      <c r="N364" t="s">
        <v>988</v>
      </c>
      <c r="O364" t="s">
        <v>184</v>
      </c>
      <c r="P364" t="s">
        <v>988</v>
      </c>
      <c r="Q364" s="19" t="s">
        <v>949</v>
      </c>
      <c r="R364" s="14">
        <v>45980</v>
      </c>
      <c r="S364" s="14">
        <v>45980</v>
      </c>
      <c r="T364" s="14">
        <v>45980</v>
      </c>
      <c r="V364" t="s">
        <v>132</v>
      </c>
      <c r="W364" t="s">
        <v>132</v>
      </c>
      <c r="X364" t="s">
        <v>132</v>
      </c>
      <c r="Y364" t="s">
        <v>132</v>
      </c>
      <c r="Z364" t="s">
        <v>132</v>
      </c>
      <c r="AA364" t="s">
        <v>132</v>
      </c>
      <c r="AB364" t="s">
        <v>132</v>
      </c>
      <c r="AE364" t="s">
        <v>132</v>
      </c>
      <c r="AF364" t="s">
        <v>114</v>
      </c>
      <c r="AG364" t="s">
        <v>114</v>
      </c>
      <c r="AH364" t="s">
        <v>132</v>
      </c>
      <c r="AI364" t="s">
        <v>132</v>
      </c>
      <c r="AJ364" t="s">
        <v>132</v>
      </c>
      <c r="AK364" t="s">
        <v>114</v>
      </c>
      <c r="AM364" t="s">
        <v>114</v>
      </c>
      <c r="AN364" t="s">
        <v>114</v>
      </c>
      <c r="AP364" t="s">
        <v>132</v>
      </c>
      <c r="AQ364" t="s">
        <v>142</v>
      </c>
      <c r="AR364" t="s">
        <v>1354</v>
      </c>
      <c r="AS364" s="11">
        <v>46071</v>
      </c>
      <c r="AU364" t="s">
        <v>114</v>
      </c>
      <c r="AV364" t="s">
        <v>115</v>
      </c>
      <c r="BA364"/>
      <c r="BB364" t="s">
        <v>114</v>
      </c>
      <c r="BC364" s="11">
        <v>46062</v>
      </c>
      <c r="BD364" t="s">
        <v>116</v>
      </c>
      <c r="BF364" t="s">
        <v>988</v>
      </c>
      <c r="BG364" t="s">
        <v>449</v>
      </c>
      <c r="BJ364" t="str">
        <f t="shared" si="76"/>
        <v/>
      </c>
      <c r="BK364" t="s">
        <v>187</v>
      </c>
      <c r="BL364" t="str">
        <f t="shared" si="78"/>
        <v>S7_2026</v>
      </c>
      <c r="BM364" t="s">
        <v>159</v>
      </c>
      <c r="BN364" s="11">
        <v>46072</v>
      </c>
      <c r="BO364" t="str">
        <f t="shared" si="67"/>
        <v>S8_2026</v>
      </c>
      <c r="BP364" t="s">
        <v>114</v>
      </c>
      <c r="BQ364" t="s">
        <v>450</v>
      </c>
      <c r="BR364" t="s">
        <v>451</v>
      </c>
      <c r="BS364" t="s">
        <v>132</v>
      </c>
      <c r="CI364" t="s">
        <v>119</v>
      </c>
      <c r="CP364" s="14">
        <v>46062</v>
      </c>
      <c r="CQ364" t="s">
        <v>132</v>
      </c>
      <c r="CR364">
        <f t="shared" si="72"/>
        <v>9</v>
      </c>
      <c r="CS364">
        <f t="shared" si="73"/>
        <v>1</v>
      </c>
      <c r="CT364">
        <f t="shared" ref="CT364:CT372" si="79">CP364-CX364</f>
        <v>82</v>
      </c>
      <c r="CU364" t="str">
        <f t="shared" si="74"/>
        <v/>
      </c>
      <c r="CV364" t="str">
        <f t="shared" si="75"/>
        <v/>
      </c>
      <c r="CW364" t="s">
        <v>132</v>
      </c>
      <c r="CX364" s="14">
        <v>45980</v>
      </c>
      <c r="CY364" t="str">
        <f t="shared" si="71"/>
        <v>S47_2025</v>
      </c>
      <c r="DC364" t="s">
        <v>120</v>
      </c>
    </row>
    <row r="365" spans="1:107" x14ac:dyDescent="0.35">
      <c r="A365" t="s">
        <v>1355</v>
      </c>
      <c r="B365" s="10" t="str">
        <f t="shared" si="77"/>
        <v>S7_2026</v>
      </c>
      <c r="C365" s="10" t="str">
        <f t="shared" si="69"/>
        <v>S6_2026</v>
      </c>
      <c r="D365" s="14">
        <v>46062</v>
      </c>
      <c r="E365" s="19" t="s">
        <v>123</v>
      </c>
      <c r="F365" s="24">
        <v>26</v>
      </c>
      <c r="G365" t="s">
        <v>162</v>
      </c>
      <c r="H365" t="s">
        <v>108</v>
      </c>
      <c r="J365" t="s">
        <v>132</v>
      </c>
      <c r="L365" s="19" t="s">
        <v>182</v>
      </c>
      <c r="M365" s="19" t="s">
        <v>949</v>
      </c>
      <c r="N365" t="s">
        <v>988</v>
      </c>
      <c r="O365" t="s">
        <v>184</v>
      </c>
      <c r="P365" t="s">
        <v>1318</v>
      </c>
      <c r="Q365" s="19" t="s">
        <v>949</v>
      </c>
      <c r="R365" s="11">
        <v>46059</v>
      </c>
      <c r="S365" s="14">
        <v>46059</v>
      </c>
      <c r="T365" s="14">
        <v>46059</v>
      </c>
      <c r="V365" t="s">
        <v>132</v>
      </c>
      <c r="W365" t="s">
        <v>132</v>
      </c>
      <c r="X365" t="s">
        <v>132</v>
      </c>
      <c r="Y365" t="s">
        <v>114</v>
      </c>
      <c r="Z365" t="s">
        <v>114</v>
      </c>
      <c r="AA365" t="s">
        <v>132</v>
      </c>
      <c r="AB365" t="s">
        <v>132</v>
      </c>
      <c r="AE365" t="s">
        <v>114</v>
      </c>
      <c r="AF365" t="s">
        <v>132</v>
      </c>
      <c r="AG365" t="s">
        <v>114</v>
      </c>
      <c r="AH365" t="s">
        <v>132</v>
      </c>
      <c r="AI365" t="s">
        <v>132</v>
      </c>
      <c r="AJ365" t="s">
        <v>132</v>
      </c>
      <c r="AK365" t="s">
        <v>114</v>
      </c>
      <c r="AM365" t="s">
        <v>114</v>
      </c>
      <c r="AN365" t="s">
        <v>114</v>
      </c>
      <c r="AP365" t="s">
        <v>132</v>
      </c>
      <c r="AQ365" t="s">
        <v>142</v>
      </c>
      <c r="AR365" t="s">
        <v>1356</v>
      </c>
      <c r="AS365" s="11">
        <v>46071</v>
      </c>
      <c r="AU365" t="s">
        <v>114</v>
      </c>
      <c r="AV365" t="s">
        <v>115</v>
      </c>
      <c r="BA365"/>
      <c r="BB365" t="s">
        <v>114</v>
      </c>
      <c r="BC365" s="11">
        <v>46062</v>
      </c>
      <c r="BD365" t="s">
        <v>116</v>
      </c>
      <c r="BF365" t="s">
        <v>988</v>
      </c>
      <c r="BG365" t="s">
        <v>449</v>
      </c>
      <c r="BJ365" t="str">
        <f t="shared" si="76"/>
        <v/>
      </c>
      <c r="BK365" t="s">
        <v>187</v>
      </c>
      <c r="BL365" t="str">
        <f t="shared" si="78"/>
        <v>S7_2026</v>
      </c>
      <c r="BM365" t="s">
        <v>159</v>
      </c>
      <c r="BN365" s="11">
        <v>46072</v>
      </c>
      <c r="BO365" t="str">
        <f t="shared" si="67"/>
        <v>S8_2026</v>
      </c>
      <c r="BP365" t="s">
        <v>114</v>
      </c>
      <c r="BQ365" t="s">
        <v>450</v>
      </c>
      <c r="BR365" t="s">
        <v>451</v>
      </c>
      <c r="BS365" t="s">
        <v>132</v>
      </c>
      <c r="CI365" t="s">
        <v>119</v>
      </c>
      <c r="CP365" s="14">
        <v>46062</v>
      </c>
      <c r="CQ365" t="s">
        <v>132</v>
      </c>
      <c r="CR365">
        <f t="shared" si="72"/>
        <v>9</v>
      </c>
      <c r="CS365">
        <f t="shared" si="73"/>
        <v>1</v>
      </c>
      <c r="CT365">
        <f t="shared" si="79"/>
        <v>3</v>
      </c>
      <c r="CU365" t="str">
        <f t="shared" si="74"/>
        <v/>
      </c>
      <c r="CV365" t="str">
        <f t="shared" si="75"/>
        <v/>
      </c>
      <c r="CW365" t="s">
        <v>132</v>
      </c>
      <c r="CX365" s="11">
        <v>46059</v>
      </c>
      <c r="CY365" t="str">
        <f t="shared" si="71"/>
        <v>S6_2026</v>
      </c>
      <c r="DC365" t="s">
        <v>120</v>
      </c>
    </row>
    <row r="366" spans="1:107" x14ac:dyDescent="0.35">
      <c r="A366" t="s">
        <v>1357</v>
      </c>
      <c r="B366" s="10" t="str">
        <f t="shared" si="77"/>
        <v>S6_2026</v>
      </c>
      <c r="C366" s="10" t="str">
        <f t="shared" si="69"/>
        <v>S50_2025</v>
      </c>
      <c r="D366" s="14">
        <v>46061</v>
      </c>
      <c r="E366" t="s">
        <v>106</v>
      </c>
      <c r="F366" s="24">
        <v>20</v>
      </c>
      <c r="G366" t="s">
        <v>323</v>
      </c>
      <c r="H366" t="s">
        <v>108</v>
      </c>
      <c r="J366" t="s">
        <v>132</v>
      </c>
      <c r="L366" s="19" t="s">
        <v>182</v>
      </c>
      <c r="M366" s="19" t="s">
        <v>949</v>
      </c>
      <c r="N366" t="s">
        <v>988</v>
      </c>
      <c r="O366" t="s">
        <v>184</v>
      </c>
      <c r="P366" t="s">
        <v>1318</v>
      </c>
      <c r="Q366" s="19" t="s">
        <v>949</v>
      </c>
      <c r="R366" s="14">
        <v>46005</v>
      </c>
      <c r="S366" s="14">
        <v>46005</v>
      </c>
      <c r="T366" s="14">
        <v>46005</v>
      </c>
      <c r="V366" t="s">
        <v>114</v>
      </c>
      <c r="W366" t="s">
        <v>114</v>
      </c>
      <c r="X366" t="s">
        <v>114</v>
      </c>
      <c r="Y366" t="s">
        <v>114</v>
      </c>
      <c r="Z366" t="s">
        <v>114</v>
      </c>
      <c r="AA366" t="s">
        <v>114</v>
      </c>
      <c r="AB366" t="s">
        <v>132</v>
      </c>
      <c r="AE366" t="s">
        <v>132</v>
      </c>
      <c r="AF366" t="s">
        <v>132</v>
      </c>
      <c r="AG366" t="s">
        <v>114</v>
      </c>
      <c r="AH366" t="s">
        <v>132</v>
      </c>
      <c r="AI366" t="s">
        <v>132</v>
      </c>
      <c r="AJ366" t="s">
        <v>132</v>
      </c>
      <c r="AK366" t="s">
        <v>114</v>
      </c>
      <c r="AM366" t="s">
        <v>114</v>
      </c>
      <c r="AN366" t="s">
        <v>114</v>
      </c>
      <c r="AP366" t="s">
        <v>132</v>
      </c>
      <c r="AQ366" t="s">
        <v>1358</v>
      </c>
      <c r="AR366" t="s">
        <v>1359</v>
      </c>
      <c r="AS366" s="11">
        <v>46071</v>
      </c>
      <c r="AU366" t="s">
        <v>114</v>
      </c>
      <c r="AV366" t="s">
        <v>115</v>
      </c>
      <c r="BB366" t="s">
        <v>114</v>
      </c>
      <c r="BC366" s="11">
        <v>46061</v>
      </c>
      <c r="BD366" t="s">
        <v>116</v>
      </c>
      <c r="BF366" t="s">
        <v>988</v>
      </c>
      <c r="BG366" t="s">
        <v>449</v>
      </c>
      <c r="BJ366" t="str">
        <f t="shared" si="76"/>
        <v/>
      </c>
      <c r="BK366" t="s">
        <v>187</v>
      </c>
      <c r="BL366" t="str">
        <f t="shared" si="78"/>
        <v>S6_2026</v>
      </c>
      <c r="BM366" t="s">
        <v>159</v>
      </c>
      <c r="BN366" s="11">
        <v>46072</v>
      </c>
      <c r="BO366" t="str">
        <f t="shared" si="67"/>
        <v>S8_2026</v>
      </c>
      <c r="BP366" t="s">
        <v>114</v>
      </c>
      <c r="BQ366" t="s">
        <v>450</v>
      </c>
      <c r="BR366" t="s">
        <v>451</v>
      </c>
      <c r="BS366" t="s">
        <v>132</v>
      </c>
      <c r="CI366" t="s">
        <v>119</v>
      </c>
      <c r="CP366" s="11">
        <v>46061</v>
      </c>
      <c r="CQ366" t="s">
        <v>132</v>
      </c>
      <c r="CR366">
        <f t="shared" si="72"/>
        <v>10</v>
      </c>
      <c r="CS366">
        <f t="shared" si="73"/>
        <v>1</v>
      </c>
      <c r="CT366">
        <f t="shared" si="79"/>
        <v>56</v>
      </c>
      <c r="CU366" t="str">
        <f t="shared" si="74"/>
        <v/>
      </c>
      <c r="CV366" t="str">
        <f t="shared" si="75"/>
        <v/>
      </c>
      <c r="CW366" t="s">
        <v>132</v>
      </c>
      <c r="CX366" s="11">
        <v>46005</v>
      </c>
      <c r="CY366" t="str">
        <f t="shared" si="71"/>
        <v>S50_2025</v>
      </c>
      <c r="DC366" t="s">
        <v>120</v>
      </c>
    </row>
    <row r="367" spans="1:107" x14ac:dyDescent="0.35">
      <c r="A367" s="36" t="s">
        <v>1360</v>
      </c>
      <c r="B367" s="10" t="str">
        <f t="shared" si="77"/>
        <v>S9_2026</v>
      </c>
      <c r="C367" s="10" t="str">
        <f t="shared" si="69"/>
        <v>S8_2026</v>
      </c>
      <c r="D367" s="11">
        <v>46077</v>
      </c>
      <c r="E367" s="19" t="s">
        <v>123</v>
      </c>
      <c r="F367" s="24">
        <v>43</v>
      </c>
      <c r="G367" s="16" t="s">
        <v>429</v>
      </c>
      <c r="H367" t="s">
        <v>108</v>
      </c>
      <c r="J367" t="s">
        <v>142</v>
      </c>
      <c r="L367" s="19" t="s">
        <v>126</v>
      </c>
      <c r="M367" s="19" t="s">
        <v>1088</v>
      </c>
      <c r="N367" t="s">
        <v>1361</v>
      </c>
      <c r="O367" t="s">
        <v>184</v>
      </c>
      <c r="P367" t="s">
        <v>1362</v>
      </c>
      <c r="Q367" s="19" t="s">
        <v>977</v>
      </c>
      <c r="R367" s="11">
        <v>46069</v>
      </c>
      <c r="S367" s="11">
        <v>46069</v>
      </c>
      <c r="T367" s="11">
        <v>46072</v>
      </c>
      <c r="V367" t="s">
        <v>114</v>
      </c>
      <c r="W367" t="s">
        <v>114</v>
      </c>
      <c r="X367" t="s">
        <v>114</v>
      </c>
      <c r="Y367" t="s">
        <v>114</v>
      </c>
      <c r="Z367" t="s">
        <v>114</v>
      </c>
      <c r="AA367" t="s">
        <v>114</v>
      </c>
      <c r="AB367" t="s">
        <v>114</v>
      </c>
      <c r="AE367" t="s">
        <v>114</v>
      </c>
      <c r="AF367" t="s">
        <v>114</v>
      </c>
      <c r="AG367" t="s">
        <v>114</v>
      </c>
      <c r="AH367" t="s">
        <v>142</v>
      </c>
      <c r="AI367" t="s">
        <v>132</v>
      </c>
      <c r="AJ367" t="s">
        <v>132</v>
      </c>
      <c r="AK367" t="s">
        <v>918</v>
      </c>
      <c r="AM367" t="s">
        <v>451</v>
      </c>
      <c r="AN367" t="s">
        <v>132</v>
      </c>
      <c r="AP367" t="s">
        <v>142</v>
      </c>
      <c r="AQ367" t="s">
        <v>132</v>
      </c>
      <c r="AR367" t="s">
        <v>1363</v>
      </c>
      <c r="AS367" s="11">
        <v>46078</v>
      </c>
      <c r="AU367" t="s">
        <v>114</v>
      </c>
      <c r="AV367" t="s">
        <v>134</v>
      </c>
      <c r="AW367" t="s">
        <v>152</v>
      </c>
      <c r="AY367" t="s">
        <v>135</v>
      </c>
      <c r="BB367" t="s">
        <v>114</v>
      </c>
      <c r="BC367" s="11">
        <v>46076</v>
      </c>
      <c r="BD367" t="s">
        <v>455</v>
      </c>
      <c r="BF367" t="s">
        <v>1364</v>
      </c>
      <c r="BG367" t="s">
        <v>449</v>
      </c>
      <c r="BI367" s="11">
        <v>46083</v>
      </c>
      <c r="BJ367" t="str">
        <f t="shared" si="76"/>
        <v>S10_2026</v>
      </c>
      <c r="BK367" t="s">
        <v>137</v>
      </c>
      <c r="BL367" t="str">
        <f t="shared" si="78"/>
        <v>S9_2026</v>
      </c>
      <c r="BM367" t="s">
        <v>159</v>
      </c>
      <c r="BN367" s="11">
        <v>46083</v>
      </c>
      <c r="BO367" t="str">
        <f t="shared" si="67"/>
        <v>S10_2026</v>
      </c>
      <c r="BP367" t="s">
        <v>114</v>
      </c>
      <c r="BQ367" t="s">
        <v>450</v>
      </c>
      <c r="BR367" t="s">
        <v>451</v>
      </c>
      <c r="BS367" t="s">
        <v>132</v>
      </c>
      <c r="CI367" t="s">
        <v>119</v>
      </c>
      <c r="CK367" t="s">
        <v>138</v>
      </c>
      <c r="CP367" s="11">
        <v>46076</v>
      </c>
      <c r="CQ367" t="s">
        <v>132</v>
      </c>
      <c r="CR367">
        <f t="shared" si="72"/>
        <v>2</v>
      </c>
      <c r="CS367">
        <f t="shared" si="73"/>
        <v>5</v>
      </c>
      <c r="CT367">
        <f t="shared" si="79"/>
        <v>4</v>
      </c>
      <c r="CV367">
        <f t="shared" si="75"/>
        <v>11</v>
      </c>
      <c r="CW367" t="s">
        <v>132</v>
      </c>
      <c r="CX367" s="11">
        <v>46072</v>
      </c>
      <c r="CY367" t="str">
        <f t="shared" si="71"/>
        <v>S8_2026</v>
      </c>
      <c r="CZ367" t="s">
        <v>132</v>
      </c>
      <c r="DB367" t="s">
        <v>132</v>
      </c>
      <c r="DC367" t="s">
        <v>139</v>
      </c>
    </row>
    <row r="368" spans="1:107" x14ac:dyDescent="0.35">
      <c r="A368" s="36" t="s">
        <v>1365</v>
      </c>
      <c r="B368" s="10" t="str">
        <f t="shared" si="77"/>
        <v>S9_2026</v>
      </c>
      <c r="C368" s="10" t="str">
        <f t="shared" si="69"/>
        <v>S8_2026</v>
      </c>
      <c r="D368" s="11">
        <v>46078</v>
      </c>
      <c r="E368" t="s">
        <v>106</v>
      </c>
      <c r="F368" s="24">
        <v>42</v>
      </c>
      <c r="G368" t="s">
        <v>882</v>
      </c>
      <c r="H368" t="s">
        <v>108</v>
      </c>
      <c r="J368" t="s">
        <v>114</v>
      </c>
      <c r="K368" s="11">
        <v>46070</v>
      </c>
      <c r="L368" s="19" t="s">
        <v>206</v>
      </c>
      <c r="M368" s="19" t="s">
        <v>207</v>
      </c>
      <c r="N368" t="s">
        <v>1366</v>
      </c>
      <c r="O368" t="s">
        <v>1367</v>
      </c>
      <c r="P368" t="s">
        <v>1368</v>
      </c>
      <c r="Q368" s="19" t="s">
        <v>520</v>
      </c>
      <c r="R368" s="11">
        <v>46070</v>
      </c>
      <c r="S368" s="11">
        <v>46070</v>
      </c>
      <c r="T368" s="11">
        <v>46070</v>
      </c>
      <c r="V368" t="s">
        <v>132</v>
      </c>
      <c r="W368" t="s">
        <v>132</v>
      </c>
      <c r="X368" t="s">
        <v>132</v>
      </c>
      <c r="Y368" t="s">
        <v>132</v>
      </c>
      <c r="Z368" t="s">
        <v>132</v>
      </c>
      <c r="AA368" t="s">
        <v>132</v>
      </c>
      <c r="AB368" t="s">
        <v>132</v>
      </c>
      <c r="AC368" t="s">
        <v>1369</v>
      </c>
      <c r="AE368" t="s">
        <v>132</v>
      </c>
      <c r="AF368" t="s">
        <v>132</v>
      </c>
      <c r="AG368" t="s">
        <v>132</v>
      </c>
      <c r="AH368" t="s">
        <v>132</v>
      </c>
      <c r="AI368" t="s">
        <v>132</v>
      </c>
      <c r="AJ368" t="s">
        <v>984</v>
      </c>
      <c r="AK368" t="s">
        <v>132</v>
      </c>
      <c r="AM368" t="s">
        <v>132</v>
      </c>
      <c r="AN368" t="s">
        <v>132</v>
      </c>
      <c r="AP368" t="s">
        <v>142</v>
      </c>
      <c r="AQ368" t="s">
        <v>142</v>
      </c>
      <c r="AR368" t="s">
        <v>1370</v>
      </c>
      <c r="AS368" s="11">
        <v>46079</v>
      </c>
      <c r="AU368" t="s">
        <v>114</v>
      </c>
      <c r="AV368" t="s">
        <v>115</v>
      </c>
      <c r="BB368" t="s">
        <v>114</v>
      </c>
      <c r="BC368" s="11">
        <v>46077</v>
      </c>
      <c r="BD368" t="s">
        <v>1371</v>
      </c>
      <c r="BE368">
        <v>677208561</v>
      </c>
      <c r="BF368" t="s">
        <v>1372</v>
      </c>
      <c r="BG368" t="s">
        <v>449</v>
      </c>
      <c r="BJ368" t="str">
        <f t="shared" si="76"/>
        <v/>
      </c>
      <c r="BK368" t="s">
        <v>206</v>
      </c>
      <c r="BL368" t="str">
        <f t="shared" si="78"/>
        <v>S9_2026</v>
      </c>
      <c r="BM368" t="s">
        <v>159</v>
      </c>
      <c r="BN368" s="11">
        <v>46084</v>
      </c>
      <c r="BO368" t="str">
        <f t="shared" si="67"/>
        <v>S10_2026</v>
      </c>
      <c r="BP368" t="s">
        <v>114</v>
      </c>
      <c r="BQ368" t="s">
        <v>450</v>
      </c>
      <c r="BR368" t="s">
        <v>114</v>
      </c>
      <c r="BS368" t="s">
        <v>132</v>
      </c>
      <c r="CI368" t="s">
        <v>119</v>
      </c>
      <c r="CP368" s="11">
        <v>46070</v>
      </c>
      <c r="CQ368" t="s">
        <v>132</v>
      </c>
      <c r="CR368">
        <f t="shared" si="72"/>
        <v>2</v>
      </c>
      <c r="CS368">
        <f t="shared" si="73"/>
        <v>5</v>
      </c>
      <c r="CT368">
        <f t="shared" si="79"/>
        <v>0</v>
      </c>
      <c r="CU368">
        <f t="shared" si="74"/>
        <v>0</v>
      </c>
      <c r="CV368" t="str">
        <f t="shared" si="75"/>
        <v/>
      </c>
      <c r="CW368" t="s">
        <v>132</v>
      </c>
      <c r="CX368" s="11">
        <v>46070</v>
      </c>
      <c r="CY368" t="str">
        <f t="shared" si="71"/>
        <v>S8_2026</v>
      </c>
      <c r="CZ368" t="s">
        <v>132</v>
      </c>
      <c r="DC368" t="s">
        <v>120</v>
      </c>
    </row>
    <row r="369" spans="1:107" x14ac:dyDescent="0.35">
      <c r="A369" s="36" t="s">
        <v>1373</v>
      </c>
      <c r="B369" s="10" t="str">
        <f t="shared" si="77"/>
        <v>S9_2026</v>
      </c>
      <c r="C369" s="10" t="str">
        <f t="shared" si="69"/>
        <v>S8_2026</v>
      </c>
      <c r="D369" s="11">
        <v>46077</v>
      </c>
      <c r="E369" s="19" t="s">
        <v>123</v>
      </c>
      <c r="F369" s="24">
        <v>4</v>
      </c>
      <c r="G369" t="s">
        <v>107</v>
      </c>
      <c r="H369" t="s">
        <v>108</v>
      </c>
      <c r="J369" t="s">
        <v>114</v>
      </c>
      <c r="K369" s="11">
        <v>46077</v>
      </c>
      <c r="L369" s="19" t="s">
        <v>111</v>
      </c>
      <c r="M369" s="19" t="s">
        <v>143</v>
      </c>
      <c r="N369" t="s">
        <v>1006</v>
      </c>
      <c r="O369" t="s">
        <v>1374</v>
      </c>
      <c r="P369" t="s">
        <v>556</v>
      </c>
      <c r="Q369" s="19" t="s">
        <v>143</v>
      </c>
      <c r="R369" s="11">
        <v>46074</v>
      </c>
      <c r="S369" s="11">
        <v>46074</v>
      </c>
      <c r="T369" s="11">
        <v>46074</v>
      </c>
      <c r="V369" t="s">
        <v>114</v>
      </c>
      <c r="W369" t="s">
        <v>114</v>
      </c>
      <c r="X369" t="s">
        <v>114</v>
      </c>
      <c r="Y369" t="s">
        <v>114</v>
      </c>
      <c r="Z369" t="s">
        <v>114</v>
      </c>
      <c r="AA369" t="s">
        <v>114</v>
      </c>
      <c r="AB369" t="s">
        <v>114</v>
      </c>
      <c r="AE369" t="s">
        <v>132</v>
      </c>
      <c r="AF369" t="s">
        <v>132</v>
      </c>
      <c r="AG369" t="s">
        <v>114</v>
      </c>
      <c r="AH369" t="s">
        <v>142</v>
      </c>
      <c r="AI369" t="s">
        <v>132</v>
      </c>
      <c r="AJ369" t="s">
        <v>132</v>
      </c>
      <c r="AK369" t="s">
        <v>132</v>
      </c>
      <c r="AM369" t="s">
        <v>918</v>
      </c>
      <c r="AN369" t="s">
        <v>132</v>
      </c>
      <c r="AP369" t="s">
        <v>142</v>
      </c>
      <c r="AQ369" t="s">
        <v>132</v>
      </c>
      <c r="AR369" t="s">
        <v>1375</v>
      </c>
      <c r="AS369" s="11">
        <v>46079</v>
      </c>
      <c r="AU369" t="s">
        <v>114</v>
      </c>
      <c r="AV369" t="s">
        <v>115</v>
      </c>
      <c r="BB369" t="s">
        <v>114</v>
      </c>
      <c r="BC369" s="11">
        <v>46077</v>
      </c>
      <c r="BD369" t="s">
        <v>116</v>
      </c>
      <c r="BE369">
        <v>691624155</v>
      </c>
      <c r="BF369" t="s">
        <v>1006</v>
      </c>
      <c r="BG369" t="s">
        <v>132</v>
      </c>
      <c r="BJ369" t="str">
        <f t="shared" si="76"/>
        <v/>
      </c>
      <c r="BK369" t="s">
        <v>117</v>
      </c>
      <c r="BL369" t="str">
        <f t="shared" si="78"/>
        <v>S9_2026</v>
      </c>
      <c r="BM369" t="s">
        <v>159</v>
      </c>
      <c r="BN369" s="11">
        <v>46081</v>
      </c>
      <c r="BO369" t="str">
        <f t="shared" si="67"/>
        <v>S9_2026</v>
      </c>
      <c r="BP369" t="s">
        <v>114</v>
      </c>
      <c r="BQ369" t="s">
        <v>118</v>
      </c>
      <c r="BR369" t="s">
        <v>451</v>
      </c>
      <c r="BS369" t="s">
        <v>132</v>
      </c>
      <c r="CI369" t="s">
        <v>119</v>
      </c>
      <c r="CP369" s="11">
        <v>46077</v>
      </c>
      <c r="CQ369" t="s">
        <v>132</v>
      </c>
      <c r="CR369">
        <f t="shared" si="72"/>
        <v>2</v>
      </c>
      <c r="CS369">
        <f t="shared" si="73"/>
        <v>2</v>
      </c>
      <c r="CT369">
        <f t="shared" si="79"/>
        <v>3</v>
      </c>
      <c r="CU369">
        <f t="shared" si="74"/>
        <v>0</v>
      </c>
      <c r="CV369" t="str">
        <f t="shared" si="75"/>
        <v/>
      </c>
      <c r="CW369" t="s">
        <v>132</v>
      </c>
      <c r="CX369" s="11">
        <v>46074</v>
      </c>
      <c r="CY369" t="str">
        <f t="shared" si="71"/>
        <v>S8_2026</v>
      </c>
      <c r="CZ369" t="s">
        <v>132</v>
      </c>
      <c r="DB369" t="s">
        <v>132</v>
      </c>
      <c r="DC369" t="s">
        <v>120</v>
      </c>
    </row>
    <row r="370" spans="1:107" x14ac:dyDescent="0.35">
      <c r="A370" s="36" t="s">
        <v>1376</v>
      </c>
      <c r="B370" s="10" t="str">
        <f t="shared" si="77"/>
        <v>S9_2026</v>
      </c>
      <c r="C370" s="10" t="str">
        <f t="shared" si="69"/>
        <v>S8_2026</v>
      </c>
      <c r="D370" s="11">
        <v>46077</v>
      </c>
      <c r="E370" s="19" t="s">
        <v>123</v>
      </c>
      <c r="F370" s="24">
        <v>40</v>
      </c>
      <c r="G370" t="s">
        <v>162</v>
      </c>
      <c r="H370" t="s">
        <v>108</v>
      </c>
      <c r="J370" t="s">
        <v>132</v>
      </c>
      <c r="L370" s="19" t="s">
        <v>111</v>
      </c>
      <c r="M370" s="19" t="s">
        <v>143</v>
      </c>
      <c r="N370" t="s">
        <v>1006</v>
      </c>
      <c r="O370" t="s">
        <v>184</v>
      </c>
      <c r="P370" t="s">
        <v>861</v>
      </c>
      <c r="Q370" s="19" t="s">
        <v>143</v>
      </c>
      <c r="R370" s="11">
        <v>46069</v>
      </c>
      <c r="S370" s="11">
        <v>46069</v>
      </c>
      <c r="T370" s="11">
        <v>46069</v>
      </c>
      <c r="V370" t="s">
        <v>132</v>
      </c>
      <c r="W370" t="s">
        <v>132</v>
      </c>
      <c r="X370" t="s">
        <v>132</v>
      </c>
      <c r="Y370" t="s">
        <v>132</v>
      </c>
      <c r="Z370" t="s">
        <v>132</v>
      </c>
      <c r="AA370" t="s">
        <v>132</v>
      </c>
      <c r="AB370" t="s">
        <v>114</v>
      </c>
      <c r="AC370" t="s">
        <v>1377</v>
      </c>
      <c r="AE370" t="s">
        <v>114</v>
      </c>
      <c r="AF370" t="s">
        <v>132</v>
      </c>
      <c r="AG370" t="s">
        <v>132</v>
      </c>
      <c r="AH370" t="s">
        <v>132</v>
      </c>
      <c r="AI370" t="s">
        <v>132</v>
      </c>
      <c r="AJ370" t="s">
        <v>132</v>
      </c>
      <c r="AK370" t="s">
        <v>918</v>
      </c>
      <c r="AM370" t="s">
        <v>918</v>
      </c>
      <c r="AN370" t="s">
        <v>451</v>
      </c>
      <c r="AP370" t="s">
        <v>142</v>
      </c>
      <c r="AQ370" t="s">
        <v>451</v>
      </c>
      <c r="AR370" t="s">
        <v>1378</v>
      </c>
      <c r="AS370" s="11">
        <v>46079</v>
      </c>
      <c r="AU370" t="s">
        <v>114</v>
      </c>
      <c r="AV370" t="s">
        <v>115</v>
      </c>
      <c r="BB370" t="s">
        <v>114</v>
      </c>
      <c r="BC370" s="11">
        <v>46077</v>
      </c>
      <c r="BD370" t="s">
        <v>512</v>
      </c>
      <c r="BE370">
        <v>675511624</v>
      </c>
      <c r="BF370" t="s">
        <v>1006</v>
      </c>
      <c r="BG370" t="s">
        <v>132</v>
      </c>
      <c r="BJ370" t="str">
        <f t="shared" si="76"/>
        <v/>
      </c>
      <c r="BK370" t="s">
        <v>117</v>
      </c>
      <c r="BL370" t="str">
        <f t="shared" si="78"/>
        <v>S9_2026</v>
      </c>
      <c r="BM370" t="s">
        <v>159</v>
      </c>
      <c r="BN370" s="11">
        <v>46081</v>
      </c>
      <c r="BO370" t="str">
        <f t="shared" si="67"/>
        <v>S9_2026</v>
      </c>
      <c r="BP370" t="s">
        <v>114</v>
      </c>
      <c r="BQ370" t="s">
        <v>118</v>
      </c>
      <c r="BR370" t="s">
        <v>451</v>
      </c>
      <c r="BS370" t="s">
        <v>132</v>
      </c>
      <c r="CI370" t="s">
        <v>119</v>
      </c>
      <c r="CP370" s="11">
        <v>46077</v>
      </c>
      <c r="CQ370" t="s">
        <v>132</v>
      </c>
      <c r="CR370">
        <f t="shared" si="72"/>
        <v>2</v>
      </c>
      <c r="CS370">
        <f t="shared" si="73"/>
        <v>2</v>
      </c>
      <c r="CT370">
        <f t="shared" si="79"/>
        <v>8</v>
      </c>
      <c r="CU370" t="str">
        <f t="shared" si="74"/>
        <v/>
      </c>
      <c r="CV370" t="str">
        <f t="shared" si="75"/>
        <v/>
      </c>
      <c r="CW370" t="s">
        <v>132</v>
      </c>
      <c r="CX370" s="11">
        <v>46069</v>
      </c>
      <c r="CY370" t="str">
        <f t="shared" si="71"/>
        <v>S8_2026</v>
      </c>
      <c r="CZ370" t="s">
        <v>132</v>
      </c>
      <c r="DB370" t="s">
        <v>132</v>
      </c>
      <c r="DC370" t="s">
        <v>120</v>
      </c>
    </row>
    <row r="371" spans="1:107" x14ac:dyDescent="0.35">
      <c r="A371" s="36" t="s">
        <v>1379</v>
      </c>
      <c r="B371" s="10" t="str">
        <f t="shared" si="77"/>
        <v>S9_2026</v>
      </c>
      <c r="C371" s="10" t="str">
        <f t="shared" si="69"/>
        <v>S8_2026</v>
      </c>
      <c r="D371" s="11">
        <v>46077</v>
      </c>
      <c r="E371" s="19" t="s">
        <v>123</v>
      </c>
      <c r="F371" s="24">
        <v>43</v>
      </c>
      <c r="G371" t="s">
        <v>162</v>
      </c>
      <c r="H371" t="s">
        <v>108</v>
      </c>
      <c r="J371" t="s">
        <v>114</v>
      </c>
      <c r="K371" s="11">
        <v>46075</v>
      </c>
      <c r="L371" s="19" t="s">
        <v>163</v>
      </c>
      <c r="M371" s="19" t="s">
        <v>776</v>
      </c>
      <c r="N371" t="s">
        <v>1380</v>
      </c>
      <c r="O371" t="s">
        <v>1381</v>
      </c>
      <c r="P371" t="s">
        <v>1382</v>
      </c>
      <c r="Q371" s="19" t="s">
        <v>776</v>
      </c>
      <c r="R371" s="11">
        <v>46075</v>
      </c>
      <c r="S371" s="11">
        <v>46075</v>
      </c>
      <c r="T371" s="11">
        <v>46075</v>
      </c>
      <c r="V371" t="s">
        <v>114</v>
      </c>
      <c r="W371" t="s">
        <v>114</v>
      </c>
      <c r="X371" t="s">
        <v>114</v>
      </c>
      <c r="Y371" t="s">
        <v>114</v>
      </c>
      <c r="Z371" t="s">
        <v>114</v>
      </c>
      <c r="AA371" t="s">
        <v>114</v>
      </c>
      <c r="AB371" t="s">
        <v>114</v>
      </c>
      <c r="AE371" t="s">
        <v>114</v>
      </c>
      <c r="AF371" t="s">
        <v>132</v>
      </c>
      <c r="AG371" t="s">
        <v>114</v>
      </c>
      <c r="AH371" t="s">
        <v>132</v>
      </c>
      <c r="AI371" t="s">
        <v>132</v>
      </c>
      <c r="AJ371" t="s">
        <v>132</v>
      </c>
      <c r="AK371" t="s">
        <v>132</v>
      </c>
      <c r="AM371" t="s">
        <v>142</v>
      </c>
      <c r="AN371" t="s">
        <v>918</v>
      </c>
      <c r="AP371" t="s">
        <v>142</v>
      </c>
      <c r="AQ371" t="s">
        <v>132</v>
      </c>
      <c r="AR371" t="s">
        <v>1383</v>
      </c>
      <c r="AS371" s="11">
        <v>46079</v>
      </c>
      <c r="AU371" t="s">
        <v>114</v>
      </c>
      <c r="AV371" t="s">
        <v>134</v>
      </c>
      <c r="AW371" t="s">
        <v>152</v>
      </c>
      <c r="AY371" t="s">
        <v>135</v>
      </c>
      <c r="BB371" t="s">
        <v>114</v>
      </c>
      <c r="BC371" s="11">
        <v>46075</v>
      </c>
      <c r="BD371" t="s">
        <v>1384</v>
      </c>
      <c r="BE371">
        <v>677691240</v>
      </c>
      <c r="BF371" t="s">
        <v>1380</v>
      </c>
      <c r="BG371" t="s">
        <v>132</v>
      </c>
      <c r="BI371" s="11">
        <v>46081</v>
      </c>
      <c r="BJ371" t="str">
        <f t="shared" si="76"/>
        <v>S9_2026</v>
      </c>
      <c r="BK371" t="s">
        <v>170</v>
      </c>
      <c r="BL371" t="str">
        <f t="shared" si="78"/>
        <v>S8_2026</v>
      </c>
      <c r="BM371" t="s">
        <v>159</v>
      </c>
      <c r="BN371" s="11">
        <v>46081</v>
      </c>
      <c r="BO371" t="str">
        <f t="shared" si="67"/>
        <v>S9_2026</v>
      </c>
      <c r="BP371" t="s">
        <v>114</v>
      </c>
      <c r="BQ371" t="s">
        <v>118</v>
      </c>
      <c r="BR371" t="s">
        <v>451</v>
      </c>
      <c r="BS371" t="s">
        <v>132</v>
      </c>
      <c r="CI371" t="s">
        <v>119</v>
      </c>
      <c r="CK371" t="s">
        <v>138</v>
      </c>
      <c r="CP371" s="11">
        <v>46075</v>
      </c>
      <c r="CQ371" t="s">
        <v>132</v>
      </c>
      <c r="CR371">
        <f t="shared" si="72"/>
        <v>4</v>
      </c>
      <c r="CS371">
        <f t="shared" si="73"/>
        <v>2</v>
      </c>
      <c r="CT371">
        <f t="shared" si="79"/>
        <v>0</v>
      </c>
      <c r="CU371">
        <f t="shared" si="74"/>
        <v>0</v>
      </c>
      <c r="CV371">
        <f t="shared" si="75"/>
        <v>6</v>
      </c>
      <c r="CW371" t="s">
        <v>132</v>
      </c>
      <c r="CX371" s="11">
        <v>46075</v>
      </c>
      <c r="CY371" t="str">
        <f t="shared" si="71"/>
        <v>S8_2026</v>
      </c>
      <c r="CZ371" t="s">
        <v>132</v>
      </c>
      <c r="DC371" t="s">
        <v>139</v>
      </c>
    </row>
    <row r="372" spans="1:107" x14ac:dyDescent="0.35">
      <c r="A372" s="36" t="s">
        <v>1385</v>
      </c>
      <c r="B372" s="10" t="str">
        <f t="shared" si="77"/>
        <v>S9_2026</v>
      </c>
      <c r="C372" s="10" t="str">
        <f t="shared" si="69"/>
        <v>S8_2026</v>
      </c>
      <c r="D372" s="11">
        <v>46078</v>
      </c>
      <c r="E372" s="19" t="s">
        <v>123</v>
      </c>
      <c r="F372" s="24">
        <v>27</v>
      </c>
      <c r="G372" t="s">
        <v>1386</v>
      </c>
      <c r="H372" t="s">
        <v>108</v>
      </c>
      <c r="J372" t="s">
        <v>132</v>
      </c>
      <c r="L372" s="19" t="s">
        <v>111</v>
      </c>
      <c r="M372" s="19" t="s">
        <v>112</v>
      </c>
      <c r="N372" t="s">
        <v>112</v>
      </c>
      <c r="O372" t="s">
        <v>184</v>
      </c>
      <c r="P372" t="s">
        <v>1387</v>
      </c>
      <c r="Q372" s="19" t="s">
        <v>112</v>
      </c>
      <c r="R372" s="11">
        <v>46074</v>
      </c>
      <c r="S372" s="11">
        <v>46076</v>
      </c>
      <c r="T372" s="11">
        <v>46074</v>
      </c>
      <c r="V372" t="s">
        <v>114</v>
      </c>
      <c r="W372" t="s">
        <v>114</v>
      </c>
      <c r="X372" t="s">
        <v>114</v>
      </c>
      <c r="Y372" t="s">
        <v>114</v>
      </c>
      <c r="Z372" t="s">
        <v>114</v>
      </c>
      <c r="AA372" t="s">
        <v>114</v>
      </c>
      <c r="AB372" t="s">
        <v>114</v>
      </c>
      <c r="AE372" t="s">
        <v>114</v>
      </c>
      <c r="AF372" t="s">
        <v>132</v>
      </c>
      <c r="AG372" t="s">
        <v>114</v>
      </c>
      <c r="AH372" t="s">
        <v>132</v>
      </c>
      <c r="AI372" t="s">
        <v>132</v>
      </c>
      <c r="AQ372" t="s">
        <v>132</v>
      </c>
      <c r="AR372" t="s">
        <v>1388</v>
      </c>
      <c r="AS372" s="11">
        <v>46078</v>
      </c>
      <c r="AU372" t="s">
        <v>114</v>
      </c>
      <c r="AV372" t="s">
        <v>115</v>
      </c>
      <c r="BB372" t="s">
        <v>114</v>
      </c>
      <c r="BC372" s="11">
        <v>46078</v>
      </c>
      <c r="BD372" t="s">
        <v>116</v>
      </c>
      <c r="BF372" t="s">
        <v>112</v>
      </c>
      <c r="BG372" t="s">
        <v>114</v>
      </c>
      <c r="BJ372" t="str">
        <f t="shared" si="76"/>
        <v/>
      </c>
      <c r="BK372" t="s">
        <v>117</v>
      </c>
      <c r="BL372" t="str">
        <f t="shared" si="78"/>
        <v>S9_2026</v>
      </c>
      <c r="BM372" t="s">
        <v>159</v>
      </c>
      <c r="BN372" s="11">
        <v>46078</v>
      </c>
      <c r="BO372" t="str">
        <f t="shared" si="67"/>
        <v>S9_2026</v>
      </c>
      <c r="BP372" t="s">
        <v>114</v>
      </c>
      <c r="BQ372" t="s">
        <v>118</v>
      </c>
      <c r="BR372" t="s">
        <v>142</v>
      </c>
      <c r="BS372" t="s">
        <v>132</v>
      </c>
      <c r="CI372" t="s">
        <v>119</v>
      </c>
      <c r="CP372" s="11">
        <v>46078</v>
      </c>
      <c r="CQ372" t="s">
        <v>132</v>
      </c>
      <c r="CR372">
        <f t="shared" si="72"/>
        <v>0</v>
      </c>
      <c r="CS372">
        <f t="shared" si="73"/>
        <v>0</v>
      </c>
      <c r="CT372">
        <f t="shared" si="79"/>
        <v>4</v>
      </c>
      <c r="CU372" t="str">
        <f t="shared" si="74"/>
        <v/>
      </c>
      <c r="CV372" t="str">
        <f t="shared" si="75"/>
        <v/>
      </c>
      <c r="CW372" t="s">
        <v>132</v>
      </c>
      <c r="CX372" s="11">
        <v>46074</v>
      </c>
      <c r="CY372" t="str">
        <f t="shared" si="71"/>
        <v>S8_2026</v>
      </c>
      <c r="CZ372" t="s">
        <v>132</v>
      </c>
      <c r="DB372" t="s">
        <v>132</v>
      </c>
      <c r="DC372" t="s">
        <v>120</v>
      </c>
    </row>
    <row r="373" spans="1:107" x14ac:dyDescent="0.35">
      <c r="A373" s="36" t="s">
        <v>1389</v>
      </c>
      <c r="B373" s="10" t="str">
        <f t="shared" si="77"/>
        <v>S9_2026</v>
      </c>
      <c r="C373" s="10" t="str">
        <f t="shared" si="69"/>
        <v>S9_2026</v>
      </c>
      <c r="D373" s="11">
        <v>46080</v>
      </c>
      <c r="E373" s="19" t="s">
        <v>123</v>
      </c>
      <c r="F373" s="24">
        <v>25</v>
      </c>
      <c r="G373" s="16" t="s">
        <v>429</v>
      </c>
      <c r="H373" t="s">
        <v>108</v>
      </c>
      <c r="J373" t="s">
        <v>114</v>
      </c>
      <c r="K373" s="11">
        <v>46080</v>
      </c>
      <c r="L373" s="19" t="s">
        <v>111</v>
      </c>
      <c r="M373" s="19" t="s">
        <v>308</v>
      </c>
      <c r="N373" t="s">
        <v>1154</v>
      </c>
      <c r="O373" t="s">
        <v>1390</v>
      </c>
      <c r="P373" t="s">
        <v>861</v>
      </c>
      <c r="Q373" s="19" t="s">
        <v>312</v>
      </c>
      <c r="R373" s="11">
        <v>46076</v>
      </c>
      <c r="S373" s="11">
        <v>46076</v>
      </c>
      <c r="T373" s="11">
        <v>46076</v>
      </c>
      <c r="V373" t="s">
        <v>114</v>
      </c>
      <c r="W373" t="s">
        <v>114</v>
      </c>
      <c r="X373" t="s">
        <v>114</v>
      </c>
      <c r="Y373" t="s">
        <v>114</v>
      </c>
      <c r="Z373" t="s">
        <v>114</v>
      </c>
      <c r="AA373" t="s">
        <v>114</v>
      </c>
      <c r="AB373" t="s">
        <v>114</v>
      </c>
      <c r="AE373" t="s">
        <v>114</v>
      </c>
      <c r="AF373" t="s">
        <v>132</v>
      </c>
      <c r="AG373" t="s">
        <v>132</v>
      </c>
      <c r="AH373" t="s">
        <v>132</v>
      </c>
      <c r="AI373" t="s">
        <v>132</v>
      </c>
      <c r="AJ373" t="s">
        <v>132</v>
      </c>
      <c r="AK373" t="s">
        <v>132</v>
      </c>
      <c r="AM373" t="s">
        <v>132</v>
      </c>
      <c r="AN373" t="s">
        <v>114</v>
      </c>
      <c r="AP373" t="s">
        <v>132</v>
      </c>
      <c r="AQ373" t="s">
        <v>132</v>
      </c>
      <c r="AR373" t="s">
        <v>1391</v>
      </c>
      <c r="AS373" s="11">
        <v>46080</v>
      </c>
      <c r="AU373" t="s">
        <v>114</v>
      </c>
      <c r="AV373" t="s">
        <v>115</v>
      </c>
      <c r="BB373" t="s">
        <v>114</v>
      </c>
      <c r="BC373" s="11">
        <v>46080</v>
      </c>
      <c r="BD373" t="s">
        <v>455</v>
      </c>
      <c r="BE373">
        <v>650189389</v>
      </c>
      <c r="BF373" t="s">
        <v>1156</v>
      </c>
      <c r="BG373" t="s">
        <v>114</v>
      </c>
      <c r="BJ373" t="str">
        <f t="shared" si="76"/>
        <v/>
      </c>
      <c r="BK373" t="s">
        <v>117</v>
      </c>
      <c r="BL373" t="str">
        <f t="shared" si="78"/>
        <v>S9_2026</v>
      </c>
      <c r="BM373" t="s">
        <v>159</v>
      </c>
      <c r="BN373" s="11">
        <v>46084</v>
      </c>
      <c r="BO373" t="str">
        <f t="shared" ref="BO373:BO436" si="80">IFERROR("S"&amp;(IF(_xlfn.ISOWEEKNUM(BN373)&gt;0,_xlfn.ISOWEEKNUM(BN373),_xlfn.CONCAT("0",_xlfn.ISOWEEKNUM(BN373))))&amp;"_"&amp;(YEAR(BN373+26-(_xlfn.ISOWEEKNUM(BN373)))),"")</f>
        <v>S10_2026</v>
      </c>
      <c r="BP373" t="s">
        <v>114</v>
      </c>
      <c r="BQ373" t="s">
        <v>118</v>
      </c>
      <c r="BR373" t="s">
        <v>451</v>
      </c>
      <c r="BS373" t="s">
        <v>132</v>
      </c>
      <c r="CI373" t="s">
        <v>119</v>
      </c>
      <c r="CP373" s="11">
        <v>45715</v>
      </c>
      <c r="CQ373" t="s">
        <v>132</v>
      </c>
      <c r="CR373">
        <f t="shared" si="72"/>
        <v>0</v>
      </c>
      <c r="CS373">
        <f t="shared" si="73"/>
        <v>4</v>
      </c>
      <c r="CV373" t="str">
        <f t="shared" si="75"/>
        <v/>
      </c>
      <c r="CW373" t="s">
        <v>132</v>
      </c>
      <c r="CX373" s="11">
        <v>46076</v>
      </c>
      <c r="CY373" t="str">
        <f t="shared" si="71"/>
        <v>S9_2026</v>
      </c>
      <c r="CZ373" t="s">
        <v>132</v>
      </c>
      <c r="DB373" t="s">
        <v>132</v>
      </c>
      <c r="DC373" t="s">
        <v>120</v>
      </c>
    </row>
    <row r="374" spans="1:107" x14ac:dyDescent="0.35">
      <c r="A374" s="36" t="s">
        <v>1392</v>
      </c>
      <c r="B374" s="10" t="str">
        <f t="shared" si="77"/>
        <v>S10_2026</v>
      </c>
      <c r="C374" s="10" t="str">
        <f t="shared" si="69"/>
        <v>S5_2026</v>
      </c>
      <c r="D374" s="11">
        <v>46083</v>
      </c>
      <c r="E374" s="19" t="s">
        <v>123</v>
      </c>
      <c r="F374" s="24">
        <v>48</v>
      </c>
      <c r="G374" t="s">
        <v>882</v>
      </c>
      <c r="H374" t="s">
        <v>108</v>
      </c>
      <c r="J374" t="s">
        <v>132</v>
      </c>
      <c r="L374" s="19" t="s">
        <v>163</v>
      </c>
      <c r="M374" s="19" t="s">
        <v>1393</v>
      </c>
      <c r="N374" t="s">
        <v>1393</v>
      </c>
      <c r="O374" t="s">
        <v>184</v>
      </c>
      <c r="Q374" s="19" t="s">
        <v>1393</v>
      </c>
      <c r="R374" s="11">
        <v>46050</v>
      </c>
      <c r="S374" s="11">
        <v>46050</v>
      </c>
      <c r="T374" s="11">
        <v>46050</v>
      </c>
      <c r="V374" t="s">
        <v>114</v>
      </c>
      <c r="W374" t="s">
        <v>114</v>
      </c>
      <c r="X374" t="s">
        <v>114</v>
      </c>
      <c r="Y374" t="s">
        <v>114</v>
      </c>
      <c r="Z374" t="s">
        <v>114</v>
      </c>
      <c r="AA374" t="s">
        <v>114</v>
      </c>
      <c r="AB374" t="s">
        <v>114</v>
      </c>
      <c r="AE374" t="s">
        <v>114</v>
      </c>
      <c r="AF374" t="s">
        <v>132</v>
      </c>
      <c r="AG374" t="s">
        <v>114</v>
      </c>
      <c r="AH374" t="s">
        <v>132</v>
      </c>
      <c r="AI374" t="s">
        <v>132</v>
      </c>
      <c r="AJ374" t="s">
        <v>132</v>
      </c>
      <c r="AK374" t="s">
        <v>114</v>
      </c>
      <c r="AM374" t="s">
        <v>451</v>
      </c>
      <c r="AN374" t="s">
        <v>918</v>
      </c>
      <c r="AP374" t="s">
        <v>132</v>
      </c>
      <c r="AQ374" t="s">
        <v>451</v>
      </c>
      <c r="AR374" t="s">
        <v>1394</v>
      </c>
      <c r="AS374" s="11">
        <v>46076</v>
      </c>
      <c r="AU374" t="s">
        <v>114</v>
      </c>
      <c r="AV374" t="s">
        <v>115</v>
      </c>
      <c r="BB374" t="s">
        <v>114</v>
      </c>
      <c r="BC374" s="11">
        <v>46073</v>
      </c>
      <c r="BD374" t="s">
        <v>512</v>
      </c>
      <c r="BE374">
        <v>650119877</v>
      </c>
      <c r="BF374" t="s">
        <v>1393</v>
      </c>
      <c r="BG374" t="s">
        <v>449</v>
      </c>
      <c r="BJ374" t="str">
        <f t="shared" si="76"/>
        <v/>
      </c>
      <c r="BK374" t="s">
        <v>170</v>
      </c>
      <c r="BL374" t="str">
        <f t="shared" si="78"/>
        <v>S8_2026</v>
      </c>
      <c r="BM374" t="s">
        <v>159</v>
      </c>
      <c r="BN374" s="11">
        <v>46083</v>
      </c>
      <c r="BO374" t="str">
        <f t="shared" si="80"/>
        <v>S10_2026</v>
      </c>
      <c r="BP374" t="s">
        <v>114</v>
      </c>
      <c r="BQ374" t="s">
        <v>450</v>
      </c>
      <c r="BR374" t="s">
        <v>451</v>
      </c>
      <c r="BS374" t="s">
        <v>132</v>
      </c>
      <c r="CI374" t="s">
        <v>119</v>
      </c>
      <c r="CP374" s="11">
        <v>46070</v>
      </c>
      <c r="CQ374" t="s">
        <v>132</v>
      </c>
      <c r="CR374">
        <f t="shared" si="72"/>
        <v>3</v>
      </c>
      <c r="CS374">
        <f t="shared" si="73"/>
        <v>7</v>
      </c>
      <c r="CT374">
        <f t="shared" ref="CT374:CT380" si="81">CP374-CX374</f>
        <v>20</v>
      </c>
      <c r="CU374" t="str">
        <f t="shared" si="74"/>
        <v/>
      </c>
      <c r="CV374" t="str">
        <f t="shared" si="75"/>
        <v/>
      </c>
      <c r="CW374" t="s">
        <v>132</v>
      </c>
      <c r="CX374" s="11">
        <v>46050</v>
      </c>
      <c r="CY374" t="str">
        <f t="shared" si="71"/>
        <v>S5_2026</v>
      </c>
      <c r="CZ374" t="s">
        <v>132</v>
      </c>
      <c r="DB374" t="s">
        <v>132</v>
      </c>
      <c r="DC374" t="s">
        <v>120</v>
      </c>
    </row>
    <row r="375" spans="1:107" x14ac:dyDescent="0.35">
      <c r="A375" s="36" t="s">
        <v>1395</v>
      </c>
      <c r="B375" s="10" t="str">
        <f t="shared" si="77"/>
        <v>S10_2026</v>
      </c>
      <c r="C375" s="10" t="str">
        <f t="shared" si="69"/>
        <v>S7_2026</v>
      </c>
      <c r="D375" s="11">
        <v>46083</v>
      </c>
      <c r="E375" s="19" t="s">
        <v>123</v>
      </c>
      <c r="F375" s="24">
        <v>4</v>
      </c>
      <c r="G375" t="s">
        <v>107</v>
      </c>
      <c r="H375" t="s">
        <v>108</v>
      </c>
      <c r="J375" t="s">
        <v>114</v>
      </c>
      <c r="K375" s="11">
        <v>46068</v>
      </c>
      <c r="L375" s="19" t="s">
        <v>163</v>
      </c>
      <c r="M375" s="19" t="s">
        <v>1393</v>
      </c>
      <c r="N375" t="s">
        <v>1396</v>
      </c>
      <c r="O375" t="s">
        <v>1397</v>
      </c>
      <c r="P375" t="s">
        <v>1398</v>
      </c>
      <c r="Q375" s="19" t="s">
        <v>1393</v>
      </c>
      <c r="R375" s="11">
        <v>46063</v>
      </c>
      <c r="S375" s="11">
        <v>46063</v>
      </c>
      <c r="T375" s="11">
        <v>46063</v>
      </c>
      <c r="V375" t="s">
        <v>114</v>
      </c>
      <c r="W375" t="s">
        <v>114</v>
      </c>
      <c r="X375" t="s">
        <v>114</v>
      </c>
      <c r="Y375" t="s">
        <v>114</v>
      </c>
      <c r="Z375" t="s">
        <v>114</v>
      </c>
      <c r="AA375" t="s">
        <v>114</v>
      </c>
      <c r="AB375" t="s">
        <v>114</v>
      </c>
      <c r="AE375" t="s">
        <v>114</v>
      </c>
      <c r="AF375" t="s">
        <v>132</v>
      </c>
      <c r="AG375" t="s">
        <v>114</v>
      </c>
      <c r="AH375" t="s">
        <v>132</v>
      </c>
      <c r="AI375" t="s">
        <v>132</v>
      </c>
      <c r="AJ375" t="s">
        <v>132</v>
      </c>
      <c r="AK375" t="s">
        <v>451</v>
      </c>
      <c r="AM375" t="s">
        <v>132</v>
      </c>
      <c r="AN375" t="s">
        <v>918</v>
      </c>
      <c r="AP375" t="s">
        <v>132</v>
      </c>
      <c r="AQ375" t="s">
        <v>451</v>
      </c>
      <c r="AR375" t="s">
        <v>1399</v>
      </c>
      <c r="AS375" s="11">
        <v>46076</v>
      </c>
      <c r="AU375" t="s">
        <v>114</v>
      </c>
      <c r="AV375" t="s">
        <v>134</v>
      </c>
      <c r="AW375" t="s">
        <v>152</v>
      </c>
      <c r="AY375" t="s">
        <v>135</v>
      </c>
      <c r="BB375" t="s">
        <v>114</v>
      </c>
      <c r="BC375" s="11">
        <v>46073</v>
      </c>
      <c r="BD375" t="s">
        <v>243</v>
      </c>
      <c r="BE375">
        <v>681396569</v>
      </c>
      <c r="BF375" t="s">
        <v>1396</v>
      </c>
      <c r="BG375" t="s">
        <v>449</v>
      </c>
      <c r="BI375" s="11">
        <v>46083</v>
      </c>
      <c r="BJ375" t="str">
        <f t="shared" si="76"/>
        <v>S10_2026</v>
      </c>
      <c r="BK375" t="s">
        <v>170</v>
      </c>
      <c r="BL375" t="str">
        <f t="shared" si="78"/>
        <v>S8_2026</v>
      </c>
      <c r="BM375" t="s">
        <v>159</v>
      </c>
      <c r="BN375" s="11">
        <v>46083</v>
      </c>
      <c r="BO375" t="str">
        <f t="shared" si="80"/>
        <v>S10_2026</v>
      </c>
      <c r="BP375" t="s">
        <v>114</v>
      </c>
      <c r="BQ375" t="s">
        <v>450</v>
      </c>
      <c r="BR375" t="s">
        <v>451</v>
      </c>
      <c r="BS375" t="s">
        <v>132</v>
      </c>
      <c r="CI375" t="s">
        <v>119</v>
      </c>
      <c r="CK375" t="s">
        <v>138</v>
      </c>
      <c r="CP375" s="11">
        <v>46068</v>
      </c>
      <c r="CQ375" t="s">
        <v>132</v>
      </c>
      <c r="CR375">
        <f t="shared" si="72"/>
        <v>3</v>
      </c>
      <c r="CS375">
        <f t="shared" si="73"/>
        <v>7</v>
      </c>
      <c r="CT375">
        <f t="shared" si="81"/>
        <v>5</v>
      </c>
      <c r="CU375">
        <f t="shared" si="74"/>
        <v>0</v>
      </c>
      <c r="CV375">
        <f t="shared" si="75"/>
        <v>20</v>
      </c>
      <c r="CW375" t="s">
        <v>132</v>
      </c>
      <c r="CX375" s="11">
        <v>46063</v>
      </c>
      <c r="CY375" t="str">
        <f t="shared" si="71"/>
        <v>S7_2026</v>
      </c>
      <c r="CZ375" t="s">
        <v>132</v>
      </c>
      <c r="DC375" t="s">
        <v>139</v>
      </c>
    </row>
    <row r="376" spans="1:107" x14ac:dyDescent="0.35">
      <c r="A376" t="s">
        <v>1400</v>
      </c>
      <c r="B376" s="10" t="str">
        <f t="shared" si="77"/>
        <v>S10_2026</v>
      </c>
      <c r="C376" s="10" t="str">
        <f t="shared" si="69"/>
        <v/>
      </c>
      <c r="D376" s="11">
        <v>46083</v>
      </c>
      <c r="E376" s="19" t="s">
        <v>123</v>
      </c>
      <c r="F376" s="24">
        <v>4</v>
      </c>
      <c r="G376" t="s">
        <v>107</v>
      </c>
      <c r="L376" s="19" t="s">
        <v>111</v>
      </c>
      <c r="M376" s="19" t="s">
        <v>1111</v>
      </c>
      <c r="Q376" s="19" t="s">
        <v>1111</v>
      </c>
      <c r="AR376" t="s">
        <v>1401</v>
      </c>
      <c r="AS376" s="11">
        <v>46079</v>
      </c>
      <c r="AU376" t="s">
        <v>114</v>
      </c>
      <c r="AV376" t="s">
        <v>115</v>
      </c>
      <c r="BB376" t="s">
        <v>114</v>
      </c>
      <c r="BC376" s="11">
        <v>46078</v>
      </c>
      <c r="BD376" t="s">
        <v>116</v>
      </c>
      <c r="BF376" t="s">
        <v>1111</v>
      </c>
      <c r="BG376" t="s">
        <v>449</v>
      </c>
      <c r="BJ376" t="str">
        <f t="shared" si="76"/>
        <v/>
      </c>
      <c r="BK376" t="s">
        <v>117</v>
      </c>
      <c r="BL376" t="str">
        <f t="shared" si="78"/>
        <v>S9_2026</v>
      </c>
      <c r="BM376" t="s">
        <v>159</v>
      </c>
      <c r="BN376" s="11">
        <v>46083</v>
      </c>
      <c r="BO376" t="str">
        <f t="shared" si="80"/>
        <v>S10_2026</v>
      </c>
      <c r="BP376" t="s">
        <v>114</v>
      </c>
      <c r="BQ376" t="s">
        <v>450</v>
      </c>
      <c r="BS376" t="s">
        <v>132</v>
      </c>
      <c r="CI376" t="s">
        <v>119</v>
      </c>
      <c r="CQ376" t="s">
        <v>132</v>
      </c>
      <c r="CR376">
        <f t="shared" si="72"/>
        <v>1</v>
      </c>
      <c r="CS376">
        <f t="shared" si="73"/>
        <v>4</v>
      </c>
      <c r="CT376">
        <f t="shared" si="81"/>
        <v>0</v>
      </c>
      <c r="CU376" t="str">
        <f t="shared" si="74"/>
        <v/>
      </c>
      <c r="CV376" t="str">
        <f t="shared" si="75"/>
        <v/>
      </c>
      <c r="CW376" t="s">
        <v>132</v>
      </c>
      <c r="CX376" s="41"/>
      <c r="CY376" t="str">
        <f t="shared" si="71"/>
        <v/>
      </c>
      <c r="CZ376" s="41" t="s">
        <v>132</v>
      </c>
      <c r="DA376" s="41"/>
      <c r="DB376" s="41" t="s">
        <v>132</v>
      </c>
      <c r="DC376" s="41" t="s">
        <v>120</v>
      </c>
    </row>
    <row r="377" spans="1:107" x14ac:dyDescent="0.35">
      <c r="A377" t="s">
        <v>1402</v>
      </c>
      <c r="B377" s="10" t="str">
        <f t="shared" si="77"/>
        <v>S10_2026</v>
      </c>
      <c r="C377" s="10" t="str">
        <f t="shared" si="69"/>
        <v>S8_2026</v>
      </c>
      <c r="D377" s="11">
        <v>46083</v>
      </c>
      <c r="E377" t="s">
        <v>106</v>
      </c>
      <c r="F377" s="24">
        <v>20</v>
      </c>
      <c r="G377" t="s">
        <v>1403</v>
      </c>
      <c r="H377" t="s">
        <v>108</v>
      </c>
      <c r="J377" t="s">
        <v>132</v>
      </c>
      <c r="L377" s="19" t="s">
        <v>126</v>
      </c>
      <c r="M377" s="19" t="s">
        <v>127</v>
      </c>
      <c r="N377" t="s">
        <v>202</v>
      </c>
      <c r="O377" t="s">
        <v>128</v>
      </c>
      <c r="P377" t="s">
        <v>1404</v>
      </c>
      <c r="Q377" s="19" t="s">
        <v>215</v>
      </c>
      <c r="R377" s="11">
        <v>46072</v>
      </c>
      <c r="S377" s="11">
        <v>46072</v>
      </c>
      <c r="T377" s="11">
        <v>46072</v>
      </c>
      <c r="V377" t="s">
        <v>114</v>
      </c>
      <c r="W377" t="s">
        <v>114</v>
      </c>
      <c r="X377" t="s">
        <v>114</v>
      </c>
      <c r="Y377" t="s">
        <v>114</v>
      </c>
      <c r="Z377" t="s">
        <v>114</v>
      </c>
      <c r="AA377" t="s">
        <v>114</v>
      </c>
      <c r="AB377" t="s">
        <v>114</v>
      </c>
      <c r="AC377" s="36" t="s">
        <v>1405</v>
      </c>
      <c r="AE377" t="s">
        <v>114</v>
      </c>
      <c r="AF377" t="s">
        <v>114</v>
      </c>
      <c r="AG377" t="s">
        <v>114</v>
      </c>
      <c r="AH377" t="s">
        <v>114</v>
      </c>
      <c r="AI377" t="s">
        <v>132</v>
      </c>
      <c r="AJ377" t="s">
        <v>132</v>
      </c>
      <c r="AK377" t="s">
        <v>451</v>
      </c>
      <c r="AM377" t="s">
        <v>142</v>
      </c>
      <c r="AN377" t="s">
        <v>132</v>
      </c>
      <c r="AP377" t="s">
        <v>114</v>
      </c>
      <c r="AQ377" t="s">
        <v>142</v>
      </c>
      <c r="AR377" t="s">
        <v>1406</v>
      </c>
      <c r="AS377" s="11">
        <v>46079</v>
      </c>
      <c r="AU377" t="s">
        <v>114</v>
      </c>
      <c r="AV377" t="s">
        <v>115</v>
      </c>
      <c r="BB377" t="s">
        <v>114</v>
      </c>
      <c r="BC377" s="11">
        <v>46077</v>
      </c>
      <c r="BD377" s="36" t="s">
        <v>1407</v>
      </c>
      <c r="BE377" s="36">
        <v>686201661</v>
      </c>
      <c r="BF377" t="s">
        <v>202</v>
      </c>
      <c r="BG377" t="s">
        <v>449</v>
      </c>
      <c r="BJ377" t="str">
        <f t="shared" si="76"/>
        <v/>
      </c>
      <c r="BK377" t="s">
        <v>137</v>
      </c>
      <c r="BL377" t="str">
        <f t="shared" si="78"/>
        <v>S9_2026</v>
      </c>
      <c r="BM377" t="s">
        <v>159</v>
      </c>
      <c r="BN377" s="11">
        <v>46083</v>
      </c>
      <c r="BO377" t="str">
        <f t="shared" si="80"/>
        <v>S10_2026</v>
      </c>
      <c r="BP377" t="s">
        <v>114</v>
      </c>
      <c r="BQ377" t="s">
        <v>450</v>
      </c>
      <c r="BR377" t="s">
        <v>451</v>
      </c>
      <c r="BS377" t="s">
        <v>132</v>
      </c>
      <c r="CI377" t="s">
        <v>119</v>
      </c>
      <c r="CP377" s="11">
        <v>46077</v>
      </c>
      <c r="CQ377" t="s">
        <v>132</v>
      </c>
      <c r="CR377">
        <f t="shared" si="72"/>
        <v>2</v>
      </c>
      <c r="CS377">
        <f t="shared" si="73"/>
        <v>4</v>
      </c>
      <c r="CT377">
        <f t="shared" si="81"/>
        <v>5</v>
      </c>
      <c r="CU377" t="str">
        <f t="shared" si="74"/>
        <v/>
      </c>
      <c r="CV377" t="str">
        <f t="shared" si="75"/>
        <v/>
      </c>
      <c r="CW377" t="s">
        <v>132</v>
      </c>
      <c r="CX377" s="11">
        <v>46072</v>
      </c>
      <c r="CY377" t="str">
        <f t="shared" si="71"/>
        <v>S8_2026</v>
      </c>
      <c r="CZ377" t="s">
        <v>132</v>
      </c>
      <c r="DB377" t="s">
        <v>132</v>
      </c>
      <c r="DC377" t="s">
        <v>120</v>
      </c>
    </row>
    <row r="378" spans="1:107" x14ac:dyDescent="0.35">
      <c r="A378" t="s">
        <v>1408</v>
      </c>
      <c r="B378" s="10" t="str">
        <f t="shared" si="77"/>
        <v>S10_2026</v>
      </c>
      <c r="C378" s="10" t="str">
        <f t="shared" si="69"/>
        <v>S9_2026</v>
      </c>
      <c r="D378" s="37">
        <v>46083</v>
      </c>
      <c r="E378" s="36" t="s">
        <v>106</v>
      </c>
      <c r="F378" s="69">
        <v>21</v>
      </c>
      <c r="G378" s="16" t="s">
        <v>429</v>
      </c>
      <c r="H378" s="36" t="s">
        <v>835</v>
      </c>
      <c r="I378" s="36"/>
      <c r="J378" s="36" t="s">
        <v>114</v>
      </c>
      <c r="K378" s="37">
        <v>46078</v>
      </c>
      <c r="L378" s="36" t="s">
        <v>126</v>
      </c>
      <c r="M378" s="36" t="s">
        <v>977</v>
      </c>
      <c r="N378" s="36" t="s">
        <v>1364</v>
      </c>
      <c r="O378" s="36" t="s">
        <v>971</v>
      </c>
      <c r="P378" s="36" t="s">
        <v>1362</v>
      </c>
      <c r="Q378" s="36" t="s">
        <v>977</v>
      </c>
      <c r="R378" s="37">
        <v>46076</v>
      </c>
      <c r="S378" s="37">
        <v>46076</v>
      </c>
      <c r="T378" s="37">
        <v>46077</v>
      </c>
      <c r="U378" s="36"/>
      <c r="V378" s="36" t="s">
        <v>132</v>
      </c>
      <c r="W378" s="36" t="s">
        <v>132</v>
      </c>
      <c r="X378" s="36" t="s">
        <v>132</v>
      </c>
      <c r="Y378" s="36" t="s">
        <v>132</v>
      </c>
      <c r="Z378" s="36" t="s">
        <v>132</v>
      </c>
      <c r="AA378" s="36" t="s">
        <v>114</v>
      </c>
      <c r="AB378" s="36" t="s">
        <v>132</v>
      </c>
      <c r="AC378" s="36"/>
      <c r="AD378" s="36"/>
      <c r="AE378" s="36" t="s">
        <v>114</v>
      </c>
      <c r="AF378" s="36" t="s">
        <v>132</v>
      </c>
      <c r="AG378" s="36" t="s">
        <v>132</v>
      </c>
      <c r="AH378" s="36" t="s">
        <v>132</v>
      </c>
      <c r="AI378" s="36" t="s">
        <v>132</v>
      </c>
      <c r="AJ378" s="36" t="s">
        <v>132</v>
      </c>
      <c r="AK378" s="36" t="s">
        <v>132</v>
      </c>
      <c r="AL378" s="36"/>
      <c r="AM378" s="36" t="s">
        <v>114</v>
      </c>
      <c r="AN378" s="36" t="s">
        <v>114</v>
      </c>
      <c r="AO378" s="36"/>
      <c r="AP378" s="36" t="s">
        <v>132</v>
      </c>
      <c r="AQ378" s="36" t="s">
        <v>132</v>
      </c>
      <c r="AR378" s="36" t="s">
        <v>1409</v>
      </c>
      <c r="AS378" s="37">
        <v>46081</v>
      </c>
      <c r="AT378" s="36"/>
      <c r="AU378" s="36" t="s">
        <v>114</v>
      </c>
      <c r="AV378" t="s">
        <v>134</v>
      </c>
      <c r="AW378" t="s">
        <v>152</v>
      </c>
      <c r="AX378" s="36"/>
      <c r="AY378" t="s">
        <v>135</v>
      </c>
      <c r="AZ378" s="36"/>
      <c r="BA378" s="36"/>
      <c r="BB378" s="36" t="s">
        <v>114</v>
      </c>
      <c r="BC378" s="37">
        <v>46080</v>
      </c>
      <c r="BD378" s="36" t="s">
        <v>1407</v>
      </c>
      <c r="BE378" s="36"/>
      <c r="BF378" s="36" t="s">
        <v>1364</v>
      </c>
      <c r="BG378" s="36" t="s">
        <v>132</v>
      </c>
      <c r="BH378" s="36"/>
      <c r="BI378" s="37">
        <v>46084</v>
      </c>
      <c r="BJ378" t="str">
        <f t="shared" si="76"/>
        <v>S10_2026</v>
      </c>
      <c r="BK378" s="36" t="s">
        <v>137</v>
      </c>
      <c r="BL378" t="str">
        <f t="shared" si="78"/>
        <v>S9_2026</v>
      </c>
      <c r="BM378" s="36" t="s">
        <v>159</v>
      </c>
      <c r="BN378" s="37">
        <v>46084</v>
      </c>
      <c r="BO378" t="str">
        <f t="shared" si="80"/>
        <v>S10_2026</v>
      </c>
      <c r="BP378" s="36" t="s">
        <v>114</v>
      </c>
      <c r="BQ378" s="36" t="s">
        <v>118</v>
      </c>
      <c r="BR378" s="36" t="s">
        <v>451</v>
      </c>
      <c r="BS378" t="s">
        <v>132</v>
      </c>
      <c r="CI378" t="s">
        <v>119</v>
      </c>
      <c r="CK378" t="s">
        <v>138</v>
      </c>
      <c r="CP378" s="11">
        <v>46079</v>
      </c>
      <c r="CQ378" t="s">
        <v>132</v>
      </c>
      <c r="CR378">
        <f t="shared" si="72"/>
        <v>1</v>
      </c>
      <c r="CS378">
        <f t="shared" si="73"/>
        <v>3</v>
      </c>
      <c r="CT378">
        <f t="shared" si="81"/>
        <v>3</v>
      </c>
      <c r="CU378">
        <f t="shared" si="74"/>
        <v>1</v>
      </c>
      <c r="CV378">
        <f t="shared" si="75"/>
        <v>8</v>
      </c>
      <c r="CW378" t="s">
        <v>132</v>
      </c>
      <c r="CX378" s="11">
        <v>46076</v>
      </c>
      <c r="CY378" t="str">
        <f t="shared" si="71"/>
        <v>S9_2026</v>
      </c>
      <c r="CZ378" t="s">
        <v>132</v>
      </c>
      <c r="DB378" t="s">
        <v>132</v>
      </c>
      <c r="DC378" t="s">
        <v>139</v>
      </c>
    </row>
    <row r="379" spans="1:107" x14ac:dyDescent="0.35">
      <c r="A379" t="s">
        <v>1410</v>
      </c>
      <c r="B379" s="10" t="str">
        <f t="shared" si="77"/>
        <v>S10_2026</v>
      </c>
      <c r="C379" s="10" t="str">
        <f t="shared" si="69"/>
        <v>S4_2026</v>
      </c>
      <c r="D379" s="11">
        <v>46084</v>
      </c>
      <c r="E379" s="19" t="s">
        <v>106</v>
      </c>
      <c r="F379" s="24">
        <v>24</v>
      </c>
      <c r="G379" t="s">
        <v>107</v>
      </c>
      <c r="H379" t="s">
        <v>108</v>
      </c>
      <c r="J379" t="s">
        <v>132</v>
      </c>
      <c r="L379" s="19" t="s">
        <v>722</v>
      </c>
      <c r="M379" s="19" t="s">
        <v>183</v>
      </c>
      <c r="N379" t="s">
        <v>225</v>
      </c>
      <c r="O379" t="s">
        <v>184</v>
      </c>
      <c r="P379" t="s">
        <v>1411</v>
      </c>
      <c r="Q379" s="19" t="s">
        <v>183</v>
      </c>
      <c r="R379" s="11">
        <v>46044</v>
      </c>
      <c r="S379" s="11">
        <v>46044</v>
      </c>
      <c r="T379" s="11">
        <v>46044</v>
      </c>
      <c r="V379" t="s">
        <v>114</v>
      </c>
      <c r="W379" t="s">
        <v>114</v>
      </c>
      <c r="X379" t="s">
        <v>114</v>
      </c>
      <c r="Y379" t="s">
        <v>114</v>
      </c>
      <c r="Z379" t="s">
        <v>114</v>
      </c>
      <c r="AA379" t="s">
        <v>114</v>
      </c>
      <c r="AB379" t="s">
        <v>114</v>
      </c>
      <c r="AE379" t="s">
        <v>132</v>
      </c>
      <c r="AF379" t="s">
        <v>142</v>
      </c>
      <c r="AG379" t="s">
        <v>142</v>
      </c>
      <c r="AH379" t="s">
        <v>142</v>
      </c>
      <c r="AI379" t="s">
        <v>132</v>
      </c>
      <c r="AJ379" t="s">
        <v>132</v>
      </c>
      <c r="AK379" t="s">
        <v>132</v>
      </c>
      <c r="AM379" t="s">
        <v>132</v>
      </c>
      <c r="AN379" t="s">
        <v>132</v>
      </c>
      <c r="AP379" t="s">
        <v>132</v>
      </c>
      <c r="AQ379" t="s">
        <v>451</v>
      </c>
      <c r="AR379" t="s">
        <v>1412</v>
      </c>
      <c r="AS379" s="11">
        <v>46090</v>
      </c>
      <c r="AU379" t="s">
        <v>114</v>
      </c>
      <c r="AV379" t="s">
        <v>115</v>
      </c>
      <c r="BB379" t="s">
        <v>114</v>
      </c>
      <c r="BC379" s="11">
        <v>46084</v>
      </c>
      <c r="BD379" t="s">
        <v>116</v>
      </c>
      <c r="BE379">
        <v>674116521</v>
      </c>
      <c r="BF379" t="s">
        <v>228</v>
      </c>
      <c r="BG379" t="s">
        <v>449</v>
      </c>
      <c r="BJ379" t="str">
        <f t="shared" si="76"/>
        <v/>
      </c>
      <c r="BK379" t="s">
        <v>187</v>
      </c>
      <c r="BL379" t="str">
        <f t="shared" si="78"/>
        <v>S10_2026</v>
      </c>
      <c r="BM379" t="s">
        <v>159</v>
      </c>
      <c r="BN379" s="11">
        <v>46092</v>
      </c>
      <c r="BO379" t="str">
        <f t="shared" si="80"/>
        <v>S11_2026</v>
      </c>
      <c r="BP379" t="s">
        <v>114</v>
      </c>
      <c r="BQ379" t="s">
        <v>450</v>
      </c>
      <c r="BR379" t="s">
        <v>142</v>
      </c>
      <c r="BS379" t="s">
        <v>132</v>
      </c>
      <c r="CI379" t="s">
        <v>119</v>
      </c>
      <c r="CP379" s="11">
        <v>46084</v>
      </c>
      <c r="CQ379" t="s">
        <v>132</v>
      </c>
      <c r="CR379">
        <f t="shared" si="72"/>
        <v>6</v>
      </c>
      <c r="CS379">
        <f t="shared" si="73"/>
        <v>2</v>
      </c>
      <c r="CT379">
        <f t="shared" si="81"/>
        <v>40</v>
      </c>
      <c r="CU379" t="str">
        <f t="shared" si="74"/>
        <v/>
      </c>
      <c r="CV379" t="str">
        <f t="shared" si="75"/>
        <v/>
      </c>
      <c r="CW379" t="s">
        <v>132</v>
      </c>
      <c r="CX379" s="11">
        <v>46044</v>
      </c>
      <c r="CY379" t="str">
        <f t="shared" si="71"/>
        <v>S4_2026</v>
      </c>
      <c r="CZ379" t="s">
        <v>132</v>
      </c>
      <c r="DB379" t="s">
        <v>132</v>
      </c>
      <c r="DC379" t="s">
        <v>120</v>
      </c>
    </row>
    <row r="380" spans="1:107" x14ac:dyDescent="0.35">
      <c r="A380" t="s">
        <v>1413</v>
      </c>
      <c r="B380" s="10" t="str">
        <f t="shared" si="77"/>
        <v>S10_2026</v>
      </c>
      <c r="C380" s="10" t="str">
        <f t="shared" si="69"/>
        <v>S9_2026</v>
      </c>
      <c r="D380" s="11">
        <v>46084</v>
      </c>
      <c r="E380" s="19" t="s">
        <v>123</v>
      </c>
      <c r="F380" s="24">
        <v>4</v>
      </c>
      <c r="G380" t="s">
        <v>107</v>
      </c>
      <c r="H380" t="s">
        <v>108</v>
      </c>
      <c r="J380" t="s">
        <v>132</v>
      </c>
      <c r="L380" s="19" t="s">
        <v>722</v>
      </c>
      <c r="M380" s="19" t="s">
        <v>183</v>
      </c>
      <c r="N380" t="s">
        <v>225</v>
      </c>
      <c r="O380" t="s">
        <v>184</v>
      </c>
      <c r="P380" t="s">
        <v>1411</v>
      </c>
      <c r="Q380" s="19" t="s">
        <v>183</v>
      </c>
      <c r="R380" s="11">
        <v>46077</v>
      </c>
      <c r="S380" s="11">
        <v>46077</v>
      </c>
      <c r="T380" s="11">
        <v>46077</v>
      </c>
      <c r="V380" t="s">
        <v>132</v>
      </c>
      <c r="W380" t="s">
        <v>132</v>
      </c>
      <c r="X380" t="s">
        <v>132</v>
      </c>
      <c r="Y380" t="s">
        <v>132</v>
      </c>
      <c r="Z380" t="s">
        <v>132</v>
      </c>
      <c r="AA380" t="s">
        <v>132</v>
      </c>
      <c r="AB380" t="s">
        <v>132</v>
      </c>
      <c r="AC380" t="s">
        <v>1277</v>
      </c>
      <c r="AE380" t="s">
        <v>132</v>
      </c>
      <c r="AF380" t="s">
        <v>142</v>
      </c>
      <c r="AG380" t="s">
        <v>142</v>
      </c>
      <c r="AH380" t="s">
        <v>142</v>
      </c>
      <c r="AI380" t="s">
        <v>132</v>
      </c>
      <c r="AJ380" t="s">
        <v>132</v>
      </c>
      <c r="AK380" t="s">
        <v>132</v>
      </c>
      <c r="AM380" t="s">
        <v>132</v>
      </c>
      <c r="AN380" t="s">
        <v>114</v>
      </c>
      <c r="AP380" t="s">
        <v>132</v>
      </c>
      <c r="AQ380" t="s">
        <v>132</v>
      </c>
      <c r="AR380" t="s">
        <v>1414</v>
      </c>
      <c r="AS380" s="11">
        <v>46090</v>
      </c>
      <c r="AU380" t="s">
        <v>114</v>
      </c>
      <c r="AV380" t="s">
        <v>115</v>
      </c>
      <c r="BB380" t="s">
        <v>114</v>
      </c>
      <c r="BC380" s="11">
        <v>46084</v>
      </c>
      <c r="BD380" t="s">
        <v>116</v>
      </c>
      <c r="BE380">
        <v>674116521</v>
      </c>
      <c r="BF380" t="s">
        <v>228</v>
      </c>
      <c r="BG380" t="s">
        <v>449</v>
      </c>
      <c r="BJ380" t="str">
        <f t="shared" si="76"/>
        <v/>
      </c>
      <c r="BK380" t="s">
        <v>187</v>
      </c>
      <c r="BL380" t="str">
        <f t="shared" si="78"/>
        <v>S10_2026</v>
      </c>
      <c r="BM380" t="s">
        <v>159</v>
      </c>
      <c r="BN380" s="11">
        <v>46092</v>
      </c>
      <c r="BO380" t="str">
        <f t="shared" si="80"/>
        <v>S11_2026</v>
      </c>
      <c r="BP380" t="s">
        <v>114</v>
      </c>
      <c r="BQ380" t="s">
        <v>450</v>
      </c>
      <c r="BR380" t="s">
        <v>142</v>
      </c>
      <c r="BS380" t="s">
        <v>132</v>
      </c>
      <c r="CI380" t="s">
        <v>119</v>
      </c>
      <c r="CP380" s="11">
        <v>46083</v>
      </c>
      <c r="CQ380" t="s">
        <v>132</v>
      </c>
      <c r="CR380">
        <f t="shared" si="72"/>
        <v>6</v>
      </c>
      <c r="CS380">
        <f t="shared" si="73"/>
        <v>2</v>
      </c>
      <c r="CT380">
        <f t="shared" si="81"/>
        <v>6</v>
      </c>
      <c r="CU380" t="str">
        <f t="shared" si="74"/>
        <v/>
      </c>
      <c r="CV380" t="str">
        <f t="shared" si="75"/>
        <v/>
      </c>
      <c r="CW380" t="s">
        <v>132</v>
      </c>
      <c r="CX380" s="11">
        <v>46077</v>
      </c>
      <c r="CY380" t="str">
        <f t="shared" si="71"/>
        <v>S9_2026</v>
      </c>
      <c r="CZ380" t="s">
        <v>132</v>
      </c>
      <c r="DB380" t="s">
        <v>132</v>
      </c>
      <c r="DC380" t="s">
        <v>120</v>
      </c>
    </row>
    <row r="381" spans="1:107" x14ac:dyDescent="0.35">
      <c r="A381" t="s">
        <v>1415</v>
      </c>
      <c r="B381" s="10" t="str">
        <f t="shared" si="77"/>
        <v>S10_2026</v>
      </c>
      <c r="C381" s="10" t="str">
        <f t="shared" si="69"/>
        <v>S9_2026</v>
      </c>
      <c r="D381" s="11">
        <v>46086</v>
      </c>
      <c r="E381" s="19" t="s">
        <v>123</v>
      </c>
      <c r="F381" s="24">
        <v>2</v>
      </c>
      <c r="G381" t="s">
        <v>141</v>
      </c>
      <c r="H381" t="s">
        <v>108</v>
      </c>
      <c r="J381" t="s">
        <v>132</v>
      </c>
      <c r="L381" s="19" t="s">
        <v>722</v>
      </c>
      <c r="M381" s="19" t="s">
        <v>1416</v>
      </c>
      <c r="N381" t="s">
        <v>1417</v>
      </c>
      <c r="O381" t="s">
        <v>184</v>
      </c>
      <c r="P381" t="s">
        <v>110</v>
      </c>
      <c r="Q381" s="19" t="s">
        <v>1416</v>
      </c>
      <c r="R381" s="11">
        <v>46079</v>
      </c>
      <c r="S381" s="11">
        <v>46079</v>
      </c>
      <c r="T381" s="11">
        <v>46079</v>
      </c>
      <c r="V381" t="s">
        <v>132</v>
      </c>
      <c r="W381" t="s">
        <v>132</v>
      </c>
      <c r="X381" t="s">
        <v>132</v>
      </c>
      <c r="Y381" t="s">
        <v>132</v>
      </c>
      <c r="Z381" t="s">
        <v>132</v>
      </c>
      <c r="AA381" t="s">
        <v>132</v>
      </c>
      <c r="AB381" t="s">
        <v>132</v>
      </c>
      <c r="AC381" t="s">
        <v>1418</v>
      </c>
      <c r="AE381" t="s">
        <v>114</v>
      </c>
      <c r="AF381" t="s">
        <v>132</v>
      </c>
      <c r="AG381" t="s">
        <v>132</v>
      </c>
      <c r="AH381" t="s">
        <v>132</v>
      </c>
      <c r="AI381" t="s">
        <v>132</v>
      </c>
      <c r="AJ381" t="s">
        <v>132</v>
      </c>
      <c r="AK381" t="s">
        <v>132</v>
      </c>
      <c r="AM381" t="s">
        <v>132</v>
      </c>
      <c r="AN381" t="s">
        <v>114</v>
      </c>
      <c r="AP381" t="s">
        <v>132</v>
      </c>
      <c r="AQ381" t="s">
        <v>132</v>
      </c>
      <c r="AR381" t="s">
        <v>1419</v>
      </c>
      <c r="AS381" s="11">
        <v>46090</v>
      </c>
      <c r="AU381" t="s">
        <v>114</v>
      </c>
      <c r="AV381" t="s">
        <v>115</v>
      </c>
      <c r="BB381" t="s">
        <v>114</v>
      </c>
      <c r="BC381" s="11">
        <v>414979</v>
      </c>
      <c r="BD381" t="s">
        <v>1420</v>
      </c>
      <c r="BE381">
        <v>678333538</v>
      </c>
      <c r="BF381" t="s">
        <v>1417</v>
      </c>
      <c r="BG381" t="s">
        <v>449</v>
      </c>
      <c r="BJ381" t="str">
        <f t="shared" si="76"/>
        <v/>
      </c>
      <c r="BK381" t="s">
        <v>187</v>
      </c>
      <c r="BL381" t="str">
        <f t="shared" si="78"/>
        <v>S9_3036</v>
      </c>
      <c r="BM381" t="s">
        <v>159</v>
      </c>
      <c r="BN381" s="11">
        <v>46092</v>
      </c>
      <c r="BO381" t="str">
        <f t="shared" si="80"/>
        <v>S11_2026</v>
      </c>
      <c r="BP381" t="s">
        <v>114</v>
      </c>
      <c r="BQ381" t="s">
        <v>450</v>
      </c>
      <c r="BR381" t="s">
        <v>142</v>
      </c>
      <c r="BS381" t="s">
        <v>132</v>
      </c>
      <c r="CI381" t="s">
        <v>119</v>
      </c>
      <c r="CP381" s="11">
        <v>414979</v>
      </c>
      <c r="CQ381" t="s">
        <v>132</v>
      </c>
      <c r="CS381">
        <f t="shared" si="73"/>
        <v>2</v>
      </c>
      <c r="CU381" t="str">
        <f t="shared" si="74"/>
        <v/>
      </c>
      <c r="CV381" t="str">
        <f t="shared" si="75"/>
        <v/>
      </c>
      <c r="CW381" t="s">
        <v>132</v>
      </c>
      <c r="CX381" s="11">
        <v>46079</v>
      </c>
      <c r="CY381" t="str">
        <f t="shared" si="71"/>
        <v>S9_2026</v>
      </c>
      <c r="CZ381" t="s">
        <v>132</v>
      </c>
      <c r="DB381" t="s">
        <v>132</v>
      </c>
      <c r="DC381" t="s">
        <v>120</v>
      </c>
    </row>
    <row r="382" spans="1:107" x14ac:dyDescent="0.35">
      <c r="A382" t="s">
        <v>1421</v>
      </c>
      <c r="B382" s="10" t="str">
        <f t="shared" si="77"/>
        <v>S10_2026</v>
      </c>
      <c r="C382" s="10" t="str">
        <f t="shared" si="69"/>
        <v>S9_2026</v>
      </c>
      <c r="D382" s="11">
        <v>46086</v>
      </c>
      <c r="E382" s="19" t="s">
        <v>123</v>
      </c>
      <c r="F382" s="24">
        <v>11</v>
      </c>
      <c r="G382" t="s">
        <v>107</v>
      </c>
      <c r="H382" t="s">
        <v>108</v>
      </c>
      <c r="J382" t="s">
        <v>142</v>
      </c>
      <c r="L382" s="19" t="s">
        <v>722</v>
      </c>
      <c r="M382" s="19" t="s">
        <v>1416</v>
      </c>
      <c r="N382" t="s">
        <v>1416</v>
      </c>
      <c r="O382" t="s">
        <v>184</v>
      </c>
      <c r="P382" t="s">
        <v>1416</v>
      </c>
      <c r="Q382" s="19" t="s">
        <v>1416</v>
      </c>
      <c r="R382" s="11">
        <v>46078</v>
      </c>
      <c r="S382" s="11">
        <v>46078</v>
      </c>
      <c r="T382" s="11">
        <v>46078</v>
      </c>
      <c r="V382" t="s">
        <v>114</v>
      </c>
      <c r="W382" t="s">
        <v>114</v>
      </c>
      <c r="X382" t="s">
        <v>114</v>
      </c>
      <c r="Y382" t="s">
        <v>114</v>
      </c>
      <c r="Z382" t="s">
        <v>114</v>
      </c>
      <c r="AA382" t="s">
        <v>114</v>
      </c>
      <c r="AB382" t="s">
        <v>114</v>
      </c>
      <c r="AC382" t="s">
        <v>132</v>
      </c>
      <c r="AE382" t="s">
        <v>114</v>
      </c>
      <c r="AF382" t="s">
        <v>132</v>
      </c>
      <c r="AG382" t="s">
        <v>132</v>
      </c>
      <c r="AH382" t="s">
        <v>132</v>
      </c>
      <c r="AI382" t="s">
        <v>132</v>
      </c>
      <c r="AJ382" t="s">
        <v>132</v>
      </c>
      <c r="AK382" t="s">
        <v>132</v>
      </c>
      <c r="AM382" t="s">
        <v>132</v>
      </c>
      <c r="AN382" t="s">
        <v>132</v>
      </c>
      <c r="AP382" t="s">
        <v>132</v>
      </c>
      <c r="AQ382" t="s">
        <v>132</v>
      </c>
      <c r="AR382" t="s">
        <v>1422</v>
      </c>
      <c r="AS382" s="11">
        <v>46090</v>
      </c>
      <c r="AU382" t="s">
        <v>114</v>
      </c>
      <c r="AV382" t="s">
        <v>115</v>
      </c>
      <c r="BB382" t="s">
        <v>114</v>
      </c>
      <c r="BC382" s="11">
        <v>46084</v>
      </c>
      <c r="BD382" t="s">
        <v>487</v>
      </c>
      <c r="BF382" t="s">
        <v>1416</v>
      </c>
      <c r="BG382" t="s">
        <v>449</v>
      </c>
      <c r="BJ382" t="str">
        <f t="shared" si="76"/>
        <v/>
      </c>
      <c r="BK382" t="s">
        <v>187</v>
      </c>
      <c r="BL382" t="str">
        <f t="shared" si="78"/>
        <v>S10_2026</v>
      </c>
      <c r="BM382" t="s">
        <v>159</v>
      </c>
      <c r="BN382" s="11">
        <v>46092</v>
      </c>
      <c r="BO382" t="str">
        <f t="shared" si="80"/>
        <v>S11_2026</v>
      </c>
      <c r="BP382" t="s">
        <v>114</v>
      </c>
      <c r="BQ382" t="s">
        <v>450</v>
      </c>
      <c r="BR382" t="s">
        <v>142</v>
      </c>
      <c r="BS382" t="s">
        <v>132</v>
      </c>
      <c r="CI382" t="s">
        <v>119</v>
      </c>
      <c r="CP382" s="11">
        <v>46084</v>
      </c>
      <c r="CQ382" t="s">
        <v>132</v>
      </c>
      <c r="CR382">
        <f t="shared" si="72"/>
        <v>6</v>
      </c>
      <c r="CS382">
        <f t="shared" si="73"/>
        <v>2</v>
      </c>
      <c r="CT382">
        <f t="shared" ref="CT382:CT392" si="82">CP382-CX382</f>
        <v>6</v>
      </c>
      <c r="CV382" t="str">
        <f t="shared" si="75"/>
        <v/>
      </c>
      <c r="CW382" t="s">
        <v>132</v>
      </c>
      <c r="CX382" s="11">
        <v>46078</v>
      </c>
      <c r="CY382" t="str">
        <f t="shared" si="71"/>
        <v>S9_2026</v>
      </c>
      <c r="CZ382" t="s">
        <v>132</v>
      </c>
      <c r="DB382" t="s">
        <v>132</v>
      </c>
      <c r="DC382" t="s">
        <v>120</v>
      </c>
    </row>
    <row r="383" spans="1:107" x14ac:dyDescent="0.35">
      <c r="A383" s="36" t="s">
        <v>1423</v>
      </c>
      <c r="B383" s="10" t="str">
        <f t="shared" si="77"/>
        <v>S10_2026</v>
      </c>
      <c r="C383" s="10" t="str">
        <f t="shared" si="69"/>
        <v>S8_2026</v>
      </c>
      <c r="D383" s="11">
        <v>46086</v>
      </c>
      <c r="E383" s="19" t="s">
        <v>123</v>
      </c>
      <c r="F383" s="24">
        <v>25</v>
      </c>
      <c r="G383" t="s">
        <v>1424</v>
      </c>
      <c r="H383" t="s">
        <v>108</v>
      </c>
      <c r="J383" t="s">
        <v>142</v>
      </c>
      <c r="L383" s="19" t="s">
        <v>126</v>
      </c>
      <c r="M383" s="19" t="s">
        <v>127</v>
      </c>
      <c r="N383" t="s">
        <v>202</v>
      </c>
      <c r="O383" t="s">
        <v>184</v>
      </c>
      <c r="P383" t="s">
        <v>1425</v>
      </c>
      <c r="Q383" s="19" t="s">
        <v>215</v>
      </c>
      <c r="R383" s="11">
        <v>46071</v>
      </c>
      <c r="S383" s="11">
        <v>46071</v>
      </c>
      <c r="T383" s="11">
        <v>46071</v>
      </c>
      <c r="V383" t="s">
        <v>114</v>
      </c>
      <c r="W383" t="s">
        <v>114</v>
      </c>
      <c r="X383" t="s">
        <v>114</v>
      </c>
      <c r="Y383" t="s">
        <v>114</v>
      </c>
      <c r="Z383" t="s">
        <v>114</v>
      </c>
      <c r="AA383" t="s">
        <v>114</v>
      </c>
      <c r="AB383" t="s">
        <v>114</v>
      </c>
      <c r="AE383" t="s">
        <v>114</v>
      </c>
      <c r="AF383" t="s">
        <v>114</v>
      </c>
      <c r="AG383" t="s">
        <v>114</v>
      </c>
      <c r="AH383" t="s">
        <v>132</v>
      </c>
      <c r="AI383" t="s">
        <v>918</v>
      </c>
      <c r="AJ383" t="s">
        <v>132</v>
      </c>
      <c r="AK383" t="s">
        <v>114</v>
      </c>
      <c r="AM383" t="s">
        <v>132</v>
      </c>
      <c r="AN383" t="s">
        <v>114</v>
      </c>
      <c r="AP383" t="s">
        <v>132</v>
      </c>
      <c r="AQ383" t="s">
        <v>132</v>
      </c>
      <c r="AR383" t="s">
        <v>1426</v>
      </c>
      <c r="AS383" s="11">
        <v>46084</v>
      </c>
      <c r="AU383" t="s">
        <v>114</v>
      </c>
      <c r="AV383" t="s">
        <v>134</v>
      </c>
      <c r="AW383" t="s">
        <v>152</v>
      </c>
      <c r="AY383" t="s">
        <v>135</v>
      </c>
      <c r="BB383" t="s">
        <v>114</v>
      </c>
      <c r="BC383" s="11">
        <v>46079</v>
      </c>
      <c r="BD383" t="s">
        <v>116</v>
      </c>
      <c r="BF383" t="s">
        <v>340</v>
      </c>
      <c r="BG383" t="s">
        <v>449</v>
      </c>
      <c r="BI383" s="11">
        <v>46086</v>
      </c>
      <c r="BJ383" t="str">
        <f t="shared" si="76"/>
        <v>S10_2026</v>
      </c>
      <c r="BK383" t="s">
        <v>137</v>
      </c>
      <c r="BL383" t="str">
        <f t="shared" si="78"/>
        <v>S9_2026</v>
      </c>
      <c r="BM383" t="s">
        <v>159</v>
      </c>
      <c r="BN383" s="11">
        <v>46086</v>
      </c>
      <c r="BO383" t="str">
        <f t="shared" si="80"/>
        <v>S10_2026</v>
      </c>
      <c r="BP383" t="s">
        <v>114</v>
      </c>
      <c r="BQ383" t="s">
        <v>450</v>
      </c>
      <c r="BR383" t="s">
        <v>142</v>
      </c>
      <c r="BS383" t="s">
        <v>132</v>
      </c>
      <c r="CI383" t="s">
        <v>119</v>
      </c>
      <c r="CK383" t="s">
        <v>138</v>
      </c>
      <c r="CP383" s="11">
        <v>46079</v>
      </c>
      <c r="CQ383" t="s">
        <v>132</v>
      </c>
      <c r="CR383">
        <f t="shared" si="72"/>
        <v>5</v>
      </c>
      <c r="CS383">
        <f t="shared" si="73"/>
        <v>2</v>
      </c>
      <c r="CT383">
        <f t="shared" si="82"/>
        <v>8</v>
      </c>
      <c r="CV383">
        <f t="shared" si="75"/>
        <v>15</v>
      </c>
      <c r="CW383" t="s">
        <v>132</v>
      </c>
      <c r="CX383" s="11">
        <v>46071</v>
      </c>
      <c r="CY383" t="str">
        <f t="shared" si="71"/>
        <v>S8_2026</v>
      </c>
      <c r="DB383" t="s">
        <v>132</v>
      </c>
      <c r="DC383" t="s">
        <v>139</v>
      </c>
    </row>
    <row r="384" spans="1:107" x14ac:dyDescent="0.35">
      <c r="A384" t="s">
        <v>1427</v>
      </c>
      <c r="B384" s="10" t="str">
        <f t="shared" si="77"/>
        <v>S11_2026</v>
      </c>
      <c r="C384" s="10" t="str">
        <f t="shared" si="69"/>
        <v>S9_2026</v>
      </c>
      <c r="D384" s="11">
        <v>46090</v>
      </c>
      <c r="E384" s="19" t="s">
        <v>123</v>
      </c>
      <c r="F384" s="24">
        <v>2</v>
      </c>
      <c r="G384" t="s">
        <v>141</v>
      </c>
      <c r="H384" t="s">
        <v>108</v>
      </c>
      <c r="J384" t="s">
        <v>132</v>
      </c>
      <c r="L384" s="19" t="s">
        <v>180</v>
      </c>
      <c r="M384" s="19" t="s">
        <v>368</v>
      </c>
      <c r="N384" t="s">
        <v>1428</v>
      </c>
      <c r="O384" t="s">
        <v>184</v>
      </c>
      <c r="P384" t="s">
        <v>1429</v>
      </c>
      <c r="Q384" s="19" t="s">
        <v>368</v>
      </c>
      <c r="R384" s="11">
        <v>46082</v>
      </c>
      <c r="S384" s="11">
        <v>46082</v>
      </c>
      <c r="T384" s="11">
        <v>46082</v>
      </c>
      <c r="V384" t="s">
        <v>114</v>
      </c>
      <c r="W384" t="s">
        <v>114</v>
      </c>
      <c r="X384" t="s">
        <v>114</v>
      </c>
      <c r="Y384" t="s">
        <v>114</v>
      </c>
      <c r="Z384" t="s">
        <v>114</v>
      </c>
      <c r="AA384" t="s">
        <v>114</v>
      </c>
      <c r="AB384" t="s">
        <v>114</v>
      </c>
      <c r="AE384" t="s">
        <v>114</v>
      </c>
      <c r="AF384" t="s">
        <v>132</v>
      </c>
      <c r="AG384" t="s">
        <v>132</v>
      </c>
      <c r="AH384" t="s">
        <v>132</v>
      </c>
      <c r="AI384" t="s">
        <v>132</v>
      </c>
      <c r="AJ384" t="s">
        <v>132</v>
      </c>
      <c r="AK384" t="s">
        <v>132</v>
      </c>
      <c r="AM384" t="s">
        <v>132</v>
      </c>
      <c r="AN384" t="s">
        <v>114</v>
      </c>
      <c r="AP384" t="s">
        <v>142</v>
      </c>
      <c r="AQ384" t="s">
        <v>132</v>
      </c>
      <c r="AR384" t="s">
        <v>1430</v>
      </c>
      <c r="AS384" s="11">
        <v>46092</v>
      </c>
      <c r="AU384" t="s">
        <v>114</v>
      </c>
      <c r="AV384" t="s">
        <v>115</v>
      </c>
      <c r="BB384" t="s">
        <v>114</v>
      </c>
      <c r="BC384" s="11">
        <v>46090</v>
      </c>
      <c r="BD384" t="s">
        <v>524</v>
      </c>
      <c r="BE384">
        <v>699178805</v>
      </c>
      <c r="BF384" t="s">
        <v>1428</v>
      </c>
      <c r="BG384" t="s">
        <v>449</v>
      </c>
      <c r="BJ384" t="str">
        <f t="shared" si="76"/>
        <v/>
      </c>
      <c r="BK384" t="s">
        <v>180</v>
      </c>
      <c r="BL384" t="str">
        <f t="shared" si="78"/>
        <v>S11_2026</v>
      </c>
      <c r="BM384" t="s">
        <v>159</v>
      </c>
      <c r="BN384" s="11">
        <v>46096</v>
      </c>
      <c r="BO384" t="str">
        <f t="shared" si="80"/>
        <v>S11_2026</v>
      </c>
      <c r="BP384" t="s">
        <v>114</v>
      </c>
      <c r="BQ384" t="s">
        <v>450</v>
      </c>
      <c r="BR384" t="s">
        <v>451</v>
      </c>
      <c r="BS384" t="s">
        <v>132</v>
      </c>
      <c r="CI384" t="s">
        <v>119</v>
      </c>
      <c r="CP384" s="11">
        <v>46090</v>
      </c>
      <c r="CQ384" t="s">
        <v>132</v>
      </c>
      <c r="CR384">
        <f t="shared" si="72"/>
        <v>2</v>
      </c>
      <c r="CS384">
        <f t="shared" si="73"/>
        <v>4</v>
      </c>
      <c r="CT384">
        <f t="shared" si="82"/>
        <v>8</v>
      </c>
      <c r="CU384" t="str">
        <f t="shared" si="74"/>
        <v/>
      </c>
      <c r="CV384" t="str">
        <f t="shared" si="75"/>
        <v/>
      </c>
      <c r="CW384" t="s">
        <v>132</v>
      </c>
      <c r="CX384" s="11">
        <v>46082</v>
      </c>
      <c r="CY384" t="str">
        <f t="shared" si="71"/>
        <v>S9_2026</v>
      </c>
      <c r="CZ384" t="s">
        <v>132</v>
      </c>
      <c r="DB384" t="s">
        <v>132</v>
      </c>
      <c r="DC384" t="s">
        <v>120</v>
      </c>
    </row>
    <row r="385" spans="1:107" x14ac:dyDescent="0.35">
      <c r="A385" t="s">
        <v>1431</v>
      </c>
      <c r="B385" s="10" t="str">
        <f t="shared" si="77"/>
        <v>S11_2026</v>
      </c>
      <c r="C385" s="10" t="str">
        <f t="shared" ref="C385:C448" si="83">IFERROR("S"&amp;(IF(_xlfn.ISOWEEKNUM(R385)&gt;0,_xlfn.ISOWEEKNUM(R385),_xlfn.CONCAT("0",_xlfn.ISOWEEKNUM(R385))))&amp;"_"&amp;(YEAR(R385+26-(_xlfn.ISOWEEKNUM(R385)))),"")</f>
        <v>S10_2026</v>
      </c>
      <c r="D385" s="11">
        <v>46091</v>
      </c>
      <c r="E385" s="19" t="s">
        <v>123</v>
      </c>
      <c r="F385" s="24">
        <v>2</v>
      </c>
      <c r="G385" t="s">
        <v>141</v>
      </c>
      <c r="H385" t="s">
        <v>108</v>
      </c>
      <c r="L385" s="19" t="s">
        <v>111</v>
      </c>
      <c r="M385" s="19" t="s">
        <v>328</v>
      </c>
      <c r="N385" t="s">
        <v>328</v>
      </c>
      <c r="P385" t="s">
        <v>328</v>
      </c>
      <c r="Q385" s="19" t="s">
        <v>328</v>
      </c>
      <c r="R385" s="11">
        <v>46085</v>
      </c>
      <c r="S385" s="11">
        <v>46085</v>
      </c>
      <c r="T385" s="11">
        <v>46085</v>
      </c>
      <c r="V385" t="s">
        <v>114</v>
      </c>
      <c r="W385" t="s">
        <v>114</v>
      </c>
      <c r="X385" t="s">
        <v>114</v>
      </c>
      <c r="Y385" t="s">
        <v>114</v>
      </c>
      <c r="Z385" t="s">
        <v>114</v>
      </c>
      <c r="AA385" t="s">
        <v>114</v>
      </c>
      <c r="AB385" t="s">
        <v>114</v>
      </c>
      <c r="AE385" t="s">
        <v>114</v>
      </c>
      <c r="AF385" t="s">
        <v>132</v>
      </c>
      <c r="AG385" t="s">
        <v>132</v>
      </c>
      <c r="AH385" t="s">
        <v>132</v>
      </c>
      <c r="AI385" t="s">
        <v>132</v>
      </c>
      <c r="AJ385" t="s">
        <v>132</v>
      </c>
      <c r="AN385" t="s">
        <v>132</v>
      </c>
      <c r="AP385" t="s">
        <v>142</v>
      </c>
      <c r="AQ385" t="s">
        <v>132</v>
      </c>
      <c r="AR385" t="s">
        <v>1432</v>
      </c>
      <c r="AS385" s="11">
        <v>46090</v>
      </c>
      <c r="AU385" t="s">
        <v>114</v>
      </c>
      <c r="AV385" t="s">
        <v>115</v>
      </c>
      <c r="BB385" t="s">
        <v>114</v>
      </c>
      <c r="BC385" s="11">
        <v>46087</v>
      </c>
      <c r="BD385" t="s">
        <v>116</v>
      </c>
      <c r="BE385">
        <v>673490256</v>
      </c>
      <c r="BF385" t="s">
        <v>328</v>
      </c>
      <c r="BG385" t="s">
        <v>449</v>
      </c>
      <c r="BJ385" t="str">
        <f t="shared" si="76"/>
        <v/>
      </c>
      <c r="BK385" t="s">
        <v>117</v>
      </c>
      <c r="BL385" t="str">
        <f t="shared" si="78"/>
        <v>S10_2026</v>
      </c>
      <c r="BM385" t="s">
        <v>159</v>
      </c>
      <c r="BN385" s="11">
        <v>46092</v>
      </c>
      <c r="BO385" t="str">
        <f t="shared" si="80"/>
        <v>S11_2026</v>
      </c>
      <c r="BP385" t="s">
        <v>114</v>
      </c>
      <c r="BQ385" t="s">
        <v>450</v>
      </c>
      <c r="BR385" t="s">
        <v>451</v>
      </c>
      <c r="BS385" t="s">
        <v>132</v>
      </c>
      <c r="CI385" t="s">
        <v>119</v>
      </c>
      <c r="CP385" s="11">
        <v>46087</v>
      </c>
      <c r="CQ385" t="s">
        <v>132</v>
      </c>
      <c r="CR385">
        <f t="shared" si="72"/>
        <v>3</v>
      </c>
      <c r="CS385">
        <f t="shared" si="73"/>
        <v>2</v>
      </c>
      <c r="CT385">
        <f t="shared" si="82"/>
        <v>2</v>
      </c>
      <c r="CU385" t="str">
        <f t="shared" si="74"/>
        <v/>
      </c>
      <c r="CV385" t="str">
        <f t="shared" si="75"/>
        <v/>
      </c>
      <c r="CW385" t="s">
        <v>132</v>
      </c>
      <c r="CX385" s="11">
        <v>46085</v>
      </c>
      <c r="CY385" t="str">
        <f t="shared" si="71"/>
        <v>S10_2026</v>
      </c>
      <c r="CZ385" t="s">
        <v>132</v>
      </c>
      <c r="DB385" t="s">
        <v>132</v>
      </c>
      <c r="DC385" t="s">
        <v>120</v>
      </c>
    </row>
    <row r="386" spans="1:107" x14ac:dyDescent="0.35">
      <c r="A386" t="s">
        <v>1433</v>
      </c>
      <c r="B386" s="10" t="str">
        <f t="shared" si="77"/>
        <v>S11_2026</v>
      </c>
      <c r="C386" s="10" t="str">
        <f t="shared" si="83"/>
        <v>S10_2026</v>
      </c>
      <c r="D386" s="11">
        <v>46091</v>
      </c>
      <c r="E386" t="s">
        <v>123</v>
      </c>
      <c r="F386" s="24">
        <v>0.9</v>
      </c>
      <c r="G386" t="s">
        <v>141</v>
      </c>
      <c r="H386" t="s">
        <v>108</v>
      </c>
      <c r="J386" t="s">
        <v>114</v>
      </c>
      <c r="K386" t="s">
        <v>110</v>
      </c>
      <c r="L386" s="19" t="s">
        <v>111</v>
      </c>
      <c r="M386" s="19" t="s">
        <v>328</v>
      </c>
      <c r="N386" t="s">
        <v>328</v>
      </c>
      <c r="O386" t="s">
        <v>1434</v>
      </c>
      <c r="Q386" s="19" t="s">
        <v>328</v>
      </c>
      <c r="R386" s="11">
        <v>46084</v>
      </c>
      <c r="S386" s="11">
        <v>46084</v>
      </c>
      <c r="T386" s="11">
        <v>46084</v>
      </c>
      <c r="V386" t="s">
        <v>114</v>
      </c>
      <c r="W386" t="s">
        <v>114</v>
      </c>
      <c r="X386" t="s">
        <v>114</v>
      </c>
      <c r="Y386" t="s">
        <v>114</v>
      </c>
      <c r="Z386" t="s">
        <v>114</v>
      </c>
      <c r="AA386" t="s">
        <v>114</v>
      </c>
      <c r="AB386" t="s">
        <v>114</v>
      </c>
      <c r="AE386" t="s">
        <v>114</v>
      </c>
      <c r="AF386" t="s">
        <v>132</v>
      </c>
      <c r="AG386" t="s">
        <v>132</v>
      </c>
      <c r="AH386" t="s">
        <v>132</v>
      </c>
      <c r="AI386" t="s">
        <v>132</v>
      </c>
      <c r="AJ386" t="s">
        <v>132</v>
      </c>
      <c r="AN386" t="s">
        <v>114</v>
      </c>
      <c r="AP386" t="s">
        <v>142</v>
      </c>
      <c r="AQ386" t="s">
        <v>114</v>
      </c>
      <c r="BB386" t="s">
        <v>114</v>
      </c>
      <c r="BC386" s="11">
        <v>46088</v>
      </c>
      <c r="BE386">
        <v>673490256</v>
      </c>
      <c r="BF386" t="s">
        <v>328</v>
      </c>
      <c r="BG386" t="s">
        <v>449</v>
      </c>
      <c r="BJ386" t="str">
        <f t="shared" si="76"/>
        <v/>
      </c>
      <c r="BK386" t="s">
        <v>117</v>
      </c>
      <c r="BL386" t="str">
        <f t="shared" si="78"/>
        <v>S10_2026</v>
      </c>
      <c r="BM386" t="s">
        <v>159</v>
      </c>
      <c r="BO386" t="str">
        <f t="shared" si="80"/>
        <v/>
      </c>
      <c r="CI386" t="s">
        <v>119</v>
      </c>
      <c r="CP386" s="11">
        <v>46088</v>
      </c>
      <c r="CR386" t="str">
        <f t="shared" si="72"/>
        <v/>
      </c>
      <c r="CS386" t="str">
        <f t="shared" si="73"/>
        <v/>
      </c>
      <c r="CT386">
        <f t="shared" si="82"/>
        <v>4</v>
      </c>
      <c r="CV386" t="str">
        <f t="shared" si="75"/>
        <v/>
      </c>
      <c r="CX386" s="11">
        <v>46084</v>
      </c>
      <c r="CY386" t="str">
        <f t="shared" si="71"/>
        <v>S10_2026</v>
      </c>
      <c r="DB386" t="s">
        <v>114</v>
      </c>
      <c r="DC386" t="s">
        <v>160</v>
      </c>
    </row>
    <row r="387" spans="1:107" x14ac:dyDescent="0.35">
      <c r="A387" t="s">
        <v>1435</v>
      </c>
      <c r="B387" s="10" t="str">
        <f t="shared" si="77"/>
        <v>S11_2026</v>
      </c>
      <c r="C387" s="10" t="str">
        <f t="shared" si="83"/>
        <v>S10_2026</v>
      </c>
      <c r="D387" s="11">
        <v>46092</v>
      </c>
      <c r="E387" s="19" t="s">
        <v>123</v>
      </c>
      <c r="F387" s="24">
        <v>25</v>
      </c>
      <c r="G387" t="s">
        <v>162</v>
      </c>
      <c r="H387" t="s">
        <v>108</v>
      </c>
      <c r="J387" t="s">
        <v>114</v>
      </c>
      <c r="K387" s="11">
        <v>46087</v>
      </c>
      <c r="L387" s="19" t="s">
        <v>126</v>
      </c>
      <c r="M387" s="19" t="s">
        <v>130</v>
      </c>
      <c r="N387" t="s">
        <v>1436</v>
      </c>
      <c r="O387" t="s">
        <v>1437</v>
      </c>
      <c r="P387" t="s">
        <v>1438</v>
      </c>
      <c r="Q387" s="19" t="s">
        <v>130</v>
      </c>
      <c r="R387" s="11">
        <v>46087</v>
      </c>
      <c r="S387" s="11">
        <v>46087</v>
      </c>
      <c r="T387" s="11">
        <v>46087</v>
      </c>
      <c r="V387" t="s">
        <v>114</v>
      </c>
      <c r="W387" t="s">
        <v>114</v>
      </c>
      <c r="X387" t="s">
        <v>114</v>
      </c>
      <c r="Y387" t="s">
        <v>114</v>
      </c>
      <c r="Z387" t="s">
        <v>114</v>
      </c>
      <c r="AA387" t="s">
        <v>114</v>
      </c>
      <c r="AB387" t="s">
        <v>114</v>
      </c>
      <c r="AE387" t="s">
        <v>114</v>
      </c>
      <c r="AF387" t="s">
        <v>132</v>
      </c>
      <c r="AG387" t="s">
        <v>132</v>
      </c>
      <c r="AH387" t="s">
        <v>132</v>
      </c>
      <c r="AI387" t="s">
        <v>132</v>
      </c>
      <c r="AJ387" t="s">
        <v>132</v>
      </c>
      <c r="AK387" t="s">
        <v>132</v>
      </c>
      <c r="AM387" t="s">
        <v>132</v>
      </c>
      <c r="AN387" t="s">
        <v>114</v>
      </c>
      <c r="AP387" t="s">
        <v>132</v>
      </c>
      <c r="AQ387" t="s">
        <v>132</v>
      </c>
      <c r="AR387" t="s">
        <v>1439</v>
      </c>
      <c r="AS387" s="11">
        <v>46092</v>
      </c>
      <c r="AU387" t="s">
        <v>114</v>
      </c>
      <c r="AV387" t="s">
        <v>115</v>
      </c>
      <c r="BB387" t="s">
        <v>114</v>
      </c>
      <c r="BC387" s="11">
        <v>46090</v>
      </c>
      <c r="BD387" t="s">
        <v>1440</v>
      </c>
      <c r="BF387" t="s">
        <v>1436</v>
      </c>
      <c r="BG387" t="s">
        <v>449</v>
      </c>
      <c r="BJ387" t="str">
        <f t="shared" si="76"/>
        <v/>
      </c>
      <c r="BK387" t="s">
        <v>137</v>
      </c>
      <c r="BL387" t="str">
        <f t="shared" si="78"/>
        <v>S11_2026</v>
      </c>
      <c r="BM387" t="s">
        <v>159</v>
      </c>
      <c r="BN387" s="11">
        <v>46096</v>
      </c>
      <c r="BO387" t="str">
        <f t="shared" si="80"/>
        <v>S11_2026</v>
      </c>
      <c r="BP387" t="s">
        <v>114</v>
      </c>
      <c r="BQ387" t="s">
        <v>450</v>
      </c>
      <c r="BR387" t="s">
        <v>451</v>
      </c>
      <c r="BS387" t="s">
        <v>132</v>
      </c>
      <c r="CI387" t="s">
        <v>119</v>
      </c>
      <c r="CP387" s="11">
        <v>46087</v>
      </c>
      <c r="CQ387" t="s">
        <v>132</v>
      </c>
      <c r="CR387">
        <f t="shared" ref="CR387:CR450" si="84">IF(BP387="Non","",IF(BP387="","",AS387-BC387))</f>
        <v>2</v>
      </c>
      <c r="CS387">
        <f t="shared" ref="CS387:CS450" si="85">IF(BP387="Non","",IF(BP387="","",BN387-AS387))</f>
        <v>4</v>
      </c>
      <c r="CT387">
        <f t="shared" si="82"/>
        <v>0</v>
      </c>
      <c r="CU387">
        <f t="shared" ref="CU387:CU449" si="86">IF(J387="Non","",IF(J387="","",CP387-K387))</f>
        <v>0</v>
      </c>
      <c r="CV387" t="str">
        <f t="shared" ref="CV387:CV450" si="87">IF(AV387="POSITIF",BI387-CX387,"")</f>
        <v/>
      </c>
      <c r="CW387" t="s">
        <v>132</v>
      </c>
      <c r="CX387" s="11">
        <v>46087</v>
      </c>
      <c r="CY387" t="str">
        <f t="shared" si="71"/>
        <v>S10_2026</v>
      </c>
      <c r="CZ387" t="s">
        <v>132</v>
      </c>
      <c r="DB387" t="s">
        <v>132</v>
      </c>
      <c r="DC387" t="s">
        <v>120</v>
      </c>
    </row>
    <row r="388" spans="1:107" x14ac:dyDescent="0.35">
      <c r="A388" s="36" t="s">
        <v>1441</v>
      </c>
      <c r="B388" s="10" t="str">
        <f t="shared" si="77"/>
        <v>S11_2026</v>
      </c>
      <c r="C388" s="10" t="str">
        <f t="shared" si="83"/>
        <v>S10_2026</v>
      </c>
      <c r="D388" s="11">
        <v>46093</v>
      </c>
      <c r="E388" s="19" t="s">
        <v>123</v>
      </c>
      <c r="F388" s="24">
        <v>33</v>
      </c>
      <c r="G388" s="16" t="s">
        <v>429</v>
      </c>
      <c r="H388" t="s">
        <v>108</v>
      </c>
      <c r="J388" t="s">
        <v>114</v>
      </c>
      <c r="K388" s="11">
        <v>46092</v>
      </c>
      <c r="L388" s="19" t="s">
        <v>111</v>
      </c>
      <c r="M388" s="19" t="s">
        <v>308</v>
      </c>
      <c r="N388" t="s">
        <v>1154</v>
      </c>
      <c r="O388" t="s">
        <v>1390</v>
      </c>
      <c r="P388" t="s">
        <v>311</v>
      </c>
      <c r="Q388" s="19" t="s">
        <v>312</v>
      </c>
      <c r="R388" s="11">
        <v>46087</v>
      </c>
      <c r="S388" s="11">
        <v>46087</v>
      </c>
      <c r="T388" s="11">
        <v>46087</v>
      </c>
      <c r="V388" t="s">
        <v>114</v>
      </c>
      <c r="W388" t="s">
        <v>114</v>
      </c>
      <c r="X388" t="s">
        <v>114</v>
      </c>
      <c r="Y388" t="s">
        <v>114</v>
      </c>
      <c r="Z388" t="s">
        <v>114</v>
      </c>
      <c r="AA388" t="s">
        <v>114</v>
      </c>
      <c r="AB388" t="s">
        <v>114</v>
      </c>
      <c r="AE388" t="s">
        <v>114</v>
      </c>
      <c r="AF388" t="s">
        <v>132</v>
      </c>
      <c r="AG388" t="s">
        <v>114</v>
      </c>
      <c r="AH388" t="s">
        <v>132</v>
      </c>
      <c r="AI388" t="s">
        <v>132</v>
      </c>
      <c r="AJ388" t="s">
        <v>132</v>
      </c>
      <c r="AK388" t="s">
        <v>142</v>
      </c>
      <c r="AM388" t="s">
        <v>142</v>
      </c>
      <c r="AN388" t="s">
        <v>114</v>
      </c>
      <c r="AP388" t="s">
        <v>132</v>
      </c>
      <c r="AQ388" t="s">
        <v>132</v>
      </c>
      <c r="AR388" t="s">
        <v>1442</v>
      </c>
      <c r="AS388" s="11">
        <v>46093</v>
      </c>
      <c r="AU388" t="s">
        <v>114</v>
      </c>
      <c r="AV388" t="s">
        <v>115</v>
      </c>
      <c r="BB388" t="s">
        <v>114</v>
      </c>
      <c r="BC388" s="11">
        <v>46093</v>
      </c>
      <c r="BD388" t="s">
        <v>1443</v>
      </c>
      <c r="BF388" t="s">
        <v>1156</v>
      </c>
      <c r="BG388" t="s">
        <v>449</v>
      </c>
      <c r="BJ388" t="str">
        <f t="shared" si="76"/>
        <v/>
      </c>
      <c r="BK388" t="s">
        <v>117</v>
      </c>
      <c r="BL388" t="str">
        <f t="shared" si="78"/>
        <v>S11_2026</v>
      </c>
      <c r="BM388" t="s">
        <v>159</v>
      </c>
      <c r="BN388" s="11">
        <v>46099</v>
      </c>
      <c r="BO388" t="str">
        <f t="shared" si="80"/>
        <v>S12_2026</v>
      </c>
      <c r="BP388" t="s">
        <v>114</v>
      </c>
      <c r="BQ388" t="s">
        <v>450</v>
      </c>
      <c r="BR388" t="s">
        <v>451</v>
      </c>
      <c r="BS388" t="s">
        <v>132</v>
      </c>
      <c r="CI388" t="s">
        <v>119</v>
      </c>
      <c r="CP388" s="11">
        <v>46093</v>
      </c>
      <c r="CQ388" t="s">
        <v>132</v>
      </c>
      <c r="CR388">
        <f t="shared" si="84"/>
        <v>0</v>
      </c>
      <c r="CS388">
        <f t="shared" si="85"/>
        <v>6</v>
      </c>
      <c r="CT388">
        <f t="shared" si="82"/>
        <v>6</v>
      </c>
      <c r="CU388">
        <f t="shared" si="86"/>
        <v>1</v>
      </c>
      <c r="CV388" t="str">
        <f t="shared" si="87"/>
        <v/>
      </c>
      <c r="CW388" t="s">
        <v>132</v>
      </c>
      <c r="CX388" s="11">
        <v>46087</v>
      </c>
      <c r="CY388" t="str">
        <f t="shared" si="71"/>
        <v>S10_2026</v>
      </c>
      <c r="CZ388" t="s">
        <v>132</v>
      </c>
      <c r="DB388" t="s">
        <v>132</v>
      </c>
      <c r="DC388" t="s">
        <v>120</v>
      </c>
    </row>
    <row r="389" spans="1:107" x14ac:dyDescent="0.35">
      <c r="A389" s="36" t="s">
        <v>1444</v>
      </c>
      <c r="B389" s="10" t="str">
        <f t="shared" si="77"/>
        <v>S11_2026</v>
      </c>
      <c r="C389" s="10" t="str">
        <f t="shared" si="83"/>
        <v>S9_2026</v>
      </c>
      <c r="D389" s="11">
        <v>46095</v>
      </c>
      <c r="E389" s="19" t="s">
        <v>106</v>
      </c>
      <c r="F389" s="24">
        <v>5</v>
      </c>
      <c r="G389" t="s">
        <v>107</v>
      </c>
      <c r="H389" t="s">
        <v>108</v>
      </c>
      <c r="J389" t="s">
        <v>114</v>
      </c>
      <c r="K389" s="11">
        <v>46094</v>
      </c>
      <c r="L389" s="19" t="s">
        <v>163</v>
      </c>
      <c r="M389" s="19" t="s">
        <v>776</v>
      </c>
      <c r="N389" t="s">
        <v>777</v>
      </c>
      <c r="O389" t="s">
        <v>777</v>
      </c>
      <c r="P389" t="s">
        <v>1445</v>
      </c>
      <c r="Q389" s="19" t="s">
        <v>776</v>
      </c>
      <c r="R389" s="11">
        <v>46078</v>
      </c>
      <c r="S389" s="11">
        <v>46078</v>
      </c>
      <c r="T389" s="11">
        <v>46083</v>
      </c>
      <c r="V389" t="s">
        <v>132</v>
      </c>
      <c r="AE389" t="s">
        <v>114</v>
      </c>
      <c r="AF389" t="s">
        <v>132</v>
      </c>
      <c r="AG389" t="s">
        <v>132</v>
      </c>
      <c r="AH389" t="s">
        <v>132</v>
      </c>
      <c r="AI389" t="s">
        <v>132</v>
      </c>
      <c r="AJ389" t="s">
        <v>132</v>
      </c>
      <c r="AK389" t="s">
        <v>132</v>
      </c>
      <c r="AM389" t="s">
        <v>132</v>
      </c>
      <c r="AN389" t="s">
        <v>132</v>
      </c>
      <c r="AP389" t="s">
        <v>132</v>
      </c>
      <c r="AQ389" t="s">
        <v>132</v>
      </c>
      <c r="AR389" t="s">
        <v>1446</v>
      </c>
      <c r="AS389" s="11">
        <v>46105</v>
      </c>
      <c r="AU389" t="s">
        <v>114</v>
      </c>
      <c r="AV389" t="s">
        <v>115</v>
      </c>
      <c r="BB389" t="s">
        <v>114</v>
      </c>
      <c r="BC389" s="11">
        <v>46095</v>
      </c>
      <c r="BD389" t="s">
        <v>1447</v>
      </c>
      <c r="BF389" t="s">
        <v>777</v>
      </c>
      <c r="BG389" t="s">
        <v>132</v>
      </c>
      <c r="BJ389" t="str">
        <f t="shared" si="76"/>
        <v/>
      </c>
      <c r="BK389" t="s">
        <v>170</v>
      </c>
      <c r="BL389" t="str">
        <f t="shared" si="78"/>
        <v>S11_2026</v>
      </c>
      <c r="BM389" t="s">
        <v>159</v>
      </c>
      <c r="BN389" s="11">
        <v>46111</v>
      </c>
      <c r="BO389" t="str">
        <f t="shared" si="80"/>
        <v>S14_2026</v>
      </c>
      <c r="BP389" t="s">
        <v>114</v>
      </c>
      <c r="BQ389" t="s">
        <v>118</v>
      </c>
      <c r="BR389" t="s">
        <v>451</v>
      </c>
      <c r="BS389" t="s">
        <v>132</v>
      </c>
      <c r="CI389" t="s">
        <v>119</v>
      </c>
      <c r="CP389" s="11">
        <v>46095</v>
      </c>
      <c r="CQ389" t="s">
        <v>132</v>
      </c>
      <c r="CR389">
        <f t="shared" si="84"/>
        <v>10</v>
      </c>
      <c r="CS389">
        <f t="shared" si="85"/>
        <v>6</v>
      </c>
      <c r="CT389">
        <f t="shared" si="82"/>
        <v>17</v>
      </c>
      <c r="CU389">
        <f t="shared" si="86"/>
        <v>1</v>
      </c>
      <c r="CV389" t="str">
        <f t="shared" si="87"/>
        <v/>
      </c>
      <c r="CW389" t="s">
        <v>132</v>
      </c>
      <c r="CX389" s="11">
        <v>46078</v>
      </c>
      <c r="CY389" t="str">
        <f t="shared" si="71"/>
        <v>S9_2026</v>
      </c>
      <c r="CZ389" t="s">
        <v>132</v>
      </c>
      <c r="DB389" t="s">
        <v>132</v>
      </c>
      <c r="DC389" t="s">
        <v>120</v>
      </c>
    </row>
    <row r="390" spans="1:107" x14ac:dyDescent="0.35">
      <c r="A390" t="s">
        <v>1448</v>
      </c>
      <c r="B390" s="10" t="str">
        <f t="shared" si="77"/>
        <v>S11_2026</v>
      </c>
      <c r="C390" s="10" t="str">
        <f t="shared" si="83"/>
        <v>S10_2026</v>
      </c>
      <c r="D390" s="37">
        <v>46094</v>
      </c>
      <c r="E390" s="36" t="s">
        <v>123</v>
      </c>
      <c r="F390" s="69">
        <v>39</v>
      </c>
      <c r="G390" t="s">
        <v>564</v>
      </c>
      <c r="H390" s="36" t="s">
        <v>835</v>
      </c>
      <c r="I390" s="36"/>
      <c r="J390" s="36" t="s">
        <v>114</v>
      </c>
      <c r="K390" s="37">
        <v>46093</v>
      </c>
      <c r="L390" s="36" t="s">
        <v>126</v>
      </c>
      <c r="M390" s="36" t="s">
        <v>977</v>
      </c>
      <c r="N390" s="36" t="s">
        <v>1364</v>
      </c>
      <c r="O390" s="42" t="s">
        <v>971</v>
      </c>
      <c r="P390" s="36" t="s">
        <v>978</v>
      </c>
      <c r="Q390" s="36" t="s">
        <v>977</v>
      </c>
      <c r="R390" s="37">
        <v>46087</v>
      </c>
      <c r="S390" s="37">
        <v>46087</v>
      </c>
      <c r="T390" s="37">
        <v>46088</v>
      </c>
      <c r="V390" s="36" t="s">
        <v>114</v>
      </c>
      <c r="W390" s="36" t="s">
        <v>114</v>
      </c>
      <c r="X390" s="36" t="s">
        <v>114</v>
      </c>
      <c r="Y390" s="36" t="s">
        <v>114</v>
      </c>
      <c r="Z390" s="36" t="s">
        <v>114</v>
      </c>
      <c r="AA390" s="36" t="s">
        <v>114</v>
      </c>
      <c r="AB390" s="36" t="s">
        <v>114</v>
      </c>
      <c r="AC390" s="36" t="s">
        <v>1449</v>
      </c>
      <c r="AE390" s="36" t="s">
        <v>114</v>
      </c>
      <c r="AF390" s="36" t="s">
        <v>114</v>
      </c>
      <c r="AG390" t="s">
        <v>132</v>
      </c>
      <c r="AH390" t="s">
        <v>132</v>
      </c>
      <c r="AI390" t="s">
        <v>132</v>
      </c>
      <c r="AJ390" t="s">
        <v>984</v>
      </c>
      <c r="AK390" s="36" t="s">
        <v>114</v>
      </c>
      <c r="AL390" s="36"/>
      <c r="AM390" s="36" t="s">
        <v>132</v>
      </c>
      <c r="AN390" s="36" t="s">
        <v>132</v>
      </c>
      <c r="AO390" s="36"/>
      <c r="AP390" s="36" t="s">
        <v>114</v>
      </c>
      <c r="AQ390" s="36" t="s">
        <v>132</v>
      </c>
      <c r="AR390" s="36" t="s">
        <v>1450</v>
      </c>
      <c r="AS390" s="37">
        <v>46097</v>
      </c>
      <c r="AT390" s="36"/>
      <c r="AU390" s="36" t="s">
        <v>114</v>
      </c>
      <c r="AV390" t="s">
        <v>134</v>
      </c>
      <c r="AW390" t="s">
        <v>152</v>
      </c>
      <c r="AX390" s="36"/>
      <c r="AY390" t="s">
        <v>135</v>
      </c>
      <c r="AZ390" s="36"/>
      <c r="BA390" s="36"/>
      <c r="BB390" s="36" t="s">
        <v>114</v>
      </c>
      <c r="BC390" s="37">
        <v>46094</v>
      </c>
      <c r="BD390" s="36" t="s">
        <v>1407</v>
      </c>
      <c r="BF390" s="36" t="s">
        <v>978</v>
      </c>
      <c r="BG390" s="36" t="s">
        <v>449</v>
      </c>
      <c r="BH390" s="36"/>
      <c r="BI390" s="37">
        <v>46099</v>
      </c>
      <c r="BJ390" t="str">
        <f t="shared" si="76"/>
        <v>S12_2026</v>
      </c>
      <c r="BK390" s="36" t="s">
        <v>137</v>
      </c>
      <c r="BL390" t="str">
        <f t="shared" si="78"/>
        <v>S11_2026</v>
      </c>
      <c r="BM390" s="36" t="s">
        <v>159</v>
      </c>
      <c r="BN390" s="37">
        <v>46099</v>
      </c>
      <c r="BO390" t="str">
        <f t="shared" si="80"/>
        <v>S12_2026</v>
      </c>
      <c r="BP390" s="36" t="s">
        <v>114</v>
      </c>
      <c r="BQ390" s="36" t="s">
        <v>450</v>
      </c>
      <c r="BR390" s="36" t="s">
        <v>114</v>
      </c>
      <c r="BS390" s="36" t="s">
        <v>132</v>
      </c>
      <c r="CI390" t="s">
        <v>119</v>
      </c>
      <c r="CK390" t="s">
        <v>138</v>
      </c>
      <c r="CP390" s="37">
        <v>46093</v>
      </c>
      <c r="CQ390" t="s">
        <v>132</v>
      </c>
      <c r="CR390">
        <f t="shared" si="84"/>
        <v>3</v>
      </c>
      <c r="CS390">
        <f t="shared" si="85"/>
        <v>2</v>
      </c>
      <c r="CT390">
        <f t="shared" si="82"/>
        <v>6</v>
      </c>
      <c r="CU390">
        <f t="shared" si="86"/>
        <v>0</v>
      </c>
      <c r="CV390">
        <f t="shared" si="87"/>
        <v>12</v>
      </c>
      <c r="CW390" t="s">
        <v>114</v>
      </c>
      <c r="CX390" s="37">
        <v>46087</v>
      </c>
      <c r="CY390" t="str">
        <f t="shared" si="71"/>
        <v>S10_2026</v>
      </c>
      <c r="CZ390" t="s">
        <v>132</v>
      </c>
      <c r="DB390" t="s">
        <v>132</v>
      </c>
      <c r="DC390" t="s">
        <v>139</v>
      </c>
    </row>
    <row r="391" spans="1:107" x14ac:dyDescent="0.35">
      <c r="A391" t="s">
        <v>1451</v>
      </c>
      <c r="B391" s="10" t="str">
        <f t="shared" si="77"/>
        <v>S11_2026</v>
      </c>
      <c r="C391" s="10" t="str">
        <f t="shared" si="83"/>
        <v>S11_2026</v>
      </c>
      <c r="D391" s="37">
        <v>46094</v>
      </c>
      <c r="E391" s="36" t="s">
        <v>123</v>
      </c>
      <c r="F391" s="69">
        <v>37</v>
      </c>
      <c r="G391" s="36" t="s">
        <v>569</v>
      </c>
      <c r="H391" s="36" t="s">
        <v>835</v>
      </c>
      <c r="I391" s="36"/>
      <c r="J391" s="36" t="s">
        <v>114</v>
      </c>
      <c r="K391" s="37">
        <v>46093</v>
      </c>
      <c r="L391" s="36" t="s">
        <v>126</v>
      </c>
      <c r="M391" s="36" t="s">
        <v>977</v>
      </c>
      <c r="N391" s="36" t="s">
        <v>1364</v>
      </c>
      <c r="O391" s="36" t="s">
        <v>971</v>
      </c>
      <c r="P391" s="36" t="s">
        <v>978</v>
      </c>
      <c r="Q391" s="36" t="s">
        <v>977</v>
      </c>
      <c r="R391" s="37">
        <v>46091</v>
      </c>
      <c r="S391" s="37">
        <v>46091</v>
      </c>
      <c r="T391" s="37">
        <v>46091</v>
      </c>
      <c r="V391" s="36" t="s">
        <v>132</v>
      </c>
      <c r="W391" s="36" t="s">
        <v>114</v>
      </c>
      <c r="X391" s="36" t="s">
        <v>132</v>
      </c>
      <c r="Y391" s="36" t="s">
        <v>132</v>
      </c>
      <c r="Z391" s="36" t="s">
        <v>132</v>
      </c>
      <c r="AA391" s="36" t="s">
        <v>114</v>
      </c>
      <c r="AB391" s="36" t="s">
        <v>114</v>
      </c>
      <c r="AC391" s="36"/>
      <c r="AE391" s="36" t="s">
        <v>114</v>
      </c>
      <c r="AF391" s="36" t="s">
        <v>114</v>
      </c>
      <c r="AG391" t="s">
        <v>132</v>
      </c>
      <c r="AH391" t="s">
        <v>132</v>
      </c>
      <c r="AI391" t="s">
        <v>132</v>
      </c>
      <c r="AJ391" t="s">
        <v>132</v>
      </c>
      <c r="AK391" s="36" t="s">
        <v>132</v>
      </c>
      <c r="AL391" s="36"/>
      <c r="AM391" s="36" t="s">
        <v>114</v>
      </c>
      <c r="AN391" s="36" t="s">
        <v>132</v>
      </c>
      <c r="AO391" s="36"/>
      <c r="AP391" s="36" t="s">
        <v>114</v>
      </c>
      <c r="AQ391" s="36" t="s">
        <v>132</v>
      </c>
      <c r="AR391" s="36" t="s">
        <v>1452</v>
      </c>
      <c r="AS391" s="37">
        <v>46097</v>
      </c>
      <c r="AT391" s="36"/>
      <c r="AU391" s="36" t="s">
        <v>114</v>
      </c>
      <c r="AV391" t="s">
        <v>134</v>
      </c>
      <c r="AW391" t="s">
        <v>152</v>
      </c>
      <c r="AX391" s="36"/>
      <c r="AY391" t="s">
        <v>135</v>
      </c>
      <c r="AZ391" s="36"/>
      <c r="BA391" s="36"/>
      <c r="BB391" s="36" t="s">
        <v>114</v>
      </c>
      <c r="BC391" s="37">
        <v>46094</v>
      </c>
      <c r="BD391" s="36" t="s">
        <v>1407</v>
      </c>
      <c r="BF391" s="36" t="s">
        <v>978</v>
      </c>
      <c r="BG391" s="36" t="s">
        <v>449</v>
      </c>
      <c r="BH391" s="36"/>
      <c r="BI391" s="37">
        <v>46099</v>
      </c>
      <c r="BJ391" t="str">
        <f t="shared" si="76"/>
        <v>S12_2026</v>
      </c>
      <c r="BK391" s="36" t="s">
        <v>137</v>
      </c>
      <c r="BL391" t="str">
        <f t="shared" si="78"/>
        <v>S11_2026</v>
      </c>
      <c r="BM391" s="36" t="s">
        <v>159</v>
      </c>
      <c r="BN391" s="37">
        <v>46099</v>
      </c>
      <c r="BO391" t="str">
        <f t="shared" si="80"/>
        <v>S12_2026</v>
      </c>
      <c r="BP391" s="36" t="s">
        <v>114</v>
      </c>
      <c r="BQ391" s="36" t="s">
        <v>450</v>
      </c>
      <c r="BR391" s="36" t="s">
        <v>451</v>
      </c>
      <c r="BS391" s="36" t="s">
        <v>132</v>
      </c>
      <c r="CI391" t="s">
        <v>119</v>
      </c>
      <c r="CK391" t="s">
        <v>138</v>
      </c>
      <c r="CP391" s="37">
        <v>46093</v>
      </c>
      <c r="CQ391" t="s">
        <v>132</v>
      </c>
      <c r="CR391">
        <f t="shared" si="84"/>
        <v>3</v>
      </c>
      <c r="CS391">
        <f t="shared" si="85"/>
        <v>2</v>
      </c>
      <c r="CT391">
        <f t="shared" si="82"/>
        <v>2</v>
      </c>
      <c r="CU391">
        <f t="shared" si="86"/>
        <v>0</v>
      </c>
      <c r="CV391">
        <f t="shared" si="87"/>
        <v>8</v>
      </c>
      <c r="CW391" t="s">
        <v>132</v>
      </c>
      <c r="CX391" s="37">
        <v>46091</v>
      </c>
      <c r="CY391" t="str">
        <f>IFERROR("S"&amp;(IF(_xlfn.ISOWEEKNUM(CX391)&gt;0,_xlfn.ISOWEEKNUM(CX391),_xlfn.CONCAT("0",_xlfn.ISOWEEKNUM(CX391))))&amp;"_"&amp;(YEAR(CX391+26-(_xlfn.ISOWEEKNUM(CX391)))),"")</f>
        <v>S11_2026</v>
      </c>
      <c r="CZ391" t="s">
        <v>132</v>
      </c>
      <c r="DB391" t="s">
        <v>132</v>
      </c>
      <c r="DC391" t="s">
        <v>139</v>
      </c>
    </row>
    <row r="392" spans="1:107" x14ac:dyDescent="0.35">
      <c r="A392" t="s">
        <v>1453</v>
      </c>
      <c r="B392" s="10" t="str">
        <f t="shared" si="77"/>
        <v>S11_2026</v>
      </c>
      <c r="C392" s="10" t="str">
        <f t="shared" si="83"/>
        <v>S10_2026</v>
      </c>
      <c r="D392" s="37">
        <v>46094</v>
      </c>
      <c r="E392" s="36" t="s">
        <v>123</v>
      </c>
      <c r="F392" s="69">
        <v>24</v>
      </c>
      <c r="G392" s="36" t="s">
        <v>1197</v>
      </c>
      <c r="H392" s="36" t="s">
        <v>835</v>
      </c>
      <c r="I392" s="36"/>
      <c r="J392" s="36" t="s">
        <v>114</v>
      </c>
      <c r="K392" s="37">
        <v>46093</v>
      </c>
      <c r="L392" s="36" t="s">
        <v>126</v>
      </c>
      <c r="M392" s="36" t="s">
        <v>977</v>
      </c>
      <c r="N392" s="36" t="s">
        <v>1364</v>
      </c>
      <c r="O392" s="36" t="s">
        <v>971</v>
      </c>
      <c r="P392" s="36" t="s">
        <v>1454</v>
      </c>
      <c r="Q392" s="36" t="s">
        <v>977</v>
      </c>
      <c r="R392" s="37">
        <v>46087</v>
      </c>
      <c r="S392" s="37">
        <v>46087</v>
      </c>
      <c r="T392" s="37">
        <v>46087</v>
      </c>
      <c r="V392" s="36" t="s">
        <v>132</v>
      </c>
      <c r="W392" s="36" t="s">
        <v>114</v>
      </c>
      <c r="X392" s="36" t="s">
        <v>114</v>
      </c>
      <c r="Y392" s="36" t="s">
        <v>114</v>
      </c>
      <c r="Z392" s="36" t="s">
        <v>132</v>
      </c>
      <c r="AA392" s="36" t="s">
        <v>132</v>
      </c>
      <c r="AB392" s="36" t="s">
        <v>132</v>
      </c>
      <c r="AC392" s="36"/>
      <c r="AE392" s="36" t="s">
        <v>114</v>
      </c>
      <c r="AF392" s="36" t="s">
        <v>132</v>
      </c>
      <c r="AG392" t="s">
        <v>132</v>
      </c>
      <c r="AH392" t="s">
        <v>132</v>
      </c>
      <c r="AI392" t="s">
        <v>132</v>
      </c>
      <c r="AJ392" t="s">
        <v>132</v>
      </c>
      <c r="AK392" s="36" t="s">
        <v>132</v>
      </c>
      <c r="AL392" s="36"/>
      <c r="AM392" s="36" t="s">
        <v>132</v>
      </c>
      <c r="AN392" s="36" t="s">
        <v>132</v>
      </c>
      <c r="AO392" s="36"/>
      <c r="AP392" s="36" t="s">
        <v>132</v>
      </c>
      <c r="AQ392" s="36" t="s">
        <v>132</v>
      </c>
      <c r="AR392" s="36" t="s">
        <v>1455</v>
      </c>
      <c r="AS392" s="37">
        <v>46097</v>
      </c>
      <c r="AT392" s="36"/>
      <c r="AU392" s="36" t="s">
        <v>114</v>
      </c>
      <c r="AV392" t="s">
        <v>134</v>
      </c>
      <c r="AW392" t="s">
        <v>152</v>
      </c>
      <c r="AX392" s="36"/>
      <c r="AY392" t="s">
        <v>463</v>
      </c>
      <c r="AZ392" s="36"/>
      <c r="BA392" s="36"/>
      <c r="BB392" s="36" t="s">
        <v>114</v>
      </c>
      <c r="BC392" s="37">
        <v>46094</v>
      </c>
      <c r="BD392" s="36" t="s">
        <v>1407</v>
      </c>
      <c r="BF392" s="36" t="s">
        <v>1456</v>
      </c>
      <c r="BG392" s="36" t="s">
        <v>449</v>
      </c>
      <c r="BH392" s="36"/>
      <c r="BI392" s="37">
        <v>46099</v>
      </c>
      <c r="BJ392" t="str">
        <f t="shared" si="76"/>
        <v>S12_2026</v>
      </c>
      <c r="BK392" s="36" t="s">
        <v>137</v>
      </c>
      <c r="BL392" t="str">
        <f t="shared" si="78"/>
        <v>S11_2026</v>
      </c>
      <c r="BM392" s="36" t="s">
        <v>159</v>
      </c>
      <c r="BN392" s="37">
        <v>46099</v>
      </c>
      <c r="BO392" t="str">
        <f t="shared" si="80"/>
        <v>S12_2026</v>
      </c>
      <c r="BP392" s="36" t="s">
        <v>114</v>
      </c>
      <c r="BQ392" s="36" t="s">
        <v>450</v>
      </c>
      <c r="BR392" s="36" t="s">
        <v>451</v>
      </c>
      <c r="BS392" s="36" t="s">
        <v>132</v>
      </c>
      <c r="CI392" t="s">
        <v>119</v>
      </c>
      <c r="CK392" t="s">
        <v>467</v>
      </c>
      <c r="CP392" s="37">
        <v>46094</v>
      </c>
      <c r="CQ392" t="s">
        <v>132</v>
      </c>
      <c r="CR392">
        <f t="shared" si="84"/>
        <v>3</v>
      </c>
      <c r="CS392">
        <f t="shared" si="85"/>
        <v>2</v>
      </c>
      <c r="CT392">
        <f t="shared" si="82"/>
        <v>7</v>
      </c>
      <c r="CU392">
        <f t="shared" si="86"/>
        <v>1</v>
      </c>
      <c r="CV392">
        <f t="shared" si="87"/>
        <v>12</v>
      </c>
      <c r="CW392" t="s">
        <v>132</v>
      </c>
      <c r="CX392" s="37">
        <v>46087</v>
      </c>
      <c r="CY392" t="str">
        <f>IFERROR("S"&amp;(IF(_xlfn.ISOWEEKNUM(CX392)&gt;0,_xlfn.ISOWEEKNUM(CX392),_xlfn.CONCAT("0",_xlfn.ISOWEEKNUM(CX392))))&amp;"_"&amp;(YEAR(CX392+26-(_xlfn.ISOWEEKNUM(CX392)))),"")</f>
        <v>S10_2026</v>
      </c>
      <c r="CZ392" t="s">
        <v>132</v>
      </c>
      <c r="DB392" t="s">
        <v>132</v>
      </c>
      <c r="DC392" t="s">
        <v>139</v>
      </c>
    </row>
    <row r="393" spans="1:107" x14ac:dyDescent="0.35">
      <c r="A393" s="36" t="s">
        <v>1457</v>
      </c>
      <c r="B393" s="10" t="str">
        <f t="shared" si="77"/>
        <v>S12_2026</v>
      </c>
      <c r="C393" s="10" t="str">
        <f t="shared" si="83"/>
        <v>S10_2026</v>
      </c>
      <c r="D393" s="11">
        <v>46097</v>
      </c>
      <c r="E393" s="19" t="s">
        <v>106</v>
      </c>
      <c r="F393" s="69">
        <v>5</v>
      </c>
      <c r="G393" t="s">
        <v>141</v>
      </c>
      <c r="H393" s="36" t="s">
        <v>835</v>
      </c>
      <c r="J393" s="36" t="s">
        <v>132</v>
      </c>
      <c r="L393" s="36" t="s">
        <v>170</v>
      </c>
      <c r="M393" s="36" t="s">
        <v>776</v>
      </c>
      <c r="N393" s="36" t="s">
        <v>777</v>
      </c>
      <c r="O393" s="36" t="s">
        <v>184</v>
      </c>
      <c r="P393" s="36" t="s">
        <v>1445</v>
      </c>
      <c r="Q393" s="36" t="s">
        <v>776</v>
      </c>
      <c r="R393" s="11">
        <v>46083</v>
      </c>
      <c r="S393" s="11">
        <v>46083</v>
      </c>
      <c r="T393" s="11">
        <v>46083</v>
      </c>
      <c r="V393" s="36" t="s">
        <v>132</v>
      </c>
      <c r="W393" s="36" t="s">
        <v>132</v>
      </c>
      <c r="X393" s="36" t="s">
        <v>132</v>
      </c>
      <c r="Y393" s="36" t="s">
        <v>132</v>
      </c>
      <c r="Z393" s="36" t="s">
        <v>132</v>
      </c>
      <c r="AA393" s="36" t="s">
        <v>132</v>
      </c>
      <c r="AB393" s="36" t="s">
        <v>114</v>
      </c>
      <c r="AE393" s="36" t="s">
        <v>132</v>
      </c>
      <c r="AF393" s="36" t="s">
        <v>132</v>
      </c>
      <c r="AG393" s="36" t="s">
        <v>132</v>
      </c>
      <c r="AH393" s="36" t="s">
        <v>132</v>
      </c>
      <c r="AI393" s="36" t="s">
        <v>132</v>
      </c>
      <c r="AJ393" s="36" t="s">
        <v>132</v>
      </c>
      <c r="AK393" s="36" t="s">
        <v>132</v>
      </c>
      <c r="AL393" s="36"/>
      <c r="AM393" s="36" t="s">
        <v>132</v>
      </c>
      <c r="AN393" s="36" t="s">
        <v>132</v>
      </c>
      <c r="AO393" s="36"/>
      <c r="AP393" s="36" t="s">
        <v>132</v>
      </c>
      <c r="AQ393" s="36" t="s">
        <v>132</v>
      </c>
      <c r="AR393" s="36" t="s">
        <v>1458</v>
      </c>
      <c r="AS393" s="11">
        <v>46105</v>
      </c>
      <c r="AU393" s="36" t="s">
        <v>114</v>
      </c>
      <c r="AV393" s="36" t="s">
        <v>115</v>
      </c>
      <c r="BB393" s="36" t="s">
        <v>114</v>
      </c>
      <c r="BC393" s="11">
        <v>46095</v>
      </c>
      <c r="BD393" s="36" t="s">
        <v>169</v>
      </c>
      <c r="BF393" s="36" t="s">
        <v>777</v>
      </c>
      <c r="BG393" s="36" t="s">
        <v>132</v>
      </c>
      <c r="BJ393" t="str">
        <f t="shared" si="76"/>
        <v/>
      </c>
      <c r="BK393" t="s">
        <v>170</v>
      </c>
      <c r="BL393" t="str">
        <f t="shared" si="78"/>
        <v>S11_2026</v>
      </c>
      <c r="BM393" s="36" t="s">
        <v>159</v>
      </c>
      <c r="BN393" s="11">
        <v>46111</v>
      </c>
      <c r="BO393" t="str">
        <f t="shared" si="80"/>
        <v>S14_2026</v>
      </c>
      <c r="BP393" s="36" t="s">
        <v>114</v>
      </c>
      <c r="BQ393" s="36" t="s">
        <v>118</v>
      </c>
      <c r="BR393" s="36" t="s">
        <v>451</v>
      </c>
      <c r="BS393" s="36" t="s">
        <v>132</v>
      </c>
      <c r="CI393" t="s">
        <v>119</v>
      </c>
      <c r="CP393" s="11">
        <v>45730</v>
      </c>
      <c r="CQ393" t="s">
        <v>132</v>
      </c>
      <c r="CR393">
        <f t="shared" si="84"/>
        <v>10</v>
      </c>
      <c r="CS393">
        <f t="shared" si="85"/>
        <v>6</v>
      </c>
      <c r="CU393" t="str">
        <f t="shared" si="86"/>
        <v/>
      </c>
      <c r="CV393" t="str">
        <f t="shared" si="87"/>
        <v/>
      </c>
      <c r="CW393" t="s">
        <v>132</v>
      </c>
      <c r="CX393" s="11">
        <v>46083</v>
      </c>
      <c r="CY393" t="str">
        <f>IFERROR("S"&amp;(IF(_xlfn.ISOWEEKNUM(CX393)&gt;0,_xlfn.ISOWEEKNUM(CX393),_xlfn.CONCAT("0",_xlfn.ISOWEEKNUM(CX393))))&amp;"_"&amp;(YEAR(CX393+26-(_xlfn.ISOWEEKNUM(CX393)))),"")</f>
        <v>S10_2026</v>
      </c>
      <c r="CZ393" t="s">
        <v>132</v>
      </c>
      <c r="DB393" t="s">
        <v>114</v>
      </c>
      <c r="DC393" t="s">
        <v>160</v>
      </c>
    </row>
    <row r="394" spans="1:107" x14ac:dyDescent="0.35">
      <c r="A394" t="s">
        <v>1459</v>
      </c>
      <c r="B394" s="10" t="str">
        <f t="shared" si="77"/>
        <v>S12_2026</v>
      </c>
      <c r="C394" s="10" t="str">
        <f t="shared" si="83"/>
        <v>S10_2026</v>
      </c>
      <c r="D394" s="11">
        <v>46097</v>
      </c>
      <c r="E394" s="19" t="s">
        <v>106</v>
      </c>
      <c r="F394" s="69">
        <v>15</v>
      </c>
      <c r="G394" s="36" t="s">
        <v>429</v>
      </c>
      <c r="H394" s="36" t="s">
        <v>835</v>
      </c>
      <c r="J394" s="36" t="s">
        <v>114</v>
      </c>
      <c r="K394" s="11">
        <v>46092</v>
      </c>
      <c r="L394" s="36" t="s">
        <v>111</v>
      </c>
      <c r="M394" s="36" t="s">
        <v>306</v>
      </c>
      <c r="N394" s="36" t="s">
        <v>1460</v>
      </c>
      <c r="O394" s="36" t="s">
        <v>1461</v>
      </c>
      <c r="P394" s="36" t="s">
        <v>1462</v>
      </c>
      <c r="Q394" s="36" t="s">
        <v>306</v>
      </c>
      <c r="R394" s="11">
        <v>46088</v>
      </c>
      <c r="S394" s="11">
        <v>46088</v>
      </c>
      <c r="T394" s="11">
        <v>46088</v>
      </c>
      <c r="V394" s="36" t="s">
        <v>114</v>
      </c>
      <c r="W394" s="36" t="s">
        <v>114</v>
      </c>
      <c r="X394" s="36" t="s">
        <v>114</v>
      </c>
      <c r="Y394" s="36" t="s">
        <v>114</v>
      </c>
      <c r="Z394" s="36" t="s">
        <v>114</v>
      </c>
      <c r="AA394" s="36" t="s">
        <v>114</v>
      </c>
      <c r="AB394" s="36" t="s">
        <v>114</v>
      </c>
      <c r="AE394" s="36" t="s">
        <v>114</v>
      </c>
      <c r="AF394" s="36" t="s">
        <v>132</v>
      </c>
      <c r="AG394" s="36" t="s">
        <v>114</v>
      </c>
      <c r="AH394" s="36" t="s">
        <v>132</v>
      </c>
      <c r="AI394" s="36" t="s">
        <v>132</v>
      </c>
      <c r="AJ394" s="36" t="s">
        <v>132</v>
      </c>
      <c r="AK394" s="36" t="s">
        <v>132</v>
      </c>
      <c r="AL394" s="36"/>
      <c r="AM394" s="36" t="s">
        <v>132</v>
      </c>
      <c r="AN394" s="36" t="s">
        <v>132</v>
      </c>
      <c r="AO394" s="36"/>
      <c r="AP394" s="36" t="s">
        <v>132</v>
      </c>
      <c r="AQ394" s="36" t="s">
        <v>132</v>
      </c>
      <c r="AR394" s="36" t="s">
        <v>1463</v>
      </c>
      <c r="AS394" s="11">
        <v>46093</v>
      </c>
      <c r="AU394" s="36" t="s">
        <v>114</v>
      </c>
      <c r="AV394" s="36" t="s">
        <v>115</v>
      </c>
      <c r="BB394" s="36" t="s">
        <v>114</v>
      </c>
      <c r="BC394" s="11">
        <v>46093</v>
      </c>
      <c r="BD394" s="36" t="s">
        <v>116</v>
      </c>
      <c r="BE394">
        <v>673764432</v>
      </c>
      <c r="BF394" s="36" t="s">
        <v>1464</v>
      </c>
      <c r="BG394" s="36" t="s">
        <v>114</v>
      </c>
      <c r="BJ394" t="str">
        <f t="shared" si="76"/>
        <v/>
      </c>
      <c r="BK394" s="36" t="s">
        <v>117</v>
      </c>
      <c r="BL394" t="str">
        <f t="shared" si="78"/>
        <v>S11_2026</v>
      </c>
      <c r="BM394" s="36" t="s">
        <v>159</v>
      </c>
      <c r="BN394" s="11">
        <v>46098</v>
      </c>
      <c r="BO394" t="str">
        <f t="shared" si="80"/>
        <v>S12_2026</v>
      </c>
      <c r="BP394" t="s">
        <v>114</v>
      </c>
      <c r="BQ394" t="s">
        <v>118</v>
      </c>
      <c r="BS394" t="s">
        <v>132</v>
      </c>
      <c r="CI394" t="s">
        <v>119</v>
      </c>
      <c r="CP394" s="11">
        <v>46093</v>
      </c>
      <c r="CQ394" t="s">
        <v>132</v>
      </c>
      <c r="CR394">
        <f t="shared" si="84"/>
        <v>0</v>
      </c>
      <c r="CS394">
        <f t="shared" si="85"/>
        <v>5</v>
      </c>
      <c r="CT394">
        <f t="shared" ref="CT394:CT412" si="88">CP394-CX394</f>
        <v>5</v>
      </c>
      <c r="CU394">
        <f t="shared" si="86"/>
        <v>1</v>
      </c>
      <c r="CV394" t="str">
        <f t="shared" si="87"/>
        <v/>
      </c>
      <c r="CW394" t="s">
        <v>132</v>
      </c>
      <c r="CX394" s="11">
        <v>46088</v>
      </c>
      <c r="CY394" t="str">
        <f>IFERROR("S"&amp;(IF(_xlfn.ISOWEEKNUM(CX394)&gt;0,_xlfn.ISOWEEKNUM(CX394),_xlfn.CONCAT("0",_xlfn.ISOWEEKNUM(CX394))))&amp;"_"&amp;(YEAR(CX394+26-(_xlfn.ISOWEEKNUM(CX394)))),"")</f>
        <v>S10_2026</v>
      </c>
      <c r="CZ394" t="s">
        <v>132</v>
      </c>
      <c r="DB394" t="s">
        <v>132</v>
      </c>
      <c r="DC394" t="s">
        <v>120</v>
      </c>
    </row>
    <row r="395" spans="1:107" x14ac:dyDescent="0.35">
      <c r="A395" t="s">
        <v>1465</v>
      </c>
      <c r="B395" s="10" t="str">
        <f t="shared" si="77"/>
        <v>S12_2026</v>
      </c>
      <c r="C395" s="10" t="str">
        <f t="shared" si="83"/>
        <v>S10_2026</v>
      </c>
      <c r="D395" s="37">
        <v>46099</v>
      </c>
      <c r="E395" s="36" t="s">
        <v>1466</v>
      </c>
      <c r="F395" s="69">
        <v>25</v>
      </c>
      <c r="G395" s="36" t="s">
        <v>575</v>
      </c>
      <c r="H395" s="36" t="s">
        <v>835</v>
      </c>
      <c r="I395" s="36"/>
      <c r="J395" s="36" t="s">
        <v>114</v>
      </c>
      <c r="K395" s="37">
        <v>46094</v>
      </c>
      <c r="L395" s="36" t="s">
        <v>126</v>
      </c>
      <c r="M395" s="36" t="s">
        <v>977</v>
      </c>
      <c r="N395" s="36" t="s">
        <v>1364</v>
      </c>
      <c r="O395" s="36" t="s">
        <v>971</v>
      </c>
      <c r="P395" s="36" t="s">
        <v>1467</v>
      </c>
      <c r="Q395" s="36" t="s">
        <v>853</v>
      </c>
      <c r="R395" s="37">
        <v>46087</v>
      </c>
      <c r="S395" s="37">
        <v>46087</v>
      </c>
      <c r="T395" s="37">
        <v>46089</v>
      </c>
      <c r="V395" s="36" t="s">
        <v>114</v>
      </c>
      <c r="W395" s="36" t="s">
        <v>114</v>
      </c>
      <c r="X395" s="36" t="s">
        <v>114</v>
      </c>
      <c r="Y395" s="36" t="s">
        <v>132</v>
      </c>
      <c r="Z395" s="36" t="s">
        <v>132</v>
      </c>
      <c r="AA395" s="36" t="s">
        <v>132</v>
      </c>
      <c r="AB395" s="36" t="s">
        <v>114</v>
      </c>
      <c r="AD395" s="36"/>
      <c r="AE395" s="36" t="s">
        <v>114</v>
      </c>
      <c r="AF395" s="36" t="s">
        <v>132</v>
      </c>
      <c r="AG395" s="36" t="s">
        <v>114</v>
      </c>
      <c r="AH395" s="36" t="s">
        <v>132</v>
      </c>
      <c r="AI395" s="36" t="s">
        <v>132</v>
      </c>
      <c r="AJ395" s="36" t="s">
        <v>984</v>
      </c>
      <c r="AK395" s="36" t="s">
        <v>132</v>
      </c>
      <c r="AL395" s="36"/>
      <c r="AM395" s="36" t="s">
        <v>132</v>
      </c>
      <c r="AN395" s="36" t="s">
        <v>132</v>
      </c>
      <c r="AO395" s="36"/>
      <c r="AP395" s="36" t="s">
        <v>132</v>
      </c>
      <c r="AQ395" s="36" t="s">
        <v>132</v>
      </c>
      <c r="AR395" s="36" t="s">
        <v>1468</v>
      </c>
      <c r="AS395" s="37">
        <v>46099</v>
      </c>
      <c r="AT395" s="36"/>
      <c r="AU395" s="36" t="s">
        <v>114</v>
      </c>
      <c r="AV395" s="36" t="s">
        <v>115</v>
      </c>
      <c r="AW395" s="36"/>
      <c r="AX395" s="36"/>
      <c r="AY395" s="36"/>
      <c r="AZ395" s="36"/>
      <c r="BA395" s="36"/>
      <c r="BB395" s="36" t="s">
        <v>114</v>
      </c>
      <c r="BC395" s="37">
        <v>46097</v>
      </c>
      <c r="BD395" s="36" t="s">
        <v>1407</v>
      </c>
      <c r="BF395" s="36" t="s">
        <v>965</v>
      </c>
      <c r="BG395" s="36" t="s">
        <v>449</v>
      </c>
      <c r="BH395" s="36"/>
      <c r="BI395" s="36"/>
      <c r="BJ395" t="str">
        <f t="shared" si="76"/>
        <v/>
      </c>
      <c r="BK395" s="36" t="s">
        <v>137</v>
      </c>
      <c r="BL395" t="str">
        <f t="shared" si="78"/>
        <v>S12_2026</v>
      </c>
      <c r="BM395" s="36" t="s">
        <v>159</v>
      </c>
      <c r="BN395" s="37">
        <v>46099</v>
      </c>
      <c r="BO395" s="36" t="str">
        <f t="shared" si="80"/>
        <v>S12_2026</v>
      </c>
      <c r="BP395" s="36" t="s">
        <v>114</v>
      </c>
      <c r="BQ395" s="36" t="s">
        <v>450</v>
      </c>
      <c r="BR395" s="36" t="s">
        <v>114</v>
      </c>
      <c r="BS395" t="s">
        <v>132</v>
      </c>
      <c r="CI395" t="s">
        <v>119</v>
      </c>
      <c r="CP395" s="11">
        <v>46094</v>
      </c>
      <c r="CQ395" t="s">
        <v>132</v>
      </c>
      <c r="CR395">
        <f t="shared" si="84"/>
        <v>2</v>
      </c>
      <c r="CS395">
        <f t="shared" si="85"/>
        <v>0</v>
      </c>
      <c r="CT395">
        <f t="shared" si="88"/>
        <v>7</v>
      </c>
      <c r="CU395">
        <f t="shared" si="86"/>
        <v>0</v>
      </c>
      <c r="CV395" t="str">
        <f t="shared" si="87"/>
        <v/>
      </c>
      <c r="CW395" t="s">
        <v>132</v>
      </c>
      <c r="CX395" s="37">
        <v>46087</v>
      </c>
      <c r="CY395" t="str">
        <f>IFERROR("S"&amp;(IF(_xlfn.ISOWEEKNUM(CX395)&gt;0,_xlfn.ISOWEEKNUM(CX395),_xlfn.CONCAT("0",_xlfn.ISOWEEKNUM(CX395))))&amp;"_"&amp;(YEAR(CX395+26-(_xlfn.ISOWEEKNUM(CX395)))),"")</f>
        <v>S10_2026</v>
      </c>
      <c r="CZ395" t="s">
        <v>132</v>
      </c>
      <c r="DB395" t="s">
        <v>132</v>
      </c>
      <c r="DC395" t="s">
        <v>120</v>
      </c>
    </row>
    <row r="396" spans="1:107" x14ac:dyDescent="0.35">
      <c r="A396" t="s">
        <v>1469</v>
      </c>
      <c r="B396" s="10" t="str">
        <f t="shared" si="77"/>
        <v>S12_2026</v>
      </c>
      <c r="C396" s="10" t="str">
        <f t="shared" si="83"/>
        <v>S11_2026</v>
      </c>
      <c r="D396" s="37">
        <v>46099</v>
      </c>
      <c r="E396" s="36" t="s">
        <v>123</v>
      </c>
      <c r="F396" s="69">
        <v>47</v>
      </c>
      <c r="G396" s="36" t="s">
        <v>564</v>
      </c>
      <c r="H396" s="36" t="s">
        <v>835</v>
      </c>
      <c r="I396" s="36"/>
      <c r="J396" s="36" t="s">
        <v>114</v>
      </c>
      <c r="K396" s="37">
        <v>46098</v>
      </c>
      <c r="L396" s="36" t="s">
        <v>126</v>
      </c>
      <c r="M396" s="36" t="s">
        <v>977</v>
      </c>
      <c r="N396" s="36" t="s">
        <v>1364</v>
      </c>
      <c r="O396" s="36" t="s">
        <v>971</v>
      </c>
      <c r="P396" s="36" t="s">
        <v>1362</v>
      </c>
      <c r="Q396" s="36" t="s">
        <v>977</v>
      </c>
      <c r="R396" s="37">
        <v>46091</v>
      </c>
      <c r="S396" s="37">
        <v>46091</v>
      </c>
      <c r="T396" s="37">
        <v>46094</v>
      </c>
      <c r="V396" s="36" t="s">
        <v>114</v>
      </c>
      <c r="W396" s="36" t="s">
        <v>114</v>
      </c>
      <c r="X396" s="36" t="s">
        <v>114</v>
      </c>
      <c r="Y396" s="36" t="s">
        <v>114</v>
      </c>
      <c r="Z396" s="36" t="s">
        <v>114</v>
      </c>
      <c r="AA396" s="36" t="s">
        <v>114</v>
      </c>
      <c r="AB396" s="36" t="s">
        <v>114</v>
      </c>
      <c r="AD396" s="36"/>
      <c r="AE396" s="36" t="s">
        <v>114</v>
      </c>
      <c r="AF396" s="36" t="s">
        <v>114</v>
      </c>
      <c r="AG396" s="36"/>
      <c r="AH396" s="36"/>
      <c r="AI396" s="36"/>
      <c r="AJ396" s="36"/>
      <c r="AK396" s="36" t="s">
        <v>132</v>
      </c>
      <c r="AL396" s="36"/>
      <c r="AM396" s="36" t="s">
        <v>132</v>
      </c>
      <c r="AN396" s="36" t="s">
        <v>114</v>
      </c>
      <c r="AO396" s="36"/>
      <c r="AP396" s="36" t="s">
        <v>132</v>
      </c>
      <c r="AQ396" s="36" t="s">
        <v>132</v>
      </c>
      <c r="AR396" s="36" t="s">
        <v>1470</v>
      </c>
      <c r="AS396" s="37">
        <v>46104</v>
      </c>
      <c r="AT396" s="36"/>
      <c r="AU396" s="36" t="s">
        <v>114</v>
      </c>
      <c r="AV396" t="s">
        <v>134</v>
      </c>
      <c r="AW396" t="s">
        <v>152</v>
      </c>
      <c r="AX396" s="36"/>
      <c r="AY396" t="s">
        <v>135</v>
      </c>
      <c r="AZ396" s="36"/>
      <c r="BA396" s="36"/>
      <c r="BB396" s="36" t="s">
        <v>114</v>
      </c>
      <c r="BC396" s="37">
        <v>46099</v>
      </c>
      <c r="BD396" s="36" t="s">
        <v>1471</v>
      </c>
      <c r="BF396" s="36" t="s">
        <v>1364</v>
      </c>
      <c r="BG396" s="36" t="s">
        <v>449</v>
      </c>
      <c r="BH396" s="36"/>
      <c r="BI396" s="37">
        <v>46104</v>
      </c>
      <c r="BJ396" t="str">
        <f t="shared" si="76"/>
        <v>S13_2026</v>
      </c>
      <c r="BK396" s="36" t="s">
        <v>137</v>
      </c>
      <c r="BL396" t="str">
        <f t="shared" si="78"/>
        <v>S12_2026</v>
      </c>
      <c r="BM396" s="36" t="s">
        <v>159</v>
      </c>
      <c r="BN396" s="37">
        <v>46104</v>
      </c>
      <c r="BO396" s="36" t="str">
        <f t="shared" si="80"/>
        <v>S13_2026</v>
      </c>
      <c r="BP396" s="36" t="s">
        <v>114</v>
      </c>
      <c r="BQ396" s="36" t="s">
        <v>450</v>
      </c>
      <c r="BR396" s="36" t="s">
        <v>451</v>
      </c>
      <c r="BS396" t="s">
        <v>132</v>
      </c>
      <c r="CI396" t="s">
        <v>119</v>
      </c>
      <c r="CK396" t="s">
        <v>138</v>
      </c>
      <c r="CP396" s="37">
        <v>46098</v>
      </c>
      <c r="CQ396" t="s">
        <v>132</v>
      </c>
      <c r="CR396">
        <f t="shared" si="84"/>
        <v>5</v>
      </c>
      <c r="CS396">
        <f t="shared" si="85"/>
        <v>0</v>
      </c>
      <c r="CT396">
        <f t="shared" si="88"/>
        <v>7</v>
      </c>
      <c r="CU396">
        <f t="shared" si="86"/>
        <v>0</v>
      </c>
      <c r="CV396">
        <f t="shared" si="87"/>
        <v>13</v>
      </c>
      <c r="CW396" t="s">
        <v>132</v>
      </c>
      <c r="CX396" s="37">
        <v>46091</v>
      </c>
      <c r="CY396" t="str">
        <f t="shared" ref="CY396:CY459" si="89">IFERROR("S"&amp;(IF(_xlfn.ISOWEEKNUM(CX396)&gt;0,_xlfn.ISOWEEKNUM(CX396),_xlfn.CONCAT("0",_xlfn.ISOWEEKNUM(CX396))))&amp;"_"&amp;(YEAR(CX396+26-(_xlfn.ISOWEEKNUM(CX396)))),"")</f>
        <v>S11_2026</v>
      </c>
      <c r="CZ396" t="s">
        <v>132</v>
      </c>
      <c r="DB396" t="s">
        <v>132</v>
      </c>
      <c r="DC396" t="s">
        <v>139</v>
      </c>
    </row>
    <row r="397" spans="1:107" x14ac:dyDescent="0.35">
      <c r="A397" t="s">
        <v>1472</v>
      </c>
      <c r="B397" s="10" t="str">
        <f t="shared" si="77"/>
        <v>S12_2026</v>
      </c>
      <c r="C397" s="10" t="str">
        <f t="shared" si="83"/>
        <v>S11_2026</v>
      </c>
      <c r="D397" s="37">
        <v>46099</v>
      </c>
      <c r="E397" s="19" t="s">
        <v>106</v>
      </c>
      <c r="F397" s="69">
        <v>7</v>
      </c>
      <c r="G397" s="36" t="s">
        <v>107</v>
      </c>
      <c r="H397" s="36" t="s">
        <v>835</v>
      </c>
      <c r="I397" s="36"/>
      <c r="J397" s="36" t="s">
        <v>114</v>
      </c>
      <c r="K397" s="37">
        <v>46098</v>
      </c>
      <c r="L397" s="36" t="s">
        <v>126</v>
      </c>
      <c r="M397" s="36" t="s">
        <v>977</v>
      </c>
      <c r="N397" s="36" t="s">
        <v>1364</v>
      </c>
      <c r="O397" s="36" t="s">
        <v>971</v>
      </c>
      <c r="P397" s="36" t="s">
        <v>1473</v>
      </c>
      <c r="Q397" s="36" t="s">
        <v>1084</v>
      </c>
      <c r="R397" s="37">
        <v>46095</v>
      </c>
      <c r="S397" s="37">
        <v>46095</v>
      </c>
      <c r="T397" s="37">
        <v>46097</v>
      </c>
      <c r="V397" s="36" t="s">
        <v>114</v>
      </c>
      <c r="W397" s="36" t="s">
        <v>114</v>
      </c>
      <c r="X397" s="36" t="s">
        <v>114</v>
      </c>
      <c r="Y397" s="36" t="s">
        <v>132</v>
      </c>
      <c r="Z397" s="36" t="s">
        <v>132</v>
      </c>
      <c r="AA397" s="36" t="s">
        <v>132</v>
      </c>
      <c r="AB397" s="36" t="s">
        <v>132</v>
      </c>
      <c r="AD397" s="36"/>
      <c r="AE397" s="36" t="s">
        <v>114</v>
      </c>
      <c r="AF397" s="36" t="s">
        <v>114</v>
      </c>
      <c r="AG397" s="36" t="s">
        <v>132</v>
      </c>
      <c r="AH397" s="36" t="s">
        <v>132</v>
      </c>
      <c r="AI397" s="36"/>
      <c r="AJ397" s="36"/>
      <c r="AK397" s="36" t="s">
        <v>132</v>
      </c>
      <c r="AL397" s="36"/>
      <c r="AM397" s="36" t="s">
        <v>132</v>
      </c>
      <c r="AN397" s="36" t="s">
        <v>132</v>
      </c>
      <c r="AO397" s="36"/>
      <c r="AP397" s="36" t="s">
        <v>114</v>
      </c>
      <c r="AQ397" s="36" t="s">
        <v>132</v>
      </c>
      <c r="AR397" s="36" t="s">
        <v>1474</v>
      </c>
      <c r="AS397" s="37">
        <v>46104</v>
      </c>
      <c r="AT397" s="36"/>
      <c r="AU397" s="36" t="s">
        <v>114</v>
      </c>
      <c r="AV397" s="36" t="s">
        <v>115</v>
      </c>
      <c r="AW397" s="36"/>
      <c r="AX397" s="36"/>
      <c r="AY397" s="36"/>
      <c r="AZ397" s="36"/>
      <c r="BA397" s="36"/>
      <c r="BB397" s="36" t="s">
        <v>114</v>
      </c>
      <c r="BC397" s="37">
        <v>46099</v>
      </c>
      <c r="BD397" s="36" t="s">
        <v>1471</v>
      </c>
      <c r="BF397" s="36" t="s">
        <v>1475</v>
      </c>
      <c r="BG397" s="36" t="s">
        <v>449</v>
      </c>
      <c r="BH397" s="36"/>
      <c r="BI397" s="36"/>
      <c r="BJ397" t="str">
        <f t="shared" si="76"/>
        <v/>
      </c>
      <c r="BK397" s="36" t="s">
        <v>137</v>
      </c>
      <c r="BL397" t="str">
        <f t="shared" si="78"/>
        <v>S12_2026</v>
      </c>
      <c r="BM397" s="36" t="s">
        <v>159</v>
      </c>
      <c r="BN397" s="37">
        <v>46104</v>
      </c>
      <c r="BO397" s="36" t="str">
        <f t="shared" si="80"/>
        <v>S13_2026</v>
      </c>
      <c r="BP397" s="36" t="s">
        <v>114</v>
      </c>
      <c r="BQ397" s="36" t="s">
        <v>450</v>
      </c>
      <c r="BR397" s="36" t="s">
        <v>142</v>
      </c>
      <c r="BS397" s="36" t="s">
        <v>132</v>
      </c>
      <c r="CI397" t="s">
        <v>119</v>
      </c>
      <c r="CP397" s="37">
        <v>46098</v>
      </c>
      <c r="CQ397" t="s">
        <v>132</v>
      </c>
      <c r="CR397">
        <f t="shared" si="84"/>
        <v>5</v>
      </c>
      <c r="CS397">
        <f t="shared" si="85"/>
        <v>0</v>
      </c>
      <c r="CT397">
        <f t="shared" si="88"/>
        <v>3</v>
      </c>
      <c r="CU397">
        <f t="shared" si="86"/>
        <v>0</v>
      </c>
      <c r="CV397" t="str">
        <f t="shared" si="87"/>
        <v/>
      </c>
      <c r="CW397" t="s">
        <v>132</v>
      </c>
      <c r="CX397" s="37">
        <v>46095</v>
      </c>
      <c r="CY397" t="str">
        <f t="shared" si="89"/>
        <v>S11_2026</v>
      </c>
      <c r="CZ397" t="s">
        <v>132</v>
      </c>
      <c r="DB397" t="s">
        <v>132</v>
      </c>
      <c r="DC397" t="s">
        <v>120</v>
      </c>
    </row>
    <row r="398" spans="1:107" x14ac:dyDescent="0.35">
      <c r="A398" t="s">
        <v>1476</v>
      </c>
      <c r="B398" s="10" t="str">
        <f t="shared" si="77"/>
        <v>S12_2026</v>
      </c>
      <c r="C398" s="10" t="str">
        <f t="shared" si="83"/>
        <v>S11_2026</v>
      </c>
      <c r="D398" s="37">
        <v>46099</v>
      </c>
      <c r="E398" s="36" t="s">
        <v>123</v>
      </c>
      <c r="F398" s="69">
        <v>9</v>
      </c>
      <c r="G398" s="36" t="s">
        <v>107</v>
      </c>
      <c r="H398" s="36" t="s">
        <v>835</v>
      </c>
      <c r="I398" s="36"/>
      <c r="J398" s="36" t="s">
        <v>132</v>
      </c>
      <c r="K398" s="36"/>
      <c r="L398" s="36" t="s">
        <v>126</v>
      </c>
      <c r="M398" s="36" t="s">
        <v>127</v>
      </c>
      <c r="N398" s="36" t="s">
        <v>202</v>
      </c>
      <c r="O398" s="36" t="s">
        <v>1477</v>
      </c>
      <c r="P398" s="36" t="s">
        <v>1478</v>
      </c>
      <c r="Q398" s="36" t="s">
        <v>215</v>
      </c>
      <c r="R398" s="37">
        <v>46090</v>
      </c>
      <c r="S398" s="36"/>
      <c r="T398" s="37">
        <v>46090</v>
      </c>
      <c r="V398" s="36" t="s">
        <v>114</v>
      </c>
      <c r="W398" s="36" t="s">
        <v>114</v>
      </c>
      <c r="X398" s="36" t="s">
        <v>114</v>
      </c>
      <c r="Y398" s="36" t="s">
        <v>114</v>
      </c>
      <c r="Z398" s="36" t="s">
        <v>114</v>
      </c>
      <c r="AA398" s="36" t="s">
        <v>114</v>
      </c>
      <c r="AB398" s="36" t="s">
        <v>114</v>
      </c>
      <c r="AD398" s="36"/>
      <c r="AE398" s="36" t="s">
        <v>132</v>
      </c>
      <c r="AF398" s="36" t="s">
        <v>114</v>
      </c>
      <c r="AG398" s="36" t="s">
        <v>132</v>
      </c>
      <c r="AH398" s="36" t="s">
        <v>132</v>
      </c>
      <c r="AI398" s="36" t="s">
        <v>132</v>
      </c>
      <c r="AJ398" s="36" t="s">
        <v>132</v>
      </c>
      <c r="AK398" s="36" t="s">
        <v>132</v>
      </c>
      <c r="AL398" s="36"/>
      <c r="AM398" s="36" t="s">
        <v>132</v>
      </c>
      <c r="AN398" s="36" t="s">
        <v>132</v>
      </c>
      <c r="AO398" s="36"/>
      <c r="AP398" s="36" t="s">
        <v>132</v>
      </c>
      <c r="AQ398" s="36" t="s">
        <v>132</v>
      </c>
      <c r="AR398" s="36" t="s">
        <v>1479</v>
      </c>
      <c r="AS398" s="37">
        <v>46100</v>
      </c>
      <c r="AT398" s="36"/>
      <c r="AU398" s="36" t="s">
        <v>114</v>
      </c>
      <c r="AV398" s="36" t="s">
        <v>115</v>
      </c>
      <c r="AW398" s="36"/>
      <c r="AX398" s="36"/>
      <c r="AY398" s="36"/>
      <c r="AZ398" s="36"/>
      <c r="BA398" s="36"/>
      <c r="BB398" s="36" t="s">
        <v>114</v>
      </c>
      <c r="BC398" s="37">
        <v>46097</v>
      </c>
      <c r="BD398" s="36" t="s">
        <v>1471</v>
      </c>
      <c r="BF398" s="36" t="s">
        <v>1049</v>
      </c>
      <c r="BG398" s="36" t="s">
        <v>449</v>
      </c>
      <c r="BH398" s="36"/>
      <c r="BI398" s="36"/>
      <c r="BJ398" t="str">
        <f t="shared" si="76"/>
        <v/>
      </c>
      <c r="BK398" s="36" t="s">
        <v>137</v>
      </c>
      <c r="BL398" t="str">
        <f t="shared" si="78"/>
        <v>S12_2026</v>
      </c>
      <c r="BM398" s="36" t="s">
        <v>159</v>
      </c>
      <c r="BN398" s="37">
        <v>46104</v>
      </c>
      <c r="BO398" s="36" t="str">
        <f t="shared" si="80"/>
        <v>S13_2026</v>
      </c>
      <c r="BP398" s="36" t="s">
        <v>114</v>
      </c>
      <c r="BQ398" s="36" t="s">
        <v>450</v>
      </c>
      <c r="BR398" s="36" t="s">
        <v>142</v>
      </c>
      <c r="BS398" s="36" t="s">
        <v>132</v>
      </c>
      <c r="CI398" t="s">
        <v>119</v>
      </c>
      <c r="CP398" s="37">
        <v>46099</v>
      </c>
      <c r="CQ398" t="s">
        <v>132</v>
      </c>
      <c r="CR398">
        <f t="shared" si="84"/>
        <v>3</v>
      </c>
      <c r="CS398">
        <f t="shared" si="85"/>
        <v>4</v>
      </c>
      <c r="CT398">
        <f t="shared" si="88"/>
        <v>9</v>
      </c>
      <c r="CU398" t="str">
        <f t="shared" si="86"/>
        <v/>
      </c>
      <c r="CV398" t="str">
        <f t="shared" si="87"/>
        <v/>
      </c>
      <c r="CW398" t="s">
        <v>132</v>
      </c>
      <c r="CX398" s="37">
        <v>46090</v>
      </c>
      <c r="CY398" t="str">
        <f t="shared" si="89"/>
        <v>S11_2026</v>
      </c>
      <c r="CZ398" t="s">
        <v>132</v>
      </c>
      <c r="DB398" t="s">
        <v>132</v>
      </c>
      <c r="DC398" t="s">
        <v>120</v>
      </c>
    </row>
    <row r="399" spans="1:107" x14ac:dyDescent="0.35">
      <c r="A399" s="36" t="s">
        <v>1480</v>
      </c>
      <c r="B399" s="10" t="str">
        <f t="shared" si="77"/>
        <v>S12_2026</v>
      </c>
      <c r="C399" s="10" t="str">
        <f t="shared" si="83"/>
        <v>S11_2026</v>
      </c>
      <c r="D399" s="37">
        <v>46100</v>
      </c>
      <c r="E399" s="19" t="s">
        <v>106</v>
      </c>
      <c r="F399" s="69">
        <v>32</v>
      </c>
      <c r="G399" s="36" t="s">
        <v>323</v>
      </c>
      <c r="H399" s="36" t="s">
        <v>835</v>
      </c>
      <c r="I399" s="36"/>
      <c r="J399" s="36" t="s">
        <v>132</v>
      </c>
      <c r="K399" s="36"/>
      <c r="L399" s="36" t="s">
        <v>126</v>
      </c>
      <c r="M399" s="36" t="s">
        <v>146</v>
      </c>
      <c r="N399" s="36" t="s">
        <v>147</v>
      </c>
      <c r="O399" s="36" t="s">
        <v>1481</v>
      </c>
      <c r="P399" s="36" t="s">
        <v>1482</v>
      </c>
      <c r="Q399" s="36" t="s">
        <v>146</v>
      </c>
      <c r="R399" s="37">
        <v>46096</v>
      </c>
      <c r="S399" s="37">
        <v>46096</v>
      </c>
      <c r="T399" s="37">
        <v>46096</v>
      </c>
      <c r="V399" s="36" t="s">
        <v>114</v>
      </c>
      <c r="W399" s="36" t="s">
        <v>114</v>
      </c>
      <c r="X399" s="36" t="s">
        <v>114</v>
      </c>
      <c r="Y399" s="36" t="s">
        <v>114</v>
      </c>
      <c r="Z399" s="36" t="s">
        <v>114</v>
      </c>
      <c r="AB399" s="36"/>
      <c r="AC399" s="36"/>
      <c r="AD399" s="36"/>
      <c r="AE399" s="36" t="s">
        <v>114</v>
      </c>
      <c r="AF399" s="36" t="s">
        <v>132</v>
      </c>
      <c r="AG399" s="36" t="s">
        <v>114</v>
      </c>
      <c r="AH399" s="36" t="s">
        <v>132</v>
      </c>
      <c r="AI399" s="36" t="s">
        <v>132</v>
      </c>
      <c r="AK399" s="36" t="s">
        <v>114</v>
      </c>
      <c r="AL399" s="36"/>
      <c r="AM399" s="36" t="s">
        <v>114</v>
      </c>
      <c r="AN399" s="36" t="s">
        <v>132</v>
      </c>
      <c r="AO399" s="36"/>
      <c r="AP399" s="36" t="s">
        <v>132</v>
      </c>
      <c r="AQ399" s="36" t="s">
        <v>132</v>
      </c>
      <c r="AR399" s="36" t="s">
        <v>1483</v>
      </c>
      <c r="AS399" s="37">
        <v>46099</v>
      </c>
      <c r="AU399" s="36" t="s">
        <v>114</v>
      </c>
      <c r="AV399" s="36" t="s">
        <v>115</v>
      </c>
      <c r="AW399" s="36"/>
      <c r="AX399" s="36"/>
      <c r="AY399" s="36"/>
      <c r="AZ399" s="36"/>
      <c r="BA399" s="36"/>
      <c r="BB399" s="36" t="s">
        <v>114</v>
      </c>
      <c r="BC399" s="37">
        <v>46098</v>
      </c>
      <c r="BD399" s="36" t="s">
        <v>1471</v>
      </c>
      <c r="BE399" s="36">
        <v>696351374</v>
      </c>
      <c r="BF399" s="36" t="s">
        <v>1042</v>
      </c>
      <c r="BG399" s="36" t="s">
        <v>449</v>
      </c>
      <c r="BH399" s="36"/>
      <c r="BI399" s="36"/>
      <c r="BJ399" t="str">
        <f t="shared" si="76"/>
        <v/>
      </c>
      <c r="BK399" s="36" t="s">
        <v>137</v>
      </c>
      <c r="BL399" t="str">
        <f t="shared" si="78"/>
        <v>S12_2026</v>
      </c>
      <c r="BM399" s="36" t="s">
        <v>159</v>
      </c>
      <c r="BN399" s="37">
        <v>46104</v>
      </c>
      <c r="BO399" s="36" t="str">
        <f t="shared" si="80"/>
        <v>S13_2026</v>
      </c>
      <c r="BP399" s="36" t="s">
        <v>114</v>
      </c>
      <c r="BQ399" s="36" t="s">
        <v>450</v>
      </c>
      <c r="BR399" s="36" t="s">
        <v>142</v>
      </c>
      <c r="BS399" s="36" t="s">
        <v>132</v>
      </c>
      <c r="CI399" t="s">
        <v>119</v>
      </c>
      <c r="CP399" s="11">
        <v>46098</v>
      </c>
      <c r="CQ399" t="s">
        <v>132</v>
      </c>
      <c r="CR399">
        <f t="shared" si="84"/>
        <v>1</v>
      </c>
      <c r="CS399">
        <f t="shared" si="85"/>
        <v>5</v>
      </c>
      <c r="CT399">
        <f t="shared" si="88"/>
        <v>2</v>
      </c>
      <c r="CU399" t="str">
        <f t="shared" si="86"/>
        <v/>
      </c>
      <c r="CV399" t="str">
        <f t="shared" si="87"/>
        <v/>
      </c>
      <c r="CW399" t="s">
        <v>132</v>
      </c>
      <c r="CX399" s="11">
        <v>46096</v>
      </c>
      <c r="CY399" t="str">
        <f t="shared" si="89"/>
        <v>S11_2026</v>
      </c>
      <c r="CZ399" t="s">
        <v>132</v>
      </c>
      <c r="DB399" t="s">
        <v>132</v>
      </c>
      <c r="DC399" t="s">
        <v>120</v>
      </c>
    </row>
    <row r="400" spans="1:107" x14ac:dyDescent="0.35">
      <c r="A400" s="36" t="s">
        <v>1484</v>
      </c>
      <c r="B400" s="10" t="str">
        <f t="shared" si="77"/>
        <v>S13_2026</v>
      </c>
      <c r="C400" s="10" t="str">
        <f t="shared" si="83"/>
        <v>S11_2026</v>
      </c>
      <c r="D400" s="11">
        <v>46104</v>
      </c>
      <c r="E400" s="36" t="s">
        <v>123</v>
      </c>
      <c r="F400" s="69">
        <v>33</v>
      </c>
      <c r="G400" s="36" t="s">
        <v>1485</v>
      </c>
      <c r="H400" s="36" t="s">
        <v>835</v>
      </c>
      <c r="I400" s="36"/>
      <c r="J400" s="36" t="s">
        <v>132</v>
      </c>
      <c r="K400" s="36"/>
      <c r="L400" s="36" t="s">
        <v>126</v>
      </c>
      <c r="M400" s="36" t="s">
        <v>1486</v>
      </c>
      <c r="N400" s="36" t="s">
        <v>1487</v>
      </c>
      <c r="O400" s="36" t="s">
        <v>1488</v>
      </c>
      <c r="P400" s="36" t="s">
        <v>1489</v>
      </c>
      <c r="Q400" s="36" t="s">
        <v>1486</v>
      </c>
      <c r="R400" s="37">
        <v>46091</v>
      </c>
      <c r="S400" s="37">
        <v>46091</v>
      </c>
      <c r="T400" s="37">
        <v>46092</v>
      </c>
      <c r="V400" s="36" t="s">
        <v>114</v>
      </c>
      <c r="W400" s="36" t="s">
        <v>114</v>
      </c>
      <c r="X400" s="36" t="s">
        <v>114</v>
      </c>
      <c r="Y400" s="36" t="s">
        <v>114</v>
      </c>
      <c r="Z400" s="36" t="s">
        <v>132</v>
      </c>
      <c r="AA400" s="36" t="s">
        <v>114</v>
      </c>
      <c r="AB400" s="36" t="s">
        <v>114</v>
      </c>
      <c r="AD400" s="36"/>
      <c r="AE400" s="36" t="s">
        <v>114</v>
      </c>
      <c r="AF400" s="36" t="s">
        <v>114</v>
      </c>
      <c r="AG400" s="36" t="s">
        <v>114</v>
      </c>
      <c r="AH400" s="36" t="s">
        <v>132</v>
      </c>
      <c r="AI400" s="36" t="s">
        <v>132</v>
      </c>
      <c r="AJ400" t="s">
        <v>132</v>
      </c>
      <c r="AK400" s="36" t="s">
        <v>114</v>
      </c>
      <c r="AL400" s="36"/>
      <c r="AM400" s="36" t="s">
        <v>132</v>
      </c>
      <c r="AN400" s="36" t="s">
        <v>132</v>
      </c>
      <c r="AO400" s="36"/>
      <c r="AP400" s="36" t="s">
        <v>132</v>
      </c>
      <c r="AQ400" s="36" t="s">
        <v>132</v>
      </c>
      <c r="AR400" t="s">
        <v>1490</v>
      </c>
      <c r="AS400" s="37">
        <v>46100</v>
      </c>
      <c r="AT400" s="36"/>
      <c r="AU400" s="36" t="s">
        <v>114</v>
      </c>
      <c r="AV400" s="36" t="s">
        <v>115</v>
      </c>
      <c r="AY400" s="36"/>
      <c r="AZ400" s="36"/>
      <c r="BA400" s="36"/>
      <c r="BB400" s="36" t="s">
        <v>114</v>
      </c>
      <c r="BC400" s="37">
        <v>46099</v>
      </c>
      <c r="BD400" s="36" t="s">
        <v>1491</v>
      </c>
      <c r="BF400" s="36" t="s">
        <v>1487</v>
      </c>
      <c r="BG400" s="36" t="s">
        <v>449</v>
      </c>
      <c r="BH400" s="36"/>
      <c r="BI400" s="37"/>
      <c r="BJ400" t="str">
        <f t="shared" si="76"/>
        <v/>
      </c>
      <c r="BK400" s="36" t="s">
        <v>137</v>
      </c>
      <c r="BL400" t="str">
        <f t="shared" si="78"/>
        <v>S12_2026</v>
      </c>
      <c r="BM400" s="36" t="s">
        <v>159</v>
      </c>
      <c r="BN400" s="37">
        <v>46104</v>
      </c>
      <c r="BO400" s="36" t="str">
        <f t="shared" si="80"/>
        <v>S13_2026</v>
      </c>
      <c r="BP400" s="36" t="s">
        <v>114</v>
      </c>
      <c r="BQ400" s="36" t="s">
        <v>450</v>
      </c>
      <c r="BR400" s="36" t="s">
        <v>451</v>
      </c>
      <c r="BS400" s="36" t="s">
        <v>132</v>
      </c>
      <c r="CI400" t="s">
        <v>119</v>
      </c>
      <c r="CP400" s="11">
        <v>46099</v>
      </c>
      <c r="CQ400" t="s">
        <v>132</v>
      </c>
      <c r="CR400">
        <f t="shared" si="84"/>
        <v>1</v>
      </c>
      <c r="CS400">
        <f t="shared" si="85"/>
        <v>4</v>
      </c>
      <c r="CT400">
        <f t="shared" si="88"/>
        <v>8</v>
      </c>
      <c r="CU400" t="str">
        <f t="shared" si="86"/>
        <v/>
      </c>
      <c r="CV400" t="str">
        <f t="shared" si="87"/>
        <v/>
      </c>
      <c r="CW400" t="s">
        <v>132</v>
      </c>
      <c r="CX400" s="11">
        <v>46091</v>
      </c>
      <c r="CY400" t="str">
        <f t="shared" si="89"/>
        <v>S11_2026</v>
      </c>
      <c r="CZ400" t="s">
        <v>132</v>
      </c>
      <c r="DB400" t="s">
        <v>132</v>
      </c>
      <c r="DC400" t="s">
        <v>120</v>
      </c>
    </row>
    <row r="401" spans="1:107" x14ac:dyDescent="0.35">
      <c r="A401" t="s">
        <v>1492</v>
      </c>
      <c r="B401" s="10" t="str">
        <f t="shared" si="77"/>
        <v>S13_2026</v>
      </c>
      <c r="C401" s="10" t="str">
        <f t="shared" si="83"/>
        <v>S12_2026</v>
      </c>
      <c r="D401" s="11">
        <v>46106</v>
      </c>
      <c r="E401" s="19" t="s">
        <v>106</v>
      </c>
      <c r="F401" s="69">
        <v>14</v>
      </c>
      <c r="G401" s="36" t="s">
        <v>1197</v>
      </c>
      <c r="H401" s="36" t="s">
        <v>835</v>
      </c>
      <c r="J401" s="36" t="s">
        <v>114</v>
      </c>
      <c r="K401" s="11">
        <v>46101</v>
      </c>
      <c r="L401" s="36" t="s">
        <v>722</v>
      </c>
      <c r="M401" s="36" t="s">
        <v>1255</v>
      </c>
      <c r="O401" s="36" t="s">
        <v>1493</v>
      </c>
      <c r="P401" s="36" t="s">
        <v>1494</v>
      </c>
      <c r="Q401" s="36" t="s">
        <v>651</v>
      </c>
      <c r="R401" s="11">
        <v>46098</v>
      </c>
      <c r="S401" s="11">
        <v>46098</v>
      </c>
      <c r="T401" s="11">
        <v>46098</v>
      </c>
      <c r="V401" s="36" t="s">
        <v>132</v>
      </c>
      <c r="W401" s="36" t="s">
        <v>132</v>
      </c>
      <c r="X401" s="36" t="s">
        <v>114</v>
      </c>
      <c r="Y401" s="36" t="s">
        <v>132</v>
      </c>
      <c r="Z401" s="36" t="s">
        <v>132</v>
      </c>
      <c r="AA401" s="36" t="s">
        <v>132</v>
      </c>
      <c r="AB401" s="36" t="s">
        <v>114</v>
      </c>
      <c r="AC401" s="36" t="s">
        <v>1495</v>
      </c>
      <c r="AE401" s="36" t="s">
        <v>114</v>
      </c>
      <c r="AF401" s="36" t="s">
        <v>114</v>
      </c>
      <c r="AG401" s="36" t="s">
        <v>114</v>
      </c>
      <c r="AH401" s="36" t="s">
        <v>132</v>
      </c>
      <c r="AI401" s="36" t="s">
        <v>132</v>
      </c>
      <c r="AJ401" s="36" t="s">
        <v>132</v>
      </c>
      <c r="AK401" s="36" t="s">
        <v>114</v>
      </c>
      <c r="AL401" s="36"/>
      <c r="AM401" s="36" t="s">
        <v>114</v>
      </c>
      <c r="AN401" s="36" t="s">
        <v>114</v>
      </c>
      <c r="AO401" s="36"/>
      <c r="AP401" s="36" t="s">
        <v>142</v>
      </c>
      <c r="AQ401" s="36" t="s">
        <v>132</v>
      </c>
      <c r="AR401" s="36" t="s">
        <v>1496</v>
      </c>
      <c r="AS401" s="11">
        <v>46108</v>
      </c>
      <c r="AU401" s="36" t="s">
        <v>114</v>
      </c>
      <c r="AV401" s="36" t="s">
        <v>115</v>
      </c>
      <c r="BB401" s="36" t="s">
        <v>114</v>
      </c>
      <c r="BC401" s="11">
        <v>46102</v>
      </c>
      <c r="BD401" s="36" t="s">
        <v>284</v>
      </c>
      <c r="BE401">
        <v>670782412</v>
      </c>
      <c r="BF401" t="s">
        <v>1497</v>
      </c>
      <c r="BG401" s="36" t="s">
        <v>449</v>
      </c>
      <c r="BJ401" t="str">
        <f t="shared" ref="BJ401:BJ464" si="90">IFERROR("S"&amp;(IF(_xlfn.ISOWEEKNUM(BI401)&gt;0,_xlfn.ISOWEEKNUM(BI401),_xlfn.CONCAT("0",_xlfn.ISOWEEKNUM(BI401))))&amp;"_"&amp;(YEAR(BI401+26-(_xlfn.ISOWEEKNUM(BI401)))),"")</f>
        <v/>
      </c>
      <c r="BK401" t="s">
        <v>187</v>
      </c>
      <c r="BL401" t="str">
        <f t="shared" si="78"/>
        <v>S12_2026</v>
      </c>
      <c r="BM401" s="36" t="s">
        <v>159</v>
      </c>
      <c r="BN401" s="11">
        <v>46112</v>
      </c>
      <c r="BO401" s="36" t="str">
        <f t="shared" si="80"/>
        <v>S14_2026</v>
      </c>
      <c r="BP401" s="36" t="s">
        <v>114</v>
      </c>
      <c r="BQ401" s="36" t="s">
        <v>450</v>
      </c>
      <c r="BR401" s="36" t="s">
        <v>142</v>
      </c>
      <c r="BS401" s="36" t="s">
        <v>132</v>
      </c>
      <c r="CI401" t="s">
        <v>119</v>
      </c>
      <c r="CP401" s="11">
        <v>46101</v>
      </c>
      <c r="CQ401" t="s">
        <v>132</v>
      </c>
      <c r="CR401">
        <f t="shared" si="84"/>
        <v>6</v>
      </c>
      <c r="CS401">
        <f t="shared" si="85"/>
        <v>4</v>
      </c>
      <c r="CT401">
        <f t="shared" si="88"/>
        <v>3</v>
      </c>
      <c r="CU401">
        <f t="shared" si="86"/>
        <v>0</v>
      </c>
      <c r="CV401" t="str">
        <f t="shared" si="87"/>
        <v/>
      </c>
      <c r="CW401" t="s">
        <v>132</v>
      </c>
      <c r="CX401" s="11">
        <v>46098</v>
      </c>
      <c r="CY401" t="str">
        <f t="shared" si="89"/>
        <v>S12_2026</v>
      </c>
      <c r="CZ401" t="s">
        <v>132</v>
      </c>
      <c r="DB401" t="s">
        <v>132</v>
      </c>
      <c r="DC401" t="s">
        <v>120</v>
      </c>
    </row>
    <row r="402" spans="1:107" x14ac:dyDescent="0.35">
      <c r="A402" t="s">
        <v>1498</v>
      </c>
      <c r="B402" s="10" t="str">
        <f t="shared" si="77"/>
        <v>S13_2026</v>
      </c>
      <c r="C402" s="10" t="str">
        <f t="shared" si="83"/>
        <v>S10_2026</v>
      </c>
      <c r="D402" s="11">
        <v>46106</v>
      </c>
      <c r="E402" s="19" t="s">
        <v>106</v>
      </c>
      <c r="F402" s="69">
        <v>20</v>
      </c>
      <c r="G402" s="36" t="s">
        <v>1197</v>
      </c>
      <c r="H402" s="36" t="s">
        <v>108</v>
      </c>
      <c r="J402" s="36" t="s">
        <v>132</v>
      </c>
      <c r="L402" s="36" t="s">
        <v>722</v>
      </c>
      <c r="M402" s="36" t="s">
        <v>1255</v>
      </c>
      <c r="O402" s="36" t="s">
        <v>184</v>
      </c>
      <c r="P402" s="36" t="s">
        <v>1499</v>
      </c>
      <c r="Q402" s="36" t="s">
        <v>1255</v>
      </c>
      <c r="R402" s="11">
        <v>46084</v>
      </c>
      <c r="S402" s="11">
        <v>46084</v>
      </c>
      <c r="T402" s="11">
        <v>46084</v>
      </c>
      <c r="V402" s="36" t="s">
        <v>114</v>
      </c>
      <c r="W402" s="36" t="s">
        <v>114</v>
      </c>
      <c r="X402" s="36" t="s">
        <v>114</v>
      </c>
      <c r="Y402" s="36" t="s">
        <v>114</v>
      </c>
      <c r="Z402" s="36" t="s">
        <v>114</v>
      </c>
      <c r="AA402" s="36" t="s">
        <v>114</v>
      </c>
      <c r="AB402" s="36" t="s">
        <v>114</v>
      </c>
      <c r="AE402" s="36" t="s">
        <v>114</v>
      </c>
      <c r="AF402" s="36" t="s">
        <v>114</v>
      </c>
      <c r="AG402" s="36" t="s">
        <v>132</v>
      </c>
      <c r="AH402" s="36" t="s">
        <v>132</v>
      </c>
      <c r="AI402" s="36" t="s">
        <v>132</v>
      </c>
      <c r="AJ402" s="36" t="s">
        <v>132</v>
      </c>
      <c r="AK402" s="36" t="s">
        <v>114</v>
      </c>
      <c r="AL402" s="36"/>
      <c r="AM402" s="36" t="s">
        <v>142</v>
      </c>
      <c r="AN402" s="36" t="s">
        <v>132</v>
      </c>
      <c r="AO402" s="36"/>
      <c r="AP402" s="36" t="s">
        <v>142</v>
      </c>
      <c r="AQ402" s="36" t="s">
        <v>132</v>
      </c>
      <c r="AR402" s="36" t="s">
        <v>1500</v>
      </c>
      <c r="AS402" s="11">
        <v>46108</v>
      </c>
      <c r="AU402" s="36" t="s">
        <v>114</v>
      </c>
      <c r="AV402" s="36" t="s">
        <v>115</v>
      </c>
      <c r="BB402" s="36" t="s">
        <v>114</v>
      </c>
      <c r="BC402" s="11">
        <v>46105</v>
      </c>
      <c r="BD402" s="36" t="s">
        <v>455</v>
      </c>
      <c r="BF402" t="s">
        <v>1501</v>
      </c>
      <c r="BG402" s="36" t="s">
        <v>449</v>
      </c>
      <c r="BJ402" t="str">
        <f t="shared" si="90"/>
        <v/>
      </c>
      <c r="BK402" t="s">
        <v>187</v>
      </c>
      <c r="BL402" t="str">
        <f t="shared" si="78"/>
        <v>S13_2026</v>
      </c>
      <c r="BM402" s="36" t="s">
        <v>159</v>
      </c>
      <c r="BN402" s="11">
        <v>46112</v>
      </c>
      <c r="BO402" s="36" t="str">
        <f t="shared" si="80"/>
        <v>S14_2026</v>
      </c>
      <c r="BP402" s="36" t="s">
        <v>114</v>
      </c>
      <c r="BQ402" s="36" t="s">
        <v>450</v>
      </c>
      <c r="BR402" s="36" t="s">
        <v>142</v>
      </c>
      <c r="BS402" s="36" t="s">
        <v>132</v>
      </c>
      <c r="CI402" t="s">
        <v>119</v>
      </c>
      <c r="CP402" s="11">
        <v>46105</v>
      </c>
      <c r="CQ402" t="s">
        <v>132</v>
      </c>
      <c r="CR402">
        <f t="shared" si="84"/>
        <v>3</v>
      </c>
      <c r="CS402">
        <f t="shared" si="85"/>
        <v>4</v>
      </c>
      <c r="CT402">
        <f t="shared" si="88"/>
        <v>21</v>
      </c>
      <c r="CU402" t="str">
        <f t="shared" si="86"/>
        <v/>
      </c>
      <c r="CV402" t="str">
        <f t="shared" si="87"/>
        <v/>
      </c>
      <c r="CW402" t="s">
        <v>132</v>
      </c>
      <c r="CX402" s="11">
        <v>46084</v>
      </c>
      <c r="CY402" t="str">
        <f t="shared" si="89"/>
        <v>S10_2026</v>
      </c>
      <c r="CZ402" t="s">
        <v>132</v>
      </c>
      <c r="DB402" t="s">
        <v>132</v>
      </c>
      <c r="DC402" t="s">
        <v>120</v>
      </c>
    </row>
    <row r="403" spans="1:107" x14ac:dyDescent="0.35">
      <c r="A403" t="s">
        <v>1502</v>
      </c>
      <c r="B403" s="10" t="str">
        <f t="shared" si="77"/>
        <v>S13_2026</v>
      </c>
      <c r="C403" s="10" t="str">
        <f t="shared" si="83"/>
        <v>S11_2026</v>
      </c>
      <c r="D403" s="11">
        <v>46106</v>
      </c>
      <c r="E403" s="19" t="s">
        <v>106</v>
      </c>
      <c r="F403" s="69">
        <v>19</v>
      </c>
      <c r="G403" s="36" t="s">
        <v>1197</v>
      </c>
      <c r="H403" s="36" t="s">
        <v>108</v>
      </c>
      <c r="J403" s="36" t="s">
        <v>132</v>
      </c>
      <c r="L403" s="36" t="s">
        <v>722</v>
      </c>
      <c r="M403" s="36" t="s">
        <v>1255</v>
      </c>
      <c r="O403" s="36" t="s">
        <v>184</v>
      </c>
      <c r="P403" s="36" t="s">
        <v>1503</v>
      </c>
      <c r="Q403" s="36" t="s">
        <v>1255</v>
      </c>
      <c r="R403" s="11">
        <v>46094</v>
      </c>
      <c r="S403" s="11">
        <v>46094</v>
      </c>
      <c r="T403" s="11">
        <v>46094</v>
      </c>
      <c r="V403" s="36" t="s">
        <v>114</v>
      </c>
      <c r="W403" s="36" t="s">
        <v>114</v>
      </c>
      <c r="X403" s="36" t="s">
        <v>114</v>
      </c>
      <c r="Y403" s="36" t="s">
        <v>114</v>
      </c>
      <c r="Z403" s="36" t="s">
        <v>114</v>
      </c>
      <c r="AA403" s="36" t="s">
        <v>114</v>
      </c>
      <c r="AB403" s="36" t="s">
        <v>114</v>
      </c>
      <c r="AE403" s="36" t="s">
        <v>114</v>
      </c>
      <c r="AF403" s="36" t="s">
        <v>114</v>
      </c>
      <c r="AG403" s="36" t="s">
        <v>132</v>
      </c>
      <c r="AH403" s="36" t="s">
        <v>132</v>
      </c>
      <c r="AI403" s="36" t="s">
        <v>132</v>
      </c>
      <c r="AJ403" s="36" t="s">
        <v>132</v>
      </c>
      <c r="AK403" s="36" t="s">
        <v>132</v>
      </c>
      <c r="AL403" s="36"/>
      <c r="AM403" s="36" t="s">
        <v>114</v>
      </c>
      <c r="AN403" s="36" t="s">
        <v>132</v>
      </c>
      <c r="AO403" s="36"/>
      <c r="AP403" s="36" t="s">
        <v>142</v>
      </c>
      <c r="AQ403" s="36" t="s">
        <v>132</v>
      </c>
      <c r="AR403" s="36" t="s">
        <v>1504</v>
      </c>
      <c r="AS403" s="11">
        <v>46108</v>
      </c>
      <c r="AU403" s="36" t="s">
        <v>114</v>
      </c>
      <c r="AV403" s="36" t="s">
        <v>115</v>
      </c>
      <c r="BB403" s="36" t="s">
        <v>114</v>
      </c>
      <c r="BC403" s="11">
        <v>46105</v>
      </c>
      <c r="BD403" s="36" t="s">
        <v>455</v>
      </c>
      <c r="BE403">
        <v>679934718</v>
      </c>
      <c r="BF403" t="s">
        <v>1501</v>
      </c>
      <c r="BG403" s="36" t="s">
        <v>449</v>
      </c>
      <c r="BJ403" t="str">
        <f t="shared" si="90"/>
        <v/>
      </c>
      <c r="BK403" t="s">
        <v>187</v>
      </c>
      <c r="BL403" t="str">
        <f t="shared" si="78"/>
        <v>S13_2026</v>
      </c>
      <c r="BM403" s="36" t="s">
        <v>159</v>
      </c>
      <c r="BN403" s="11">
        <v>46112</v>
      </c>
      <c r="BO403" s="36" t="str">
        <f t="shared" si="80"/>
        <v>S14_2026</v>
      </c>
      <c r="BP403" s="36" t="s">
        <v>114</v>
      </c>
      <c r="BQ403" s="36" t="s">
        <v>450</v>
      </c>
      <c r="BR403" s="36" t="s">
        <v>142</v>
      </c>
      <c r="BS403" s="36" t="s">
        <v>132</v>
      </c>
      <c r="CI403" t="s">
        <v>119</v>
      </c>
      <c r="CP403" s="11">
        <v>46105</v>
      </c>
      <c r="CQ403" t="s">
        <v>132</v>
      </c>
      <c r="CR403">
        <f t="shared" si="84"/>
        <v>3</v>
      </c>
      <c r="CS403">
        <f t="shared" si="85"/>
        <v>4</v>
      </c>
      <c r="CT403">
        <f t="shared" si="88"/>
        <v>11</v>
      </c>
      <c r="CU403" t="str">
        <f t="shared" si="86"/>
        <v/>
      </c>
      <c r="CV403" t="str">
        <f t="shared" si="87"/>
        <v/>
      </c>
      <c r="CW403" t="s">
        <v>132</v>
      </c>
      <c r="CX403" s="11">
        <v>46094</v>
      </c>
      <c r="CY403" t="str">
        <f t="shared" si="89"/>
        <v>S11_2026</v>
      </c>
      <c r="CZ403" t="s">
        <v>132</v>
      </c>
      <c r="DB403" t="s">
        <v>132</v>
      </c>
      <c r="DC403" t="s">
        <v>120</v>
      </c>
    </row>
    <row r="404" spans="1:107" x14ac:dyDescent="0.35">
      <c r="A404" t="s">
        <v>1505</v>
      </c>
      <c r="B404" s="10" t="str">
        <f t="shared" si="77"/>
        <v>S13_2026</v>
      </c>
      <c r="C404" s="10" t="str">
        <f t="shared" si="83"/>
        <v>S11_2026</v>
      </c>
      <c r="D404" s="11">
        <v>46106</v>
      </c>
      <c r="E404" s="19" t="s">
        <v>106</v>
      </c>
      <c r="F404" s="69">
        <v>16</v>
      </c>
      <c r="G404" s="36" t="s">
        <v>1197</v>
      </c>
      <c r="H404" s="36" t="s">
        <v>108</v>
      </c>
      <c r="J404" s="36" t="s">
        <v>132</v>
      </c>
      <c r="L404" s="36" t="s">
        <v>722</v>
      </c>
      <c r="M404" s="36" t="s">
        <v>1255</v>
      </c>
      <c r="O404" s="36" t="s">
        <v>184</v>
      </c>
      <c r="P404" s="36" t="s">
        <v>758</v>
      </c>
      <c r="Q404" s="36" t="s">
        <v>1255</v>
      </c>
      <c r="R404" s="11">
        <v>46090</v>
      </c>
      <c r="S404" s="11">
        <v>46090</v>
      </c>
      <c r="T404" s="11">
        <v>46090</v>
      </c>
      <c r="V404" s="36" t="s">
        <v>114</v>
      </c>
      <c r="W404" s="36" t="s">
        <v>114</v>
      </c>
      <c r="X404" s="36" t="s">
        <v>114</v>
      </c>
      <c r="Y404" s="36" t="s">
        <v>114</v>
      </c>
      <c r="Z404" s="36" t="s">
        <v>114</v>
      </c>
      <c r="AA404" s="36" t="s">
        <v>114</v>
      </c>
      <c r="AB404" s="36" t="s">
        <v>114</v>
      </c>
      <c r="AE404" s="36" t="s">
        <v>114</v>
      </c>
      <c r="AF404" s="36" t="s">
        <v>132</v>
      </c>
      <c r="AG404" s="36" t="s">
        <v>132</v>
      </c>
      <c r="AH404" s="36" t="s">
        <v>132</v>
      </c>
      <c r="AI404" s="36" t="s">
        <v>132</v>
      </c>
      <c r="AJ404" s="36" t="s">
        <v>132</v>
      </c>
      <c r="AK404" s="36" t="s">
        <v>132</v>
      </c>
      <c r="AL404" s="36"/>
      <c r="AM404" s="36" t="s">
        <v>114</v>
      </c>
      <c r="AN404" s="36" t="s">
        <v>132</v>
      </c>
      <c r="AO404" s="36"/>
      <c r="AP404" s="36" t="s">
        <v>142</v>
      </c>
      <c r="AQ404" s="36" t="s">
        <v>132</v>
      </c>
      <c r="AR404" s="36" t="s">
        <v>1506</v>
      </c>
      <c r="AS404" s="11">
        <v>46108</v>
      </c>
      <c r="AU404" s="36" t="s">
        <v>114</v>
      </c>
      <c r="AV404" s="36" t="s">
        <v>115</v>
      </c>
      <c r="BB404" s="36" t="s">
        <v>114</v>
      </c>
      <c r="BC404" s="11">
        <v>46105</v>
      </c>
      <c r="BD404" s="36" t="s">
        <v>455</v>
      </c>
      <c r="BE404">
        <v>574771964</v>
      </c>
      <c r="BF404" t="s">
        <v>1501</v>
      </c>
      <c r="BG404" s="36" t="s">
        <v>449</v>
      </c>
      <c r="BJ404" t="str">
        <f t="shared" si="90"/>
        <v/>
      </c>
      <c r="BK404" t="s">
        <v>187</v>
      </c>
      <c r="BL404" t="str">
        <f t="shared" si="78"/>
        <v>S13_2026</v>
      </c>
      <c r="BM404" s="36" t="s">
        <v>159</v>
      </c>
      <c r="BN404" s="11">
        <v>46112</v>
      </c>
      <c r="BO404" s="36" t="str">
        <f t="shared" si="80"/>
        <v>S14_2026</v>
      </c>
      <c r="BP404" s="36" t="s">
        <v>114</v>
      </c>
      <c r="BQ404" s="36" t="s">
        <v>450</v>
      </c>
      <c r="BR404" s="36" t="s">
        <v>142</v>
      </c>
      <c r="BS404" s="36" t="s">
        <v>132</v>
      </c>
      <c r="CI404" t="s">
        <v>119</v>
      </c>
      <c r="CP404" s="11">
        <v>46105</v>
      </c>
      <c r="CQ404" t="s">
        <v>132</v>
      </c>
      <c r="CR404">
        <f t="shared" si="84"/>
        <v>3</v>
      </c>
      <c r="CS404">
        <f t="shared" si="85"/>
        <v>4</v>
      </c>
      <c r="CT404">
        <f t="shared" si="88"/>
        <v>15</v>
      </c>
      <c r="CU404" t="str">
        <f t="shared" si="86"/>
        <v/>
      </c>
      <c r="CV404" t="str">
        <f t="shared" si="87"/>
        <v/>
      </c>
      <c r="CW404" t="s">
        <v>132</v>
      </c>
      <c r="CX404" s="11">
        <v>46090</v>
      </c>
      <c r="CY404" t="str">
        <f t="shared" si="89"/>
        <v>S11_2026</v>
      </c>
      <c r="CZ404" t="s">
        <v>132</v>
      </c>
      <c r="DB404" t="s">
        <v>132</v>
      </c>
      <c r="DC404" t="s">
        <v>120</v>
      </c>
    </row>
    <row r="405" spans="1:107" x14ac:dyDescent="0.35">
      <c r="A405" t="s">
        <v>1507</v>
      </c>
      <c r="B405" s="10" t="str">
        <f t="shared" si="77"/>
        <v>S13_2026</v>
      </c>
      <c r="C405" s="10" t="str">
        <f t="shared" si="83"/>
        <v>S11_2026</v>
      </c>
      <c r="D405" s="11">
        <v>46106</v>
      </c>
      <c r="E405" s="19" t="s">
        <v>106</v>
      </c>
      <c r="F405" s="69">
        <v>13</v>
      </c>
      <c r="G405" s="36" t="s">
        <v>1197</v>
      </c>
      <c r="H405" s="36" t="s">
        <v>108</v>
      </c>
      <c r="J405" s="36" t="s">
        <v>132</v>
      </c>
      <c r="L405" s="36" t="s">
        <v>722</v>
      </c>
      <c r="M405" s="36" t="s">
        <v>1255</v>
      </c>
      <c r="O405" s="36" t="s">
        <v>184</v>
      </c>
      <c r="P405" s="36" t="s">
        <v>1508</v>
      </c>
      <c r="Q405" s="36" t="s">
        <v>1255</v>
      </c>
      <c r="R405" s="11">
        <v>46096</v>
      </c>
      <c r="S405" s="11">
        <v>46096</v>
      </c>
      <c r="T405" s="11">
        <v>46096</v>
      </c>
      <c r="V405" s="36" t="s">
        <v>114</v>
      </c>
      <c r="W405" s="36" t="s">
        <v>114</v>
      </c>
      <c r="X405" s="36" t="s">
        <v>114</v>
      </c>
      <c r="Y405" s="36" t="s">
        <v>114</v>
      </c>
      <c r="Z405" s="36" t="s">
        <v>114</v>
      </c>
      <c r="AA405" s="36" t="s">
        <v>114</v>
      </c>
      <c r="AB405" s="36" t="s">
        <v>114</v>
      </c>
      <c r="AE405" s="36" t="s">
        <v>114</v>
      </c>
      <c r="AF405" s="36" t="s">
        <v>114</v>
      </c>
      <c r="AG405" s="36" t="s">
        <v>132</v>
      </c>
      <c r="AH405" s="36" t="s">
        <v>132</v>
      </c>
      <c r="AI405" s="36" t="s">
        <v>132</v>
      </c>
      <c r="AJ405" s="36" t="s">
        <v>132</v>
      </c>
      <c r="AK405" s="36" t="s">
        <v>132</v>
      </c>
      <c r="AL405" s="36"/>
      <c r="AM405" s="36" t="s">
        <v>114</v>
      </c>
      <c r="AN405" s="36" t="s">
        <v>142</v>
      </c>
      <c r="AO405" s="36"/>
      <c r="AP405" s="36" t="s">
        <v>142</v>
      </c>
      <c r="AQ405" s="36" t="s">
        <v>132</v>
      </c>
      <c r="AR405" s="36" t="s">
        <v>1509</v>
      </c>
      <c r="AS405" s="11">
        <v>46108</v>
      </c>
      <c r="AU405" s="36" t="s">
        <v>114</v>
      </c>
      <c r="AV405" s="36" t="s">
        <v>115</v>
      </c>
      <c r="BB405" s="36" t="s">
        <v>114</v>
      </c>
      <c r="BC405" s="11">
        <v>46105</v>
      </c>
      <c r="BD405" s="36" t="s">
        <v>1440</v>
      </c>
      <c r="BE405">
        <v>651585500</v>
      </c>
      <c r="BF405" t="s">
        <v>1501</v>
      </c>
      <c r="BG405" t="s">
        <v>449</v>
      </c>
      <c r="BJ405" t="str">
        <f t="shared" si="90"/>
        <v/>
      </c>
      <c r="BK405" t="s">
        <v>187</v>
      </c>
      <c r="BL405" t="str">
        <f t="shared" si="78"/>
        <v>S13_2026</v>
      </c>
      <c r="BM405" s="36" t="s">
        <v>159</v>
      </c>
      <c r="BN405" s="11">
        <v>46112</v>
      </c>
      <c r="BO405" s="36" t="str">
        <f t="shared" si="80"/>
        <v>S14_2026</v>
      </c>
      <c r="BP405" t="s">
        <v>114</v>
      </c>
      <c r="BQ405" t="s">
        <v>450</v>
      </c>
      <c r="BR405" s="36" t="s">
        <v>142</v>
      </c>
      <c r="BS405" s="36" t="s">
        <v>132</v>
      </c>
      <c r="CI405" t="s">
        <v>119</v>
      </c>
      <c r="CP405" s="11">
        <v>46105</v>
      </c>
      <c r="CQ405" t="s">
        <v>132</v>
      </c>
      <c r="CR405">
        <f t="shared" si="84"/>
        <v>3</v>
      </c>
      <c r="CS405">
        <f t="shared" si="85"/>
        <v>4</v>
      </c>
      <c r="CT405">
        <f t="shared" si="88"/>
        <v>9</v>
      </c>
      <c r="CU405" t="str">
        <f t="shared" si="86"/>
        <v/>
      </c>
      <c r="CV405" t="str">
        <f t="shared" si="87"/>
        <v/>
      </c>
      <c r="CW405" t="s">
        <v>132</v>
      </c>
      <c r="CX405" s="11">
        <v>46096</v>
      </c>
      <c r="CY405" t="str">
        <f t="shared" si="89"/>
        <v>S11_2026</v>
      </c>
      <c r="CZ405" t="s">
        <v>132</v>
      </c>
      <c r="DB405" t="s">
        <v>132</v>
      </c>
      <c r="DC405" t="s">
        <v>120</v>
      </c>
    </row>
    <row r="406" spans="1:107" x14ac:dyDescent="0.35">
      <c r="A406" t="s">
        <v>1510</v>
      </c>
      <c r="B406" s="10" t="str">
        <f t="shared" si="77"/>
        <v>S13_2026</v>
      </c>
      <c r="C406" s="10" t="str">
        <f t="shared" si="83"/>
        <v>S12_2026</v>
      </c>
      <c r="D406" s="11">
        <v>46106</v>
      </c>
      <c r="E406" s="36" t="s">
        <v>123</v>
      </c>
      <c r="F406" s="69">
        <v>5</v>
      </c>
      <c r="G406" s="36" t="s">
        <v>107</v>
      </c>
      <c r="H406" s="36" t="s">
        <v>108</v>
      </c>
      <c r="J406" s="36" t="s">
        <v>132</v>
      </c>
      <c r="L406" s="36" t="s">
        <v>117</v>
      </c>
      <c r="M406" s="36" t="s">
        <v>626</v>
      </c>
      <c r="N406" s="36" t="s">
        <v>1511</v>
      </c>
      <c r="O406" s="36" t="s">
        <v>184</v>
      </c>
      <c r="P406" s="36" t="s">
        <v>1512</v>
      </c>
      <c r="Q406" s="36" t="s">
        <v>626</v>
      </c>
      <c r="R406" s="11">
        <v>46100</v>
      </c>
      <c r="S406" s="11">
        <v>46100</v>
      </c>
      <c r="T406" s="11">
        <v>46100</v>
      </c>
      <c r="V406" s="36" t="s">
        <v>114</v>
      </c>
      <c r="W406" s="36" t="s">
        <v>114</v>
      </c>
      <c r="X406" s="36" t="s">
        <v>114</v>
      </c>
      <c r="Y406" s="36" t="s">
        <v>114</v>
      </c>
      <c r="Z406" s="36" t="s">
        <v>114</v>
      </c>
      <c r="AA406" s="36" t="s">
        <v>114</v>
      </c>
      <c r="AB406" s="36" t="s">
        <v>114</v>
      </c>
      <c r="AE406" s="36" t="s">
        <v>114</v>
      </c>
      <c r="AF406" s="36" t="s">
        <v>132</v>
      </c>
      <c r="AG406" s="36" t="s">
        <v>132</v>
      </c>
      <c r="AH406" s="36" t="s">
        <v>132</v>
      </c>
      <c r="AI406" s="36" t="s">
        <v>132</v>
      </c>
      <c r="AJ406" s="36" t="s">
        <v>132</v>
      </c>
      <c r="AK406" s="36" t="s">
        <v>132</v>
      </c>
      <c r="AL406" s="36"/>
      <c r="AM406" s="36" t="s">
        <v>114</v>
      </c>
      <c r="AN406" s="36" t="s">
        <v>132</v>
      </c>
      <c r="AO406" s="36"/>
      <c r="AP406" s="36" t="s">
        <v>132</v>
      </c>
      <c r="AQ406" s="36" t="s">
        <v>132</v>
      </c>
      <c r="AR406" s="36" t="s">
        <v>1513</v>
      </c>
      <c r="AS406" s="11">
        <v>46106</v>
      </c>
      <c r="AU406" s="36" t="s">
        <v>114</v>
      </c>
      <c r="AV406" s="36" t="s">
        <v>115</v>
      </c>
      <c r="BB406" s="36" t="s">
        <v>114</v>
      </c>
      <c r="BC406" s="11">
        <v>46102</v>
      </c>
      <c r="BD406" s="36" t="s">
        <v>116</v>
      </c>
      <c r="BE406">
        <v>696625950</v>
      </c>
      <c r="BF406" t="s">
        <v>1511</v>
      </c>
      <c r="BG406" t="s">
        <v>449</v>
      </c>
      <c r="BJ406" t="str">
        <f t="shared" si="90"/>
        <v/>
      </c>
      <c r="BK406" s="36" t="s">
        <v>117</v>
      </c>
      <c r="BL406" t="str">
        <f t="shared" si="78"/>
        <v>S12_2026</v>
      </c>
      <c r="BM406" s="36" t="s">
        <v>159</v>
      </c>
      <c r="BN406" s="11">
        <v>46108</v>
      </c>
      <c r="BO406" s="36" t="str">
        <f t="shared" si="80"/>
        <v>S13_2026</v>
      </c>
      <c r="BP406" t="s">
        <v>114</v>
      </c>
      <c r="BQ406" t="s">
        <v>450</v>
      </c>
      <c r="BR406" s="36" t="s">
        <v>451</v>
      </c>
      <c r="BS406" s="36" t="s">
        <v>132</v>
      </c>
      <c r="CI406" t="s">
        <v>119</v>
      </c>
      <c r="CP406" s="11">
        <v>46102</v>
      </c>
      <c r="CQ406" t="s">
        <v>132</v>
      </c>
      <c r="CR406">
        <f t="shared" si="84"/>
        <v>4</v>
      </c>
      <c r="CS406">
        <f t="shared" si="85"/>
        <v>2</v>
      </c>
      <c r="CT406">
        <f t="shared" si="88"/>
        <v>2</v>
      </c>
      <c r="CU406" t="str">
        <f t="shared" si="86"/>
        <v/>
      </c>
      <c r="CV406" t="str">
        <f t="shared" si="87"/>
        <v/>
      </c>
      <c r="CW406" t="s">
        <v>132</v>
      </c>
      <c r="CX406" s="11">
        <v>46100</v>
      </c>
      <c r="CY406" t="str">
        <f t="shared" si="89"/>
        <v>S12_2026</v>
      </c>
      <c r="CZ406" t="s">
        <v>132</v>
      </c>
      <c r="DB406" t="s">
        <v>132</v>
      </c>
      <c r="DC406" t="s">
        <v>120</v>
      </c>
    </row>
    <row r="407" spans="1:107" x14ac:dyDescent="0.35">
      <c r="A407" s="36" t="s">
        <v>1514</v>
      </c>
      <c r="B407" s="10" t="str">
        <f t="shared" si="77"/>
        <v>S13_2026</v>
      </c>
      <c r="C407" s="10" t="str">
        <f t="shared" si="83"/>
        <v>S12_2026</v>
      </c>
      <c r="D407" s="37">
        <v>46107</v>
      </c>
      <c r="E407" s="36" t="s">
        <v>106</v>
      </c>
      <c r="F407" s="69">
        <v>34</v>
      </c>
      <c r="G407" s="36" t="s">
        <v>323</v>
      </c>
      <c r="H407" s="36" t="s">
        <v>835</v>
      </c>
      <c r="I407" s="36"/>
      <c r="J407" s="36" t="s">
        <v>114</v>
      </c>
      <c r="K407" s="37">
        <v>46102</v>
      </c>
      <c r="L407" s="36" t="s">
        <v>126</v>
      </c>
      <c r="M407" s="36" t="s">
        <v>292</v>
      </c>
      <c r="N407" s="36" t="s">
        <v>292</v>
      </c>
      <c r="O407" s="36" t="s">
        <v>293</v>
      </c>
      <c r="P407" s="36" t="s">
        <v>292</v>
      </c>
      <c r="Q407" s="36" t="s">
        <v>292</v>
      </c>
      <c r="R407" s="37">
        <v>46099</v>
      </c>
      <c r="S407" s="37">
        <v>46099</v>
      </c>
      <c r="T407" s="37">
        <v>46099</v>
      </c>
      <c r="V407" s="36" t="s">
        <v>114</v>
      </c>
      <c r="W407" s="36" t="s">
        <v>114</v>
      </c>
      <c r="X407" s="36" t="s">
        <v>114</v>
      </c>
      <c r="Y407" s="36" t="s">
        <v>132</v>
      </c>
      <c r="Z407" s="36" t="s">
        <v>114</v>
      </c>
      <c r="AA407" s="36" t="s">
        <v>114</v>
      </c>
      <c r="AB407" s="36" t="s">
        <v>114</v>
      </c>
      <c r="AC407" s="36" t="s">
        <v>1515</v>
      </c>
      <c r="AE407" s="36" t="s">
        <v>114</v>
      </c>
      <c r="AF407" s="36"/>
      <c r="AG407" s="36" t="s">
        <v>114</v>
      </c>
      <c r="AH407" s="36" t="s">
        <v>114</v>
      </c>
      <c r="AI407" s="36"/>
      <c r="AJ407" s="36" t="s">
        <v>984</v>
      </c>
      <c r="AK407" s="36" t="s">
        <v>132</v>
      </c>
      <c r="AL407" s="36"/>
      <c r="AM407" s="36" t="s">
        <v>132</v>
      </c>
      <c r="AN407" s="36" t="s">
        <v>132</v>
      </c>
      <c r="AO407" s="36"/>
      <c r="AP407" s="36" t="s">
        <v>132</v>
      </c>
      <c r="AQ407" s="36" t="s">
        <v>132</v>
      </c>
      <c r="AR407" s="36" t="s">
        <v>1516</v>
      </c>
      <c r="AS407" s="37">
        <v>46106</v>
      </c>
      <c r="AT407" s="36"/>
      <c r="AU407" s="36" t="s">
        <v>114</v>
      </c>
      <c r="AV407" t="s">
        <v>134</v>
      </c>
      <c r="AW407" t="s">
        <v>152</v>
      </c>
      <c r="AX407" s="36"/>
      <c r="AY407" t="s">
        <v>135</v>
      </c>
      <c r="AZ407" s="36"/>
      <c r="BA407" s="36"/>
      <c r="BB407" s="36" t="s">
        <v>114</v>
      </c>
      <c r="BC407" s="37">
        <v>46105</v>
      </c>
      <c r="BD407" s="36" t="s">
        <v>1491</v>
      </c>
      <c r="BE407" s="36"/>
      <c r="BF407" s="36" t="s">
        <v>292</v>
      </c>
      <c r="BG407" s="36" t="s">
        <v>449</v>
      </c>
      <c r="BH407" s="36"/>
      <c r="BI407" s="37">
        <v>46108</v>
      </c>
      <c r="BJ407" t="str">
        <f t="shared" si="90"/>
        <v>S13_2026</v>
      </c>
      <c r="BK407" s="36" t="s">
        <v>137</v>
      </c>
      <c r="BL407" t="str">
        <f t="shared" si="78"/>
        <v>S13_2026</v>
      </c>
      <c r="BM407" s="36" t="s">
        <v>159</v>
      </c>
      <c r="BN407" s="37">
        <v>46108</v>
      </c>
      <c r="BO407" s="36" t="str">
        <f t="shared" si="80"/>
        <v>S13_2026</v>
      </c>
      <c r="BP407" s="36" t="s">
        <v>114</v>
      </c>
      <c r="BQ407" s="36" t="s">
        <v>450</v>
      </c>
      <c r="BR407" s="36" t="s">
        <v>114</v>
      </c>
      <c r="BS407" t="s">
        <v>132</v>
      </c>
      <c r="CI407" t="s">
        <v>119</v>
      </c>
      <c r="CK407" t="s">
        <v>138</v>
      </c>
      <c r="CP407" s="11">
        <v>46105</v>
      </c>
      <c r="CQ407" t="s">
        <v>132</v>
      </c>
      <c r="CR407">
        <f t="shared" si="84"/>
        <v>1</v>
      </c>
      <c r="CS407">
        <f t="shared" si="85"/>
        <v>2</v>
      </c>
      <c r="CT407">
        <f t="shared" si="88"/>
        <v>6</v>
      </c>
      <c r="CU407">
        <f t="shared" si="86"/>
        <v>3</v>
      </c>
      <c r="CV407">
        <f t="shared" si="87"/>
        <v>9</v>
      </c>
      <c r="CW407" t="s">
        <v>114</v>
      </c>
      <c r="CX407" s="37">
        <v>46099</v>
      </c>
      <c r="CY407" t="str">
        <f t="shared" si="89"/>
        <v>S12_2026</v>
      </c>
      <c r="CZ407" t="s">
        <v>132</v>
      </c>
      <c r="DB407" t="s">
        <v>132</v>
      </c>
      <c r="DC407" t="s">
        <v>139</v>
      </c>
    </row>
    <row r="408" spans="1:107" x14ac:dyDescent="0.35">
      <c r="A408" t="s">
        <v>1517</v>
      </c>
      <c r="B408" s="10" t="str">
        <f t="shared" si="77"/>
        <v>S13_2026</v>
      </c>
      <c r="C408" s="10" t="str">
        <f t="shared" si="83"/>
        <v>S12_2026</v>
      </c>
      <c r="D408" s="37">
        <v>46107</v>
      </c>
      <c r="E408" s="36" t="s">
        <v>1466</v>
      </c>
      <c r="F408" s="69">
        <v>28</v>
      </c>
      <c r="G408" s="36" t="s">
        <v>1518</v>
      </c>
      <c r="H408" s="36" t="s">
        <v>835</v>
      </c>
      <c r="I408" s="36"/>
      <c r="J408" s="36" t="s">
        <v>132</v>
      </c>
      <c r="K408" s="36"/>
      <c r="L408" s="36" t="s">
        <v>126</v>
      </c>
      <c r="M408" s="36" t="s">
        <v>1519</v>
      </c>
      <c r="N408" s="36" t="s">
        <v>202</v>
      </c>
      <c r="O408" s="36" t="s">
        <v>1477</v>
      </c>
      <c r="P408" s="36" t="s">
        <v>1520</v>
      </c>
      <c r="Q408" s="36" t="s">
        <v>215</v>
      </c>
      <c r="R408" s="37">
        <v>46102</v>
      </c>
      <c r="S408" s="37">
        <v>46102</v>
      </c>
      <c r="T408" s="37">
        <v>46102</v>
      </c>
      <c r="V408" s="36" t="s">
        <v>132</v>
      </c>
      <c r="W408" s="36" t="s">
        <v>132</v>
      </c>
      <c r="X408" s="36" t="s">
        <v>132</v>
      </c>
      <c r="Y408" s="36" t="s">
        <v>132</v>
      </c>
      <c r="Z408" s="36" t="s">
        <v>132</v>
      </c>
      <c r="AA408" s="36" t="s">
        <v>132</v>
      </c>
      <c r="AB408" s="36" t="s">
        <v>114</v>
      </c>
      <c r="AC408" s="36" t="s">
        <v>1238</v>
      </c>
      <c r="AE408" s="36" t="s">
        <v>114</v>
      </c>
      <c r="AF408" s="36" t="s">
        <v>132</v>
      </c>
      <c r="AG408" s="36" t="s">
        <v>114</v>
      </c>
      <c r="AH408" s="36" t="s">
        <v>132</v>
      </c>
      <c r="AI408" s="36" t="s">
        <v>132</v>
      </c>
      <c r="AJ408" s="36" t="s">
        <v>132</v>
      </c>
      <c r="AK408" s="36" t="s">
        <v>132</v>
      </c>
      <c r="AL408" s="36"/>
      <c r="AM408" s="36" t="s">
        <v>132</v>
      </c>
      <c r="AN408" s="36" t="s">
        <v>132</v>
      </c>
      <c r="AO408" s="36"/>
      <c r="AP408" s="36" t="s">
        <v>132</v>
      </c>
      <c r="AQ408" s="36" t="s">
        <v>132</v>
      </c>
      <c r="AR408" s="36" t="s">
        <v>1521</v>
      </c>
      <c r="AS408" s="37">
        <v>46108</v>
      </c>
      <c r="AT408" s="36"/>
      <c r="AU408" s="36" t="s">
        <v>114</v>
      </c>
      <c r="AV408" s="36" t="s">
        <v>115</v>
      </c>
      <c r="AW408" s="36"/>
      <c r="AX408" s="36"/>
      <c r="AY408" s="36"/>
      <c r="AZ408" s="36"/>
      <c r="BA408" s="36"/>
      <c r="BB408" s="36" t="s">
        <v>114</v>
      </c>
      <c r="BC408" s="37">
        <v>46105</v>
      </c>
      <c r="BD408" s="36" t="s">
        <v>1471</v>
      </c>
      <c r="BE408" s="36"/>
      <c r="BF408" s="36" t="s">
        <v>610</v>
      </c>
      <c r="BG408" s="36" t="s">
        <v>449</v>
      </c>
      <c r="BH408" s="36"/>
      <c r="BI408" s="36"/>
      <c r="BJ408" t="str">
        <f t="shared" si="90"/>
        <v/>
      </c>
      <c r="BK408" s="36" t="s">
        <v>137</v>
      </c>
      <c r="BL408" t="str">
        <f t="shared" si="78"/>
        <v>S13_2026</v>
      </c>
      <c r="BM408" s="36" t="s">
        <v>159</v>
      </c>
      <c r="BN408" s="37">
        <v>46112</v>
      </c>
      <c r="BO408" s="36" t="str">
        <f t="shared" si="80"/>
        <v>S14_2026</v>
      </c>
      <c r="BP408" s="36" t="s">
        <v>114</v>
      </c>
      <c r="BQ408" s="36" t="s">
        <v>450</v>
      </c>
      <c r="BR408" s="36" t="s">
        <v>451</v>
      </c>
      <c r="BS408" t="s">
        <v>132</v>
      </c>
      <c r="CI408" t="s">
        <v>119</v>
      </c>
      <c r="CP408" s="11">
        <v>46105</v>
      </c>
      <c r="CQ408" t="s">
        <v>132</v>
      </c>
      <c r="CR408">
        <f t="shared" si="84"/>
        <v>3</v>
      </c>
      <c r="CS408">
        <f t="shared" si="85"/>
        <v>4</v>
      </c>
      <c r="CT408">
        <f t="shared" si="88"/>
        <v>3</v>
      </c>
      <c r="CU408" t="str">
        <f t="shared" si="86"/>
        <v/>
      </c>
      <c r="CV408" t="str">
        <f t="shared" si="87"/>
        <v/>
      </c>
      <c r="CW408" t="s">
        <v>132</v>
      </c>
      <c r="CX408" s="37">
        <v>46102</v>
      </c>
      <c r="CY408" t="str">
        <f t="shared" si="89"/>
        <v>S12_2026</v>
      </c>
      <c r="CZ408" t="s">
        <v>132</v>
      </c>
      <c r="DB408" t="s">
        <v>132</v>
      </c>
      <c r="DC408" t="s">
        <v>120</v>
      </c>
    </row>
    <row r="409" spans="1:107" x14ac:dyDescent="0.35">
      <c r="A409" t="s">
        <v>1522</v>
      </c>
      <c r="B409" s="10" t="str">
        <f t="shared" si="77"/>
        <v>S13_2026</v>
      </c>
      <c r="C409" s="10" t="str">
        <f t="shared" si="83"/>
        <v>S12_2026</v>
      </c>
      <c r="D409" s="37">
        <v>46107</v>
      </c>
      <c r="E409" s="36" t="s">
        <v>123</v>
      </c>
      <c r="F409" s="69">
        <v>51</v>
      </c>
      <c r="G409" s="36" t="s">
        <v>1523</v>
      </c>
      <c r="H409" s="36" t="s">
        <v>835</v>
      </c>
      <c r="I409" s="36"/>
      <c r="J409" s="36" t="s">
        <v>132</v>
      </c>
      <c r="K409" s="36"/>
      <c r="L409" s="36" t="s">
        <v>126</v>
      </c>
      <c r="M409" s="36" t="s">
        <v>130</v>
      </c>
      <c r="N409" s="36" t="s">
        <v>1524</v>
      </c>
      <c r="O409" s="36" t="s">
        <v>1525</v>
      </c>
      <c r="P409" s="36" t="s">
        <v>1526</v>
      </c>
      <c r="Q409" s="36" t="s">
        <v>130</v>
      </c>
      <c r="R409" s="37">
        <v>46103</v>
      </c>
      <c r="S409" s="37">
        <v>46103</v>
      </c>
      <c r="T409" s="37">
        <v>46103</v>
      </c>
      <c r="V409" s="36" t="s">
        <v>114</v>
      </c>
      <c r="W409" s="36" t="s">
        <v>114</v>
      </c>
      <c r="X409" s="36" t="s">
        <v>114</v>
      </c>
      <c r="Y409" s="36" t="s">
        <v>114</v>
      </c>
      <c r="Z409" s="36" t="s">
        <v>114</v>
      </c>
      <c r="AA409" s="36"/>
      <c r="AB409" s="36" t="s">
        <v>114</v>
      </c>
      <c r="AC409" s="36"/>
      <c r="AE409" s="36" t="s">
        <v>114</v>
      </c>
      <c r="AF409" s="36"/>
      <c r="AG409" s="36" t="s">
        <v>114</v>
      </c>
      <c r="AH409" s="36"/>
      <c r="AI409" s="36" t="s">
        <v>132</v>
      </c>
      <c r="AJ409" s="36" t="s">
        <v>132</v>
      </c>
      <c r="AK409" s="36" t="s">
        <v>132</v>
      </c>
      <c r="AL409" s="36"/>
      <c r="AM409" s="36" t="s">
        <v>132</v>
      </c>
      <c r="AN409" s="36" t="s">
        <v>114</v>
      </c>
      <c r="AO409" s="36"/>
      <c r="AP409" s="36" t="s">
        <v>132</v>
      </c>
      <c r="AQ409" s="36" t="s">
        <v>132</v>
      </c>
      <c r="AR409" s="36" t="s">
        <v>1527</v>
      </c>
      <c r="AS409" s="37">
        <v>46108</v>
      </c>
      <c r="AT409" s="36"/>
      <c r="AU409" s="36" t="s">
        <v>114</v>
      </c>
      <c r="AV409" t="s">
        <v>134</v>
      </c>
      <c r="AW409" t="s">
        <v>152</v>
      </c>
      <c r="AX409" s="36"/>
      <c r="AY409" t="s">
        <v>135</v>
      </c>
      <c r="AZ409" s="36"/>
      <c r="BA409" s="36"/>
      <c r="BB409" s="36" t="s">
        <v>114</v>
      </c>
      <c r="BC409" s="37">
        <v>46106</v>
      </c>
      <c r="BD409" s="36" t="s">
        <v>1528</v>
      </c>
      <c r="BE409" s="36"/>
      <c r="BF409" s="36" t="s">
        <v>1524</v>
      </c>
      <c r="BG409" s="36" t="s">
        <v>449</v>
      </c>
      <c r="BH409" s="36"/>
      <c r="BI409" s="37">
        <v>46112</v>
      </c>
      <c r="BJ409" t="str">
        <f t="shared" si="90"/>
        <v>S14_2026</v>
      </c>
      <c r="BK409" s="36" t="s">
        <v>137</v>
      </c>
      <c r="BL409" t="str">
        <f t="shared" si="78"/>
        <v>S13_2026</v>
      </c>
      <c r="BM409" s="36" t="s">
        <v>159</v>
      </c>
      <c r="BN409" s="37">
        <v>46112</v>
      </c>
      <c r="BO409" s="36" t="str">
        <f t="shared" si="80"/>
        <v>S14_2026</v>
      </c>
      <c r="BP409" s="36" t="s">
        <v>114</v>
      </c>
      <c r="BQ409" s="36" t="s">
        <v>450</v>
      </c>
      <c r="BR409" s="36" t="s">
        <v>451</v>
      </c>
      <c r="BS409" t="s">
        <v>132</v>
      </c>
      <c r="CI409" t="s">
        <v>119</v>
      </c>
      <c r="CK409" t="s">
        <v>138</v>
      </c>
      <c r="CP409" s="11">
        <v>46104</v>
      </c>
      <c r="CQ409" t="s">
        <v>132</v>
      </c>
      <c r="CR409">
        <f t="shared" si="84"/>
        <v>2</v>
      </c>
      <c r="CS409">
        <f t="shared" si="85"/>
        <v>4</v>
      </c>
      <c r="CT409">
        <f t="shared" si="88"/>
        <v>1</v>
      </c>
      <c r="CU409" t="str">
        <f t="shared" si="86"/>
        <v/>
      </c>
      <c r="CV409">
        <f t="shared" si="87"/>
        <v>9</v>
      </c>
      <c r="CW409" t="s">
        <v>132</v>
      </c>
      <c r="CX409" s="37">
        <v>46103</v>
      </c>
      <c r="CY409" t="str">
        <f t="shared" si="89"/>
        <v>S12_2026</v>
      </c>
      <c r="CZ409" t="s">
        <v>132</v>
      </c>
      <c r="DB409" t="s">
        <v>132</v>
      </c>
      <c r="DC409" t="s">
        <v>139</v>
      </c>
    </row>
    <row r="410" spans="1:107" x14ac:dyDescent="0.35">
      <c r="A410" s="36" t="s">
        <v>1529</v>
      </c>
      <c r="B410" s="10" t="str">
        <f t="shared" si="77"/>
        <v>S13_2026</v>
      </c>
      <c r="C410" s="10" t="str">
        <f t="shared" si="83"/>
        <v>S11_2026</v>
      </c>
      <c r="D410" s="11">
        <v>46107</v>
      </c>
      <c r="E410" s="36" t="s">
        <v>106</v>
      </c>
      <c r="F410" s="69">
        <v>20</v>
      </c>
      <c r="G410" s="36" t="s">
        <v>1197</v>
      </c>
      <c r="H410" s="36" t="s">
        <v>835</v>
      </c>
      <c r="J410" s="36" t="s">
        <v>132</v>
      </c>
      <c r="L410" s="36" t="s">
        <v>170</v>
      </c>
      <c r="M410" s="36" t="s">
        <v>776</v>
      </c>
      <c r="N410" s="36" t="s">
        <v>1380</v>
      </c>
      <c r="O410" s="36" t="s">
        <v>184</v>
      </c>
      <c r="P410" s="36" t="s">
        <v>1530</v>
      </c>
      <c r="Q410" s="36" t="s">
        <v>776</v>
      </c>
      <c r="R410" s="11">
        <v>46091</v>
      </c>
      <c r="S410" s="11">
        <v>46091</v>
      </c>
      <c r="T410" s="11">
        <v>46091</v>
      </c>
      <c r="V410" s="36" t="s">
        <v>114</v>
      </c>
      <c r="W410" s="36" t="s">
        <v>114</v>
      </c>
      <c r="X410" s="36" t="s">
        <v>114</v>
      </c>
      <c r="Y410" s="36" t="s">
        <v>114</v>
      </c>
      <c r="Z410" s="36" t="s">
        <v>114</v>
      </c>
      <c r="AA410" s="36" t="s">
        <v>114</v>
      </c>
      <c r="AB410" s="36" t="s">
        <v>114</v>
      </c>
      <c r="AE410" s="36" t="s">
        <v>132</v>
      </c>
      <c r="AF410" s="36" t="s">
        <v>132</v>
      </c>
      <c r="AG410" s="36" t="s">
        <v>132</v>
      </c>
      <c r="AH410" s="36" t="s">
        <v>132</v>
      </c>
      <c r="AI410" s="36" t="s">
        <v>132</v>
      </c>
      <c r="AJ410" s="36" t="s">
        <v>132</v>
      </c>
      <c r="AK410" s="36" t="s">
        <v>132</v>
      </c>
      <c r="AL410" s="36"/>
      <c r="AM410" s="36" t="s">
        <v>142</v>
      </c>
      <c r="AN410" s="36" t="s">
        <v>142</v>
      </c>
      <c r="AO410" s="36"/>
      <c r="AP410" s="36" t="s">
        <v>132</v>
      </c>
      <c r="AQ410" s="36" t="s">
        <v>132</v>
      </c>
      <c r="AR410" s="36" t="s">
        <v>1531</v>
      </c>
      <c r="AS410" s="11">
        <v>46108</v>
      </c>
      <c r="AU410" s="36" t="s">
        <v>114</v>
      </c>
      <c r="AV410" s="36" t="s">
        <v>115</v>
      </c>
      <c r="BB410" s="36" t="s">
        <v>114</v>
      </c>
      <c r="BC410" s="11">
        <v>46105</v>
      </c>
      <c r="BD410" s="36" t="s">
        <v>455</v>
      </c>
      <c r="BE410">
        <v>653701013</v>
      </c>
      <c r="BF410" s="36" t="s">
        <v>1380</v>
      </c>
      <c r="BG410" s="36" t="s">
        <v>449</v>
      </c>
      <c r="BJ410" t="str">
        <f t="shared" si="90"/>
        <v/>
      </c>
      <c r="BK410" t="s">
        <v>170</v>
      </c>
      <c r="BL410" t="str">
        <f t="shared" si="78"/>
        <v>S13_2026</v>
      </c>
      <c r="BM410" s="36" t="s">
        <v>159</v>
      </c>
      <c r="BN410" s="11">
        <v>46112</v>
      </c>
      <c r="BO410" s="36" t="str">
        <f t="shared" si="80"/>
        <v>S14_2026</v>
      </c>
      <c r="BP410" s="36" t="s">
        <v>114</v>
      </c>
      <c r="BQ410" s="36" t="s">
        <v>450</v>
      </c>
      <c r="BR410" s="36" t="s">
        <v>451</v>
      </c>
      <c r="BS410" t="s">
        <v>132</v>
      </c>
      <c r="CI410" t="s">
        <v>119</v>
      </c>
      <c r="CP410" s="11">
        <v>46105</v>
      </c>
      <c r="CQ410" t="s">
        <v>132</v>
      </c>
      <c r="CR410">
        <f t="shared" si="84"/>
        <v>3</v>
      </c>
      <c r="CS410">
        <f t="shared" si="85"/>
        <v>4</v>
      </c>
      <c r="CT410">
        <f t="shared" si="88"/>
        <v>14</v>
      </c>
      <c r="CU410" t="str">
        <f t="shared" si="86"/>
        <v/>
      </c>
      <c r="CV410" t="str">
        <f t="shared" si="87"/>
        <v/>
      </c>
      <c r="CW410" t="s">
        <v>132</v>
      </c>
      <c r="CX410" s="11">
        <v>46091</v>
      </c>
      <c r="CY410" t="str">
        <f t="shared" si="89"/>
        <v>S11_2026</v>
      </c>
      <c r="CZ410" t="s">
        <v>132</v>
      </c>
      <c r="DB410" t="s">
        <v>132</v>
      </c>
      <c r="DC410" t="s">
        <v>120</v>
      </c>
    </row>
    <row r="411" spans="1:107" x14ac:dyDescent="0.35">
      <c r="A411" s="36" t="s">
        <v>1532</v>
      </c>
      <c r="B411" s="10" t="str">
        <f t="shared" ref="B411:B455" si="91">IFERROR("S"&amp;(IF(_xlfn.ISOWEEKNUM(D411)&gt;0,_xlfn.ISOWEEKNUM(D411),_xlfn.CONCAT("0",_xlfn.ISOWEEKNUM(D411))))&amp;"_"&amp;(YEAR(D411+26-(_xlfn.ISOWEEKNUM(D411)))),"")</f>
        <v>S13_2026</v>
      </c>
      <c r="C411" s="10" t="str">
        <f t="shared" si="83"/>
        <v>S11_2026</v>
      </c>
      <c r="D411" s="11">
        <v>46107</v>
      </c>
      <c r="E411" s="36" t="s">
        <v>106</v>
      </c>
      <c r="F411" s="69">
        <v>6</v>
      </c>
      <c r="G411" s="36" t="s">
        <v>107</v>
      </c>
      <c r="H411" s="36" t="s">
        <v>835</v>
      </c>
      <c r="J411" s="36" t="s">
        <v>132</v>
      </c>
      <c r="L411" s="36" t="s">
        <v>163</v>
      </c>
      <c r="M411" s="36" t="s">
        <v>776</v>
      </c>
      <c r="N411" s="36" t="s">
        <v>1380</v>
      </c>
      <c r="O411" s="36" t="s">
        <v>184</v>
      </c>
      <c r="P411" s="36" t="s">
        <v>1530</v>
      </c>
      <c r="Q411" s="36" t="s">
        <v>776</v>
      </c>
      <c r="R411" s="11">
        <v>46096</v>
      </c>
      <c r="S411" s="11">
        <v>46096</v>
      </c>
      <c r="T411" s="11">
        <v>46096</v>
      </c>
      <c r="V411" s="36" t="s">
        <v>114</v>
      </c>
      <c r="W411" s="36" t="s">
        <v>114</v>
      </c>
      <c r="X411" s="36" t="s">
        <v>114</v>
      </c>
      <c r="Y411" s="36" t="s">
        <v>114</v>
      </c>
      <c r="Z411" s="36" t="s">
        <v>114</v>
      </c>
      <c r="AA411" s="36" t="s">
        <v>114</v>
      </c>
      <c r="AB411" s="36" t="s">
        <v>114</v>
      </c>
      <c r="AE411" s="36" t="s">
        <v>132</v>
      </c>
      <c r="AF411" s="36" t="s">
        <v>132</v>
      </c>
      <c r="AG411" s="36" t="s">
        <v>132</v>
      </c>
      <c r="AH411" s="36" t="s">
        <v>132</v>
      </c>
      <c r="AI411" s="36" t="s">
        <v>132</v>
      </c>
      <c r="AJ411" s="36" t="s">
        <v>132</v>
      </c>
      <c r="AK411" s="36" t="s">
        <v>132</v>
      </c>
      <c r="AL411" s="36"/>
      <c r="AM411" s="36" t="s">
        <v>142</v>
      </c>
      <c r="AN411" s="36" t="s">
        <v>142</v>
      </c>
      <c r="AO411" s="36"/>
      <c r="AP411" s="36" t="s">
        <v>132</v>
      </c>
      <c r="AQ411" s="36" t="s">
        <v>132</v>
      </c>
      <c r="AR411" s="36" t="s">
        <v>1533</v>
      </c>
      <c r="AS411" s="11">
        <v>46108</v>
      </c>
      <c r="AU411" s="36" t="s">
        <v>114</v>
      </c>
      <c r="AV411" s="36" t="s">
        <v>115</v>
      </c>
      <c r="BB411" s="36" t="s">
        <v>114</v>
      </c>
      <c r="BC411" s="11">
        <v>46105</v>
      </c>
      <c r="BD411" s="36" t="s">
        <v>455</v>
      </c>
      <c r="BE411">
        <v>653701013</v>
      </c>
      <c r="BF411" s="36" t="s">
        <v>1380</v>
      </c>
      <c r="BG411" s="36" t="s">
        <v>449</v>
      </c>
      <c r="BJ411" t="str">
        <f t="shared" si="90"/>
        <v/>
      </c>
      <c r="BK411" t="s">
        <v>170</v>
      </c>
      <c r="BL411" t="str">
        <f t="shared" si="78"/>
        <v>S13_2026</v>
      </c>
      <c r="BM411" s="36" t="s">
        <v>159</v>
      </c>
      <c r="BN411" s="11">
        <v>46112</v>
      </c>
      <c r="BO411" s="36" t="str">
        <f t="shared" si="80"/>
        <v>S14_2026</v>
      </c>
      <c r="BP411" s="36" t="s">
        <v>114</v>
      </c>
      <c r="BQ411" s="36" t="s">
        <v>450</v>
      </c>
      <c r="BR411" s="36" t="s">
        <v>451</v>
      </c>
      <c r="BS411" t="s">
        <v>132</v>
      </c>
      <c r="CI411" t="s">
        <v>119</v>
      </c>
      <c r="CP411" s="11">
        <v>46105</v>
      </c>
      <c r="CQ411" t="s">
        <v>132</v>
      </c>
      <c r="CR411">
        <f t="shared" si="84"/>
        <v>3</v>
      </c>
      <c r="CS411">
        <f t="shared" si="85"/>
        <v>4</v>
      </c>
      <c r="CT411">
        <f t="shared" si="88"/>
        <v>9</v>
      </c>
      <c r="CU411" t="str">
        <f t="shared" si="86"/>
        <v/>
      </c>
      <c r="CV411" t="str">
        <f t="shared" si="87"/>
        <v/>
      </c>
      <c r="CW411" t="s">
        <v>132</v>
      </c>
      <c r="CX411" s="11">
        <v>46096</v>
      </c>
      <c r="CY411" t="str">
        <f t="shared" si="89"/>
        <v>S11_2026</v>
      </c>
      <c r="CZ411" t="s">
        <v>132</v>
      </c>
      <c r="DB411" t="s">
        <v>132</v>
      </c>
      <c r="DC411" t="s">
        <v>120</v>
      </c>
    </row>
    <row r="412" spans="1:107" x14ac:dyDescent="0.35">
      <c r="A412" s="36" t="s">
        <v>1534</v>
      </c>
      <c r="B412" s="10" t="str">
        <f t="shared" si="91"/>
        <v>S13_2026</v>
      </c>
      <c r="C412" s="10" t="str">
        <f t="shared" si="83"/>
        <v>S11_2026</v>
      </c>
      <c r="D412" s="11">
        <v>46107</v>
      </c>
      <c r="E412" s="36" t="s">
        <v>106</v>
      </c>
      <c r="F412" s="69">
        <v>12</v>
      </c>
      <c r="G412" s="36" t="s">
        <v>107</v>
      </c>
      <c r="H412" s="36" t="s">
        <v>835</v>
      </c>
      <c r="J412" s="36" t="s">
        <v>132</v>
      </c>
      <c r="L412" s="36" t="s">
        <v>163</v>
      </c>
      <c r="M412" s="36" t="s">
        <v>776</v>
      </c>
      <c r="N412" s="36" t="s">
        <v>1380</v>
      </c>
      <c r="O412" s="36" t="s">
        <v>184</v>
      </c>
      <c r="P412" s="36" t="s">
        <v>1530</v>
      </c>
      <c r="Q412" s="36" t="s">
        <v>776</v>
      </c>
      <c r="R412" s="11">
        <v>46096</v>
      </c>
      <c r="S412" s="11">
        <v>46096</v>
      </c>
      <c r="T412" s="11">
        <v>46096</v>
      </c>
      <c r="V412" s="36" t="s">
        <v>114</v>
      </c>
      <c r="W412" s="36" t="s">
        <v>114</v>
      </c>
      <c r="X412" s="36" t="s">
        <v>114</v>
      </c>
      <c r="Y412" s="36" t="s">
        <v>114</v>
      </c>
      <c r="Z412" s="36" t="s">
        <v>114</v>
      </c>
      <c r="AA412" s="36" t="s">
        <v>114</v>
      </c>
      <c r="AB412" s="36" t="s">
        <v>114</v>
      </c>
      <c r="AE412" s="36" t="s">
        <v>132</v>
      </c>
      <c r="AF412" s="36" t="s">
        <v>132</v>
      </c>
      <c r="AG412" s="36" t="s">
        <v>132</v>
      </c>
      <c r="AH412" s="36" t="s">
        <v>132</v>
      </c>
      <c r="AI412" s="36" t="s">
        <v>132</v>
      </c>
      <c r="AJ412" s="36" t="s">
        <v>132</v>
      </c>
      <c r="AK412" s="36" t="s">
        <v>132</v>
      </c>
      <c r="AL412" s="36"/>
      <c r="AM412" s="36" t="s">
        <v>142</v>
      </c>
      <c r="AN412" s="36" t="s">
        <v>142</v>
      </c>
      <c r="AO412" s="36"/>
      <c r="AP412" s="36" t="s">
        <v>132</v>
      </c>
      <c r="AQ412" s="36" t="s">
        <v>132</v>
      </c>
      <c r="AR412" s="36" t="s">
        <v>1535</v>
      </c>
      <c r="AS412" s="11">
        <v>46108</v>
      </c>
      <c r="AU412" s="36" t="s">
        <v>114</v>
      </c>
      <c r="AV412" s="36" t="s">
        <v>115</v>
      </c>
      <c r="BB412" s="36" t="s">
        <v>114</v>
      </c>
      <c r="BC412" s="11">
        <v>46105</v>
      </c>
      <c r="BD412" s="36" t="s">
        <v>455</v>
      </c>
      <c r="BE412">
        <v>654102728</v>
      </c>
      <c r="BF412" s="36" t="s">
        <v>1380</v>
      </c>
      <c r="BG412" s="36" t="s">
        <v>449</v>
      </c>
      <c r="BJ412" t="str">
        <f t="shared" si="90"/>
        <v/>
      </c>
      <c r="BK412" t="s">
        <v>170</v>
      </c>
      <c r="BL412" t="str">
        <f t="shared" si="78"/>
        <v>S13_2026</v>
      </c>
      <c r="BM412" s="36" t="s">
        <v>159</v>
      </c>
      <c r="BN412" s="11">
        <v>46112</v>
      </c>
      <c r="BO412" s="36" t="str">
        <f t="shared" si="80"/>
        <v>S14_2026</v>
      </c>
      <c r="BP412" s="36" t="s">
        <v>114</v>
      </c>
      <c r="BQ412" s="36" t="s">
        <v>450</v>
      </c>
      <c r="BR412" s="36" t="s">
        <v>451</v>
      </c>
      <c r="BS412" t="s">
        <v>132</v>
      </c>
      <c r="CI412" t="s">
        <v>119</v>
      </c>
      <c r="CP412" s="11">
        <v>46105</v>
      </c>
      <c r="CQ412" t="s">
        <v>132</v>
      </c>
      <c r="CR412">
        <f t="shared" si="84"/>
        <v>3</v>
      </c>
      <c r="CS412">
        <f t="shared" si="85"/>
        <v>4</v>
      </c>
      <c r="CT412">
        <f t="shared" si="88"/>
        <v>9</v>
      </c>
      <c r="CU412" t="str">
        <f t="shared" si="86"/>
        <v/>
      </c>
      <c r="CV412" t="str">
        <f t="shared" si="87"/>
        <v/>
      </c>
      <c r="CW412" t="s">
        <v>132</v>
      </c>
      <c r="CX412" s="11">
        <v>46096</v>
      </c>
      <c r="CY412" t="str">
        <f t="shared" si="89"/>
        <v>S11_2026</v>
      </c>
      <c r="CZ412" t="s">
        <v>132</v>
      </c>
      <c r="DB412" t="s">
        <v>132</v>
      </c>
      <c r="DC412" t="s">
        <v>120</v>
      </c>
    </row>
    <row r="413" spans="1:107" x14ac:dyDescent="0.35">
      <c r="A413" s="36" t="s">
        <v>1536</v>
      </c>
      <c r="B413" s="10" t="str">
        <f t="shared" si="91"/>
        <v>S13_2026</v>
      </c>
      <c r="C413" s="10" t="str">
        <f t="shared" si="83"/>
        <v>S49_2025</v>
      </c>
      <c r="D413" s="11">
        <v>46107</v>
      </c>
      <c r="E413" s="36" t="s">
        <v>106</v>
      </c>
      <c r="F413" s="69">
        <v>30</v>
      </c>
      <c r="G413" s="36" t="s">
        <v>323</v>
      </c>
      <c r="H413" s="36" t="s">
        <v>835</v>
      </c>
      <c r="J413" s="36" t="s">
        <v>132</v>
      </c>
      <c r="L413" s="36" t="s">
        <v>163</v>
      </c>
      <c r="M413" s="36" t="s">
        <v>776</v>
      </c>
      <c r="N413" s="36" t="s">
        <v>1380</v>
      </c>
      <c r="O413" s="36" t="s">
        <v>184</v>
      </c>
      <c r="P413" s="36" t="s">
        <v>1530</v>
      </c>
      <c r="Q413" s="36" t="s">
        <v>776</v>
      </c>
      <c r="R413" s="11">
        <v>45992</v>
      </c>
      <c r="S413" s="11">
        <v>45992</v>
      </c>
      <c r="T413" s="11">
        <v>45992</v>
      </c>
      <c r="V413" s="36" t="s">
        <v>114</v>
      </c>
      <c r="W413" s="36" t="s">
        <v>114</v>
      </c>
      <c r="X413" s="36" t="s">
        <v>114</v>
      </c>
      <c r="Y413" s="36" t="s">
        <v>114</v>
      </c>
      <c r="Z413" s="36" t="s">
        <v>114</v>
      </c>
      <c r="AA413" s="36" t="s">
        <v>114</v>
      </c>
      <c r="AB413" s="36" t="s">
        <v>114</v>
      </c>
      <c r="AE413" s="36" t="s">
        <v>132</v>
      </c>
      <c r="AF413" s="36" t="s">
        <v>132</v>
      </c>
      <c r="AG413" s="36" t="s">
        <v>132</v>
      </c>
      <c r="AH413" s="36" t="s">
        <v>132</v>
      </c>
      <c r="AI413" s="36" t="s">
        <v>132</v>
      </c>
      <c r="AJ413" s="36" t="s">
        <v>132</v>
      </c>
      <c r="AK413" s="36" t="s">
        <v>132</v>
      </c>
      <c r="AL413" s="36"/>
      <c r="AM413" s="36" t="s">
        <v>142</v>
      </c>
      <c r="AN413" s="36" t="s">
        <v>142</v>
      </c>
      <c r="AO413" s="36"/>
      <c r="AP413" s="36" t="s">
        <v>132</v>
      </c>
      <c r="AQ413" s="36" t="s">
        <v>132</v>
      </c>
      <c r="AR413" s="36" t="s">
        <v>1537</v>
      </c>
      <c r="AS413" s="11">
        <v>46108</v>
      </c>
      <c r="AU413" s="36" t="s">
        <v>114</v>
      </c>
      <c r="AV413" s="36" t="s">
        <v>115</v>
      </c>
      <c r="BB413" s="36" t="s">
        <v>114</v>
      </c>
      <c r="BC413" s="11">
        <v>46105</v>
      </c>
      <c r="BD413" s="36" t="s">
        <v>455</v>
      </c>
      <c r="BE413">
        <v>654102728</v>
      </c>
      <c r="BF413" s="36" t="s">
        <v>1380</v>
      </c>
      <c r="BG413" s="36" t="s">
        <v>449</v>
      </c>
      <c r="BJ413" t="str">
        <f t="shared" si="90"/>
        <v/>
      </c>
      <c r="BK413" t="s">
        <v>170</v>
      </c>
      <c r="BL413" t="str">
        <f t="shared" si="78"/>
        <v>S13_2026</v>
      </c>
      <c r="BM413" s="36" t="s">
        <v>159</v>
      </c>
      <c r="BN413" s="11">
        <v>46112</v>
      </c>
      <c r="BO413" s="36" t="str">
        <f t="shared" si="80"/>
        <v>S14_2026</v>
      </c>
      <c r="BP413" t="s">
        <v>114</v>
      </c>
      <c r="BQ413" t="s">
        <v>450</v>
      </c>
      <c r="BR413" s="36" t="s">
        <v>451</v>
      </c>
      <c r="BS413" t="s">
        <v>132</v>
      </c>
      <c r="CI413" t="s">
        <v>119</v>
      </c>
      <c r="CP413" s="11">
        <v>46105</v>
      </c>
      <c r="CQ413" t="s">
        <v>132</v>
      </c>
      <c r="CR413">
        <f t="shared" si="84"/>
        <v>3</v>
      </c>
      <c r="CS413">
        <f t="shared" si="85"/>
        <v>4</v>
      </c>
      <c r="CU413" t="str">
        <f t="shared" si="86"/>
        <v/>
      </c>
      <c r="CV413" t="str">
        <f t="shared" si="87"/>
        <v/>
      </c>
      <c r="CW413" t="s">
        <v>132</v>
      </c>
      <c r="CX413" s="11">
        <v>45992</v>
      </c>
      <c r="CY413" t="str">
        <f t="shared" si="89"/>
        <v>S49_2025</v>
      </c>
      <c r="CZ413" t="s">
        <v>132</v>
      </c>
      <c r="DB413" t="s">
        <v>132</v>
      </c>
      <c r="DC413" t="s">
        <v>120</v>
      </c>
    </row>
    <row r="414" spans="1:107" x14ac:dyDescent="0.35">
      <c r="A414" s="36" t="s">
        <v>1538</v>
      </c>
      <c r="B414" s="10" t="str">
        <f t="shared" si="91"/>
        <v>S13_2026</v>
      </c>
      <c r="C414" s="10" t="str">
        <f t="shared" si="83"/>
        <v>S12_2026</v>
      </c>
      <c r="D414" s="11">
        <v>46108</v>
      </c>
      <c r="E414" s="36" t="s">
        <v>123</v>
      </c>
      <c r="F414" s="69">
        <v>2</v>
      </c>
      <c r="G414" s="36" t="s">
        <v>141</v>
      </c>
      <c r="H414" s="36" t="s">
        <v>835</v>
      </c>
      <c r="J414" s="36" t="s">
        <v>132</v>
      </c>
      <c r="L414" s="36" t="s">
        <v>111</v>
      </c>
      <c r="M414" s="36" t="s">
        <v>504</v>
      </c>
      <c r="N414" s="36" t="s">
        <v>1539</v>
      </c>
      <c r="O414" s="36" t="s">
        <v>184</v>
      </c>
      <c r="P414" s="36" t="s">
        <v>1540</v>
      </c>
      <c r="Q414" s="36" t="s">
        <v>504</v>
      </c>
      <c r="R414" s="11">
        <v>46103</v>
      </c>
      <c r="S414" s="11">
        <v>46103</v>
      </c>
      <c r="T414" s="11">
        <v>46103</v>
      </c>
      <c r="V414" s="36" t="s">
        <v>114</v>
      </c>
      <c r="W414" s="36" t="s">
        <v>114</v>
      </c>
      <c r="X414" s="36" t="s">
        <v>114</v>
      </c>
      <c r="Y414" s="36" t="s">
        <v>114</v>
      </c>
      <c r="Z414" s="36" t="s">
        <v>114</v>
      </c>
      <c r="AA414" s="36" t="s">
        <v>114</v>
      </c>
      <c r="AB414" s="36" t="s">
        <v>114</v>
      </c>
      <c r="AE414" s="36" t="s">
        <v>114</v>
      </c>
      <c r="AF414" s="36" t="s">
        <v>132</v>
      </c>
      <c r="AG414" s="36" t="s">
        <v>132</v>
      </c>
      <c r="AH414" s="36" t="s">
        <v>132</v>
      </c>
      <c r="AI414" s="36" t="s">
        <v>132</v>
      </c>
      <c r="AJ414" s="36" t="s">
        <v>132</v>
      </c>
      <c r="AK414" s="36" t="s">
        <v>132</v>
      </c>
      <c r="AL414" s="36"/>
      <c r="AM414" s="36" t="s">
        <v>132</v>
      </c>
      <c r="AN414" s="36" t="s">
        <v>114</v>
      </c>
      <c r="AO414" s="36"/>
      <c r="AP414" s="36" t="s">
        <v>132</v>
      </c>
      <c r="AQ414" s="36" t="s">
        <v>132</v>
      </c>
      <c r="BB414" s="36" t="s">
        <v>114</v>
      </c>
      <c r="BC414" s="11">
        <v>46107</v>
      </c>
      <c r="BE414">
        <v>652082916</v>
      </c>
      <c r="BF414" s="36" t="s">
        <v>1541</v>
      </c>
      <c r="BJ414" t="str">
        <f t="shared" si="90"/>
        <v/>
      </c>
      <c r="BK414" s="36" t="s">
        <v>117</v>
      </c>
      <c r="BL414" t="str">
        <f t="shared" si="78"/>
        <v>S13_2026</v>
      </c>
      <c r="BM414" s="36" t="s">
        <v>159</v>
      </c>
      <c r="BO414" s="36" t="str">
        <f t="shared" si="80"/>
        <v/>
      </c>
      <c r="BR414" s="36" t="s">
        <v>451</v>
      </c>
      <c r="BS414" t="s">
        <v>132</v>
      </c>
      <c r="CI414" t="s">
        <v>119</v>
      </c>
      <c r="CP414" s="11">
        <v>46107</v>
      </c>
      <c r="CR414" t="str">
        <f t="shared" si="84"/>
        <v/>
      </c>
      <c r="CS414" t="str">
        <f t="shared" si="85"/>
        <v/>
      </c>
      <c r="CT414">
        <f t="shared" ref="CT414:CT477" si="92">CP414-CX414</f>
        <v>4</v>
      </c>
      <c r="CU414" t="str">
        <f t="shared" si="86"/>
        <v/>
      </c>
      <c r="CV414" t="str">
        <f t="shared" si="87"/>
        <v/>
      </c>
      <c r="CX414" s="11">
        <v>46103</v>
      </c>
      <c r="CY414" t="str">
        <f t="shared" si="89"/>
        <v>S12_2026</v>
      </c>
      <c r="DC414" t="s">
        <v>1293</v>
      </c>
    </row>
    <row r="415" spans="1:107" x14ac:dyDescent="0.35">
      <c r="A415" t="s">
        <v>1542</v>
      </c>
      <c r="B415" s="10" t="str">
        <f t="shared" si="91"/>
        <v>S13_2026</v>
      </c>
      <c r="C415" s="10" t="str">
        <f t="shared" si="83"/>
        <v>S13_2026</v>
      </c>
      <c r="D415" s="37">
        <v>46109</v>
      </c>
      <c r="E415" s="36" t="s">
        <v>106</v>
      </c>
      <c r="F415" s="69">
        <v>14</v>
      </c>
      <c r="G415" s="36" t="s">
        <v>107</v>
      </c>
      <c r="H415" s="36" t="s">
        <v>835</v>
      </c>
      <c r="I415" s="36"/>
      <c r="J415" s="36" t="s">
        <v>132</v>
      </c>
      <c r="K415" s="36"/>
      <c r="L415" s="36" t="s">
        <v>126</v>
      </c>
      <c r="M415" s="36" t="s">
        <v>1084</v>
      </c>
      <c r="N415" s="36" t="s">
        <v>1274</v>
      </c>
      <c r="O415" s="36" t="s">
        <v>1275</v>
      </c>
      <c r="P415" s="36" t="s">
        <v>1543</v>
      </c>
      <c r="Q415" s="36" t="s">
        <v>1084</v>
      </c>
      <c r="R415" s="37">
        <v>46104</v>
      </c>
      <c r="S415" s="37">
        <v>46104</v>
      </c>
      <c r="T415" s="37">
        <v>46105</v>
      </c>
      <c r="V415" s="36" t="s">
        <v>132</v>
      </c>
      <c r="W415" s="36" t="s">
        <v>114</v>
      </c>
      <c r="X415" s="36" t="s">
        <v>114</v>
      </c>
      <c r="Y415" s="36" t="s">
        <v>132</v>
      </c>
      <c r="Z415" s="36" t="s">
        <v>114</v>
      </c>
      <c r="AA415" s="36" t="s">
        <v>132</v>
      </c>
      <c r="AB415" s="36" t="s">
        <v>114</v>
      </c>
      <c r="AC415" s="36" t="s">
        <v>1238</v>
      </c>
      <c r="AE415" s="36" t="s">
        <v>114</v>
      </c>
      <c r="AF415" s="36" t="s">
        <v>114</v>
      </c>
      <c r="AG415" s="36" t="s">
        <v>114</v>
      </c>
      <c r="AH415" s="36" t="s">
        <v>132</v>
      </c>
      <c r="AI415" s="36" t="s">
        <v>132</v>
      </c>
      <c r="AJ415" s="36" t="s">
        <v>132</v>
      </c>
      <c r="AK415" s="36" t="s">
        <v>132</v>
      </c>
      <c r="AL415" s="36"/>
      <c r="AM415" s="36" t="s">
        <v>114</v>
      </c>
      <c r="AN415" s="36" t="s">
        <v>132</v>
      </c>
      <c r="AO415" s="36"/>
      <c r="AP415" s="36" t="s">
        <v>132</v>
      </c>
      <c r="AQ415" s="36" t="s">
        <v>132</v>
      </c>
      <c r="AR415" s="36" t="s">
        <v>1544</v>
      </c>
      <c r="AS415" s="37">
        <v>46107</v>
      </c>
      <c r="AU415" s="36" t="s">
        <v>114</v>
      </c>
      <c r="AV415" s="36" t="s">
        <v>115</v>
      </c>
      <c r="AW415" s="36"/>
      <c r="AX415" s="36"/>
      <c r="AY415" s="36"/>
      <c r="AZ415" s="36"/>
      <c r="BA415" s="36"/>
      <c r="BB415" s="36" t="s">
        <v>114</v>
      </c>
      <c r="BC415" s="37">
        <v>46107</v>
      </c>
      <c r="BD415" s="36" t="s">
        <v>1471</v>
      </c>
      <c r="BF415" s="36" t="s">
        <v>1274</v>
      </c>
      <c r="BG415" s="36" t="s">
        <v>449</v>
      </c>
      <c r="BH415" s="36"/>
      <c r="BI415" s="36"/>
      <c r="BJ415" t="str">
        <f t="shared" si="90"/>
        <v/>
      </c>
      <c r="BK415" s="36" t="s">
        <v>137</v>
      </c>
      <c r="BL415" t="str">
        <f t="shared" si="78"/>
        <v>S13_2026</v>
      </c>
      <c r="BM415" s="36" t="s">
        <v>159</v>
      </c>
      <c r="BN415" s="37">
        <v>46112</v>
      </c>
      <c r="BO415" s="36" t="str">
        <f t="shared" si="80"/>
        <v>S14_2026</v>
      </c>
      <c r="BP415" s="36" t="s">
        <v>114</v>
      </c>
      <c r="BQ415" s="36" t="s">
        <v>450</v>
      </c>
      <c r="BR415" s="36" t="s">
        <v>451</v>
      </c>
      <c r="BS415" t="s">
        <v>132</v>
      </c>
      <c r="CI415" t="s">
        <v>119</v>
      </c>
      <c r="CP415" s="11">
        <v>46107</v>
      </c>
      <c r="CQ415" t="s">
        <v>132</v>
      </c>
      <c r="CR415">
        <f t="shared" si="84"/>
        <v>0</v>
      </c>
      <c r="CS415">
        <f t="shared" si="85"/>
        <v>5</v>
      </c>
      <c r="CT415">
        <f t="shared" si="92"/>
        <v>3</v>
      </c>
      <c r="CU415" t="str">
        <f t="shared" si="86"/>
        <v/>
      </c>
      <c r="CV415" t="str">
        <f t="shared" si="87"/>
        <v/>
      </c>
      <c r="CW415" t="s">
        <v>132</v>
      </c>
      <c r="CX415" s="37">
        <v>46104</v>
      </c>
      <c r="CY415" t="str">
        <f t="shared" si="89"/>
        <v>S13_2026</v>
      </c>
      <c r="CZ415" t="s">
        <v>132</v>
      </c>
      <c r="DB415" t="s">
        <v>132</v>
      </c>
      <c r="DC415" t="s">
        <v>120</v>
      </c>
    </row>
    <row r="416" spans="1:107" x14ac:dyDescent="0.35">
      <c r="A416" s="36" t="s">
        <v>1545</v>
      </c>
      <c r="B416" s="10" t="str">
        <f t="shared" si="91"/>
        <v>S13_2026</v>
      </c>
      <c r="C416" s="10" t="str">
        <f t="shared" si="83"/>
        <v>S12_2026</v>
      </c>
      <c r="D416" s="37">
        <v>46109</v>
      </c>
      <c r="E416" s="36" t="s">
        <v>123</v>
      </c>
      <c r="F416" s="69">
        <v>31</v>
      </c>
      <c r="G416" s="36" t="s">
        <v>1546</v>
      </c>
      <c r="H416" s="36" t="s">
        <v>835</v>
      </c>
      <c r="I416" s="36"/>
      <c r="J416" s="36" t="s">
        <v>114</v>
      </c>
      <c r="K416" s="37">
        <v>46104</v>
      </c>
      <c r="L416" s="36" t="s">
        <v>126</v>
      </c>
      <c r="M416" s="36" t="s">
        <v>146</v>
      </c>
      <c r="N416" s="36" t="s">
        <v>1297</v>
      </c>
      <c r="O416" s="36" t="s">
        <v>1547</v>
      </c>
      <c r="P416" s="36" t="s">
        <v>1548</v>
      </c>
      <c r="Q416" s="36" t="s">
        <v>146</v>
      </c>
      <c r="R416" s="37">
        <v>46100</v>
      </c>
      <c r="S416" s="37">
        <v>46100</v>
      </c>
      <c r="T416" s="37">
        <v>46101</v>
      </c>
      <c r="V416" s="36" t="s">
        <v>132</v>
      </c>
      <c r="W416" s="36" t="s">
        <v>114</v>
      </c>
      <c r="X416" s="36" t="s">
        <v>132</v>
      </c>
      <c r="Y416" s="36" t="s">
        <v>132</v>
      </c>
      <c r="Z416" s="36" t="s">
        <v>114</v>
      </c>
      <c r="AA416" s="36" t="s">
        <v>114</v>
      </c>
      <c r="AB416" s="36" t="s">
        <v>114</v>
      </c>
      <c r="AC416" s="36" t="s">
        <v>1238</v>
      </c>
      <c r="AE416" s="36" t="s">
        <v>114</v>
      </c>
      <c r="AF416" s="36" t="s">
        <v>132</v>
      </c>
      <c r="AG416" s="36" t="s">
        <v>114</v>
      </c>
      <c r="AH416" s="36" t="s">
        <v>132</v>
      </c>
      <c r="AI416" s="36" t="s">
        <v>132</v>
      </c>
      <c r="AJ416" s="36" t="s">
        <v>132</v>
      </c>
      <c r="AK416" s="36" t="s">
        <v>114</v>
      </c>
      <c r="AL416" s="36"/>
      <c r="AM416" s="36" t="s">
        <v>132</v>
      </c>
      <c r="AN416" s="36" t="s">
        <v>114</v>
      </c>
      <c r="AO416" s="36"/>
      <c r="AP416" s="36" t="s">
        <v>132</v>
      </c>
      <c r="AQ416" s="36" t="s">
        <v>132</v>
      </c>
      <c r="AR416" s="36" t="s">
        <v>1549</v>
      </c>
      <c r="AS416" s="37">
        <v>46108</v>
      </c>
      <c r="AT416" s="36"/>
      <c r="AU416" s="36" t="s">
        <v>114</v>
      </c>
      <c r="AV416" s="36" t="s">
        <v>115</v>
      </c>
      <c r="AW416" s="36"/>
      <c r="AX416" s="36"/>
      <c r="AY416" s="36"/>
      <c r="AZ416" s="36"/>
      <c r="BA416" s="36"/>
      <c r="BB416" s="36" t="s">
        <v>114</v>
      </c>
      <c r="BC416" s="37">
        <v>46106</v>
      </c>
      <c r="BD416" s="36" t="s">
        <v>1550</v>
      </c>
      <c r="BF416" s="36" t="s">
        <v>1297</v>
      </c>
      <c r="BG416" s="36" t="s">
        <v>449</v>
      </c>
      <c r="BH416" s="36"/>
      <c r="BI416" s="36"/>
      <c r="BJ416" t="str">
        <f t="shared" si="90"/>
        <v/>
      </c>
      <c r="BK416" s="36" t="s">
        <v>137</v>
      </c>
      <c r="BL416" t="str">
        <f t="shared" si="78"/>
        <v>S13_2026</v>
      </c>
      <c r="BM416" s="36" t="s">
        <v>159</v>
      </c>
      <c r="BN416" s="37">
        <v>46112</v>
      </c>
      <c r="BO416" s="36" t="str">
        <f t="shared" si="80"/>
        <v>S14_2026</v>
      </c>
      <c r="BP416" s="36" t="s">
        <v>114</v>
      </c>
      <c r="BQ416" s="36" t="s">
        <v>450</v>
      </c>
      <c r="BR416" s="36" t="s">
        <v>451</v>
      </c>
      <c r="BS416" t="s">
        <v>132</v>
      </c>
      <c r="CI416" t="s">
        <v>119</v>
      </c>
      <c r="CP416" s="37">
        <v>46105</v>
      </c>
      <c r="CQ416" t="s">
        <v>132</v>
      </c>
      <c r="CR416">
        <f t="shared" si="84"/>
        <v>2</v>
      </c>
      <c r="CS416">
        <f t="shared" si="85"/>
        <v>4</v>
      </c>
      <c r="CT416">
        <f t="shared" si="92"/>
        <v>5</v>
      </c>
      <c r="CU416">
        <f t="shared" si="86"/>
        <v>1</v>
      </c>
      <c r="CV416" t="str">
        <f t="shared" si="87"/>
        <v/>
      </c>
      <c r="CW416" t="s">
        <v>132</v>
      </c>
      <c r="CX416" s="37">
        <v>46100</v>
      </c>
      <c r="CY416" t="str">
        <f t="shared" si="89"/>
        <v>S12_2026</v>
      </c>
      <c r="CZ416" t="s">
        <v>132</v>
      </c>
      <c r="DB416" t="s">
        <v>132</v>
      </c>
      <c r="DC416" t="s">
        <v>120</v>
      </c>
    </row>
    <row r="417" spans="1:107" x14ac:dyDescent="0.35">
      <c r="A417" t="s">
        <v>1551</v>
      </c>
      <c r="B417" s="10" t="str">
        <f t="shared" si="91"/>
        <v>S13_2026</v>
      </c>
      <c r="C417" s="10" t="str">
        <f t="shared" si="83"/>
        <v>S11_2026</v>
      </c>
      <c r="D417" s="37">
        <v>46110</v>
      </c>
      <c r="E417" s="36" t="s">
        <v>123</v>
      </c>
      <c r="F417" s="69">
        <v>30</v>
      </c>
      <c r="G417" s="36" t="s">
        <v>1552</v>
      </c>
      <c r="H417" s="36" t="s">
        <v>835</v>
      </c>
      <c r="I417" s="36"/>
      <c r="J417" s="36" t="s">
        <v>114</v>
      </c>
      <c r="K417" s="37">
        <v>46108</v>
      </c>
      <c r="L417" s="36" t="s">
        <v>126</v>
      </c>
      <c r="M417" s="36" t="s">
        <v>853</v>
      </c>
      <c r="N417" s="36" t="s">
        <v>1553</v>
      </c>
      <c r="O417" s="36" t="s">
        <v>1554</v>
      </c>
      <c r="P417" s="36" t="s">
        <v>1555</v>
      </c>
      <c r="Q417" s="36" t="s">
        <v>853</v>
      </c>
      <c r="R417" s="37">
        <v>46094</v>
      </c>
      <c r="S417" s="37">
        <v>46106</v>
      </c>
      <c r="T417" s="37">
        <v>46094</v>
      </c>
      <c r="V417" s="36" t="s">
        <v>114</v>
      </c>
      <c r="W417" s="36" t="s">
        <v>114</v>
      </c>
      <c r="X417" s="36" t="s">
        <v>114</v>
      </c>
      <c r="Y417" s="36" t="s">
        <v>114</v>
      </c>
      <c r="Z417" s="36" t="s">
        <v>1556</v>
      </c>
      <c r="AA417" s="36" t="s">
        <v>132</v>
      </c>
      <c r="AB417" s="36" t="s">
        <v>114</v>
      </c>
      <c r="AC417" s="36" t="s">
        <v>1238</v>
      </c>
      <c r="AE417" s="36" t="s">
        <v>114</v>
      </c>
      <c r="AF417" s="36" t="s">
        <v>132</v>
      </c>
      <c r="AG417" s="36" t="s">
        <v>114</v>
      </c>
      <c r="AH417" s="36" t="s">
        <v>132</v>
      </c>
      <c r="AI417" s="36" t="s">
        <v>132</v>
      </c>
      <c r="AJ417" s="36" t="s">
        <v>132</v>
      </c>
      <c r="AK417" s="36" t="s">
        <v>132</v>
      </c>
      <c r="AL417" s="36"/>
      <c r="AM417" s="36" t="s">
        <v>132</v>
      </c>
      <c r="AN417" s="36" t="s">
        <v>132</v>
      </c>
      <c r="AO417" s="36"/>
      <c r="AP417" s="36" t="s">
        <v>132</v>
      </c>
      <c r="AQ417" s="36" t="s">
        <v>132</v>
      </c>
      <c r="AR417" s="36" t="s">
        <v>1557</v>
      </c>
      <c r="AS417" s="37">
        <v>46111</v>
      </c>
      <c r="AT417" s="36"/>
      <c r="AU417" s="36" t="s">
        <v>114</v>
      </c>
      <c r="AV417" t="s">
        <v>134</v>
      </c>
      <c r="AW417" t="s">
        <v>152</v>
      </c>
      <c r="AX417" s="36"/>
      <c r="AY417" t="s">
        <v>135</v>
      </c>
      <c r="AZ417" s="36"/>
      <c r="BA417" s="36"/>
      <c r="BB417" s="36" t="s">
        <v>114</v>
      </c>
      <c r="BC417" s="37">
        <v>46108</v>
      </c>
      <c r="BD417" s="36" t="s">
        <v>1471</v>
      </c>
      <c r="BF417" s="36" t="s">
        <v>854</v>
      </c>
      <c r="BG417" s="36" t="s">
        <v>449</v>
      </c>
      <c r="BH417" s="36"/>
      <c r="BI417" s="37">
        <v>46112</v>
      </c>
      <c r="BJ417" t="str">
        <f t="shared" si="90"/>
        <v>S14_2026</v>
      </c>
      <c r="BK417" s="36" t="s">
        <v>137</v>
      </c>
      <c r="BL417" t="str">
        <f t="shared" si="78"/>
        <v>S13_2026</v>
      </c>
      <c r="BM417" s="36" t="s">
        <v>159</v>
      </c>
      <c r="BN417" s="37">
        <v>46112</v>
      </c>
      <c r="BO417" s="36" t="str">
        <f t="shared" si="80"/>
        <v>S14_2026</v>
      </c>
      <c r="BP417" s="36" t="s">
        <v>114</v>
      </c>
      <c r="BQ417" s="36" t="s">
        <v>450</v>
      </c>
      <c r="BR417" s="36" t="s">
        <v>451</v>
      </c>
      <c r="BS417" t="s">
        <v>132</v>
      </c>
      <c r="CI417" t="s">
        <v>119</v>
      </c>
      <c r="CK417" t="s">
        <v>138</v>
      </c>
      <c r="CP417" s="37">
        <v>46108</v>
      </c>
      <c r="CQ417" t="s">
        <v>132</v>
      </c>
      <c r="CR417">
        <f t="shared" si="84"/>
        <v>3</v>
      </c>
      <c r="CS417">
        <f t="shared" si="85"/>
        <v>1</v>
      </c>
      <c r="CT417">
        <f t="shared" si="92"/>
        <v>14</v>
      </c>
      <c r="CU417">
        <f t="shared" si="86"/>
        <v>0</v>
      </c>
      <c r="CV417">
        <f t="shared" si="87"/>
        <v>18</v>
      </c>
      <c r="CW417" t="s">
        <v>132</v>
      </c>
      <c r="CX417" s="37">
        <v>46094</v>
      </c>
      <c r="CY417" t="str">
        <f t="shared" si="89"/>
        <v>S11_2026</v>
      </c>
      <c r="CZ417" t="s">
        <v>132</v>
      </c>
      <c r="DB417" t="s">
        <v>132</v>
      </c>
      <c r="DC417" t="s">
        <v>139</v>
      </c>
    </row>
    <row r="418" spans="1:107" x14ac:dyDescent="0.35">
      <c r="A418" t="s">
        <v>1558</v>
      </c>
      <c r="B418" s="10" t="str">
        <f t="shared" si="91"/>
        <v>S13_2026</v>
      </c>
      <c r="C418" s="10" t="str">
        <f t="shared" si="83"/>
        <v>S12_2026</v>
      </c>
      <c r="D418" s="37">
        <v>46110</v>
      </c>
      <c r="E418" s="36" t="s">
        <v>123</v>
      </c>
      <c r="F418" s="69">
        <v>39</v>
      </c>
      <c r="G418" s="36" t="s">
        <v>429</v>
      </c>
      <c r="H418" s="36" t="s">
        <v>835</v>
      </c>
      <c r="I418" s="36"/>
      <c r="J418" s="36" t="s">
        <v>114</v>
      </c>
      <c r="K418" s="37">
        <v>46104</v>
      </c>
      <c r="L418" s="36" t="s">
        <v>126</v>
      </c>
      <c r="M418" s="36" t="s">
        <v>977</v>
      </c>
      <c r="N418" s="36" t="s">
        <v>1364</v>
      </c>
      <c r="O418" s="36" t="s">
        <v>971</v>
      </c>
      <c r="P418" s="36" t="s">
        <v>1559</v>
      </c>
      <c r="Q418" s="36" t="s">
        <v>853</v>
      </c>
      <c r="R418" s="37">
        <v>46101</v>
      </c>
      <c r="S418" s="37">
        <v>46101</v>
      </c>
      <c r="T418" s="37">
        <v>46102</v>
      </c>
      <c r="U418" s="36"/>
      <c r="V418" s="36" t="s">
        <v>114</v>
      </c>
      <c r="W418" s="36" t="s">
        <v>114</v>
      </c>
      <c r="X418" s="36" t="s">
        <v>114</v>
      </c>
      <c r="Y418" s="36" t="s">
        <v>114</v>
      </c>
      <c r="Z418" s="36"/>
      <c r="AA418" s="36"/>
      <c r="AB418" s="36"/>
      <c r="AC418" s="36"/>
      <c r="AE418" s="36" t="s">
        <v>114</v>
      </c>
      <c r="AF418" s="36" t="s">
        <v>114</v>
      </c>
      <c r="AG418" s="36" t="s">
        <v>114</v>
      </c>
      <c r="AH418" s="36" t="s">
        <v>132</v>
      </c>
      <c r="AI418" s="36" t="s">
        <v>132</v>
      </c>
      <c r="AJ418" s="36"/>
      <c r="AK418" s="36" t="s">
        <v>132</v>
      </c>
      <c r="AL418" s="36"/>
      <c r="AM418" s="36" t="s">
        <v>132</v>
      </c>
      <c r="AN418" s="36" t="s">
        <v>132</v>
      </c>
      <c r="AO418" s="36"/>
      <c r="AP418" s="36" t="s">
        <v>132</v>
      </c>
      <c r="AQ418" s="36" t="s">
        <v>132</v>
      </c>
      <c r="AR418" s="36" t="s">
        <v>1560</v>
      </c>
      <c r="AS418" s="37">
        <v>46108</v>
      </c>
      <c r="AT418" s="36"/>
      <c r="AU418" s="36" t="s">
        <v>114</v>
      </c>
      <c r="AV418" t="s">
        <v>134</v>
      </c>
      <c r="AW418" t="s">
        <v>152</v>
      </c>
      <c r="AX418" s="36"/>
      <c r="AY418" t="s">
        <v>135</v>
      </c>
      <c r="AZ418" s="36"/>
      <c r="BA418" s="36"/>
      <c r="BB418" s="36" t="s">
        <v>114</v>
      </c>
      <c r="BC418" s="37">
        <v>46104</v>
      </c>
      <c r="BD418" s="36" t="s">
        <v>116</v>
      </c>
      <c r="BE418" s="36"/>
      <c r="BF418" s="36" t="s">
        <v>1559</v>
      </c>
      <c r="BG418" s="36" t="s">
        <v>449</v>
      </c>
      <c r="BH418" s="36"/>
      <c r="BI418" s="37">
        <v>46112</v>
      </c>
      <c r="BJ418" t="str">
        <f t="shared" si="90"/>
        <v>S14_2026</v>
      </c>
      <c r="BK418" s="36" t="s">
        <v>137</v>
      </c>
      <c r="BL418" t="str">
        <f t="shared" si="78"/>
        <v>S13_2026</v>
      </c>
      <c r="BM418" s="36" t="s">
        <v>159</v>
      </c>
      <c r="BN418" s="37">
        <v>46112</v>
      </c>
      <c r="BO418" s="36" t="str">
        <f t="shared" si="80"/>
        <v>S14_2026</v>
      </c>
      <c r="BP418" s="36" t="s">
        <v>114</v>
      </c>
      <c r="BQ418" s="36" t="s">
        <v>450</v>
      </c>
      <c r="BR418" s="36" t="s">
        <v>451</v>
      </c>
      <c r="BS418" s="36" t="s">
        <v>132</v>
      </c>
      <c r="CI418" t="s">
        <v>119</v>
      </c>
      <c r="CK418" t="s">
        <v>138</v>
      </c>
      <c r="CP418" s="37">
        <v>46104</v>
      </c>
      <c r="CQ418" t="s">
        <v>132</v>
      </c>
      <c r="CR418">
        <f t="shared" si="84"/>
        <v>4</v>
      </c>
      <c r="CS418">
        <f t="shared" si="85"/>
        <v>4</v>
      </c>
      <c r="CT418">
        <f t="shared" si="92"/>
        <v>3</v>
      </c>
      <c r="CU418">
        <f t="shared" si="86"/>
        <v>0</v>
      </c>
      <c r="CV418">
        <f t="shared" si="87"/>
        <v>11</v>
      </c>
      <c r="CW418" t="s">
        <v>132</v>
      </c>
      <c r="CX418" s="37">
        <v>46101</v>
      </c>
      <c r="CY418" t="str">
        <f t="shared" si="89"/>
        <v>S12_2026</v>
      </c>
      <c r="CZ418" t="s">
        <v>132</v>
      </c>
      <c r="DB418" t="s">
        <v>132</v>
      </c>
      <c r="DC418" t="s">
        <v>139</v>
      </c>
    </row>
    <row r="419" spans="1:107" x14ac:dyDescent="0.35">
      <c r="A419" t="s">
        <v>1561</v>
      </c>
      <c r="B419" s="10" t="str">
        <f t="shared" si="91"/>
        <v>S13_2026</v>
      </c>
      <c r="C419" s="10" t="str">
        <f t="shared" si="83"/>
        <v>S10_2026</v>
      </c>
      <c r="D419" s="37">
        <v>46110</v>
      </c>
      <c r="E419" s="36" t="s">
        <v>106</v>
      </c>
      <c r="F419" s="69">
        <v>4</v>
      </c>
      <c r="G419" s="36" t="s">
        <v>107</v>
      </c>
      <c r="H419" s="36" t="s">
        <v>835</v>
      </c>
      <c r="I419" s="36"/>
      <c r="J419" s="36" t="s">
        <v>114</v>
      </c>
      <c r="K419" s="37">
        <v>46104</v>
      </c>
      <c r="L419" s="36" t="s">
        <v>126</v>
      </c>
      <c r="M419" s="36" t="s">
        <v>977</v>
      </c>
      <c r="N419" s="36" t="s">
        <v>1364</v>
      </c>
      <c r="O419" s="36" t="s">
        <v>971</v>
      </c>
      <c r="P419" s="36" t="s">
        <v>1362</v>
      </c>
      <c r="Q419" s="36" t="s">
        <v>977</v>
      </c>
      <c r="R419" s="37">
        <v>46085</v>
      </c>
      <c r="S419" s="37">
        <v>46085</v>
      </c>
      <c r="T419" s="37">
        <v>46087</v>
      </c>
      <c r="U419" s="36"/>
      <c r="V419" s="36" t="s">
        <v>132</v>
      </c>
      <c r="W419" s="36" t="s">
        <v>114</v>
      </c>
      <c r="X419" s="36" t="s">
        <v>132</v>
      </c>
      <c r="Y419" s="36" t="s">
        <v>132</v>
      </c>
      <c r="Z419" s="36" t="s">
        <v>132</v>
      </c>
      <c r="AA419" s="36" t="s">
        <v>132</v>
      </c>
      <c r="AB419" s="36" t="s">
        <v>132</v>
      </c>
      <c r="AC419" s="36" t="s">
        <v>1238</v>
      </c>
      <c r="AE419" s="36" t="s">
        <v>114</v>
      </c>
      <c r="AF419" s="36" t="s">
        <v>114</v>
      </c>
      <c r="AG419" s="36" t="s">
        <v>132</v>
      </c>
      <c r="AH419" s="36" t="s">
        <v>132</v>
      </c>
      <c r="AI419" s="36" t="s">
        <v>132</v>
      </c>
      <c r="AJ419" s="36" t="s">
        <v>132</v>
      </c>
      <c r="AK419" s="36" t="s">
        <v>132</v>
      </c>
      <c r="AL419" s="36"/>
      <c r="AM419" s="36" t="s">
        <v>114</v>
      </c>
      <c r="AN419" s="36" t="s">
        <v>132</v>
      </c>
      <c r="AO419" s="36"/>
      <c r="AP419" s="36" t="s">
        <v>132</v>
      </c>
      <c r="AQ419" s="36" t="s">
        <v>132</v>
      </c>
      <c r="AR419" s="36" t="s">
        <v>1562</v>
      </c>
      <c r="AS419" s="37">
        <v>46108</v>
      </c>
      <c r="AT419" s="36"/>
      <c r="AU419" s="36" t="s">
        <v>114</v>
      </c>
      <c r="AV419" s="36" t="s">
        <v>115</v>
      </c>
      <c r="AW419" s="36"/>
      <c r="AX419" s="36"/>
      <c r="AY419" s="36"/>
      <c r="AZ419" s="36"/>
      <c r="BA419" s="36"/>
      <c r="BB419" s="36" t="s">
        <v>114</v>
      </c>
      <c r="BC419" s="37">
        <v>46104</v>
      </c>
      <c r="BD419" s="36" t="s">
        <v>116</v>
      </c>
      <c r="BE419" s="36"/>
      <c r="BF419" s="36" t="s">
        <v>1364</v>
      </c>
      <c r="BG419" s="36" t="s">
        <v>449</v>
      </c>
      <c r="BH419" s="36"/>
      <c r="BI419" s="36"/>
      <c r="BJ419" t="str">
        <f t="shared" si="90"/>
        <v/>
      </c>
      <c r="BK419" s="36" t="s">
        <v>137</v>
      </c>
      <c r="BL419" t="str">
        <f t="shared" si="78"/>
        <v>S13_2026</v>
      </c>
      <c r="BM419" s="36" t="s">
        <v>159</v>
      </c>
      <c r="BN419" s="37">
        <v>46112</v>
      </c>
      <c r="BO419" s="36" t="str">
        <f t="shared" si="80"/>
        <v>S14_2026</v>
      </c>
      <c r="BP419" s="36" t="s">
        <v>114</v>
      </c>
      <c r="BQ419" s="36" t="s">
        <v>450</v>
      </c>
      <c r="BR419" s="36" t="s">
        <v>451</v>
      </c>
      <c r="BS419" s="36" t="s">
        <v>132</v>
      </c>
      <c r="CI419" t="s">
        <v>119</v>
      </c>
      <c r="CP419" s="37">
        <v>46104</v>
      </c>
      <c r="CQ419" t="s">
        <v>132</v>
      </c>
      <c r="CR419">
        <f t="shared" si="84"/>
        <v>4</v>
      </c>
      <c r="CS419">
        <f t="shared" si="85"/>
        <v>4</v>
      </c>
      <c r="CT419">
        <f t="shared" si="92"/>
        <v>19</v>
      </c>
      <c r="CU419">
        <f t="shared" si="86"/>
        <v>0</v>
      </c>
      <c r="CV419" t="str">
        <f t="shared" si="87"/>
        <v/>
      </c>
      <c r="CW419" t="s">
        <v>132</v>
      </c>
      <c r="CX419" s="37">
        <v>46085</v>
      </c>
      <c r="CY419" t="str">
        <f t="shared" si="89"/>
        <v>S10_2026</v>
      </c>
      <c r="CZ419" t="s">
        <v>132</v>
      </c>
      <c r="DB419" t="s">
        <v>132</v>
      </c>
      <c r="DC419" t="s">
        <v>120</v>
      </c>
    </row>
    <row r="420" spans="1:107" x14ac:dyDescent="0.35">
      <c r="A420" t="s">
        <v>1563</v>
      </c>
      <c r="B420" s="10" t="str">
        <f t="shared" si="91"/>
        <v>S13_2026</v>
      </c>
      <c r="C420" s="10" t="str">
        <f t="shared" si="83"/>
        <v>S11_2026</v>
      </c>
      <c r="D420" s="37">
        <v>46110</v>
      </c>
      <c r="E420" s="36" t="s">
        <v>123</v>
      </c>
      <c r="F420" s="69">
        <v>42</v>
      </c>
      <c r="G420" s="36" t="s">
        <v>1564</v>
      </c>
      <c r="H420" s="36" t="s">
        <v>835</v>
      </c>
      <c r="I420" s="36"/>
      <c r="J420" s="36" t="s">
        <v>114</v>
      </c>
      <c r="K420" s="37">
        <v>46104</v>
      </c>
      <c r="L420" s="36" t="s">
        <v>126</v>
      </c>
      <c r="M420" s="36" t="s">
        <v>977</v>
      </c>
      <c r="N420" s="36" t="s">
        <v>1364</v>
      </c>
      <c r="O420" s="36" t="s">
        <v>971</v>
      </c>
      <c r="P420" s="36" t="s">
        <v>1362</v>
      </c>
      <c r="Q420" s="36" t="s">
        <v>977</v>
      </c>
      <c r="R420" s="37">
        <v>46096</v>
      </c>
      <c r="S420" s="37">
        <v>46096</v>
      </c>
      <c r="T420" s="37">
        <v>46099</v>
      </c>
      <c r="U420" s="36"/>
      <c r="V420" s="36" t="s">
        <v>114</v>
      </c>
      <c r="W420" s="36" t="s">
        <v>114</v>
      </c>
      <c r="X420" s="36" t="s">
        <v>114</v>
      </c>
      <c r="Y420" s="36" t="s">
        <v>114</v>
      </c>
      <c r="Z420" s="36" t="s">
        <v>114</v>
      </c>
      <c r="AA420" s="36" t="s">
        <v>114</v>
      </c>
      <c r="AB420" s="36" t="s">
        <v>114</v>
      </c>
      <c r="AC420" s="36"/>
      <c r="AE420" s="36" t="s">
        <v>114</v>
      </c>
      <c r="AF420" s="36" t="s">
        <v>132</v>
      </c>
      <c r="AG420" s="36" t="s">
        <v>132</v>
      </c>
      <c r="AH420" s="36" t="s">
        <v>132</v>
      </c>
      <c r="AI420" s="36" t="s">
        <v>132</v>
      </c>
      <c r="AJ420" s="36" t="s">
        <v>132</v>
      </c>
      <c r="AK420" s="36" t="s">
        <v>114</v>
      </c>
      <c r="AL420" s="36"/>
      <c r="AM420" s="36" t="s">
        <v>132</v>
      </c>
      <c r="AN420" s="36" t="s">
        <v>132</v>
      </c>
      <c r="AO420" s="36"/>
      <c r="AP420" s="36" t="s">
        <v>132</v>
      </c>
      <c r="AQ420" s="36" t="s">
        <v>132</v>
      </c>
      <c r="AR420" s="36" t="s">
        <v>1565</v>
      </c>
      <c r="AS420" s="37">
        <v>46108</v>
      </c>
      <c r="AT420" s="36"/>
      <c r="AU420" s="36" t="s">
        <v>114</v>
      </c>
      <c r="AV420" t="s">
        <v>134</v>
      </c>
      <c r="AW420" t="s">
        <v>152</v>
      </c>
      <c r="AX420" s="36"/>
      <c r="AY420" t="s">
        <v>135</v>
      </c>
      <c r="AZ420" s="36"/>
      <c r="BA420" s="36"/>
      <c r="BB420" s="36" t="s">
        <v>114</v>
      </c>
      <c r="BC420" s="37">
        <v>46104</v>
      </c>
      <c r="BD420" s="36" t="s">
        <v>116</v>
      </c>
      <c r="BE420" s="36"/>
      <c r="BF420" s="36" t="s">
        <v>1364</v>
      </c>
      <c r="BG420" s="36" t="s">
        <v>449</v>
      </c>
      <c r="BH420" s="36"/>
      <c r="BI420" s="37">
        <v>46112</v>
      </c>
      <c r="BJ420" t="str">
        <f t="shared" si="90"/>
        <v>S14_2026</v>
      </c>
      <c r="BK420" s="36" t="s">
        <v>137</v>
      </c>
      <c r="BL420" t="str">
        <f t="shared" ref="BL420:BL436" si="93">IFERROR("S"&amp;(IF(_xlfn.ISOWEEKNUM(BC420)&gt;0,_xlfn.ISOWEEKNUM(BC420),_xlfn.CONCAT("0",_xlfn.ISOWEEKNUM(BC420))))&amp;"_"&amp;(YEAR(BC420+26-(_xlfn.ISOWEEKNUM(BC420)))),"")</f>
        <v>S13_2026</v>
      </c>
      <c r="BM420" s="36" t="s">
        <v>159</v>
      </c>
      <c r="BN420" s="37">
        <v>46112</v>
      </c>
      <c r="BO420" s="36" t="str">
        <f t="shared" si="80"/>
        <v>S14_2026</v>
      </c>
      <c r="BP420" s="36" t="s">
        <v>114</v>
      </c>
      <c r="BQ420" s="36" t="s">
        <v>450</v>
      </c>
      <c r="BR420" s="36" t="s">
        <v>451</v>
      </c>
      <c r="BS420" s="36" t="s">
        <v>132</v>
      </c>
      <c r="CI420" t="s">
        <v>119</v>
      </c>
      <c r="CK420" t="s">
        <v>138</v>
      </c>
      <c r="CP420" s="37">
        <v>46104</v>
      </c>
      <c r="CQ420" t="s">
        <v>132</v>
      </c>
      <c r="CR420">
        <f t="shared" si="84"/>
        <v>4</v>
      </c>
      <c r="CS420">
        <f t="shared" si="85"/>
        <v>4</v>
      </c>
      <c r="CT420">
        <f t="shared" si="92"/>
        <v>8</v>
      </c>
      <c r="CU420">
        <f t="shared" si="86"/>
        <v>0</v>
      </c>
      <c r="CV420">
        <f t="shared" si="87"/>
        <v>16</v>
      </c>
      <c r="CW420" t="s">
        <v>132</v>
      </c>
      <c r="CX420" s="37">
        <v>46096</v>
      </c>
      <c r="CY420" t="str">
        <f t="shared" si="89"/>
        <v>S11_2026</v>
      </c>
      <c r="CZ420" t="s">
        <v>132</v>
      </c>
      <c r="DB420" t="s">
        <v>132</v>
      </c>
      <c r="DC420" t="s">
        <v>139</v>
      </c>
    </row>
    <row r="421" spans="1:107" x14ac:dyDescent="0.35">
      <c r="A421" t="s">
        <v>1566</v>
      </c>
      <c r="B421" s="10" t="str">
        <f t="shared" si="91"/>
        <v>S13_2026</v>
      </c>
      <c r="C421" s="10" t="str">
        <f t="shared" si="83"/>
        <v>S10_2026</v>
      </c>
      <c r="D421" s="37">
        <v>46110</v>
      </c>
      <c r="E421" s="36" t="s">
        <v>106</v>
      </c>
      <c r="F421" s="69">
        <v>2</v>
      </c>
      <c r="G421" s="36"/>
      <c r="H421" s="36" t="s">
        <v>835</v>
      </c>
      <c r="I421" s="36"/>
      <c r="J421" s="36" t="s">
        <v>114</v>
      </c>
      <c r="K421" s="37">
        <v>46100</v>
      </c>
      <c r="L421" s="36" t="s">
        <v>126</v>
      </c>
      <c r="M421" s="36" t="s">
        <v>977</v>
      </c>
      <c r="N421" s="36" t="s">
        <v>1364</v>
      </c>
      <c r="O421" s="36" t="s">
        <v>971</v>
      </c>
      <c r="P421" s="36" t="s">
        <v>1567</v>
      </c>
      <c r="Q421" s="36" t="s">
        <v>1084</v>
      </c>
      <c r="R421" s="37">
        <v>46083</v>
      </c>
      <c r="S421" s="37">
        <v>46083</v>
      </c>
      <c r="T421" s="37">
        <v>46086</v>
      </c>
      <c r="U421" s="36"/>
      <c r="V421" s="36" t="s">
        <v>132</v>
      </c>
      <c r="W421" s="36" t="s">
        <v>114</v>
      </c>
      <c r="X421" s="36" t="s">
        <v>132</v>
      </c>
      <c r="Y421" s="36" t="s">
        <v>132</v>
      </c>
      <c r="Z421" s="36" t="s">
        <v>132</v>
      </c>
      <c r="AA421" s="36" t="s">
        <v>132</v>
      </c>
      <c r="AB421" s="36" t="s">
        <v>114</v>
      </c>
      <c r="AC421" s="36"/>
      <c r="AE421" s="36" t="s">
        <v>114</v>
      </c>
      <c r="AF421" s="36" t="s">
        <v>132</v>
      </c>
      <c r="AG421" s="36" t="s">
        <v>132</v>
      </c>
      <c r="AH421" s="36" t="s">
        <v>132</v>
      </c>
      <c r="AI421" s="36" t="s">
        <v>132</v>
      </c>
      <c r="AJ421" s="36" t="s">
        <v>132</v>
      </c>
      <c r="AK421" s="36" t="s">
        <v>132</v>
      </c>
      <c r="AL421" s="36"/>
      <c r="AM421" s="36" t="s">
        <v>114</v>
      </c>
      <c r="AN421" s="36" t="s">
        <v>132</v>
      </c>
      <c r="AO421" s="36"/>
      <c r="AP421" s="36" t="s">
        <v>132</v>
      </c>
      <c r="AQ421" s="36" t="s">
        <v>132</v>
      </c>
      <c r="AR421" s="36" t="s">
        <v>1568</v>
      </c>
      <c r="AS421" s="37">
        <v>46108</v>
      </c>
      <c r="AT421" s="36"/>
      <c r="AU421" s="36" t="s">
        <v>114</v>
      </c>
      <c r="AV421" s="36" t="s">
        <v>115</v>
      </c>
      <c r="AW421" s="36"/>
      <c r="AX421" s="36"/>
      <c r="AY421" s="36"/>
      <c r="AZ421" s="36"/>
      <c r="BA421" s="36"/>
      <c r="BB421" s="36" t="s">
        <v>114</v>
      </c>
      <c r="BC421" s="37">
        <v>46100</v>
      </c>
      <c r="BD421" s="36" t="s">
        <v>116</v>
      </c>
      <c r="BE421" s="36"/>
      <c r="BF421" s="36" t="s">
        <v>1475</v>
      </c>
      <c r="BG421" s="36" t="s">
        <v>449</v>
      </c>
      <c r="BH421" s="36"/>
      <c r="BI421" s="36"/>
      <c r="BJ421" t="str">
        <f t="shared" si="90"/>
        <v/>
      </c>
      <c r="BK421" s="36" t="s">
        <v>137</v>
      </c>
      <c r="BL421" t="str">
        <f t="shared" si="93"/>
        <v>S12_2026</v>
      </c>
      <c r="BM421" s="36" t="s">
        <v>159</v>
      </c>
      <c r="BN421" s="37">
        <v>46112</v>
      </c>
      <c r="BO421" s="36" t="str">
        <f t="shared" si="80"/>
        <v>S14_2026</v>
      </c>
      <c r="BP421" s="36" t="s">
        <v>114</v>
      </c>
      <c r="BQ421" s="36" t="s">
        <v>450</v>
      </c>
      <c r="BR421" s="36" t="s">
        <v>451</v>
      </c>
      <c r="BS421" s="36" t="s">
        <v>132</v>
      </c>
      <c r="CI421" t="s">
        <v>119</v>
      </c>
      <c r="CP421" s="37">
        <v>46100</v>
      </c>
      <c r="CQ421" t="s">
        <v>132</v>
      </c>
      <c r="CR421">
        <f t="shared" si="84"/>
        <v>8</v>
      </c>
      <c r="CS421">
        <f t="shared" si="85"/>
        <v>4</v>
      </c>
      <c r="CT421">
        <f t="shared" si="92"/>
        <v>17</v>
      </c>
      <c r="CU421">
        <f t="shared" si="86"/>
        <v>0</v>
      </c>
      <c r="CV421" t="str">
        <f t="shared" si="87"/>
        <v/>
      </c>
      <c r="CW421" t="s">
        <v>132</v>
      </c>
      <c r="CX421" s="37">
        <v>46083</v>
      </c>
      <c r="CY421" t="str">
        <f t="shared" si="89"/>
        <v>S10_2026</v>
      </c>
      <c r="CZ421" t="s">
        <v>132</v>
      </c>
      <c r="DB421" t="s">
        <v>132</v>
      </c>
      <c r="DC421" t="s">
        <v>120</v>
      </c>
    </row>
    <row r="422" spans="1:107" x14ac:dyDescent="0.35">
      <c r="A422" s="36" t="s">
        <v>1569</v>
      </c>
      <c r="B422" s="10" t="str">
        <f t="shared" si="91"/>
        <v>S14_2026</v>
      </c>
      <c r="C422" s="10" t="str">
        <f t="shared" si="83"/>
        <v>S9_2026</v>
      </c>
      <c r="D422" s="11">
        <v>46111</v>
      </c>
      <c r="E422" s="36" t="s">
        <v>106</v>
      </c>
      <c r="F422" s="69">
        <v>35</v>
      </c>
      <c r="H422" s="36" t="s">
        <v>108</v>
      </c>
      <c r="L422" s="36" t="s">
        <v>163</v>
      </c>
      <c r="M422" s="36" t="s">
        <v>776</v>
      </c>
      <c r="N422" s="36" t="s">
        <v>1380</v>
      </c>
      <c r="Q422" s="36" t="s">
        <v>776</v>
      </c>
      <c r="R422" s="11">
        <v>46081</v>
      </c>
      <c r="S422" s="11">
        <v>46081</v>
      </c>
      <c r="T422" s="11">
        <v>46081</v>
      </c>
      <c r="AR422" t="s">
        <v>1570</v>
      </c>
      <c r="AS422" s="11">
        <v>46105</v>
      </c>
      <c r="AU422" t="s">
        <v>114</v>
      </c>
      <c r="AV422" t="s">
        <v>115</v>
      </c>
      <c r="BB422" s="36" t="s">
        <v>114</v>
      </c>
      <c r="BC422" s="11">
        <v>46099</v>
      </c>
      <c r="BD422" t="s">
        <v>169</v>
      </c>
      <c r="BF422" s="36" t="s">
        <v>1380</v>
      </c>
      <c r="BG422" t="s">
        <v>132</v>
      </c>
      <c r="BJ422" t="str">
        <f t="shared" si="90"/>
        <v/>
      </c>
      <c r="BK422" t="s">
        <v>170</v>
      </c>
      <c r="BL422" t="str">
        <f t="shared" si="93"/>
        <v>S12_2026</v>
      </c>
      <c r="BM422" s="36" t="s">
        <v>159</v>
      </c>
      <c r="BN422" s="11">
        <v>46111</v>
      </c>
      <c r="BO422" s="36" t="str">
        <f t="shared" si="80"/>
        <v>S14_2026</v>
      </c>
      <c r="BP422" t="s">
        <v>114</v>
      </c>
      <c r="BQ422" t="s">
        <v>118</v>
      </c>
      <c r="BS422" s="36" t="s">
        <v>132</v>
      </c>
      <c r="CI422" t="s">
        <v>119</v>
      </c>
      <c r="CP422" s="11">
        <v>46099</v>
      </c>
      <c r="CR422">
        <f t="shared" si="84"/>
        <v>6</v>
      </c>
      <c r="CS422">
        <f t="shared" si="85"/>
        <v>6</v>
      </c>
      <c r="CT422">
        <f t="shared" si="92"/>
        <v>18</v>
      </c>
      <c r="CU422" t="str">
        <f t="shared" si="86"/>
        <v/>
      </c>
      <c r="CV422" t="str">
        <f t="shared" si="87"/>
        <v/>
      </c>
      <c r="CX422" s="11">
        <v>46081</v>
      </c>
      <c r="CY422" t="str">
        <f t="shared" si="89"/>
        <v>S9_2026</v>
      </c>
      <c r="CZ422" t="s">
        <v>132</v>
      </c>
      <c r="DB422" t="s">
        <v>114</v>
      </c>
      <c r="DC422" t="s">
        <v>160</v>
      </c>
    </row>
    <row r="423" spans="1:107" x14ac:dyDescent="0.35">
      <c r="A423" s="36" t="s">
        <v>1571</v>
      </c>
      <c r="B423" s="10" t="str">
        <f t="shared" si="91"/>
        <v>S14_2026</v>
      </c>
      <c r="C423" s="10" t="str">
        <f t="shared" si="83"/>
        <v>S3_2026</v>
      </c>
      <c r="D423" s="11">
        <v>46111</v>
      </c>
      <c r="E423" s="36" t="s">
        <v>123</v>
      </c>
      <c r="F423" s="69">
        <v>13</v>
      </c>
      <c r="H423" s="36" t="s">
        <v>108</v>
      </c>
      <c r="L423" s="36" t="s">
        <v>163</v>
      </c>
      <c r="M423" s="36" t="s">
        <v>776</v>
      </c>
      <c r="N423" s="36" t="s">
        <v>1380</v>
      </c>
      <c r="Q423" s="36" t="s">
        <v>776</v>
      </c>
      <c r="R423" s="11">
        <v>46040</v>
      </c>
      <c r="S423" s="11">
        <v>46040</v>
      </c>
      <c r="T423" s="11">
        <v>46040</v>
      </c>
      <c r="AR423" t="s">
        <v>1572</v>
      </c>
      <c r="AS423" s="11">
        <v>46105</v>
      </c>
      <c r="AU423" t="s">
        <v>114</v>
      </c>
      <c r="AV423" t="s">
        <v>115</v>
      </c>
      <c r="BB423" s="36" t="s">
        <v>114</v>
      </c>
      <c r="BC423" s="11">
        <v>46100</v>
      </c>
      <c r="BD423" t="s">
        <v>169</v>
      </c>
      <c r="BF423" s="36" t="s">
        <v>1380</v>
      </c>
      <c r="BG423" t="s">
        <v>132</v>
      </c>
      <c r="BJ423" t="str">
        <f t="shared" si="90"/>
        <v/>
      </c>
      <c r="BK423" t="s">
        <v>170</v>
      </c>
      <c r="BL423" t="str">
        <f t="shared" si="93"/>
        <v>S12_2026</v>
      </c>
      <c r="BM423" s="36" t="s">
        <v>159</v>
      </c>
      <c r="BN423" s="11">
        <v>46111</v>
      </c>
      <c r="BO423" s="36" t="str">
        <f t="shared" si="80"/>
        <v>S14_2026</v>
      </c>
      <c r="BP423" t="s">
        <v>114</v>
      </c>
      <c r="BQ423" t="s">
        <v>118</v>
      </c>
      <c r="BS423" s="36" t="s">
        <v>132</v>
      </c>
      <c r="CI423" t="s">
        <v>119</v>
      </c>
      <c r="CP423" s="11">
        <v>46100</v>
      </c>
      <c r="CR423">
        <f t="shared" si="84"/>
        <v>5</v>
      </c>
      <c r="CS423">
        <f t="shared" si="85"/>
        <v>6</v>
      </c>
      <c r="CT423">
        <f t="shared" si="92"/>
        <v>60</v>
      </c>
      <c r="CU423" t="str">
        <f t="shared" si="86"/>
        <v/>
      </c>
      <c r="CV423" t="str">
        <f t="shared" si="87"/>
        <v/>
      </c>
      <c r="CX423" s="11">
        <v>46040</v>
      </c>
      <c r="CY423" t="str">
        <f t="shared" si="89"/>
        <v>S3_2026</v>
      </c>
      <c r="CZ423" t="s">
        <v>132</v>
      </c>
      <c r="DB423" t="s">
        <v>114</v>
      </c>
      <c r="DC423" t="s">
        <v>160</v>
      </c>
    </row>
    <row r="424" spans="1:107" x14ac:dyDescent="0.35">
      <c r="A424" s="36" t="s">
        <v>1573</v>
      </c>
      <c r="B424" s="10" t="str">
        <f t="shared" si="91"/>
        <v>S14_2026</v>
      </c>
      <c r="C424" s="10" t="str">
        <f t="shared" si="83"/>
        <v>S6_2026</v>
      </c>
      <c r="D424" s="11">
        <v>46111</v>
      </c>
      <c r="E424" s="36" t="s">
        <v>106</v>
      </c>
      <c r="F424" s="69">
        <v>6</v>
      </c>
      <c r="H424" s="36" t="s">
        <v>108</v>
      </c>
      <c r="L424" s="36" t="s">
        <v>163</v>
      </c>
      <c r="M424" s="36" t="s">
        <v>776</v>
      </c>
      <c r="N424" s="36" t="s">
        <v>1380</v>
      </c>
      <c r="Q424" s="36" t="s">
        <v>776</v>
      </c>
      <c r="R424" s="11">
        <v>46059</v>
      </c>
      <c r="S424" s="11">
        <v>46059</v>
      </c>
      <c r="T424" s="11">
        <v>46059</v>
      </c>
      <c r="AR424" t="s">
        <v>1574</v>
      </c>
      <c r="AS424" s="11">
        <v>46105</v>
      </c>
      <c r="AU424" t="s">
        <v>114</v>
      </c>
      <c r="AV424" t="s">
        <v>115</v>
      </c>
      <c r="BB424" s="36" t="s">
        <v>114</v>
      </c>
      <c r="BC424" s="11">
        <v>46099</v>
      </c>
      <c r="BD424" t="s">
        <v>169</v>
      </c>
      <c r="BF424" s="36" t="s">
        <v>1380</v>
      </c>
      <c r="BG424" t="s">
        <v>132</v>
      </c>
      <c r="BJ424" t="str">
        <f t="shared" si="90"/>
        <v/>
      </c>
      <c r="BK424" t="s">
        <v>170</v>
      </c>
      <c r="BL424" t="str">
        <f t="shared" si="93"/>
        <v>S12_2026</v>
      </c>
      <c r="BM424" s="36" t="s">
        <v>159</v>
      </c>
      <c r="BN424" s="11">
        <v>46111</v>
      </c>
      <c r="BO424" s="36" t="str">
        <f t="shared" si="80"/>
        <v>S14_2026</v>
      </c>
      <c r="BP424" t="s">
        <v>114</v>
      </c>
      <c r="BQ424" t="s">
        <v>118</v>
      </c>
      <c r="BS424" s="36" t="s">
        <v>132</v>
      </c>
      <c r="CI424" t="s">
        <v>119</v>
      </c>
      <c r="CP424" s="11">
        <v>46099</v>
      </c>
      <c r="CR424">
        <f t="shared" si="84"/>
        <v>6</v>
      </c>
      <c r="CS424">
        <f t="shared" si="85"/>
        <v>6</v>
      </c>
      <c r="CT424">
        <f t="shared" si="92"/>
        <v>40</v>
      </c>
      <c r="CU424" t="str">
        <f t="shared" si="86"/>
        <v/>
      </c>
      <c r="CV424" t="str">
        <f t="shared" si="87"/>
        <v/>
      </c>
      <c r="CX424" s="11">
        <v>46059</v>
      </c>
      <c r="CY424" t="str">
        <f t="shared" si="89"/>
        <v>S6_2026</v>
      </c>
      <c r="CZ424" t="s">
        <v>132</v>
      </c>
      <c r="DB424" t="s">
        <v>114</v>
      </c>
      <c r="DC424" t="s">
        <v>160</v>
      </c>
    </row>
    <row r="425" spans="1:107" x14ac:dyDescent="0.35">
      <c r="A425" s="36" t="s">
        <v>1575</v>
      </c>
      <c r="B425" s="10" t="str">
        <f t="shared" si="91"/>
        <v>S14_2026</v>
      </c>
      <c r="C425" s="10" t="str">
        <f t="shared" si="83"/>
        <v>S9_2026</v>
      </c>
      <c r="D425" s="11">
        <v>46111</v>
      </c>
      <c r="E425" s="36" t="s">
        <v>123</v>
      </c>
      <c r="F425" s="69">
        <v>10</v>
      </c>
      <c r="H425" s="36" t="s">
        <v>108</v>
      </c>
      <c r="L425" s="36" t="s">
        <v>163</v>
      </c>
      <c r="M425" s="36" t="s">
        <v>776</v>
      </c>
      <c r="N425" s="36" t="s">
        <v>1380</v>
      </c>
      <c r="Q425" s="36" t="s">
        <v>776</v>
      </c>
      <c r="R425" s="11">
        <v>46080</v>
      </c>
      <c r="S425" s="11">
        <v>46080</v>
      </c>
      <c r="T425" s="11">
        <v>46080</v>
      </c>
      <c r="AR425" t="s">
        <v>1576</v>
      </c>
      <c r="AS425" s="11">
        <v>46105</v>
      </c>
      <c r="AU425" t="s">
        <v>114</v>
      </c>
      <c r="AV425" t="s">
        <v>115</v>
      </c>
      <c r="BB425" s="36" t="s">
        <v>114</v>
      </c>
      <c r="BC425" s="11">
        <v>46099</v>
      </c>
      <c r="BD425" t="s">
        <v>169</v>
      </c>
      <c r="BF425" s="36" t="s">
        <v>1380</v>
      </c>
      <c r="BG425" t="s">
        <v>132</v>
      </c>
      <c r="BJ425" t="str">
        <f t="shared" si="90"/>
        <v/>
      </c>
      <c r="BK425" t="s">
        <v>170</v>
      </c>
      <c r="BL425" t="str">
        <f t="shared" si="93"/>
        <v>S12_2026</v>
      </c>
      <c r="BM425" s="36" t="s">
        <v>159</v>
      </c>
      <c r="BN425" s="11">
        <v>46111</v>
      </c>
      <c r="BO425" s="36" t="str">
        <f t="shared" si="80"/>
        <v>S14_2026</v>
      </c>
      <c r="BP425" t="s">
        <v>114</v>
      </c>
      <c r="BQ425" t="s">
        <v>118</v>
      </c>
      <c r="BS425" s="36" t="s">
        <v>132</v>
      </c>
      <c r="CI425" t="s">
        <v>119</v>
      </c>
      <c r="CP425" s="11">
        <v>46099</v>
      </c>
      <c r="CR425">
        <f t="shared" si="84"/>
        <v>6</v>
      </c>
      <c r="CS425">
        <f t="shared" si="85"/>
        <v>6</v>
      </c>
      <c r="CT425">
        <f t="shared" si="92"/>
        <v>19</v>
      </c>
      <c r="CU425" t="str">
        <f t="shared" si="86"/>
        <v/>
      </c>
      <c r="CV425" t="str">
        <f t="shared" si="87"/>
        <v/>
      </c>
      <c r="CX425" s="11">
        <v>46080</v>
      </c>
      <c r="CY425" t="str">
        <f t="shared" si="89"/>
        <v>S9_2026</v>
      </c>
      <c r="CZ425" t="s">
        <v>132</v>
      </c>
      <c r="DB425" t="s">
        <v>114</v>
      </c>
      <c r="DC425" t="s">
        <v>160</v>
      </c>
    </row>
    <row r="426" spans="1:107" x14ac:dyDescent="0.35">
      <c r="A426" s="36" t="s">
        <v>1577</v>
      </c>
      <c r="B426" s="10" t="str">
        <f t="shared" si="91"/>
        <v>S14_2026</v>
      </c>
      <c r="C426" s="10" t="str">
        <f t="shared" si="83"/>
        <v>S1_2026</v>
      </c>
      <c r="D426" s="11">
        <v>46111</v>
      </c>
      <c r="E426" s="36" t="s">
        <v>123</v>
      </c>
      <c r="F426" s="69">
        <v>15</v>
      </c>
      <c r="H426" s="36" t="s">
        <v>108</v>
      </c>
      <c r="L426" s="36" t="s">
        <v>163</v>
      </c>
      <c r="M426" s="36" t="s">
        <v>776</v>
      </c>
      <c r="N426" s="36" t="s">
        <v>1380</v>
      </c>
      <c r="Q426" s="36" t="s">
        <v>776</v>
      </c>
      <c r="R426" s="11">
        <v>46023</v>
      </c>
      <c r="S426" s="11">
        <v>46023</v>
      </c>
      <c r="T426" s="11">
        <v>46023</v>
      </c>
      <c r="AR426" t="s">
        <v>1578</v>
      </c>
      <c r="AS426" s="11">
        <v>46105</v>
      </c>
      <c r="AU426" t="s">
        <v>114</v>
      </c>
      <c r="AV426" t="s">
        <v>115</v>
      </c>
      <c r="BB426" s="36" t="s">
        <v>114</v>
      </c>
      <c r="BC426" s="11">
        <v>46099</v>
      </c>
      <c r="BD426" t="s">
        <v>169</v>
      </c>
      <c r="BF426" s="36" t="s">
        <v>1380</v>
      </c>
      <c r="BG426" t="s">
        <v>132</v>
      </c>
      <c r="BJ426" t="str">
        <f t="shared" si="90"/>
        <v/>
      </c>
      <c r="BK426" t="s">
        <v>170</v>
      </c>
      <c r="BL426" t="str">
        <f t="shared" si="93"/>
        <v>S12_2026</v>
      </c>
      <c r="BM426" s="36" t="s">
        <v>159</v>
      </c>
      <c r="BN426" s="11">
        <v>46111</v>
      </c>
      <c r="BO426" s="36" t="str">
        <f t="shared" si="80"/>
        <v>S14_2026</v>
      </c>
      <c r="BP426" t="s">
        <v>114</v>
      </c>
      <c r="BQ426" t="s">
        <v>118</v>
      </c>
      <c r="BS426" s="36" t="s">
        <v>132</v>
      </c>
      <c r="CI426" t="s">
        <v>119</v>
      </c>
      <c r="CP426" s="11">
        <v>46099</v>
      </c>
      <c r="CR426">
        <f t="shared" si="84"/>
        <v>6</v>
      </c>
      <c r="CS426">
        <f t="shared" si="85"/>
        <v>6</v>
      </c>
      <c r="CT426">
        <f t="shared" si="92"/>
        <v>76</v>
      </c>
      <c r="CU426" t="str">
        <f t="shared" si="86"/>
        <v/>
      </c>
      <c r="CV426" t="str">
        <f t="shared" si="87"/>
        <v/>
      </c>
      <c r="CX426" s="11">
        <v>46023</v>
      </c>
      <c r="CY426" t="str">
        <f t="shared" si="89"/>
        <v>S1_2026</v>
      </c>
      <c r="CZ426" t="s">
        <v>132</v>
      </c>
      <c r="DB426" t="s">
        <v>114</v>
      </c>
      <c r="DC426" t="s">
        <v>160</v>
      </c>
    </row>
    <row r="427" spans="1:107" x14ac:dyDescent="0.35">
      <c r="A427" s="36" t="s">
        <v>1579</v>
      </c>
      <c r="B427" s="10" t="str">
        <f t="shared" si="91"/>
        <v>S14_2026</v>
      </c>
      <c r="C427" s="10" t="str">
        <f t="shared" si="83"/>
        <v>S1_2026</v>
      </c>
      <c r="D427" s="11">
        <v>46111</v>
      </c>
      <c r="E427" s="36" t="s">
        <v>123</v>
      </c>
      <c r="F427" s="69">
        <v>18</v>
      </c>
      <c r="H427" s="36" t="s">
        <v>108</v>
      </c>
      <c r="L427" s="36" t="s">
        <v>163</v>
      </c>
      <c r="M427" s="36" t="s">
        <v>776</v>
      </c>
      <c r="N427" s="36" t="s">
        <v>1380</v>
      </c>
      <c r="Q427" s="36" t="s">
        <v>776</v>
      </c>
      <c r="R427" s="11">
        <v>46023</v>
      </c>
      <c r="S427" s="11">
        <v>46023</v>
      </c>
      <c r="T427" s="11">
        <v>46023</v>
      </c>
      <c r="AR427" t="s">
        <v>1580</v>
      </c>
      <c r="AS427" s="11">
        <v>46105</v>
      </c>
      <c r="AU427" t="s">
        <v>114</v>
      </c>
      <c r="AV427" t="s">
        <v>115</v>
      </c>
      <c r="BB427" s="36" t="s">
        <v>114</v>
      </c>
      <c r="BC427" s="11">
        <v>46099</v>
      </c>
      <c r="BD427" t="s">
        <v>169</v>
      </c>
      <c r="BF427" s="36" t="s">
        <v>1380</v>
      </c>
      <c r="BG427" t="s">
        <v>132</v>
      </c>
      <c r="BJ427" t="str">
        <f t="shared" si="90"/>
        <v/>
      </c>
      <c r="BK427" t="s">
        <v>170</v>
      </c>
      <c r="BL427" t="str">
        <f t="shared" si="93"/>
        <v>S12_2026</v>
      </c>
      <c r="BM427" s="36" t="s">
        <v>159</v>
      </c>
      <c r="BN427" s="11">
        <v>46111</v>
      </c>
      <c r="BO427" s="36" t="str">
        <f t="shared" si="80"/>
        <v>S14_2026</v>
      </c>
      <c r="BP427" t="s">
        <v>114</v>
      </c>
      <c r="BQ427" t="s">
        <v>118</v>
      </c>
      <c r="BS427" s="36" t="s">
        <v>132</v>
      </c>
      <c r="CI427" t="s">
        <v>119</v>
      </c>
      <c r="CP427" s="11">
        <v>46099</v>
      </c>
      <c r="CR427">
        <f t="shared" si="84"/>
        <v>6</v>
      </c>
      <c r="CS427">
        <f t="shared" si="85"/>
        <v>6</v>
      </c>
      <c r="CT427">
        <f t="shared" si="92"/>
        <v>76</v>
      </c>
      <c r="CU427" t="str">
        <f t="shared" si="86"/>
        <v/>
      </c>
      <c r="CV427" t="str">
        <f t="shared" si="87"/>
        <v/>
      </c>
      <c r="CX427" s="11">
        <v>46023</v>
      </c>
      <c r="CY427" t="str">
        <f t="shared" si="89"/>
        <v>S1_2026</v>
      </c>
      <c r="CZ427" t="s">
        <v>132</v>
      </c>
      <c r="DB427" t="s">
        <v>114</v>
      </c>
      <c r="DC427" t="s">
        <v>160</v>
      </c>
    </row>
    <row r="428" spans="1:107" x14ac:dyDescent="0.35">
      <c r="A428" s="36" t="s">
        <v>1581</v>
      </c>
      <c r="B428" s="10" t="str">
        <f t="shared" si="91"/>
        <v>S14_2026</v>
      </c>
      <c r="C428" s="10" t="str">
        <f t="shared" si="83"/>
        <v>S9_2026</v>
      </c>
      <c r="D428" s="11">
        <v>46111</v>
      </c>
      <c r="E428" s="36" t="s">
        <v>123</v>
      </c>
      <c r="F428" s="69">
        <v>5</v>
      </c>
      <c r="H428" s="36" t="s">
        <v>108</v>
      </c>
      <c r="L428" s="36" t="s">
        <v>163</v>
      </c>
      <c r="M428" s="36" t="s">
        <v>776</v>
      </c>
      <c r="N428" s="36" t="s">
        <v>1380</v>
      </c>
      <c r="Q428" s="36" t="s">
        <v>776</v>
      </c>
      <c r="R428" s="11">
        <v>46080</v>
      </c>
      <c r="S428" s="11">
        <v>46080</v>
      </c>
      <c r="T428" s="11">
        <v>46080</v>
      </c>
      <c r="AR428" t="s">
        <v>1582</v>
      </c>
      <c r="AS428" s="11">
        <v>46105</v>
      </c>
      <c r="AU428" t="s">
        <v>114</v>
      </c>
      <c r="AV428" t="s">
        <v>115</v>
      </c>
      <c r="BB428" s="36" t="s">
        <v>114</v>
      </c>
      <c r="BC428" s="11">
        <v>46099</v>
      </c>
      <c r="BD428" t="s">
        <v>169</v>
      </c>
      <c r="BF428" s="36" t="s">
        <v>1380</v>
      </c>
      <c r="BG428" t="s">
        <v>132</v>
      </c>
      <c r="BJ428" t="str">
        <f t="shared" si="90"/>
        <v/>
      </c>
      <c r="BK428" t="s">
        <v>170</v>
      </c>
      <c r="BL428" t="str">
        <f t="shared" si="93"/>
        <v>S12_2026</v>
      </c>
      <c r="BM428" s="36" t="s">
        <v>159</v>
      </c>
      <c r="BN428" s="11">
        <v>46111</v>
      </c>
      <c r="BO428" s="36" t="str">
        <f t="shared" si="80"/>
        <v>S14_2026</v>
      </c>
      <c r="BP428" t="s">
        <v>114</v>
      </c>
      <c r="BQ428" t="s">
        <v>118</v>
      </c>
      <c r="BS428" s="36" t="s">
        <v>132</v>
      </c>
      <c r="CI428" t="s">
        <v>119</v>
      </c>
      <c r="CP428" s="11">
        <v>46099</v>
      </c>
      <c r="CR428">
        <f t="shared" si="84"/>
        <v>6</v>
      </c>
      <c r="CS428">
        <f t="shared" si="85"/>
        <v>6</v>
      </c>
      <c r="CT428">
        <f t="shared" si="92"/>
        <v>19</v>
      </c>
      <c r="CU428" t="str">
        <f t="shared" si="86"/>
        <v/>
      </c>
      <c r="CV428" t="str">
        <f t="shared" si="87"/>
        <v/>
      </c>
      <c r="CX428" s="11">
        <v>46080</v>
      </c>
      <c r="CY428" t="str">
        <f t="shared" si="89"/>
        <v>S9_2026</v>
      </c>
      <c r="CZ428" t="s">
        <v>132</v>
      </c>
      <c r="DB428" t="s">
        <v>114</v>
      </c>
      <c r="DC428" t="s">
        <v>160</v>
      </c>
    </row>
    <row r="429" spans="1:107" x14ac:dyDescent="0.35">
      <c r="A429" s="36" t="s">
        <v>1583</v>
      </c>
      <c r="B429" s="10" t="str">
        <f t="shared" si="91"/>
        <v>S14_2026</v>
      </c>
      <c r="C429" s="10" t="str">
        <f t="shared" si="83"/>
        <v>S11_2026</v>
      </c>
      <c r="D429" s="11">
        <v>46111</v>
      </c>
      <c r="E429" s="36" t="s">
        <v>123</v>
      </c>
      <c r="F429" s="69">
        <v>17</v>
      </c>
      <c r="H429" s="36" t="s">
        <v>108</v>
      </c>
      <c r="L429" s="36" t="s">
        <v>163</v>
      </c>
      <c r="M429" s="36" t="s">
        <v>776</v>
      </c>
      <c r="N429" s="36" t="s">
        <v>1380</v>
      </c>
      <c r="Q429" s="36" t="s">
        <v>776</v>
      </c>
      <c r="R429" s="11">
        <v>46091</v>
      </c>
      <c r="S429" s="11">
        <v>46091</v>
      </c>
      <c r="T429" s="11">
        <v>46091</v>
      </c>
      <c r="AR429" t="s">
        <v>1584</v>
      </c>
      <c r="AS429" s="11">
        <v>46105</v>
      </c>
      <c r="AU429" t="s">
        <v>114</v>
      </c>
      <c r="AV429" t="s">
        <v>115</v>
      </c>
      <c r="BB429" s="36" t="s">
        <v>114</v>
      </c>
      <c r="BC429" s="11">
        <v>46099</v>
      </c>
      <c r="BD429" t="s">
        <v>169</v>
      </c>
      <c r="BF429" s="36" t="s">
        <v>1380</v>
      </c>
      <c r="BG429" t="s">
        <v>132</v>
      </c>
      <c r="BJ429" t="str">
        <f t="shared" si="90"/>
        <v/>
      </c>
      <c r="BK429" t="s">
        <v>170</v>
      </c>
      <c r="BL429" t="str">
        <f t="shared" si="93"/>
        <v>S12_2026</v>
      </c>
      <c r="BM429" s="36" t="s">
        <v>159</v>
      </c>
      <c r="BN429" s="11">
        <v>46111</v>
      </c>
      <c r="BO429" s="36" t="str">
        <f t="shared" si="80"/>
        <v>S14_2026</v>
      </c>
      <c r="BP429" t="s">
        <v>114</v>
      </c>
      <c r="BQ429" t="s">
        <v>118</v>
      </c>
      <c r="BS429" s="36" t="s">
        <v>132</v>
      </c>
      <c r="CI429" t="s">
        <v>119</v>
      </c>
      <c r="CP429" s="11">
        <v>46099</v>
      </c>
      <c r="CR429">
        <f t="shared" si="84"/>
        <v>6</v>
      </c>
      <c r="CS429">
        <f t="shared" si="85"/>
        <v>6</v>
      </c>
      <c r="CT429">
        <f t="shared" si="92"/>
        <v>8</v>
      </c>
      <c r="CU429" t="str">
        <f t="shared" si="86"/>
        <v/>
      </c>
      <c r="CV429" t="str">
        <f t="shared" si="87"/>
        <v/>
      </c>
      <c r="CX429" s="11">
        <v>46091</v>
      </c>
      <c r="CY429" t="str">
        <f t="shared" si="89"/>
        <v>S11_2026</v>
      </c>
      <c r="CZ429" t="s">
        <v>132</v>
      </c>
      <c r="DB429" t="s">
        <v>114</v>
      </c>
      <c r="DC429" t="s">
        <v>160</v>
      </c>
    </row>
    <row r="430" spans="1:107" x14ac:dyDescent="0.35">
      <c r="A430" s="36" t="s">
        <v>1585</v>
      </c>
      <c r="B430" s="10" t="str">
        <f t="shared" si="91"/>
        <v>S14_2026</v>
      </c>
      <c r="C430" s="10" t="str">
        <f t="shared" si="83"/>
        <v>S8_2026</v>
      </c>
      <c r="D430" s="11">
        <v>46111</v>
      </c>
      <c r="E430" s="36" t="s">
        <v>123</v>
      </c>
      <c r="F430" s="69">
        <v>9</v>
      </c>
      <c r="H430" s="36" t="s">
        <v>108</v>
      </c>
      <c r="L430" s="36" t="s">
        <v>163</v>
      </c>
      <c r="M430" s="36" t="s">
        <v>776</v>
      </c>
      <c r="N430" s="36" t="s">
        <v>1380</v>
      </c>
      <c r="Q430" s="36" t="s">
        <v>776</v>
      </c>
      <c r="R430" s="11">
        <v>46071</v>
      </c>
      <c r="S430" s="11">
        <v>46071</v>
      </c>
      <c r="T430" s="11">
        <v>46071</v>
      </c>
      <c r="AR430" t="s">
        <v>1586</v>
      </c>
      <c r="AS430" s="11">
        <v>46105</v>
      </c>
      <c r="AU430" t="s">
        <v>114</v>
      </c>
      <c r="AV430" t="s">
        <v>115</v>
      </c>
      <c r="BB430" s="36" t="s">
        <v>114</v>
      </c>
      <c r="BC430" s="11">
        <v>46099</v>
      </c>
      <c r="BD430" t="s">
        <v>169</v>
      </c>
      <c r="BF430" s="36" t="s">
        <v>1380</v>
      </c>
      <c r="BG430" t="s">
        <v>132</v>
      </c>
      <c r="BJ430" t="str">
        <f t="shared" si="90"/>
        <v/>
      </c>
      <c r="BK430" t="s">
        <v>170</v>
      </c>
      <c r="BL430" t="str">
        <f t="shared" si="93"/>
        <v>S12_2026</v>
      </c>
      <c r="BM430" s="36" t="s">
        <v>159</v>
      </c>
      <c r="BN430" s="11">
        <v>46111</v>
      </c>
      <c r="BO430" s="36" t="str">
        <f t="shared" si="80"/>
        <v>S14_2026</v>
      </c>
      <c r="BP430" t="s">
        <v>114</v>
      </c>
      <c r="BQ430" t="s">
        <v>118</v>
      </c>
      <c r="BS430" s="36" t="s">
        <v>132</v>
      </c>
      <c r="CI430" t="s">
        <v>119</v>
      </c>
      <c r="CP430" s="11">
        <v>46099</v>
      </c>
      <c r="CR430">
        <f t="shared" si="84"/>
        <v>6</v>
      </c>
      <c r="CS430">
        <f t="shared" si="85"/>
        <v>6</v>
      </c>
      <c r="CT430">
        <f t="shared" si="92"/>
        <v>28</v>
      </c>
      <c r="CU430" t="str">
        <f t="shared" si="86"/>
        <v/>
      </c>
      <c r="CV430" t="str">
        <f t="shared" si="87"/>
        <v/>
      </c>
      <c r="CX430" s="11">
        <v>46071</v>
      </c>
      <c r="CY430" t="str">
        <f t="shared" si="89"/>
        <v>S8_2026</v>
      </c>
      <c r="CZ430" t="s">
        <v>132</v>
      </c>
      <c r="DB430" t="s">
        <v>114</v>
      </c>
      <c r="DC430" t="s">
        <v>160</v>
      </c>
    </row>
    <row r="431" spans="1:107" x14ac:dyDescent="0.35">
      <c r="A431" s="36" t="s">
        <v>1587</v>
      </c>
      <c r="B431" s="10" t="str">
        <f t="shared" si="91"/>
        <v>S14_2026</v>
      </c>
      <c r="C431" s="10" t="str">
        <f t="shared" si="83"/>
        <v>S7_2026</v>
      </c>
      <c r="D431" s="11">
        <v>46111</v>
      </c>
      <c r="E431" s="36" t="s">
        <v>123</v>
      </c>
      <c r="F431" s="69">
        <v>22</v>
      </c>
      <c r="H431" s="36" t="s">
        <v>108</v>
      </c>
      <c r="L431" s="36" t="s">
        <v>163</v>
      </c>
      <c r="M431" s="36" t="s">
        <v>776</v>
      </c>
      <c r="N431" s="36" t="s">
        <v>1380</v>
      </c>
      <c r="Q431" s="36" t="s">
        <v>776</v>
      </c>
      <c r="R431" s="11">
        <v>46068</v>
      </c>
      <c r="S431" s="11">
        <v>46068</v>
      </c>
      <c r="T431" s="11">
        <v>46068</v>
      </c>
      <c r="AR431" t="s">
        <v>1588</v>
      </c>
      <c r="AS431" s="11">
        <v>46105</v>
      </c>
      <c r="AU431" t="s">
        <v>114</v>
      </c>
      <c r="AV431" t="s">
        <v>115</v>
      </c>
      <c r="BB431" s="36" t="s">
        <v>114</v>
      </c>
      <c r="BC431" s="11">
        <v>46099</v>
      </c>
      <c r="BD431" t="s">
        <v>169</v>
      </c>
      <c r="BF431" s="36" t="s">
        <v>1380</v>
      </c>
      <c r="BG431" t="s">
        <v>132</v>
      </c>
      <c r="BJ431" t="str">
        <f t="shared" si="90"/>
        <v/>
      </c>
      <c r="BK431" t="s">
        <v>170</v>
      </c>
      <c r="BL431" t="str">
        <f t="shared" si="93"/>
        <v>S12_2026</v>
      </c>
      <c r="BM431" s="36" t="s">
        <v>159</v>
      </c>
      <c r="BN431" s="11">
        <v>46111</v>
      </c>
      <c r="BO431" s="36" t="str">
        <f t="shared" si="80"/>
        <v>S14_2026</v>
      </c>
      <c r="BP431" t="s">
        <v>114</v>
      </c>
      <c r="BQ431" t="s">
        <v>118</v>
      </c>
      <c r="BS431" s="36" t="s">
        <v>132</v>
      </c>
      <c r="CI431" t="s">
        <v>119</v>
      </c>
      <c r="CP431" s="11">
        <v>46099</v>
      </c>
      <c r="CR431">
        <f t="shared" si="84"/>
        <v>6</v>
      </c>
      <c r="CS431">
        <f t="shared" si="85"/>
        <v>6</v>
      </c>
      <c r="CT431">
        <f t="shared" si="92"/>
        <v>31</v>
      </c>
      <c r="CU431" t="str">
        <f t="shared" si="86"/>
        <v/>
      </c>
      <c r="CV431" t="str">
        <f t="shared" si="87"/>
        <v/>
      </c>
      <c r="CX431" s="11">
        <v>46068</v>
      </c>
      <c r="CY431" t="str">
        <f t="shared" si="89"/>
        <v>S7_2026</v>
      </c>
      <c r="CZ431" t="s">
        <v>132</v>
      </c>
      <c r="DB431" t="s">
        <v>114</v>
      </c>
      <c r="DC431" t="s">
        <v>160</v>
      </c>
    </row>
    <row r="432" spans="1:107" x14ac:dyDescent="0.35">
      <c r="A432" s="36" t="s">
        <v>1589</v>
      </c>
      <c r="B432" s="10" t="str">
        <f t="shared" si="91"/>
        <v>S14_2026</v>
      </c>
      <c r="C432" s="10" t="str">
        <f t="shared" si="83"/>
        <v>S13_2026</v>
      </c>
      <c r="D432" s="11">
        <v>46113</v>
      </c>
      <c r="E432" s="36" t="s">
        <v>123</v>
      </c>
      <c r="F432" s="69">
        <v>4</v>
      </c>
      <c r="G432" t="s">
        <v>107</v>
      </c>
      <c r="H432" s="36" t="s">
        <v>108</v>
      </c>
      <c r="J432" t="s">
        <v>114</v>
      </c>
      <c r="K432" s="11">
        <v>46112</v>
      </c>
      <c r="L432" s="36" t="s">
        <v>111</v>
      </c>
      <c r="M432" s="36" t="s">
        <v>308</v>
      </c>
      <c r="N432" t="s">
        <v>1154</v>
      </c>
      <c r="O432" t="s">
        <v>1590</v>
      </c>
      <c r="P432" t="s">
        <v>515</v>
      </c>
      <c r="Q432" s="36" t="s">
        <v>312</v>
      </c>
      <c r="R432" s="11">
        <v>46106</v>
      </c>
      <c r="S432" s="11">
        <v>46106</v>
      </c>
      <c r="T432" s="11">
        <v>46106</v>
      </c>
      <c r="V432" t="s">
        <v>114</v>
      </c>
      <c r="W432" t="s">
        <v>114</v>
      </c>
      <c r="X432" t="s">
        <v>114</v>
      </c>
      <c r="Y432" t="s">
        <v>114</v>
      </c>
      <c r="Z432" t="s">
        <v>114</v>
      </c>
      <c r="AA432" t="s">
        <v>114</v>
      </c>
      <c r="AB432" t="s">
        <v>114</v>
      </c>
      <c r="AE432" t="s">
        <v>132</v>
      </c>
      <c r="AF432" t="s">
        <v>114</v>
      </c>
      <c r="AG432" t="s">
        <v>132</v>
      </c>
      <c r="AH432" t="s">
        <v>132</v>
      </c>
      <c r="AI432" t="s">
        <v>132</v>
      </c>
      <c r="AJ432" t="s">
        <v>132</v>
      </c>
      <c r="AK432" t="s">
        <v>132</v>
      </c>
      <c r="AM432" t="s">
        <v>132</v>
      </c>
      <c r="AN432" t="s">
        <v>132</v>
      </c>
      <c r="AP432" t="s">
        <v>132</v>
      </c>
      <c r="AQ432" t="s">
        <v>132</v>
      </c>
      <c r="AR432" t="s">
        <v>1591</v>
      </c>
      <c r="AS432" s="11">
        <v>46114</v>
      </c>
      <c r="AU432" t="s">
        <v>114</v>
      </c>
      <c r="AV432" t="s">
        <v>115</v>
      </c>
      <c r="BB432" s="36" t="s">
        <v>114</v>
      </c>
      <c r="BC432" s="11">
        <v>46113</v>
      </c>
      <c r="BD432" t="s">
        <v>512</v>
      </c>
      <c r="BE432">
        <v>653103348</v>
      </c>
      <c r="BF432" t="s">
        <v>570</v>
      </c>
      <c r="BG432" t="s">
        <v>114</v>
      </c>
      <c r="BJ432" t="str">
        <f t="shared" si="90"/>
        <v/>
      </c>
      <c r="BK432" s="36" t="s">
        <v>117</v>
      </c>
      <c r="BL432" t="str">
        <f t="shared" si="93"/>
        <v>S14_2026</v>
      </c>
      <c r="BM432" s="36" t="s">
        <v>159</v>
      </c>
      <c r="BN432" s="11">
        <v>46120</v>
      </c>
      <c r="BO432" s="36" t="str">
        <f t="shared" si="80"/>
        <v>S15_2026</v>
      </c>
      <c r="BP432" t="s">
        <v>114</v>
      </c>
      <c r="BQ432" t="s">
        <v>118</v>
      </c>
      <c r="BR432" t="s">
        <v>451</v>
      </c>
      <c r="BS432" s="36" t="s">
        <v>132</v>
      </c>
      <c r="CI432" t="s">
        <v>119</v>
      </c>
      <c r="CP432" s="11">
        <v>46112</v>
      </c>
      <c r="CR432">
        <f t="shared" si="84"/>
        <v>1</v>
      </c>
      <c r="CS432">
        <f t="shared" si="85"/>
        <v>6</v>
      </c>
      <c r="CT432">
        <f t="shared" si="92"/>
        <v>6</v>
      </c>
      <c r="CU432">
        <f t="shared" si="86"/>
        <v>0</v>
      </c>
      <c r="CV432" t="str">
        <f t="shared" si="87"/>
        <v/>
      </c>
      <c r="CX432" s="11">
        <v>46106</v>
      </c>
      <c r="CY432" t="str">
        <f t="shared" si="89"/>
        <v>S13_2026</v>
      </c>
      <c r="CZ432" t="s">
        <v>132</v>
      </c>
      <c r="DB432" t="s">
        <v>132</v>
      </c>
      <c r="DC432" t="s">
        <v>120</v>
      </c>
    </row>
    <row r="433" spans="1:107" x14ac:dyDescent="0.35">
      <c r="A433" t="s">
        <v>1592</v>
      </c>
      <c r="B433" s="10" t="str">
        <f t="shared" si="91"/>
        <v>S14_2026</v>
      </c>
      <c r="C433" s="10" t="str">
        <f t="shared" si="83"/>
        <v>S11_2026</v>
      </c>
      <c r="D433" s="43">
        <v>46114</v>
      </c>
      <c r="E433" s="44" t="s">
        <v>106</v>
      </c>
      <c r="F433" s="48">
        <v>23</v>
      </c>
      <c r="G433" s="44" t="s">
        <v>1593</v>
      </c>
      <c r="H433" s="44" t="s">
        <v>835</v>
      </c>
      <c r="I433" s="44"/>
      <c r="J433" s="44" t="s">
        <v>114</v>
      </c>
      <c r="K433" s="43">
        <v>46108</v>
      </c>
      <c r="L433" s="44" t="s">
        <v>126</v>
      </c>
      <c r="M433" s="44" t="s">
        <v>977</v>
      </c>
      <c r="N433" s="44" t="s">
        <v>1364</v>
      </c>
      <c r="O433" s="44" t="s">
        <v>971</v>
      </c>
      <c r="P433" s="44" t="s">
        <v>1594</v>
      </c>
      <c r="Q433" s="44" t="s">
        <v>977</v>
      </c>
      <c r="R433" s="43">
        <v>46094</v>
      </c>
      <c r="S433" s="43">
        <v>46094</v>
      </c>
      <c r="T433" s="43">
        <v>46094</v>
      </c>
      <c r="U433" s="43">
        <v>46098</v>
      </c>
      <c r="V433" s="44" t="s">
        <v>114</v>
      </c>
      <c r="W433" s="44" t="s">
        <v>114</v>
      </c>
      <c r="X433" s="44" t="s">
        <v>114</v>
      </c>
      <c r="Y433" s="44" t="s">
        <v>114</v>
      </c>
      <c r="Z433" s="44" t="s">
        <v>114</v>
      </c>
      <c r="AA433" s="44" t="s">
        <v>114</v>
      </c>
      <c r="AB433" s="44" t="s">
        <v>114</v>
      </c>
      <c r="AC433" s="44" t="s">
        <v>1238</v>
      </c>
      <c r="AE433" s="44" t="s">
        <v>114</v>
      </c>
      <c r="AF433" s="44" t="s">
        <v>114</v>
      </c>
      <c r="AG433" s="44" t="s">
        <v>114</v>
      </c>
      <c r="AH433" s="44" t="s">
        <v>132</v>
      </c>
      <c r="AI433" s="44" t="s">
        <v>132</v>
      </c>
      <c r="AJ433" s="44"/>
      <c r="AK433" s="44" t="s">
        <v>114</v>
      </c>
      <c r="AL433" s="44"/>
      <c r="AM433" s="44" t="s">
        <v>132</v>
      </c>
      <c r="AN433" s="44" t="s">
        <v>132</v>
      </c>
      <c r="AO433" s="44"/>
      <c r="AP433" s="44" t="s">
        <v>132</v>
      </c>
      <c r="AQ433" s="44" t="s">
        <v>132</v>
      </c>
      <c r="AR433" s="44" t="s">
        <v>1595</v>
      </c>
      <c r="AS433" s="43">
        <v>46114</v>
      </c>
      <c r="AT433" s="44"/>
      <c r="AU433" s="44" t="s">
        <v>114</v>
      </c>
      <c r="AV433" t="s">
        <v>134</v>
      </c>
      <c r="AW433" t="s">
        <v>152</v>
      </c>
      <c r="AX433" s="44"/>
      <c r="AY433" t="s">
        <v>135</v>
      </c>
      <c r="AZ433" s="44"/>
      <c r="BA433" s="44"/>
      <c r="BB433" s="44" t="s">
        <v>114</v>
      </c>
      <c r="BC433" s="43">
        <v>46111</v>
      </c>
      <c r="BD433" s="44" t="s">
        <v>1471</v>
      </c>
      <c r="BF433" s="44" t="s">
        <v>1594</v>
      </c>
      <c r="BG433" s="44" t="s">
        <v>449</v>
      </c>
      <c r="BH433" s="44"/>
      <c r="BI433" s="43">
        <v>46116</v>
      </c>
      <c r="BJ433" t="str">
        <f t="shared" si="90"/>
        <v>S14_2026</v>
      </c>
      <c r="BK433" s="44" t="s">
        <v>137</v>
      </c>
      <c r="BL433" t="str">
        <f t="shared" si="93"/>
        <v>S14_2026</v>
      </c>
      <c r="BM433" s="44" t="s">
        <v>159</v>
      </c>
      <c r="BN433" s="43">
        <v>46116</v>
      </c>
      <c r="BO433" s="36" t="str">
        <f t="shared" si="80"/>
        <v>S14_2026</v>
      </c>
      <c r="BP433" s="44" t="s">
        <v>114</v>
      </c>
      <c r="BQ433" s="44" t="s">
        <v>450</v>
      </c>
      <c r="BR433" s="44" t="s">
        <v>451</v>
      </c>
      <c r="BS433" s="44" t="s">
        <v>132</v>
      </c>
      <c r="CI433" t="s">
        <v>119</v>
      </c>
      <c r="CK433" t="s">
        <v>138</v>
      </c>
      <c r="CP433" s="11">
        <v>46108</v>
      </c>
      <c r="CR433">
        <f t="shared" si="84"/>
        <v>3</v>
      </c>
      <c r="CS433">
        <f t="shared" si="85"/>
        <v>2</v>
      </c>
      <c r="CT433">
        <f t="shared" si="92"/>
        <v>14</v>
      </c>
      <c r="CU433">
        <f t="shared" si="86"/>
        <v>0</v>
      </c>
      <c r="CV433">
        <f t="shared" si="87"/>
        <v>22</v>
      </c>
      <c r="CX433" s="43">
        <v>46094</v>
      </c>
      <c r="CY433" t="str">
        <f t="shared" si="89"/>
        <v>S11_2026</v>
      </c>
      <c r="CZ433" t="s">
        <v>132</v>
      </c>
      <c r="DB433" t="s">
        <v>132</v>
      </c>
      <c r="DC433" t="s">
        <v>139</v>
      </c>
    </row>
    <row r="434" spans="1:107" x14ac:dyDescent="0.35">
      <c r="A434" s="36" t="s">
        <v>1596</v>
      </c>
      <c r="B434" s="10" t="str">
        <f t="shared" si="91"/>
        <v>S14_2026</v>
      </c>
      <c r="C434" s="10" t="str">
        <f t="shared" si="83"/>
        <v>S14_2026</v>
      </c>
      <c r="D434" s="11">
        <v>46114</v>
      </c>
      <c r="E434" s="36" t="s">
        <v>123</v>
      </c>
      <c r="F434" s="69">
        <v>8</v>
      </c>
      <c r="G434" t="s">
        <v>107</v>
      </c>
      <c r="H434" s="36" t="s">
        <v>108</v>
      </c>
      <c r="J434" t="s">
        <v>114</v>
      </c>
      <c r="K434" s="11">
        <v>46114</v>
      </c>
      <c r="L434" s="36" t="s">
        <v>111</v>
      </c>
      <c r="M434" s="36" t="s">
        <v>308</v>
      </c>
      <c r="N434" t="s">
        <v>1154</v>
      </c>
      <c r="O434" t="s">
        <v>1590</v>
      </c>
      <c r="P434" t="s">
        <v>515</v>
      </c>
      <c r="Q434" s="36" t="s">
        <v>312</v>
      </c>
      <c r="R434" s="11">
        <v>46113</v>
      </c>
      <c r="S434" s="11">
        <v>46113</v>
      </c>
      <c r="T434" s="11">
        <v>46113</v>
      </c>
      <c r="V434" t="s">
        <v>114</v>
      </c>
      <c r="W434" t="s">
        <v>114</v>
      </c>
      <c r="X434" t="s">
        <v>114</v>
      </c>
      <c r="Y434" t="s">
        <v>114</v>
      </c>
      <c r="Z434" t="s">
        <v>114</v>
      </c>
      <c r="AA434" t="s">
        <v>114</v>
      </c>
      <c r="AB434" t="s">
        <v>114</v>
      </c>
      <c r="AE434" t="s">
        <v>114</v>
      </c>
      <c r="AF434" t="s">
        <v>132</v>
      </c>
      <c r="AG434" t="s">
        <v>132</v>
      </c>
      <c r="AH434" t="s">
        <v>132</v>
      </c>
      <c r="AI434" t="s">
        <v>132</v>
      </c>
      <c r="AJ434" t="s">
        <v>132</v>
      </c>
      <c r="AK434" t="s">
        <v>132</v>
      </c>
      <c r="AM434" t="s">
        <v>132</v>
      </c>
      <c r="AN434" t="s">
        <v>114</v>
      </c>
      <c r="AP434" t="s">
        <v>142</v>
      </c>
      <c r="AQ434" t="s">
        <v>132</v>
      </c>
      <c r="AR434" t="s">
        <v>1597</v>
      </c>
      <c r="AS434" s="11">
        <v>46114</v>
      </c>
      <c r="AU434" t="s">
        <v>114</v>
      </c>
      <c r="AV434" t="s">
        <v>115</v>
      </c>
      <c r="BB434" s="36" t="s">
        <v>114</v>
      </c>
      <c r="BC434" s="11">
        <v>46114</v>
      </c>
      <c r="BD434" t="s">
        <v>512</v>
      </c>
      <c r="BE434">
        <v>671628350</v>
      </c>
      <c r="BF434" t="s">
        <v>861</v>
      </c>
      <c r="BG434" t="s">
        <v>114</v>
      </c>
      <c r="BJ434" t="str">
        <f t="shared" si="90"/>
        <v/>
      </c>
      <c r="BK434" s="36" t="s">
        <v>117</v>
      </c>
      <c r="BL434" t="str">
        <f t="shared" si="93"/>
        <v>S14_2026</v>
      </c>
      <c r="BM434" s="36" t="s">
        <v>159</v>
      </c>
      <c r="BN434" s="11">
        <v>46120</v>
      </c>
      <c r="BO434" s="36" t="str">
        <f t="shared" si="80"/>
        <v>S15_2026</v>
      </c>
      <c r="BP434" t="s">
        <v>114</v>
      </c>
      <c r="BQ434" t="s">
        <v>118</v>
      </c>
      <c r="BR434" t="s">
        <v>451</v>
      </c>
      <c r="BS434" t="s">
        <v>132</v>
      </c>
      <c r="CI434" t="s">
        <v>119</v>
      </c>
      <c r="CP434" s="11">
        <v>46114</v>
      </c>
      <c r="CQ434" t="s">
        <v>132</v>
      </c>
      <c r="CR434">
        <f t="shared" si="84"/>
        <v>0</v>
      </c>
      <c r="CS434">
        <f t="shared" si="85"/>
        <v>6</v>
      </c>
      <c r="CT434">
        <f t="shared" si="92"/>
        <v>1</v>
      </c>
      <c r="CU434">
        <f t="shared" si="86"/>
        <v>0</v>
      </c>
      <c r="CV434" t="str">
        <f t="shared" si="87"/>
        <v/>
      </c>
      <c r="CW434" t="s">
        <v>132</v>
      </c>
      <c r="CX434" s="11">
        <v>46113</v>
      </c>
      <c r="CY434" t="str">
        <f t="shared" si="89"/>
        <v>S14_2026</v>
      </c>
      <c r="CZ434" t="s">
        <v>132</v>
      </c>
      <c r="DB434" t="s">
        <v>132</v>
      </c>
      <c r="DC434" t="s">
        <v>120</v>
      </c>
    </row>
    <row r="435" spans="1:107" x14ac:dyDescent="0.35">
      <c r="A435" t="s">
        <v>1598</v>
      </c>
      <c r="B435" s="10" t="str">
        <f t="shared" si="91"/>
        <v>S14_2026</v>
      </c>
      <c r="C435" s="10" t="str">
        <f t="shared" si="83"/>
        <v>S14_2026</v>
      </c>
      <c r="D435" s="11">
        <v>46114</v>
      </c>
      <c r="E435" s="36" t="s">
        <v>123</v>
      </c>
      <c r="F435" s="69">
        <v>29</v>
      </c>
      <c r="G435" t="s">
        <v>1599</v>
      </c>
      <c r="H435" s="36" t="s">
        <v>108</v>
      </c>
      <c r="J435" t="s">
        <v>132</v>
      </c>
      <c r="L435" s="36" t="s">
        <v>111</v>
      </c>
      <c r="M435" s="36" t="s">
        <v>626</v>
      </c>
      <c r="N435" t="s">
        <v>1511</v>
      </c>
      <c r="O435" t="s">
        <v>184</v>
      </c>
      <c r="P435" t="s">
        <v>1600</v>
      </c>
      <c r="Q435" s="36" t="s">
        <v>626</v>
      </c>
      <c r="R435" s="11">
        <v>46112</v>
      </c>
      <c r="S435" s="11">
        <v>46112</v>
      </c>
      <c r="T435" s="11">
        <v>46112</v>
      </c>
      <c r="V435" t="s">
        <v>114</v>
      </c>
      <c r="W435" t="s">
        <v>114</v>
      </c>
      <c r="X435" t="s">
        <v>114</v>
      </c>
      <c r="Y435" t="s">
        <v>114</v>
      </c>
      <c r="Z435" t="s">
        <v>114</v>
      </c>
      <c r="AA435" t="s">
        <v>114</v>
      </c>
      <c r="AB435" t="s">
        <v>114</v>
      </c>
      <c r="AE435" t="s">
        <v>132</v>
      </c>
      <c r="AF435" t="s">
        <v>132</v>
      </c>
      <c r="AG435" t="s">
        <v>132</v>
      </c>
      <c r="AH435" t="s">
        <v>132</v>
      </c>
      <c r="AI435" t="s">
        <v>132</v>
      </c>
      <c r="AJ435" t="s">
        <v>132</v>
      </c>
      <c r="AK435" t="s">
        <v>132</v>
      </c>
      <c r="AM435" t="s">
        <v>114</v>
      </c>
      <c r="AN435" t="s">
        <v>132</v>
      </c>
      <c r="AP435" t="s">
        <v>132</v>
      </c>
      <c r="AQ435" t="s">
        <v>132</v>
      </c>
      <c r="AR435" t="s">
        <v>1597</v>
      </c>
      <c r="AS435" s="11">
        <v>46114</v>
      </c>
      <c r="AU435" t="s">
        <v>114</v>
      </c>
      <c r="AV435" t="s">
        <v>115</v>
      </c>
      <c r="BB435" s="36" t="s">
        <v>114</v>
      </c>
      <c r="BC435" s="11">
        <v>46114</v>
      </c>
      <c r="BD435" t="s">
        <v>116</v>
      </c>
      <c r="BE435">
        <v>674202982</v>
      </c>
      <c r="BF435" t="s">
        <v>1601</v>
      </c>
      <c r="BG435" t="s">
        <v>114</v>
      </c>
      <c r="BJ435" t="str">
        <f t="shared" si="90"/>
        <v/>
      </c>
      <c r="BK435" s="36" t="s">
        <v>117</v>
      </c>
      <c r="BL435" t="str">
        <f t="shared" si="93"/>
        <v>S14_2026</v>
      </c>
      <c r="BM435" s="36" t="s">
        <v>159</v>
      </c>
      <c r="BN435" s="11">
        <v>46120</v>
      </c>
      <c r="BO435" s="36" t="str">
        <f t="shared" si="80"/>
        <v>S15_2026</v>
      </c>
      <c r="BP435" t="s">
        <v>114</v>
      </c>
      <c r="BQ435" t="s">
        <v>118</v>
      </c>
      <c r="BR435" t="s">
        <v>451</v>
      </c>
      <c r="BS435" t="s">
        <v>132</v>
      </c>
      <c r="CI435" t="s">
        <v>119</v>
      </c>
      <c r="CP435" s="11">
        <v>46113</v>
      </c>
      <c r="CR435">
        <f t="shared" si="84"/>
        <v>0</v>
      </c>
      <c r="CS435">
        <f t="shared" si="85"/>
        <v>6</v>
      </c>
      <c r="CT435">
        <f t="shared" si="92"/>
        <v>1</v>
      </c>
      <c r="CU435" t="str">
        <f t="shared" si="86"/>
        <v/>
      </c>
      <c r="CV435" t="str">
        <f t="shared" si="87"/>
        <v/>
      </c>
      <c r="CX435" s="11">
        <v>46112</v>
      </c>
      <c r="CY435" t="str">
        <f t="shared" si="89"/>
        <v>S14_2026</v>
      </c>
      <c r="CZ435" t="s">
        <v>132</v>
      </c>
      <c r="DB435" t="s">
        <v>132</v>
      </c>
      <c r="DC435" t="s">
        <v>120</v>
      </c>
    </row>
    <row r="436" spans="1:107" x14ac:dyDescent="0.35">
      <c r="A436" t="s">
        <v>1602</v>
      </c>
      <c r="B436" s="10" t="str">
        <f t="shared" si="91"/>
        <v>S14_2026</v>
      </c>
      <c r="C436" s="10" t="str">
        <f t="shared" si="83"/>
        <v>S3_2026</v>
      </c>
      <c r="D436" s="11">
        <v>46116</v>
      </c>
      <c r="E436" s="36" t="s">
        <v>123</v>
      </c>
      <c r="F436" s="24">
        <v>39</v>
      </c>
      <c r="G436" t="s">
        <v>259</v>
      </c>
      <c r="H436" s="36" t="s">
        <v>108</v>
      </c>
      <c r="J436" t="s">
        <v>132</v>
      </c>
      <c r="L436" s="36" t="s">
        <v>182</v>
      </c>
      <c r="M436" s="36" t="s">
        <v>263</v>
      </c>
      <c r="N436" t="s">
        <v>624</v>
      </c>
      <c r="P436" t="s">
        <v>1603</v>
      </c>
      <c r="Q436" s="36" t="s">
        <v>263</v>
      </c>
      <c r="R436" s="11">
        <v>46037</v>
      </c>
      <c r="S436" s="11">
        <v>46037</v>
      </c>
      <c r="T436" s="11">
        <v>46037</v>
      </c>
      <c r="V436" t="s">
        <v>114</v>
      </c>
      <c r="W436" t="s">
        <v>114</v>
      </c>
      <c r="X436" t="s">
        <v>114</v>
      </c>
      <c r="Y436" t="s">
        <v>114</v>
      </c>
      <c r="Z436" t="s">
        <v>114</v>
      </c>
      <c r="AA436" t="s">
        <v>114</v>
      </c>
      <c r="AB436" t="s">
        <v>114</v>
      </c>
      <c r="AE436" t="s">
        <v>114</v>
      </c>
      <c r="AF436" t="s">
        <v>132</v>
      </c>
      <c r="AG436" t="s">
        <v>132</v>
      </c>
      <c r="AH436" t="s">
        <v>132</v>
      </c>
      <c r="AI436" t="s">
        <v>132</v>
      </c>
      <c r="AJ436" t="s">
        <v>132</v>
      </c>
      <c r="AK436" t="s">
        <v>132</v>
      </c>
      <c r="AM436" t="s">
        <v>132</v>
      </c>
      <c r="AN436" t="s">
        <v>132</v>
      </c>
      <c r="AP436" t="s">
        <v>142</v>
      </c>
      <c r="AQ436" t="s">
        <v>132</v>
      </c>
      <c r="AR436" t="s">
        <v>1604</v>
      </c>
      <c r="AS436" s="11">
        <v>46114</v>
      </c>
      <c r="AU436" t="s">
        <v>114</v>
      </c>
      <c r="AV436" t="s">
        <v>115</v>
      </c>
      <c r="BB436" s="36" t="s">
        <v>114</v>
      </c>
      <c r="BC436" s="11">
        <v>46112</v>
      </c>
      <c r="BD436" t="s">
        <v>116</v>
      </c>
      <c r="BF436" t="s">
        <v>1605</v>
      </c>
      <c r="BG436" t="s">
        <v>449</v>
      </c>
      <c r="BJ436" t="str">
        <f t="shared" si="90"/>
        <v/>
      </c>
      <c r="BK436" t="s">
        <v>187</v>
      </c>
      <c r="BL436" t="str">
        <f t="shared" si="93"/>
        <v>S14_2026</v>
      </c>
      <c r="BM436" s="36" t="s">
        <v>159</v>
      </c>
      <c r="BN436" s="11">
        <v>46116</v>
      </c>
      <c r="BO436" s="36" t="str">
        <f t="shared" si="80"/>
        <v>S14_2026</v>
      </c>
      <c r="BP436" t="s">
        <v>114</v>
      </c>
      <c r="BQ436" t="s">
        <v>450</v>
      </c>
      <c r="BR436" t="s">
        <v>451</v>
      </c>
      <c r="BS436" t="s">
        <v>132</v>
      </c>
      <c r="CI436" t="s">
        <v>119</v>
      </c>
      <c r="CP436" s="11">
        <v>46112</v>
      </c>
      <c r="CQ436" t="s">
        <v>132</v>
      </c>
      <c r="CR436">
        <f t="shared" si="84"/>
        <v>2</v>
      </c>
      <c r="CS436">
        <f t="shared" si="85"/>
        <v>2</v>
      </c>
      <c r="CT436">
        <f t="shared" si="92"/>
        <v>75</v>
      </c>
      <c r="CU436" t="str">
        <f t="shared" si="86"/>
        <v/>
      </c>
      <c r="CV436" t="str">
        <f t="shared" si="87"/>
        <v/>
      </c>
      <c r="CW436" t="s">
        <v>132</v>
      </c>
      <c r="CX436" s="11">
        <v>46037</v>
      </c>
      <c r="CY436" t="str">
        <f t="shared" si="89"/>
        <v>S3_2026</v>
      </c>
      <c r="CZ436" t="s">
        <v>132</v>
      </c>
      <c r="DB436" t="s">
        <v>132</v>
      </c>
      <c r="DC436" t="s">
        <v>120</v>
      </c>
    </row>
    <row r="437" spans="1:107" x14ac:dyDescent="0.35">
      <c r="A437" t="s">
        <v>1606</v>
      </c>
      <c r="B437" s="10" t="str">
        <f t="shared" si="91"/>
        <v>S15_2026</v>
      </c>
      <c r="C437" s="10" t="str">
        <f t="shared" si="83"/>
        <v>S14_2026</v>
      </c>
      <c r="D437" s="45">
        <v>46119</v>
      </c>
      <c r="E437" s="46" t="s">
        <v>123</v>
      </c>
      <c r="F437" s="47">
        <v>54</v>
      </c>
      <c r="G437" s="46" t="s">
        <v>1607</v>
      </c>
      <c r="H437" s="46" t="s">
        <v>835</v>
      </c>
      <c r="I437" s="46"/>
      <c r="J437" s="46" t="s">
        <v>114</v>
      </c>
      <c r="K437" s="45">
        <v>46120</v>
      </c>
      <c r="L437" s="46" t="s">
        <v>126</v>
      </c>
      <c r="M437" s="46" t="s">
        <v>146</v>
      </c>
      <c r="N437" s="46" t="s">
        <v>147</v>
      </c>
      <c r="O437" s="46" t="s">
        <v>1608</v>
      </c>
      <c r="P437" s="46" t="s">
        <v>1609</v>
      </c>
      <c r="Q437" s="46" t="s">
        <v>977</v>
      </c>
      <c r="R437" s="45">
        <v>46114</v>
      </c>
      <c r="S437" s="45">
        <v>46114</v>
      </c>
      <c r="T437" s="45">
        <v>46114</v>
      </c>
      <c r="U437" s="30"/>
      <c r="V437" s="46" t="s">
        <v>114</v>
      </c>
      <c r="W437" s="46" t="s">
        <v>114</v>
      </c>
      <c r="X437" s="46" t="s">
        <v>114</v>
      </c>
      <c r="Y437" s="46" t="s">
        <v>114</v>
      </c>
      <c r="Z437" s="46" t="s">
        <v>114</v>
      </c>
      <c r="AA437" s="46" t="s">
        <v>114</v>
      </c>
      <c r="AB437" s="46" t="s">
        <v>114</v>
      </c>
      <c r="AC437" s="46" t="s">
        <v>1238</v>
      </c>
      <c r="AD437" s="30"/>
      <c r="AE437" s="46" t="s">
        <v>114</v>
      </c>
      <c r="AF437" s="46" t="s">
        <v>114</v>
      </c>
      <c r="AG437" s="46" t="s">
        <v>114</v>
      </c>
      <c r="AH437" s="46" t="s">
        <v>132</v>
      </c>
      <c r="AI437" s="46" t="s">
        <v>132</v>
      </c>
      <c r="AJ437" s="46" t="s">
        <v>984</v>
      </c>
      <c r="AK437" s="46" t="s">
        <v>132</v>
      </c>
      <c r="AL437" s="46"/>
      <c r="AM437" s="46" t="s">
        <v>132</v>
      </c>
      <c r="AN437" s="46" t="s">
        <v>114</v>
      </c>
      <c r="AO437" s="46"/>
      <c r="AP437" s="46" t="s">
        <v>132</v>
      </c>
      <c r="AQ437" s="46" t="s">
        <v>132</v>
      </c>
      <c r="AR437" s="30" t="s">
        <v>1610</v>
      </c>
      <c r="AS437" s="45">
        <v>46119</v>
      </c>
      <c r="AT437" s="30"/>
      <c r="AU437" s="46" t="s">
        <v>114</v>
      </c>
      <c r="AV437" t="s">
        <v>134</v>
      </c>
      <c r="AW437" t="s">
        <v>152</v>
      </c>
      <c r="AX437" s="30"/>
      <c r="AY437" t="s">
        <v>135</v>
      </c>
      <c r="AZ437" s="46"/>
      <c r="BA437" s="46"/>
      <c r="BB437" s="46" t="s">
        <v>114</v>
      </c>
      <c r="BC437" s="45">
        <v>46118</v>
      </c>
      <c r="BD437" s="46" t="s">
        <v>1471</v>
      </c>
      <c r="BE437" s="30"/>
      <c r="BF437" s="46" t="s">
        <v>1611</v>
      </c>
      <c r="BG437" s="30" t="s">
        <v>449</v>
      </c>
      <c r="BH437" s="46"/>
      <c r="BI437" s="45">
        <v>46120</v>
      </c>
      <c r="BJ437" t="str">
        <f t="shared" si="90"/>
        <v>S15_2026</v>
      </c>
      <c r="BK437" s="46" t="s">
        <v>137</v>
      </c>
      <c r="BL437" s="46" t="s">
        <v>1612</v>
      </c>
      <c r="BM437" s="46" t="s">
        <v>159</v>
      </c>
      <c r="BN437" s="45">
        <v>46119</v>
      </c>
      <c r="BO437" s="36" t="str">
        <f t="shared" ref="BO437:BO500" si="94">IFERROR("S"&amp;(IF(_xlfn.ISOWEEKNUM(BN437)&gt;0,_xlfn.ISOWEEKNUM(BN437),_xlfn.CONCAT("0",_xlfn.ISOWEEKNUM(BN437))))&amp;"_"&amp;(YEAR(BN437+26-(_xlfn.ISOWEEKNUM(BN437)))),"")</f>
        <v>S15_2026</v>
      </c>
      <c r="BP437" s="46" t="s">
        <v>114</v>
      </c>
      <c r="BQ437" s="46" t="s">
        <v>450</v>
      </c>
      <c r="BR437" t="s">
        <v>114</v>
      </c>
      <c r="BS437" t="s">
        <v>132</v>
      </c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t="s">
        <v>119</v>
      </c>
      <c r="CJ437" s="30"/>
      <c r="CK437" s="30" t="s">
        <v>138</v>
      </c>
      <c r="CL437" s="30"/>
      <c r="CM437" s="30"/>
      <c r="CN437" s="30"/>
      <c r="CO437" s="30"/>
      <c r="CP437" s="45">
        <v>46118</v>
      </c>
      <c r="CQ437" s="30" t="s">
        <v>132</v>
      </c>
      <c r="CR437">
        <f t="shared" si="84"/>
        <v>1</v>
      </c>
      <c r="CS437">
        <f t="shared" si="85"/>
        <v>0</v>
      </c>
      <c r="CT437">
        <f t="shared" si="92"/>
        <v>4</v>
      </c>
      <c r="CU437">
        <f t="shared" si="86"/>
        <v>-2</v>
      </c>
      <c r="CV437">
        <f t="shared" si="87"/>
        <v>6</v>
      </c>
      <c r="CW437" s="30" t="s">
        <v>114</v>
      </c>
      <c r="CX437" s="45">
        <v>46114</v>
      </c>
      <c r="CY437" t="str">
        <f t="shared" si="89"/>
        <v>S14_2026</v>
      </c>
      <c r="CZ437" s="30" t="s">
        <v>132</v>
      </c>
      <c r="DA437" s="30"/>
      <c r="DB437" s="30" t="s">
        <v>132</v>
      </c>
      <c r="DC437" s="30" t="s">
        <v>139</v>
      </c>
    </row>
    <row r="438" spans="1:107" x14ac:dyDescent="0.35">
      <c r="A438" t="s">
        <v>1613</v>
      </c>
      <c r="B438" s="10" t="str">
        <f t="shared" si="91"/>
        <v>S15_2026</v>
      </c>
      <c r="C438" s="10" t="str">
        <f t="shared" si="83"/>
        <v>S13_2026</v>
      </c>
      <c r="D438" s="43">
        <v>46120</v>
      </c>
      <c r="E438" s="44" t="s">
        <v>123</v>
      </c>
      <c r="F438" s="48">
        <v>22</v>
      </c>
      <c r="G438" s="44" t="s">
        <v>575</v>
      </c>
      <c r="H438" s="44" t="s">
        <v>835</v>
      </c>
      <c r="I438" s="44"/>
      <c r="J438" s="44" t="s">
        <v>114</v>
      </c>
      <c r="K438" s="43">
        <v>46119</v>
      </c>
      <c r="L438" s="44" t="s">
        <v>126</v>
      </c>
      <c r="M438" s="44" t="s">
        <v>977</v>
      </c>
      <c r="N438" s="44" t="s">
        <v>1364</v>
      </c>
      <c r="O438" s="44" t="s">
        <v>971</v>
      </c>
      <c r="P438" s="44" t="s">
        <v>1614</v>
      </c>
      <c r="Q438" s="44" t="s">
        <v>853</v>
      </c>
      <c r="R438" s="43">
        <v>46106</v>
      </c>
      <c r="S438" s="43">
        <v>46106</v>
      </c>
      <c r="T438" s="43">
        <v>46111</v>
      </c>
      <c r="V438" s="44" t="s">
        <v>132</v>
      </c>
      <c r="W438" s="44" t="s">
        <v>132</v>
      </c>
      <c r="X438" s="44" t="s">
        <v>114</v>
      </c>
      <c r="Y438" s="44" t="s">
        <v>114</v>
      </c>
      <c r="Z438" s="44" t="s">
        <v>132</v>
      </c>
      <c r="AA438" s="44" t="s">
        <v>114</v>
      </c>
      <c r="AB438" s="44" t="s">
        <v>114</v>
      </c>
      <c r="AC438" s="44"/>
      <c r="AE438" s="44" t="s">
        <v>114</v>
      </c>
      <c r="AF438" s="44" t="s">
        <v>114</v>
      </c>
      <c r="AG438" s="44" t="s">
        <v>114</v>
      </c>
      <c r="AH438" s="44" t="s">
        <v>132</v>
      </c>
      <c r="AI438" s="44" t="s">
        <v>132</v>
      </c>
      <c r="AJ438" s="44" t="s">
        <v>132</v>
      </c>
      <c r="AK438" s="44" t="s">
        <v>114</v>
      </c>
      <c r="AL438" s="44"/>
      <c r="AM438" s="44" t="s">
        <v>132</v>
      </c>
      <c r="AN438" s="44" t="s">
        <v>114</v>
      </c>
      <c r="AO438" s="44"/>
      <c r="AP438" s="44" t="s">
        <v>132</v>
      </c>
      <c r="AQ438" s="44" t="s">
        <v>132</v>
      </c>
      <c r="AR438" s="44" t="s">
        <v>1615</v>
      </c>
      <c r="AS438" s="43">
        <v>46121</v>
      </c>
      <c r="AT438" s="44"/>
      <c r="AU438" s="44" t="s">
        <v>114</v>
      </c>
      <c r="AV438" t="s">
        <v>134</v>
      </c>
      <c r="AW438" t="s">
        <v>152</v>
      </c>
      <c r="AY438" t="s">
        <v>135</v>
      </c>
      <c r="AZ438" s="44"/>
      <c r="BA438" s="44"/>
      <c r="BB438" s="44" t="s">
        <v>114</v>
      </c>
      <c r="BC438" s="43">
        <v>46119</v>
      </c>
      <c r="BD438" s="44" t="s">
        <v>1471</v>
      </c>
      <c r="BF438" s="44" t="s">
        <v>1616</v>
      </c>
      <c r="BG438" s="44" t="s">
        <v>449</v>
      </c>
      <c r="BH438" s="44"/>
      <c r="BI438" s="43">
        <v>46122</v>
      </c>
      <c r="BJ438" t="str">
        <f t="shared" si="90"/>
        <v>S15_2026</v>
      </c>
      <c r="BK438" s="44" t="s">
        <v>137</v>
      </c>
      <c r="BL438" s="44" t="s">
        <v>1612</v>
      </c>
      <c r="BM438" s="44" t="s">
        <v>159</v>
      </c>
      <c r="BN438" s="11">
        <v>46122</v>
      </c>
      <c r="BO438" s="36" t="str">
        <f t="shared" si="94"/>
        <v>S15_2026</v>
      </c>
      <c r="BP438" s="44" t="s">
        <v>114</v>
      </c>
      <c r="BQ438" s="44" t="s">
        <v>450</v>
      </c>
      <c r="BR438" t="s">
        <v>451</v>
      </c>
      <c r="BS438" t="s">
        <v>132</v>
      </c>
      <c r="CI438" t="s">
        <v>119</v>
      </c>
      <c r="CK438" t="s">
        <v>138</v>
      </c>
      <c r="CP438" s="43">
        <v>46119</v>
      </c>
      <c r="CQ438" t="s">
        <v>132</v>
      </c>
      <c r="CR438">
        <f t="shared" si="84"/>
        <v>2</v>
      </c>
      <c r="CS438">
        <f t="shared" si="85"/>
        <v>1</v>
      </c>
      <c r="CT438">
        <f t="shared" si="92"/>
        <v>13</v>
      </c>
      <c r="CU438">
        <f t="shared" si="86"/>
        <v>0</v>
      </c>
      <c r="CV438">
        <f t="shared" si="87"/>
        <v>16</v>
      </c>
      <c r="CW438" t="s">
        <v>132</v>
      </c>
      <c r="CX438" s="43">
        <v>46106</v>
      </c>
      <c r="CY438" t="str">
        <f t="shared" si="89"/>
        <v>S13_2026</v>
      </c>
      <c r="CZ438" t="s">
        <v>132</v>
      </c>
      <c r="DB438" t="s">
        <v>132</v>
      </c>
      <c r="DC438" t="s">
        <v>139</v>
      </c>
    </row>
    <row r="439" spans="1:107" x14ac:dyDescent="0.35">
      <c r="A439" t="s">
        <v>1617</v>
      </c>
      <c r="B439" s="10" t="str">
        <f t="shared" si="91"/>
        <v>S15_2026</v>
      </c>
      <c r="C439" s="10" t="str">
        <f t="shared" si="83"/>
        <v>S13_2026</v>
      </c>
      <c r="D439" s="43">
        <v>46120</v>
      </c>
      <c r="E439" s="44" t="s">
        <v>123</v>
      </c>
      <c r="F439" s="48">
        <v>43</v>
      </c>
      <c r="G439" s="44" t="s">
        <v>882</v>
      </c>
      <c r="H439" s="44" t="s">
        <v>835</v>
      </c>
      <c r="I439" s="44"/>
      <c r="J439" s="44" t="s">
        <v>114</v>
      </c>
      <c r="K439" s="43">
        <v>46105</v>
      </c>
      <c r="L439" s="44" t="s">
        <v>126</v>
      </c>
      <c r="M439" s="44" t="s">
        <v>977</v>
      </c>
      <c r="N439" s="44" t="s">
        <v>1364</v>
      </c>
      <c r="O439" s="44" t="s">
        <v>971</v>
      </c>
      <c r="P439" s="44" t="s">
        <v>1618</v>
      </c>
      <c r="Q439" s="44" t="s">
        <v>977</v>
      </c>
      <c r="R439" s="43">
        <v>46105</v>
      </c>
      <c r="S439" s="43">
        <v>46105</v>
      </c>
      <c r="T439" s="43">
        <v>46108</v>
      </c>
      <c r="V439" s="44" t="s">
        <v>132</v>
      </c>
      <c r="W439" s="44" t="s">
        <v>114</v>
      </c>
      <c r="X439" s="44" t="s">
        <v>114</v>
      </c>
      <c r="Y439" s="44" t="s">
        <v>114</v>
      </c>
      <c r="Z439" s="44" t="s">
        <v>114</v>
      </c>
      <c r="AA439" s="44" t="s">
        <v>114</v>
      </c>
      <c r="AB439" s="44" t="s">
        <v>114</v>
      </c>
      <c r="AC439" s="44" t="s">
        <v>1238</v>
      </c>
      <c r="AE439" s="44" t="s">
        <v>114</v>
      </c>
      <c r="AF439" s="44" t="s">
        <v>114</v>
      </c>
      <c r="AG439" s="44" t="s">
        <v>114</v>
      </c>
      <c r="AH439" s="44" t="s">
        <v>114</v>
      </c>
      <c r="AI439" s="44" t="s">
        <v>132</v>
      </c>
      <c r="AJ439" s="44" t="s">
        <v>132</v>
      </c>
      <c r="AK439" s="44" t="s">
        <v>132</v>
      </c>
      <c r="AL439" s="44"/>
      <c r="AM439" s="44" t="s">
        <v>114</v>
      </c>
      <c r="AN439" s="44" t="s">
        <v>114</v>
      </c>
      <c r="AO439" s="44"/>
      <c r="AP439" s="44" t="s">
        <v>132</v>
      </c>
      <c r="AQ439" s="44" t="s">
        <v>132</v>
      </c>
      <c r="AR439" s="44" t="s">
        <v>1619</v>
      </c>
      <c r="AS439" s="43">
        <v>46121</v>
      </c>
      <c r="AT439" s="44"/>
      <c r="AU439" s="44" t="s">
        <v>114</v>
      </c>
      <c r="AV439" s="44" t="s">
        <v>115</v>
      </c>
      <c r="AY439" s="44"/>
      <c r="AZ439" s="44"/>
      <c r="BA439" s="44"/>
      <c r="BB439" s="44" t="s">
        <v>114</v>
      </c>
      <c r="BC439" s="43">
        <v>46119</v>
      </c>
      <c r="BD439" s="44" t="s">
        <v>1471</v>
      </c>
      <c r="BF439" s="44" t="s">
        <v>1127</v>
      </c>
      <c r="BG439" s="44" t="s">
        <v>449</v>
      </c>
      <c r="BH439" s="44"/>
      <c r="BI439" s="44"/>
      <c r="BJ439" t="str">
        <f t="shared" si="90"/>
        <v/>
      </c>
      <c r="BK439" s="44" t="s">
        <v>137</v>
      </c>
      <c r="BL439" s="44" t="s">
        <v>1612</v>
      </c>
      <c r="BM439" s="44" t="s">
        <v>159</v>
      </c>
      <c r="BN439" s="11">
        <v>46122</v>
      </c>
      <c r="BO439" s="36" t="str">
        <f t="shared" si="94"/>
        <v>S15_2026</v>
      </c>
      <c r="BP439" s="44" t="s">
        <v>114</v>
      </c>
      <c r="BQ439" s="44" t="s">
        <v>450</v>
      </c>
      <c r="BR439" t="s">
        <v>451</v>
      </c>
      <c r="BS439" t="s">
        <v>132</v>
      </c>
      <c r="CI439" t="s">
        <v>119</v>
      </c>
      <c r="CP439" s="43">
        <v>46115</v>
      </c>
      <c r="CQ439" t="s">
        <v>132</v>
      </c>
      <c r="CR439">
        <f t="shared" si="84"/>
        <v>2</v>
      </c>
      <c r="CS439">
        <f t="shared" si="85"/>
        <v>1</v>
      </c>
      <c r="CT439">
        <f t="shared" si="92"/>
        <v>10</v>
      </c>
      <c r="CU439">
        <f t="shared" si="86"/>
        <v>10</v>
      </c>
      <c r="CV439" t="str">
        <f t="shared" si="87"/>
        <v/>
      </c>
      <c r="CW439" t="s">
        <v>132</v>
      </c>
      <c r="CX439" s="43">
        <v>46105</v>
      </c>
      <c r="CY439" t="str">
        <f t="shared" si="89"/>
        <v>S13_2026</v>
      </c>
      <c r="CZ439" t="s">
        <v>132</v>
      </c>
      <c r="DB439" t="s">
        <v>132</v>
      </c>
      <c r="DC439" t="s">
        <v>120</v>
      </c>
    </row>
    <row r="440" spans="1:107" x14ac:dyDescent="0.35">
      <c r="A440" s="36" t="s">
        <v>1620</v>
      </c>
      <c r="B440" s="10" t="str">
        <f t="shared" si="91"/>
        <v>S15_2026</v>
      </c>
      <c r="C440" s="10" t="str">
        <f t="shared" si="83"/>
        <v>S12_2026</v>
      </c>
      <c r="D440" s="43">
        <v>46120</v>
      </c>
      <c r="E440" s="44" t="s">
        <v>106</v>
      </c>
      <c r="F440" s="48">
        <v>72</v>
      </c>
      <c r="G440" s="44" t="s">
        <v>1621</v>
      </c>
      <c r="H440" s="44" t="s">
        <v>835</v>
      </c>
      <c r="I440" s="44"/>
      <c r="J440" s="44" t="s">
        <v>114</v>
      </c>
      <c r="K440" s="43">
        <v>46120</v>
      </c>
      <c r="L440" s="44" t="s">
        <v>126</v>
      </c>
      <c r="M440" s="44" t="s">
        <v>146</v>
      </c>
      <c r="N440" s="44" t="s">
        <v>147</v>
      </c>
      <c r="O440" s="44" t="s">
        <v>1295</v>
      </c>
      <c r="P440" s="44" t="s">
        <v>1622</v>
      </c>
      <c r="Q440" s="44" t="s">
        <v>292</v>
      </c>
      <c r="R440" s="43">
        <v>46100</v>
      </c>
      <c r="S440" s="43">
        <v>46100</v>
      </c>
      <c r="T440" s="43">
        <v>46100</v>
      </c>
      <c r="V440" s="44" t="s">
        <v>114</v>
      </c>
      <c r="W440" s="44" t="s">
        <v>114</v>
      </c>
      <c r="X440" s="44" t="s">
        <v>114</v>
      </c>
      <c r="Y440" s="44" t="s">
        <v>114</v>
      </c>
      <c r="Z440" s="44" t="s">
        <v>114</v>
      </c>
      <c r="AA440" s="44" t="s">
        <v>132</v>
      </c>
      <c r="AB440" s="44" t="s">
        <v>114</v>
      </c>
      <c r="AC440" s="44"/>
      <c r="AE440" s="44" t="s">
        <v>132</v>
      </c>
      <c r="AF440" s="44" t="s">
        <v>132</v>
      </c>
      <c r="AG440" s="44" t="s">
        <v>132</v>
      </c>
      <c r="AH440" s="44" t="s">
        <v>132</v>
      </c>
      <c r="AI440" s="44" t="s">
        <v>132</v>
      </c>
      <c r="AJ440" s="44" t="s">
        <v>132</v>
      </c>
      <c r="AK440" s="44" t="s">
        <v>114</v>
      </c>
      <c r="AL440" s="44"/>
      <c r="AM440" s="44" t="s">
        <v>132</v>
      </c>
      <c r="AN440" s="44" t="s">
        <v>132</v>
      </c>
      <c r="AO440" s="44"/>
      <c r="AP440" s="44" t="s">
        <v>132</v>
      </c>
      <c r="AQ440" s="44" t="s">
        <v>132</v>
      </c>
      <c r="AR440" s="44" t="s">
        <v>1623</v>
      </c>
      <c r="AS440" s="43">
        <v>46121</v>
      </c>
      <c r="AT440" s="44"/>
      <c r="AU440" s="44" t="s">
        <v>114</v>
      </c>
      <c r="AV440" s="44" t="s">
        <v>115</v>
      </c>
      <c r="AY440" s="44"/>
      <c r="AZ440" s="44"/>
      <c r="BA440" s="44"/>
      <c r="BB440" s="44" t="s">
        <v>114</v>
      </c>
      <c r="BC440" s="43">
        <v>46120</v>
      </c>
      <c r="BD440" s="44" t="s">
        <v>1471</v>
      </c>
      <c r="BF440" s="44" t="s">
        <v>292</v>
      </c>
      <c r="BG440" s="44" t="s">
        <v>449</v>
      </c>
      <c r="BH440" s="44"/>
      <c r="BI440" s="44"/>
      <c r="BJ440" t="str">
        <f t="shared" si="90"/>
        <v/>
      </c>
      <c r="BK440" s="44" t="s">
        <v>137</v>
      </c>
      <c r="BL440" s="44" t="s">
        <v>1612</v>
      </c>
      <c r="BM440" s="44" t="s">
        <v>159</v>
      </c>
      <c r="BN440" s="11">
        <v>46122</v>
      </c>
      <c r="BO440" s="36" t="str">
        <f t="shared" si="94"/>
        <v>S15_2026</v>
      </c>
      <c r="BP440" s="44" t="s">
        <v>114</v>
      </c>
      <c r="BQ440" s="44" t="s">
        <v>450</v>
      </c>
      <c r="BR440" t="s">
        <v>451</v>
      </c>
      <c r="BS440" t="s">
        <v>132</v>
      </c>
      <c r="CI440" t="s">
        <v>119</v>
      </c>
      <c r="CP440" s="43">
        <v>46120</v>
      </c>
      <c r="CQ440" t="s">
        <v>132</v>
      </c>
      <c r="CR440">
        <f t="shared" si="84"/>
        <v>1</v>
      </c>
      <c r="CS440">
        <f t="shared" si="85"/>
        <v>1</v>
      </c>
      <c r="CT440">
        <f t="shared" si="92"/>
        <v>20</v>
      </c>
      <c r="CU440">
        <f t="shared" si="86"/>
        <v>0</v>
      </c>
      <c r="CV440" t="str">
        <f t="shared" si="87"/>
        <v/>
      </c>
      <c r="CW440" t="s">
        <v>132</v>
      </c>
      <c r="CX440" s="43">
        <v>46100</v>
      </c>
      <c r="CY440" t="str">
        <f t="shared" si="89"/>
        <v>S12_2026</v>
      </c>
      <c r="CZ440" t="s">
        <v>132</v>
      </c>
      <c r="DB440" t="s">
        <v>132</v>
      </c>
      <c r="DC440" t="s">
        <v>120</v>
      </c>
    </row>
    <row r="441" spans="1:107" x14ac:dyDescent="0.35">
      <c r="A441" t="s">
        <v>1624</v>
      </c>
      <c r="B441" s="10" t="str">
        <f t="shared" si="91"/>
        <v>S15_2026</v>
      </c>
      <c r="C441" s="10" t="str">
        <f t="shared" si="83"/>
        <v>S14_2026</v>
      </c>
      <c r="D441" s="43">
        <v>46120</v>
      </c>
      <c r="E441" s="44" t="s">
        <v>123</v>
      </c>
      <c r="F441" s="48">
        <v>40</v>
      </c>
      <c r="G441" s="44" t="s">
        <v>429</v>
      </c>
      <c r="H441" s="44" t="s">
        <v>835</v>
      </c>
      <c r="I441" s="44"/>
      <c r="J441" s="44" t="s">
        <v>114</v>
      </c>
      <c r="K441" s="43">
        <v>46120</v>
      </c>
      <c r="L441" s="44" t="s">
        <v>126</v>
      </c>
      <c r="M441" s="44" t="s">
        <v>1625</v>
      </c>
      <c r="N441" s="44" t="s">
        <v>1553</v>
      </c>
      <c r="O441" s="44" t="s">
        <v>1554</v>
      </c>
      <c r="P441" s="44" t="s">
        <v>1555</v>
      </c>
      <c r="Q441" s="44" t="s">
        <v>853</v>
      </c>
      <c r="R441" s="43">
        <v>46113</v>
      </c>
      <c r="S441" s="43">
        <v>46113</v>
      </c>
      <c r="T441" s="43">
        <v>46113</v>
      </c>
      <c r="V441" s="44" t="s">
        <v>114</v>
      </c>
      <c r="W441" s="44" t="s">
        <v>114</v>
      </c>
      <c r="X441" s="44" t="s">
        <v>114</v>
      </c>
      <c r="Y441" s="44" t="s">
        <v>132</v>
      </c>
      <c r="Z441" s="44" t="s">
        <v>132</v>
      </c>
      <c r="AA441" s="44" t="s">
        <v>132</v>
      </c>
      <c r="AB441" s="44" t="s">
        <v>114</v>
      </c>
      <c r="AC441" s="44" t="s">
        <v>1238</v>
      </c>
      <c r="AE441" s="44" t="s">
        <v>132</v>
      </c>
      <c r="AF441" s="44" t="s">
        <v>132</v>
      </c>
      <c r="AG441" s="44" t="s">
        <v>132</v>
      </c>
      <c r="AH441" s="44" t="s">
        <v>132</v>
      </c>
      <c r="AI441" s="44" t="s">
        <v>132</v>
      </c>
      <c r="AJ441" s="44" t="s">
        <v>132</v>
      </c>
      <c r="AK441" s="44" t="s">
        <v>114</v>
      </c>
      <c r="AL441" s="44"/>
      <c r="AM441" s="44" t="s">
        <v>132</v>
      </c>
      <c r="AN441" s="44" t="s">
        <v>132</v>
      </c>
      <c r="AO441" s="44"/>
      <c r="AP441" s="44" t="s">
        <v>132</v>
      </c>
      <c r="AQ441" s="44" t="s">
        <v>132</v>
      </c>
      <c r="AR441" s="44" t="s">
        <v>1626</v>
      </c>
      <c r="AS441" s="43">
        <v>46121</v>
      </c>
      <c r="AT441" s="44"/>
      <c r="AU441" s="44" t="s">
        <v>114</v>
      </c>
      <c r="AV441" t="s">
        <v>134</v>
      </c>
      <c r="AW441" t="s">
        <v>152</v>
      </c>
      <c r="AY441" t="s">
        <v>135</v>
      </c>
      <c r="AZ441" s="44"/>
      <c r="BA441" s="44"/>
      <c r="BB441" s="44" t="s">
        <v>114</v>
      </c>
      <c r="BC441" s="43">
        <v>46120</v>
      </c>
      <c r="BD441" s="44" t="s">
        <v>1471</v>
      </c>
      <c r="BF441" s="44" t="s">
        <v>854</v>
      </c>
      <c r="BG441" s="44" t="s">
        <v>449</v>
      </c>
      <c r="BH441" s="44"/>
      <c r="BI441" s="43">
        <v>46122</v>
      </c>
      <c r="BJ441" t="str">
        <f t="shared" si="90"/>
        <v>S15_2026</v>
      </c>
      <c r="BK441" s="44" t="s">
        <v>137</v>
      </c>
      <c r="BL441" s="44" t="s">
        <v>1612</v>
      </c>
      <c r="BM441" s="44" t="s">
        <v>159</v>
      </c>
      <c r="BN441" s="11">
        <v>46122</v>
      </c>
      <c r="BO441" s="36" t="str">
        <f t="shared" si="94"/>
        <v>S15_2026</v>
      </c>
      <c r="BP441" s="44" t="s">
        <v>114</v>
      </c>
      <c r="BQ441" s="44" t="s">
        <v>450</v>
      </c>
      <c r="BR441" t="s">
        <v>451</v>
      </c>
      <c r="BS441" t="s">
        <v>132</v>
      </c>
      <c r="CI441" t="s">
        <v>119</v>
      </c>
      <c r="CK441" t="s">
        <v>138</v>
      </c>
      <c r="CP441" s="43">
        <v>46120</v>
      </c>
      <c r="CR441">
        <f t="shared" si="84"/>
        <v>1</v>
      </c>
      <c r="CS441">
        <f t="shared" si="85"/>
        <v>1</v>
      </c>
      <c r="CT441">
        <f t="shared" si="92"/>
        <v>7</v>
      </c>
      <c r="CU441">
        <f t="shared" si="86"/>
        <v>0</v>
      </c>
      <c r="CV441">
        <f t="shared" si="87"/>
        <v>9</v>
      </c>
      <c r="CX441" s="43">
        <v>46113</v>
      </c>
      <c r="CY441" t="str">
        <f t="shared" si="89"/>
        <v>S14_2026</v>
      </c>
      <c r="DC441" t="s">
        <v>139</v>
      </c>
    </row>
    <row r="442" spans="1:107" x14ac:dyDescent="0.35">
      <c r="A442" t="s">
        <v>1627</v>
      </c>
      <c r="B442" s="10" t="str">
        <f t="shared" si="91"/>
        <v>S15_2026</v>
      </c>
      <c r="C442" s="10" t="str">
        <f t="shared" si="83"/>
        <v>S11_2026</v>
      </c>
      <c r="D442" s="11">
        <v>46119</v>
      </c>
      <c r="E442" s="44" t="s">
        <v>106</v>
      </c>
      <c r="F442" s="48">
        <v>27</v>
      </c>
      <c r="G442" s="44" t="s">
        <v>1197</v>
      </c>
      <c r="H442" s="44" t="s">
        <v>108</v>
      </c>
      <c r="J442" s="44" t="s">
        <v>114</v>
      </c>
      <c r="K442" s="11">
        <v>46112</v>
      </c>
      <c r="L442" s="44" t="s">
        <v>111</v>
      </c>
      <c r="M442" s="44" t="s">
        <v>510</v>
      </c>
      <c r="N442" s="44" t="s">
        <v>1628</v>
      </c>
      <c r="O442" s="44" t="s">
        <v>1629</v>
      </c>
      <c r="P442" s="44" t="s">
        <v>1630</v>
      </c>
      <c r="Q442" s="44" t="s">
        <v>510</v>
      </c>
      <c r="R442" s="11">
        <v>46096</v>
      </c>
      <c r="S442" s="11">
        <v>46096</v>
      </c>
      <c r="T442" s="11">
        <v>46096</v>
      </c>
      <c r="V442" s="44" t="s">
        <v>114</v>
      </c>
      <c r="W442" s="44" t="s">
        <v>114</v>
      </c>
      <c r="X442" s="44" t="s">
        <v>114</v>
      </c>
      <c r="Y442" s="44" t="s">
        <v>114</v>
      </c>
      <c r="Z442" s="44" t="s">
        <v>114</v>
      </c>
      <c r="AA442" s="44" t="s">
        <v>114</v>
      </c>
      <c r="AB442" s="44" t="s">
        <v>114</v>
      </c>
      <c r="AE442" s="44" t="s">
        <v>114</v>
      </c>
      <c r="AF442" s="44" t="s">
        <v>132</v>
      </c>
      <c r="AG442" s="44" t="s">
        <v>132</v>
      </c>
      <c r="AH442" s="44" t="s">
        <v>132</v>
      </c>
      <c r="AI442" s="44" t="s">
        <v>132</v>
      </c>
      <c r="AJ442" s="44" t="s">
        <v>132</v>
      </c>
      <c r="AK442" s="44" t="s">
        <v>132</v>
      </c>
      <c r="AL442" s="44"/>
      <c r="AM442" s="44" t="s">
        <v>142</v>
      </c>
      <c r="AN442" s="44" t="s">
        <v>142</v>
      </c>
      <c r="AO442" s="44"/>
      <c r="AP442" s="44" t="s">
        <v>132</v>
      </c>
      <c r="AQ442" s="44" t="s">
        <v>132</v>
      </c>
      <c r="AR442" s="44" t="s">
        <v>1631</v>
      </c>
      <c r="AS442" s="11">
        <v>46114</v>
      </c>
      <c r="AU442" s="44" t="s">
        <v>114</v>
      </c>
      <c r="AV442" t="s">
        <v>134</v>
      </c>
      <c r="AW442" t="s">
        <v>152</v>
      </c>
      <c r="AY442" t="s">
        <v>135</v>
      </c>
      <c r="BB442" s="44" t="s">
        <v>114</v>
      </c>
      <c r="BC442" s="11">
        <v>46116</v>
      </c>
      <c r="BD442" s="44" t="s">
        <v>116</v>
      </c>
      <c r="BE442">
        <v>694942418</v>
      </c>
      <c r="BF442" s="44" t="s">
        <v>1628</v>
      </c>
      <c r="BG442" s="44" t="s">
        <v>114</v>
      </c>
      <c r="BI442" s="11">
        <v>46120</v>
      </c>
      <c r="BJ442" t="str">
        <f t="shared" si="90"/>
        <v>S15_2026</v>
      </c>
      <c r="BK442" s="44" t="s">
        <v>117</v>
      </c>
      <c r="BL442" s="44" t="s">
        <v>1632</v>
      </c>
      <c r="BM442" s="44" t="s">
        <v>159</v>
      </c>
      <c r="BN442" s="11">
        <v>46120</v>
      </c>
      <c r="BO442" s="36" t="str">
        <f t="shared" si="94"/>
        <v>S15_2026</v>
      </c>
      <c r="BP442" s="36" t="s">
        <v>114</v>
      </c>
      <c r="BQ442" s="36" t="s">
        <v>118</v>
      </c>
      <c r="BR442" t="s">
        <v>451</v>
      </c>
      <c r="BS442" t="s">
        <v>132</v>
      </c>
      <c r="CI442" t="s">
        <v>119</v>
      </c>
      <c r="CK442" t="s">
        <v>138</v>
      </c>
      <c r="CP442" s="11">
        <v>46112</v>
      </c>
      <c r="CQ442" t="s">
        <v>114</v>
      </c>
      <c r="CR442">
        <f t="shared" si="84"/>
        <v>-2</v>
      </c>
      <c r="CS442">
        <f t="shared" si="85"/>
        <v>6</v>
      </c>
      <c r="CT442">
        <f t="shared" si="92"/>
        <v>16</v>
      </c>
      <c r="CU442">
        <f t="shared" si="86"/>
        <v>0</v>
      </c>
      <c r="CV442">
        <f t="shared" si="87"/>
        <v>24</v>
      </c>
      <c r="CW442" t="s">
        <v>132</v>
      </c>
      <c r="CX442" s="11">
        <v>46096</v>
      </c>
      <c r="CY442" t="str">
        <f t="shared" si="89"/>
        <v>S11_2026</v>
      </c>
      <c r="CZ442" t="s">
        <v>132</v>
      </c>
      <c r="DB442" t="s">
        <v>132</v>
      </c>
      <c r="DC442" t="s">
        <v>139</v>
      </c>
    </row>
    <row r="443" spans="1:107" x14ac:dyDescent="0.35">
      <c r="A443" t="s">
        <v>1633</v>
      </c>
      <c r="B443" s="10" t="str">
        <f t="shared" si="91"/>
        <v>S15_2026</v>
      </c>
      <c r="C443" s="10" t="str">
        <f t="shared" si="83"/>
        <v>S14_2026</v>
      </c>
      <c r="D443" s="11">
        <v>46120</v>
      </c>
      <c r="E443" s="44" t="s">
        <v>106</v>
      </c>
      <c r="F443" s="48">
        <v>3</v>
      </c>
      <c r="G443" s="44" t="s">
        <v>141</v>
      </c>
      <c r="H443" s="44" t="s">
        <v>108</v>
      </c>
      <c r="J443" s="44" t="s">
        <v>114</v>
      </c>
      <c r="K443" s="11">
        <v>46115</v>
      </c>
      <c r="L443" s="44" t="s">
        <v>793</v>
      </c>
      <c r="M443" s="44" t="s">
        <v>1634</v>
      </c>
      <c r="N443" s="44" t="s">
        <v>1635</v>
      </c>
      <c r="O443" s="44" t="s">
        <v>1636</v>
      </c>
      <c r="P443" s="44" t="s">
        <v>1637</v>
      </c>
      <c r="Q443" s="44" t="s">
        <v>1634</v>
      </c>
      <c r="R443" s="11">
        <v>46112</v>
      </c>
      <c r="S443" s="11">
        <v>46112</v>
      </c>
      <c r="T443" s="11">
        <v>46112</v>
      </c>
      <c r="V443" s="44" t="s">
        <v>132</v>
      </c>
      <c r="W443" s="44" t="s">
        <v>114</v>
      </c>
      <c r="X443" s="44" t="s">
        <v>114</v>
      </c>
      <c r="Y443" s="44" t="s">
        <v>114</v>
      </c>
      <c r="Z443" s="44" t="s">
        <v>132</v>
      </c>
      <c r="AA443" s="44" t="s">
        <v>132</v>
      </c>
      <c r="AB443" s="44" t="s">
        <v>132</v>
      </c>
      <c r="AC443" s="44" t="s">
        <v>1495</v>
      </c>
      <c r="AE443" s="44" t="s">
        <v>132</v>
      </c>
      <c r="AF443" s="44" t="s">
        <v>132</v>
      </c>
      <c r="AG443" s="44" t="s">
        <v>132</v>
      </c>
      <c r="AH443" s="44" t="s">
        <v>132</v>
      </c>
      <c r="AI443" s="44" t="s">
        <v>132</v>
      </c>
      <c r="AJ443" s="44" t="s">
        <v>132</v>
      </c>
      <c r="AK443" s="44" t="s">
        <v>132</v>
      </c>
      <c r="AL443" s="44"/>
      <c r="AM443" s="44" t="s">
        <v>132</v>
      </c>
      <c r="AN443" s="44" t="s">
        <v>132</v>
      </c>
      <c r="AO443" s="44"/>
      <c r="AP443" s="44" t="s">
        <v>132</v>
      </c>
      <c r="AQ443" s="44" t="s">
        <v>132</v>
      </c>
      <c r="AR443" s="44" t="s">
        <v>1638</v>
      </c>
      <c r="AS443" s="11">
        <v>46122</v>
      </c>
      <c r="AU443" s="44" t="s">
        <v>114</v>
      </c>
      <c r="AV443" s="44" t="s">
        <v>115</v>
      </c>
      <c r="BB443" s="44" t="s">
        <v>114</v>
      </c>
      <c r="BC443" s="11">
        <v>46119</v>
      </c>
      <c r="BD443" s="44" t="s">
        <v>455</v>
      </c>
      <c r="BE443">
        <v>699149112</v>
      </c>
      <c r="BF443" s="44" t="s">
        <v>1639</v>
      </c>
      <c r="BG443" s="44" t="s">
        <v>449</v>
      </c>
      <c r="BJ443" t="str">
        <f t="shared" si="90"/>
        <v/>
      </c>
      <c r="BK443" t="s">
        <v>793</v>
      </c>
      <c r="BL443" s="44" t="s">
        <v>1640</v>
      </c>
      <c r="BM443" s="44" t="s">
        <v>159</v>
      </c>
      <c r="BN443" s="11">
        <v>46124</v>
      </c>
      <c r="BO443" s="36" t="str">
        <f t="shared" si="94"/>
        <v>S15_2026</v>
      </c>
      <c r="BP443" s="44" t="s">
        <v>114</v>
      </c>
      <c r="BQ443" s="44" t="s">
        <v>450</v>
      </c>
      <c r="BR443" t="s">
        <v>451</v>
      </c>
      <c r="BS443" t="s">
        <v>132</v>
      </c>
      <c r="CI443" t="s">
        <v>119</v>
      </c>
      <c r="CP443" s="11">
        <v>46115</v>
      </c>
      <c r="CQ443" t="s">
        <v>132</v>
      </c>
      <c r="CR443">
        <f t="shared" si="84"/>
        <v>3</v>
      </c>
      <c r="CS443">
        <f t="shared" si="85"/>
        <v>2</v>
      </c>
      <c r="CT443">
        <f t="shared" si="92"/>
        <v>3</v>
      </c>
      <c r="CU443">
        <f t="shared" si="86"/>
        <v>0</v>
      </c>
      <c r="CV443" t="str">
        <f t="shared" si="87"/>
        <v/>
      </c>
      <c r="CW443" t="s">
        <v>132</v>
      </c>
      <c r="CX443" s="11">
        <v>46112</v>
      </c>
      <c r="CY443" t="str">
        <f t="shared" si="89"/>
        <v>S14_2026</v>
      </c>
      <c r="CZ443" t="s">
        <v>132</v>
      </c>
      <c r="DB443" t="s">
        <v>132</v>
      </c>
      <c r="DC443" t="s">
        <v>120</v>
      </c>
    </row>
    <row r="444" spans="1:107" x14ac:dyDescent="0.35">
      <c r="A444" t="s">
        <v>1641</v>
      </c>
      <c r="B444" s="10" t="str">
        <f t="shared" si="91"/>
        <v>S15_2026</v>
      </c>
      <c r="C444" s="10" t="str">
        <f t="shared" si="83"/>
        <v>S14_2026</v>
      </c>
      <c r="D444" s="11">
        <v>46120</v>
      </c>
      <c r="E444" s="44" t="s">
        <v>123</v>
      </c>
      <c r="F444" s="48">
        <v>10</v>
      </c>
      <c r="G444" s="44" t="s">
        <v>107</v>
      </c>
      <c r="H444" s="44" t="s">
        <v>108</v>
      </c>
      <c r="J444" s="44" t="s">
        <v>114</v>
      </c>
      <c r="K444" s="11">
        <v>46120</v>
      </c>
      <c r="L444" s="44" t="s">
        <v>793</v>
      </c>
      <c r="M444" s="44" t="s">
        <v>1642</v>
      </c>
      <c r="N444" s="44" t="s">
        <v>1643</v>
      </c>
      <c r="O444" s="44" t="s">
        <v>1644</v>
      </c>
      <c r="P444" s="44" t="s">
        <v>1645</v>
      </c>
      <c r="Q444" s="44" t="s">
        <v>1642</v>
      </c>
      <c r="R444" s="11">
        <v>46117</v>
      </c>
      <c r="S444" s="11">
        <v>46117</v>
      </c>
      <c r="T444" s="11">
        <v>46117</v>
      </c>
      <c r="V444" s="44" t="s">
        <v>114</v>
      </c>
      <c r="W444" s="44" t="s">
        <v>114</v>
      </c>
      <c r="X444" s="44" t="s">
        <v>114</v>
      </c>
      <c r="Y444" s="44" t="s">
        <v>114</v>
      </c>
      <c r="Z444" s="44" t="s">
        <v>114</v>
      </c>
      <c r="AA444" s="44" t="s">
        <v>114</v>
      </c>
      <c r="AB444" s="44" t="s">
        <v>114</v>
      </c>
      <c r="AE444" s="44" t="s">
        <v>114</v>
      </c>
      <c r="AF444" s="44" t="s">
        <v>114</v>
      </c>
      <c r="AG444" s="44" t="s">
        <v>114</v>
      </c>
      <c r="AH444" s="44" t="s">
        <v>132</v>
      </c>
      <c r="AI444" s="44" t="s">
        <v>132</v>
      </c>
      <c r="AJ444" s="44" t="s">
        <v>1646</v>
      </c>
      <c r="AK444" s="44" t="s">
        <v>132</v>
      </c>
      <c r="AL444" s="44"/>
      <c r="AM444" s="44" t="s">
        <v>132</v>
      </c>
      <c r="AN444" s="44" t="s">
        <v>132</v>
      </c>
      <c r="AO444" s="44"/>
      <c r="AP444" s="44" t="s">
        <v>132</v>
      </c>
      <c r="AQ444" s="44" t="s">
        <v>132</v>
      </c>
      <c r="AR444" s="44" t="s">
        <v>1647</v>
      </c>
      <c r="AS444" s="11">
        <v>46122</v>
      </c>
      <c r="AU444" s="44" t="s">
        <v>114</v>
      </c>
      <c r="AV444" s="44" t="s">
        <v>115</v>
      </c>
      <c r="BB444" s="44" t="s">
        <v>114</v>
      </c>
      <c r="BC444" s="11">
        <v>46121</v>
      </c>
      <c r="BD444" s="44" t="s">
        <v>455</v>
      </c>
      <c r="BE444">
        <v>679696330</v>
      </c>
      <c r="BF444" s="44" t="s">
        <v>1648</v>
      </c>
      <c r="BG444" s="44" t="s">
        <v>449</v>
      </c>
      <c r="BJ444" t="str">
        <f t="shared" si="90"/>
        <v/>
      </c>
      <c r="BK444" t="s">
        <v>793</v>
      </c>
      <c r="BL444" s="44" t="s">
        <v>1649</v>
      </c>
      <c r="BM444" s="44" t="s">
        <v>159</v>
      </c>
      <c r="BN444" s="11">
        <v>46124</v>
      </c>
      <c r="BO444" s="36" t="str">
        <f t="shared" si="94"/>
        <v>S15_2026</v>
      </c>
      <c r="BP444" s="44" t="s">
        <v>114</v>
      </c>
      <c r="BQ444" s="44" t="s">
        <v>450</v>
      </c>
      <c r="BR444" t="s">
        <v>451</v>
      </c>
      <c r="BS444" t="s">
        <v>132</v>
      </c>
      <c r="CI444" t="s">
        <v>119</v>
      </c>
      <c r="CP444" s="11">
        <v>46120</v>
      </c>
      <c r="CQ444" t="s">
        <v>132</v>
      </c>
      <c r="CR444">
        <f t="shared" si="84"/>
        <v>1</v>
      </c>
      <c r="CS444">
        <f t="shared" si="85"/>
        <v>2</v>
      </c>
      <c r="CT444">
        <f t="shared" si="92"/>
        <v>3</v>
      </c>
      <c r="CU444">
        <f t="shared" si="86"/>
        <v>0</v>
      </c>
      <c r="CV444" t="str">
        <f t="shared" si="87"/>
        <v/>
      </c>
      <c r="CW444" t="s">
        <v>132</v>
      </c>
      <c r="CX444" s="11">
        <v>46117</v>
      </c>
      <c r="CY444" t="str">
        <f t="shared" si="89"/>
        <v>S14_2026</v>
      </c>
      <c r="CZ444" t="s">
        <v>132</v>
      </c>
      <c r="DB444" t="s">
        <v>132</v>
      </c>
      <c r="DC444" t="s">
        <v>120</v>
      </c>
    </row>
    <row r="445" spans="1:107" x14ac:dyDescent="0.35">
      <c r="A445" t="s">
        <v>1650</v>
      </c>
      <c r="B445" s="10" t="str">
        <f t="shared" si="91"/>
        <v>S15_2026</v>
      </c>
      <c r="C445" s="10" t="str">
        <f t="shared" si="83"/>
        <v>S15_2026</v>
      </c>
      <c r="D445" s="11">
        <v>46122</v>
      </c>
      <c r="E445" s="44" t="s">
        <v>123</v>
      </c>
      <c r="F445" s="48">
        <v>15</v>
      </c>
      <c r="G445" s="44" t="s">
        <v>107</v>
      </c>
      <c r="H445" s="44" t="s">
        <v>108</v>
      </c>
      <c r="J445" s="44" t="s">
        <v>114</v>
      </c>
      <c r="K445" s="11">
        <v>46120</v>
      </c>
      <c r="L445" s="44" t="s">
        <v>126</v>
      </c>
      <c r="M445" s="44" t="s">
        <v>1057</v>
      </c>
      <c r="N445" s="44" t="s">
        <v>1651</v>
      </c>
      <c r="O445" s="44" t="s">
        <v>1652</v>
      </c>
      <c r="P445" s="44" t="s">
        <v>1653</v>
      </c>
      <c r="Q445" s="44" t="s">
        <v>1057</v>
      </c>
      <c r="R445" s="11">
        <v>46118</v>
      </c>
      <c r="S445" s="11">
        <v>46118</v>
      </c>
      <c r="T445" s="11">
        <v>46118</v>
      </c>
      <c r="V445" s="44" t="s">
        <v>114</v>
      </c>
      <c r="W445" s="44" t="s">
        <v>114</v>
      </c>
      <c r="X445" s="44" t="s">
        <v>114</v>
      </c>
      <c r="Y445" s="44" t="s">
        <v>114</v>
      </c>
      <c r="Z445" s="44" t="s">
        <v>114</v>
      </c>
      <c r="AA445" s="44" t="s">
        <v>114</v>
      </c>
      <c r="AB445" s="44" t="s">
        <v>114</v>
      </c>
      <c r="AE445" s="44" t="s">
        <v>114</v>
      </c>
      <c r="AF445" s="44" t="s">
        <v>132</v>
      </c>
      <c r="AG445" s="44" t="s">
        <v>132</v>
      </c>
      <c r="AH445" s="44" t="s">
        <v>132</v>
      </c>
      <c r="AI445" s="44" t="s">
        <v>132</v>
      </c>
      <c r="AJ445" s="44" t="s">
        <v>132</v>
      </c>
      <c r="AK445" s="44" t="s">
        <v>132</v>
      </c>
      <c r="AL445" s="44"/>
      <c r="AM445" s="44" t="s">
        <v>132</v>
      </c>
      <c r="AN445" s="44" t="s">
        <v>132</v>
      </c>
      <c r="AO445" s="44"/>
      <c r="AP445" s="44" t="s">
        <v>132</v>
      </c>
      <c r="AQ445" s="44" t="s">
        <v>132</v>
      </c>
      <c r="AR445" s="44" t="s">
        <v>1654</v>
      </c>
      <c r="AS445" s="11">
        <v>46122</v>
      </c>
      <c r="AU445" s="44" t="s">
        <v>114</v>
      </c>
      <c r="AV445" s="44" t="s">
        <v>115</v>
      </c>
      <c r="BB445" s="44" t="s">
        <v>114</v>
      </c>
      <c r="BC445" s="11">
        <v>46150</v>
      </c>
      <c r="BD445" t="s">
        <v>1655</v>
      </c>
      <c r="BF445" s="44" t="s">
        <v>1656</v>
      </c>
      <c r="BG445" t="s">
        <v>449</v>
      </c>
      <c r="BJ445" t="str">
        <f t="shared" si="90"/>
        <v/>
      </c>
      <c r="BK445" s="44" t="s">
        <v>137</v>
      </c>
      <c r="BL445" t="str">
        <f t="shared" ref="BL445:BL508" si="95">IFERROR("S"&amp;(IF(_xlfn.ISOWEEKNUM(BC445)&gt;0,_xlfn.ISOWEEKNUM(BC445),_xlfn.CONCAT("0",_xlfn.ISOWEEKNUM(BC445))))&amp;"_"&amp;(YEAR(BC445+26-(_xlfn.ISOWEEKNUM(BC445)))),"")</f>
        <v>S19_2026</v>
      </c>
      <c r="BM445" s="44" t="s">
        <v>159</v>
      </c>
      <c r="BN445" s="11">
        <v>46124</v>
      </c>
      <c r="BO445" s="36" t="str">
        <f t="shared" si="94"/>
        <v>S15_2026</v>
      </c>
      <c r="BP445" s="44" t="s">
        <v>114</v>
      </c>
      <c r="BQ445" s="44" t="s">
        <v>450</v>
      </c>
      <c r="BR445" t="s">
        <v>451</v>
      </c>
      <c r="BS445" t="s">
        <v>132</v>
      </c>
      <c r="CI445" t="s">
        <v>119</v>
      </c>
      <c r="CP445" s="11">
        <v>46120</v>
      </c>
      <c r="CQ445" t="s">
        <v>132</v>
      </c>
      <c r="CR445">
        <f t="shared" si="84"/>
        <v>-28</v>
      </c>
      <c r="CS445">
        <f t="shared" si="85"/>
        <v>2</v>
      </c>
      <c r="CT445">
        <f t="shared" si="92"/>
        <v>2</v>
      </c>
      <c r="CU445">
        <f t="shared" si="86"/>
        <v>0</v>
      </c>
      <c r="CV445" t="str">
        <f t="shared" si="87"/>
        <v/>
      </c>
      <c r="CW445" t="s">
        <v>132</v>
      </c>
      <c r="CX445" s="11">
        <v>46118</v>
      </c>
      <c r="CY445" t="str">
        <f t="shared" si="89"/>
        <v>S15_2026</v>
      </c>
      <c r="CZ445" t="s">
        <v>132</v>
      </c>
      <c r="DB445" t="s">
        <v>132</v>
      </c>
      <c r="DC445" t="s">
        <v>120</v>
      </c>
    </row>
    <row r="446" spans="1:107" x14ac:dyDescent="0.35">
      <c r="A446" t="s">
        <v>1657</v>
      </c>
      <c r="B446" s="10" t="str">
        <f t="shared" si="91"/>
        <v>S15_2026</v>
      </c>
      <c r="C446" s="10" t="str">
        <f t="shared" si="83"/>
        <v>S15_2026</v>
      </c>
      <c r="D446" s="11">
        <v>46122</v>
      </c>
      <c r="E446" s="44" t="s">
        <v>123</v>
      </c>
      <c r="F446" s="48">
        <v>2</v>
      </c>
      <c r="G446" s="44" t="s">
        <v>141</v>
      </c>
      <c r="H446" s="44" t="s">
        <v>108</v>
      </c>
      <c r="J446" s="44" t="s">
        <v>132</v>
      </c>
      <c r="L446" s="44" t="s">
        <v>126</v>
      </c>
      <c r="M446" s="44" t="s">
        <v>1084</v>
      </c>
      <c r="N446" s="44" t="s">
        <v>1274</v>
      </c>
      <c r="O446" s="44" t="s">
        <v>1658</v>
      </c>
      <c r="P446" s="44" t="s">
        <v>1659</v>
      </c>
      <c r="Q446" s="44" t="s">
        <v>1053</v>
      </c>
      <c r="R446" s="11">
        <v>46119</v>
      </c>
      <c r="S446" s="11">
        <v>46119</v>
      </c>
      <c r="T446" s="11">
        <v>46119</v>
      </c>
      <c r="V446" s="44" t="s">
        <v>132</v>
      </c>
      <c r="W446" s="44" t="s">
        <v>114</v>
      </c>
      <c r="X446" s="44" t="s">
        <v>114</v>
      </c>
      <c r="Y446" s="44" t="s">
        <v>114</v>
      </c>
      <c r="Z446" s="44" t="s">
        <v>132</v>
      </c>
      <c r="AA446" s="44" t="s">
        <v>132</v>
      </c>
      <c r="AB446" s="44" t="s">
        <v>114</v>
      </c>
      <c r="AE446" s="44" t="s">
        <v>114</v>
      </c>
      <c r="AF446" s="44" t="s">
        <v>114</v>
      </c>
      <c r="AG446" s="44" t="s">
        <v>132</v>
      </c>
      <c r="AH446" s="44" t="s">
        <v>132</v>
      </c>
      <c r="AI446" s="44" t="s">
        <v>132</v>
      </c>
      <c r="AJ446" s="44" t="s">
        <v>132</v>
      </c>
      <c r="AK446" s="44" t="s">
        <v>132</v>
      </c>
      <c r="AL446" s="44"/>
      <c r="AM446" s="44" t="s">
        <v>132</v>
      </c>
      <c r="AN446" s="44" t="s">
        <v>132</v>
      </c>
      <c r="AO446" s="44"/>
      <c r="AP446" s="44" t="s">
        <v>132</v>
      </c>
      <c r="AQ446" s="44" t="s">
        <v>132</v>
      </c>
      <c r="AR446" s="44" t="s">
        <v>1660</v>
      </c>
      <c r="AS446" s="11">
        <v>46122</v>
      </c>
      <c r="AU446" s="44" t="s">
        <v>114</v>
      </c>
      <c r="AV446" s="44" t="s">
        <v>115</v>
      </c>
      <c r="BB446" s="44" t="s">
        <v>114</v>
      </c>
      <c r="BC446" s="11">
        <v>46121</v>
      </c>
      <c r="BD446" t="s">
        <v>1661</v>
      </c>
      <c r="BF446" s="44" t="s">
        <v>1659</v>
      </c>
      <c r="BG446" t="s">
        <v>449</v>
      </c>
      <c r="BJ446" t="str">
        <f t="shared" si="90"/>
        <v/>
      </c>
      <c r="BK446" s="44" t="s">
        <v>137</v>
      </c>
      <c r="BL446" t="str">
        <f t="shared" si="95"/>
        <v>S15_2026</v>
      </c>
      <c r="BM446" s="44" t="s">
        <v>159</v>
      </c>
      <c r="BN446" s="11">
        <v>46124</v>
      </c>
      <c r="BO446" s="36" t="str">
        <f t="shared" si="94"/>
        <v>S15_2026</v>
      </c>
      <c r="BP446" t="s">
        <v>114</v>
      </c>
      <c r="BQ446" t="s">
        <v>450</v>
      </c>
      <c r="BR446" t="s">
        <v>451</v>
      </c>
      <c r="BS446" t="s">
        <v>132</v>
      </c>
      <c r="CI446" t="s">
        <v>119</v>
      </c>
      <c r="CP446" s="11">
        <v>46121</v>
      </c>
      <c r="CQ446" t="s">
        <v>132</v>
      </c>
      <c r="CR446">
        <f t="shared" si="84"/>
        <v>1</v>
      </c>
      <c r="CS446">
        <f t="shared" si="85"/>
        <v>2</v>
      </c>
      <c r="CT446">
        <f t="shared" si="92"/>
        <v>2</v>
      </c>
      <c r="CU446" t="str">
        <f t="shared" si="86"/>
        <v/>
      </c>
      <c r="CV446" t="str">
        <f t="shared" si="87"/>
        <v/>
      </c>
      <c r="CW446" t="s">
        <v>132</v>
      </c>
      <c r="CX446" s="11">
        <v>46119</v>
      </c>
      <c r="CY446" t="str">
        <f t="shared" si="89"/>
        <v>S15_2026</v>
      </c>
      <c r="CZ446" t="s">
        <v>132</v>
      </c>
      <c r="DB446" t="s">
        <v>132</v>
      </c>
      <c r="DC446" t="s">
        <v>120</v>
      </c>
    </row>
    <row r="447" spans="1:107" x14ac:dyDescent="0.35">
      <c r="A447" t="s">
        <v>1662</v>
      </c>
      <c r="B447" s="10" t="str">
        <f t="shared" si="91"/>
        <v>S15_2026</v>
      </c>
      <c r="C447" s="10" t="str">
        <f t="shared" si="83"/>
        <v>S13_2026</v>
      </c>
      <c r="D447" s="11">
        <v>46123</v>
      </c>
      <c r="E447" s="44" t="s">
        <v>123</v>
      </c>
      <c r="F447" s="48">
        <v>29</v>
      </c>
      <c r="G447" s="44" t="s">
        <v>1197</v>
      </c>
      <c r="H447" s="44" t="s">
        <v>108</v>
      </c>
      <c r="J447" s="44" t="s">
        <v>114</v>
      </c>
      <c r="K447" s="11">
        <v>46109</v>
      </c>
      <c r="L447" s="44" t="s">
        <v>793</v>
      </c>
      <c r="M447" s="44" t="s">
        <v>1663</v>
      </c>
      <c r="N447" s="44" t="s">
        <v>1663</v>
      </c>
      <c r="O447" s="44" t="s">
        <v>1664</v>
      </c>
      <c r="P447" s="44" t="s">
        <v>1665</v>
      </c>
      <c r="Q447" s="44" t="s">
        <v>1663</v>
      </c>
      <c r="R447" s="11">
        <v>46107</v>
      </c>
      <c r="S447" s="11">
        <v>46107</v>
      </c>
      <c r="T447" s="11">
        <v>46107</v>
      </c>
      <c r="V447" s="44" t="s">
        <v>132</v>
      </c>
      <c r="W447" s="44" t="s">
        <v>132</v>
      </c>
      <c r="X447" s="44" t="s">
        <v>114</v>
      </c>
      <c r="Y447" s="44" t="s">
        <v>132</v>
      </c>
      <c r="Z447" s="44" t="s">
        <v>132</v>
      </c>
      <c r="AA447" s="44" t="s">
        <v>114</v>
      </c>
      <c r="AB447" s="44" t="s">
        <v>132</v>
      </c>
      <c r="AC447" s="44" t="s">
        <v>1666</v>
      </c>
      <c r="AE447" s="44" t="s">
        <v>132</v>
      </c>
      <c r="AF447" s="44" t="s">
        <v>132</v>
      </c>
      <c r="AG447" s="44" t="s">
        <v>132</v>
      </c>
      <c r="AH447" s="44" t="s">
        <v>132</v>
      </c>
      <c r="AI447" s="44" t="s">
        <v>132</v>
      </c>
      <c r="AJ447" s="44" t="s">
        <v>132</v>
      </c>
      <c r="AK447" s="44" t="s">
        <v>132</v>
      </c>
      <c r="AL447" s="44"/>
      <c r="AM447" s="44" t="s">
        <v>451</v>
      </c>
      <c r="AN447" s="44" t="s">
        <v>132</v>
      </c>
      <c r="AO447" s="44"/>
      <c r="AP447" s="44" t="s">
        <v>132</v>
      </c>
      <c r="AQ447" s="44" t="s">
        <v>132</v>
      </c>
      <c r="AR447" s="44" t="s">
        <v>1667</v>
      </c>
      <c r="AS447" s="11">
        <v>46125</v>
      </c>
      <c r="AU447" s="44" t="s">
        <v>114</v>
      </c>
      <c r="AV447" s="44" t="s">
        <v>115</v>
      </c>
      <c r="BB447" s="44" t="s">
        <v>114</v>
      </c>
      <c r="BC447" s="11">
        <v>46122</v>
      </c>
      <c r="BD447" t="s">
        <v>284</v>
      </c>
      <c r="BE447">
        <v>687283806</v>
      </c>
      <c r="BF447" s="44" t="s">
        <v>1663</v>
      </c>
      <c r="BG447" t="s">
        <v>449</v>
      </c>
      <c r="BJ447" t="str">
        <f t="shared" si="90"/>
        <v/>
      </c>
      <c r="BK447" t="s">
        <v>793</v>
      </c>
      <c r="BL447" t="str">
        <f t="shared" si="95"/>
        <v>S15_2026</v>
      </c>
      <c r="BM447" s="44" t="s">
        <v>159</v>
      </c>
      <c r="BN447" s="11">
        <v>46132</v>
      </c>
      <c r="BO447" s="36" t="str">
        <f t="shared" si="94"/>
        <v>S17_2026</v>
      </c>
      <c r="BP447" s="44" t="s">
        <v>114</v>
      </c>
      <c r="BQ447" s="44" t="s">
        <v>450</v>
      </c>
      <c r="BR447" t="s">
        <v>451</v>
      </c>
      <c r="BS447" t="s">
        <v>132</v>
      </c>
      <c r="CI447" t="s">
        <v>119</v>
      </c>
      <c r="CP447" s="11">
        <v>46122</v>
      </c>
      <c r="CQ447" t="s">
        <v>132</v>
      </c>
      <c r="CR447">
        <f t="shared" si="84"/>
        <v>3</v>
      </c>
      <c r="CS447">
        <f t="shared" si="85"/>
        <v>7</v>
      </c>
      <c r="CT447">
        <f t="shared" si="92"/>
        <v>15</v>
      </c>
      <c r="CU447">
        <f t="shared" si="86"/>
        <v>13</v>
      </c>
      <c r="CV447" t="str">
        <f t="shared" si="87"/>
        <v/>
      </c>
      <c r="CW447" t="s">
        <v>132</v>
      </c>
      <c r="CX447" s="11">
        <v>46107</v>
      </c>
      <c r="CY447" t="str">
        <f t="shared" si="89"/>
        <v>S13_2026</v>
      </c>
      <c r="CZ447" t="s">
        <v>132</v>
      </c>
      <c r="DB447" t="s">
        <v>132</v>
      </c>
      <c r="DC447" t="s">
        <v>120</v>
      </c>
    </row>
    <row r="448" spans="1:107" x14ac:dyDescent="0.35">
      <c r="A448" s="36" t="s">
        <v>1668</v>
      </c>
      <c r="B448" s="10" t="str">
        <f t="shared" si="91"/>
        <v>S16_2026</v>
      </c>
      <c r="C448" s="10" t="str">
        <f t="shared" si="83"/>
        <v>S15_2026</v>
      </c>
      <c r="D448" s="11">
        <v>46127</v>
      </c>
      <c r="E448" s="44" t="s">
        <v>106</v>
      </c>
      <c r="F448" s="24">
        <v>3</v>
      </c>
      <c r="G448" s="44" t="s">
        <v>107</v>
      </c>
      <c r="H448" s="44" t="s">
        <v>108</v>
      </c>
      <c r="J448" s="44" t="s">
        <v>114</v>
      </c>
      <c r="K448" s="11">
        <v>46125</v>
      </c>
      <c r="L448" s="44" t="s">
        <v>111</v>
      </c>
      <c r="M448" s="44" t="s">
        <v>308</v>
      </c>
      <c r="N448" s="44" t="s">
        <v>1669</v>
      </c>
      <c r="O448" s="44" t="s">
        <v>1390</v>
      </c>
      <c r="P448" s="44" t="s">
        <v>515</v>
      </c>
      <c r="Q448" s="44" t="s">
        <v>312</v>
      </c>
      <c r="R448" s="11">
        <v>46123</v>
      </c>
      <c r="S448" s="11">
        <v>46123</v>
      </c>
      <c r="T448" s="11">
        <v>46123</v>
      </c>
      <c r="V448" s="44" t="s">
        <v>132</v>
      </c>
      <c r="W448" s="44" t="s">
        <v>132</v>
      </c>
      <c r="X448" s="44" t="s">
        <v>114</v>
      </c>
      <c r="Y448" s="44" t="s">
        <v>132</v>
      </c>
      <c r="Z448" s="44" t="s">
        <v>132</v>
      </c>
      <c r="AA448" s="44" t="s">
        <v>132</v>
      </c>
      <c r="AB448" s="44" t="s">
        <v>132</v>
      </c>
      <c r="AC448" s="44" t="s">
        <v>1164</v>
      </c>
      <c r="AE448" s="44" t="s">
        <v>114</v>
      </c>
      <c r="AF448" s="44" t="s">
        <v>132</v>
      </c>
      <c r="AG448" s="44" t="s">
        <v>114</v>
      </c>
      <c r="AH448" s="44" t="s">
        <v>132</v>
      </c>
      <c r="AI448" s="44" t="s">
        <v>132</v>
      </c>
      <c r="AJ448" s="44" t="s">
        <v>132</v>
      </c>
      <c r="AK448" s="44" t="s">
        <v>132</v>
      </c>
      <c r="AL448" s="44"/>
      <c r="AM448" s="44" t="s">
        <v>451</v>
      </c>
      <c r="AN448" s="44" t="s">
        <v>132</v>
      </c>
      <c r="AO448" s="44"/>
      <c r="AP448" s="44" t="s">
        <v>132</v>
      </c>
      <c r="AQ448" s="44" t="s">
        <v>132</v>
      </c>
      <c r="AR448" s="44" t="s">
        <v>1670</v>
      </c>
      <c r="AS448" s="11">
        <v>46126</v>
      </c>
      <c r="AU448" s="44" t="s">
        <v>114</v>
      </c>
      <c r="AV448" s="44" t="s">
        <v>115</v>
      </c>
      <c r="BB448" s="44" t="s">
        <v>114</v>
      </c>
      <c r="BC448" s="11">
        <v>46125</v>
      </c>
      <c r="BD448" t="s">
        <v>512</v>
      </c>
      <c r="BE448">
        <v>694782810</v>
      </c>
      <c r="BF448" s="44" t="s">
        <v>570</v>
      </c>
      <c r="BG448" t="s">
        <v>449</v>
      </c>
      <c r="BJ448" t="str">
        <f t="shared" si="90"/>
        <v/>
      </c>
      <c r="BK448" s="44" t="s">
        <v>117</v>
      </c>
      <c r="BL448" t="str">
        <f t="shared" si="95"/>
        <v>S16_2026</v>
      </c>
      <c r="BM448" s="44" t="s">
        <v>159</v>
      </c>
      <c r="BN448" s="11">
        <v>46128</v>
      </c>
      <c r="BO448" s="36" t="str">
        <f t="shared" si="94"/>
        <v>S16_2026</v>
      </c>
      <c r="BP448" s="44" t="s">
        <v>114</v>
      </c>
      <c r="BQ448" s="44" t="s">
        <v>450</v>
      </c>
      <c r="BR448" t="s">
        <v>451</v>
      </c>
      <c r="BS448" t="s">
        <v>132</v>
      </c>
      <c r="CI448" t="s">
        <v>119</v>
      </c>
      <c r="CP448" s="11">
        <v>46125</v>
      </c>
      <c r="CQ448" t="s">
        <v>132</v>
      </c>
      <c r="CR448">
        <f t="shared" si="84"/>
        <v>1</v>
      </c>
      <c r="CS448">
        <f t="shared" si="85"/>
        <v>2</v>
      </c>
      <c r="CT448">
        <f t="shared" si="92"/>
        <v>2</v>
      </c>
      <c r="CU448">
        <f t="shared" si="86"/>
        <v>0</v>
      </c>
      <c r="CV448" t="str">
        <f t="shared" si="87"/>
        <v/>
      </c>
      <c r="CW448" t="s">
        <v>132</v>
      </c>
      <c r="CX448" s="11">
        <v>46123</v>
      </c>
      <c r="CY448" t="str">
        <f t="shared" si="89"/>
        <v>S15_2026</v>
      </c>
      <c r="CZ448" t="s">
        <v>132</v>
      </c>
      <c r="DB448" t="s">
        <v>132</v>
      </c>
      <c r="DC448" t="s">
        <v>120</v>
      </c>
    </row>
    <row r="449" spans="1:107" x14ac:dyDescent="0.35">
      <c r="A449" s="36" t="s">
        <v>1671</v>
      </c>
      <c r="B449" s="10" t="str">
        <f t="shared" si="91"/>
        <v>S16_2026</v>
      </c>
      <c r="C449" s="10" t="str">
        <f t="shared" ref="C449:C512" si="96">IFERROR("S"&amp;(IF(_xlfn.ISOWEEKNUM(R449)&gt;0,_xlfn.ISOWEEKNUM(R449),_xlfn.CONCAT("0",_xlfn.ISOWEEKNUM(R449))))&amp;"_"&amp;(YEAR(R449+26-(_xlfn.ISOWEEKNUM(R449)))),"")</f>
        <v>S15_2026</v>
      </c>
      <c r="D449" s="11">
        <v>46127</v>
      </c>
      <c r="E449" s="44" t="s">
        <v>123</v>
      </c>
      <c r="F449" s="24">
        <v>1.5</v>
      </c>
      <c r="G449" s="44" t="s">
        <v>141</v>
      </c>
      <c r="H449" s="44" t="s">
        <v>108</v>
      </c>
      <c r="J449" s="44" t="s">
        <v>132</v>
      </c>
      <c r="L449" s="44" t="s">
        <v>111</v>
      </c>
      <c r="M449" s="44" t="s">
        <v>143</v>
      </c>
      <c r="N449" s="44" t="s">
        <v>1006</v>
      </c>
      <c r="O449" s="44" t="s">
        <v>184</v>
      </c>
      <c r="P449" s="44" t="s">
        <v>1672</v>
      </c>
      <c r="Q449" s="44" t="s">
        <v>143</v>
      </c>
      <c r="R449" s="11">
        <v>46119</v>
      </c>
      <c r="S449" s="11">
        <v>46119</v>
      </c>
      <c r="T449" s="11">
        <v>46119</v>
      </c>
      <c r="V449" s="44" t="s">
        <v>132</v>
      </c>
      <c r="W449" s="44" t="s">
        <v>132</v>
      </c>
      <c r="X449" s="44" t="s">
        <v>132</v>
      </c>
      <c r="Y449" s="44" t="s">
        <v>132</v>
      </c>
      <c r="Z449" s="44" t="s">
        <v>132</v>
      </c>
      <c r="AA449" s="44" t="s">
        <v>132</v>
      </c>
      <c r="AB449" s="44" t="s">
        <v>114</v>
      </c>
      <c r="AE449" s="44" t="s">
        <v>114</v>
      </c>
      <c r="AF449" s="44" t="s">
        <v>132</v>
      </c>
      <c r="AG449" s="44" t="s">
        <v>132</v>
      </c>
      <c r="AH449" s="44" t="s">
        <v>132</v>
      </c>
      <c r="AI449" s="44" t="s">
        <v>132</v>
      </c>
      <c r="AJ449" s="44" t="s">
        <v>132</v>
      </c>
      <c r="AK449" s="44" t="s">
        <v>132</v>
      </c>
      <c r="AL449" s="44"/>
      <c r="AM449" s="44" t="s">
        <v>114</v>
      </c>
      <c r="AN449" s="44" t="s">
        <v>132</v>
      </c>
      <c r="AO449" s="44"/>
      <c r="AP449" s="44" t="s">
        <v>132</v>
      </c>
      <c r="AQ449" s="44" t="s">
        <v>132</v>
      </c>
      <c r="AR449" s="44" t="s">
        <v>1673</v>
      </c>
      <c r="AS449" s="11">
        <v>46132</v>
      </c>
      <c r="AU449" s="44" t="s">
        <v>114</v>
      </c>
      <c r="AV449" s="44" t="s">
        <v>115</v>
      </c>
      <c r="BB449" s="44" t="s">
        <v>114</v>
      </c>
      <c r="BC449" s="11">
        <v>46125</v>
      </c>
      <c r="BD449" t="s">
        <v>524</v>
      </c>
      <c r="BE449">
        <v>652648333</v>
      </c>
      <c r="BF449" s="44" t="s">
        <v>1006</v>
      </c>
      <c r="BG449" t="s">
        <v>449</v>
      </c>
      <c r="BJ449" t="str">
        <f t="shared" si="90"/>
        <v/>
      </c>
      <c r="BK449" s="44" t="s">
        <v>117</v>
      </c>
      <c r="BL449" t="str">
        <f t="shared" si="95"/>
        <v>S16_2026</v>
      </c>
      <c r="BM449" s="44" t="s">
        <v>159</v>
      </c>
      <c r="BN449" s="11">
        <v>46132</v>
      </c>
      <c r="BO449" s="36" t="str">
        <f t="shared" si="94"/>
        <v>S17_2026</v>
      </c>
      <c r="BP449" s="44" t="s">
        <v>114</v>
      </c>
      <c r="BQ449" s="44" t="s">
        <v>450</v>
      </c>
      <c r="BR449" t="s">
        <v>451</v>
      </c>
      <c r="BS449" t="s">
        <v>132</v>
      </c>
      <c r="CI449" t="s">
        <v>119</v>
      </c>
      <c r="CP449" s="11">
        <v>46125</v>
      </c>
      <c r="CQ449" t="s">
        <v>132</v>
      </c>
      <c r="CR449">
        <f t="shared" si="84"/>
        <v>7</v>
      </c>
      <c r="CS449">
        <f t="shared" si="85"/>
        <v>0</v>
      </c>
      <c r="CT449">
        <f t="shared" si="92"/>
        <v>6</v>
      </c>
      <c r="CU449" t="str">
        <f t="shared" si="86"/>
        <v/>
      </c>
      <c r="CV449" t="str">
        <f t="shared" si="87"/>
        <v/>
      </c>
      <c r="CW449" t="s">
        <v>132</v>
      </c>
      <c r="CX449" s="11">
        <v>46119</v>
      </c>
      <c r="CY449" t="str">
        <f t="shared" si="89"/>
        <v>S15_2026</v>
      </c>
      <c r="CZ449" t="s">
        <v>132</v>
      </c>
      <c r="DB449" t="s">
        <v>132</v>
      </c>
      <c r="DC449" t="s">
        <v>120</v>
      </c>
    </row>
    <row r="450" spans="1:107" x14ac:dyDescent="0.35">
      <c r="A450" t="s">
        <v>1674</v>
      </c>
      <c r="B450" s="10" t="str">
        <f t="shared" si="91"/>
        <v>S16_2026</v>
      </c>
      <c r="C450" s="10" t="str">
        <f t="shared" si="96"/>
        <v>S15_2026</v>
      </c>
      <c r="D450" s="11">
        <v>46127</v>
      </c>
      <c r="E450" s="44" t="s">
        <v>106</v>
      </c>
      <c r="F450" s="24">
        <v>12</v>
      </c>
      <c r="G450" s="44" t="s">
        <v>107</v>
      </c>
      <c r="H450" s="44" t="s">
        <v>108</v>
      </c>
      <c r="J450" s="44" t="s">
        <v>114</v>
      </c>
      <c r="L450" s="44" t="s">
        <v>111</v>
      </c>
      <c r="M450" s="44" t="s">
        <v>626</v>
      </c>
      <c r="N450" s="44" t="s">
        <v>1601</v>
      </c>
      <c r="O450" s="44" t="s">
        <v>1675</v>
      </c>
      <c r="Q450" s="44" t="s">
        <v>626</v>
      </c>
      <c r="R450" s="11">
        <v>46122</v>
      </c>
      <c r="S450" s="11">
        <v>46122</v>
      </c>
      <c r="T450" s="11">
        <v>46122</v>
      </c>
      <c r="V450" s="44" t="s">
        <v>114</v>
      </c>
      <c r="W450" s="44" t="s">
        <v>114</v>
      </c>
      <c r="X450" s="44" t="s">
        <v>114</v>
      </c>
      <c r="Y450" s="44" t="s">
        <v>114</v>
      </c>
      <c r="Z450" s="44" t="s">
        <v>114</v>
      </c>
      <c r="AA450" s="44" t="s">
        <v>114</v>
      </c>
      <c r="AB450" s="44" t="s">
        <v>114</v>
      </c>
      <c r="AE450" s="44" t="s">
        <v>114</v>
      </c>
      <c r="AF450" s="44" t="s">
        <v>132</v>
      </c>
      <c r="AG450" s="44" t="s">
        <v>114</v>
      </c>
      <c r="AH450" s="44" t="s">
        <v>132</v>
      </c>
      <c r="AI450" s="44" t="s">
        <v>132</v>
      </c>
      <c r="AJ450" s="44" t="s">
        <v>132</v>
      </c>
      <c r="AK450" s="44" t="s">
        <v>132</v>
      </c>
      <c r="AL450" s="44"/>
      <c r="AM450" s="44" t="s">
        <v>451</v>
      </c>
      <c r="AN450" s="44" t="s">
        <v>132</v>
      </c>
      <c r="AO450" s="44"/>
      <c r="AP450" s="44" t="s">
        <v>132</v>
      </c>
      <c r="AQ450" s="44" t="s">
        <v>132</v>
      </c>
      <c r="BB450" s="44" t="s">
        <v>114</v>
      </c>
      <c r="BC450" s="11">
        <v>46127</v>
      </c>
      <c r="BD450" t="s">
        <v>116</v>
      </c>
      <c r="BE450">
        <v>694602057</v>
      </c>
      <c r="BF450" s="44" t="s">
        <v>1676</v>
      </c>
      <c r="BJ450" t="str">
        <f t="shared" si="90"/>
        <v/>
      </c>
      <c r="BK450" s="44" t="s">
        <v>117</v>
      </c>
      <c r="BL450" t="str">
        <f t="shared" si="95"/>
        <v>S16_2026</v>
      </c>
      <c r="BM450" s="44" t="s">
        <v>159</v>
      </c>
      <c r="BO450" s="36" t="str">
        <f t="shared" si="94"/>
        <v/>
      </c>
      <c r="BR450" t="s">
        <v>451</v>
      </c>
      <c r="BS450" t="s">
        <v>132</v>
      </c>
      <c r="CI450" t="s">
        <v>119</v>
      </c>
      <c r="CP450" s="11">
        <v>46127</v>
      </c>
      <c r="CR450" t="str">
        <f t="shared" si="84"/>
        <v/>
      </c>
      <c r="CS450" t="str">
        <f t="shared" si="85"/>
        <v/>
      </c>
      <c r="CT450">
        <f t="shared" si="92"/>
        <v>5</v>
      </c>
      <c r="CV450" t="str">
        <f t="shared" si="87"/>
        <v/>
      </c>
      <c r="CX450" s="11">
        <v>46122</v>
      </c>
      <c r="CY450" t="str">
        <f t="shared" si="89"/>
        <v>S15_2026</v>
      </c>
      <c r="DC450" t="s">
        <v>1293</v>
      </c>
    </row>
    <row r="451" spans="1:107" x14ac:dyDescent="0.35">
      <c r="A451" s="36" t="s">
        <v>1677</v>
      </c>
      <c r="B451" s="10" t="str">
        <f t="shared" si="91"/>
        <v>S16_2026</v>
      </c>
      <c r="C451" s="10" t="str">
        <f t="shared" si="96"/>
        <v>S15_2026</v>
      </c>
      <c r="D451" s="11">
        <v>46127</v>
      </c>
      <c r="E451" s="44" t="s">
        <v>123</v>
      </c>
      <c r="F451" s="24">
        <v>15</v>
      </c>
      <c r="G451" s="44" t="s">
        <v>107</v>
      </c>
      <c r="H451" s="44" t="s">
        <v>108</v>
      </c>
      <c r="J451" s="44" t="s">
        <v>132</v>
      </c>
      <c r="L451" s="44" t="s">
        <v>111</v>
      </c>
      <c r="M451" s="44" t="s">
        <v>308</v>
      </c>
      <c r="N451" s="44" t="s">
        <v>631</v>
      </c>
      <c r="P451" s="44" t="s">
        <v>1678</v>
      </c>
      <c r="Q451" s="44" t="s">
        <v>312</v>
      </c>
      <c r="R451" s="11">
        <v>46123</v>
      </c>
      <c r="S451" s="11">
        <v>46123</v>
      </c>
      <c r="T451" s="11">
        <v>46123</v>
      </c>
      <c r="V451" s="44" t="s">
        <v>114</v>
      </c>
      <c r="W451" s="44" t="s">
        <v>114</v>
      </c>
      <c r="X451" s="44" t="s">
        <v>114</v>
      </c>
      <c r="Y451" s="44" t="s">
        <v>114</v>
      </c>
      <c r="Z451" s="44" t="s">
        <v>114</v>
      </c>
      <c r="AA451" s="44" t="s">
        <v>114</v>
      </c>
      <c r="AB451" s="44" t="s">
        <v>114</v>
      </c>
      <c r="AE451" s="44" t="s">
        <v>114</v>
      </c>
      <c r="AF451" s="44" t="s">
        <v>114</v>
      </c>
      <c r="AG451" s="44" t="s">
        <v>114</v>
      </c>
      <c r="AH451" s="44" t="s">
        <v>132</v>
      </c>
      <c r="AI451" s="44" t="s">
        <v>132</v>
      </c>
      <c r="AJ451" s="44" t="s">
        <v>132</v>
      </c>
      <c r="AK451" s="44" t="s">
        <v>132</v>
      </c>
      <c r="AL451" s="44"/>
      <c r="AM451" s="44" t="s">
        <v>451</v>
      </c>
      <c r="AN451" s="44" t="s">
        <v>132</v>
      </c>
      <c r="AO451" s="44"/>
      <c r="AP451" s="44" t="s">
        <v>132</v>
      </c>
      <c r="AQ451" s="44" t="s">
        <v>132</v>
      </c>
      <c r="BB451" s="44" t="s">
        <v>114</v>
      </c>
      <c r="BC451" s="11">
        <v>46127</v>
      </c>
      <c r="BD451" t="s">
        <v>116</v>
      </c>
      <c r="BE451">
        <v>698504540</v>
      </c>
      <c r="BF451" s="44" t="s">
        <v>631</v>
      </c>
      <c r="BJ451" t="str">
        <f t="shared" si="90"/>
        <v/>
      </c>
      <c r="BK451" s="44" t="s">
        <v>117</v>
      </c>
      <c r="BL451" t="str">
        <f t="shared" si="95"/>
        <v>S16_2026</v>
      </c>
      <c r="BM451" s="44" t="s">
        <v>159</v>
      </c>
      <c r="BO451" s="36" t="str">
        <f t="shared" si="94"/>
        <v/>
      </c>
      <c r="BR451" t="s">
        <v>451</v>
      </c>
      <c r="BS451" t="s">
        <v>132</v>
      </c>
      <c r="CI451" t="s">
        <v>119</v>
      </c>
      <c r="CP451" s="11">
        <v>46127</v>
      </c>
      <c r="CR451" t="str">
        <f t="shared" ref="CR451:CR485" si="97">IF(BP451="Non","",IF(BP451="","",AS451-BC451))</f>
        <v/>
      </c>
      <c r="CS451" t="str">
        <f t="shared" ref="CS451:CS485" si="98">IF(BP451="Non","",IF(BP451="","",BN451-AS451))</f>
        <v/>
      </c>
      <c r="CT451">
        <f t="shared" si="92"/>
        <v>4</v>
      </c>
      <c r="CU451" t="str">
        <f t="shared" ref="CU451:CU485" si="99">IF(J451="Non","",IF(J451="","",CP451-K451))</f>
        <v/>
      </c>
      <c r="CV451" t="str">
        <f t="shared" ref="CV451:CV484" si="100">IF(AV451="POSITIF",BI451-CX451,"")</f>
        <v/>
      </c>
      <c r="CX451" s="11">
        <v>46123</v>
      </c>
      <c r="CY451" t="str">
        <f t="shared" si="89"/>
        <v>S15_2026</v>
      </c>
      <c r="DC451" t="s">
        <v>1293</v>
      </c>
    </row>
    <row r="452" spans="1:107" x14ac:dyDescent="0.35">
      <c r="A452" t="s">
        <v>1679</v>
      </c>
      <c r="B452" s="10" t="str">
        <f t="shared" si="91"/>
        <v>S16_2026</v>
      </c>
      <c r="C452" s="10" t="str">
        <f t="shared" si="96"/>
        <v>S14_2026</v>
      </c>
      <c r="D452" s="43">
        <v>46128</v>
      </c>
      <c r="E452" s="44" t="s">
        <v>123</v>
      </c>
      <c r="F452" s="48">
        <v>36</v>
      </c>
      <c r="G452" s="44" t="s">
        <v>1680</v>
      </c>
      <c r="H452" s="44" t="s">
        <v>835</v>
      </c>
      <c r="I452" s="44"/>
      <c r="J452" s="44" t="s">
        <v>114</v>
      </c>
      <c r="K452" s="43">
        <v>46121</v>
      </c>
      <c r="L452" s="44" t="s">
        <v>126</v>
      </c>
      <c r="M452" s="44" t="s">
        <v>977</v>
      </c>
      <c r="N452" s="44" t="s">
        <v>1364</v>
      </c>
      <c r="O452" s="44" t="s">
        <v>971</v>
      </c>
      <c r="Q452" s="44" t="s">
        <v>977</v>
      </c>
      <c r="R452" s="43">
        <v>46113</v>
      </c>
      <c r="S452" s="43">
        <v>46113</v>
      </c>
      <c r="T452" s="43">
        <v>46117</v>
      </c>
      <c r="V452" s="44" t="s">
        <v>114</v>
      </c>
      <c r="W452" s="44" t="s">
        <v>114</v>
      </c>
      <c r="X452" s="44" t="s">
        <v>114</v>
      </c>
      <c r="Y452" s="44" t="s">
        <v>114</v>
      </c>
      <c r="Z452" s="44" t="s">
        <v>114</v>
      </c>
      <c r="AA452" s="44" t="s">
        <v>114</v>
      </c>
      <c r="AB452" s="44" t="s">
        <v>114</v>
      </c>
      <c r="AC452" s="44" t="s">
        <v>1238</v>
      </c>
      <c r="AE452" s="44" t="s">
        <v>114</v>
      </c>
      <c r="AF452" s="44" t="s">
        <v>114</v>
      </c>
      <c r="AG452" s="44" t="s">
        <v>114</v>
      </c>
      <c r="AH452" s="44" t="s">
        <v>114</v>
      </c>
      <c r="AI452" s="44" t="s">
        <v>114</v>
      </c>
      <c r="AJ452" s="44" t="s">
        <v>132</v>
      </c>
      <c r="AK452" s="44" t="s">
        <v>132</v>
      </c>
      <c r="AL452" s="44"/>
      <c r="AM452" s="44" t="s">
        <v>114</v>
      </c>
      <c r="AN452" s="44" t="s">
        <v>114</v>
      </c>
      <c r="AO452" s="44"/>
      <c r="AP452" s="44" t="s">
        <v>132</v>
      </c>
      <c r="AQ452" s="44" t="s">
        <v>132</v>
      </c>
      <c r="AR452" s="44" t="s">
        <v>1681</v>
      </c>
      <c r="AS452" s="11">
        <v>46125</v>
      </c>
      <c r="AT452" s="44"/>
      <c r="AU452" s="44" t="s">
        <v>114</v>
      </c>
      <c r="AV452" t="s">
        <v>134</v>
      </c>
      <c r="AW452" t="s">
        <v>152</v>
      </c>
      <c r="AX452" s="44"/>
      <c r="AY452" t="s">
        <v>463</v>
      </c>
      <c r="AZ452" s="44"/>
      <c r="BA452" s="44"/>
      <c r="BB452" s="44" t="s">
        <v>114</v>
      </c>
      <c r="BC452" s="43">
        <v>46125</v>
      </c>
      <c r="BD452" t="s">
        <v>116</v>
      </c>
      <c r="BE452" s="44"/>
      <c r="BF452" s="44" t="s">
        <v>1682</v>
      </c>
      <c r="BG452" s="44" t="s">
        <v>449</v>
      </c>
      <c r="BI452" s="43">
        <v>46128</v>
      </c>
      <c r="BJ452" t="str">
        <f t="shared" si="90"/>
        <v>S16_2026</v>
      </c>
      <c r="BK452" s="44" t="s">
        <v>137</v>
      </c>
      <c r="BL452" t="str">
        <f t="shared" si="95"/>
        <v>S16_2026</v>
      </c>
      <c r="BM452" s="44" t="s">
        <v>159</v>
      </c>
      <c r="BN452" s="43">
        <v>46128</v>
      </c>
      <c r="BO452" s="36" t="str">
        <f t="shared" si="94"/>
        <v>S16_2026</v>
      </c>
      <c r="BP452" s="44" t="s">
        <v>114</v>
      </c>
      <c r="BQ452" s="44" t="s">
        <v>450</v>
      </c>
      <c r="BR452" t="s">
        <v>451</v>
      </c>
      <c r="BS452" s="44" t="s">
        <v>132</v>
      </c>
      <c r="BT452" s="44"/>
      <c r="CI452" t="s">
        <v>119</v>
      </c>
      <c r="CK452" t="s">
        <v>467</v>
      </c>
      <c r="CP452" s="11">
        <v>46121</v>
      </c>
      <c r="CQ452" t="s">
        <v>132</v>
      </c>
      <c r="CR452">
        <f t="shared" si="97"/>
        <v>0</v>
      </c>
      <c r="CS452">
        <f t="shared" si="98"/>
        <v>3</v>
      </c>
      <c r="CT452">
        <f t="shared" si="92"/>
        <v>8</v>
      </c>
      <c r="CU452">
        <f t="shared" si="99"/>
        <v>0</v>
      </c>
      <c r="CV452">
        <f t="shared" si="100"/>
        <v>15</v>
      </c>
      <c r="CW452" t="s">
        <v>132</v>
      </c>
      <c r="CX452" s="11">
        <v>46113</v>
      </c>
      <c r="CY452" t="str">
        <f t="shared" si="89"/>
        <v>S14_2026</v>
      </c>
      <c r="CZ452" t="s">
        <v>132</v>
      </c>
      <c r="DB452" t="s">
        <v>132</v>
      </c>
      <c r="DC452" t="s">
        <v>139</v>
      </c>
    </row>
    <row r="453" spans="1:107" x14ac:dyDescent="0.35">
      <c r="A453" s="36" t="s">
        <v>1683</v>
      </c>
      <c r="B453" s="10" t="str">
        <f t="shared" si="91"/>
        <v>S16_2026</v>
      </c>
      <c r="C453" s="10" t="str">
        <f t="shared" si="96"/>
        <v>S14_2026</v>
      </c>
      <c r="D453" s="43">
        <v>46128</v>
      </c>
      <c r="E453" s="44" t="s">
        <v>123</v>
      </c>
      <c r="F453" s="48">
        <v>34</v>
      </c>
      <c r="G453" s="44" t="s">
        <v>1684</v>
      </c>
      <c r="H453" s="44" t="s">
        <v>835</v>
      </c>
      <c r="I453" s="44"/>
      <c r="J453" s="44" t="s">
        <v>114</v>
      </c>
      <c r="K453" s="43">
        <v>46121</v>
      </c>
      <c r="L453" s="44" t="s">
        <v>126</v>
      </c>
      <c r="M453" s="44" t="s">
        <v>977</v>
      </c>
      <c r="N453" s="44" t="s">
        <v>1364</v>
      </c>
      <c r="O453" s="44" t="s">
        <v>971</v>
      </c>
      <c r="Q453" s="44" t="s">
        <v>357</v>
      </c>
      <c r="R453" s="43">
        <v>46115</v>
      </c>
      <c r="S453" s="43">
        <v>46115</v>
      </c>
      <c r="T453" s="43">
        <v>46119</v>
      </c>
      <c r="V453" s="44" t="s">
        <v>114</v>
      </c>
      <c r="W453" s="44" t="s">
        <v>114</v>
      </c>
      <c r="X453" s="44" t="s">
        <v>114</v>
      </c>
      <c r="Y453" s="44" t="s">
        <v>114</v>
      </c>
      <c r="Z453" s="44" t="s">
        <v>114</v>
      </c>
      <c r="AA453" s="44" t="s">
        <v>114</v>
      </c>
      <c r="AB453" s="44" t="s">
        <v>114</v>
      </c>
      <c r="AC453" s="44" t="s">
        <v>1238</v>
      </c>
      <c r="AE453" s="44" t="s">
        <v>114</v>
      </c>
      <c r="AF453" s="44" t="s">
        <v>114</v>
      </c>
      <c r="AG453" s="44" t="s">
        <v>114</v>
      </c>
      <c r="AH453" s="44" t="s">
        <v>114</v>
      </c>
      <c r="AI453" s="44" t="s">
        <v>132</v>
      </c>
      <c r="AJ453" s="44" t="s">
        <v>132</v>
      </c>
      <c r="AK453" s="44" t="s">
        <v>114</v>
      </c>
      <c r="AL453" s="44"/>
      <c r="AM453" s="44" t="s">
        <v>114</v>
      </c>
      <c r="AN453" s="44" t="s">
        <v>132</v>
      </c>
      <c r="AO453" s="44"/>
      <c r="AP453" s="44" t="s">
        <v>132</v>
      </c>
      <c r="AQ453" s="44" t="s">
        <v>132</v>
      </c>
      <c r="AR453" s="44" t="s">
        <v>1685</v>
      </c>
      <c r="AS453" s="11">
        <v>46125</v>
      </c>
      <c r="AT453" s="44"/>
      <c r="AU453" s="44" t="s">
        <v>114</v>
      </c>
      <c r="AV453" t="s">
        <v>134</v>
      </c>
      <c r="AW453" t="s">
        <v>152</v>
      </c>
      <c r="AX453" s="44"/>
      <c r="AY453" t="s">
        <v>135</v>
      </c>
      <c r="AZ453" s="44"/>
      <c r="BA453" s="44"/>
      <c r="BB453" s="44" t="s">
        <v>114</v>
      </c>
      <c r="BC453" s="43">
        <v>46125</v>
      </c>
      <c r="BD453" s="44" t="s">
        <v>116</v>
      </c>
      <c r="BE453" s="44"/>
      <c r="BF453" s="44" t="s">
        <v>1686</v>
      </c>
      <c r="BG453" s="44" t="s">
        <v>449</v>
      </c>
      <c r="BI453" s="43">
        <v>46128</v>
      </c>
      <c r="BJ453" t="str">
        <f t="shared" si="90"/>
        <v>S16_2026</v>
      </c>
      <c r="BK453" s="44" t="s">
        <v>137</v>
      </c>
      <c r="BL453" t="str">
        <f t="shared" si="95"/>
        <v>S16_2026</v>
      </c>
      <c r="BM453" s="44" t="s">
        <v>159</v>
      </c>
      <c r="BN453" s="43">
        <v>46128</v>
      </c>
      <c r="BO453" s="36" t="str">
        <f t="shared" si="94"/>
        <v>S16_2026</v>
      </c>
      <c r="BP453" s="44" t="s">
        <v>114</v>
      </c>
      <c r="BQ453" s="44" t="s">
        <v>450</v>
      </c>
      <c r="BR453" t="s">
        <v>451</v>
      </c>
      <c r="BS453" s="44" t="s">
        <v>132</v>
      </c>
      <c r="BT453" s="44"/>
      <c r="CI453" t="s">
        <v>119</v>
      </c>
      <c r="CK453" t="s">
        <v>138</v>
      </c>
      <c r="CP453" s="11">
        <v>46121</v>
      </c>
      <c r="CQ453" t="s">
        <v>132</v>
      </c>
      <c r="CR453">
        <f t="shared" si="97"/>
        <v>0</v>
      </c>
      <c r="CS453">
        <f t="shared" si="98"/>
        <v>3</v>
      </c>
      <c r="CT453">
        <f t="shared" si="92"/>
        <v>6</v>
      </c>
      <c r="CU453">
        <f t="shared" si="99"/>
        <v>0</v>
      </c>
      <c r="CV453">
        <f t="shared" si="100"/>
        <v>13</v>
      </c>
      <c r="CW453" t="s">
        <v>132</v>
      </c>
      <c r="CX453" s="11">
        <v>46115</v>
      </c>
      <c r="CY453" t="str">
        <f t="shared" si="89"/>
        <v>S14_2026</v>
      </c>
      <c r="CZ453" t="s">
        <v>132</v>
      </c>
      <c r="DB453" t="s">
        <v>132</v>
      </c>
      <c r="DC453" t="s">
        <v>139</v>
      </c>
    </row>
    <row r="454" spans="1:107" x14ac:dyDescent="0.35">
      <c r="A454" t="s">
        <v>1687</v>
      </c>
      <c r="B454" s="10" t="str">
        <f t="shared" si="91"/>
        <v>S16_2026</v>
      </c>
      <c r="C454" s="10" t="str">
        <f t="shared" si="96"/>
        <v>S16_2026</v>
      </c>
      <c r="D454" s="43">
        <v>46129</v>
      </c>
      <c r="E454" s="44" t="s">
        <v>106</v>
      </c>
      <c r="F454" s="48">
        <v>32</v>
      </c>
      <c r="G454" s="44" t="s">
        <v>1593</v>
      </c>
      <c r="H454" s="44" t="s">
        <v>835</v>
      </c>
      <c r="I454" s="44"/>
      <c r="J454" s="44" t="s">
        <v>114</v>
      </c>
      <c r="K454" s="43">
        <v>46128</v>
      </c>
      <c r="L454" s="44" t="s">
        <v>126</v>
      </c>
      <c r="M454" s="44" t="s">
        <v>1625</v>
      </c>
      <c r="N454" s="44" t="s">
        <v>1553</v>
      </c>
      <c r="O454" s="44" t="s">
        <v>1554</v>
      </c>
      <c r="P454" s="44" t="s">
        <v>978</v>
      </c>
      <c r="Q454" s="44" t="s">
        <v>977</v>
      </c>
      <c r="R454" s="43">
        <v>46128</v>
      </c>
      <c r="S454" s="43">
        <v>46128</v>
      </c>
      <c r="T454" s="43">
        <v>46128</v>
      </c>
      <c r="U454" s="44"/>
      <c r="V454" s="44" t="s">
        <v>114</v>
      </c>
      <c r="W454" s="44" t="s">
        <v>114</v>
      </c>
      <c r="X454" s="44" t="s">
        <v>114</v>
      </c>
      <c r="Y454" s="44" t="s">
        <v>114</v>
      </c>
      <c r="Z454" s="44" t="s">
        <v>114</v>
      </c>
      <c r="AA454" s="44" t="s">
        <v>114</v>
      </c>
      <c r="AB454" s="44" t="s">
        <v>114</v>
      </c>
      <c r="AC454" s="44" t="s">
        <v>1238</v>
      </c>
      <c r="AE454" s="44" t="s">
        <v>114</v>
      </c>
      <c r="AF454" s="44" t="s">
        <v>114</v>
      </c>
      <c r="AG454" s="44" t="s">
        <v>114</v>
      </c>
      <c r="AH454" s="44" t="s">
        <v>132</v>
      </c>
      <c r="AI454" s="44" t="s">
        <v>132</v>
      </c>
      <c r="AJ454" s="44" t="s">
        <v>114</v>
      </c>
      <c r="AK454" s="44" t="s">
        <v>132</v>
      </c>
      <c r="AL454" s="44"/>
      <c r="AM454" s="44" t="s">
        <v>132</v>
      </c>
      <c r="AN454" s="44" t="s">
        <v>132</v>
      </c>
      <c r="AO454" s="44"/>
      <c r="AP454" s="44" t="s">
        <v>132</v>
      </c>
      <c r="AQ454" s="44" t="s">
        <v>132</v>
      </c>
      <c r="AR454" s="44" t="s">
        <v>1688</v>
      </c>
      <c r="AS454" s="43">
        <v>46129</v>
      </c>
      <c r="AT454" s="44"/>
      <c r="AU454" s="44" t="s">
        <v>114</v>
      </c>
      <c r="AV454" s="44" t="s">
        <v>115</v>
      </c>
      <c r="AW454" s="44"/>
      <c r="AX454" s="44"/>
      <c r="AY454" s="44"/>
      <c r="AZ454" s="44"/>
      <c r="BA454" s="44"/>
      <c r="BB454" s="44" t="s">
        <v>114</v>
      </c>
      <c r="BC454" s="43">
        <v>46129</v>
      </c>
      <c r="BD454" s="44" t="s">
        <v>1471</v>
      </c>
      <c r="BF454" s="44" t="s">
        <v>978</v>
      </c>
      <c r="BG454" s="44" t="s">
        <v>449</v>
      </c>
      <c r="BH454" s="44"/>
      <c r="BI454" s="44"/>
      <c r="BJ454" t="str">
        <f t="shared" si="90"/>
        <v/>
      </c>
      <c r="BK454" s="44" t="s">
        <v>137</v>
      </c>
      <c r="BL454" t="str">
        <f t="shared" si="95"/>
        <v>S16_2026</v>
      </c>
      <c r="BM454" s="44" t="s">
        <v>159</v>
      </c>
      <c r="BN454" s="43">
        <v>46132</v>
      </c>
      <c r="BO454" s="36" t="str">
        <f t="shared" si="94"/>
        <v>S17_2026</v>
      </c>
      <c r="BP454" s="44" t="s">
        <v>114</v>
      </c>
      <c r="BQ454" s="44" t="s">
        <v>450</v>
      </c>
      <c r="BR454" s="44" t="s">
        <v>451</v>
      </c>
      <c r="BS454" s="44" t="s">
        <v>132</v>
      </c>
      <c r="BT454" s="44"/>
      <c r="CI454" t="s">
        <v>119</v>
      </c>
      <c r="CP454" s="11">
        <v>46129</v>
      </c>
      <c r="CQ454" t="s">
        <v>132</v>
      </c>
      <c r="CR454">
        <f t="shared" si="97"/>
        <v>0</v>
      </c>
      <c r="CS454">
        <f t="shared" si="98"/>
        <v>3</v>
      </c>
      <c r="CT454">
        <f t="shared" si="92"/>
        <v>1</v>
      </c>
      <c r="CU454">
        <f t="shared" si="99"/>
        <v>1</v>
      </c>
      <c r="CV454" t="str">
        <f t="shared" si="100"/>
        <v/>
      </c>
      <c r="CW454" t="s">
        <v>132</v>
      </c>
      <c r="CX454" s="11">
        <v>46128</v>
      </c>
      <c r="CY454" t="str">
        <f t="shared" si="89"/>
        <v>S16_2026</v>
      </c>
      <c r="CZ454" t="s">
        <v>132</v>
      </c>
      <c r="DB454" t="s">
        <v>132</v>
      </c>
      <c r="DC454" t="s">
        <v>120</v>
      </c>
    </row>
    <row r="455" spans="1:107" x14ac:dyDescent="0.35">
      <c r="A455" s="36" t="s">
        <v>1689</v>
      </c>
      <c r="B455" s="10" t="str">
        <f t="shared" si="91"/>
        <v>S17_2026</v>
      </c>
      <c r="C455" s="10" t="str">
        <f t="shared" si="96"/>
        <v>S16_2026</v>
      </c>
      <c r="D455" s="11">
        <v>46132</v>
      </c>
      <c r="E455" s="44" t="s">
        <v>106</v>
      </c>
      <c r="F455" s="24">
        <v>4</v>
      </c>
      <c r="G455" s="44" t="s">
        <v>107</v>
      </c>
      <c r="H455" s="44" t="s">
        <v>108</v>
      </c>
      <c r="J455" s="44" t="s">
        <v>114</v>
      </c>
      <c r="K455" s="11">
        <v>46129</v>
      </c>
      <c r="L455" s="44" t="s">
        <v>111</v>
      </c>
      <c r="M455" s="44" t="s">
        <v>308</v>
      </c>
      <c r="N455" s="44" t="s">
        <v>1154</v>
      </c>
      <c r="O455" s="44" t="s">
        <v>1390</v>
      </c>
      <c r="P455" s="44" t="s">
        <v>332</v>
      </c>
      <c r="Q455" s="44" t="s">
        <v>312</v>
      </c>
      <c r="R455" s="11">
        <v>46127</v>
      </c>
      <c r="S455" s="11">
        <v>46127</v>
      </c>
      <c r="T455" s="11">
        <v>46127</v>
      </c>
      <c r="V455" s="44" t="s">
        <v>132</v>
      </c>
      <c r="W455" s="44" t="s">
        <v>132</v>
      </c>
      <c r="X455" s="44" t="s">
        <v>132</v>
      </c>
      <c r="Y455" s="44" t="s">
        <v>132</v>
      </c>
      <c r="Z455" s="44" t="s">
        <v>132</v>
      </c>
      <c r="AA455" s="44" t="s">
        <v>132</v>
      </c>
      <c r="AB455" s="44" t="s">
        <v>132</v>
      </c>
      <c r="AC455" s="44" t="s">
        <v>1238</v>
      </c>
      <c r="AE455" s="44" t="s">
        <v>114</v>
      </c>
      <c r="AF455" s="44" t="s">
        <v>132</v>
      </c>
      <c r="AG455" s="44" t="s">
        <v>132</v>
      </c>
      <c r="AH455" s="44" t="s">
        <v>132</v>
      </c>
      <c r="AI455" s="44" t="s">
        <v>132</v>
      </c>
      <c r="AJ455" s="44" t="s">
        <v>132</v>
      </c>
      <c r="AK455" s="44" t="s">
        <v>132</v>
      </c>
      <c r="AL455" s="44"/>
      <c r="AM455" s="44" t="s">
        <v>114</v>
      </c>
      <c r="AN455" s="44" t="s">
        <v>132</v>
      </c>
      <c r="AO455" s="44"/>
      <c r="AP455" s="44" t="s">
        <v>132</v>
      </c>
      <c r="AQ455" s="44" t="s">
        <v>132</v>
      </c>
      <c r="AR455" t="s">
        <v>1690</v>
      </c>
      <c r="AS455" s="11">
        <v>46132</v>
      </c>
      <c r="AU455" t="s">
        <v>114</v>
      </c>
      <c r="AV455" t="s">
        <v>115</v>
      </c>
      <c r="BB455" s="44" t="s">
        <v>114</v>
      </c>
      <c r="BC455" s="11">
        <v>46130</v>
      </c>
      <c r="BD455" t="s">
        <v>512</v>
      </c>
      <c r="BE455">
        <v>654072415</v>
      </c>
      <c r="BF455" s="44" t="s">
        <v>309</v>
      </c>
      <c r="BG455" t="s">
        <v>449</v>
      </c>
      <c r="BJ455" t="str">
        <f t="shared" si="90"/>
        <v/>
      </c>
      <c r="BK455" s="44" t="s">
        <v>117</v>
      </c>
      <c r="BL455" t="str">
        <f t="shared" si="95"/>
        <v>S16_2026</v>
      </c>
      <c r="BM455" s="44" t="s">
        <v>159</v>
      </c>
      <c r="BN455" s="11">
        <v>46132</v>
      </c>
      <c r="BO455" s="36" t="str">
        <f t="shared" si="94"/>
        <v>S17_2026</v>
      </c>
      <c r="BP455" t="s">
        <v>114</v>
      </c>
      <c r="BQ455" t="s">
        <v>450</v>
      </c>
      <c r="BR455" t="s">
        <v>451</v>
      </c>
      <c r="BS455" t="s">
        <v>132</v>
      </c>
      <c r="CI455" t="s">
        <v>119</v>
      </c>
      <c r="CP455" s="11">
        <v>46130</v>
      </c>
      <c r="CQ455" t="s">
        <v>132</v>
      </c>
      <c r="CR455">
        <f t="shared" si="97"/>
        <v>2</v>
      </c>
      <c r="CS455">
        <f t="shared" si="98"/>
        <v>0</v>
      </c>
      <c r="CT455">
        <f t="shared" si="92"/>
        <v>3</v>
      </c>
      <c r="CU455">
        <f t="shared" si="99"/>
        <v>1</v>
      </c>
      <c r="CV455" t="str">
        <f t="shared" si="100"/>
        <v/>
      </c>
      <c r="CW455" t="s">
        <v>132</v>
      </c>
      <c r="CX455" s="11">
        <v>46127</v>
      </c>
      <c r="CY455" t="str">
        <f t="shared" si="89"/>
        <v>S16_2026</v>
      </c>
      <c r="CZ455" t="s">
        <v>132</v>
      </c>
      <c r="DB455" t="s">
        <v>132</v>
      </c>
      <c r="DC455" t="s">
        <v>120</v>
      </c>
    </row>
    <row r="456" spans="1:107" x14ac:dyDescent="0.35">
      <c r="A456" t="s">
        <v>1691</v>
      </c>
      <c r="B456" s="10" t="str">
        <f>IFERROR("S"&amp;(IF(_xlfn.ISOWEEKNUM(D456)&gt;0,_xlfn.ISOWEEKNUM(D456),_xlfn.CONCAT("0",_xlfn.ISOWEEKNUM(D456))))&amp;"_"&amp;(YEAR(D456+26-(_xlfn.ISOWEEKNUM(D456)))),"")</f>
        <v>S17_2026</v>
      </c>
      <c r="C456" s="10" t="str">
        <f t="shared" si="96"/>
        <v>S15_2026</v>
      </c>
      <c r="D456" s="11">
        <v>46132</v>
      </c>
      <c r="E456" s="44" t="s">
        <v>123</v>
      </c>
      <c r="F456" s="24">
        <v>25</v>
      </c>
      <c r="G456" s="44" t="s">
        <v>1197</v>
      </c>
      <c r="H456" s="44" t="s">
        <v>108</v>
      </c>
      <c r="J456" s="44" t="s">
        <v>114</v>
      </c>
      <c r="K456" s="11">
        <v>46127</v>
      </c>
      <c r="L456" s="44" t="s">
        <v>126</v>
      </c>
      <c r="M456" s="44" t="s">
        <v>977</v>
      </c>
      <c r="N456" s="44" t="s">
        <v>1364</v>
      </c>
      <c r="O456" s="44" t="s">
        <v>1692</v>
      </c>
      <c r="P456" s="44" t="s">
        <v>1693</v>
      </c>
      <c r="Q456" s="44" t="s">
        <v>977</v>
      </c>
      <c r="R456" s="11">
        <v>46123</v>
      </c>
      <c r="S456" s="11">
        <v>46123</v>
      </c>
      <c r="T456" s="11">
        <v>46123</v>
      </c>
      <c r="V456" s="44" t="s">
        <v>132</v>
      </c>
      <c r="W456" s="44" t="s">
        <v>114</v>
      </c>
      <c r="X456" s="44" t="s">
        <v>132</v>
      </c>
      <c r="Y456" s="44" t="s">
        <v>132</v>
      </c>
      <c r="Z456" s="44" t="s">
        <v>132</v>
      </c>
      <c r="AA456" s="44" t="s">
        <v>132</v>
      </c>
      <c r="AB456" s="44" t="s">
        <v>114</v>
      </c>
      <c r="AC456" s="44" t="s">
        <v>1238</v>
      </c>
      <c r="AE456" s="44" t="s">
        <v>114</v>
      </c>
      <c r="AF456" s="44" t="s">
        <v>114</v>
      </c>
      <c r="AG456" s="44" t="s">
        <v>114</v>
      </c>
      <c r="AH456" s="44" t="s">
        <v>132</v>
      </c>
      <c r="AI456" s="44" t="s">
        <v>132</v>
      </c>
      <c r="AJ456" s="44" t="s">
        <v>114</v>
      </c>
      <c r="AK456" s="44" t="s">
        <v>132</v>
      </c>
      <c r="AL456" s="44"/>
      <c r="AM456" s="44" t="s">
        <v>451</v>
      </c>
      <c r="AN456" s="44" t="s">
        <v>132</v>
      </c>
      <c r="AO456" s="44"/>
      <c r="AP456" s="44" t="s">
        <v>132</v>
      </c>
      <c r="AQ456" s="44" t="s">
        <v>132</v>
      </c>
      <c r="AR456" t="s">
        <v>1694</v>
      </c>
      <c r="AS456" s="11">
        <v>46129</v>
      </c>
      <c r="AU456" t="s">
        <v>114</v>
      </c>
      <c r="AV456" t="s">
        <v>115</v>
      </c>
      <c r="BB456" s="44" t="s">
        <v>114</v>
      </c>
      <c r="BC456" s="11">
        <v>46127</v>
      </c>
      <c r="BD456" t="s">
        <v>116</v>
      </c>
      <c r="BF456" s="44" t="s">
        <v>1127</v>
      </c>
      <c r="BG456" t="s">
        <v>449</v>
      </c>
      <c r="BJ456" t="str">
        <f t="shared" si="90"/>
        <v/>
      </c>
      <c r="BK456" s="44" t="s">
        <v>137</v>
      </c>
      <c r="BL456" t="str">
        <f t="shared" si="95"/>
        <v>S16_2026</v>
      </c>
      <c r="BM456" s="44" t="s">
        <v>159</v>
      </c>
      <c r="BN456" s="11">
        <v>46132</v>
      </c>
      <c r="BO456" s="36" t="str">
        <f t="shared" si="94"/>
        <v>S17_2026</v>
      </c>
      <c r="BP456" t="s">
        <v>114</v>
      </c>
      <c r="BQ456" t="s">
        <v>450</v>
      </c>
      <c r="BR456" t="s">
        <v>451</v>
      </c>
      <c r="BS456" t="s">
        <v>132</v>
      </c>
      <c r="CI456" t="s">
        <v>119</v>
      </c>
      <c r="CP456" s="11">
        <v>46127</v>
      </c>
      <c r="CQ456" t="s">
        <v>132</v>
      </c>
      <c r="CR456">
        <f t="shared" si="97"/>
        <v>2</v>
      </c>
      <c r="CS456">
        <f t="shared" si="98"/>
        <v>3</v>
      </c>
      <c r="CT456">
        <f t="shared" si="92"/>
        <v>4</v>
      </c>
      <c r="CU456">
        <f t="shared" si="99"/>
        <v>0</v>
      </c>
      <c r="CV456" t="str">
        <f t="shared" si="100"/>
        <v/>
      </c>
      <c r="CW456" t="s">
        <v>132</v>
      </c>
      <c r="CX456" s="11">
        <v>46123</v>
      </c>
      <c r="CY456" t="str">
        <f t="shared" si="89"/>
        <v>S15_2026</v>
      </c>
      <c r="CZ456" t="s">
        <v>132</v>
      </c>
      <c r="DB456" t="s">
        <v>132</v>
      </c>
      <c r="DC456" t="s">
        <v>120</v>
      </c>
    </row>
    <row r="457" spans="1:107" x14ac:dyDescent="0.35">
      <c r="A457" t="s">
        <v>1695</v>
      </c>
      <c r="B457" s="10" t="str">
        <f t="shared" ref="B457:B520" si="101">IFERROR("S"&amp;(IF(_xlfn.ISOWEEKNUM(D457)&gt;0,_xlfn.ISOWEEKNUM(D457),_xlfn.CONCAT("0",_xlfn.ISOWEEKNUM(D457))))&amp;"_"&amp;(YEAR(D457+26-(_xlfn.ISOWEEKNUM(D457)))),"")</f>
        <v>S17_2026</v>
      </c>
      <c r="C457" s="10" t="str">
        <f t="shared" si="96"/>
        <v>S14_2025</v>
      </c>
      <c r="D457" s="11">
        <v>46132</v>
      </c>
      <c r="E457" s="44" t="s">
        <v>123</v>
      </c>
      <c r="F457" s="24">
        <v>41</v>
      </c>
      <c r="G457" s="44" t="s">
        <v>1696</v>
      </c>
      <c r="H457" t="s">
        <v>1697</v>
      </c>
      <c r="J457" t="s">
        <v>114</v>
      </c>
      <c r="K457" s="43">
        <v>46126</v>
      </c>
      <c r="L457" s="44" t="s">
        <v>126</v>
      </c>
      <c r="M457" s="44" t="s">
        <v>977</v>
      </c>
      <c r="N457" t="s">
        <v>1364</v>
      </c>
      <c r="O457" t="s">
        <v>971</v>
      </c>
      <c r="P457" t="s">
        <v>1698</v>
      </c>
      <c r="Q457" s="44" t="s">
        <v>357</v>
      </c>
      <c r="R457" s="43">
        <v>45748</v>
      </c>
      <c r="S457" s="43">
        <v>46113</v>
      </c>
      <c r="T457" s="43">
        <v>46116</v>
      </c>
      <c r="V457" t="s">
        <v>114</v>
      </c>
      <c r="W457" t="s">
        <v>114</v>
      </c>
      <c r="X457" t="s">
        <v>114</v>
      </c>
      <c r="Y457" t="s">
        <v>114</v>
      </c>
      <c r="Z457" t="s">
        <v>114</v>
      </c>
      <c r="AA457" t="s">
        <v>114</v>
      </c>
      <c r="AB457" t="s">
        <v>114</v>
      </c>
      <c r="AE457" t="s">
        <v>114</v>
      </c>
      <c r="AF457" t="s">
        <v>114</v>
      </c>
      <c r="AH457" t="s">
        <v>132</v>
      </c>
      <c r="AJ457" t="s">
        <v>132</v>
      </c>
      <c r="AK457" t="s">
        <v>132</v>
      </c>
      <c r="AM457" t="s">
        <v>132</v>
      </c>
      <c r="AN457" t="s">
        <v>132</v>
      </c>
      <c r="AP457" t="s">
        <v>132</v>
      </c>
      <c r="AQ457" t="s">
        <v>132</v>
      </c>
      <c r="AR457" t="s">
        <v>1699</v>
      </c>
      <c r="AS457" s="11">
        <v>46129</v>
      </c>
      <c r="AU457" t="s">
        <v>114</v>
      </c>
      <c r="AV457" t="s">
        <v>115</v>
      </c>
      <c r="BB457" s="44" t="s">
        <v>114</v>
      </c>
      <c r="BC457" s="11">
        <v>46126</v>
      </c>
      <c r="BD457" t="s">
        <v>116</v>
      </c>
      <c r="BF457" t="s">
        <v>1686</v>
      </c>
      <c r="BG457" t="s">
        <v>449</v>
      </c>
      <c r="BJ457" t="str">
        <f t="shared" si="90"/>
        <v/>
      </c>
      <c r="BK457" s="44" t="s">
        <v>137</v>
      </c>
      <c r="BL457" t="str">
        <f t="shared" si="95"/>
        <v>S16_2026</v>
      </c>
      <c r="BM457" s="44" t="s">
        <v>159</v>
      </c>
      <c r="BN457" s="11">
        <v>46132</v>
      </c>
      <c r="BO457" s="36" t="str">
        <f t="shared" si="94"/>
        <v>S17_2026</v>
      </c>
      <c r="BP457" t="s">
        <v>114</v>
      </c>
      <c r="BQ457" t="s">
        <v>450</v>
      </c>
      <c r="BR457" t="s">
        <v>451</v>
      </c>
      <c r="BS457" t="s">
        <v>132</v>
      </c>
      <c r="CI457" t="s">
        <v>119</v>
      </c>
      <c r="CP457" s="11">
        <v>46126</v>
      </c>
      <c r="CQ457" t="s">
        <v>132</v>
      </c>
      <c r="CR457">
        <f t="shared" si="97"/>
        <v>3</v>
      </c>
      <c r="CS457">
        <f t="shared" si="98"/>
        <v>3</v>
      </c>
      <c r="CT457">
        <f t="shared" si="92"/>
        <v>13</v>
      </c>
      <c r="CU457">
        <f t="shared" si="99"/>
        <v>0</v>
      </c>
      <c r="CV457" t="str">
        <f t="shared" si="100"/>
        <v/>
      </c>
      <c r="CW457" t="s">
        <v>132</v>
      </c>
      <c r="CX457" s="11">
        <v>46113</v>
      </c>
      <c r="CY457" t="str">
        <f t="shared" si="89"/>
        <v>S14_2026</v>
      </c>
      <c r="CZ457" t="s">
        <v>132</v>
      </c>
      <c r="DB457" t="s">
        <v>132</v>
      </c>
      <c r="DC457" t="s">
        <v>120</v>
      </c>
    </row>
    <row r="458" spans="1:107" x14ac:dyDescent="0.35">
      <c r="A458" t="s">
        <v>1700</v>
      </c>
      <c r="B458" s="10" t="str">
        <f t="shared" si="101"/>
        <v>S17_2026</v>
      </c>
      <c r="C458" s="10" t="str">
        <f t="shared" si="96"/>
        <v>S14_2026</v>
      </c>
      <c r="D458" s="11">
        <v>46132</v>
      </c>
      <c r="E458" s="44" t="s">
        <v>123</v>
      </c>
      <c r="F458" s="24">
        <v>0.5</v>
      </c>
      <c r="G458" s="44" t="s">
        <v>141</v>
      </c>
      <c r="H458" s="44" t="s">
        <v>108</v>
      </c>
      <c r="J458" s="44" t="s">
        <v>114</v>
      </c>
      <c r="L458" s="44" t="s">
        <v>126</v>
      </c>
      <c r="M458" s="44" t="s">
        <v>130</v>
      </c>
      <c r="N458" s="44" t="s">
        <v>1436</v>
      </c>
      <c r="O458" s="44" t="s">
        <v>1701</v>
      </c>
      <c r="P458" s="44" t="s">
        <v>1702</v>
      </c>
      <c r="Q458" s="44" t="s">
        <v>130</v>
      </c>
      <c r="R458" s="11">
        <v>46117</v>
      </c>
      <c r="S458" s="11">
        <v>46117</v>
      </c>
      <c r="T458" s="11">
        <v>46117</v>
      </c>
      <c r="V458" s="44" t="s">
        <v>132</v>
      </c>
      <c r="W458" s="44" t="s">
        <v>114</v>
      </c>
      <c r="X458" s="44" t="s">
        <v>114</v>
      </c>
      <c r="Y458" s="44" t="s">
        <v>114</v>
      </c>
      <c r="Z458" s="44" t="s">
        <v>132</v>
      </c>
      <c r="AA458" s="44" t="s">
        <v>132</v>
      </c>
      <c r="AB458" s="44" t="s">
        <v>114</v>
      </c>
      <c r="AC458" s="44" t="s">
        <v>1238</v>
      </c>
      <c r="AE458" s="44" t="s">
        <v>132</v>
      </c>
      <c r="AF458" s="44" t="s">
        <v>132</v>
      </c>
      <c r="AG458" s="44" t="s">
        <v>1703</v>
      </c>
      <c r="AH458" s="44" t="s">
        <v>132</v>
      </c>
      <c r="AI458" s="44" t="s">
        <v>132</v>
      </c>
      <c r="AJ458" s="44" t="s">
        <v>132</v>
      </c>
      <c r="AK458" s="44" t="s">
        <v>132</v>
      </c>
      <c r="AL458" s="44"/>
      <c r="AM458" s="44" t="s">
        <v>132</v>
      </c>
      <c r="AN458" s="44" t="s">
        <v>132</v>
      </c>
      <c r="AO458" s="44"/>
      <c r="AP458" s="44" t="s">
        <v>132</v>
      </c>
      <c r="AQ458" s="44" t="s">
        <v>132</v>
      </c>
      <c r="AR458" t="s">
        <v>1704</v>
      </c>
      <c r="AS458" s="11">
        <v>46129</v>
      </c>
      <c r="AU458" t="s">
        <v>114</v>
      </c>
      <c r="AV458" t="s">
        <v>115</v>
      </c>
      <c r="BB458" s="44" t="s">
        <v>114</v>
      </c>
      <c r="BC458" s="11">
        <v>46128</v>
      </c>
      <c r="BD458" t="s">
        <v>116</v>
      </c>
      <c r="BF458" s="44" t="s">
        <v>1436</v>
      </c>
      <c r="BG458" t="s">
        <v>449</v>
      </c>
      <c r="BJ458" t="str">
        <f t="shared" si="90"/>
        <v/>
      </c>
      <c r="BK458" s="44" t="s">
        <v>137</v>
      </c>
      <c r="BL458" t="str">
        <f t="shared" si="95"/>
        <v>S16_2026</v>
      </c>
      <c r="BM458" s="44" t="s">
        <v>159</v>
      </c>
      <c r="BN458" s="11">
        <v>46132</v>
      </c>
      <c r="BO458" s="36" t="str">
        <f t="shared" si="94"/>
        <v>S17_2026</v>
      </c>
      <c r="BP458" t="s">
        <v>114</v>
      </c>
      <c r="BQ458" t="s">
        <v>450</v>
      </c>
      <c r="BR458" t="s">
        <v>451</v>
      </c>
      <c r="BS458" t="s">
        <v>132</v>
      </c>
      <c r="CI458" t="s">
        <v>119</v>
      </c>
      <c r="CP458" s="11">
        <v>46127</v>
      </c>
      <c r="CQ458" t="s">
        <v>132</v>
      </c>
      <c r="CR458">
        <f t="shared" si="97"/>
        <v>1</v>
      </c>
      <c r="CS458">
        <f t="shared" si="98"/>
        <v>3</v>
      </c>
      <c r="CT458">
        <f t="shared" si="92"/>
        <v>10</v>
      </c>
      <c r="CV458" t="str">
        <f t="shared" si="100"/>
        <v/>
      </c>
      <c r="CW458" t="s">
        <v>132</v>
      </c>
      <c r="CX458" s="11">
        <v>46117</v>
      </c>
      <c r="CY458" t="str">
        <f t="shared" si="89"/>
        <v>S14_2026</v>
      </c>
      <c r="CZ458" t="s">
        <v>132</v>
      </c>
      <c r="DB458" t="s">
        <v>132</v>
      </c>
      <c r="DC458" t="s">
        <v>120</v>
      </c>
    </row>
    <row r="459" spans="1:107" x14ac:dyDescent="0.35">
      <c r="A459" t="s">
        <v>1705</v>
      </c>
      <c r="B459" s="10" t="str">
        <f t="shared" si="101"/>
        <v>S17_2026</v>
      </c>
      <c r="C459" s="10" t="str">
        <f t="shared" si="96"/>
        <v>S15_2026</v>
      </c>
      <c r="D459" s="11">
        <v>46132</v>
      </c>
      <c r="E459" s="44" t="s">
        <v>123</v>
      </c>
      <c r="F459" s="24">
        <v>0.1</v>
      </c>
      <c r="G459" s="44" t="s">
        <v>141</v>
      </c>
      <c r="H459" s="44"/>
      <c r="J459" s="44" t="s">
        <v>114</v>
      </c>
      <c r="K459" s="11">
        <v>46125</v>
      </c>
      <c r="L459" s="44" t="s">
        <v>126</v>
      </c>
      <c r="M459" s="44" t="s">
        <v>1706</v>
      </c>
      <c r="N459" s="44" t="s">
        <v>1707</v>
      </c>
      <c r="O459" s="44" t="s">
        <v>1708</v>
      </c>
      <c r="P459" s="44" t="s">
        <v>1709</v>
      </c>
      <c r="Q459" s="44" t="s">
        <v>1706</v>
      </c>
      <c r="R459" s="11">
        <v>46123</v>
      </c>
      <c r="S459" s="11">
        <v>46123</v>
      </c>
      <c r="T459" s="11">
        <v>46123</v>
      </c>
      <c r="V459" s="44" t="s">
        <v>114</v>
      </c>
      <c r="W459" s="44" t="s">
        <v>114</v>
      </c>
      <c r="X459" s="44" t="s">
        <v>114</v>
      </c>
      <c r="Y459" s="44" t="s">
        <v>114</v>
      </c>
      <c r="Z459" s="44" t="s">
        <v>114</v>
      </c>
      <c r="AA459" s="44" t="s">
        <v>114</v>
      </c>
      <c r="AB459" s="44" t="s">
        <v>114</v>
      </c>
      <c r="AE459" s="44" t="s">
        <v>114</v>
      </c>
      <c r="AF459" s="44" t="s">
        <v>114</v>
      </c>
      <c r="AG459" s="44" t="s">
        <v>114</v>
      </c>
      <c r="AH459" s="44" t="s">
        <v>114</v>
      </c>
      <c r="AI459" s="44" t="s">
        <v>132</v>
      </c>
      <c r="AJ459" s="44" t="s">
        <v>114</v>
      </c>
      <c r="AK459" s="44" t="s">
        <v>132</v>
      </c>
      <c r="AL459" s="44"/>
      <c r="AM459" s="44" t="s">
        <v>451</v>
      </c>
      <c r="AN459" s="44" t="s">
        <v>132</v>
      </c>
      <c r="AO459" s="44"/>
      <c r="AP459" s="44" t="s">
        <v>132</v>
      </c>
      <c r="AQ459" s="44" t="s">
        <v>132</v>
      </c>
      <c r="AR459" t="s">
        <v>1710</v>
      </c>
      <c r="AS459" s="11">
        <v>46129</v>
      </c>
      <c r="AU459" t="s">
        <v>114</v>
      </c>
      <c r="AV459" t="s">
        <v>115</v>
      </c>
      <c r="BB459" s="44" t="s">
        <v>114</v>
      </c>
      <c r="BC459" s="11">
        <v>46126</v>
      </c>
      <c r="BD459" t="s">
        <v>116</v>
      </c>
      <c r="BF459" s="44" t="s">
        <v>1707</v>
      </c>
      <c r="BG459" t="s">
        <v>449</v>
      </c>
      <c r="BJ459" t="str">
        <f t="shared" si="90"/>
        <v/>
      </c>
      <c r="BK459" s="44" t="s">
        <v>137</v>
      </c>
      <c r="BL459" t="str">
        <f t="shared" si="95"/>
        <v>S16_2026</v>
      </c>
      <c r="BM459" s="44" t="s">
        <v>159</v>
      </c>
      <c r="BN459" s="11">
        <v>46132</v>
      </c>
      <c r="BO459" s="36" t="str">
        <f t="shared" si="94"/>
        <v>S17_2026</v>
      </c>
      <c r="BP459" t="s">
        <v>114</v>
      </c>
      <c r="BQ459" t="s">
        <v>450</v>
      </c>
      <c r="BR459" t="s">
        <v>451</v>
      </c>
      <c r="BS459" t="s">
        <v>132</v>
      </c>
      <c r="CI459" t="s">
        <v>119</v>
      </c>
      <c r="CP459" s="11">
        <v>46126</v>
      </c>
      <c r="CQ459" t="s">
        <v>132</v>
      </c>
      <c r="CR459">
        <f t="shared" si="97"/>
        <v>3</v>
      </c>
      <c r="CS459">
        <f t="shared" si="98"/>
        <v>3</v>
      </c>
      <c r="CT459">
        <f t="shared" si="92"/>
        <v>0</v>
      </c>
      <c r="CU459">
        <f t="shared" si="99"/>
        <v>1</v>
      </c>
      <c r="CV459" t="str">
        <f t="shared" si="100"/>
        <v/>
      </c>
      <c r="CW459" t="s">
        <v>132</v>
      </c>
      <c r="CX459" s="11">
        <v>46126</v>
      </c>
      <c r="CY459" t="str">
        <f t="shared" si="89"/>
        <v>S16_2026</v>
      </c>
      <c r="CZ459" t="s">
        <v>132</v>
      </c>
      <c r="DB459" t="s">
        <v>132</v>
      </c>
      <c r="DC459" t="s">
        <v>120</v>
      </c>
    </row>
    <row r="460" spans="1:107" x14ac:dyDescent="0.35">
      <c r="A460" s="36" t="s">
        <v>1711</v>
      </c>
      <c r="B460" s="10" t="str">
        <f t="shared" si="101"/>
        <v>S17_2026</v>
      </c>
      <c r="C460" s="10" t="str">
        <f t="shared" si="96"/>
        <v>S16_2026</v>
      </c>
      <c r="D460" s="11">
        <v>46132</v>
      </c>
      <c r="E460" s="44" t="s">
        <v>106</v>
      </c>
      <c r="F460" s="24">
        <v>7</v>
      </c>
      <c r="G460" s="44" t="s">
        <v>107</v>
      </c>
      <c r="H460" s="44" t="s">
        <v>108</v>
      </c>
      <c r="J460" s="44" t="s">
        <v>114</v>
      </c>
      <c r="K460" s="11">
        <v>46129</v>
      </c>
      <c r="L460" s="44" t="s">
        <v>111</v>
      </c>
      <c r="M460" s="44" t="s">
        <v>308</v>
      </c>
      <c r="N460" s="44" t="s">
        <v>1154</v>
      </c>
      <c r="O460" s="44" t="s">
        <v>1390</v>
      </c>
      <c r="P460" s="44" t="s">
        <v>332</v>
      </c>
      <c r="Q460" s="44" t="s">
        <v>312</v>
      </c>
      <c r="R460" s="11">
        <v>46127</v>
      </c>
      <c r="S460" s="11">
        <v>46127</v>
      </c>
      <c r="T460" s="11">
        <v>46127</v>
      </c>
      <c r="V460" s="44" t="s">
        <v>132</v>
      </c>
      <c r="W460" s="44" t="s">
        <v>132</v>
      </c>
      <c r="X460" s="44" t="s">
        <v>132</v>
      </c>
      <c r="Y460" s="44" t="s">
        <v>132</v>
      </c>
      <c r="Z460" s="44" t="s">
        <v>132</v>
      </c>
      <c r="AA460" s="44" t="s">
        <v>132</v>
      </c>
      <c r="AB460" s="44" t="s">
        <v>114</v>
      </c>
      <c r="AE460" s="44" t="s">
        <v>132</v>
      </c>
      <c r="AF460" s="44" t="s">
        <v>132</v>
      </c>
      <c r="AG460" s="44" t="s">
        <v>132</v>
      </c>
      <c r="AH460" s="44" t="s">
        <v>132</v>
      </c>
      <c r="AI460" s="44" t="s">
        <v>132</v>
      </c>
      <c r="AJ460" s="44" t="s">
        <v>132</v>
      </c>
      <c r="AK460" s="44" t="s">
        <v>132</v>
      </c>
      <c r="AL460" s="44"/>
      <c r="AM460" s="44" t="s">
        <v>114</v>
      </c>
      <c r="AN460" s="44" t="s">
        <v>132</v>
      </c>
      <c r="AO460" s="44"/>
      <c r="AP460" s="44" t="s">
        <v>132</v>
      </c>
      <c r="AQ460" s="44" t="s">
        <v>132</v>
      </c>
      <c r="AR460" t="s">
        <v>1690</v>
      </c>
      <c r="AS460" s="11">
        <v>46132</v>
      </c>
      <c r="AU460" t="s">
        <v>114</v>
      </c>
      <c r="AV460" t="s">
        <v>115</v>
      </c>
      <c r="BB460" s="44" t="s">
        <v>114</v>
      </c>
      <c r="BC460" s="11">
        <v>46130</v>
      </c>
      <c r="BD460" t="s">
        <v>1712</v>
      </c>
      <c r="BF460" s="44" t="s">
        <v>309</v>
      </c>
      <c r="BG460" t="s">
        <v>449</v>
      </c>
      <c r="BJ460" t="str">
        <f t="shared" si="90"/>
        <v/>
      </c>
      <c r="BK460" s="44" t="s">
        <v>117</v>
      </c>
      <c r="BL460" t="str">
        <f t="shared" si="95"/>
        <v>S16_2026</v>
      </c>
      <c r="BM460" s="44" t="s">
        <v>159</v>
      </c>
      <c r="BN460" s="11">
        <v>46132</v>
      </c>
      <c r="BO460" s="36" t="str">
        <f t="shared" si="94"/>
        <v>S17_2026</v>
      </c>
      <c r="BP460" t="s">
        <v>114</v>
      </c>
      <c r="BQ460" t="s">
        <v>450</v>
      </c>
      <c r="BR460" t="s">
        <v>451</v>
      </c>
      <c r="BS460" t="s">
        <v>132</v>
      </c>
      <c r="CI460" t="s">
        <v>119</v>
      </c>
      <c r="CP460" s="11">
        <v>46130</v>
      </c>
      <c r="CQ460" t="s">
        <v>132</v>
      </c>
      <c r="CR460">
        <f t="shared" si="97"/>
        <v>2</v>
      </c>
      <c r="CS460">
        <f t="shared" si="98"/>
        <v>0</v>
      </c>
      <c r="CT460">
        <f t="shared" si="92"/>
        <v>3</v>
      </c>
      <c r="CU460">
        <f t="shared" si="99"/>
        <v>1</v>
      </c>
      <c r="CV460" t="str">
        <f t="shared" si="100"/>
        <v/>
      </c>
      <c r="CW460" t="s">
        <v>132</v>
      </c>
      <c r="CX460" s="11">
        <v>46127</v>
      </c>
      <c r="CY460" t="str">
        <f t="shared" ref="CY460:CY523" si="102">IFERROR("S"&amp;(IF(_xlfn.ISOWEEKNUM(CX460)&gt;0,_xlfn.ISOWEEKNUM(CX460),_xlfn.CONCAT("0",_xlfn.ISOWEEKNUM(CX460))))&amp;"_"&amp;(YEAR(CX460+26-(_xlfn.ISOWEEKNUM(CX460)))),"")</f>
        <v>S16_2026</v>
      </c>
      <c r="CZ460" t="s">
        <v>132</v>
      </c>
      <c r="DB460" t="s">
        <v>132</v>
      </c>
      <c r="DC460" t="s">
        <v>120</v>
      </c>
    </row>
    <row r="461" spans="1:107" x14ac:dyDescent="0.35">
      <c r="A461" t="s">
        <v>1713</v>
      </c>
      <c r="B461" s="10" t="str">
        <f t="shared" si="101"/>
        <v>S17_2026</v>
      </c>
      <c r="C461" s="10" t="str">
        <f t="shared" si="96"/>
        <v>S15_2026</v>
      </c>
      <c r="D461" s="11">
        <v>46133</v>
      </c>
      <c r="E461" s="44" t="s">
        <v>123</v>
      </c>
      <c r="F461" s="24">
        <v>17</v>
      </c>
      <c r="G461" t="s">
        <v>575</v>
      </c>
      <c r="H461" t="s">
        <v>108</v>
      </c>
      <c r="J461" t="s">
        <v>114</v>
      </c>
      <c r="K461" s="11">
        <v>46128</v>
      </c>
      <c r="L461" s="44" t="s">
        <v>170</v>
      </c>
      <c r="M461" s="44" t="s">
        <v>1393</v>
      </c>
      <c r="N461" t="s">
        <v>1393</v>
      </c>
      <c r="O461" t="s">
        <v>1714</v>
      </c>
      <c r="P461" t="s">
        <v>1715</v>
      </c>
      <c r="Q461" s="44" t="s">
        <v>1393</v>
      </c>
      <c r="R461" s="11">
        <v>46120</v>
      </c>
      <c r="S461" s="11">
        <v>46120</v>
      </c>
      <c r="T461" s="11">
        <v>46120</v>
      </c>
      <c r="V461" t="s">
        <v>114</v>
      </c>
      <c r="W461" t="s">
        <v>114</v>
      </c>
      <c r="X461" t="s">
        <v>114</v>
      </c>
      <c r="Y461" t="s">
        <v>114</v>
      </c>
      <c r="Z461" t="s">
        <v>114</v>
      </c>
      <c r="AA461" t="s">
        <v>114</v>
      </c>
      <c r="AB461" t="s">
        <v>114</v>
      </c>
      <c r="AE461" t="s">
        <v>114</v>
      </c>
      <c r="AF461" t="s">
        <v>114</v>
      </c>
      <c r="AG461" t="s">
        <v>114</v>
      </c>
      <c r="AH461" t="s">
        <v>132</v>
      </c>
      <c r="AI461" t="s">
        <v>132</v>
      </c>
      <c r="AJ461" t="s">
        <v>132</v>
      </c>
      <c r="AK461" t="s">
        <v>114</v>
      </c>
      <c r="AM461" t="s">
        <v>132</v>
      </c>
      <c r="AN461" t="s">
        <v>132</v>
      </c>
      <c r="AP461" t="s">
        <v>132</v>
      </c>
      <c r="AQ461" t="s">
        <v>132</v>
      </c>
      <c r="BB461" s="44" t="s">
        <v>114</v>
      </c>
      <c r="BC461" s="11">
        <v>46130</v>
      </c>
      <c r="BD461" t="s">
        <v>116</v>
      </c>
      <c r="BF461" t="s">
        <v>1393</v>
      </c>
      <c r="BJ461" t="str">
        <f t="shared" si="90"/>
        <v/>
      </c>
      <c r="BK461" t="s">
        <v>170</v>
      </c>
      <c r="BL461" t="str">
        <f t="shared" si="95"/>
        <v>S16_2026</v>
      </c>
      <c r="BM461" s="44" t="s">
        <v>159</v>
      </c>
      <c r="BO461" s="36" t="str">
        <f t="shared" si="94"/>
        <v/>
      </c>
      <c r="BR461" t="s">
        <v>451</v>
      </c>
      <c r="BS461" t="s">
        <v>132</v>
      </c>
      <c r="CI461" t="s">
        <v>119</v>
      </c>
      <c r="CP461" s="11">
        <v>46130</v>
      </c>
      <c r="CR461" t="str">
        <f t="shared" si="97"/>
        <v/>
      </c>
      <c r="CS461" t="str">
        <f t="shared" si="98"/>
        <v/>
      </c>
      <c r="CT461">
        <f t="shared" si="92"/>
        <v>10</v>
      </c>
      <c r="CU461">
        <f t="shared" si="99"/>
        <v>2</v>
      </c>
      <c r="CV461" t="str">
        <f t="shared" si="100"/>
        <v/>
      </c>
      <c r="CX461" s="11">
        <v>46120</v>
      </c>
      <c r="CY461" t="str">
        <f t="shared" si="102"/>
        <v>S15_2026</v>
      </c>
      <c r="DC461" t="s">
        <v>1293</v>
      </c>
    </row>
    <row r="462" spans="1:107" x14ac:dyDescent="0.35">
      <c r="A462" t="s">
        <v>1716</v>
      </c>
      <c r="B462" s="10" t="str">
        <f t="shared" si="101"/>
        <v>S17_2026</v>
      </c>
      <c r="C462" s="10" t="str">
        <f t="shared" si="96"/>
        <v>S16_2026</v>
      </c>
      <c r="D462" s="11">
        <v>46133</v>
      </c>
      <c r="E462" s="44" t="s">
        <v>123</v>
      </c>
      <c r="F462" s="24">
        <v>30</v>
      </c>
      <c r="G462" t="s">
        <v>429</v>
      </c>
      <c r="H462" t="s">
        <v>108</v>
      </c>
      <c r="J462" t="s">
        <v>114</v>
      </c>
      <c r="K462" s="11">
        <v>46133</v>
      </c>
      <c r="L462" s="44" t="s">
        <v>793</v>
      </c>
      <c r="M462" s="44" t="s">
        <v>1717</v>
      </c>
      <c r="N462" t="s">
        <v>1718</v>
      </c>
      <c r="O462" t="s">
        <v>1719</v>
      </c>
      <c r="P462" t="s">
        <v>1720</v>
      </c>
      <c r="Q462" s="44" t="s">
        <v>292</v>
      </c>
      <c r="R462" s="11">
        <v>46125</v>
      </c>
      <c r="S462" s="11">
        <v>46125</v>
      </c>
      <c r="T462" s="11">
        <v>46125</v>
      </c>
      <c r="V462" t="s">
        <v>114</v>
      </c>
      <c r="W462" t="s">
        <v>114</v>
      </c>
      <c r="X462" t="s">
        <v>114</v>
      </c>
      <c r="Y462" t="s">
        <v>114</v>
      </c>
      <c r="Z462" t="s">
        <v>114</v>
      </c>
      <c r="AA462" t="s">
        <v>114</v>
      </c>
      <c r="AB462" t="s">
        <v>114</v>
      </c>
      <c r="AE462" t="s">
        <v>114</v>
      </c>
      <c r="AF462" t="s">
        <v>132</v>
      </c>
      <c r="AG462" t="s">
        <v>132</v>
      </c>
      <c r="AH462" t="s">
        <v>132</v>
      </c>
      <c r="AI462" t="s">
        <v>132</v>
      </c>
      <c r="AJ462" t="s">
        <v>132</v>
      </c>
      <c r="AK462" t="s">
        <v>142</v>
      </c>
      <c r="AM462" t="s">
        <v>142</v>
      </c>
      <c r="AN462" t="s">
        <v>132</v>
      </c>
      <c r="AP462" t="s">
        <v>132</v>
      </c>
      <c r="AQ462" t="s">
        <v>132</v>
      </c>
      <c r="AR462" t="s">
        <v>1721</v>
      </c>
      <c r="AS462" s="11">
        <v>46135</v>
      </c>
      <c r="AU462" t="s">
        <v>114</v>
      </c>
      <c r="AV462" t="s">
        <v>134</v>
      </c>
      <c r="AW462" t="s">
        <v>152</v>
      </c>
      <c r="AY462" t="s">
        <v>135</v>
      </c>
      <c r="BB462" s="44" t="s">
        <v>114</v>
      </c>
      <c r="BC462" s="11">
        <v>46133</v>
      </c>
      <c r="BD462" t="s">
        <v>116</v>
      </c>
      <c r="BE462">
        <v>689581623</v>
      </c>
      <c r="BF462" t="s">
        <v>1189</v>
      </c>
      <c r="BG462" t="s">
        <v>449</v>
      </c>
      <c r="BI462" s="11">
        <v>46136</v>
      </c>
      <c r="BJ462" t="str">
        <f t="shared" si="90"/>
        <v>S17_2026</v>
      </c>
      <c r="BK462" s="44" t="s">
        <v>137</v>
      </c>
      <c r="BL462" t="str">
        <f t="shared" si="95"/>
        <v>S17_2026</v>
      </c>
      <c r="BM462" s="44" t="s">
        <v>159</v>
      </c>
      <c r="BN462" s="11">
        <v>46136</v>
      </c>
      <c r="BO462" s="36" t="str">
        <f t="shared" si="94"/>
        <v>S17_2026</v>
      </c>
      <c r="BP462" t="s">
        <v>114</v>
      </c>
      <c r="BQ462" t="s">
        <v>450</v>
      </c>
      <c r="BR462" t="s">
        <v>451</v>
      </c>
      <c r="BS462" t="s">
        <v>132</v>
      </c>
      <c r="CI462" t="s">
        <v>119</v>
      </c>
      <c r="CK462" t="s">
        <v>138</v>
      </c>
      <c r="CP462" s="11">
        <v>46133</v>
      </c>
      <c r="CQ462" t="s">
        <v>132</v>
      </c>
      <c r="CR462">
        <f t="shared" si="97"/>
        <v>2</v>
      </c>
      <c r="CS462">
        <f t="shared" si="98"/>
        <v>1</v>
      </c>
      <c r="CT462">
        <f t="shared" si="92"/>
        <v>8</v>
      </c>
      <c r="CU462">
        <f t="shared" si="99"/>
        <v>0</v>
      </c>
      <c r="CV462">
        <f t="shared" si="100"/>
        <v>11</v>
      </c>
      <c r="CW462" t="s">
        <v>132</v>
      </c>
      <c r="CX462" s="11">
        <v>46125</v>
      </c>
      <c r="CY462" t="str">
        <f t="shared" si="102"/>
        <v>S16_2026</v>
      </c>
      <c r="CZ462" t="s">
        <v>132</v>
      </c>
      <c r="DB462" t="s">
        <v>132</v>
      </c>
      <c r="DC462" t="s">
        <v>139</v>
      </c>
    </row>
    <row r="463" spans="1:107" x14ac:dyDescent="0.35">
      <c r="A463" t="s">
        <v>1722</v>
      </c>
      <c r="B463" s="10" t="str">
        <f t="shared" si="101"/>
        <v>S17_2026</v>
      </c>
      <c r="C463" s="10" t="str">
        <f t="shared" si="96"/>
        <v>S16_2026</v>
      </c>
      <c r="D463" s="11">
        <v>46133</v>
      </c>
      <c r="E463" s="44" t="s">
        <v>106</v>
      </c>
      <c r="F463" s="24">
        <v>29</v>
      </c>
      <c r="G463" t="s">
        <v>772</v>
      </c>
      <c r="H463" t="s">
        <v>108</v>
      </c>
      <c r="J463" t="s">
        <v>114</v>
      </c>
      <c r="K463" s="11">
        <v>46132</v>
      </c>
      <c r="L463" s="44" t="s">
        <v>126</v>
      </c>
      <c r="M463" s="44" t="s">
        <v>357</v>
      </c>
      <c r="N463" t="s">
        <v>1723</v>
      </c>
      <c r="O463" t="s">
        <v>1724</v>
      </c>
      <c r="P463" t="s">
        <v>1725</v>
      </c>
      <c r="Q463" s="44" t="s">
        <v>357</v>
      </c>
      <c r="R463" s="11">
        <v>46129</v>
      </c>
      <c r="S463" s="11">
        <v>46130</v>
      </c>
      <c r="T463" s="11">
        <v>46129</v>
      </c>
      <c r="V463" t="s">
        <v>114</v>
      </c>
      <c r="W463" t="s">
        <v>114</v>
      </c>
      <c r="X463" t="s">
        <v>114</v>
      </c>
      <c r="Y463" t="s">
        <v>114</v>
      </c>
      <c r="Z463" t="s">
        <v>114</v>
      </c>
      <c r="AA463" t="s">
        <v>114</v>
      </c>
      <c r="AB463" t="s">
        <v>114</v>
      </c>
      <c r="AE463" t="s">
        <v>114</v>
      </c>
      <c r="AF463" t="s">
        <v>114</v>
      </c>
      <c r="AG463" t="s">
        <v>114</v>
      </c>
      <c r="AH463" t="s">
        <v>132</v>
      </c>
      <c r="AI463" t="s">
        <v>132</v>
      </c>
      <c r="AJ463" t="s">
        <v>132</v>
      </c>
      <c r="AK463" t="s">
        <v>114</v>
      </c>
      <c r="AM463" t="s">
        <v>451</v>
      </c>
      <c r="AN463" t="s">
        <v>132</v>
      </c>
      <c r="AP463" t="s">
        <v>132</v>
      </c>
      <c r="AQ463" t="s">
        <v>132</v>
      </c>
      <c r="AR463" t="s">
        <v>1726</v>
      </c>
      <c r="AS463" s="11">
        <v>46134</v>
      </c>
      <c r="AU463" t="s">
        <v>114</v>
      </c>
      <c r="AV463" t="s">
        <v>115</v>
      </c>
      <c r="BB463" s="44" t="s">
        <v>114</v>
      </c>
      <c r="BC463" s="11">
        <v>46133</v>
      </c>
      <c r="BD463" t="s">
        <v>1712</v>
      </c>
      <c r="BF463" t="s">
        <v>1251</v>
      </c>
      <c r="BG463" t="s">
        <v>449</v>
      </c>
      <c r="BJ463" t="str">
        <f t="shared" si="90"/>
        <v/>
      </c>
      <c r="BK463" s="44" t="s">
        <v>137</v>
      </c>
      <c r="BL463" t="str">
        <f t="shared" si="95"/>
        <v>S17_2026</v>
      </c>
      <c r="BM463" s="44" t="s">
        <v>159</v>
      </c>
      <c r="BN463" s="11">
        <v>46135</v>
      </c>
      <c r="BO463" s="36" t="str">
        <f t="shared" si="94"/>
        <v>S17_2026</v>
      </c>
      <c r="BP463" t="s">
        <v>114</v>
      </c>
      <c r="BQ463" t="s">
        <v>450</v>
      </c>
      <c r="BR463" t="s">
        <v>451</v>
      </c>
      <c r="BS463" t="s">
        <v>132</v>
      </c>
      <c r="CI463" t="s">
        <v>119</v>
      </c>
      <c r="CP463" s="11">
        <v>46133</v>
      </c>
      <c r="CQ463" t="s">
        <v>132</v>
      </c>
      <c r="CR463">
        <f t="shared" si="97"/>
        <v>1</v>
      </c>
      <c r="CS463">
        <f t="shared" si="98"/>
        <v>1</v>
      </c>
      <c r="CT463">
        <f t="shared" si="92"/>
        <v>4</v>
      </c>
      <c r="CU463">
        <f t="shared" si="99"/>
        <v>1</v>
      </c>
      <c r="CV463" t="str">
        <f t="shared" si="100"/>
        <v/>
      </c>
      <c r="CW463" t="s">
        <v>132</v>
      </c>
      <c r="CX463" s="11">
        <v>46129</v>
      </c>
      <c r="CY463" t="str">
        <f t="shared" si="102"/>
        <v>S16_2026</v>
      </c>
      <c r="CZ463" t="s">
        <v>132</v>
      </c>
      <c r="DB463" t="s">
        <v>132</v>
      </c>
      <c r="DC463" t="s">
        <v>120</v>
      </c>
    </row>
    <row r="464" spans="1:107" x14ac:dyDescent="0.35">
      <c r="A464" t="s">
        <v>1727</v>
      </c>
      <c r="B464" s="10" t="str">
        <f t="shared" si="101"/>
        <v>S17_2026</v>
      </c>
      <c r="C464" s="10" t="str">
        <f t="shared" si="96"/>
        <v>S13_2026</v>
      </c>
      <c r="D464" s="11">
        <v>46136</v>
      </c>
      <c r="E464" s="44" t="s">
        <v>106</v>
      </c>
      <c r="F464" s="24">
        <v>22</v>
      </c>
      <c r="H464" t="s">
        <v>108</v>
      </c>
      <c r="J464" t="s">
        <v>114</v>
      </c>
      <c r="K464" s="11">
        <v>46128</v>
      </c>
      <c r="L464" s="44" t="s">
        <v>126</v>
      </c>
      <c r="M464" s="44" t="s">
        <v>1706</v>
      </c>
      <c r="N464" t="s">
        <v>1728</v>
      </c>
      <c r="O464" t="s">
        <v>1729</v>
      </c>
      <c r="P464" t="s">
        <v>1730</v>
      </c>
      <c r="Q464" s="44" t="s">
        <v>328</v>
      </c>
      <c r="R464" s="11">
        <v>46104</v>
      </c>
      <c r="S464" s="11">
        <v>46104</v>
      </c>
      <c r="T464" s="11">
        <v>46104</v>
      </c>
      <c r="V464" t="s">
        <v>114</v>
      </c>
      <c r="W464" t="s">
        <v>114</v>
      </c>
      <c r="X464" t="s">
        <v>114</v>
      </c>
      <c r="Y464" t="s">
        <v>114</v>
      </c>
      <c r="Z464" t="s">
        <v>114</v>
      </c>
      <c r="AA464" t="s">
        <v>114</v>
      </c>
      <c r="AB464" t="s">
        <v>114</v>
      </c>
      <c r="AC464" t="s">
        <v>1238</v>
      </c>
      <c r="AE464" t="s">
        <v>114</v>
      </c>
      <c r="AF464" t="s">
        <v>114</v>
      </c>
      <c r="AG464" t="s">
        <v>114</v>
      </c>
      <c r="AH464" t="s">
        <v>132</v>
      </c>
      <c r="AI464" t="s">
        <v>132</v>
      </c>
      <c r="AJ464" t="s">
        <v>114</v>
      </c>
      <c r="AK464" t="s">
        <v>114</v>
      </c>
      <c r="AM464" t="s">
        <v>451</v>
      </c>
      <c r="AN464" t="s">
        <v>132</v>
      </c>
      <c r="AP464" t="s">
        <v>132</v>
      </c>
      <c r="AQ464" t="s">
        <v>132</v>
      </c>
      <c r="AR464" t="s">
        <v>1731</v>
      </c>
      <c r="AS464" s="11">
        <v>46133</v>
      </c>
      <c r="AU464" t="s">
        <v>114</v>
      </c>
      <c r="AV464" t="s">
        <v>115</v>
      </c>
      <c r="BB464" s="44" t="s">
        <v>114</v>
      </c>
      <c r="BC464" s="11">
        <v>46129</v>
      </c>
      <c r="BD464" t="s">
        <v>116</v>
      </c>
      <c r="BF464" t="s">
        <v>1732</v>
      </c>
      <c r="BG464" t="s">
        <v>449</v>
      </c>
      <c r="BJ464" t="str">
        <f t="shared" si="90"/>
        <v/>
      </c>
      <c r="BK464" s="44" t="s">
        <v>117</v>
      </c>
      <c r="BL464" t="str">
        <f t="shared" si="95"/>
        <v>S16_2026</v>
      </c>
      <c r="BM464" s="44" t="s">
        <v>159</v>
      </c>
      <c r="BN464" s="11">
        <v>46136</v>
      </c>
      <c r="BO464" s="36" t="str">
        <f t="shared" si="94"/>
        <v>S17_2026</v>
      </c>
      <c r="BP464" t="s">
        <v>114</v>
      </c>
      <c r="BQ464" t="s">
        <v>450</v>
      </c>
      <c r="BR464" t="s">
        <v>451</v>
      </c>
      <c r="BS464" t="s">
        <v>132</v>
      </c>
      <c r="CI464" t="s">
        <v>119</v>
      </c>
      <c r="CP464" s="11">
        <v>46129</v>
      </c>
      <c r="CQ464" t="s">
        <v>132</v>
      </c>
      <c r="CR464">
        <f t="shared" si="97"/>
        <v>4</v>
      </c>
      <c r="CS464">
        <f t="shared" si="98"/>
        <v>3</v>
      </c>
      <c r="CT464">
        <f t="shared" si="92"/>
        <v>25</v>
      </c>
      <c r="CU464">
        <f t="shared" si="99"/>
        <v>1</v>
      </c>
      <c r="CV464" t="str">
        <f t="shared" si="100"/>
        <v/>
      </c>
      <c r="CW464" t="s">
        <v>132</v>
      </c>
      <c r="CX464" s="11">
        <v>46104</v>
      </c>
      <c r="CY464" t="str">
        <f t="shared" si="102"/>
        <v>S13_2026</v>
      </c>
      <c r="CZ464" t="s">
        <v>132</v>
      </c>
      <c r="DB464" t="s">
        <v>132</v>
      </c>
      <c r="DC464" t="s">
        <v>120</v>
      </c>
    </row>
    <row r="465" spans="1:107" x14ac:dyDescent="0.35">
      <c r="A465" t="s">
        <v>1733</v>
      </c>
      <c r="B465" s="10" t="str">
        <f t="shared" si="101"/>
        <v>S17_2026</v>
      </c>
      <c r="C465" s="10" t="str">
        <f t="shared" si="96"/>
        <v>S16_2026</v>
      </c>
      <c r="D465" s="11">
        <v>46136</v>
      </c>
      <c r="E465" s="44" t="s">
        <v>106</v>
      </c>
      <c r="F465" s="24">
        <v>5</v>
      </c>
      <c r="G465" t="s">
        <v>107</v>
      </c>
      <c r="H465" t="s">
        <v>108</v>
      </c>
      <c r="J465" t="s">
        <v>132</v>
      </c>
      <c r="L465" s="44" t="s">
        <v>126</v>
      </c>
      <c r="M465" s="44" t="s">
        <v>158</v>
      </c>
      <c r="N465" t="s">
        <v>961</v>
      </c>
      <c r="O465" t="s">
        <v>1079</v>
      </c>
      <c r="P465" t="s">
        <v>1734</v>
      </c>
      <c r="Q465" s="44" t="s">
        <v>1084</v>
      </c>
      <c r="R465" s="11">
        <v>46129</v>
      </c>
      <c r="S465" s="11">
        <v>46129</v>
      </c>
      <c r="T465" s="11">
        <v>46129</v>
      </c>
      <c r="V465" t="s">
        <v>114</v>
      </c>
      <c r="W465" t="s">
        <v>114</v>
      </c>
      <c r="X465" t="s">
        <v>114</v>
      </c>
      <c r="Y465" t="s">
        <v>114</v>
      </c>
      <c r="Z465" t="s">
        <v>114</v>
      </c>
      <c r="AA465" t="s">
        <v>114</v>
      </c>
      <c r="AB465" t="s">
        <v>114</v>
      </c>
      <c r="AE465" t="s">
        <v>114</v>
      </c>
      <c r="AF465" t="s">
        <v>114</v>
      </c>
      <c r="AG465" t="s">
        <v>132</v>
      </c>
      <c r="AH465" t="s">
        <v>132</v>
      </c>
      <c r="AI465" t="s">
        <v>132</v>
      </c>
      <c r="AJ465" t="s">
        <v>132</v>
      </c>
      <c r="AK465" t="s">
        <v>132</v>
      </c>
      <c r="AM465" t="s">
        <v>451</v>
      </c>
      <c r="AN465" t="s">
        <v>132</v>
      </c>
      <c r="AP465" t="s">
        <v>132</v>
      </c>
      <c r="AQ465" t="s">
        <v>132</v>
      </c>
      <c r="AR465" t="s">
        <v>1735</v>
      </c>
      <c r="AS465" s="11">
        <v>46133</v>
      </c>
      <c r="AU465" t="s">
        <v>114</v>
      </c>
      <c r="AV465" t="s">
        <v>115</v>
      </c>
      <c r="BB465" s="44" t="s">
        <v>114</v>
      </c>
      <c r="BC465" s="11">
        <v>46132</v>
      </c>
      <c r="BD465" t="s">
        <v>116</v>
      </c>
      <c r="BF465" t="s">
        <v>1195</v>
      </c>
      <c r="BG465" t="s">
        <v>449</v>
      </c>
      <c r="BJ465" t="str">
        <f t="shared" ref="BJ465:BJ528" si="103">IFERROR("S"&amp;(IF(_xlfn.ISOWEEKNUM(BI465)&gt;0,_xlfn.ISOWEEKNUM(BI465),_xlfn.CONCAT("0",_xlfn.ISOWEEKNUM(BI465))))&amp;"_"&amp;(YEAR(BI465+26-(_xlfn.ISOWEEKNUM(BI465)))),"")</f>
        <v/>
      </c>
      <c r="BK465" s="44" t="s">
        <v>137</v>
      </c>
      <c r="BL465" t="str">
        <f t="shared" si="95"/>
        <v>S17_2026</v>
      </c>
      <c r="BM465" s="44" t="s">
        <v>159</v>
      </c>
      <c r="BN465" s="11">
        <v>46136</v>
      </c>
      <c r="BO465" s="36" t="str">
        <f t="shared" si="94"/>
        <v>S17_2026</v>
      </c>
      <c r="BP465" t="s">
        <v>114</v>
      </c>
      <c r="BQ465" t="s">
        <v>450</v>
      </c>
      <c r="BR465" t="s">
        <v>451</v>
      </c>
      <c r="BS465" t="s">
        <v>132</v>
      </c>
      <c r="CI465" t="s">
        <v>119</v>
      </c>
      <c r="CP465" s="11">
        <v>46132</v>
      </c>
      <c r="CQ465" t="s">
        <v>132</v>
      </c>
      <c r="CR465">
        <f t="shared" si="97"/>
        <v>1</v>
      </c>
      <c r="CS465">
        <f t="shared" si="98"/>
        <v>3</v>
      </c>
      <c r="CT465">
        <f t="shared" si="92"/>
        <v>3</v>
      </c>
      <c r="CU465" t="str">
        <f t="shared" si="99"/>
        <v/>
      </c>
      <c r="CV465" t="str">
        <f t="shared" si="100"/>
        <v/>
      </c>
      <c r="CW465" t="s">
        <v>132</v>
      </c>
      <c r="CX465" s="11">
        <v>46129</v>
      </c>
      <c r="CY465" t="str">
        <f t="shared" si="102"/>
        <v>S16_2026</v>
      </c>
      <c r="CZ465" t="s">
        <v>132</v>
      </c>
      <c r="DB465" t="s">
        <v>132</v>
      </c>
      <c r="DC465" t="s">
        <v>120</v>
      </c>
    </row>
    <row r="466" spans="1:107" x14ac:dyDescent="0.35">
      <c r="A466" s="36" t="s">
        <v>1736</v>
      </c>
      <c r="B466" s="10" t="str">
        <f t="shared" si="101"/>
        <v>S17_2026</v>
      </c>
      <c r="C466" s="10" t="str">
        <f t="shared" si="96"/>
        <v>S16_2026</v>
      </c>
      <c r="D466" s="11">
        <v>46136</v>
      </c>
      <c r="E466" s="44" t="s">
        <v>106</v>
      </c>
      <c r="F466" s="24">
        <v>17</v>
      </c>
      <c r="G466" t="s">
        <v>107</v>
      </c>
      <c r="H466" t="s">
        <v>108</v>
      </c>
      <c r="J466" t="s">
        <v>114</v>
      </c>
      <c r="K466" s="11">
        <v>46129</v>
      </c>
      <c r="L466" s="44" t="s">
        <v>111</v>
      </c>
      <c r="M466" s="44" t="s">
        <v>308</v>
      </c>
      <c r="N466" t="s">
        <v>1154</v>
      </c>
      <c r="O466" t="s">
        <v>1390</v>
      </c>
      <c r="P466" t="s">
        <v>332</v>
      </c>
      <c r="Q466" s="44" t="s">
        <v>312</v>
      </c>
      <c r="R466" s="11">
        <v>46128</v>
      </c>
      <c r="S466" s="11">
        <v>46128</v>
      </c>
      <c r="T466" s="11">
        <v>46128</v>
      </c>
      <c r="V466" t="s">
        <v>132</v>
      </c>
      <c r="W466" t="s">
        <v>132</v>
      </c>
      <c r="X466" t="s">
        <v>132</v>
      </c>
      <c r="Y466" t="s">
        <v>132</v>
      </c>
      <c r="Z466" t="s">
        <v>132</v>
      </c>
      <c r="AA466" t="s">
        <v>132</v>
      </c>
      <c r="AB466" t="s">
        <v>114</v>
      </c>
      <c r="AC466" t="s">
        <v>1238</v>
      </c>
      <c r="AE466" t="s">
        <v>114</v>
      </c>
      <c r="AF466" t="s">
        <v>132</v>
      </c>
      <c r="AG466" t="s">
        <v>132</v>
      </c>
      <c r="AH466" t="s">
        <v>132</v>
      </c>
      <c r="AI466" t="s">
        <v>132</v>
      </c>
      <c r="AJ466" t="s">
        <v>132</v>
      </c>
      <c r="AK466" t="s">
        <v>132</v>
      </c>
      <c r="AM466" t="s">
        <v>114</v>
      </c>
      <c r="AN466" t="s">
        <v>132</v>
      </c>
      <c r="AP466" t="s">
        <v>132</v>
      </c>
      <c r="AQ466" t="s">
        <v>132</v>
      </c>
      <c r="AR466" t="s">
        <v>1737</v>
      </c>
      <c r="AS466" s="11">
        <v>46132</v>
      </c>
      <c r="AU466" t="s">
        <v>114</v>
      </c>
      <c r="AV466" t="s">
        <v>115</v>
      </c>
      <c r="BB466" s="44" t="s">
        <v>114</v>
      </c>
      <c r="BC466" s="11">
        <v>46130</v>
      </c>
      <c r="BD466" t="s">
        <v>1712</v>
      </c>
      <c r="BF466" t="s">
        <v>309</v>
      </c>
      <c r="BG466" t="s">
        <v>449</v>
      </c>
      <c r="BJ466" t="str">
        <f t="shared" si="103"/>
        <v/>
      </c>
      <c r="BK466" s="44" t="s">
        <v>117</v>
      </c>
      <c r="BL466" t="str">
        <f t="shared" si="95"/>
        <v>S16_2026</v>
      </c>
      <c r="BM466" s="44" t="s">
        <v>159</v>
      </c>
      <c r="BN466" s="11">
        <v>46136</v>
      </c>
      <c r="BO466" s="36" t="str">
        <f t="shared" si="94"/>
        <v>S17_2026</v>
      </c>
      <c r="BP466" t="s">
        <v>114</v>
      </c>
      <c r="BQ466" t="s">
        <v>450</v>
      </c>
      <c r="BR466" t="s">
        <v>451</v>
      </c>
      <c r="BS466" t="s">
        <v>132</v>
      </c>
      <c r="CI466" t="s">
        <v>119</v>
      </c>
      <c r="CP466" s="11">
        <v>46130</v>
      </c>
      <c r="CQ466" t="s">
        <v>132</v>
      </c>
      <c r="CR466">
        <f t="shared" si="97"/>
        <v>2</v>
      </c>
      <c r="CS466">
        <f t="shared" si="98"/>
        <v>4</v>
      </c>
      <c r="CT466">
        <f t="shared" si="92"/>
        <v>2</v>
      </c>
      <c r="CU466">
        <f t="shared" si="99"/>
        <v>1</v>
      </c>
      <c r="CV466" t="str">
        <f t="shared" si="100"/>
        <v/>
      </c>
      <c r="CW466" t="s">
        <v>132</v>
      </c>
      <c r="CX466" s="11">
        <v>46128</v>
      </c>
      <c r="CY466" t="str">
        <f t="shared" si="102"/>
        <v>S16_2026</v>
      </c>
      <c r="CZ466" t="s">
        <v>132</v>
      </c>
      <c r="DB466" t="s">
        <v>132</v>
      </c>
      <c r="DC466" t="s">
        <v>120</v>
      </c>
    </row>
    <row r="467" spans="1:107" x14ac:dyDescent="0.35">
      <c r="A467" s="36" t="s">
        <v>1738</v>
      </c>
      <c r="B467" s="10" t="str">
        <f t="shared" si="101"/>
        <v>S17_2026</v>
      </c>
      <c r="C467" s="10" t="str">
        <f t="shared" si="96"/>
        <v>S16_2026</v>
      </c>
      <c r="D467" s="11">
        <v>46136</v>
      </c>
      <c r="E467" s="44" t="s">
        <v>106</v>
      </c>
      <c r="F467" s="24">
        <v>14</v>
      </c>
      <c r="G467" t="s">
        <v>107</v>
      </c>
      <c r="H467" t="s">
        <v>108</v>
      </c>
      <c r="J467" t="s">
        <v>114</v>
      </c>
      <c r="K467" s="11">
        <v>46129</v>
      </c>
      <c r="L467" s="44" t="s">
        <v>111</v>
      </c>
      <c r="M467" s="44" t="s">
        <v>308</v>
      </c>
      <c r="N467" t="s">
        <v>1154</v>
      </c>
      <c r="O467" t="s">
        <v>1390</v>
      </c>
      <c r="P467" t="s">
        <v>332</v>
      </c>
      <c r="Q467" s="44" t="s">
        <v>312</v>
      </c>
      <c r="R467" s="11">
        <v>46127</v>
      </c>
      <c r="S467" s="11">
        <v>46127</v>
      </c>
      <c r="T467" s="11">
        <v>46127</v>
      </c>
      <c r="AE467" t="s">
        <v>114</v>
      </c>
      <c r="AF467" t="s">
        <v>132</v>
      </c>
      <c r="AG467" t="s">
        <v>132</v>
      </c>
      <c r="AH467" t="s">
        <v>132</v>
      </c>
      <c r="AI467" t="s">
        <v>132</v>
      </c>
      <c r="AJ467" t="s">
        <v>132</v>
      </c>
      <c r="AK467" t="s">
        <v>132</v>
      </c>
      <c r="AM467" t="s">
        <v>114</v>
      </c>
      <c r="AN467" t="s">
        <v>114</v>
      </c>
      <c r="AQ467" t="s">
        <v>132</v>
      </c>
      <c r="AR467" t="s">
        <v>1739</v>
      </c>
      <c r="AS467" s="11">
        <v>46132</v>
      </c>
      <c r="AU467" t="s">
        <v>114</v>
      </c>
      <c r="AV467" t="s">
        <v>115</v>
      </c>
      <c r="BB467" s="44" t="s">
        <v>114</v>
      </c>
      <c r="BC467" s="11">
        <v>46130</v>
      </c>
      <c r="BD467" t="s">
        <v>1712</v>
      </c>
      <c r="BF467" t="s">
        <v>309</v>
      </c>
      <c r="BG467" t="s">
        <v>449</v>
      </c>
      <c r="BJ467" t="str">
        <f t="shared" si="103"/>
        <v/>
      </c>
      <c r="BK467" s="44" t="s">
        <v>117</v>
      </c>
      <c r="BL467" t="str">
        <f t="shared" si="95"/>
        <v>S16_2026</v>
      </c>
      <c r="BM467" s="44" t="s">
        <v>159</v>
      </c>
      <c r="BN467" s="11">
        <v>46136</v>
      </c>
      <c r="BO467" s="36" t="str">
        <f t="shared" si="94"/>
        <v>S17_2026</v>
      </c>
      <c r="BP467" t="s">
        <v>114</v>
      </c>
      <c r="BQ467" t="s">
        <v>450</v>
      </c>
      <c r="BR467" t="s">
        <v>451</v>
      </c>
      <c r="BS467" t="s">
        <v>132</v>
      </c>
      <c r="CI467" t="s">
        <v>119</v>
      </c>
      <c r="CP467" s="11">
        <v>46130</v>
      </c>
      <c r="CQ467" t="s">
        <v>132</v>
      </c>
      <c r="CR467">
        <f t="shared" si="97"/>
        <v>2</v>
      </c>
      <c r="CS467">
        <f t="shared" si="98"/>
        <v>4</v>
      </c>
      <c r="CT467">
        <f t="shared" si="92"/>
        <v>3</v>
      </c>
      <c r="CU467">
        <f t="shared" si="99"/>
        <v>1</v>
      </c>
      <c r="CV467" t="str">
        <f t="shared" si="100"/>
        <v/>
      </c>
      <c r="CW467" t="s">
        <v>132</v>
      </c>
      <c r="CX467" s="11">
        <v>46127</v>
      </c>
      <c r="CY467" t="str">
        <f t="shared" si="102"/>
        <v>S16_2026</v>
      </c>
      <c r="CZ467" t="s">
        <v>132</v>
      </c>
      <c r="DB467" t="s">
        <v>132</v>
      </c>
      <c r="DC467" t="s">
        <v>120</v>
      </c>
    </row>
    <row r="468" spans="1:107" x14ac:dyDescent="0.35">
      <c r="A468" s="36" t="s">
        <v>1740</v>
      </c>
      <c r="B468" s="10" t="str">
        <f t="shared" si="101"/>
        <v>S18_2026</v>
      </c>
      <c r="C468" s="10" t="str">
        <f t="shared" si="96"/>
        <v>S17_2026</v>
      </c>
      <c r="D468" s="11">
        <v>46139</v>
      </c>
      <c r="E468" s="44" t="s">
        <v>123</v>
      </c>
      <c r="F468" s="24">
        <v>4</v>
      </c>
      <c r="G468" t="s">
        <v>107</v>
      </c>
      <c r="H468" t="s">
        <v>108</v>
      </c>
      <c r="J468" t="s">
        <v>114</v>
      </c>
      <c r="K468" s="11">
        <v>46137</v>
      </c>
      <c r="L468" s="44" t="s">
        <v>111</v>
      </c>
      <c r="M468" s="44" t="s">
        <v>308</v>
      </c>
      <c r="N468" t="s">
        <v>1154</v>
      </c>
      <c r="O468" t="s">
        <v>1390</v>
      </c>
      <c r="P468" t="s">
        <v>1741</v>
      </c>
      <c r="Q468" s="44" t="s">
        <v>312</v>
      </c>
      <c r="R468" s="11">
        <v>46135</v>
      </c>
      <c r="S468" s="11">
        <v>46135</v>
      </c>
      <c r="T468" s="11">
        <v>46135</v>
      </c>
      <c r="V468" t="s">
        <v>132</v>
      </c>
      <c r="W468" t="s">
        <v>132</v>
      </c>
      <c r="X468" t="s">
        <v>132</v>
      </c>
      <c r="Y468" t="s">
        <v>132</v>
      </c>
      <c r="Z468" t="s">
        <v>132</v>
      </c>
      <c r="AA468" t="s">
        <v>132</v>
      </c>
      <c r="AB468" t="s">
        <v>114</v>
      </c>
      <c r="AC468" t="s">
        <v>1238</v>
      </c>
      <c r="AE468" t="s">
        <v>132</v>
      </c>
      <c r="AF468" t="s">
        <v>132</v>
      </c>
      <c r="AG468" t="s">
        <v>132</v>
      </c>
      <c r="AH468" t="s">
        <v>132</v>
      </c>
      <c r="AI468" t="s">
        <v>132</v>
      </c>
      <c r="AJ468" t="s">
        <v>132</v>
      </c>
      <c r="AK468" t="s">
        <v>132</v>
      </c>
      <c r="AM468" t="s">
        <v>918</v>
      </c>
      <c r="AN468" t="s">
        <v>132</v>
      </c>
      <c r="AP468" t="s">
        <v>132</v>
      </c>
      <c r="AQ468" t="s">
        <v>132</v>
      </c>
      <c r="AR468" t="s">
        <v>1742</v>
      </c>
      <c r="AS468" s="11">
        <v>46139</v>
      </c>
      <c r="AU468" t="s">
        <v>114</v>
      </c>
      <c r="AV468" t="s">
        <v>115</v>
      </c>
      <c r="BB468" s="44" t="s">
        <v>114</v>
      </c>
      <c r="BC468" s="11">
        <v>46137</v>
      </c>
      <c r="BD468" t="s">
        <v>116</v>
      </c>
      <c r="BE468">
        <v>674205414</v>
      </c>
      <c r="BF468" t="s">
        <v>1743</v>
      </c>
      <c r="BG468" t="s">
        <v>449</v>
      </c>
      <c r="BJ468" t="str">
        <f t="shared" si="103"/>
        <v/>
      </c>
      <c r="BK468" s="44" t="s">
        <v>117</v>
      </c>
      <c r="BL468" t="str">
        <f t="shared" si="95"/>
        <v>S17_2026</v>
      </c>
      <c r="BM468" s="44" t="s">
        <v>159</v>
      </c>
      <c r="BN468" s="11">
        <v>46140</v>
      </c>
      <c r="BO468" s="36" t="str">
        <f t="shared" si="94"/>
        <v>S18_2026</v>
      </c>
      <c r="BP468" t="s">
        <v>114</v>
      </c>
      <c r="BQ468" t="s">
        <v>450</v>
      </c>
      <c r="BR468" t="s">
        <v>451</v>
      </c>
      <c r="BS468" t="s">
        <v>132</v>
      </c>
      <c r="CI468" t="s">
        <v>119</v>
      </c>
      <c r="CP468" s="11">
        <v>46137</v>
      </c>
      <c r="CQ468" t="s">
        <v>132</v>
      </c>
      <c r="CR468">
        <f t="shared" si="97"/>
        <v>2</v>
      </c>
      <c r="CS468">
        <f t="shared" si="98"/>
        <v>1</v>
      </c>
      <c r="CT468">
        <f t="shared" si="92"/>
        <v>2</v>
      </c>
      <c r="CU468">
        <f t="shared" si="99"/>
        <v>0</v>
      </c>
      <c r="CV468" t="str">
        <f t="shared" si="100"/>
        <v/>
      </c>
      <c r="CW468" t="s">
        <v>132</v>
      </c>
      <c r="CX468" s="11">
        <v>46135</v>
      </c>
      <c r="CY468" t="str">
        <f t="shared" si="102"/>
        <v>S17_2026</v>
      </c>
      <c r="CZ468" t="s">
        <v>132</v>
      </c>
      <c r="DB468" t="s">
        <v>132</v>
      </c>
      <c r="DC468" t="s">
        <v>120</v>
      </c>
    </row>
    <row r="469" spans="1:107" x14ac:dyDescent="0.35">
      <c r="A469" s="36" t="s">
        <v>1744</v>
      </c>
      <c r="B469" s="10" t="str">
        <f t="shared" si="101"/>
        <v>S18_2026</v>
      </c>
      <c r="C469" s="10" t="str">
        <f t="shared" si="96"/>
        <v>S17_2026</v>
      </c>
      <c r="D469" s="11">
        <v>46139</v>
      </c>
      <c r="E469" s="44" t="s">
        <v>123</v>
      </c>
      <c r="F469" s="24">
        <v>7</v>
      </c>
      <c r="G469" t="s">
        <v>107</v>
      </c>
      <c r="H469" t="s">
        <v>108</v>
      </c>
      <c r="J469" t="s">
        <v>114</v>
      </c>
      <c r="K469" s="11">
        <v>46137</v>
      </c>
      <c r="L469" s="44" t="s">
        <v>111</v>
      </c>
      <c r="M469" s="44" t="s">
        <v>308</v>
      </c>
      <c r="N469" t="s">
        <v>1154</v>
      </c>
      <c r="O469" t="s">
        <v>1390</v>
      </c>
      <c r="P469" t="s">
        <v>1741</v>
      </c>
      <c r="Q469" s="44" t="s">
        <v>312</v>
      </c>
      <c r="R469" s="11">
        <v>46135</v>
      </c>
      <c r="S469" s="11">
        <v>46135</v>
      </c>
      <c r="T469" s="11">
        <v>46135</v>
      </c>
      <c r="V469" t="s">
        <v>132</v>
      </c>
      <c r="W469" t="s">
        <v>132</v>
      </c>
      <c r="X469" t="s">
        <v>132</v>
      </c>
      <c r="Y469" t="s">
        <v>132</v>
      </c>
      <c r="Z469" t="s">
        <v>132</v>
      </c>
      <c r="AA469" t="s">
        <v>132</v>
      </c>
      <c r="AB469" t="s">
        <v>114</v>
      </c>
      <c r="AC469" t="s">
        <v>1147</v>
      </c>
      <c r="AE469" t="s">
        <v>132</v>
      </c>
      <c r="AF469" t="s">
        <v>132</v>
      </c>
      <c r="AG469" t="s">
        <v>132</v>
      </c>
      <c r="AH469" t="s">
        <v>132</v>
      </c>
      <c r="AI469" t="s">
        <v>132</v>
      </c>
      <c r="AJ469" t="s">
        <v>132</v>
      </c>
      <c r="AK469" t="s">
        <v>132</v>
      </c>
      <c r="AM469" t="s">
        <v>918</v>
      </c>
      <c r="AN469" t="s">
        <v>132</v>
      </c>
      <c r="AP469" t="s">
        <v>132</v>
      </c>
      <c r="AQ469" t="s">
        <v>132</v>
      </c>
      <c r="AR469" t="s">
        <v>1745</v>
      </c>
      <c r="AS469" s="11">
        <v>46139</v>
      </c>
      <c r="AU469" t="s">
        <v>114</v>
      </c>
      <c r="AV469" t="s">
        <v>115</v>
      </c>
      <c r="BB469" s="44" t="s">
        <v>114</v>
      </c>
      <c r="BC469" s="11">
        <v>46137</v>
      </c>
      <c r="BD469" t="s">
        <v>512</v>
      </c>
      <c r="BE469">
        <v>674722612</v>
      </c>
      <c r="BF469" t="s">
        <v>1743</v>
      </c>
      <c r="BG469" t="s">
        <v>449</v>
      </c>
      <c r="BJ469" t="str">
        <f t="shared" si="103"/>
        <v/>
      </c>
      <c r="BK469" s="44" t="s">
        <v>117</v>
      </c>
      <c r="BL469" t="str">
        <f t="shared" si="95"/>
        <v>S17_2026</v>
      </c>
      <c r="BM469" s="44" t="s">
        <v>159</v>
      </c>
      <c r="BN469" s="11">
        <v>46140</v>
      </c>
      <c r="BO469" s="36" t="str">
        <f t="shared" si="94"/>
        <v>S18_2026</v>
      </c>
      <c r="BP469" t="s">
        <v>114</v>
      </c>
      <c r="BQ469" t="s">
        <v>450</v>
      </c>
      <c r="BR469" t="s">
        <v>451</v>
      </c>
      <c r="BS469" t="s">
        <v>132</v>
      </c>
      <c r="CI469" t="s">
        <v>119</v>
      </c>
      <c r="CP469" s="11">
        <v>46137</v>
      </c>
      <c r="CQ469" t="s">
        <v>132</v>
      </c>
      <c r="CR469">
        <f t="shared" si="97"/>
        <v>2</v>
      </c>
      <c r="CS469">
        <f t="shared" si="98"/>
        <v>1</v>
      </c>
      <c r="CT469">
        <f t="shared" si="92"/>
        <v>2</v>
      </c>
      <c r="CU469">
        <f t="shared" si="99"/>
        <v>0</v>
      </c>
      <c r="CV469" t="str">
        <f t="shared" si="100"/>
        <v/>
      </c>
      <c r="CW469" t="s">
        <v>132</v>
      </c>
      <c r="CX469" s="11">
        <v>46135</v>
      </c>
      <c r="CY469" t="str">
        <f t="shared" si="102"/>
        <v>S17_2026</v>
      </c>
      <c r="CZ469" t="s">
        <v>132</v>
      </c>
      <c r="DB469" t="s">
        <v>132</v>
      </c>
      <c r="DC469" t="s">
        <v>120</v>
      </c>
    </row>
    <row r="470" spans="1:107" x14ac:dyDescent="0.35">
      <c r="A470" s="36" t="s">
        <v>1746</v>
      </c>
      <c r="B470" s="10" t="str">
        <f t="shared" si="101"/>
        <v>S18_2026</v>
      </c>
      <c r="C470" s="10" t="str">
        <f t="shared" si="96"/>
        <v>S17_2026</v>
      </c>
      <c r="D470" s="11">
        <v>46139</v>
      </c>
      <c r="E470" s="44" t="s">
        <v>106</v>
      </c>
      <c r="F470" s="24">
        <v>2</v>
      </c>
      <c r="G470" t="s">
        <v>141</v>
      </c>
      <c r="H470" t="s">
        <v>108</v>
      </c>
      <c r="J470" t="s">
        <v>114</v>
      </c>
      <c r="K470" s="11">
        <v>46137</v>
      </c>
      <c r="L470" s="44" t="s">
        <v>111</v>
      </c>
      <c r="M470" s="44" t="s">
        <v>308</v>
      </c>
      <c r="N470" t="s">
        <v>1154</v>
      </c>
      <c r="O470" t="s">
        <v>1390</v>
      </c>
      <c r="P470" t="s">
        <v>1741</v>
      </c>
      <c r="Q470" s="44" t="s">
        <v>312</v>
      </c>
      <c r="R470" s="11">
        <v>46135</v>
      </c>
      <c r="S470" s="11">
        <v>46135</v>
      </c>
      <c r="T470" s="11">
        <v>46135</v>
      </c>
      <c r="V470" t="s">
        <v>114</v>
      </c>
      <c r="W470" t="s">
        <v>114</v>
      </c>
      <c r="X470" t="s">
        <v>114</v>
      </c>
      <c r="Y470" t="s">
        <v>114</v>
      </c>
      <c r="Z470" t="s">
        <v>114</v>
      </c>
      <c r="AA470" t="s">
        <v>114</v>
      </c>
      <c r="AB470" t="s">
        <v>114</v>
      </c>
      <c r="AE470" t="s">
        <v>132</v>
      </c>
      <c r="AF470" t="s">
        <v>132</v>
      </c>
      <c r="AG470" t="s">
        <v>132</v>
      </c>
      <c r="AH470" t="s">
        <v>132</v>
      </c>
      <c r="AI470" t="s">
        <v>132</v>
      </c>
      <c r="AJ470" t="s">
        <v>132</v>
      </c>
      <c r="AK470" t="s">
        <v>132</v>
      </c>
      <c r="AM470" t="s">
        <v>918</v>
      </c>
      <c r="AN470" t="s">
        <v>132</v>
      </c>
      <c r="AP470" t="s">
        <v>132</v>
      </c>
      <c r="AQ470" t="s">
        <v>132</v>
      </c>
      <c r="AR470" t="s">
        <v>1747</v>
      </c>
      <c r="AS470" s="11">
        <v>46139</v>
      </c>
      <c r="AU470" t="s">
        <v>114</v>
      </c>
      <c r="AV470" t="s">
        <v>115</v>
      </c>
      <c r="BB470" s="44" t="s">
        <v>114</v>
      </c>
      <c r="BC470" s="11">
        <v>46137</v>
      </c>
      <c r="BD470" t="s">
        <v>512</v>
      </c>
      <c r="BE470">
        <v>674722612</v>
      </c>
      <c r="BF470" t="s">
        <v>1743</v>
      </c>
      <c r="BG470" t="s">
        <v>449</v>
      </c>
      <c r="BJ470" t="str">
        <f t="shared" si="103"/>
        <v/>
      </c>
      <c r="BK470" s="44" t="s">
        <v>117</v>
      </c>
      <c r="BL470" t="str">
        <f t="shared" si="95"/>
        <v>S17_2026</v>
      </c>
      <c r="BM470" s="44" t="s">
        <v>159</v>
      </c>
      <c r="BN470" s="11">
        <v>46140</v>
      </c>
      <c r="BO470" s="36" t="str">
        <f t="shared" si="94"/>
        <v>S18_2026</v>
      </c>
      <c r="BP470" t="s">
        <v>114</v>
      </c>
      <c r="BQ470" t="s">
        <v>450</v>
      </c>
      <c r="BR470" t="s">
        <v>451</v>
      </c>
      <c r="BS470" t="s">
        <v>132</v>
      </c>
      <c r="CI470" t="s">
        <v>119</v>
      </c>
      <c r="CP470" s="11">
        <v>46137</v>
      </c>
      <c r="CQ470" t="s">
        <v>132</v>
      </c>
      <c r="CR470">
        <f t="shared" si="97"/>
        <v>2</v>
      </c>
      <c r="CS470">
        <f t="shared" si="98"/>
        <v>1</v>
      </c>
      <c r="CT470">
        <f t="shared" si="92"/>
        <v>2</v>
      </c>
      <c r="CU470">
        <f t="shared" si="99"/>
        <v>0</v>
      </c>
      <c r="CV470" t="str">
        <f t="shared" si="100"/>
        <v/>
      </c>
      <c r="CW470" t="s">
        <v>132</v>
      </c>
      <c r="CX470" s="11">
        <v>46135</v>
      </c>
      <c r="CY470" t="str">
        <f t="shared" si="102"/>
        <v>S17_2026</v>
      </c>
      <c r="CZ470" t="s">
        <v>132</v>
      </c>
      <c r="DB470" t="s">
        <v>132</v>
      </c>
      <c r="DC470" t="s">
        <v>120</v>
      </c>
    </row>
    <row r="471" spans="1:107" x14ac:dyDescent="0.35">
      <c r="A471" s="36" t="s">
        <v>1748</v>
      </c>
      <c r="B471" s="10" t="str">
        <f t="shared" si="101"/>
        <v>S18_2026</v>
      </c>
      <c r="C471" s="10" t="str">
        <f t="shared" si="96"/>
        <v>S17_2026</v>
      </c>
      <c r="D471" s="11">
        <v>46139</v>
      </c>
      <c r="E471" s="44" t="s">
        <v>123</v>
      </c>
      <c r="F471" s="24">
        <v>4</v>
      </c>
      <c r="G471" t="s">
        <v>107</v>
      </c>
      <c r="H471" t="s">
        <v>108</v>
      </c>
      <c r="J471" t="s">
        <v>114</v>
      </c>
      <c r="K471" s="11">
        <v>46137</v>
      </c>
      <c r="L471" s="44" t="s">
        <v>111</v>
      </c>
      <c r="M471" s="44" t="s">
        <v>308</v>
      </c>
      <c r="N471" t="s">
        <v>1154</v>
      </c>
      <c r="O471" t="s">
        <v>1390</v>
      </c>
      <c r="P471" t="s">
        <v>1741</v>
      </c>
      <c r="Q471" s="44" t="s">
        <v>312</v>
      </c>
      <c r="R471" s="11">
        <v>46135</v>
      </c>
      <c r="S471" s="11">
        <v>46135</v>
      </c>
      <c r="T471" s="11">
        <v>46135</v>
      </c>
      <c r="V471" t="s">
        <v>132</v>
      </c>
      <c r="W471" t="s">
        <v>132</v>
      </c>
      <c r="X471" t="s">
        <v>132</v>
      </c>
      <c r="Y471" t="s">
        <v>132</v>
      </c>
      <c r="Z471" t="s">
        <v>132</v>
      </c>
      <c r="AA471" t="s">
        <v>132</v>
      </c>
      <c r="AB471" t="s">
        <v>114</v>
      </c>
      <c r="AC471" t="s">
        <v>1115</v>
      </c>
      <c r="AE471" t="s">
        <v>114</v>
      </c>
      <c r="AF471" t="s">
        <v>132</v>
      </c>
      <c r="AG471" t="s">
        <v>132</v>
      </c>
      <c r="AH471" t="s">
        <v>132</v>
      </c>
      <c r="AI471" t="s">
        <v>132</v>
      </c>
      <c r="AJ471" t="s">
        <v>132</v>
      </c>
      <c r="AK471" t="s">
        <v>132</v>
      </c>
      <c r="AM471" t="s">
        <v>918</v>
      </c>
      <c r="AN471" t="s">
        <v>451</v>
      </c>
      <c r="AP471" t="s">
        <v>132</v>
      </c>
      <c r="AQ471" t="s">
        <v>451</v>
      </c>
      <c r="AR471" t="s">
        <v>1749</v>
      </c>
      <c r="AS471" s="11">
        <v>46139</v>
      </c>
      <c r="AU471" t="s">
        <v>114</v>
      </c>
      <c r="AV471" t="s">
        <v>115</v>
      </c>
      <c r="BB471" s="44" t="s">
        <v>114</v>
      </c>
      <c r="BC471" s="11">
        <v>46137</v>
      </c>
      <c r="BD471" t="s">
        <v>512</v>
      </c>
      <c r="BE471">
        <v>674722612</v>
      </c>
      <c r="BF471" t="s">
        <v>1743</v>
      </c>
      <c r="BG471" t="s">
        <v>449</v>
      </c>
      <c r="BJ471" t="str">
        <f t="shared" si="103"/>
        <v/>
      </c>
      <c r="BK471" s="44" t="s">
        <v>117</v>
      </c>
      <c r="BL471" t="str">
        <f t="shared" si="95"/>
        <v>S17_2026</v>
      </c>
      <c r="BM471" s="44" t="s">
        <v>159</v>
      </c>
      <c r="BN471" s="11">
        <v>46140</v>
      </c>
      <c r="BO471" s="36" t="str">
        <f t="shared" si="94"/>
        <v>S18_2026</v>
      </c>
      <c r="BP471" t="s">
        <v>114</v>
      </c>
      <c r="BQ471" t="s">
        <v>450</v>
      </c>
      <c r="BR471" t="s">
        <v>451</v>
      </c>
      <c r="BS471" t="s">
        <v>132</v>
      </c>
      <c r="CI471" t="s">
        <v>119</v>
      </c>
      <c r="CP471" s="11">
        <v>46137</v>
      </c>
      <c r="CQ471" t="s">
        <v>132</v>
      </c>
      <c r="CR471">
        <f t="shared" si="97"/>
        <v>2</v>
      </c>
      <c r="CS471">
        <f t="shared" si="98"/>
        <v>1</v>
      </c>
      <c r="CT471">
        <f t="shared" si="92"/>
        <v>2</v>
      </c>
      <c r="CU471">
        <f t="shared" si="99"/>
        <v>0</v>
      </c>
      <c r="CV471" t="str">
        <f t="shared" si="100"/>
        <v/>
      </c>
      <c r="CW471" t="s">
        <v>132</v>
      </c>
      <c r="CX471" s="11">
        <v>46135</v>
      </c>
      <c r="CY471" t="str">
        <f t="shared" si="102"/>
        <v>S17_2026</v>
      </c>
      <c r="CZ471" t="s">
        <v>132</v>
      </c>
      <c r="DB471" t="s">
        <v>132</v>
      </c>
      <c r="DC471" t="s">
        <v>120</v>
      </c>
    </row>
    <row r="472" spans="1:107" x14ac:dyDescent="0.35">
      <c r="A472" s="36" t="s">
        <v>1750</v>
      </c>
      <c r="B472" s="10" t="str">
        <f t="shared" si="101"/>
        <v>S18_2026</v>
      </c>
      <c r="C472" s="10" t="str">
        <f t="shared" si="96"/>
        <v>S16_2026</v>
      </c>
      <c r="D472" s="11">
        <v>46139</v>
      </c>
      <c r="E472" s="44" t="s">
        <v>106</v>
      </c>
      <c r="F472" s="24">
        <v>27</v>
      </c>
      <c r="G472" t="s">
        <v>1751</v>
      </c>
      <c r="H472" t="s">
        <v>108</v>
      </c>
      <c r="J472" t="s">
        <v>114</v>
      </c>
      <c r="L472" s="44" t="s">
        <v>206</v>
      </c>
      <c r="M472" s="44" t="s">
        <v>1752</v>
      </c>
      <c r="N472" t="s">
        <v>1753</v>
      </c>
      <c r="O472" t="s">
        <v>1754</v>
      </c>
      <c r="P472" t="s">
        <v>1755</v>
      </c>
      <c r="Q472" s="44" t="s">
        <v>1752</v>
      </c>
      <c r="R472" s="11">
        <v>46130</v>
      </c>
      <c r="S472" s="11">
        <v>46130</v>
      </c>
      <c r="T472" s="11">
        <v>46130</v>
      </c>
      <c r="V472" t="s">
        <v>114</v>
      </c>
      <c r="W472" t="s">
        <v>114</v>
      </c>
      <c r="X472" t="s">
        <v>114</v>
      </c>
      <c r="Y472" t="s">
        <v>114</v>
      </c>
      <c r="Z472" t="s">
        <v>114</v>
      </c>
      <c r="AA472" t="s">
        <v>114</v>
      </c>
      <c r="AB472" t="s">
        <v>114</v>
      </c>
      <c r="AE472" t="s">
        <v>114</v>
      </c>
      <c r="AF472" t="s">
        <v>132</v>
      </c>
      <c r="AG472" t="s">
        <v>132</v>
      </c>
      <c r="AH472" t="s">
        <v>132</v>
      </c>
      <c r="AI472" t="s">
        <v>132</v>
      </c>
      <c r="AJ472" t="s">
        <v>132</v>
      </c>
      <c r="AK472" t="s">
        <v>132</v>
      </c>
      <c r="AM472" t="s">
        <v>132</v>
      </c>
      <c r="AN472" t="s">
        <v>918</v>
      </c>
      <c r="AP472" t="s">
        <v>132</v>
      </c>
      <c r="AQ472" t="s">
        <v>132</v>
      </c>
      <c r="AR472" t="s">
        <v>1756</v>
      </c>
      <c r="AS472" s="11">
        <v>46137</v>
      </c>
      <c r="AU472" t="s">
        <v>114</v>
      </c>
      <c r="AV472" t="s">
        <v>115</v>
      </c>
      <c r="BB472" s="44" t="s">
        <v>114</v>
      </c>
      <c r="BC472" s="11">
        <v>46134</v>
      </c>
      <c r="BD472" t="s">
        <v>524</v>
      </c>
      <c r="BE472">
        <v>688042006</v>
      </c>
      <c r="BF472" t="s">
        <v>1757</v>
      </c>
      <c r="BG472" t="s">
        <v>449</v>
      </c>
      <c r="BJ472" t="str">
        <f t="shared" si="103"/>
        <v/>
      </c>
      <c r="BK472" s="44" t="s">
        <v>206</v>
      </c>
      <c r="BL472" t="str">
        <f t="shared" si="95"/>
        <v>S17_2026</v>
      </c>
      <c r="BM472" s="44" t="s">
        <v>159</v>
      </c>
      <c r="BN472" s="11">
        <v>46140</v>
      </c>
      <c r="BO472" s="36" t="str">
        <f t="shared" si="94"/>
        <v>S18_2026</v>
      </c>
      <c r="BP472" t="s">
        <v>114</v>
      </c>
      <c r="BQ472" t="s">
        <v>450</v>
      </c>
      <c r="BR472" t="s">
        <v>451</v>
      </c>
      <c r="BS472" t="s">
        <v>132</v>
      </c>
      <c r="CI472" t="s">
        <v>119</v>
      </c>
      <c r="CP472" s="11">
        <v>46134</v>
      </c>
      <c r="CQ472" t="s">
        <v>132</v>
      </c>
      <c r="CR472">
        <f t="shared" si="97"/>
        <v>3</v>
      </c>
      <c r="CS472">
        <f t="shared" si="98"/>
        <v>3</v>
      </c>
      <c r="CT472">
        <f t="shared" si="92"/>
        <v>4</v>
      </c>
      <c r="CU472">
        <f t="shared" si="99"/>
        <v>46134</v>
      </c>
      <c r="CV472" t="str">
        <f t="shared" si="100"/>
        <v/>
      </c>
      <c r="CW472" t="s">
        <v>132</v>
      </c>
      <c r="CX472" s="11">
        <v>46130</v>
      </c>
      <c r="CY472" t="str">
        <f t="shared" si="102"/>
        <v>S16_2026</v>
      </c>
      <c r="CZ472" t="s">
        <v>132</v>
      </c>
      <c r="DB472" t="s">
        <v>132</v>
      </c>
      <c r="DC472" t="s">
        <v>120</v>
      </c>
    </row>
    <row r="473" spans="1:107" x14ac:dyDescent="0.35">
      <c r="A473" s="36" t="s">
        <v>1758</v>
      </c>
      <c r="B473" s="10" t="str">
        <f t="shared" si="101"/>
        <v>S18_2026</v>
      </c>
      <c r="C473" s="10" t="str">
        <f t="shared" si="96"/>
        <v>S17_2026</v>
      </c>
      <c r="D473" s="11">
        <v>46139</v>
      </c>
      <c r="E473" s="44" t="s">
        <v>106</v>
      </c>
      <c r="F473" s="24">
        <v>29</v>
      </c>
      <c r="G473" t="s">
        <v>364</v>
      </c>
      <c r="H473" t="s">
        <v>108</v>
      </c>
      <c r="J473" t="s">
        <v>132</v>
      </c>
      <c r="L473" s="44" t="s">
        <v>180</v>
      </c>
      <c r="M473" s="44" t="s">
        <v>836</v>
      </c>
      <c r="N473" t="s">
        <v>1759</v>
      </c>
      <c r="O473" t="s">
        <v>1760</v>
      </c>
      <c r="P473" t="s">
        <v>1761</v>
      </c>
      <c r="Q473" s="44" t="s">
        <v>836</v>
      </c>
      <c r="R473" s="11">
        <v>46132</v>
      </c>
      <c r="S473" s="11">
        <v>46132</v>
      </c>
      <c r="T473" s="11">
        <v>46132</v>
      </c>
      <c r="V473" t="s">
        <v>114</v>
      </c>
      <c r="W473" t="s">
        <v>114</v>
      </c>
      <c r="X473" t="s">
        <v>114</v>
      </c>
      <c r="Y473" t="s">
        <v>114</v>
      </c>
      <c r="Z473" t="s">
        <v>114</v>
      </c>
      <c r="AA473" t="s">
        <v>114</v>
      </c>
      <c r="AB473" t="s">
        <v>114</v>
      </c>
      <c r="AE473" t="s">
        <v>132</v>
      </c>
      <c r="AF473" t="s">
        <v>114</v>
      </c>
      <c r="AG473" t="s">
        <v>114</v>
      </c>
      <c r="AH473" t="s">
        <v>132</v>
      </c>
      <c r="AI473" t="s">
        <v>132</v>
      </c>
      <c r="AJ473" t="s">
        <v>132</v>
      </c>
      <c r="AK473" t="s">
        <v>132</v>
      </c>
      <c r="AM473" t="s">
        <v>132</v>
      </c>
      <c r="AN473" t="s">
        <v>114</v>
      </c>
      <c r="AP473" t="s">
        <v>132</v>
      </c>
      <c r="AQ473" t="s">
        <v>132</v>
      </c>
      <c r="AR473" t="s">
        <v>1762</v>
      </c>
      <c r="AS473" s="11">
        <v>46141</v>
      </c>
      <c r="AU473" t="s">
        <v>114</v>
      </c>
      <c r="AV473" t="s">
        <v>115</v>
      </c>
      <c r="BB473" s="44" t="s">
        <v>114</v>
      </c>
      <c r="BC473" s="11">
        <v>46139</v>
      </c>
      <c r="BD473" t="s">
        <v>512</v>
      </c>
      <c r="BE473">
        <v>655940349</v>
      </c>
      <c r="BF473" t="s">
        <v>1763</v>
      </c>
      <c r="BG473" t="s">
        <v>449</v>
      </c>
      <c r="BJ473" t="str">
        <f t="shared" si="103"/>
        <v/>
      </c>
      <c r="BK473" s="44" t="s">
        <v>180</v>
      </c>
      <c r="BL473" t="str">
        <f t="shared" si="95"/>
        <v>S18_2026</v>
      </c>
      <c r="BM473" s="44" t="s">
        <v>159</v>
      </c>
      <c r="BN473" s="11">
        <v>46145</v>
      </c>
      <c r="BO473" s="36" t="str">
        <f t="shared" si="94"/>
        <v>S18_2026</v>
      </c>
      <c r="BP473" t="s">
        <v>114</v>
      </c>
      <c r="BQ473" t="s">
        <v>450</v>
      </c>
      <c r="BR473" t="s">
        <v>451</v>
      </c>
      <c r="BS473" t="s">
        <v>132</v>
      </c>
      <c r="CI473" t="s">
        <v>119</v>
      </c>
      <c r="CP473" s="11">
        <v>46139</v>
      </c>
      <c r="CQ473" t="s">
        <v>132</v>
      </c>
      <c r="CR473">
        <f t="shared" si="97"/>
        <v>2</v>
      </c>
      <c r="CS473">
        <f t="shared" si="98"/>
        <v>4</v>
      </c>
      <c r="CT473">
        <f t="shared" si="92"/>
        <v>7</v>
      </c>
      <c r="CU473" t="str">
        <f t="shared" si="99"/>
        <v/>
      </c>
      <c r="CV473" t="str">
        <f t="shared" si="100"/>
        <v/>
      </c>
      <c r="CW473" t="s">
        <v>132</v>
      </c>
      <c r="CX473" s="11">
        <v>46132</v>
      </c>
      <c r="CY473" t="str">
        <f t="shared" si="102"/>
        <v>S17_2026</v>
      </c>
      <c r="CZ473" t="s">
        <v>132</v>
      </c>
      <c r="DB473" t="s">
        <v>132</v>
      </c>
      <c r="DC473" t="s">
        <v>120</v>
      </c>
    </row>
    <row r="474" spans="1:107" x14ac:dyDescent="0.35">
      <c r="A474" s="36" t="s">
        <v>1764</v>
      </c>
      <c r="B474" s="10" t="str">
        <f t="shared" si="101"/>
        <v>S18_2026</v>
      </c>
      <c r="C474" s="10" t="str">
        <f t="shared" si="96"/>
        <v>S16_2026</v>
      </c>
      <c r="D474" s="11">
        <v>46139</v>
      </c>
      <c r="E474" s="44" t="s">
        <v>106</v>
      </c>
      <c r="F474" s="24">
        <v>36</v>
      </c>
      <c r="G474" t="s">
        <v>429</v>
      </c>
      <c r="H474" t="s">
        <v>108</v>
      </c>
      <c r="J474" t="s">
        <v>132</v>
      </c>
      <c r="L474" s="44" t="s">
        <v>248</v>
      </c>
      <c r="M474" s="44" t="s">
        <v>401</v>
      </c>
      <c r="N474" t="s">
        <v>1765</v>
      </c>
      <c r="P474" t="s">
        <v>1766</v>
      </c>
      <c r="Q474" s="44" t="s">
        <v>401</v>
      </c>
      <c r="R474" s="11">
        <v>46131</v>
      </c>
      <c r="S474" s="11">
        <v>46131</v>
      </c>
      <c r="T474" s="11">
        <v>46131</v>
      </c>
      <c r="V474" t="s">
        <v>114</v>
      </c>
      <c r="W474" t="s">
        <v>114</v>
      </c>
      <c r="X474" t="s">
        <v>114</v>
      </c>
      <c r="Y474" t="s">
        <v>114</v>
      </c>
      <c r="Z474" t="s">
        <v>114</v>
      </c>
      <c r="AA474" t="s">
        <v>114</v>
      </c>
      <c r="AB474" t="s">
        <v>114</v>
      </c>
      <c r="AE474" t="s">
        <v>132</v>
      </c>
      <c r="AF474" t="s">
        <v>132</v>
      </c>
      <c r="AG474" t="s">
        <v>114</v>
      </c>
      <c r="AH474" t="s">
        <v>132</v>
      </c>
      <c r="AI474" t="s">
        <v>114</v>
      </c>
      <c r="AJ474" t="s">
        <v>1767</v>
      </c>
      <c r="AK474" t="s">
        <v>114</v>
      </c>
      <c r="AM474" t="s">
        <v>132</v>
      </c>
      <c r="AN474" t="s">
        <v>114</v>
      </c>
      <c r="AP474" t="s">
        <v>142</v>
      </c>
      <c r="AQ474" t="s">
        <v>451</v>
      </c>
      <c r="AR474" t="s">
        <v>1768</v>
      </c>
      <c r="AS474" s="11">
        <v>46140</v>
      </c>
      <c r="AU474" t="s">
        <v>114</v>
      </c>
      <c r="AV474" t="s">
        <v>134</v>
      </c>
      <c r="AW474" t="s">
        <v>125</v>
      </c>
      <c r="AX474" s="11">
        <v>46148</v>
      </c>
      <c r="AY474" t="s">
        <v>135</v>
      </c>
      <c r="BB474" s="44" t="s">
        <v>114</v>
      </c>
      <c r="BC474" s="11">
        <v>46138</v>
      </c>
      <c r="BD474" t="s">
        <v>116</v>
      </c>
      <c r="BE474">
        <v>655730789</v>
      </c>
      <c r="BF474" t="s">
        <v>1769</v>
      </c>
      <c r="BG474" t="s">
        <v>449</v>
      </c>
      <c r="BI474" s="11">
        <v>46145</v>
      </c>
      <c r="BJ474" t="str">
        <f t="shared" si="103"/>
        <v>S18_2026</v>
      </c>
      <c r="BK474" s="44" t="s">
        <v>253</v>
      </c>
      <c r="BL474" t="str">
        <f t="shared" si="95"/>
        <v>S17_2026</v>
      </c>
      <c r="BM474" s="44" t="s">
        <v>159</v>
      </c>
      <c r="BN474" s="11">
        <v>46145</v>
      </c>
      <c r="BO474" s="36" t="str">
        <f t="shared" si="94"/>
        <v>S18_2026</v>
      </c>
      <c r="BP474" t="s">
        <v>114</v>
      </c>
      <c r="BQ474" t="s">
        <v>450</v>
      </c>
      <c r="BR474" t="s">
        <v>142</v>
      </c>
      <c r="BS474" t="s">
        <v>132</v>
      </c>
      <c r="CI474" t="s">
        <v>119</v>
      </c>
      <c r="CK474" t="s">
        <v>138</v>
      </c>
      <c r="CP474" s="11">
        <v>46138</v>
      </c>
      <c r="CQ474" t="s">
        <v>132</v>
      </c>
      <c r="CR474">
        <f t="shared" si="97"/>
        <v>2</v>
      </c>
      <c r="CS474">
        <f t="shared" si="98"/>
        <v>5</v>
      </c>
      <c r="CT474">
        <f t="shared" si="92"/>
        <v>7</v>
      </c>
      <c r="CU474" t="str">
        <f t="shared" si="99"/>
        <v/>
      </c>
      <c r="CV474">
        <f t="shared" si="100"/>
        <v>14</v>
      </c>
      <c r="CW474" t="s">
        <v>132</v>
      </c>
      <c r="CX474" s="11">
        <v>46131</v>
      </c>
      <c r="CY474" t="str">
        <f t="shared" si="102"/>
        <v>S16_2026</v>
      </c>
      <c r="CZ474" t="s">
        <v>132</v>
      </c>
      <c r="DB474" t="s">
        <v>132</v>
      </c>
      <c r="DC474" t="s">
        <v>139</v>
      </c>
    </row>
    <row r="475" spans="1:107" x14ac:dyDescent="0.35">
      <c r="A475" s="36" t="s">
        <v>1770</v>
      </c>
      <c r="B475" s="10" t="str">
        <f t="shared" si="101"/>
        <v>S17_2026</v>
      </c>
      <c r="C475" s="10" t="str">
        <f t="shared" si="96"/>
        <v>S15_2026</v>
      </c>
      <c r="D475" s="11">
        <v>46138</v>
      </c>
      <c r="E475" s="44" t="s">
        <v>123</v>
      </c>
      <c r="F475" s="24">
        <v>16</v>
      </c>
      <c r="G475" t="s">
        <v>107</v>
      </c>
      <c r="H475" t="s">
        <v>125</v>
      </c>
      <c r="I475" s="11">
        <v>46133</v>
      </c>
      <c r="J475" t="s">
        <v>114</v>
      </c>
      <c r="K475" s="11">
        <v>46133</v>
      </c>
      <c r="L475" s="44" t="s">
        <v>111</v>
      </c>
      <c r="M475" s="44" t="s">
        <v>1771</v>
      </c>
      <c r="N475" t="s">
        <v>1772</v>
      </c>
      <c r="O475" t="s">
        <v>1773</v>
      </c>
      <c r="P475" t="s">
        <v>1774</v>
      </c>
      <c r="Q475" s="44" t="s">
        <v>1771</v>
      </c>
      <c r="R475" s="11">
        <v>46119</v>
      </c>
      <c r="S475" s="11">
        <v>46119</v>
      </c>
      <c r="T475" s="11">
        <v>46119</v>
      </c>
      <c r="V475" t="s">
        <v>114</v>
      </c>
      <c r="W475" t="s">
        <v>114</v>
      </c>
      <c r="X475" t="s">
        <v>114</v>
      </c>
      <c r="Y475" t="s">
        <v>114</v>
      </c>
      <c r="Z475" t="s">
        <v>114</v>
      </c>
      <c r="AA475" t="s">
        <v>114</v>
      </c>
      <c r="AB475" t="s">
        <v>114</v>
      </c>
      <c r="AE475" t="s">
        <v>114</v>
      </c>
      <c r="AF475" t="s">
        <v>114</v>
      </c>
      <c r="AG475" t="s">
        <v>132</v>
      </c>
      <c r="AH475" t="s">
        <v>132</v>
      </c>
      <c r="AI475" t="s">
        <v>114</v>
      </c>
      <c r="AJ475" t="s">
        <v>1775</v>
      </c>
      <c r="AK475" t="s">
        <v>142</v>
      </c>
      <c r="AM475" t="s">
        <v>142</v>
      </c>
      <c r="AN475" t="s">
        <v>132</v>
      </c>
      <c r="AQ475" t="s">
        <v>132</v>
      </c>
      <c r="AW475" t="s">
        <v>125</v>
      </c>
      <c r="AX475" s="11">
        <v>46133</v>
      </c>
      <c r="BB475" s="44" t="s">
        <v>132</v>
      </c>
      <c r="BF475" t="s">
        <v>1772</v>
      </c>
      <c r="BJ475" t="str">
        <f t="shared" si="103"/>
        <v/>
      </c>
      <c r="BK475" s="44" t="s">
        <v>117</v>
      </c>
      <c r="BL475" t="str">
        <f t="shared" si="95"/>
        <v/>
      </c>
      <c r="BM475" s="44" t="s">
        <v>159</v>
      </c>
      <c r="BO475" s="36" t="str">
        <f t="shared" si="94"/>
        <v/>
      </c>
      <c r="BR475" t="s">
        <v>451</v>
      </c>
      <c r="BS475" t="s">
        <v>132</v>
      </c>
      <c r="CI475" t="s">
        <v>119</v>
      </c>
      <c r="CP475" s="11">
        <v>46138</v>
      </c>
      <c r="CR475" t="str">
        <f t="shared" si="97"/>
        <v/>
      </c>
      <c r="CS475" t="str">
        <f t="shared" si="98"/>
        <v/>
      </c>
      <c r="CT475">
        <f t="shared" si="92"/>
        <v>19</v>
      </c>
      <c r="CU475">
        <f t="shared" si="99"/>
        <v>5</v>
      </c>
      <c r="CV475" t="str">
        <f t="shared" si="100"/>
        <v/>
      </c>
      <c r="CX475" s="11">
        <v>46119</v>
      </c>
      <c r="CY475" t="str">
        <f t="shared" si="102"/>
        <v>S15_2026</v>
      </c>
      <c r="DB475" t="s">
        <v>114</v>
      </c>
      <c r="DC475" t="s">
        <v>160</v>
      </c>
    </row>
    <row r="476" spans="1:107" x14ac:dyDescent="0.35">
      <c r="A476" s="36" t="s">
        <v>1776</v>
      </c>
      <c r="B476" s="10" t="str">
        <f t="shared" si="101"/>
        <v>S18_2026</v>
      </c>
      <c r="C476" s="10" t="str">
        <f t="shared" si="96"/>
        <v/>
      </c>
      <c r="D476" s="11">
        <v>46140</v>
      </c>
      <c r="E476" s="44" t="s">
        <v>123</v>
      </c>
      <c r="F476" s="24">
        <v>38</v>
      </c>
      <c r="L476" s="44" t="s">
        <v>722</v>
      </c>
      <c r="M476" s="44" t="s">
        <v>619</v>
      </c>
      <c r="Q476" s="44" t="s">
        <v>1416</v>
      </c>
      <c r="AR476" t="s">
        <v>1777</v>
      </c>
      <c r="AS476" s="11">
        <v>46139</v>
      </c>
      <c r="AU476" t="s">
        <v>114</v>
      </c>
      <c r="AV476" t="s">
        <v>115</v>
      </c>
      <c r="BB476" s="44" t="s">
        <v>114</v>
      </c>
      <c r="BC476" s="11">
        <v>46133</v>
      </c>
      <c r="BD476" t="s">
        <v>116</v>
      </c>
      <c r="BF476" t="s">
        <v>1416</v>
      </c>
      <c r="BG476" t="s">
        <v>449</v>
      </c>
      <c r="BJ476" t="str">
        <f t="shared" si="103"/>
        <v/>
      </c>
      <c r="BK476" t="s">
        <v>187</v>
      </c>
      <c r="BL476" t="str">
        <f t="shared" si="95"/>
        <v>S17_2026</v>
      </c>
      <c r="BM476" s="44" t="s">
        <v>159</v>
      </c>
      <c r="BN476" s="11">
        <v>46140</v>
      </c>
      <c r="BO476" s="36" t="str">
        <f t="shared" si="94"/>
        <v>S18_2026</v>
      </c>
      <c r="BP476" t="s">
        <v>114</v>
      </c>
      <c r="BQ476" t="s">
        <v>450</v>
      </c>
      <c r="BR476" t="s">
        <v>451</v>
      </c>
      <c r="BS476" t="s">
        <v>132</v>
      </c>
      <c r="CI476" t="s">
        <v>119</v>
      </c>
      <c r="CP476" s="11">
        <v>46133</v>
      </c>
      <c r="CQ476" t="s">
        <v>132</v>
      </c>
      <c r="CR476">
        <f t="shared" si="97"/>
        <v>6</v>
      </c>
      <c r="CS476">
        <f t="shared" si="98"/>
        <v>1</v>
      </c>
      <c r="CT476">
        <f t="shared" si="92"/>
        <v>0</v>
      </c>
      <c r="CU476" t="str">
        <f t="shared" si="99"/>
        <v/>
      </c>
      <c r="CV476" t="str">
        <f t="shared" si="100"/>
        <v/>
      </c>
      <c r="CW476" t="s">
        <v>132</v>
      </c>
      <c r="CX476" s="11">
        <v>46133</v>
      </c>
      <c r="CY476" t="str">
        <f t="shared" si="102"/>
        <v>S17_2026</v>
      </c>
      <c r="CZ476" t="s">
        <v>132</v>
      </c>
      <c r="DB476" t="s">
        <v>132</v>
      </c>
      <c r="DC476" t="s">
        <v>120</v>
      </c>
    </row>
    <row r="477" spans="1:107" x14ac:dyDescent="0.35">
      <c r="A477" s="36" t="s">
        <v>1778</v>
      </c>
      <c r="B477" s="10" t="str">
        <f t="shared" si="101"/>
        <v>S18_2026</v>
      </c>
      <c r="C477" s="10" t="str">
        <f t="shared" si="96"/>
        <v>S17_2026</v>
      </c>
      <c r="D477" s="11">
        <v>46145</v>
      </c>
      <c r="E477" s="44" t="s">
        <v>106</v>
      </c>
      <c r="F477" s="24">
        <v>4</v>
      </c>
      <c r="G477" t="s">
        <v>107</v>
      </c>
      <c r="H477" t="s">
        <v>108</v>
      </c>
      <c r="J477" t="s">
        <v>114</v>
      </c>
      <c r="L477" s="44" t="s">
        <v>111</v>
      </c>
      <c r="M477" s="44" t="s">
        <v>1779</v>
      </c>
      <c r="N477" t="s">
        <v>1780</v>
      </c>
      <c r="O477" t="s">
        <v>1781</v>
      </c>
      <c r="P477" t="s">
        <v>1782</v>
      </c>
      <c r="Q477" s="44" t="s">
        <v>1779</v>
      </c>
      <c r="R477" s="11">
        <v>46136</v>
      </c>
      <c r="S477" s="11">
        <v>46136</v>
      </c>
      <c r="T477" s="11">
        <v>46136</v>
      </c>
      <c r="V477" t="s">
        <v>114</v>
      </c>
      <c r="W477" t="s">
        <v>114</v>
      </c>
      <c r="X477" t="s">
        <v>114</v>
      </c>
      <c r="Y477" t="s">
        <v>114</v>
      </c>
      <c r="Z477" t="s">
        <v>114</v>
      </c>
      <c r="AA477" t="s">
        <v>114</v>
      </c>
      <c r="AB477" t="s">
        <v>114</v>
      </c>
      <c r="AE477" t="s">
        <v>114</v>
      </c>
      <c r="AF477" t="s">
        <v>114</v>
      </c>
      <c r="AG477" t="s">
        <v>132</v>
      </c>
      <c r="AH477" t="s">
        <v>132</v>
      </c>
      <c r="AI477" t="s">
        <v>132</v>
      </c>
      <c r="AJ477" t="s">
        <v>132</v>
      </c>
      <c r="AK477" t="s">
        <v>142</v>
      </c>
      <c r="AM477" t="s">
        <v>142</v>
      </c>
      <c r="AN477" t="s">
        <v>142</v>
      </c>
      <c r="AP477" t="s">
        <v>132</v>
      </c>
      <c r="AQ477" t="s">
        <v>132</v>
      </c>
      <c r="AR477" t="s">
        <v>1783</v>
      </c>
      <c r="AS477" s="11">
        <v>46141</v>
      </c>
      <c r="AU477" t="s">
        <v>114</v>
      </c>
      <c r="AV477" t="s">
        <v>134</v>
      </c>
      <c r="AW477" t="s">
        <v>152</v>
      </c>
      <c r="AY477" t="s">
        <v>135</v>
      </c>
      <c r="BB477" s="44" t="s">
        <v>114</v>
      </c>
      <c r="BC477" s="11">
        <v>46140</v>
      </c>
      <c r="BD477" t="s">
        <v>116</v>
      </c>
      <c r="BE477">
        <v>670411958</v>
      </c>
      <c r="BF477" t="s">
        <v>1780</v>
      </c>
      <c r="BG477" t="s">
        <v>449</v>
      </c>
      <c r="BI477" s="11">
        <v>46145</v>
      </c>
      <c r="BJ477" t="str">
        <f t="shared" si="103"/>
        <v>S18_2026</v>
      </c>
      <c r="BK477" s="44" t="s">
        <v>117</v>
      </c>
      <c r="BL477" t="str">
        <f t="shared" si="95"/>
        <v>S18_2026</v>
      </c>
      <c r="BM477" s="44" t="s">
        <v>159</v>
      </c>
      <c r="BN477" s="11">
        <v>46145</v>
      </c>
      <c r="BO477" s="36" t="str">
        <f t="shared" si="94"/>
        <v>S18_2026</v>
      </c>
      <c r="BP477" t="s">
        <v>114</v>
      </c>
      <c r="BQ477" t="s">
        <v>450</v>
      </c>
      <c r="BR477" t="s">
        <v>451</v>
      </c>
      <c r="BS477" t="s">
        <v>132</v>
      </c>
      <c r="CI477" t="s">
        <v>119</v>
      </c>
      <c r="CK477" t="s">
        <v>138</v>
      </c>
      <c r="CP477" s="11">
        <v>46139</v>
      </c>
      <c r="CQ477" t="s">
        <v>132</v>
      </c>
      <c r="CR477">
        <f t="shared" si="97"/>
        <v>1</v>
      </c>
      <c r="CS477">
        <f t="shared" si="98"/>
        <v>4</v>
      </c>
      <c r="CT477">
        <f t="shared" si="92"/>
        <v>3</v>
      </c>
      <c r="CV477">
        <f t="shared" si="100"/>
        <v>9</v>
      </c>
      <c r="CW477" t="s">
        <v>132</v>
      </c>
      <c r="CX477" s="11">
        <v>46136</v>
      </c>
      <c r="CY477" t="str">
        <f t="shared" si="102"/>
        <v>S17_2026</v>
      </c>
      <c r="CZ477" t="s">
        <v>132</v>
      </c>
      <c r="DB477" t="s">
        <v>132</v>
      </c>
      <c r="DC477" t="s">
        <v>139</v>
      </c>
    </row>
    <row r="478" spans="1:107" x14ac:dyDescent="0.35">
      <c r="A478" s="36" t="s">
        <v>1784</v>
      </c>
      <c r="B478" s="10" t="str">
        <f t="shared" si="101"/>
        <v>S18_2026</v>
      </c>
      <c r="C478" s="10" t="str">
        <f t="shared" si="96"/>
        <v>S17_2026</v>
      </c>
      <c r="D478" s="11">
        <v>46145</v>
      </c>
      <c r="E478" s="44" t="s">
        <v>123</v>
      </c>
      <c r="F478" s="24">
        <v>6</v>
      </c>
      <c r="G478" t="s">
        <v>107</v>
      </c>
      <c r="H478" t="s">
        <v>108</v>
      </c>
      <c r="J478" t="s">
        <v>114</v>
      </c>
      <c r="L478" s="44" t="s">
        <v>111</v>
      </c>
      <c r="M478" s="44" t="s">
        <v>1779</v>
      </c>
      <c r="N478" t="s">
        <v>1780</v>
      </c>
      <c r="O478" t="s">
        <v>1781</v>
      </c>
      <c r="P478" t="s">
        <v>1782</v>
      </c>
      <c r="Q478" s="44" t="s">
        <v>1779</v>
      </c>
      <c r="R478" s="11">
        <v>46137</v>
      </c>
      <c r="S478" s="11">
        <v>46137</v>
      </c>
      <c r="T478" s="11">
        <v>46137</v>
      </c>
      <c r="V478" t="s">
        <v>114</v>
      </c>
      <c r="W478" t="s">
        <v>114</v>
      </c>
      <c r="X478" t="s">
        <v>114</v>
      </c>
      <c r="Y478" t="s">
        <v>114</v>
      </c>
      <c r="Z478" t="s">
        <v>114</v>
      </c>
      <c r="AA478" t="s">
        <v>114</v>
      </c>
      <c r="AB478" t="s">
        <v>114</v>
      </c>
      <c r="AE478" t="s">
        <v>114</v>
      </c>
      <c r="AF478" t="s">
        <v>114</v>
      </c>
      <c r="AG478" t="s">
        <v>114</v>
      </c>
      <c r="AH478" t="s">
        <v>132</v>
      </c>
      <c r="AI478" t="s">
        <v>132</v>
      </c>
      <c r="AJ478" t="s">
        <v>132</v>
      </c>
      <c r="AK478" t="s">
        <v>142</v>
      </c>
      <c r="AM478" t="s">
        <v>142</v>
      </c>
      <c r="AN478" t="s">
        <v>142</v>
      </c>
      <c r="AP478" t="s">
        <v>132</v>
      </c>
      <c r="AQ478" t="s">
        <v>132</v>
      </c>
      <c r="AR478" t="s">
        <v>1785</v>
      </c>
      <c r="AS478" s="11">
        <v>46141</v>
      </c>
      <c r="AU478" t="s">
        <v>114</v>
      </c>
      <c r="AV478" t="s">
        <v>115</v>
      </c>
      <c r="BB478" s="44" t="s">
        <v>114</v>
      </c>
      <c r="BC478" s="11">
        <v>46140</v>
      </c>
      <c r="BD478" t="s">
        <v>116</v>
      </c>
      <c r="BE478">
        <v>670411958</v>
      </c>
      <c r="BF478" t="s">
        <v>1780</v>
      </c>
      <c r="BG478" t="s">
        <v>449</v>
      </c>
      <c r="BI478" s="11">
        <v>46145</v>
      </c>
      <c r="BJ478" t="str">
        <f t="shared" si="103"/>
        <v>S18_2026</v>
      </c>
      <c r="BK478" s="44" t="s">
        <v>117</v>
      </c>
      <c r="BL478" t="str">
        <f t="shared" si="95"/>
        <v>S18_2026</v>
      </c>
      <c r="BM478" s="44" t="s">
        <v>159</v>
      </c>
      <c r="BN478" s="11">
        <v>46145</v>
      </c>
      <c r="BO478" s="36" t="str">
        <f t="shared" si="94"/>
        <v>S18_2026</v>
      </c>
      <c r="BP478" t="s">
        <v>114</v>
      </c>
      <c r="BQ478" t="s">
        <v>450</v>
      </c>
      <c r="BR478" t="s">
        <v>451</v>
      </c>
      <c r="BS478" t="s">
        <v>132</v>
      </c>
      <c r="CI478" t="s">
        <v>119</v>
      </c>
      <c r="CP478" s="11">
        <v>46139</v>
      </c>
      <c r="CQ478" t="s">
        <v>132</v>
      </c>
      <c r="CR478">
        <f t="shared" si="97"/>
        <v>1</v>
      </c>
      <c r="CS478">
        <f t="shared" si="98"/>
        <v>4</v>
      </c>
      <c r="CT478">
        <f t="shared" ref="CT478:CT485" si="104">CP478-CX478</f>
        <v>2</v>
      </c>
      <c r="CV478" t="str">
        <f t="shared" si="100"/>
        <v/>
      </c>
      <c r="CW478" t="s">
        <v>132</v>
      </c>
      <c r="CX478" s="11">
        <v>46137</v>
      </c>
      <c r="CY478" t="str">
        <f t="shared" si="102"/>
        <v>S17_2026</v>
      </c>
      <c r="CZ478" t="s">
        <v>114</v>
      </c>
      <c r="DA478" t="s">
        <v>1786</v>
      </c>
      <c r="DB478" t="s">
        <v>132</v>
      </c>
      <c r="DC478" t="s">
        <v>986</v>
      </c>
    </row>
    <row r="479" spans="1:107" x14ac:dyDescent="0.35">
      <c r="A479" s="36" t="s">
        <v>1787</v>
      </c>
      <c r="B479" s="10" t="str">
        <f t="shared" si="101"/>
        <v>S18_2026</v>
      </c>
      <c r="C479" s="10" t="str">
        <f t="shared" si="96"/>
        <v>S17_2026</v>
      </c>
      <c r="D479" s="11">
        <v>46145</v>
      </c>
      <c r="E479" s="44" t="s">
        <v>123</v>
      </c>
      <c r="F479" s="24">
        <v>7</v>
      </c>
      <c r="G479" t="s">
        <v>107</v>
      </c>
      <c r="H479" t="s">
        <v>108</v>
      </c>
      <c r="J479" t="s">
        <v>114</v>
      </c>
      <c r="L479" s="44" t="s">
        <v>111</v>
      </c>
      <c r="M479" s="44" t="s">
        <v>1779</v>
      </c>
      <c r="N479" t="s">
        <v>1780</v>
      </c>
      <c r="O479" t="s">
        <v>1781</v>
      </c>
      <c r="P479" t="s">
        <v>1782</v>
      </c>
      <c r="Q479" s="44" t="s">
        <v>1779</v>
      </c>
      <c r="R479" s="11">
        <v>46137</v>
      </c>
      <c r="S479" s="11">
        <v>46137</v>
      </c>
      <c r="T479" s="11">
        <v>46137</v>
      </c>
      <c r="V479" t="s">
        <v>114</v>
      </c>
      <c r="W479" t="s">
        <v>114</v>
      </c>
      <c r="X479" t="s">
        <v>114</v>
      </c>
      <c r="Y479" t="s">
        <v>114</v>
      </c>
      <c r="Z479" t="s">
        <v>114</v>
      </c>
      <c r="AA479" t="s">
        <v>114</v>
      </c>
      <c r="AB479" t="s">
        <v>114</v>
      </c>
      <c r="AE479" t="s">
        <v>114</v>
      </c>
      <c r="AF479" t="s">
        <v>114</v>
      </c>
      <c r="AG479" t="s">
        <v>114</v>
      </c>
      <c r="AH479" t="s">
        <v>132</v>
      </c>
      <c r="AI479" t="s">
        <v>132</v>
      </c>
      <c r="AJ479" t="s">
        <v>132</v>
      </c>
      <c r="AK479" t="s">
        <v>142</v>
      </c>
      <c r="AM479" t="s">
        <v>142</v>
      </c>
      <c r="AN479" t="s">
        <v>142</v>
      </c>
      <c r="AP479" t="s">
        <v>132</v>
      </c>
      <c r="AQ479" t="s">
        <v>142</v>
      </c>
      <c r="AR479" t="s">
        <v>1788</v>
      </c>
      <c r="AS479" s="11">
        <v>46141</v>
      </c>
      <c r="AU479" t="s">
        <v>114</v>
      </c>
      <c r="AV479" t="s">
        <v>115</v>
      </c>
      <c r="BB479" s="44" t="s">
        <v>114</v>
      </c>
      <c r="BC479" s="11">
        <v>46140</v>
      </c>
      <c r="BD479" t="s">
        <v>116</v>
      </c>
      <c r="BE479">
        <v>670411958</v>
      </c>
      <c r="BF479" t="s">
        <v>1780</v>
      </c>
      <c r="BG479" t="s">
        <v>449</v>
      </c>
      <c r="BI479" s="11">
        <v>46145</v>
      </c>
      <c r="BJ479" t="str">
        <f t="shared" si="103"/>
        <v>S18_2026</v>
      </c>
      <c r="BK479" s="44" t="s">
        <v>117</v>
      </c>
      <c r="BL479" t="str">
        <f t="shared" si="95"/>
        <v>S18_2026</v>
      </c>
      <c r="BM479" s="44" t="s">
        <v>159</v>
      </c>
      <c r="BN479" s="11">
        <v>46145</v>
      </c>
      <c r="BO479" s="36" t="str">
        <f t="shared" si="94"/>
        <v>S18_2026</v>
      </c>
      <c r="BP479" t="s">
        <v>114</v>
      </c>
      <c r="BQ479" t="s">
        <v>450</v>
      </c>
      <c r="BR479" t="s">
        <v>451</v>
      </c>
      <c r="BS479" t="s">
        <v>132</v>
      </c>
      <c r="CI479" t="s">
        <v>119</v>
      </c>
      <c r="CP479" s="11">
        <v>46139</v>
      </c>
      <c r="CQ479" t="s">
        <v>132</v>
      </c>
      <c r="CR479">
        <f t="shared" si="97"/>
        <v>1</v>
      </c>
      <c r="CS479">
        <f t="shared" si="98"/>
        <v>4</v>
      </c>
      <c r="CT479">
        <f t="shared" si="104"/>
        <v>2</v>
      </c>
      <c r="CV479" t="str">
        <f t="shared" si="100"/>
        <v/>
      </c>
      <c r="CW479" t="s">
        <v>132</v>
      </c>
      <c r="CX479" s="11">
        <v>46137</v>
      </c>
      <c r="CY479" t="str">
        <f t="shared" si="102"/>
        <v>S17_2026</v>
      </c>
      <c r="CZ479" t="s">
        <v>114</v>
      </c>
      <c r="DA479" t="s">
        <v>1786</v>
      </c>
      <c r="DB479" t="s">
        <v>132</v>
      </c>
      <c r="DC479" t="s">
        <v>986</v>
      </c>
    </row>
    <row r="480" spans="1:107" x14ac:dyDescent="0.35">
      <c r="A480" s="36" t="s">
        <v>1789</v>
      </c>
      <c r="B480" s="10" t="str">
        <f t="shared" si="101"/>
        <v>S19_2026</v>
      </c>
      <c r="C480" s="10" t="str">
        <f t="shared" si="96"/>
        <v>S18_2026</v>
      </c>
      <c r="D480" s="11">
        <v>46146</v>
      </c>
      <c r="E480" s="44" t="s">
        <v>106</v>
      </c>
      <c r="F480" s="24">
        <v>2</v>
      </c>
      <c r="G480" t="s">
        <v>141</v>
      </c>
      <c r="H480" t="s">
        <v>108</v>
      </c>
      <c r="J480" t="s">
        <v>142</v>
      </c>
      <c r="L480" s="44" t="s">
        <v>111</v>
      </c>
      <c r="M480" s="44" t="s">
        <v>1779</v>
      </c>
      <c r="N480" t="s">
        <v>1780</v>
      </c>
      <c r="P480" t="s">
        <v>1782</v>
      </c>
      <c r="Q480" s="44" t="s">
        <v>1779</v>
      </c>
      <c r="R480" s="11">
        <v>46139</v>
      </c>
      <c r="S480" s="11">
        <v>46139</v>
      </c>
      <c r="T480" s="11">
        <v>46139</v>
      </c>
      <c r="V480" t="s">
        <v>114</v>
      </c>
      <c r="W480" t="s">
        <v>114</v>
      </c>
      <c r="X480" t="s">
        <v>114</v>
      </c>
      <c r="Y480" t="s">
        <v>114</v>
      </c>
      <c r="Z480" t="s">
        <v>114</v>
      </c>
      <c r="AA480" t="s">
        <v>114</v>
      </c>
      <c r="AB480" t="s">
        <v>114</v>
      </c>
      <c r="AE480" t="s">
        <v>114</v>
      </c>
      <c r="AF480" t="s">
        <v>114</v>
      </c>
      <c r="AG480" t="s">
        <v>114</v>
      </c>
      <c r="AH480" t="s">
        <v>132</v>
      </c>
      <c r="AI480" t="s">
        <v>132</v>
      </c>
      <c r="AJ480" t="s">
        <v>132</v>
      </c>
      <c r="AK480" t="s">
        <v>142</v>
      </c>
      <c r="AM480" t="s">
        <v>142</v>
      </c>
      <c r="AN480" t="s">
        <v>142</v>
      </c>
      <c r="AP480" t="s">
        <v>132</v>
      </c>
      <c r="AQ480" t="s">
        <v>132</v>
      </c>
      <c r="BB480" s="44" t="s">
        <v>114</v>
      </c>
      <c r="BC480" s="11">
        <v>46142</v>
      </c>
      <c r="BD480" t="s">
        <v>116</v>
      </c>
      <c r="BE480">
        <v>652824425</v>
      </c>
      <c r="BF480" t="s">
        <v>1780</v>
      </c>
      <c r="BJ480" t="str">
        <f t="shared" si="103"/>
        <v/>
      </c>
      <c r="BK480" s="44" t="s">
        <v>117</v>
      </c>
      <c r="BL480" t="str">
        <f t="shared" si="95"/>
        <v>S18_2026</v>
      </c>
      <c r="BM480" s="44" t="s">
        <v>159</v>
      </c>
      <c r="BO480" s="36" t="str">
        <f t="shared" si="94"/>
        <v/>
      </c>
      <c r="BR480" t="s">
        <v>451</v>
      </c>
      <c r="BS480" t="s">
        <v>132</v>
      </c>
      <c r="CI480" t="s">
        <v>119</v>
      </c>
      <c r="CP480" s="11">
        <v>46142</v>
      </c>
      <c r="CR480" t="str">
        <f t="shared" si="97"/>
        <v/>
      </c>
      <c r="CS480" t="str">
        <f t="shared" si="98"/>
        <v/>
      </c>
      <c r="CT480">
        <f t="shared" si="104"/>
        <v>3</v>
      </c>
      <c r="CV480" t="str">
        <f t="shared" si="100"/>
        <v/>
      </c>
      <c r="CX480" s="11">
        <v>46139</v>
      </c>
      <c r="CY480" t="str">
        <f t="shared" si="102"/>
        <v>S18_2026</v>
      </c>
      <c r="DC480" t="s">
        <v>1293</v>
      </c>
    </row>
    <row r="481" spans="1:107" x14ac:dyDescent="0.35">
      <c r="A481" t="s">
        <v>1790</v>
      </c>
      <c r="B481" s="10" t="str">
        <f t="shared" si="101"/>
        <v>S18_2026</v>
      </c>
      <c r="C481" s="10" t="str">
        <f t="shared" si="96"/>
        <v>S17_2026</v>
      </c>
      <c r="D481" s="11">
        <v>46140</v>
      </c>
      <c r="E481" t="s">
        <v>123</v>
      </c>
      <c r="F481" s="24">
        <v>11</v>
      </c>
      <c r="G481" t="s">
        <v>107</v>
      </c>
      <c r="H481" t="s">
        <v>835</v>
      </c>
      <c r="J481" t="s">
        <v>132</v>
      </c>
      <c r="L481" t="s">
        <v>126</v>
      </c>
      <c r="M481" t="s">
        <v>977</v>
      </c>
      <c r="N481" t="s">
        <v>1364</v>
      </c>
      <c r="O481" t="s">
        <v>971</v>
      </c>
      <c r="P481" t="s">
        <v>1698</v>
      </c>
      <c r="Q481" t="s">
        <v>357</v>
      </c>
      <c r="R481" s="11">
        <v>46132</v>
      </c>
      <c r="S481" s="11">
        <v>46132</v>
      </c>
      <c r="T481" s="11">
        <v>46136</v>
      </c>
      <c r="V481" t="s">
        <v>114</v>
      </c>
      <c r="W481" t="s">
        <v>114</v>
      </c>
      <c r="X481" t="s">
        <v>114</v>
      </c>
      <c r="Y481" t="s">
        <v>114</v>
      </c>
      <c r="Z481" t="s">
        <v>114</v>
      </c>
      <c r="AA481" t="s">
        <v>114</v>
      </c>
      <c r="AB481" t="s">
        <v>114</v>
      </c>
      <c r="AE481" t="s">
        <v>114</v>
      </c>
      <c r="AF481" t="s">
        <v>132</v>
      </c>
      <c r="AG481" t="s">
        <v>132</v>
      </c>
      <c r="AH481" t="s">
        <v>132</v>
      </c>
      <c r="AI481" t="s">
        <v>132</v>
      </c>
      <c r="AJ481" t="s">
        <v>132</v>
      </c>
      <c r="AK481" t="s">
        <v>132</v>
      </c>
      <c r="AM481" t="s">
        <v>114</v>
      </c>
      <c r="AN481" t="s">
        <v>132</v>
      </c>
      <c r="AP481" t="s">
        <v>132</v>
      </c>
      <c r="AQ481" t="s">
        <v>132</v>
      </c>
      <c r="AS481" s="11">
        <v>46139</v>
      </c>
      <c r="AV481" t="s">
        <v>115</v>
      </c>
      <c r="BB481" t="s">
        <v>114</v>
      </c>
      <c r="BC481" s="11">
        <v>46139</v>
      </c>
      <c r="BD481" t="s">
        <v>1471</v>
      </c>
      <c r="BF481" t="s">
        <v>1686</v>
      </c>
      <c r="BI481" s="11"/>
      <c r="BJ481" t="str">
        <f t="shared" si="103"/>
        <v/>
      </c>
      <c r="BK481" t="s">
        <v>137</v>
      </c>
      <c r="BL481" t="str">
        <f t="shared" si="95"/>
        <v>S18_2026</v>
      </c>
      <c r="BM481" s="44" t="s">
        <v>159</v>
      </c>
      <c r="BN481" s="11">
        <v>46139</v>
      </c>
      <c r="BO481" s="36" t="str">
        <f t="shared" si="94"/>
        <v>S18_2026</v>
      </c>
      <c r="BP481" t="s">
        <v>114</v>
      </c>
      <c r="BQ481" t="s">
        <v>971</v>
      </c>
      <c r="BR481" t="s">
        <v>451</v>
      </c>
      <c r="BS481" t="s">
        <v>132</v>
      </c>
      <c r="CI481" t="s">
        <v>119</v>
      </c>
      <c r="CP481" s="11">
        <v>46139</v>
      </c>
      <c r="CR481">
        <f t="shared" si="97"/>
        <v>0</v>
      </c>
      <c r="CS481">
        <f t="shared" si="98"/>
        <v>0</v>
      </c>
      <c r="CT481">
        <f t="shared" si="104"/>
        <v>7</v>
      </c>
      <c r="CU481" t="str">
        <f t="shared" si="99"/>
        <v/>
      </c>
      <c r="CV481" t="str">
        <f t="shared" si="100"/>
        <v/>
      </c>
      <c r="CX481" s="11">
        <v>46132</v>
      </c>
      <c r="CY481" t="str">
        <f t="shared" si="102"/>
        <v>S17_2026</v>
      </c>
      <c r="DC481" t="s">
        <v>120</v>
      </c>
    </row>
    <row r="482" spans="1:107" x14ac:dyDescent="0.35">
      <c r="A482" t="s">
        <v>1791</v>
      </c>
      <c r="B482" s="10" t="str">
        <f t="shared" si="101"/>
        <v>S19_2026</v>
      </c>
      <c r="C482" s="10" t="str">
        <f t="shared" si="96"/>
        <v>S17_2026</v>
      </c>
      <c r="D482" s="11">
        <v>46146</v>
      </c>
      <c r="E482" t="s">
        <v>123</v>
      </c>
      <c r="F482" s="24">
        <v>45</v>
      </c>
      <c r="G482" t="s">
        <v>429</v>
      </c>
      <c r="H482" t="s">
        <v>835</v>
      </c>
      <c r="J482" t="s">
        <v>114</v>
      </c>
      <c r="K482" s="11">
        <v>46139</v>
      </c>
      <c r="L482" t="s">
        <v>126</v>
      </c>
      <c r="M482" t="s">
        <v>977</v>
      </c>
      <c r="N482" t="s">
        <v>1364</v>
      </c>
      <c r="O482" t="s">
        <v>971</v>
      </c>
      <c r="P482" t="s">
        <v>1559</v>
      </c>
      <c r="Q482" t="s">
        <v>853</v>
      </c>
      <c r="R482" s="11">
        <v>46134</v>
      </c>
      <c r="S482" s="11">
        <v>46134</v>
      </c>
      <c r="T482" s="11">
        <v>46137</v>
      </c>
      <c r="V482" t="s">
        <v>114</v>
      </c>
      <c r="W482" t="s">
        <v>114</v>
      </c>
      <c r="X482" t="s">
        <v>114</v>
      </c>
      <c r="Y482" t="s">
        <v>114</v>
      </c>
      <c r="Z482" t="s">
        <v>114</v>
      </c>
      <c r="AA482" t="s">
        <v>114</v>
      </c>
      <c r="AB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132</v>
      </c>
      <c r="AJ482" t="s">
        <v>132</v>
      </c>
      <c r="AK482" t="s">
        <v>132</v>
      </c>
      <c r="AM482" t="s">
        <v>132</v>
      </c>
      <c r="AN482" t="s">
        <v>114</v>
      </c>
      <c r="AP482" t="s">
        <v>132</v>
      </c>
      <c r="AQ482" t="s">
        <v>132</v>
      </c>
      <c r="AS482" s="11">
        <v>46139</v>
      </c>
      <c r="AV482" t="s">
        <v>134</v>
      </c>
      <c r="AW482" t="s">
        <v>152</v>
      </c>
      <c r="AY482" t="s">
        <v>452</v>
      </c>
      <c r="BB482" t="s">
        <v>114</v>
      </c>
      <c r="BC482" s="11">
        <v>46139</v>
      </c>
      <c r="BD482" t="s">
        <v>1471</v>
      </c>
      <c r="BF482" t="s">
        <v>1559</v>
      </c>
      <c r="BI482" s="11">
        <v>46146</v>
      </c>
      <c r="BJ482" t="str">
        <f t="shared" si="103"/>
        <v>S19_2026</v>
      </c>
      <c r="BK482" t="s">
        <v>137</v>
      </c>
      <c r="BL482" t="str">
        <f t="shared" si="95"/>
        <v>S18_2026</v>
      </c>
      <c r="BM482" s="44" t="s">
        <v>159</v>
      </c>
      <c r="BN482" s="11">
        <v>46146</v>
      </c>
      <c r="BO482" s="36" t="str">
        <f t="shared" si="94"/>
        <v>S19_2026</v>
      </c>
      <c r="BP482" t="s">
        <v>114</v>
      </c>
      <c r="BQ482" t="s">
        <v>971</v>
      </c>
      <c r="BR482" t="s">
        <v>451</v>
      </c>
      <c r="BS482" t="s">
        <v>132</v>
      </c>
      <c r="CI482" t="s">
        <v>119</v>
      </c>
      <c r="CK482" t="s">
        <v>138</v>
      </c>
      <c r="CP482" s="11">
        <v>46139</v>
      </c>
      <c r="CR482">
        <f t="shared" si="97"/>
        <v>0</v>
      </c>
      <c r="CS482">
        <f t="shared" si="98"/>
        <v>7</v>
      </c>
      <c r="CT482">
        <f t="shared" si="104"/>
        <v>5</v>
      </c>
      <c r="CU482">
        <f t="shared" si="99"/>
        <v>0</v>
      </c>
      <c r="CV482">
        <f t="shared" si="100"/>
        <v>12</v>
      </c>
      <c r="CX482" s="11">
        <v>46134</v>
      </c>
      <c r="CY482" t="str">
        <f t="shared" si="102"/>
        <v>S17_2026</v>
      </c>
      <c r="DC482" t="s">
        <v>139</v>
      </c>
    </row>
    <row r="483" spans="1:107" x14ac:dyDescent="0.35">
      <c r="A483" t="s">
        <v>1792</v>
      </c>
      <c r="B483" s="10" t="str">
        <f t="shared" si="101"/>
        <v>S19_2026</v>
      </c>
      <c r="C483" s="10" t="str">
        <f t="shared" si="96"/>
        <v>S17_2026</v>
      </c>
      <c r="D483" s="11">
        <v>46146</v>
      </c>
      <c r="E483" t="s">
        <v>106</v>
      </c>
      <c r="F483" s="24">
        <v>26</v>
      </c>
      <c r="G483" t="s">
        <v>1793</v>
      </c>
      <c r="H483" t="s">
        <v>835</v>
      </c>
      <c r="J483" t="s">
        <v>114</v>
      </c>
      <c r="K483" s="11">
        <v>46141</v>
      </c>
      <c r="L483" t="s">
        <v>126</v>
      </c>
      <c r="M483" t="s">
        <v>977</v>
      </c>
      <c r="N483" t="s">
        <v>1364</v>
      </c>
      <c r="O483" t="s">
        <v>971</v>
      </c>
      <c r="P483" t="s">
        <v>1794</v>
      </c>
      <c r="Q483" t="s">
        <v>215</v>
      </c>
      <c r="R483" s="11">
        <v>46134</v>
      </c>
      <c r="S483" s="11">
        <v>46134</v>
      </c>
      <c r="T483" s="11">
        <v>46137</v>
      </c>
      <c r="V483" t="s">
        <v>114</v>
      </c>
      <c r="W483" t="s">
        <v>114</v>
      </c>
      <c r="X483" t="s">
        <v>114</v>
      </c>
      <c r="Y483" t="s">
        <v>114</v>
      </c>
      <c r="Z483" t="s">
        <v>114</v>
      </c>
      <c r="AA483" t="s">
        <v>114</v>
      </c>
      <c r="AB483" t="s">
        <v>114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132</v>
      </c>
      <c r="AJ483" t="s">
        <v>132</v>
      </c>
      <c r="AK483" t="s">
        <v>132</v>
      </c>
      <c r="AM483" t="s">
        <v>114</v>
      </c>
      <c r="AN483" t="s">
        <v>132</v>
      </c>
      <c r="AP483" t="s">
        <v>132</v>
      </c>
      <c r="AQ483" t="s">
        <v>132</v>
      </c>
      <c r="AS483" s="11">
        <v>46147</v>
      </c>
      <c r="AU483" t="s">
        <v>114</v>
      </c>
      <c r="AV483" t="s">
        <v>115</v>
      </c>
      <c r="BB483" t="s">
        <v>114</v>
      </c>
      <c r="BC483" s="11">
        <v>46135</v>
      </c>
      <c r="BD483" t="s">
        <v>1471</v>
      </c>
      <c r="BF483" t="s">
        <v>340</v>
      </c>
      <c r="BG483" t="s">
        <v>449</v>
      </c>
      <c r="BJ483" t="str">
        <f t="shared" si="103"/>
        <v/>
      </c>
      <c r="BK483" t="s">
        <v>137</v>
      </c>
      <c r="BL483" t="str">
        <f t="shared" si="95"/>
        <v>S17_2026</v>
      </c>
      <c r="BM483" s="44" t="s">
        <v>159</v>
      </c>
      <c r="BN483" s="11">
        <v>46147</v>
      </c>
      <c r="BO483" s="36" t="str">
        <f t="shared" si="94"/>
        <v>S19_2026</v>
      </c>
      <c r="BP483" t="s">
        <v>114</v>
      </c>
      <c r="BQ483" t="s">
        <v>971</v>
      </c>
      <c r="BR483" t="s">
        <v>451</v>
      </c>
      <c r="BS483" t="s">
        <v>132</v>
      </c>
      <c r="CI483" t="s">
        <v>119</v>
      </c>
      <c r="CP483" s="11">
        <v>46141</v>
      </c>
      <c r="CR483">
        <f t="shared" si="97"/>
        <v>12</v>
      </c>
      <c r="CS483">
        <f t="shared" si="98"/>
        <v>0</v>
      </c>
      <c r="CT483">
        <f t="shared" si="104"/>
        <v>7</v>
      </c>
      <c r="CU483">
        <f t="shared" si="99"/>
        <v>0</v>
      </c>
      <c r="CV483" t="str">
        <f t="shared" si="100"/>
        <v/>
      </c>
      <c r="CX483" s="11">
        <v>46134</v>
      </c>
      <c r="CY483" t="str">
        <f t="shared" si="102"/>
        <v>S17_2026</v>
      </c>
      <c r="CZ483" t="s">
        <v>132</v>
      </c>
      <c r="DB483" t="s">
        <v>132</v>
      </c>
      <c r="DC483" t="s">
        <v>120</v>
      </c>
    </row>
    <row r="484" spans="1:107" x14ac:dyDescent="0.35">
      <c r="A484" t="s">
        <v>1795</v>
      </c>
      <c r="B484" s="10" t="str">
        <f t="shared" si="101"/>
        <v>S19_2026</v>
      </c>
      <c r="C484" s="10" t="str">
        <f t="shared" si="96"/>
        <v>S18_2026</v>
      </c>
      <c r="D484" s="11">
        <v>46146</v>
      </c>
      <c r="E484" t="s">
        <v>123</v>
      </c>
      <c r="F484" s="24">
        <v>20</v>
      </c>
      <c r="G484" t="s">
        <v>1796</v>
      </c>
      <c r="H484" t="s">
        <v>835</v>
      </c>
      <c r="J484" t="s">
        <v>114</v>
      </c>
      <c r="K484" s="11">
        <v>46145</v>
      </c>
      <c r="L484" t="s">
        <v>126</v>
      </c>
      <c r="M484" t="s">
        <v>1625</v>
      </c>
      <c r="N484" t="s">
        <v>1797</v>
      </c>
      <c r="O484" t="s">
        <v>1798</v>
      </c>
      <c r="P484" t="s">
        <v>1799</v>
      </c>
      <c r="Q484" t="s">
        <v>853</v>
      </c>
      <c r="R484" s="11">
        <v>46139</v>
      </c>
      <c r="S484" s="11">
        <v>46141</v>
      </c>
      <c r="T484" s="11">
        <v>46169</v>
      </c>
      <c r="V484" t="s">
        <v>114</v>
      </c>
      <c r="W484" t="s">
        <v>114</v>
      </c>
      <c r="X484" t="s">
        <v>114</v>
      </c>
      <c r="Y484" t="s">
        <v>114</v>
      </c>
      <c r="Z484" t="s">
        <v>114</v>
      </c>
      <c r="AA484" t="s">
        <v>114</v>
      </c>
      <c r="AB484" t="s">
        <v>114</v>
      </c>
      <c r="AC484" t="s">
        <v>1238</v>
      </c>
      <c r="AE484" t="s">
        <v>114</v>
      </c>
      <c r="AF484" t="s">
        <v>114</v>
      </c>
      <c r="AG484" t="s">
        <v>114</v>
      </c>
      <c r="AH484" t="s">
        <v>132</v>
      </c>
      <c r="AI484" t="s">
        <v>132</v>
      </c>
      <c r="AJ484" t="s">
        <v>132</v>
      </c>
      <c r="AK484" t="s">
        <v>132</v>
      </c>
      <c r="AM484" t="s">
        <v>132</v>
      </c>
      <c r="AN484" t="s">
        <v>132</v>
      </c>
      <c r="AP484" t="s">
        <v>114</v>
      </c>
      <c r="AQ484" t="s">
        <v>132</v>
      </c>
      <c r="AS484" s="11">
        <v>46146</v>
      </c>
      <c r="AU484" t="s">
        <v>114</v>
      </c>
      <c r="AV484" t="s">
        <v>134</v>
      </c>
      <c r="AW484" t="s">
        <v>152</v>
      </c>
      <c r="AY484" t="s">
        <v>135</v>
      </c>
      <c r="BB484" t="s">
        <v>114</v>
      </c>
      <c r="BC484" s="11">
        <v>46146</v>
      </c>
      <c r="BD484" t="s">
        <v>1471</v>
      </c>
      <c r="BF484" t="s">
        <v>1797</v>
      </c>
      <c r="BG484" t="s">
        <v>449</v>
      </c>
      <c r="BI484" s="11">
        <v>46147</v>
      </c>
      <c r="BJ484" t="str">
        <f t="shared" si="103"/>
        <v>S19_2026</v>
      </c>
      <c r="BK484" t="s">
        <v>137</v>
      </c>
      <c r="BL484" t="str">
        <f t="shared" si="95"/>
        <v>S19_2026</v>
      </c>
      <c r="BM484" s="44" t="s">
        <v>159</v>
      </c>
      <c r="BN484" s="11">
        <v>46147</v>
      </c>
      <c r="BO484" s="36" t="str">
        <f t="shared" si="94"/>
        <v>S19_2026</v>
      </c>
      <c r="BP484" t="s">
        <v>114</v>
      </c>
      <c r="BQ484" t="s">
        <v>971</v>
      </c>
      <c r="BR484" t="s">
        <v>451</v>
      </c>
      <c r="BS484" t="s">
        <v>132</v>
      </c>
      <c r="CI484" t="s">
        <v>119</v>
      </c>
      <c r="CK484" t="s">
        <v>138</v>
      </c>
      <c r="CP484" s="11">
        <v>46145</v>
      </c>
      <c r="CQ484" t="s">
        <v>132</v>
      </c>
      <c r="CR484">
        <f t="shared" si="97"/>
        <v>0</v>
      </c>
      <c r="CS484">
        <f t="shared" si="98"/>
        <v>1</v>
      </c>
      <c r="CT484">
        <f t="shared" si="104"/>
        <v>6</v>
      </c>
      <c r="CU484">
        <f t="shared" si="99"/>
        <v>0</v>
      </c>
      <c r="CV484">
        <f t="shared" si="100"/>
        <v>8</v>
      </c>
      <c r="CW484" t="s">
        <v>132</v>
      </c>
      <c r="CX484" s="11">
        <v>46139</v>
      </c>
      <c r="CY484" t="str">
        <f t="shared" si="102"/>
        <v>S18_2026</v>
      </c>
      <c r="CZ484" t="s">
        <v>132</v>
      </c>
      <c r="DB484" t="s">
        <v>132</v>
      </c>
      <c r="DC484" t="s">
        <v>139</v>
      </c>
    </row>
    <row r="485" spans="1:107" x14ac:dyDescent="0.35">
      <c r="A485" t="s">
        <v>1800</v>
      </c>
      <c r="B485" s="10" t="str">
        <f t="shared" si="101"/>
        <v>S19_2026</v>
      </c>
      <c r="C485" s="10" t="str">
        <f t="shared" si="96"/>
        <v>S17_2026</v>
      </c>
      <c r="D485" s="11">
        <v>46146</v>
      </c>
      <c r="E485" t="s">
        <v>106</v>
      </c>
      <c r="F485" s="24">
        <v>57</v>
      </c>
      <c r="G485" t="s">
        <v>323</v>
      </c>
      <c r="H485" t="s">
        <v>835</v>
      </c>
      <c r="J485" t="s">
        <v>132</v>
      </c>
      <c r="L485" t="s">
        <v>126</v>
      </c>
      <c r="M485" t="s">
        <v>977</v>
      </c>
      <c r="N485" t="s">
        <v>1364</v>
      </c>
      <c r="O485" t="s">
        <v>971</v>
      </c>
      <c r="P485" t="s">
        <v>202</v>
      </c>
      <c r="Q485" t="s">
        <v>215</v>
      </c>
      <c r="R485" s="11">
        <v>46132</v>
      </c>
      <c r="T485" s="11">
        <v>46136</v>
      </c>
      <c r="V485" t="s">
        <v>114</v>
      </c>
      <c r="W485" t="s">
        <v>114</v>
      </c>
      <c r="X485" t="s">
        <v>114</v>
      </c>
      <c r="Y485" t="s">
        <v>114</v>
      </c>
      <c r="AE485" t="s">
        <v>114</v>
      </c>
      <c r="AF485" t="s">
        <v>114</v>
      </c>
      <c r="AG485" t="s">
        <v>132</v>
      </c>
      <c r="AH485" t="s">
        <v>132</v>
      </c>
      <c r="AI485" t="s">
        <v>132</v>
      </c>
      <c r="AJ485" t="s">
        <v>132</v>
      </c>
      <c r="AK485" t="s">
        <v>132</v>
      </c>
      <c r="AM485" t="s">
        <v>132</v>
      </c>
      <c r="AN485" t="s">
        <v>132</v>
      </c>
      <c r="AP485" t="s">
        <v>132</v>
      </c>
      <c r="AQ485" t="s">
        <v>132</v>
      </c>
      <c r="AU485" t="s">
        <v>114</v>
      </c>
      <c r="AV485" t="s">
        <v>115</v>
      </c>
      <c r="BB485" t="s">
        <v>114</v>
      </c>
      <c r="BC485" s="11">
        <v>46139</v>
      </c>
      <c r="BF485" t="s">
        <v>202</v>
      </c>
      <c r="BG485" t="s">
        <v>449</v>
      </c>
      <c r="BJ485" t="str">
        <f t="shared" si="103"/>
        <v/>
      </c>
      <c r="BK485" t="s">
        <v>137</v>
      </c>
      <c r="BL485" t="str">
        <f t="shared" si="95"/>
        <v>S18_2026</v>
      </c>
      <c r="BM485" s="44" t="s">
        <v>159</v>
      </c>
      <c r="BN485" s="11">
        <v>46147</v>
      </c>
      <c r="BO485" s="36" t="str">
        <f t="shared" si="94"/>
        <v>S19_2026</v>
      </c>
      <c r="BP485" t="s">
        <v>114</v>
      </c>
      <c r="BQ485" t="s">
        <v>971</v>
      </c>
      <c r="BR485" t="s">
        <v>451</v>
      </c>
      <c r="BS485" t="s">
        <v>132</v>
      </c>
      <c r="CI485" t="s">
        <v>119</v>
      </c>
      <c r="CP485" s="11">
        <v>46139</v>
      </c>
      <c r="CQ485" t="s">
        <v>132</v>
      </c>
      <c r="CR485">
        <f t="shared" si="97"/>
        <v>-46139</v>
      </c>
      <c r="CS485">
        <f t="shared" si="98"/>
        <v>46147</v>
      </c>
      <c r="CT485">
        <f t="shared" si="104"/>
        <v>7</v>
      </c>
      <c r="CU485" t="str">
        <f t="shared" si="99"/>
        <v/>
      </c>
      <c r="CV485" t="str">
        <f>IF(AV485="POSITIF",BI485-CX485,"")</f>
        <v/>
      </c>
      <c r="CW485" t="s">
        <v>132</v>
      </c>
      <c r="CX485" s="11">
        <v>46132</v>
      </c>
      <c r="CY485" t="str">
        <f t="shared" si="102"/>
        <v>S17_2026</v>
      </c>
      <c r="CZ485" t="s">
        <v>132</v>
      </c>
      <c r="DB485" t="s">
        <v>132</v>
      </c>
      <c r="DC485" t="s">
        <v>120</v>
      </c>
    </row>
    <row r="486" spans="1:107" x14ac:dyDescent="0.35">
      <c r="A486" t="s">
        <v>1801</v>
      </c>
      <c r="B486" s="10" t="str">
        <f t="shared" si="101"/>
        <v>S19_2026</v>
      </c>
      <c r="C486" s="10" t="str">
        <f t="shared" si="96"/>
        <v>S17_2026</v>
      </c>
      <c r="D486" s="11">
        <v>46146</v>
      </c>
      <c r="E486" t="s">
        <v>123</v>
      </c>
      <c r="F486" s="48">
        <v>32</v>
      </c>
      <c r="G486" s="44" t="s">
        <v>1802</v>
      </c>
      <c r="H486" s="44" t="s">
        <v>835</v>
      </c>
      <c r="I486" s="44"/>
      <c r="J486" s="44" t="s">
        <v>132</v>
      </c>
      <c r="L486" s="44" t="s">
        <v>126</v>
      </c>
      <c r="M486" s="44" t="s">
        <v>1084</v>
      </c>
      <c r="N486" s="44" t="s">
        <v>1274</v>
      </c>
      <c r="O486" s="44" t="s">
        <v>1275</v>
      </c>
      <c r="P486" s="44" t="s">
        <v>1543</v>
      </c>
      <c r="Q486" s="44" t="s">
        <v>1084</v>
      </c>
      <c r="R486" s="43">
        <v>46137</v>
      </c>
      <c r="S486" s="43">
        <v>46137</v>
      </c>
      <c r="T486" s="43">
        <v>46141</v>
      </c>
      <c r="V486" s="44" t="s">
        <v>114</v>
      </c>
      <c r="W486" s="44" t="s">
        <v>114</v>
      </c>
      <c r="X486" s="44" t="s">
        <v>114</v>
      </c>
      <c r="Y486" s="44" t="s">
        <v>114</v>
      </c>
      <c r="Z486" s="44" t="s">
        <v>114</v>
      </c>
      <c r="AA486" s="44" t="s">
        <v>114</v>
      </c>
      <c r="AB486" s="44" t="s">
        <v>114</v>
      </c>
      <c r="AC486" s="44" t="s">
        <v>1238</v>
      </c>
      <c r="AE486" s="44" t="s">
        <v>114</v>
      </c>
      <c r="AF486" s="44" t="s">
        <v>114</v>
      </c>
      <c r="AG486" s="44" t="s">
        <v>114</v>
      </c>
      <c r="AH486" s="44" t="s">
        <v>132</v>
      </c>
      <c r="AI486" s="44" t="s">
        <v>132</v>
      </c>
      <c r="AJ486" s="44" t="s">
        <v>132</v>
      </c>
      <c r="AK486" s="44" t="s">
        <v>132</v>
      </c>
      <c r="AL486" s="44"/>
      <c r="AM486" s="44" t="s">
        <v>132</v>
      </c>
      <c r="AN486" s="44" t="s">
        <v>132</v>
      </c>
      <c r="AO486" s="44"/>
      <c r="AP486" s="44" t="s">
        <v>132</v>
      </c>
      <c r="AQ486" s="44" t="s">
        <v>132</v>
      </c>
      <c r="AR486" s="44" t="s">
        <v>1803</v>
      </c>
      <c r="AS486" s="43">
        <v>46147</v>
      </c>
      <c r="AT486" s="44"/>
      <c r="AU486" s="44" t="s">
        <v>114</v>
      </c>
      <c r="AV486" t="s">
        <v>134</v>
      </c>
      <c r="AW486" t="s">
        <v>152</v>
      </c>
      <c r="AX486" s="44"/>
      <c r="AY486" t="s">
        <v>135</v>
      </c>
      <c r="AZ486" s="44"/>
      <c r="BA486" s="44"/>
      <c r="BB486" s="44" t="s">
        <v>114</v>
      </c>
      <c r="BC486" s="43">
        <v>46144</v>
      </c>
      <c r="BD486" s="44" t="s">
        <v>1471</v>
      </c>
      <c r="BF486" s="44" t="s">
        <v>1274</v>
      </c>
      <c r="BG486" s="44" t="s">
        <v>449</v>
      </c>
      <c r="BI486" s="43">
        <v>46149</v>
      </c>
      <c r="BJ486" t="str">
        <f t="shared" si="103"/>
        <v>S19_2026</v>
      </c>
      <c r="BK486" s="44" t="s">
        <v>137</v>
      </c>
      <c r="BL486" t="str">
        <f t="shared" si="95"/>
        <v>S18_2026</v>
      </c>
      <c r="BM486" s="44" t="s">
        <v>159</v>
      </c>
      <c r="BN486" s="43">
        <v>46149</v>
      </c>
      <c r="BO486" s="36" t="str">
        <f t="shared" si="94"/>
        <v>S19_2026</v>
      </c>
      <c r="BP486" s="44" t="s">
        <v>114</v>
      </c>
      <c r="BQ486" s="44" t="s">
        <v>450</v>
      </c>
      <c r="BR486" t="s">
        <v>451</v>
      </c>
      <c r="BS486" t="s">
        <v>132</v>
      </c>
      <c r="BT486" s="44"/>
      <c r="CI486" t="s">
        <v>119</v>
      </c>
      <c r="CK486" t="s">
        <v>138</v>
      </c>
      <c r="CP486" s="43">
        <v>46144</v>
      </c>
      <c r="CQ486" t="s">
        <v>132</v>
      </c>
      <c r="CR486">
        <f>IF(BP486="Non","",IF(BP486="","",AS486-BC486))</f>
        <v>3</v>
      </c>
      <c r="CS486">
        <f>IF(BP486="Non","",IF(BP486="","",BN486-AS486))</f>
        <v>2</v>
      </c>
      <c r="CT486">
        <f>CP486-CX486</f>
        <v>7</v>
      </c>
      <c r="CU486" t="str">
        <f>IF(J486="Non","",IF(J486="","",CP486-K486))</f>
        <v/>
      </c>
      <c r="CV486">
        <f>IF(AV486="POSITIF",BI486-CX486,"")</f>
        <v>12</v>
      </c>
      <c r="CW486" t="s">
        <v>132</v>
      </c>
      <c r="CX486" s="43">
        <v>46137</v>
      </c>
      <c r="CY486" t="str">
        <f t="shared" si="102"/>
        <v>S17_2026</v>
      </c>
      <c r="CZ486" t="s">
        <v>132</v>
      </c>
      <c r="DB486" t="s">
        <v>132</v>
      </c>
      <c r="DC486" t="s">
        <v>139</v>
      </c>
    </row>
    <row r="487" spans="1:107" x14ac:dyDescent="0.35">
      <c r="A487" s="36" t="s">
        <v>1804</v>
      </c>
      <c r="B487" s="10" t="str">
        <f t="shared" si="101"/>
        <v>S19_2026</v>
      </c>
      <c r="C487" s="10" t="str">
        <f t="shared" si="96"/>
        <v>S18_2026</v>
      </c>
      <c r="D487" s="11">
        <v>46146</v>
      </c>
      <c r="E487" t="s">
        <v>123</v>
      </c>
      <c r="F487" s="24">
        <v>28</v>
      </c>
      <c r="G487" t="s">
        <v>1552</v>
      </c>
      <c r="H487" t="s">
        <v>108</v>
      </c>
      <c r="J487" t="s">
        <v>114</v>
      </c>
      <c r="K487" s="11">
        <v>46146</v>
      </c>
      <c r="L487" t="s">
        <v>111</v>
      </c>
      <c r="M487" t="s">
        <v>308</v>
      </c>
      <c r="N487" t="s">
        <v>1154</v>
      </c>
      <c r="O487" t="s">
        <v>1390</v>
      </c>
      <c r="P487" t="s">
        <v>1805</v>
      </c>
      <c r="Q487" t="s">
        <v>306</v>
      </c>
      <c r="R487" s="11">
        <v>46143</v>
      </c>
      <c r="S487" s="11">
        <v>46143</v>
      </c>
      <c r="T487" s="11">
        <v>46143</v>
      </c>
      <c r="V487" t="s">
        <v>114</v>
      </c>
      <c r="W487" t="s">
        <v>114</v>
      </c>
      <c r="X487" t="s">
        <v>114</v>
      </c>
      <c r="Y487" t="s">
        <v>114</v>
      </c>
      <c r="Z487" t="s">
        <v>114</v>
      </c>
      <c r="AA487" t="s">
        <v>114</v>
      </c>
      <c r="AB487" t="s">
        <v>114</v>
      </c>
      <c r="AE487" t="s">
        <v>114</v>
      </c>
      <c r="AF487" t="s">
        <v>132</v>
      </c>
      <c r="AG487" t="s">
        <v>114</v>
      </c>
      <c r="AH487" t="s">
        <v>132</v>
      </c>
      <c r="AI487" t="s">
        <v>132</v>
      </c>
      <c r="AJ487" t="s">
        <v>132</v>
      </c>
      <c r="AK487" t="s">
        <v>114</v>
      </c>
      <c r="AM487" t="s">
        <v>114</v>
      </c>
      <c r="AN487" t="s">
        <v>132</v>
      </c>
      <c r="AP487" t="s">
        <v>132</v>
      </c>
      <c r="AQ487" t="s">
        <v>132</v>
      </c>
      <c r="BB487" t="s">
        <v>114</v>
      </c>
      <c r="BC487" s="11">
        <v>46146</v>
      </c>
      <c r="BD487" t="s">
        <v>512</v>
      </c>
      <c r="BE487">
        <v>683820579</v>
      </c>
      <c r="BF487" t="s">
        <v>1464</v>
      </c>
      <c r="BJ487" t="str">
        <f t="shared" si="103"/>
        <v/>
      </c>
      <c r="BK487" t="s">
        <v>117</v>
      </c>
      <c r="BL487" t="str">
        <f t="shared" si="95"/>
        <v>S19_2026</v>
      </c>
      <c r="BM487" s="44" t="s">
        <v>159</v>
      </c>
      <c r="BO487" s="36" t="str">
        <f t="shared" si="94"/>
        <v/>
      </c>
      <c r="BR487" t="s">
        <v>451</v>
      </c>
      <c r="BS487" t="s">
        <v>132</v>
      </c>
      <c r="CI487" t="s">
        <v>119</v>
      </c>
      <c r="CP487" s="11">
        <v>46146</v>
      </c>
      <c r="CR487" t="str">
        <f>IF(BP487="Non","",IF(BP487="","",AS487-BC487))</f>
        <v/>
      </c>
      <c r="CS487" t="str">
        <f>IF(BP487="Non","",IF(BP487="","",BN487-AS487))</f>
        <v/>
      </c>
      <c r="CT487">
        <f>CP487-CX487</f>
        <v>3</v>
      </c>
      <c r="CU487">
        <f>IF(J487="Non","",IF(J487="","",CP487-K487))</f>
        <v>0</v>
      </c>
      <c r="CV487" t="str">
        <f>IF(AV487="POSITIF",BI487-CX487,"")</f>
        <v/>
      </c>
      <c r="CX487" s="11">
        <v>46143</v>
      </c>
      <c r="CY487" t="str">
        <f t="shared" si="102"/>
        <v>S18_2026</v>
      </c>
      <c r="DC487" t="s">
        <v>1293</v>
      </c>
    </row>
    <row r="488" spans="1:107" x14ac:dyDescent="0.35">
      <c r="A488" t="s">
        <v>1806</v>
      </c>
      <c r="B488" s="10" t="str">
        <f t="shared" si="101"/>
        <v>S19_2026</v>
      </c>
      <c r="C488" s="10" t="str">
        <f t="shared" si="96"/>
        <v>S17_2026</v>
      </c>
      <c r="D488" s="11">
        <v>46149</v>
      </c>
      <c r="E488" t="s">
        <v>123</v>
      </c>
      <c r="F488" s="24">
        <v>19</v>
      </c>
      <c r="G488" t="s">
        <v>107</v>
      </c>
      <c r="H488" t="s">
        <v>108</v>
      </c>
      <c r="J488" t="s">
        <v>114</v>
      </c>
      <c r="K488" s="11">
        <v>46139</v>
      </c>
      <c r="L488" t="s">
        <v>248</v>
      </c>
      <c r="M488" t="s">
        <v>249</v>
      </c>
      <c r="N488" t="s">
        <v>1807</v>
      </c>
      <c r="O488" t="s">
        <v>1808</v>
      </c>
      <c r="P488" t="s">
        <v>1809</v>
      </c>
      <c r="Q488" t="s">
        <v>249</v>
      </c>
      <c r="R488" s="11">
        <v>46134</v>
      </c>
      <c r="S488" s="11">
        <v>46134</v>
      </c>
      <c r="T488" s="11">
        <v>46134</v>
      </c>
      <c r="V488" t="s">
        <v>114</v>
      </c>
      <c r="W488" t="s">
        <v>114</v>
      </c>
      <c r="X488" t="s">
        <v>114</v>
      </c>
      <c r="Y488" t="s">
        <v>114</v>
      </c>
      <c r="Z488" t="s">
        <v>114</v>
      </c>
      <c r="AA488" t="s">
        <v>114</v>
      </c>
      <c r="AB488" t="s">
        <v>114</v>
      </c>
      <c r="AE488" t="s">
        <v>114</v>
      </c>
      <c r="AF488" t="s">
        <v>132</v>
      </c>
      <c r="AG488" t="s">
        <v>114</v>
      </c>
      <c r="AH488" t="s">
        <v>132</v>
      </c>
      <c r="AI488" t="s">
        <v>132</v>
      </c>
      <c r="AJ488" t="s">
        <v>132</v>
      </c>
      <c r="AK488" t="s">
        <v>132</v>
      </c>
      <c r="AM488" t="s">
        <v>114</v>
      </c>
      <c r="AN488" t="s">
        <v>114</v>
      </c>
      <c r="AP488" t="s">
        <v>132</v>
      </c>
      <c r="AQ488" t="s">
        <v>132</v>
      </c>
      <c r="AR488" s="44" t="s">
        <v>1803</v>
      </c>
      <c r="AS488" s="11">
        <v>46147</v>
      </c>
      <c r="AU488" t="s">
        <v>114</v>
      </c>
      <c r="AV488" t="s">
        <v>115</v>
      </c>
      <c r="BB488" t="s">
        <v>114</v>
      </c>
      <c r="BC488" s="11">
        <v>46142</v>
      </c>
      <c r="BD488" t="s">
        <v>116</v>
      </c>
      <c r="BE488">
        <v>672051651</v>
      </c>
      <c r="BF488" t="s">
        <v>1810</v>
      </c>
      <c r="BG488" t="s">
        <v>449</v>
      </c>
      <c r="BJ488" t="str">
        <f t="shared" si="103"/>
        <v/>
      </c>
      <c r="BK488" t="s">
        <v>253</v>
      </c>
      <c r="BL488" t="str">
        <f t="shared" si="95"/>
        <v>S18_2026</v>
      </c>
      <c r="BM488" s="44" t="s">
        <v>159</v>
      </c>
      <c r="BN488" s="11">
        <v>46149</v>
      </c>
      <c r="BO488" s="36" t="str">
        <f t="shared" si="94"/>
        <v>S19_2026</v>
      </c>
      <c r="BP488" t="s">
        <v>114</v>
      </c>
      <c r="BQ488" t="s">
        <v>450</v>
      </c>
      <c r="BR488" t="s">
        <v>451</v>
      </c>
      <c r="BS488" t="s">
        <v>132</v>
      </c>
      <c r="CI488" t="s">
        <v>119</v>
      </c>
      <c r="CP488" s="11">
        <v>46142</v>
      </c>
      <c r="CQ488" t="s">
        <v>132</v>
      </c>
      <c r="CT488">
        <f>CP488-CX488</f>
        <v>8</v>
      </c>
      <c r="CU488">
        <f>IF(J488="Non","",IF(J488="","",CP488-K488))</f>
        <v>3</v>
      </c>
      <c r="CW488" t="s">
        <v>132</v>
      </c>
      <c r="CX488" s="11">
        <v>46134</v>
      </c>
      <c r="CY488" t="str">
        <f t="shared" si="102"/>
        <v>S17_2026</v>
      </c>
      <c r="CZ488" t="s">
        <v>132</v>
      </c>
      <c r="DB488" t="s">
        <v>132</v>
      </c>
      <c r="DC488" t="s">
        <v>120</v>
      </c>
    </row>
    <row r="489" spans="1:107" x14ac:dyDescent="0.35">
      <c r="A489" t="s">
        <v>1811</v>
      </c>
      <c r="B489" s="10" t="str">
        <f t="shared" si="101"/>
        <v>S19_2026</v>
      </c>
      <c r="C489" s="10" t="str">
        <f t="shared" si="96"/>
        <v>S18_2026</v>
      </c>
      <c r="D489" s="43">
        <v>46148</v>
      </c>
      <c r="E489" s="44" t="s">
        <v>123</v>
      </c>
      <c r="F489" s="48">
        <v>29</v>
      </c>
      <c r="G489" s="44" t="s">
        <v>1812</v>
      </c>
      <c r="H489" s="44" t="s">
        <v>835</v>
      </c>
      <c r="I489" s="44"/>
      <c r="J489" s="44" t="s">
        <v>114</v>
      </c>
      <c r="K489" s="43">
        <v>46144</v>
      </c>
      <c r="L489" s="44" t="s">
        <v>126</v>
      </c>
      <c r="M489" s="44" t="s">
        <v>977</v>
      </c>
      <c r="N489" s="44" t="s">
        <v>1364</v>
      </c>
      <c r="O489" s="44" t="s">
        <v>971</v>
      </c>
      <c r="P489" s="44" t="s">
        <v>357</v>
      </c>
      <c r="Q489" s="44" t="s">
        <v>357</v>
      </c>
      <c r="R489" s="43">
        <v>46139</v>
      </c>
      <c r="S489" s="43">
        <v>46139</v>
      </c>
      <c r="T489" s="43">
        <v>46142</v>
      </c>
      <c r="V489" s="44" t="s">
        <v>114</v>
      </c>
      <c r="W489" s="44" t="s">
        <v>114</v>
      </c>
      <c r="X489" s="44" t="s">
        <v>114</v>
      </c>
      <c r="Y489" s="44" t="s">
        <v>114</v>
      </c>
      <c r="Z489" s="44" t="s">
        <v>132</v>
      </c>
      <c r="AA489" s="44" t="s">
        <v>114</v>
      </c>
      <c r="AB489" s="44" t="s">
        <v>132</v>
      </c>
      <c r="AC489" s="44" t="s">
        <v>1238</v>
      </c>
      <c r="AD489" s="44"/>
      <c r="AE489" s="44" t="s">
        <v>114</v>
      </c>
      <c r="AF489" s="44" t="s">
        <v>114</v>
      </c>
      <c r="AG489" s="44" t="s">
        <v>114</v>
      </c>
      <c r="AH489" s="44" t="s">
        <v>132</v>
      </c>
      <c r="AI489" s="44" t="s">
        <v>132</v>
      </c>
      <c r="AJ489" s="44" t="s">
        <v>132</v>
      </c>
      <c r="AK489" s="44" t="s">
        <v>132</v>
      </c>
      <c r="AL489" s="44"/>
      <c r="AM489" s="44" t="s">
        <v>132</v>
      </c>
      <c r="AN489" s="44" t="s">
        <v>114</v>
      </c>
      <c r="AO489" s="44"/>
      <c r="AP489" s="44" t="s">
        <v>132</v>
      </c>
      <c r="AQ489" s="44" t="s">
        <v>132</v>
      </c>
      <c r="AS489" s="11">
        <v>46146</v>
      </c>
      <c r="AT489" s="44"/>
      <c r="AU489" s="44" t="s">
        <v>114</v>
      </c>
      <c r="AV489" t="s">
        <v>134</v>
      </c>
      <c r="AW489" t="s">
        <v>152</v>
      </c>
      <c r="AX489" s="44"/>
      <c r="AY489" t="s">
        <v>135</v>
      </c>
      <c r="AZ489" s="44"/>
      <c r="BA489" s="44"/>
      <c r="BB489" s="44" t="s">
        <v>114</v>
      </c>
      <c r="BC489" s="43">
        <v>46146</v>
      </c>
      <c r="BD489" s="44" t="s">
        <v>1471</v>
      </c>
      <c r="BF489" s="44" t="s">
        <v>357</v>
      </c>
      <c r="BG489" s="44" t="s">
        <v>449</v>
      </c>
      <c r="BH489" s="44"/>
      <c r="BI489" s="43">
        <v>46150</v>
      </c>
      <c r="BJ489" t="str">
        <f t="shared" si="103"/>
        <v>S19_2026</v>
      </c>
      <c r="BK489" s="44" t="s">
        <v>137</v>
      </c>
      <c r="BL489" t="str">
        <f t="shared" si="95"/>
        <v>S19_2026</v>
      </c>
      <c r="BM489" s="44" t="s">
        <v>159</v>
      </c>
      <c r="BN489" s="43">
        <v>46150</v>
      </c>
      <c r="BO489" s="36" t="str">
        <f t="shared" si="94"/>
        <v>S19_2026</v>
      </c>
      <c r="BP489" s="44" t="s">
        <v>114</v>
      </c>
      <c r="BQ489" s="44" t="s">
        <v>450</v>
      </c>
      <c r="BR489" t="s">
        <v>451</v>
      </c>
      <c r="BS489" t="s">
        <v>132</v>
      </c>
      <c r="BT489" s="44"/>
      <c r="CI489" t="s">
        <v>119</v>
      </c>
      <c r="CK489" t="s">
        <v>138</v>
      </c>
      <c r="CP489" s="43">
        <v>46144</v>
      </c>
      <c r="CW489" t="s">
        <v>132</v>
      </c>
      <c r="CX489" s="43">
        <v>46139</v>
      </c>
      <c r="CY489" t="str">
        <f t="shared" si="102"/>
        <v>S18_2026</v>
      </c>
      <c r="CZ489" t="s">
        <v>132</v>
      </c>
      <c r="DB489" t="s">
        <v>132</v>
      </c>
      <c r="DC489" t="s">
        <v>139</v>
      </c>
    </row>
    <row r="490" spans="1:107" x14ac:dyDescent="0.35">
      <c r="A490" t="s">
        <v>1813</v>
      </c>
      <c r="B490" s="10" t="str">
        <f t="shared" si="101"/>
        <v>S19_2026</v>
      </c>
      <c r="C490" s="10" t="str">
        <f t="shared" si="96"/>
        <v>S14_2025</v>
      </c>
      <c r="D490" s="49">
        <v>46148</v>
      </c>
      <c r="E490" s="44" t="s">
        <v>123</v>
      </c>
      <c r="F490" s="50">
        <v>28</v>
      </c>
      <c r="G490" s="22" t="s">
        <v>1812</v>
      </c>
      <c r="H490" s="22" t="s">
        <v>835</v>
      </c>
      <c r="I490" s="22"/>
      <c r="J490" s="22" t="s">
        <v>114</v>
      </c>
      <c r="K490" s="49">
        <v>46146</v>
      </c>
      <c r="L490" s="22" t="s">
        <v>126</v>
      </c>
      <c r="M490" s="22" t="s">
        <v>977</v>
      </c>
      <c r="N490" s="22" t="s">
        <v>1364</v>
      </c>
      <c r="O490" s="22" t="s">
        <v>971</v>
      </c>
      <c r="P490" s="22" t="s">
        <v>1362</v>
      </c>
      <c r="Q490" s="22" t="s">
        <v>977</v>
      </c>
      <c r="R490" s="49">
        <v>45748</v>
      </c>
      <c r="S490" s="49">
        <v>46140</v>
      </c>
      <c r="T490" s="49">
        <v>46143</v>
      </c>
      <c r="V490" s="22" t="s">
        <v>114</v>
      </c>
      <c r="W490" s="22" t="s">
        <v>114</v>
      </c>
      <c r="X490" s="22" t="s">
        <v>114</v>
      </c>
      <c r="Y490" s="22" t="s">
        <v>114</v>
      </c>
      <c r="Z490" s="22" t="s">
        <v>114</v>
      </c>
      <c r="AA490" s="22" t="s">
        <v>114</v>
      </c>
      <c r="AB490" s="22" t="s">
        <v>132</v>
      </c>
      <c r="AC490" s="22" t="s">
        <v>1238</v>
      </c>
      <c r="AD490" s="22"/>
      <c r="AE490" s="22" t="s">
        <v>114</v>
      </c>
      <c r="AF490" s="22" t="s">
        <v>114</v>
      </c>
      <c r="AG490" s="22" t="s">
        <v>114</v>
      </c>
      <c r="AH490" s="22" t="s">
        <v>132</v>
      </c>
      <c r="AI490" s="22" t="s">
        <v>132</v>
      </c>
      <c r="AJ490" s="22" t="s">
        <v>132</v>
      </c>
      <c r="AK490" s="22" t="s">
        <v>114</v>
      </c>
      <c r="AL490" s="22"/>
      <c r="AM490" s="22" t="s">
        <v>132</v>
      </c>
      <c r="AN490" s="22" t="s">
        <v>114</v>
      </c>
      <c r="AO490" s="22"/>
      <c r="AP490" s="22" t="s">
        <v>132</v>
      </c>
      <c r="AQ490" s="22" t="s">
        <v>132</v>
      </c>
      <c r="AS490" s="49">
        <v>46147</v>
      </c>
      <c r="AT490" s="22"/>
      <c r="AV490" t="s">
        <v>134</v>
      </c>
      <c r="AW490" t="s">
        <v>152</v>
      </c>
      <c r="AX490" s="22"/>
      <c r="AY490" t="s">
        <v>135</v>
      </c>
      <c r="AZ490" s="22"/>
      <c r="BA490" s="22"/>
      <c r="BB490" s="22" t="s">
        <v>114</v>
      </c>
      <c r="BC490" s="49">
        <v>46147</v>
      </c>
      <c r="BD490" s="22" t="s">
        <v>1471</v>
      </c>
      <c r="BF490" s="22" t="s">
        <v>1364</v>
      </c>
      <c r="BG490" s="22" t="s">
        <v>449</v>
      </c>
      <c r="BH490" s="22"/>
      <c r="BI490" s="49">
        <v>46147</v>
      </c>
      <c r="BJ490" t="str">
        <f t="shared" si="103"/>
        <v>S19_2026</v>
      </c>
      <c r="BK490" s="22" t="s">
        <v>137</v>
      </c>
      <c r="BL490" t="str">
        <f t="shared" si="95"/>
        <v>S19_2026</v>
      </c>
      <c r="BM490" s="22" t="s">
        <v>159</v>
      </c>
      <c r="BN490" s="49">
        <v>46147</v>
      </c>
      <c r="BO490" s="36" t="str">
        <f t="shared" si="94"/>
        <v>S19_2026</v>
      </c>
      <c r="BP490" t="s">
        <v>114</v>
      </c>
      <c r="BQ490" s="22" t="s">
        <v>971</v>
      </c>
      <c r="BR490" t="s">
        <v>451</v>
      </c>
      <c r="BS490" t="s">
        <v>132</v>
      </c>
      <c r="BT490" s="22"/>
      <c r="CI490" t="s">
        <v>119</v>
      </c>
      <c r="CK490" t="s">
        <v>138</v>
      </c>
      <c r="CP490" s="49">
        <v>46146</v>
      </c>
      <c r="CQ490" t="s">
        <v>132</v>
      </c>
      <c r="CW490" t="s">
        <v>132</v>
      </c>
      <c r="CX490" s="49">
        <v>46140</v>
      </c>
      <c r="CY490" t="str">
        <f t="shared" si="102"/>
        <v>S18_2026</v>
      </c>
      <c r="CZ490" t="s">
        <v>132</v>
      </c>
      <c r="DB490" t="s">
        <v>132</v>
      </c>
      <c r="DC490" t="s">
        <v>139</v>
      </c>
    </row>
    <row r="491" spans="1:107" x14ac:dyDescent="0.35">
      <c r="A491" s="44" t="s">
        <v>1814</v>
      </c>
      <c r="B491" s="10" t="str">
        <f t="shared" si="101"/>
        <v>S19_2026</v>
      </c>
      <c r="C491" s="10" t="str">
        <f t="shared" si="96"/>
        <v>S18_2026</v>
      </c>
      <c r="D491" s="49">
        <v>46150</v>
      </c>
      <c r="E491" s="44" t="s">
        <v>123</v>
      </c>
      <c r="F491" s="48">
        <v>59</v>
      </c>
      <c r="G491" s="44" t="s">
        <v>1815</v>
      </c>
      <c r="H491" s="44" t="s">
        <v>835</v>
      </c>
      <c r="I491" s="44"/>
      <c r="J491" s="44" t="s">
        <v>114</v>
      </c>
      <c r="K491" s="43">
        <v>46149</v>
      </c>
      <c r="L491" s="44" t="s">
        <v>126</v>
      </c>
      <c r="M491" s="44" t="s">
        <v>977</v>
      </c>
      <c r="N491" s="44" t="s">
        <v>1364</v>
      </c>
      <c r="O491" s="44" t="s">
        <v>971</v>
      </c>
      <c r="P491" s="44" t="s">
        <v>1816</v>
      </c>
      <c r="Q491" s="44" t="s">
        <v>146</v>
      </c>
      <c r="R491" s="43">
        <v>46144</v>
      </c>
      <c r="S491" s="43">
        <v>46144</v>
      </c>
      <c r="T491" s="43">
        <v>46144</v>
      </c>
      <c r="U491" s="44"/>
      <c r="V491" s="44" t="s">
        <v>114</v>
      </c>
      <c r="W491" s="44" t="s">
        <v>114</v>
      </c>
      <c r="X491" s="44" t="s">
        <v>114</v>
      </c>
      <c r="Y491" s="44" t="s">
        <v>114</v>
      </c>
      <c r="Z491" s="44" t="s">
        <v>114</v>
      </c>
      <c r="AA491" s="44" t="s">
        <v>114</v>
      </c>
      <c r="AB491" s="44" t="s">
        <v>114</v>
      </c>
      <c r="AC491" s="44" t="s">
        <v>1238</v>
      </c>
      <c r="AF491" s="44"/>
      <c r="AG491" s="44" t="s">
        <v>114</v>
      </c>
      <c r="AH491" s="44"/>
      <c r="AI491" s="44" t="s">
        <v>114</v>
      </c>
      <c r="AJ491" s="44" t="s">
        <v>132</v>
      </c>
      <c r="AK491" s="44" t="s">
        <v>132</v>
      </c>
      <c r="AL491" s="44"/>
      <c r="AM491" s="44" t="s">
        <v>132</v>
      </c>
      <c r="AN491" s="44" t="s">
        <v>132</v>
      </c>
      <c r="AO491" s="44"/>
      <c r="AP491" s="44" t="s">
        <v>132</v>
      </c>
      <c r="AQ491" s="44" t="s">
        <v>132</v>
      </c>
      <c r="AR491" s="44"/>
      <c r="AS491" s="43">
        <v>46150</v>
      </c>
      <c r="AT491" s="44"/>
      <c r="AU491" s="44" t="s">
        <v>114</v>
      </c>
      <c r="AV491" s="44" t="s">
        <v>115</v>
      </c>
      <c r="AW491" s="44"/>
      <c r="AZ491" s="44"/>
      <c r="BA491" s="44"/>
      <c r="BB491" s="44" t="s">
        <v>114</v>
      </c>
      <c r="BC491" s="43">
        <v>46150</v>
      </c>
      <c r="BD491" s="44" t="s">
        <v>116</v>
      </c>
      <c r="BF491" s="44" t="s">
        <v>1816</v>
      </c>
      <c r="BG491" s="44" t="s">
        <v>449</v>
      </c>
      <c r="BH491" s="44"/>
      <c r="BI491" s="44"/>
      <c r="BJ491" t="str">
        <f t="shared" si="103"/>
        <v/>
      </c>
      <c r="BK491" s="44" t="s">
        <v>137</v>
      </c>
      <c r="BL491" t="str">
        <f t="shared" si="95"/>
        <v>S19_2026</v>
      </c>
      <c r="BM491" s="44" t="s">
        <v>159</v>
      </c>
      <c r="BN491" s="43">
        <v>46150</v>
      </c>
      <c r="BO491" s="36" t="str">
        <f t="shared" si="94"/>
        <v>S19_2026</v>
      </c>
      <c r="BP491" s="44" t="s">
        <v>114</v>
      </c>
      <c r="BQ491" s="44" t="s">
        <v>971</v>
      </c>
      <c r="BR491" s="44" t="s">
        <v>451</v>
      </c>
      <c r="BS491" s="44" t="s">
        <v>132</v>
      </c>
      <c r="CI491" t="s">
        <v>119</v>
      </c>
      <c r="CP491" s="11">
        <v>46149</v>
      </c>
      <c r="CQ491" t="s">
        <v>132</v>
      </c>
      <c r="CX491" s="11">
        <v>45784</v>
      </c>
      <c r="CY491" t="str">
        <f t="shared" si="102"/>
        <v>S19_2025</v>
      </c>
      <c r="DC491" t="s">
        <v>120</v>
      </c>
    </row>
    <row r="492" spans="1:107" x14ac:dyDescent="0.35">
      <c r="A492" s="44" t="s">
        <v>1817</v>
      </c>
      <c r="B492" s="10" t="str">
        <f t="shared" si="101"/>
        <v>S19_2026</v>
      </c>
      <c r="C492" s="10" t="str">
        <f t="shared" si="96"/>
        <v>S17_2026</v>
      </c>
      <c r="D492" s="49">
        <v>46150</v>
      </c>
      <c r="E492" s="44" t="s">
        <v>123</v>
      </c>
      <c r="F492" s="48">
        <v>22</v>
      </c>
      <c r="G492" s="44"/>
      <c r="H492" s="44" t="s">
        <v>835</v>
      </c>
      <c r="I492" s="44"/>
      <c r="J492" s="44" t="s">
        <v>114</v>
      </c>
      <c r="K492" s="43">
        <v>46149</v>
      </c>
      <c r="L492" s="44" t="s">
        <v>126</v>
      </c>
      <c r="M492" s="44" t="s">
        <v>1818</v>
      </c>
      <c r="N492" s="44" t="s">
        <v>1819</v>
      </c>
      <c r="O492" s="44" t="s">
        <v>1820</v>
      </c>
      <c r="P492" s="44" t="s">
        <v>1821</v>
      </c>
      <c r="Q492" s="44" t="s">
        <v>1818</v>
      </c>
      <c r="R492" s="43">
        <v>46134</v>
      </c>
      <c r="S492" s="43">
        <v>46134</v>
      </c>
      <c r="T492" s="43">
        <v>46134</v>
      </c>
      <c r="U492" s="44"/>
      <c r="V492" s="44" t="s">
        <v>114</v>
      </c>
      <c r="W492" s="44" t="s">
        <v>114</v>
      </c>
      <c r="X492" s="44" t="s">
        <v>114</v>
      </c>
      <c r="Y492" s="44" t="s">
        <v>114</v>
      </c>
      <c r="Z492" s="44" t="s">
        <v>114</v>
      </c>
      <c r="AA492" s="44" t="s">
        <v>114</v>
      </c>
      <c r="AB492" s="44" t="s">
        <v>114</v>
      </c>
      <c r="AC492" s="44"/>
      <c r="AE492" s="44" t="s">
        <v>114</v>
      </c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3">
        <v>46150</v>
      </c>
      <c r="AT492" s="44"/>
      <c r="AU492" s="44" t="s">
        <v>114</v>
      </c>
      <c r="AV492" s="44" t="s">
        <v>115</v>
      </c>
      <c r="AW492" s="44"/>
      <c r="AZ492" s="44"/>
      <c r="BA492" s="44"/>
      <c r="BB492" s="44" t="s">
        <v>114</v>
      </c>
      <c r="BC492" s="43">
        <v>46150</v>
      </c>
      <c r="BD492" s="44" t="s">
        <v>284</v>
      </c>
      <c r="BF492" s="44" t="s">
        <v>1819</v>
      </c>
      <c r="BG492" s="44" t="s">
        <v>449</v>
      </c>
      <c r="BH492" s="44"/>
      <c r="BI492" s="44"/>
      <c r="BJ492" t="str">
        <f t="shared" si="103"/>
        <v/>
      </c>
      <c r="BK492" s="44" t="s">
        <v>137</v>
      </c>
      <c r="BL492" t="str">
        <f t="shared" si="95"/>
        <v>S19_2026</v>
      </c>
      <c r="BM492" s="44" t="s">
        <v>159</v>
      </c>
      <c r="BN492" s="43">
        <v>46150</v>
      </c>
      <c r="BO492" s="36" t="str">
        <f t="shared" si="94"/>
        <v>S19_2026</v>
      </c>
      <c r="BP492" s="44" t="s">
        <v>114</v>
      </c>
      <c r="BQ492" s="44" t="s">
        <v>971</v>
      </c>
      <c r="BR492" s="44" t="s">
        <v>451</v>
      </c>
      <c r="BS492" s="44" t="s">
        <v>132</v>
      </c>
      <c r="CI492" t="s">
        <v>119</v>
      </c>
      <c r="CP492" s="11">
        <v>46149</v>
      </c>
      <c r="CQ492" t="s">
        <v>132</v>
      </c>
      <c r="CX492" s="11">
        <v>45784</v>
      </c>
      <c r="CY492" t="str">
        <f t="shared" si="102"/>
        <v>S19_2025</v>
      </c>
      <c r="DC492" t="s">
        <v>120</v>
      </c>
    </row>
    <row r="493" spans="1:107" x14ac:dyDescent="0.35">
      <c r="A493" t="s">
        <v>1822</v>
      </c>
      <c r="B493" s="23" t="str">
        <f t="shared" si="101"/>
        <v>S19_2026</v>
      </c>
      <c r="C493" s="10" t="str">
        <f t="shared" si="96"/>
        <v>S18_2026</v>
      </c>
      <c r="D493" s="49">
        <v>46150</v>
      </c>
      <c r="E493" s="22" t="s">
        <v>123</v>
      </c>
      <c r="F493" s="50">
        <v>22</v>
      </c>
      <c r="G493" s="22" t="s">
        <v>429</v>
      </c>
      <c r="H493" s="22" t="s">
        <v>835</v>
      </c>
      <c r="I493" s="22"/>
      <c r="J493" s="22" t="s">
        <v>114</v>
      </c>
      <c r="K493" s="49">
        <v>46150</v>
      </c>
      <c r="L493" s="22" t="s">
        <v>126</v>
      </c>
      <c r="M493" s="22" t="s">
        <v>1625</v>
      </c>
      <c r="N493" s="22" t="s">
        <v>1616</v>
      </c>
      <c r="O493" s="22" t="s">
        <v>1823</v>
      </c>
      <c r="P493" s="22" t="s">
        <v>1824</v>
      </c>
      <c r="Q493" s="22" t="s">
        <v>1084</v>
      </c>
      <c r="R493" s="49">
        <v>46141</v>
      </c>
      <c r="S493" s="49">
        <v>46148</v>
      </c>
      <c r="T493" s="49">
        <v>46141</v>
      </c>
      <c r="V493" s="22" t="s">
        <v>114</v>
      </c>
      <c r="W493" s="22" t="s">
        <v>114</v>
      </c>
      <c r="X493" s="22" t="s">
        <v>114</v>
      </c>
      <c r="Y493" s="22" t="s">
        <v>114</v>
      </c>
      <c r="Z493" s="22" t="s">
        <v>114</v>
      </c>
      <c r="AA493" s="22" t="s">
        <v>114</v>
      </c>
      <c r="AB493" s="22" t="s">
        <v>114</v>
      </c>
      <c r="AC493" s="22" t="s">
        <v>1238</v>
      </c>
      <c r="AD493" s="22" t="s">
        <v>1825</v>
      </c>
      <c r="AE493" s="22" t="s">
        <v>114</v>
      </c>
      <c r="AF493" s="22" t="s">
        <v>114</v>
      </c>
      <c r="AG493" s="22" t="s">
        <v>132</v>
      </c>
      <c r="AH493" s="22" t="s">
        <v>132</v>
      </c>
      <c r="AI493" s="22" t="s">
        <v>132</v>
      </c>
      <c r="AJ493" s="22" t="s">
        <v>132</v>
      </c>
      <c r="AK493" s="22" t="s">
        <v>114</v>
      </c>
      <c r="AL493" s="22"/>
      <c r="AM493" s="22" t="s">
        <v>132</v>
      </c>
      <c r="AN493" s="22" t="s">
        <v>132</v>
      </c>
      <c r="AO493" s="22"/>
      <c r="AP493" s="22" t="s">
        <v>132</v>
      </c>
      <c r="AQ493" s="22" t="s">
        <v>132</v>
      </c>
      <c r="AS493" s="49">
        <v>46150</v>
      </c>
      <c r="AT493" s="22"/>
      <c r="AU493" t="s">
        <v>114</v>
      </c>
      <c r="AV493" t="s">
        <v>134</v>
      </c>
      <c r="AW493" s="22" t="s">
        <v>152</v>
      </c>
      <c r="AY493" t="s">
        <v>135</v>
      </c>
      <c r="AZ493" s="22"/>
      <c r="BA493" s="22"/>
      <c r="BB493" s="22" t="s">
        <v>114</v>
      </c>
      <c r="BC493" s="49">
        <v>46150</v>
      </c>
      <c r="BD493" s="22" t="s">
        <v>284</v>
      </c>
      <c r="BF493" s="22" t="s">
        <v>1274</v>
      </c>
      <c r="BG493" s="22" t="s">
        <v>449</v>
      </c>
      <c r="BH493" s="22"/>
      <c r="BI493" s="49">
        <v>46150</v>
      </c>
      <c r="BJ493" t="str">
        <f t="shared" si="103"/>
        <v>S19_2026</v>
      </c>
      <c r="BK493" s="22" t="s">
        <v>137</v>
      </c>
      <c r="BL493" t="str">
        <f t="shared" si="95"/>
        <v>S19_2026</v>
      </c>
      <c r="BM493" s="22" t="s">
        <v>159</v>
      </c>
      <c r="BN493" s="43">
        <v>46150</v>
      </c>
      <c r="BO493" s="36" t="str">
        <f t="shared" si="94"/>
        <v>S19_2026</v>
      </c>
      <c r="BP493" s="22" t="s">
        <v>114</v>
      </c>
      <c r="BQ493" s="22" t="s">
        <v>971</v>
      </c>
      <c r="BR493" s="22" t="s">
        <v>451</v>
      </c>
      <c r="BS493" s="22" t="s">
        <v>132</v>
      </c>
      <c r="CI493" t="s">
        <v>119</v>
      </c>
      <c r="CK493" t="s">
        <v>138</v>
      </c>
      <c r="CP493" s="11">
        <v>46150</v>
      </c>
      <c r="CQ493" t="s">
        <v>132</v>
      </c>
      <c r="CW493" t="s">
        <v>132</v>
      </c>
      <c r="CX493" s="49">
        <v>46141</v>
      </c>
      <c r="CY493" t="str">
        <f t="shared" si="102"/>
        <v>S18_2026</v>
      </c>
      <c r="CZ493" t="s">
        <v>132</v>
      </c>
      <c r="DB493" t="s">
        <v>132</v>
      </c>
      <c r="DC493" t="s">
        <v>139</v>
      </c>
    </row>
    <row r="494" spans="1:107" x14ac:dyDescent="0.35">
      <c r="A494" s="22" t="s">
        <v>1826</v>
      </c>
      <c r="B494" s="23" t="str">
        <f t="shared" si="101"/>
        <v>S20_2026</v>
      </c>
      <c r="C494" s="10" t="str">
        <f t="shared" si="96"/>
        <v>S18_2026</v>
      </c>
      <c r="D494" s="49">
        <v>46154</v>
      </c>
      <c r="E494" s="22" t="s">
        <v>123</v>
      </c>
      <c r="F494" s="50">
        <v>44</v>
      </c>
      <c r="G494" s="22" t="s">
        <v>429</v>
      </c>
      <c r="H494" s="22" t="s">
        <v>835</v>
      </c>
      <c r="I494" s="22"/>
      <c r="J494" s="22" t="s">
        <v>132</v>
      </c>
      <c r="K494" s="22"/>
      <c r="L494" s="22" t="s">
        <v>126</v>
      </c>
      <c r="M494" s="22" t="s">
        <v>1203</v>
      </c>
      <c r="N494" s="22" t="s">
        <v>1827</v>
      </c>
      <c r="O494" s="22" t="s">
        <v>1828</v>
      </c>
      <c r="P494" s="22" t="s">
        <v>1829</v>
      </c>
      <c r="Q494" s="22" t="s">
        <v>1203</v>
      </c>
      <c r="R494" s="49">
        <v>46145</v>
      </c>
      <c r="S494" s="49">
        <v>46145</v>
      </c>
      <c r="T494" s="49">
        <v>46145</v>
      </c>
      <c r="V494" s="22" t="s">
        <v>114</v>
      </c>
      <c r="W494" s="22" t="s">
        <v>114</v>
      </c>
      <c r="X494" s="22" t="s">
        <v>114</v>
      </c>
      <c r="Y494" s="22" t="s">
        <v>114</v>
      </c>
      <c r="Z494" s="22" t="s">
        <v>114</v>
      </c>
      <c r="AA494" s="22"/>
      <c r="AB494" s="22" t="s">
        <v>114</v>
      </c>
      <c r="AC494" s="22" t="s">
        <v>1238</v>
      </c>
      <c r="AD494" s="22"/>
      <c r="AE494" s="22" t="s">
        <v>114</v>
      </c>
      <c r="AF494" s="22" t="s">
        <v>114</v>
      </c>
      <c r="AG494" s="22"/>
      <c r="AH494" s="22"/>
      <c r="AI494" s="22"/>
      <c r="AJ494" s="22"/>
      <c r="AK494" s="22" t="s">
        <v>114</v>
      </c>
      <c r="AL494" s="22"/>
      <c r="AM494" s="22" t="s">
        <v>132</v>
      </c>
      <c r="AN494" s="22" t="s">
        <v>114</v>
      </c>
      <c r="AO494" s="22"/>
      <c r="AP494" s="22"/>
      <c r="AQ494" s="22" t="s">
        <v>132</v>
      </c>
      <c r="AS494" s="11">
        <v>46149</v>
      </c>
      <c r="AT494" s="22"/>
      <c r="AU494" s="22" t="s">
        <v>114</v>
      </c>
      <c r="AV494" t="s">
        <v>134</v>
      </c>
      <c r="AW494" s="22" t="s">
        <v>152</v>
      </c>
      <c r="AY494" t="s">
        <v>135</v>
      </c>
      <c r="BA494" s="22"/>
      <c r="BB494" s="22" t="s">
        <v>114</v>
      </c>
      <c r="BC494" s="49">
        <v>46149</v>
      </c>
      <c r="BD494" s="22" t="s">
        <v>284</v>
      </c>
      <c r="BF494" s="22" t="s">
        <v>1830</v>
      </c>
      <c r="BG494" s="22" t="s">
        <v>449</v>
      </c>
      <c r="BH494" s="22"/>
      <c r="BI494" s="49">
        <v>46154</v>
      </c>
      <c r="BJ494" t="str">
        <f t="shared" si="103"/>
        <v>S20_2026</v>
      </c>
      <c r="BK494" s="22" t="s">
        <v>137</v>
      </c>
      <c r="BL494" t="str">
        <f t="shared" si="95"/>
        <v>S19_2026</v>
      </c>
      <c r="BM494" s="22" t="s">
        <v>159</v>
      </c>
      <c r="BN494" s="49">
        <v>46154</v>
      </c>
      <c r="BO494" s="36" t="str">
        <f t="shared" si="94"/>
        <v>S20_2026</v>
      </c>
      <c r="BP494" s="22" t="s">
        <v>114</v>
      </c>
      <c r="BQ494" s="22" t="s">
        <v>971</v>
      </c>
      <c r="BR494" s="22" t="s">
        <v>451</v>
      </c>
      <c r="BS494" s="22" t="s">
        <v>132</v>
      </c>
      <c r="CI494" t="s">
        <v>119</v>
      </c>
      <c r="CK494" t="s">
        <v>138</v>
      </c>
      <c r="CP494" s="49">
        <v>46148</v>
      </c>
      <c r="CQ494" t="s">
        <v>132</v>
      </c>
      <c r="CW494" t="s">
        <v>132</v>
      </c>
      <c r="CX494" s="49">
        <v>46145</v>
      </c>
      <c r="CY494" t="str">
        <f t="shared" si="102"/>
        <v>S18_2026</v>
      </c>
      <c r="CZ494" t="s">
        <v>132</v>
      </c>
      <c r="DB494" t="s">
        <v>132</v>
      </c>
      <c r="DC494" t="s">
        <v>139</v>
      </c>
    </row>
    <row r="495" spans="1:107" x14ac:dyDescent="0.35">
      <c r="A495" t="s">
        <v>1831</v>
      </c>
      <c r="B495" s="23" t="str">
        <f t="shared" si="101"/>
        <v>S20_2026</v>
      </c>
      <c r="C495" s="10" t="str">
        <f t="shared" si="96"/>
        <v>S18_2026</v>
      </c>
      <c r="D495" s="49">
        <v>46154</v>
      </c>
      <c r="E495" s="22" t="s">
        <v>123</v>
      </c>
      <c r="F495" s="50">
        <v>34</v>
      </c>
      <c r="G495" s="22" t="s">
        <v>1832</v>
      </c>
      <c r="H495" s="22" t="s">
        <v>835</v>
      </c>
      <c r="I495" s="22"/>
      <c r="J495" s="22" t="s">
        <v>114</v>
      </c>
      <c r="K495" s="49">
        <v>46151</v>
      </c>
      <c r="L495" s="22" t="s">
        <v>126</v>
      </c>
      <c r="M495" s="22" t="s">
        <v>977</v>
      </c>
      <c r="N495" s="22" t="s">
        <v>1364</v>
      </c>
      <c r="O495" s="22" t="s">
        <v>971</v>
      </c>
      <c r="P495" s="22" t="s">
        <v>1833</v>
      </c>
      <c r="Q495" s="22" t="s">
        <v>977</v>
      </c>
      <c r="R495" s="49">
        <v>46142</v>
      </c>
      <c r="S495" s="49">
        <v>46142</v>
      </c>
      <c r="T495" s="49">
        <v>46142</v>
      </c>
      <c r="V495" s="22" t="s">
        <v>114</v>
      </c>
      <c r="W495" s="22" t="s">
        <v>114</v>
      </c>
      <c r="X495" s="22" t="s">
        <v>114</v>
      </c>
      <c r="Y495" s="22" t="s">
        <v>114</v>
      </c>
      <c r="Z495" s="22" t="s">
        <v>114</v>
      </c>
      <c r="AA495" s="22" t="s">
        <v>114</v>
      </c>
      <c r="AB495" s="22" t="s">
        <v>114</v>
      </c>
      <c r="AC495" s="22" t="s">
        <v>1238</v>
      </c>
      <c r="AD495" s="22"/>
      <c r="AE495" s="22" t="s">
        <v>114</v>
      </c>
      <c r="AF495" s="22" t="s">
        <v>132</v>
      </c>
      <c r="AG495" s="22" t="s">
        <v>132</v>
      </c>
      <c r="AH495" s="22" t="s">
        <v>132</v>
      </c>
      <c r="AI495" s="22"/>
      <c r="AJ495" s="22" t="s">
        <v>132</v>
      </c>
      <c r="AK495" s="22" t="s">
        <v>132</v>
      </c>
      <c r="AL495" s="22"/>
      <c r="AM495" s="22" t="s">
        <v>132</v>
      </c>
      <c r="AN495" s="22" t="s">
        <v>132</v>
      </c>
      <c r="AO495" s="22"/>
      <c r="AP495" s="22" t="s">
        <v>132</v>
      </c>
      <c r="AQ495" s="22" t="s">
        <v>132</v>
      </c>
      <c r="AS495" s="11">
        <v>46153</v>
      </c>
      <c r="AT495" s="22"/>
      <c r="AU495" s="22" t="s">
        <v>114</v>
      </c>
      <c r="AV495" t="s">
        <v>134</v>
      </c>
      <c r="AW495" s="22" t="s">
        <v>152</v>
      </c>
      <c r="AY495" t="s">
        <v>135</v>
      </c>
      <c r="BA495" s="22"/>
      <c r="BB495" s="22" t="s">
        <v>114</v>
      </c>
      <c r="BC495" s="49">
        <v>46153</v>
      </c>
      <c r="BD495" s="22" t="s">
        <v>1834</v>
      </c>
      <c r="BF495" s="22" t="s">
        <v>1364</v>
      </c>
      <c r="BG495" s="22" t="s">
        <v>449</v>
      </c>
      <c r="BH495" s="22"/>
      <c r="BI495" s="49">
        <v>46154</v>
      </c>
      <c r="BJ495" t="str">
        <f t="shared" si="103"/>
        <v>S20_2026</v>
      </c>
      <c r="BK495" s="22" t="s">
        <v>137</v>
      </c>
      <c r="BL495" t="str">
        <f t="shared" si="95"/>
        <v>S20_2026</v>
      </c>
      <c r="BM495" s="22" t="s">
        <v>159</v>
      </c>
      <c r="BN495" s="49">
        <v>46154</v>
      </c>
      <c r="BO495" s="36" t="str">
        <f t="shared" si="94"/>
        <v>S20_2026</v>
      </c>
      <c r="BP495" s="22" t="s">
        <v>114</v>
      </c>
      <c r="BQ495" s="22" t="s">
        <v>971</v>
      </c>
      <c r="BR495" s="22" t="s">
        <v>451</v>
      </c>
      <c r="BS495" s="22" t="s">
        <v>132</v>
      </c>
      <c r="CI495" t="s">
        <v>119</v>
      </c>
      <c r="CK495" t="s">
        <v>138</v>
      </c>
      <c r="CP495" s="49">
        <v>46151</v>
      </c>
      <c r="CQ495" t="s">
        <v>132</v>
      </c>
      <c r="CW495" t="s">
        <v>132</v>
      </c>
      <c r="CX495" s="49">
        <v>46142</v>
      </c>
      <c r="CY495" t="str">
        <f t="shared" si="102"/>
        <v>S18_2026</v>
      </c>
      <c r="CZ495" t="s">
        <v>132</v>
      </c>
      <c r="DB495" t="s">
        <v>132</v>
      </c>
      <c r="DC495" t="s">
        <v>139</v>
      </c>
    </row>
    <row r="496" spans="1:107" x14ac:dyDescent="0.35">
      <c r="A496" t="s">
        <v>1835</v>
      </c>
      <c r="B496" s="23" t="str">
        <f t="shared" si="101"/>
        <v>S20_2026</v>
      </c>
      <c r="C496" s="10" t="str">
        <f t="shared" si="96"/>
        <v>S18_2026</v>
      </c>
      <c r="D496" s="49">
        <v>46154</v>
      </c>
      <c r="E496" s="22" t="s">
        <v>106</v>
      </c>
      <c r="F496" s="50">
        <v>33</v>
      </c>
      <c r="G496" s="22" t="s">
        <v>1593</v>
      </c>
      <c r="H496" s="22" t="s">
        <v>835</v>
      </c>
      <c r="I496" s="22"/>
      <c r="J496" s="22" t="s">
        <v>114</v>
      </c>
      <c r="K496" s="49">
        <v>46143</v>
      </c>
      <c r="L496" s="22" t="s">
        <v>126</v>
      </c>
      <c r="M496" s="22" t="s">
        <v>977</v>
      </c>
      <c r="N496" s="22" t="s">
        <v>1364</v>
      </c>
      <c r="O496" s="22" t="s">
        <v>971</v>
      </c>
      <c r="P496" s="22" t="s">
        <v>1836</v>
      </c>
      <c r="Q496" s="22" t="s">
        <v>1084</v>
      </c>
      <c r="R496" s="49">
        <v>46143</v>
      </c>
      <c r="S496" s="49">
        <v>46143</v>
      </c>
      <c r="T496" s="49">
        <v>46146</v>
      </c>
      <c r="V496" s="22" t="s">
        <v>114</v>
      </c>
      <c r="W496" s="22" t="s">
        <v>114</v>
      </c>
      <c r="X496" s="22" t="s">
        <v>114</v>
      </c>
      <c r="Y496" s="22" t="s">
        <v>114</v>
      </c>
      <c r="Z496" s="22" t="s">
        <v>114</v>
      </c>
      <c r="AA496" s="22" t="s">
        <v>114</v>
      </c>
      <c r="AB496" s="22" t="s">
        <v>114</v>
      </c>
      <c r="AC496" s="22" t="s">
        <v>1238</v>
      </c>
      <c r="AD496" s="22"/>
      <c r="AE496" s="22" t="s">
        <v>114</v>
      </c>
      <c r="AF496" s="22" t="s">
        <v>114</v>
      </c>
      <c r="AG496" s="22" t="s">
        <v>114</v>
      </c>
      <c r="AH496" s="22" t="s">
        <v>114</v>
      </c>
      <c r="AI496" s="22" t="s">
        <v>132</v>
      </c>
      <c r="AJ496" s="22" t="s">
        <v>1837</v>
      </c>
      <c r="AK496" s="22" t="s">
        <v>132</v>
      </c>
      <c r="AL496" s="22"/>
      <c r="AM496" s="22" t="s">
        <v>132</v>
      </c>
      <c r="AN496" s="22" t="s">
        <v>132</v>
      </c>
      <c r="AO496" s="22"/>
      <c r="AP496" s="22" t="s">
        <v>132</v>
      </c>
      <c r="AQ496" s="22" t="s">
        <v>132</v>
      </c>
      <c r="AS496" s="11">
        <v>46146</v>
      </c>
      <c r="AT496" s="22"/>
      <c r="AU496" s="22" t="s">
        <v>114</v>
      </c>
      <c r="AV496" t="s">
        <v>134</v>
      </c>
      <c r="AW496" s="22" t="s">
        <v>152</v>
      </c>
      <c r="AY496" t="s">
        <v>135</v>
      </c>
      <c r="BA496" s="22"/>
      <c r="BB496" s="22" t="s">
        <v>114</v>
      </c>
      <c r="BC496" s="49">
        <v>46153</v>
      </c>
      <c r="BD496" s="22" t="s">
        <v>1838</v>
      </c>
      <c r="BF496" s="22" t="s">
        <v>1274</v>
      </c>
      <c r="BG496" s="22" t="s">
        <v>449</v>
      </c>
      <c r="BH496" s="22"/>
      <c r="BI496" s="49">
        <v>46154</v>
      </c>
      <c r="BJ496" t="str">
        <f t="shared" si="103"/>
        <v>S20_2026</v>
      </c>
      <c r="BK496" s="22" t="s">
        <v>137</v>
      </c>
      <c r="BL496" t="str">
        <f t="shared" si="95"/>
        <v>S20_2026</v>
      </c>
      <c r="BM496" s="22" t="s">
        <v>159</v>
      </c>
      <c r="BN496" s="49">
        <v>46154</v>
      </c>
      <c r="BO496" s="36" t="str">
        <f t="shared" si="94"/>
        <v>S20_2026</v>
      </c>
      <c r="BP496" s="22" t="s">
        <v>114</v>
      </c>
      <c r="BQ496" s="22" t="s">
        <v>971</v>
      </c>
      <c r="BR496" s="22" t="s">
        <v>114</v>
      </c>
      <c r="BS496" s="22" t="s">
        <v>132</v>
      </c>
      <c r="CI496" t="s">
        <v>119</v>
      </c>
      <c r="CK496" t="s">
        <v>138</v>
      </c>
      <c r="CP496" s="49">
        <v>46150</v>
      </c>
      <c r="CQ496" t="s">
        <v>132</v>
      </c>
      <c r="CW496" t="s">
        <v>114</v>
      </c>
      <c r="CX496" s="49">
        <v>46143</v>
      </c>
      <c r="CY496" t="str">
        <f t="shared" si="102"/>
        <v>S18_2026</v>
      </c>
      <c r="CZ496" t="s">
        <v>132</v>
      </c>
      <c r="DB496" t="s">
        <v>132</v>
      </c>
      <c r="DC496" t="s">
        <v>139</v>
      </c>
    </row>
    <row r="497" spans="1:107" x14ac:dyDescent="0.35">
      <c r="A497" t="s">
        <v>1839</v>
      </c>
      <c r="B497" s="23" t="str">
        <f t="shared" si="101"/>
        <v>S20_2026</v>
      </c>
      <c r="C497" s="10" t="str">
        <f t="shared" si="96"/>
        <v>S18_2026</v>
      </c>
      <c r="D497" s="49">
        <v>46154</v>
      </c>
      <c r="E497" s="22" t="s">
        <v>123</v>
      </c>
      <c r="F497" s="50">
        <v>42</v>
      </c>
      <c r="G497" s="22" t="s">
        <v>429</v>
      </c>
      <c r="H497" s="22" t="s">
        <v>835</v>
      </c>
      <c r="I497" s="22"/>
      <c r="J497" s="22" t="s">
        <v>114</v>
      </c>
      <c r="K497" s="49">
        <v>46154</v>
      </c>
      <c r="L497" s="22" t="s">
        <v>126</v>
      </c>
      <c r="M497" s="22" t="s">
        <v>1625</v>
      </c>
      <c r="N497" s="22" t="s">
        <v>1616</v>
      </c>
      <c r="O497" s="22" t="s">
        <v>1823</v>
      </c>
      <c r="P497" s="22" t="s">
        <v>1840</v>
      </c>
      <c r="Q497" s="22" t="s">
        <v>853</v>
      </c>
      <c r="R497" s="49">
        <v>46139</v>
      </c>
      <c r="S497" s="49">
        <v>46139</v>
      </c>
      <c r="T497" s="49">
        <v>46139</v>
      </c>
      <c r="V497" s="22" t="s">
        <v>114</v>
      </c>
      <c r="W497" s="22" t="s">
        <v>114</v>
      </c>
      <c r="X497" s="22" t="s">
        <v>114</v>
      </c>
      <c r="Y497" s="22" t="s">
        <v>114</v>
      </c>
      <c r="Z497" s="22" t="s">
        <v>114</v>
      </c>
      <c r="AA497" s="22" t="s">
        <v>114</v>
      </c>
      <c r="AB497" s="22" t="s">
        <v>114</v>
      </c>
      <c r="AC497" s="22" t="s">
        <v>1238</v>
      </c>
      <c r="AD497" s="51" t="s">
        <v>1841</v>
      </c>
      <c r="AE497" s="22" t="s">
        <v>132</v>
      </c>
      <c r="AF497" s="22" t="s">
        <v>114</v>
      </c>
      <c r="AG497" s="22" t="s">
        <v>132</v>
      </c>
      <c r="AH497" s="22" t="s">
        <v>132</v>
      </c>
      <c r="AI497" s="22" t="s">
        <v>132</v>
      </c>
      <c r="AJ497" s="22" t="s">
        <v>132</v>
      </c>
      <c r="AK497" s="22" t="s">
        <v>132</v>
      </c>
      <c r="AL497" s="22"/>
      <c r="AM497" s="22" t="s">
        <v>114</v>
      </c>
      <c r="AN497" s="22" t="s">
        <v>132</v>
      </c>
      <c r="AO497" s="22"/>
      <c r="AP497" s="22" t="s">
        <v>132</v>
      </c>
      <c r="AQ497" s="22" t="s">
        <v>132</v>
      </c>
      <c r="AS497" s="11">
        <v>46154</v>
      </c>
      <c r="AT497" s="22"/>
      <c r="AU497" s="22" t="s">
        <v>114</v>
      </c>
      <c r="AV497" t="s">
        <v>134</v>
      </c>
      <c r="AW497" s="22" t="s">
        <v>152</v>
      </c>
      <c r="AY497" t="s">
        <v>135</v>
      </c>
      <c r="BA497" s="22"/>
      <c r="BB497" s="22" t="s">
        <v>114</v>
      </c>
      <c r="BC497" s="49">
        <v>46154</v>
      </c>
      <c r="BD497" s="22" t="s">
        <v>1838</v>
      </c>
      <c r="BF497" s="22" t="s">
        <v>1553</v>
      </c>
      <c r="BG497" s="22" t="s">
        <v>449</v>
      </c>
      <c r="BH497" s="22"/>
      <c r="BI497" s="49">
        <v>46155</v>
      </c>
      <c r="BJ497" t="str">
        <f t="shared" si="103"/>
        <v>S20_2026</v>
      </c>
      <c r="BK497" s="22" t="s">
        <v>137</v>
      </c>
      <c r="BL497" t="str">
        <f t="shared" si="95"/>
        <v>S20_2026</v>
      </c>
      <c r="BM497" s="22" t="s">
        <v>159</v>
      </c>
      <c r="BN497" s="49">
        <v>46155</v>
      </c>
      <c r="BO497" s="36" t="str">
        <f t="shared" si="94"/>
        <v>S20_2026</v>
      </c>
      <c r="BP497" s="22" t="s">
        <v>114</v>
      </c>
      <c r="BQ497" s="22" t="s">
        <v>971</v>
      </c>
      <c r="BR497" s="22" t="s">
        <v>142</v>
      </c>
      <c r="BS497" s="22" t="s">
        <v>132</v>
      </c>
      <c r="CI497" t="s">
        <v>119</v>
      </c>
      <c r="CK497" t="s">
        <v>138</v>
      </c>
      <c r="CP497" s="49">
        <v>46154</v>
      </c>
      <c r="CQ497" t="s">
        <v>132</v>
      </c>
      <c r="CW497" t="s">
        <v>132</v>
      </c>
      <c r="CX497" s="49">
        <v>46139</v>
      </c>
      <c r="CY497" t="str">
        <f t="shared" si="102"/>
        <v>S18_2026</v>
      </c>
      <c r="CZ497" t="s">
        <v>132</v>
      </c>
      <c r="DB497" t="s">
        <v>132</v>
      </c>
      <c r="DC497" t="s">
        <v>139</v>
      </c>
    </row>
    <row r="498" spans="1:107" x14ac:dyDescent="0.35">
      <c r="A498" t="s">
        <v>1842</v>
      </c>
      <c r="B498" s="23" t="str">
        <f t="shared" si="101"/>
        <v>S20_2026</v>
      </c>
      <c r="C498" s="10" t="str">
        <f t="shared" si="96"/>
        <v>S18_2026</v>
      </c>
      <c r="D498" s="49">
        <v>46155</v>
      </c>
      <c r="E498" s="22" t="s">
        <v>123</v>
      </c>
      <c r="F498" s="50">
        <v>42</v>
      </c>
      <c r="G498" s="22" t="s">
        <v>1843</v>
      </c>
      <c r="H498" s="22" t="s">
        <v>835</v>
      </c>
      <c r="J498" s="22" t="s">
        <v>114</v>
      </c>
      <c r="K498" s="11">
        <v>46144</v>
      </c>
      <c r="L498" s="22" t="s">
        <v>163</v>
      </c>
      <c r="M498" s="22" t="s">
        <v>846</v>
      </c>
      <c r="N498" s="22" t="s">
        <v>1844</v>
      </c>
      <c r="O498" s="22" t="s">
        <v>1845</v>
      </c>
      <c r="P498" s="22" t="s">
        <v>1844</v>
      </c>
      <c r="Q498" s="22" t="s">
        <v>846</v>
      </c>
      <c r="R498" s="11">
        <v>46142</v>
      </c>
      <c r="S498" s="11">
        <v>46142</v>
      </c>
      <c r="T498" s="11">
        <v>46142</v>
      </c>
      <c r="V498" s="22" t="s">
        <v>114</v>
      </c>
      <c r="W498" s="22" t="s">
        <v>114</v>
      </c>
      <c r="X498" s="22" t="s">
        <v>114</v>
      </c>
      <c r="Y498" s="22" t="s">
        <v>114</v>
      </c>
      <c r="Z498" s="22" t="s">
        <v>114</v>
      </c>
      <c r="AA498" s="22" t="s">
        <v>114</v>
      </c>
      <c r="AB498" s="22" t="s">
        <v>114</v>
      </c>
      <c r="AE498" s="22" t="s">
        <v>132</v>
      </c>
      <c r="AF498" s="22" t="s">
        <v>114</v>
      </c>
      <c r="AG498" s="22" t="s">
        <v>114</v>
      </c>
      <c r="AH498" s="22" t="s">
        <v>132</v>
      </c>
      <c r="AI498" s="22" t="s">
        <v>132</v>
      </c>
      <c r="AJ498" s="22" t="s">
        <v>132</v>
      </c>
      <c r="AK498" s="22" t="s">
        <v>132</v>
      </c>
      <c r="AL498" s="22"/>
      <c r="AM498" s="22" t="s">
        <v>132</v>
      </c>
      <c r="AN498" s="22" t="s">
        <v>114</v>
      </c>
      <c r="AO498" s="22"/>
      <c r="AP498" s="22" t="s">
        <v>132</v>
      </c>
      <c r="AQ498" s="22" t="s">
        <v>132</v>
      </c>
      <c r="AR498" t="s">
        <v>1846</v>
      </c>
      <c r="AS498" s="11">
        <v>46153</v>
      </c>
      <c r="AU498" t="s">
        <v>114</v>
      </c>
      <c r="AV498" s="22" t="s">
        <v>115</v>
      </c>
      <c r="BB498" s="22" t="s">
        <v>114</v>
      </c>
      <c r="BC498" s="11">
        <v>46147</v>
      </c>
      <c r="BD498" s="22" t="s">
        <v>116</v>
      </c>
      <c r="BF498" s="22" t="s">
        <v>1844</v>
      </c>
      <c r="BG498" s="22" t="s">
        <v>114</v>
      </c>
      <c r="BJ498" t="str">
        <f t="shared" si="103"/>
        <v/>
      </c>
      <c r="BK498" t="s">
        <v>170</v>
      </c>
      <c r="BL498" t="str">
        <f t="shared" si="95"/>
        <v>S19_2026</v>
      </c>
      <c r="BM498" s="22" t="s">
        <v>159</v>
      </c>
      <c r="BN498" s="11">
        <v>46154</v>
      </c>
      <c r="BO498" s="36" t="str">
        <f t="shared" si="94"/>
        <v>S20_2026</v>
      </c>
      <c r="BP498" s="22" t="s">
        <v>114</v>
      </c>
      <c r="BQ498" s="22" t="s">
        <v>118</v>
      </c>
      <c r="BR498" s="22" t="s">
        <v>451</v>
      </c>
      <c r="BS498" s="22" t="s">
        <v>132</v>
      </c>
      <c r="CI498" t="s">
        <v>119</v>
      </c>
      <c r="CP498" s="11">
        <v>46144</v>
      </c>
      <c r="CQ498" t="s">
        <v>132</v>
      </c>
      <c r="CW498" t="s">
        <v>132</v>
      </c>
      <c r="CX498" s="11">
        <v>46142</v>
      </c>
      <c r="CY498" t="str">
        <f t="shared" si="102"/>
        <v>S18_2026</v>
      </c>
      <c r="CZ498" t="s">
        <v>132</v>
      </c>
      <c r="DB498" t="s">
        <v>132</v>
      </c>
      <c r="DC498" t="s">
        <v>120</v>
      </c>
    </row>
    <row r="499" spans="1:107" x14ac:dyDescent="0.35">
      <c r="A499" s="36" t="s">
        <v>1847</v>
      </c>
      <c r="B499" s="23" t="str">
        <f t="shared" si="101"/>
        <v>S20_2026</v>
      </c>
      <c r="C499" s="10" t="str">
        <f t="shared" si="96"/>
        <v>S19_2026</v>
      </c>
      <c r="D499" s="14">
        <v>46157</v>
      </c>
      <c r="E499" s="22" t="s">
        <v>106</v>
      </c>
      <c r="F499" s="50">
        <v>44</v>
      </c>
      <c r="G499" s="22" t="s">
        <v>1751</v>
      </c>
      <c r="H499" s="22" t="s">
        <v>835</v>
      </c>
      <c r="J499" s="22" t="s">
        <v>114</v>
      </c>
      <c r="K499" s="11">
        <v>46151</v>
      </c>
      <c r="L499" s="22" t="s">
        <v>163</v>
      </c>
      <c r="M499" s="22" t="s">
        <v>776</v>
      </c>
      <c r="N499" s="22" t="s">
        <v>1380</v>
      </c>
      <c r="O499" s="22" t="s">
        <v>1381</v>
      </c>
      <c r="P499" s="22" t="s">
        <v>1848</v>
      </c>
      <c r="Q499" s="22" t="s">
        <v>776</v>
      </c>
      <c r="R499" s="11">
        <v>46148</v>
      </c>
      <c r="S499" s="11">
        <v>46148</v>
      </c>
      <c r="T499" s="11">
        <v>46148</v>
      </c>
      <c r="V499" s="22" t="s">
        <v>132</v>
      </c>
      <c r="W499" s="22" t="s">
        <v>132</v>
      </c>
      <c r="X499" s="22" t="s">
        <v>114</v>
      </c>
      <c r="Y499" s="22" t="s">
        <v>132</v>
      </c>
      <c r="Z499" s="22" t="s">
        <v>132</v>
      </c>
      <c r="AA499" s="22" t="s">
        <v>132</v>
      </c>
      <c r="AB499" s="22" t="s">
        <v>132</v>
      </c>
      <c r="AC499" s="22" t="s">
        <v>1238</v>
      </c>
      <c r="AE499" s="22" t="s">
        <v>114</v>
      </c>
      <c r="AF499" s="22" t="s">
        <v>132</v>
      </c>
      <c r="AG499" s="22" t="s">
        <v>132</v>
      </c>
      <c r="AH499" s="22" t="s">
        <v>132</v>
      </c>
      <c r="AI499" s="22" t="s">
        <v>132</v>
      </c>
      <c r="AJ499" s="22" t="s">
        <v>132</v>
      </c>
      <c r="AK499" s="22" t="s">
        <v>132</v>
      </c>
      <c r="AL499" s="22"/>
      <c r="AM499" s="22" t="s">
        <v>132</v>
      </c>
      <c r="AN499" s="22" t="s">
        <v>114</v>
      </c>
      <c r="AO499" s="22"/>
      <c r="AP499" s="22" t="s">
        <v>132</v>
      </c>
      <c r="AQ499" s="22" t="s">
        <v>142</v>
      </c>
      <c r="AR499" s="22" t="s">
        <v>1849</v>
      </c>
      <c r="AS499" s="11">
        <v>46157</v>
      </c>
      <c r="AU499" s="22" t="s">
        <v>114</v>
      </c>
      <c r="AV499" s="22" t="s">
        <v>115</v>
      </c>
      <c r="BB499" s="22" t="s">
        <v>114</v>
      </c>
      <c r="BC499" s="11">
        <v>46153</v>
      </c>
      <c r="BD499" s="22" t="s">
        <v>116</v>
      </c>
      <c r="BE499">
        <v>671842076</v>
      </c>
      <c r="BF499" s="22" t="s">
        <v>1850</v>
      </c>
      <c r="BG499" s="22" t="s">
        <v>449</v>
      </c>
      <c r="BJ499" t="str">
        <f t="shared" si="103"/>
        <v/>
      </c>
      <c r="BK499" t="s">
        <v>170</v>
      </c>
      <c r="BL499" t="str">
        <f t="shared" si="95"/>
        <v>S20_2026</v>
      </c>
      <c r="BM499" s="22" t="s">
        <v>159</v>
      </c>
      <c r="BN499" s="11">
        <v>46160</v>
      </c>
      <c r="BO499" s="36" t="str">
        <f t="shared" si="94"/>
        <v>S21_2026</v>
      </c>
      <c r="BP499" s="22" t="s">
        <v>114</v>
      </c>
      <c r="BQ499" s="22" t="s">
        <v>450</v>
      </c>
      <c r="BR499" s="22" t="s">
        <v>451</v>
      </c>
      <c r="BS499" s="22" t="s">
        <v>132</v>
      </c>
      <c r="CI499" t="s">
        <v>119</v>
      </c>
      <c r="CP499" s="11">
        <v>46153</v>
      </c>
      <c r="CQ499" t="s">
        <v>132</v>
      </c>
      <c r="CW499" t="s">
        <v>132</v>
      </c>
      <c r="CX499" s="11">
        <v>46148</v>
      </c>
      <c r="CY499" t="str">
        <f t="shared" si="102"/>
        <v>S19_2026</v>
      </c>
      <c r="CZ499" t="s">
        <v>132</v>
      </c>
      <c r="DB499" t="s">
        <v>132</v>
      </c>
      <c r="DC499" t="s">
        <v>120</v>
      </c>
    </row>
    <row r="500" spans="1:107" x14ac:dyDescent="0.35">
      <c r="A500" t="s">
        <v>1851</v>
      </c>
      <c r="B500" s="23" t="str">
        <f t="shared" si="101"/>
        <v>S20_2026</v>
      </c>
      <c r="C500" s="10" t="str">
        <f t="shared" si="96"/>
        <v>S19_2026</v>
      </c>
      <c r="D500" s="52">
        <v>46158</v>
      </c>
      <c r="E500" s="22" t="s">
        <v>123</v>
      </c>
      <c r="F500" s="50">
        <v>16</v>
      </c>
      <c r="G500" s="22" t="s">
        <v>107</v>
      </c>
      <c r="H500" s="22" t="s">
        <v>835</v>
      </c>
      <c r="J500" s="22" t="s">
        <v>114</v>
      </c>
      <c r="K500" s="11">
        <v>46152</v>
      </c>
      <c r="L500" s="22" t="s">
        <v>163</v>
      </c>
      <c r="M500" s="22" t="s">
        <v>1393</v>
      </c>
      <c r="N500" s="22" t="s">
        <v>1393</v>
      </c>
      <c r="O500" s="22" t="s">
        <v>1714</v>
      </c>
      <c r="P500" s="22" t="s">
        <v>1852</v>
      </c>
      <c r="Q500" s="22" t="s">
        <v>1393</v>
      </c>
      <c r="R500" s="11">
        <v>46146</v>
      </c>
      <c r="S500" s="11">
        <v>46146</v>
      </c>
      <c r="T500" s="11">
        <v>46146</v>
      </c>
      <c r="V500" s="22" t="s">
        <v>132</v>
      </c>
      <c r="W500" s="22" t="s">
        <v>132</v>
      </c>
      <c r="X500" s="22" t="s">
        <v>114</v>
      </c>
      <c r="Y500" s="22" t="s">
        <v>114</v>
      </c>
      <c r="Z500" s="22" t="s">
        <v>132</v>
      </c>
      <c r="AA500" s="22" t="s">
        <v>114</v>
      </c>
      <c r="AB500" s="22" t="s">
        <v>132</v>
      </c>
      <c r="AC500" s="22" t="s">
        <v>1238</v>
      </c>
      <c r="AE500" s="22" t="s">
        <v>114</v>
      </c>
      <c r="AF500" s="22" t="s">
        <v>132</v>
      </c>
      <c r="AG500" s="22" t="s">
        <v>132</v>
      </c>
      <c r="AH500" s="22" t="s">
        <v>132</v>
      </c>
      <c r="AI500" s="22" t="s">
        <v>132</v>
      </c>
      <c r="AJ500" s="22" t="s">
        <v>132</v>
      </c>
      <c r="AK500" s="22" t="s">
        <v>132</v>
      </c>
      <c r="AL500" s="22"/>
      <c r="AM500" s="22" t="s">
        <v>132</v>
      </c>
      <c r="AN500" s="22" t="s">
        <v>114</v>
      </c>
      <c r="AO500" s="22"/>
      <c r="AP500" s="22" t="s">
        <v>132</v>
      </c>
      <c r="AQ500" s="22" t="s">
        <v>132</v>
      </c>
      <c r="AR500" s="22" t="s">
        <v>1853</v>
      </c>
      <c r="AS500" s="11">
        <v>46160</v>
      </c>
      <c r="AU500" s="22" t="s">
        <v>114</v>
      </c>
      <c r="AV500" s="22" t="s">
        <v>115</v>
      </c>
      <c r="BB500" s="22" t="s">
        <v>114</v>
      </c>
      <c r="BC500" s="11">
        <v>46154</v>
      </c>
      <c r="BD500" s="22" t="s">
        <v>116</v>
      </c>
      <c r="BF500" s="22" t="s">
        <v>1396</v>
      </c>
      <c r="BG500" s="22" t="s">
        <v>114</v>
      </c>
      <c r="BJ500" t="str">
        <f t="shared" si="103"/>
        <v/>
      </c>
      <c r="BK500" t="s">
        <v>170</v>
      </c>
      <c r="BL500" t="str">
        <f t="shared" si="95"/>
        <v>S20_2026</v>
      </c>
      <c r="BM500" s="22" t="s">
        <v>159</v>
      </c>
      <c r="BN500" s="11">
        <v>46160</v>
      </c>
      <c r="BO500" s="36" t="str">
        <f t="shared" si="94"/>
        <v>S21_2026</v>
      </c>
      <c r="BP500" s="22" t="s">
        <v>114</v>
      </c>
      <c r="BQ500" s="22" t="s">
        <v>118</v>
      </c>
      <c r="BR500" s="22" t="s">
        <v>451</v>
      </c>
      <c r="BS500" s="22" t="s">
        <v>132</v>
      </c>
      <c r="CI500" t="s">
        <v>119</v>
      </c>
      <c r="CP500" s="11">
        <v>46153</v>
      </c>
      <c r="CQ500" t="s">
        <v>132</v>
      </c>
      <c r="CW500" t="s">
        <v>132</v>
      </c>
      <c r="CX500" s="11">
        <v>46146</v>
      </c>
      <c r="CY500" t="str">
        <f t="shared" si="102"/>
        <v>S19_2026</v>
      </c>
      <c r="CZ500" t="s">
        <v>132</v>
      </c>
      <c r="DB500" t="s">
        <v>132</v>
      </c>
      <c r="DC500" t="s">
        <v>120</v>
      </c>
    </row>
    <row r="501" spans="1:107" x14ac:dyDescent="0.35">
      <c r="A501" t="s">
        <v>1854</v>
      </c>
      <c r="B501" s="23" t="str">
        <f t="shared" si="101"/>
        <v>S20_2026</v>
      </c>
      <c r="C501" s="10" t="str">
        <f t="shared" si="96"/>
        <v>S19_2026</v>
      </c>
      <c r="D501" s="52">
        <v>46159</v>
      </c>
      <c r="E501" s="22" t="s">
        <v>123</v>
      </c>
      <c r="F501" s="50">
        <v>20</v>
      </c>
      <c r="G501" s="22" t="s">
        <v>1855</v>
      </c>
      <c r="H501" s="22" t="s">
        <v>835</v>
      </c>
      <c r="J501" s="22" t="s">
        <v>142</v>
      </c>
      <c r="L501" s="22" t="s">
        <v>117</v>
      </c>
      <c r="M501" s="22" t="s">
        <v>1131</v>
      </c>
      <c r="N501" s="22" t="s">
        <v>1131</v>
      </c>
      <c r="P501" s="22" t="s">
        <v>1856</v>
      </c>
      <c r="Q501" s="22" t="s">
        <v>1131</v>
      </c>
      <c r="R501" s="11">
        <v>46152</v>
      </c>
      <c r="S501" s="11">
        <v>46152</v>
      </c>
      <c r="T501" s="11">
        <v>46152</v>
      </c>
      <c r="V501" s="22" t="s">
        <v>114</v>
      </c>
      <c r="W501" s="22" t="s">
        <v>114</v>
      </c>
      <c r="X501" s="22" t="s">
        <v>114</v>
      </c>
      <c r="Y501" s="22" t="s">
        <v>114</v>
      </c>
      <c r="Z501" s="22" t="s">
        <v>114</v>
      </c>
      <c r="AA501" s="22" t="s">
        <v>114</v>
      </c>
      <c r="AB501" s="22" t="s">
        <v>114</v>
      </c>
      <c r="AE501" s="22" t="s">
        <v>114</v>
      </c>
      <c r="AF501" s="22" t="s">
        <v>114</v>
      </c>
      <c r="AG501" s="22" t="s">
        <v>114</v>
      </c>
      <c r="AH501" s="22" t="s">
        <v>132</v>
      </c>
      <c r="AI501" s="22" t="s">
        <v>132</v>
      </c>
      <c r="AJ501" s="22" t="s">
        <v>132</v>
      </c>
      <c r="AK501" s="22" t="s">
        <v>132</v>
      </c>
      <c r="AL501" s="22"/>
      <c r="AM501" s="22" t="s">
        <v>132</v>
      </c>
      <c r="AN501" s="22" t="s">
        <v>132</v>
      </c>
      <c r="AO501" s="22"/>
      <c r="AP501" s="22" t="s">
        <v>132</v>
      </c>
      <c r="AQ501" s="22" t="s">
        <v>132</v>
      </c>
      <c r="AR501" s="22" t="s">
        <v>1857</v>
      </c>
      <c r="AS501" s="11">
        <v>46159</v>
      </c>
      <c r="AU501" s="22" t="s">
        <v>114</v>
      </c>
      <c r="AV501" s="22" t="s">
        <v>115</v>
      </c>
      <c r="BB501" s="22" t="s">
        <v>114</v>
      </c>
      <c r="BC501" s="11">
        <v>46159</v>
      </c>
      <c r="BD501" s="22" t="s">
        <v>116</v>
      </c>
      <c r="BE501">
        <v>659719610</v>
      </c>
      <c r="BF501" s="22" t="s">
        <v>1858</v>
      </c>
      <c r="BG501" s="22" t="s">
        <v>114</v>
      </c>
      <c r="BJ501" t="str">
        <f t="shared" si="103"/>
        <v/>
      </c>
      <c r="BK501" s="22" t="s">
        <v>117</v>
      </c>
      <c r="BL501" t="str">
        <f t="shared" si="95"/>
        <v>S20_2026</v>
      </c>
      <c r="BM501" s="22" t="s">
        <v>159</v>
      </c>
      <c r="BN501" s="11">
        <v>46160</v>
      </c>
      <c r="BO501" s="36" t="str">
        <f>IFERROR("S"&amp;(IF(_xlfn.ISOWEEKNUM(BN501)&gt;0,_xlfn.ISOWEEKNUM(BN501),_xlfn.CONCAT("0",_xlfn.ISOWEEKNUM(BN501))))&amp;"_"&amp;(YEAR(BN501+26-(_xlfn.ISOWEEKNUM(BN501)))),"")</f>
        <v>S21_2026</v>
      </c>
      <c r="BP501" s="22" t="s">
        <v>114</v>
      </c>
      <c r="BQ501" s="22" t="s">
        <v>118</v>
      </c>
      <c r="BR501" s="22" t="s">
        <v>451</v>
      </c>
      <c r="BS501" s="22" t="s">
        <v>132</v>
      </c>
      <c r="CI501" t="s">
        <v>119</v>
      </c>
      <c r="CP501" s="11">
        <v>46159</v>
      </c>
      <c r="CQ501" t="s">
        <v>132</v>
      </c>
      <c r="CW501" t="s">
        <v>132</v>
      </c>
      <c r="CX501" s="11">
        <v>46152</v>
      </c>
      <c r="CY501" t="str">
        <f t="shared" si="102"/>
        <v>S19_2026</v>
      </c>
      <c r="CZ501" t="s">
        <v>132</v>
      </c>
      <c r="DB501" t="s">
        <v>132</v>
      </c>
      <c r="DC501" t="s">
        <v>120</v>
      </c>
    </row>
    <row r="502" spans="1:107" x14ac:dyDescent="0.35">
      <c r="A502" s="44" t="s">
        <v>1859</v>
      </c>
      <c r="B502" s="23" t="str">
        <f t="shared" si="101"/>
        <v>S20_2026</v>
      </c>
      <c r="C502" s="10" t="str">
        <f t="shared" si="96"/>
        <v>S18_2026</v>
      </c>
      <c r="D502" s="43">
        <v>46157</v>
      </c>
      <c r="E502" s="22" t="s">
        <v>123</v>
      </c>
      <c r="F502" s="48">
        <v>20</v>
      </c>
      <c r="G502" s="44" t="s">
        <v>107</v>
      </c>
      <c r="H502" s="44" t="s">
        <v>835</v>
      </c>
      <c r="I502" s="44"/>
      <c r="J502" s="44" t="s">
        <v>114</v>
      </c>
      <c r="K502" s="43">
        <v>46153</v>
      </c>
      <c r="L502" s="44" t="s">
        <v>126</v>
      </c>
      <c r="M502" s="44" t="s">
        <v>977</v>
      </c>
      <c r="N502" s="44" t="s">
        <v>1364</v>
      </c>
      <c r="O502" s="44" t="s">
        <v>971</v>
      </c>
      <c r="Q502" s="44" t="s">
        <v>292</v>
      </c>
      <c r="R502" s="43">
        <v>46143</v>
      </c>
      <c r="S502" s="43">
        <v>46143</v>
      </c>
      <c r="T502" s="43">
        <v>46146</v>
      </c>
      <c r="V502" s="44" t="s">
        <v>114</v>
      </c>
      <c r="W502" s="44" t="s">
        <v>114</v>
      </c>
      <c r="X502" s="44" t="s">
        <v>114</v>
      </c>
      <c r="Y502" s="44" t="s">
        <v>114</v>
      </c>
      <c r="Z502" s="44" t="s">
        <v>114</v>
      </c>
      <c r="AA502" s="44" t="s">
        <v>132</v>
      </c>
      <c r="AB502" s="44" t="s">
        <v>114</v>
      </c>
      <c r="AC502" s="44" t="s">
        <v>1238</v>
      </c>
      <c r="AD502" s="44"/>
      <c r="AE502" s="44" t="s">
        <v>114</v>
      </c>
      <c r="AF502" s="44" t="s">
        <v>132</v>
      </c>
      <c r="AG502" s="44" t="s">
        <v>114</v>
      </c>
      <c r="AH502" s="44" t="s">
        <v>132</v>
      </c>
      <c r="AK502" s="22" t="s">
        <v>132</v>
      </c>
      <c r="AL502" s="22"/>
      <c r="AM502" s="44" t="s">
        <v>132</v>
      </c>
      <c r="AN502" s="44" t="s">
        <v>132</v>
      </c>
      <c r="AO502" s="44"/>
      <c r="AP502" s="44"/>
      <c r="AQ502" s="44" t="s">
        <v>132</v>
      </c>
      <c r="AR502" s="44"/>
      <c r="AS502" s="43">
        <v>46155</v>
      </c>
      <c r="AT502" s="44"/>
      <c r="AU502" s="44" t="s">
        <v>114</v>
      </c>
      <c r="AV502" s="44" t="s">
        <v>115</v>
      </c>
      <c r="AW502" s="44"/>
      <c r="AY502" s="44"/>
      <c r="AZ502" s="44"/>
      <c r="BA502" s="44"/>
      <c r="BB502" s="44" t="s">
        <v>114</v>
      </c>
      <c r="BC502" s="43">
        <v>46155</v>
      </c>
      <c r="BD502" s="44" t="s">
        <v>116</v>
      </c>
      <c r="BF502" s="44" t="s">
        <v>292</v>
      </c>
      <c r="BG502" s="44" t="s">
        <v>449</v>
      </c>
      <c r="BH502" s="44"/>
      <c r="BI502" s="44"/>
      <c r="BJ502" t="str">
        <f t="shared" si="103"/>
        <v/>
      </c>
      <c r="BK502" s="44" t="s">
        <v>137</v>
      </c>
      <c r="BL502" t="str">
        <f t="shared" si="95"/>
        <v>S20_2026</v>
      </c>
      <c r="BM502" s="44" t="s">
        <v>159</v>
      </c>
      <c r="BN502" s="43">
        <v>46157</v>
      </c>
      <c r="BO502" s="36" t="str">
        <f>IFERROR("S"&amp;(IF(_xlfn.ISOWEEKNUM(BN502)&gt;0,_xlfn.ISOWEEKNUM(BN502),_xlfn.CONCAT("0",_xlfn.ISOWEEKNUM(BN502))))&amp;"_"&amp;(YEAR(BN502+26-(_xlfn.ISOWEEKNUM(BN502)))),"")</f>
        <v>S20_2026</v>
      </c>
      <c r="BP502" s="44" t="s">
        <v>114</v>
      </c>
      <c r="BQ502" s="44" t="s">
        <v>971</v>
      </c>
      <c r="BR502" s="44" t="s">
        <v>451</v>
      </c>
      <c r="BS502" s="44" t="s">
        <v>132</v>
      </c>
      <c r="CI502" t="s">
        <v>119</v>
      </c>
      <c r="CP502" s="11">
        <v>46155</v>
      </c>
      <c r="CQ502" t="s">
        <v>132</v>
      </c>
      <c r="CW502" t="s">
        <v>132</v>
      </c>
      <c r="CX502" s="11">
        <v>46143</v>
      </c>
      <c r="CY502" t="str">
        <f t="shared" si="102"/>
        <v>S18_2026</v>
      </c>
      <c r="CZ502" t="s">
        <v>132</v>
      </c>
      <c r="DB502" t="s">
        <v>132</v>
      </c>
      <c r="DC502" t="s">
        <v>120</v>
      </c>
    </row>
    <row r="503" spans="1:107" x14ac:dyDescent="0.35">
      <c r="A503" s="44" t="s">
        <v>1860</v>
      </c>
      <c r="B503" s="23" t="str">
        <f t="shared" si="101"/>
        <v>S21_2026</v>
      </c>
      <c r="C503" s="10" t="str">
        <f t="shared" si="96"/>
        <v>S20_2026</v>
      </c>
      <c r="D503" s="43">
        <v>46160</v>
      </c>
      <c r="E503" s="44" t="s">
        <v>106</v>
      </c>
      <c r="F503" s="48">
        <v>28</v>
      </c>
      <c r="G503" s="44" t="s">
        <v>1861</v>
      </c>
      <c r="H503" s="44" t="s">
        <v>835</v>
      </c>
      <c r="I503" s="44"/>
      <c r="J503" s="44" t="s">
        <v>114</v>
      </c>
      <c r="K503" s="43">
        <v>46158</v>
      </c>
      <c r="L503" s="44" t="s">
        <v>126</v>
      </c>
      <c r="M503" s="44" t="s">
        <v>977</v>
      </c>
      <c r="N503" s="44" t="s">
        <v>1364</v>
      </c>
      <c r="O503" s="44" t="s">
        <v>971</v>
      </c>
      <c r="P503" s="44" t="s">
        <v>1862</v>
      </c>
      <c r="Q503" s="44" t="s">
        <v>853</v>
      </c>
      <c r="R503" s="43">
        <v>46153</v>
      </c>
      <c r="S503" s="43">
        <v>46153</v>
      </c>
      <c r="T503" s="43">
        <v>46155</v>
      </c>
      <c r="V503" s="44" t="s">
        <v>114</v>
      </c>
      <c r="W503" s="44" t="s">
        <v>114</v>
      </c>
      <c r="X503" s="44" t="s">
        <v>114</v>
      </c>
      <c r="Y503" s="44" t="s">
        <v>114</v>
      </c>
      <c r="Z503" s="44" t="s">
        <v>114</v>
      </c>
      <c r="AA503" s="44" t="s">
        <v>114</v>
      </c>
      <c r="AB503" s="44" t="s">
        <v>114</v>
      </c>
      <c r="AC503" s="44" t="s">
        <v>1238</v>
      </c>
      <c r="AE503" s="44" t="s">
        <v>114</v>
      </c>
      <c r="AF503" s="44" t="s">
        <v>114</v>
      </c>
      <c r="AG503" s="44" t="s">
        <v>114</v>
      </c>
      <c r="AH503" s="44" t="s">
        <v>114</v>
      </c>
      <c r="AI503" s="44" t="s">
        <v>132</v>
      </c>
      <c r="AJ503" s="44" t="s">
        <v>132</v>
      </c>
      <c r="AK503" s="44" t="s">
        <v>132</v>
      </c>
      <c r="AL503" s="44"/>
      <c r="AM503" s="44" t="s">
        <v>132</v>
      </c>
      <c r="AN503" s="44" t="s">
        <v>132</v>
      </c>
      <c r="AO503" s="44"/>
      <c r="AP503" s="44" t="s">
        <v>132</v>
      </c>
      <c r="AQ503" s="44" t="s">
        <v>132</v>
      </c>
      <c r="AT503" s="44"/>
      <c r="AU503" s="44" t="s">
        <v>114</v>
      </c>
      <c r="AV503" s="44" t="s">
        <v>115</v>
      </c>
      <c r="AW503" s="44"/>
      <c r="AX503" s="44"/>
      <c r="AY503" s="44"/>
      <c r="AZ503" s="44"/>
      <c r="BA503" s="44"/>
      <c r="BB503" s="44" t="s">
        <v>114</v>
      </c>
      <c r="BC503" s="43">
        <v>46158</v>
      </c>
      <c r="BD503" s="44" t="s">
        <v>116</v>
      </c>
      <c r="BE503" s="44"/>
      <c r="BF503" s="44" t="s">
        <v>1276</v>
      </c>
      <c r="BG503" s="44" t="s">
        <v>449</v>
      </c>
      <c r="BH503" s="44"/>
      <c r="BI503" s="44"/>
      <c r="BJ503" t="str">
        <f t="shared" si="103"/>
        <v/>
      </c>
      <c r="BK503" s="44" t="s">
        <v>137</v>
      </c>
      <c r="BL503" t="str">
        <f t="shared" si="95"/>
        <v>S20_2026</v>
      </c>
      <c r="BM503" s="44" t="s">
        <v>159</v>
      </c>
      <c r="BN503" s="43">
        <v>46164</v>
      </c>
      <c r="BO503" s="36" t="str">
        <f>IFERROR("S"&amp;(IF(_xlfn.ISOWEEKNUM(BN503)&gt;0,_xlfn.ISOWEEKNUM(BN503),_xlfn.CONCAT("0",_xlfn.ISOWEEKNUM(BN503))))&amp;"_"&amp;(YEAR(BN503+26-(_xlfn.ISOWEEKNUM(BN503)))),"")</f>
        <v>S21_2026</v>
      </c>
      <c r="BP503" s="44" t="s">
        <v>114</v>
      </c>
      <c r="BQ503" s="44" t="s">
        <v>971</v>
      </c>
      <c r="BR503" s="44" t="s">
        <v>451</v>
      </c>
      <c r="BS503" s="44" t="s">
        <v>132</v>
      </c>
      <c r="CI503" t="s">
        <v>119</v>
      </c>
      <c r="CP503" s="43">
        <v>46158</v>
      </c>
      <c r="CQ503" t="s">
        <v>132</v>
      </c>
      <c r="CW503" t="s">
        <v>132</v>
      </c>
      <c r="CX503" s="43">
        <v>46153</v>
      </c>
      <c r="CY503" t="str">
        <f t="shared" si="102"/>
        <v>S20_2026</v>
      </c>
      <c r="CZ503" t="s">
        <v>132</v>
      </c>
      <c r="DB503" t="s">
        <v>132</v>
      </c>
      <c r="DC503" t="s">
        <v>120</v>
      </c>
    </row>
    <row r="504" spans="1:107" x14ac:dyDescent="0.35">
      <c r="A504" s="44" t="s">
        <v>1863</v>
      </c>
      <c r="B504" s="23" t="str">
        <f t="shared" si="101"/>
        <v>S21_2026</v>
      </c>
      <c r="C504" s="10" t="str">
        <f t="shared" si="96"/>
        <v>S19_2026</v>
      </c>
      <c r="D504" s="43">
        <v>46160</v>
      </c>
      <c r="E504" s="44" t="s">
        <v>123</v>
      </c>
      <c r="F504" s="48">
        <v>43</v>
      </c>
      <c r="G504" s="44" t="s">
        <v>772</v>
      </c>
      <c r="H504" s="44" t="s">
        <v>835</v>
      </c>
      <c r="I504" s="44"/>
      <c r="J504" s="44" t="s">
        <v>114</v>
      </c>
      <c r="K504" s="43">
        <v>46158</v>
      </c>
      <c r="L504" s="44" t="s">
        <v>126</v>
      </c>
      <c r="M504" s="44" t="s">
        <v>977</v>
      </c>
      <c r="N504" s="44" t="s">
        <v>1364</v>
      </c>
      <c r="O504" s="44" t="s">
        <v>971</v>
      </c>
      <c r="P504" s="44" t="s">
        <v>1864</v>
      </c>
      <c r="Q504" s="44" t="s">
        <v>853</v>
      </c>
      <c r="R504" s="43">
        <v>46151</v>
      </c>
      <c r="S504" s="43">
        <v>46151</v>
      </c>
      <c r="T504" s="43">
        <v>46153</v>
      </c>
      <c r="V504" s="44" t="s">
        <v>132</v>
      </c>
      <c r="W504" s="44" t="s">
        <v>114</v>
      </c>
      <c r="X504" s="44" t="s">
        <v>132</v>
      </c>
      <c r="Y504" s="44" t="s">
        <v>132</v>
      </c>
      <c r="Z504" s="44" t="s">
        <v>132</v>
      </c>
      <c r="AA504" s="44" t="s">
        <v>114</v>
      </c>
      <c r="AB504" s="44" t="s">
        <v>114</v>
      </c>
      <c r="AC504" s="44" t="s">
        <v>1238</v>
      </c>
      <c r="AE504" s="44" t="s">
        <v>114</v>
      </c>
      <c r="AF504" s="44" t="s">
        <v>114</v>
      </c>
      <c r="AG504" s="44" t="s">
        <v>114</v>
      </c>
      <c r="AH504" s="44" t="s">
        <v>132</v>
      </c>
      <c r="AI504" s="44" t="s">
        <v>132</v>
      </c>
      <c r="AJ504" s="44" t="s">
        <v>132</v>
      </c>
      <c r="AK504" s="44" t="s">
        <v>132</v>
      </c>
      <c r="AL504" s="44"/>
      <c r="AM504" s="44" t="s">
        <v>132</v>
      </c>
      <c r="AN504" s="44" t="s">
        <v>132</v>
      </c>
      <c r="AO504" s="44"/>
      <c r="AP504" s="44" t="s">
        <v>132</v>
      </c>
      <c r="AQ504" s="44" t="s">
        <v>132</v>
      </c>
      <c r="AT504" s="44"/>
      <c r="AU504" s="44" t="s">
        <v>114</v>
      </c>
      <c r="AV504" t="s">
        <v>134</v>
      </c>
      <c r="AW504" s="44" t="s">
        <v>152</v>
      </c>
      <c r="AX504" s="44"/>
      <c r="AY504" t="s">
        <v>135</v>
      </c>
      <c r="AZ504" s="44"/>
      <c r="BA504" s="44"/>
      <c r="BB504" s="44" t="s">
        <v>114</v>
      </c>
      <c r="BC504" s="43">
        <v>46158</v>
      </c>
      <c r="BD504" s="44" t="s">
        <v>116</v>
      </c>
      <c r="BE504" s="44"/>
      <c r="BF504" s="44" t="s">
        <v>1559</v>
      </c>
      <c r="BG504" s="44" t="s">
        <v>449</v>
      </c>
      <c r="BH504" s="44"/>
      <c r="BI504" s="43">
        <v>46164</v>
      </c>
      <c r="BJ504" t="str">
        <f t="shared" si="103"/>
        <v>S21_2026</v>
      </c>
      <c r="BK504" s="44" t="s">
        <v>137</v>
      </c>
      <c r="BL504" t="str">
        <f t="shared" si="95"/>
        <v>S20_2026</v>
      </c>
      <c r="BM504" s="44" t="s">
        <v>159</v>
      </c>
      <c r="BN504" s="43">
        <v>46164</v>
      </c>
      <c r="BO504" s="36" t="str">
        <f>IFERROR("S"&amp;(IF(_xlfn.ISOWEEKNUM(BN504)&gt;0,_xlfn.ISOWEEKNUM(BN504),_xlfn.CONCAT("0",_xlfn.ISOWEEKNUM(BN504))))&amp;"_"&amp;(YEAR(BN504+26-(_xlfn.ISOWEEKNUM(BN504)))),"")</f>
        <v>S21_2026</v>
      </c>
      <c r="BP504" s="44" t="s">
        <v>114</v>
      </c>
      <c r="BQ504" s="44" t="s">
        <v>971</v>
      </c>
      <c r="BR504" s="44" t="s">
        <v>451</v>
      </c>
      <c r="BS504" s="44" t="s">
        <v>132</v>
      </c>
      <c r="CI504" t="s">
        <v>119</v>
      </c>
      <c r="CK504" t="s">
        <v>138</v>
      </c>
      <c r="CP504" s="43">
        <v>46158</v>
      </c>
      <c r="CQ504" t="s">
        <v>132</v>
      </c>
      <c r="CW504" t="s">
        <v>132</v>
      </c>
      <c r="CX504" s="43">
        <v>46151</v>
      </c>
      <c r="CY504" t="str">
        <f t="shared" si="102"/>
        <v>S19_2026</v>
      </c>
      <c r="CZ504" t="s">
        <v>132</v>
      </c>
      <c r="DB504" t="s">
        <v>132</v>
      </c>
      <c r="DC504" t="s">
        <v>139</v>
      </c>
    </row>
    <row r="505" spans="1:107" x14ac:dyDescent="0.35">
      <c r="A505" s="44" t="s">
        <v>1865</v>
      </c>
      <c r="B505" s="23" t="str">
        <f t="shared" si="101"/>
        <v>S21_2026</v>
      </c>
      <c r="C505" s="10" t="str">
        <f t="shared" si="96"/>
        <v>S17_2026</v>
      </c>
      <c r="D505" s="11">
        <v>46160</v>
      </c>
      <c r="E505" s="22" t="s">
        <v>123</v>
      </c>
      <c r="F505" s="48">
        <v>53</v>
      </c>
      <c r="G505" s="44" t="s">
        <v>1215</v>
      </c>
      <c r="H505" s="44" t="s">
        <v>108</v>
      </c>
      <c r="J505" s="44" t="s">
        <v>132</v>
      </c>
      <c r="L505" s="44" t="s">
        <v>321</v>
      </c>
      <c r="M505" s="44" t="s">
        <v>532</v>
      </c>
      <c r="N505" s="44" t="s">
        <v>1866</v>
      </c>
      <c r="O505" s="44" t="s">
        <v>184</v>
      </c>
      <c r="P505" s="44" t="s">
        <v>1867</v>
      </c>
      <c r="Q505" s="44" t="s">
        <v>532</v>
      </c>
      <c r="R505" s="11">
        <v>46138</v>
      </c>
      <c r="S505" s="11">
        <v>46138</v>
      </c>
      <c r="T505" s="11">
        <v>46138</v>
      </c>
      <c r="V505" s="44" t="s">
        <v>132</v>
      </c>
      <c r="W505" s="44" t="s">
        <v>132</v>
      </c>
      <c r="X505" s="44" t="s">
        <v>132</v>
      </c>
      <c r="Y505" s="44" t="s">
        <v>132</v>
      </c>
      <c r="Z505" s="44" t="s">
        <v>132</v>
      </c>
      <c r="AA505" s="44" t="s">
        <v>132</v>
      </c>
      <c r="AB505" s="44" t="s">
        <v>114</v>
      </c>
      <c r="AC505" s="44" t="s">
        <v>1377</v>
      </c>
      <c r="AE505" s="44" t="s">
        <v>114</v>
      </c>
      <c r="AF505" s="44" t="s">
        <v>114</v>
      </c>
      <c r="AG505" s="44" t="s">
        <v>114</v>
      </c>
      <c r="AH505" s="44" t="s">
        <v>132</v>
      </c>
      <c r="AI505" s="44" t="s">
        <v>132</v>
      </c>
      <c r="AJ505" s="44" t="s">
        <v>132</v>
      </c>
      <c r="AK505" s="22" t="s">
        <v>132</v>
      </c>
      <c r="AL505" s="22"/>
      <c r="AM505" s="44" t="s">
        <v>132</v>
      </c>
      <c r="AN505" s="44" t="s">
        <v>114</v>
      </c>
      <c r="AO505" s="44"/>
      <c r="AP505" s="44" t="s">
        <v>132</v>
      </c>
      <c r="AQ505" s="44" t="s">
        <v>132</v>
      </c>
      <c r="AR505" t="s">
        <v>1868</v>
      </c>
      <c r="AS505" s="11">
        <v>46157</v>
      </c>
      <c r="AU505" t="s">
        <v>114</v>
      </c>
      <c r="AV505" t="s">
        <v>115</v>
      </c>
      <c r="BB505" s="44" t="s">
        <v>114</v>
      </c>
      <c r="BC505" s="11">
        <v>46151</v>
      </c>
      <c r="BD505" s="44" t="s">
        <v>116</v>
      </c>
      <c r="BE505">
        <v>698994869</v>
      </c>
      <c r="BF505" t="s">
        <v>1869</v>
      </c>
      <c r="BG505" t="s">
        <v>449</v>
      </c>
      <c r="BJ505" t="str">
        <f t="shared" si="103"/>
        <v/>
      </c>
      <c r="BK505" s="44" t="s">
        <v>321</v>
      </c>
      <c r="BL505" t="str">
        <f t="shared" si="95"/>
        <v>S19_2026</v>
      </c>
      <c r="BM505" s="44" t="s">
        <v>159</v>
      </c>
      <c r="BN505" s="11">
        <v>46160</v>
      </c>
      <c r="BO505" s="36" t="str">
        <f>IFERROR("S"&amp;(IF(_xlfn.ISOWEEKNUM(BN505)&gt;0,_xlfn.ISOWEEKNUM(BN505),_xlfn.CONCAT("0",_xlfn.ISOWEEKNUM(BN505))))&amp;"_"&amp;(YEAR(BN505+26-(_xlfn.ISOWEEKNUM(BN505)))),"")</f>
        <v>S21_2026</v>
      </c>
      <c r="BP505" t="s">
        <v>114</v>
      </c>
      <c r="BQ505" t="s">
        <v>450</v>
      </c>
      <c r="BR505" s="44" t="s">
        <v>451</v>
      </c>
      <c r="BS505" s="44" t="s">
        <v>132</v>
      </c>
      <c r="CI505" t="s">
        <v>119</v>
      </c>
      <c r="CP505" s="11">
        <v>46151</v>
      </c>
      <c r="CQ505" t="s">
        <v>132</v>
      </c>
      <c r="CW505" t="s">
        <v>132</v>
      </c>
      <c r="CX505" s="11">
        <v>46138</v>
      </c>
      <c r="CY505" t="str">
        <f t="shared" si="102"/>
        <v>S17_2026</v>
      </c>
      <c r="CZ505" t="s">
        <v>132</v>
      </c>
      <c r="DB505" t="s">
        <v>132</v>
      </c>
      <c r="DC505" t="s">
        <v>120</v>
      </c>
    </row>
    <row r="506" spans="1:107" x14ac:dyDescent="0.35">
      <c r="A506" s="44" t="s">
        <v>1870</v>
      </c>
      <c r="B506" s="23" t="str">
        <f t="shared" si="101"/>
        <v>S21_2026</v>
      </c>
      <c r="C506" s="10" t="str">
        <f t="shared" si="96"/>
        <v>S19_2026</v>
      </c>
      <c r="D506" s="43">
        <v>46161</v>
      </c>
      <c r="E506" s="44" t="s">
        <v>123</v>
      </c>
      <c r="F506" s="48">
        <v>25</v>
      </c>
      <c r="G506" s="44" t="s">
        <v>1871</v>
      </c>
      <c r="H506" s="44" t="s">
        <v>835</v>
      </c>
      <c r="I506" s="44"/>
      <c r="J506" s="44" t="s">
        <v>114</v>
      </c>
      <c r="K506" s="43">
        <v>46161</v>
      </c>
      <c r="L506" s="44" t="s">
        <v>126</v>
      </c>
      <c r="M506" s="44" t="s">
        <v>1625</v>
      </c>
      <c r="N506" s="44" t="s">
        <v>1361</v>
      </c>
      <c r="O506" s="44" t="s">
        <v>1872</v>
      </c>
      <c r="P506" s="44" t="s">
        <v>1873</v>
      </c>
      <c r="Q506" s="44" t="s">
        <v>853</v>
      </c>
      <c r="R506" s="43">
        <v>46148</v>
      </c>
      <c r="S506" s="43">
        <v>46160</v>
      </c>
      <c r="T506" s="43">
        <v>46148</v>
      </c>
      <c r="V506" s="44" t="s">
        <v>114</v>
      </c>
      <c r="W506" s="44" t="s">
        <v>114</v>
      </c>
      <c r="X506" s="44" t="s">
        <v>114</v>
      </c>
      <c r="Y506" s="44" t="s">
        <v>114</v>
      </c>
      <c r="Z506" s="44" t="s">
        <v>114</v>
      </c>
      <c r="AA506" s="44" t="s">
        <v>114</v>
      </c>
      <c r="AB506" s="44" t="s">
        <v>114</v>
      </c>
      <c r="AC506" s="44" t="s">
        <v>1238</v>
      </c>
      <c r="AD506" s="44" t="s">
        <v>1841</v>
      </c>
      <c r="AE506" s="44" t="s">
        <v>114</v>
      </c>
      <c r="AF506" s="44" t="s">
        <v>114</v>
      </c>
      <c r="AG506" s="44" t="s">
        <v>114</v>
      </c>
      <c r="AH506" s="44" t="s">
        <v>132</v>
      </c>
      <c r="AI506" s="44" t="s">
        <v>132</v>
      </c>
      <c r="AJ506" s="44" t="s">
        <v>132</v>
      </c>
      <c r="AK506" s="44" t="s">
        <v>114</v>
      </c>
      <c r="AL506" s="44"/>
      <c r="AM506" s="44" t="s">
        <v>132</v>
      </c>
      <c r="AN506" s="44" t="s">
        <v>114</v>
      </c>
      <c r="AO506" s="44"/>
      <c r="AP506" s="44" t="s">
        <v>132</v>
      </c>
      <c r="AQ506" s="44" t="s">
        <v>132</v>
      </c>
      <c r="AT506" s="44"/>
      <c r="AU506" s="44" t="s">
        <v>114</v>
      </c>
      <c r="AV506" t="s">
        <v>134</v>
      </c>
      <c r="AW506" s="44" t="s">
        <v>152</v>
      </c>
      <c r="AX506" s="44"/>
      <c r="AY506" t="s">
        <v>135</v>
      </c>
      <c r="AZ506" s="44"/>
      <c r="BA506" s="44"/>
      <c r="BB506" s="44" t="s">
        <v>114</v>
      </c>
      <c r="BC506" s="43">
        <v>46162</v>
      </c>
      <c r="BD506" s="44" t="s">
        <v>1440</v>
      </c>
      <c r="BF506" s="44" t="s">
        <v>1874</v>
      </c>
      <c r="BG506" s="44" t="s">
        <v>449</v>
      </c>
      <c r="BH506" s="44"/>
      <c r="BI506" s="43">
        <v>46164</v>
      </c>
      <c r="BJ506" t="str">
        <f t="shared" si="103"/>
        <v>S21_2026</v>
      </c>
      <c r="BK506" s="44" t="s">
        <v>137</v>
      </c>
      <c r="BL506" t="str">
        <f t="shared" si="95"/>
        <v>S21_2026</v>
      </c>
      <c r="BM506" s="44" t="s">
        <v>159</v>
      </c>
      <c r="BN506" s="43">
        <v>46164</v>
      </c>
      <c r="BO506" s="36" t="str">
        <f t="shared" ref="BO506:BO569" si="105">IFERROR("S"&amp;(IF(_xlfn.ISOWEEKNUM(BN506)&gt;0,_xlfn.ISOWEEKNUM(BN506),_xlfn.CONCAT("0",_xlfn.ISOWEEKNUM(BN506))))&amp;"_"&amp;(YEAR(BN506+26-(_xlfn.ISOWEEKNUM(BN506)))),"")</f>
        <v>S21_2026</v>
      </c>
      <c r="BP506" s="44" t="s">
        <v>114</v>
      </c>
      <c r="BQ506" s="44" t="s">
        <v>971</v>
      </c>
      <c r="BR506" s="44" t="s">
        <v>451</v>
      </c>
      <c r="BS506" s="44" t="s">
        <v>132</v>
      </c>
      <c r="CI506" t="s">
        <v>119</v>
      </c>
      <c r="CK506" t="s">
        <v>138</v>
      </c>
      <c r="CP506" s="11">
        <v>46161</v>
      </c>
      <c r="CQ506" t="s">
        <v>132</v>
      </c>
      <c r="CW506" t="s">
        <v>132</v>
      </c>
      <c r="CX506" s="11">
        <v>46148</v>
      </c>
      <c r="CY506" t="str">
        <f t="shared" si="102"/>
        <v>S19_2026</v>
      </c>
      <c r="CZ506" t="s">
        <v>132</v>
      </c>
      <c r="DB506" t="s">
        <v>132</v>
      </c>
      <c r="DC506" t="s">
        <v>139</v>
      </c>
    </row>
    <row r="507" spans="1:107" x14ac:dyDescent="0.35">
      <c r="A507" s="44" t="s">
        <v>1875</v>
      </c>
      <c r="B507" s="23" t="str">
        <f t="shared" si="101"/>
        <v>S21_2026</v>
      </c>
      <c r="C507" s="10" t="str">
        <f t="shared" si="96"/>
        <v>S19_2026</v>
      </c>
      <c r="D507" s="11">
        <v>46163</v>
      </c>
      <c r="E507" s="44" t="s">
        <v>123</v>
      </c>
      <c r="F507" s="48">
        <v>27</v>
      </c>
      <c r="G507" s="44" t="s">
        <v>895</v>
      </c>
      <c r="H507" s="44" t="s">
        <v>108</v>
      </c>
      <c r="J507" s="44" t="s">
        <v>114</v>
      </c>
      <c r="K507" s="11">
        <v>46158</v>
      </c>
      <c r="L507" s="44" t="s">
        <v>793</v>
      </c>
      <c r="M507" s="44" t="s">
        <v>805</v>
      </c>
      <c r="N507" s="44" t="s">
        <v>1876</v>
      </c>
      <c r="O507" s="44" t="s">
        <v>1877</v>
      </c>
      <c r="P507" s="44" t="s">
        <v>1878</v>
      </c>
      <c r="Q507" s="44" t="s">
        <v>805</v>
      </c>
      <c r="R507" s="11">
        <v>46152</v>
      </c>
      <c r="S507" s="11">
        <v>46152</v>
      </c>
      <c r="T507" s="11">
        <v>46152</v>
      </c>
      <c r="V507" s="44" t="s">
        <v>114</v>
      </c>
      <c r="W507" s="44" t="s">
        <v>114</v>
      </c>
      <c r="X507" s="44" t="s">
        <v>114</v>
      </c>
      <c r="Y507" s="44" t="s">
        <v>114</v>
      </c>
      <c r="Z507" s="44" t="s">
        <v>114</v>
      </c>
      <c r="AA507" s="44" t="s">
        <v>114</v>
      </c>
      <c r="AB507" s="44" t="s">
        <v>114</v>
      </c>
      <c r="AE507" s="44" t="s">
        <v>114</v>
      </c>
      <c r="AF507" s="44" t="s">
        <v>132</v>
      </c>
      <c r="AG507" s="44" t="s">
        <v>114</v>
      </c>
      <c r="AH507" s="44" t="s">
        <v>132</v>
      </c>
      <c r="AI507" s="44" t="s">
        <v>132</v>
      </c>
      <c r="AJ507" s="44" t="s">
        <v>132</v>
      </c>
      <c r="AK507" s="44" t="s">
        <v>114</v>
      </c>
      <c r="AL507" s="44"/>
      <c r="AM507" s="44" t="s">
        <v>132</v>
      </c>
      <c r="AN507" s="44" t="s">
        <v>132</v>
      </c>
      <c r="AO507" s="44"/>
      <c r="AP507" s="44" t="s">
        <v>132</v>
      </c>
      <c r="AQ507" s="44" t="s">
        <v>132</v>
      </c>
      <c r="AR507" s="44" t="s">
        <v>1879</v>
      </c>
      <c r="AS507" s="11">
        <v>46164</v>
      </c>
      <c r="AU507" s="44" t="s">
        <v>114</v>
      </c>
      <c r="AV507" t="s">
        <v>134</v>
      </c>
      <c r="AW507" t="s">
        <v>152</v>
      </c>
      <c r="AY507" t="s">
        <v>135</v>
      </c>
      <c r="BB507" s="44" t="s">
        <v>114</v>
      </c>
      <c r="BC507" s="11">
        <v>46161</v>
      </c>
      <c r="BD507" s="44" t="s">
        <v>284</v>
      </c>
      <c r="BE507">
        <v>699511573</v>
      </c>
      <c r="BF507" t="s">
        <v>1876</v>
      </c>
      <c r="BG507" s="44" t="s">
        <v>449</v>
      </c>
      <c r="BI507" s="11">
        <v>46167</v>
      </c>
      <c r="BJ507" t="str">
        <f t="shared" si="103"/>
        <v>S22_2026</v>
      </c>
      <c r="BK507" t="s">
        <v>793</v>
      </c>
      <c r="BL507" t="str">
        <f t="shared" si="95"/>
        <v>S21_2026</v>
      </c>
      <c r="BM507" s="44" t="s">
        <v>159</v>
      </c>
      <c r="BN507" s="43">
        <v>46165</v>
      </c>
      <c r="BO507" s="36" t="str">
        <f t="shared" si="105"/>
        <v>S21_2026</v>
      </c>
      <c r="BP507" s="44" t="s">
        <v>114</v>
      </c>
      <c r="BQ507" s="44" t="s">
        <v>450</v>
      </c>
      <c r="BR507" s="44" t="s">
        <v>451</v>
      </c>
      <c r="BS507" s="44" t="s">
        <v>132</v>
      </c>
      <c r="CI507" t="s">
        <v>119</v>
      </c>
      <c r="CK507" t="s">
        <v>138</v>
      </c>
      <c r="CP507" s="11">
        <v>46161</v>
      </c>
      <c r="CQ507" t="s">
        <v>132</v>
      </c>
      <c r="CW507" t="s">
        <v>132</v>
      </c>
      <c r="CX507" s="11">
        <v>46152</v>
      </c>
      <c r="CY507" t="str">
        <f t="shared" si="102"/>
        <v>S19_2026</v>
      </c>
      <c r="CZ507" t="s">
        <v>132</v>
      </c>
      <c r="DB507" t="s">
        <v>132</v>
      </c>
      <c r="DC507" t="s">
        <v>139</v>
      </c>
    </row>
    <row r="508" spans="1:107" x14ac:dyDescent="0.35">
      <c r="A508" t="s">
        <v>1880</v>
      </c>
      <c r="B508" s="23" t="str">
        <f t="shared" si="101"/>
        <v>S21_2026</v>
      </c>
      <c r="C508" s="10" t="str">
        <f t="shared" si="96"/>
        <v>S20_2026</v>
      </c>
      <c r="D508" s="43">
        <v>46164</v>
      </c>
      <c r="E508" s="44" t="s">
        <v>106</v>
      </c>
      <c r="F508" s="48">
        <v>58</v>
      </c>
      <c r="G508" s="44" t="s">
        <v>1881</v>
      </c>
      <c r="H508" s="44" t="s">
        <v>835</v>
      </c>
      <c r="I508" s="44"/>
      <c r="J508" s="44" t="s">
        <v>114</v>
      </c>
      <c r="K508" s="43">
        <v>46162</v>
      </c>
      <c r="L508" s="44" t="s">
        <v>126</v>
      </c>
      <c r="M508" s="44" t="s">
        <v>977</v>
      </c>
      <c r="N508" s="44" t="s">
        <v>1364</v>
      </c>
      <c r="O508" s="44" t="s">
        <v>971</v>
      </c>
      <c r="P508" s="44" t="s">
        <v>1882</v>
      </c>
      <c r="Q508" s="44" t="s">
        <v>215</v>
      </c>
      <c r="R508" s="43">
        <v>46156</v>
      </c>
      <c r="S508" s="43">
        <v>46156</v>
      </c>
      <c r="T508" s="43">
        <v>46159</v>
      </c>
      <c r="V508" s="44" t="s">
        <v>132</v>
      </c>
      <c r="W508" s="44" t="s">
        <v>132</v>
      </c>
      <c r="X508" s="44" t="s">
        <v>132</v>
      </c>
      <c r="Y508" s="44" t="s">
        <v>132</v>
      </c>
      <c r="Z508" s="44" t="s">
        <v>132</v>
      </c>
      <c r="AA508" s="44" t="s">
        <v>132</v>
      </c>
      <c r="AB508" s="44" t="s">
        <v>114</v>
      </c>
      <c r="AC508" s="44"/>
      <c r="AD508" s="44"/>
      <c r="AE508" s="44" t="s">
        <v>114</v>
      </c>
      <c r="AF508" s="44" t="s">
        <v>132</v>
      </c>
      <c r="AG508" s="44" t="s">
        <v>114</v>
      </c>
      <c r="AH508" s="44" t="s">
        <v>132</v>
      </c>
      <c r="AI508" s="44" t="s">
        <v>132</v>
      </c>
      <c r="AJ508" s="44" t="s">
        <v>132</v>
      </c>
      <c r="AK508" s="44" t="s">
        <v>132</v>
      </c>
      <c r="AL508" s="44"/>
      <c r="AM508" s="44" t="s">
        <v>114</v>
      </c>
      <c r="AN508" s="44" t="s">
        <v>132</v>
      </c>
      <c r="AO508" s="44"/>
      <c r="AP508" s="44" t="s">
        <v>132</v>
      </c>
      <c r="AQ508" s="44" t="s">
        <v>132</v>
      </c>
      <c r="AS508" s="11">
        <v>46164</v>
      </c>
      <c r="AT508" s="44"/>
      <c r="AU508" s="44" t="s">
        <v>114</v>
      </c>
      <c r="AV508" t="s">
        <v>134</v>
      </c>
      <c r="AW508" s="44" t="s">
        <v>152</v>
      </c>
      <c r="AX508" s="44"/>
      <c r="AY508" t="s">
        <v>135</v>
      </c>
      <c r="AZ508" s="44"/>
      <c r="BA508" s="44"/>
      <c r="BB508" s="44" t="s">
        <v>114</v>
      </c>
      <c r="BC508" s="43">
        <v>46164</v>
      </c>
      <c r="BD508" s="44" t="s">
        <v>1440</v>
      </c>
      <c r="BE508" s="44"/>
      <c r="BF508" s="44" t="s">
        <v>340</v>
      </c>
      <c r="BG508" s="44" t="s">
        <v>449</v>
      </c>
      <c r="BH508" s="44"/>
      <c r="BI508" s="11">
        <v>46174</v>
      </c>
      <c r="BJ508" t="str">
        <f t="shared" si="103"/>
        <v>S23_2026</v>
      </c>
      <c r="BK508" s="44" t="s">
        <v>137</v>
      </c>
      <c r="BL508" t="str">
        <f t="shared" si="95"/>
        <v>S21_2026</v>
      </c>
      <c r="BM508" s="44" t="s">
        <v>159</v>
      </c>
      <c r="BN508" s="43">
        <v>46174</v>
      </c>
      <c r="BO508" s="36" t="str">
        <f t="shared" si="105"/>
        <v>S23_2026</v>
      </c>
      <c r="BP508" s="44" t="s">
        <v>114</v>
      </c>
      <c r="BQ508" s="44" t="s">
        <v>971</v>
      </c>
      <c r="BR508" s="44" t="s">
        <v>451</v>
      </c>
      <c r="BS508" s="44" t="s">
        <v>132</v>
      </c>
      <c r="CI508" t="s">
        <v>119</v>
      </c>
      <c r="CK508" t="s">
        <v>138</v>
      </c>
      <c r="CP508" s="11">
        <v>46164</v>
      </c>
      <c r="CQ508" t="s">
        <v>132</v>
      </c>
      <c r="CW508" t="s">
        <v>132</v>
      </c>
      <c r="CX508" s="11">
        <v>46156</v>
      </c>
      <c r="CY508" t="str">
        <f t="shared" si="102"/>
        <v>S20_2026</v>
      </c>
      <c r="CZ508" t="s">
        <v>132</v>
      </c>
      <c r="DB508" t="s">
        <v>132</v>
      </c>
      <c r="DC508" t="s">
        <v>139</v>
      </c>
    </row>
    <row r="509" spans="1:107" x14ac:dyDescent="0.35">
      <c r="A509" t="s">
        <v>1883</v>
      </c>
      <c r="B509" s="23" t="str">
        <f t="shared" si="101"/>
        <v>S22_2026</v>
      </c>
      <c r="C509" s="10" t="str">
        <f t="shared" si="96"/>
        <v>S20_2026</v>
      </c>
      <c r="D509" s="43">
        <v>46170</v>
      </c>
      <c r="E509" s="44" t="s">
        <v>123</v>
      </c>
      <c r="F509" s="48">
        <v>28</v>
      </c>
      <c r="G509" s="44" t="s">
        <v>1564</v>
      </c>
      <c r="H509" s="44" t="s">
        <v>835</v>
      </c>
      <c r="I509" s="44"/>
      <c r="J509" s="44" t="s">
        <v>114</v>
      </c>
      <c r="K509" s="43">
        <v>46166</v>
      </c>
      <c r="L509" s="44" t="s">
        <v>126</v>
      </c>
      <c r="M509" s="44" t="s">
        <v>977</v>
      </c>
      <c r="N509" s="44" t="s">
        <v>1364</v>
      </c>
      <c r="O509" s="44" t="s">
        <v>971</v>
      </c>
      <c r="P509" s="44" t="s">
        <v>1362</v>
      </c>
      <c r="Q509" s="44" t="s">
        <v>977</v>
      </c>
      <c r="R509" s="43">
        <v>46156</v>
      </c>
      <c r="S509" s="43">
        <v>46156</v>
      </c>
      <c r="T509" s="43">
        <v>46160</v>
      </c>
      <c r="V509" s="44" t="s">
        <v>132</v>
      </c>
      <c r="W509" s="44" t="s">
        <v>114</v>
      </c>
      <c r="X509" s="44" t="s">
        <v>132</v>
      </c>
      <c r="Y509" s="44" t="s">
        <v>132</v>
      </c>
      <c r="Z509" s="44" t="s">
        <v>114</v>
      </c>
      <c r="AA509" s="44" t="s">
        <v>114</v>
      </c>
      <c r="AB509" s="44" t="s">
        <v>114</v>
      </c>
      <c r="AC509" s="44" t="s">
        <v>1238</v>
      </c>
      <c r="AD509" s="44"/>
      <c r="AE509" s="44" t="s">
        <v>114</v>
      </c>
      <c r="AF509" s="44" t="s">
        <v>114</v>
      </c>
      <c r="AG509" s="44" t="s">
        <v>114</v>
      </c>
      <c r="AH509" s="44" t="s">
        <v>132</v>
      </c>
      <c r="AI509" s="44" t="s">
        <v>132</v>
      </c>
      <c r="AJ509" s="44" t="s">
        <v>132</v>
      </c>
      <c r="AK509" s="44" t="s">
        <v>132</v>
      </c>
      <c r="AL509" s="44"/>
      <c r="AM509" s="44" t="s">
        <v>114</v>
      </c>
      <c r="AN509" s="44" t="s">
        <v>132</v>
      </c>
      <c r="AO509" s="44"/>
      <c r="AP509" s="44" t="s">
        <v>132</v>
      </c>
      <c r="AQ509" s="44" t="s">
        <v>132</v>
      </c>
      <c r="AS509" s="11">
        <v>46167</v>
      </c>
      <c r="AT509" s="44"/>
      <c r="AU509" s="44" t="s">
        <v>114</v>
      </c>
      <c r="AV509" t="s">
        <v>134</v>
      </c>
      <c r="AW509" s="44" t="s">
        <v>152</v>
      </c>
      <c r="AX509" s="44"/>
      <c r="AY509" t="s">
        <v>135</v>
      </c>
      <c r="AZ509" s="44"/>
      <c r="BA509" s="44"/>
      <c r="BB509" s="44" t="s">
        <v>114</v>
      </c>
      <c r="BC509" s="43">
        <v>46167</v>
      </c>
      <c r="BD509" s="44" t="s">
        <v>1440</v>
      </c>
      <c r="BE509" s="44"/>
      <c r="BF509" s="44" t="s">
        <v>1364</v>
      </c>
      <c r="BG509" s="44" t="s">
        <v>449</v>
      </c>
      <c r="BH509" s="44"/>
      <c r="BI509" s="43">
        <v>46174</v>
      </c>
      <c r="BJ509" t="str">
        <f t="shared" si="103"/>
        <v>S23_2026</v>
      </c>
      <c r="BK509" s="44" t="s">
        <v>137</v>
      </c>
      <c r="BL509" t="str">
        <f t="shared" ref="BL509:BL524" si="106">IFERROR("S"&amp;(IF(_xlfn.ISOWEEKNUM(BC509)&gt;0,_xlfn.ISOWEEKNUM(BC509),_xlfn.CONCAT("0",_xlfn.ISOWEEKNUM(BC509))))&amp;"_"&amp;(YEAR(BC509+26-(_xlfn.ISOWEEKNUM(BC509)))),"")</f>
        <v>S22_2026</v>
      </c>
      <c r="BM509" s="44" t="s">
        <v>159</v>
      </c>
      <c r="BN509" s="43">
        <v>46174</v>
      </c>
      <c r="BO509" s="36" t="str">
        <f t="shared" si="105"/>
        <v>S23_2026</v>
      </c>
      <c r="BP509" s="44" t="s">
        <v>114</v>
      </c>
      <c r="BQ509" s="44" t="s">
        <v>971</v>
      </c>
      <c r="BR509" s="44" t="s">
        <v>451</v>
      </c>
      <c r="BS509" s="44" t="s">
        <v>132</v>
      </c>
      <c r="CI509" t="s">
        <v>119</v>
      </c>
      <c r="CK509" t="s">
        <v>138</v>
      </c>
      <c r="CP509" s="11">
        <v>46167</v>
      </c>
      <c r="CQ509" t="s">
        <v>132</v>
      </c>
      <c r="CW509" t="s">
        <v>132</v>
      </c>
      <c r="CX509" s="11">
        <v>46156</v>
      </c>
      <c r="CY509" t="str">
        <f t="shared" si="102"/>
        <v>S20_2026</v>
      </c>
      <c r="CZ509" t="s">
        <v>132</v>
      </c>
      <c r="DB509" t="s">
        <v>132</v>
      </c>
      <c r="DC509" t="s">
        <v>139</v>
      </c>
    </row>
    <row r="510" spans="1:107" x14ac:dyDescent="0.35">
      <c r="A510" t="s">
        <v>1884</v>
      </c>
      <c r="B510" s="23" t="str">
        <f t="shared" si="101"/>
        <v>S22_2026</v>
      </c>
      <c r="C510" s="10" t="str">
        <f t="shared" si="96"/>
        <v>S20_2026</v>
      </c>
      <c r="D510" s="11">
        <v>46170</v>
      </c>
      <c r="E510" t="s">
        <v>123</v>
      </c>
      <c r="F510" s="24">
        <v>26</v>
      </c>
      <c r="G510" s="44" t="s">
        <v>437</v>
      </c>
      <c r="H510" s="44" t="s">
        <v>835</v>
      </c>
      <c r="J510" s="44" t="s">
        <v>114</v>
      </c>
      <c r="K510" s="11"/>
      <c r="L510" s="44" t="s">
        <v>793</v>
      </c>
      <c r="M510" s="44" t="s">
        <v>1885</v>
      </c>
      <c r="N510" s="44" t="s">
        <v>1886</v>
      </c>
      <c r="O510" s="44" t="s">
        <v>1887</v>
      </c>
      <c r="P510" s="44" t="s">
        <v>1888</v>
      </c>
      <c r="Q510" s="44" t="s">
        <v>1885</v>
      </c>
      <c r="R510" s="11">
        <v>46155</v>
      </c>
      <c r="S510" s="11">
        <v>46155</v>
      </c>
      <c r="T510" s="11">
        <v>46155</v>
      </c>
      <c r="V510" s="44" t="s">
        <v>132</v>
      </c>
      <c r="W510" s="44" t="s">
        <v>132</v>
      </c>
      <c r="X510" s="44" t="s">
        <v>114</v>
      </c>
      <c r="Y510" s="44" t="s">
        <v>132</v>
      </c>
      <c r="Z510" s="44" t="s">
        <v>132</v>
      </c>
      <c r="AA510" s="44" t="s">
        <v>114</v>
      </c>
      <c r="AB510" s="44" t="s">
        <v>132</v>
      </c>
      <c r="AC510" s="44" t="s">
        <v>1666</v>
      </c>
      <c r="AE510" s="44" t="s">
        <v>114</v>
      </c>
      <c r="AF510" s="44" t="s">
        <v>132</v>
      </c>
      <c r="AG510" s="44" t="s">
        <v>114</v>
      </c>
      <c r="AH510" s="44" t="s">
        <v>132</v>
      </c>
      <c r="AI510" s="44" t="s">
        <v>132</v>
      </c>
      <c r="AJ510" s="44" t="s">
        <v>132</v>
      </c>
      <c r="AK510" s="44" t="s">
        <v>132</v>
      </c>
      <c r="AL510" s="44"/>
      <c r="AM510" s="44" t="s">
        <v>114</v>
      </c>
      <c r="AN510" s="44" t="s">
        <v>114</v>
      </c>
      <c r="AO510" s="44"/>
      <c r="AP510" s="44" t="s">
        <v>132</v>
      </c>
      <c r="AQ510" s="44" t="s">
        <v>132</v>
      </c>
      <c r="AR510" s="44" t="s">
        <v>1889</v>
      </c>
      <c r="AS510" s="11">
        <v>46171</v>
      </c>
      <c r="AU510" s="44" t="s">
        <v>114</v>
      </c>
      <c r="AV510" t="s">
        <v>134</v>
      </c>
      <c r="AW510" s="44" t="s">
        <v>152</v>
      </c>
      <c r="AY510" t="s">
        <v>135</v>
      </c>
      <c r="BB510" s="44" t="s">
        <v>114</v>
      </c>
      <c r="BC510" s="11">
        <v>46169</v>
      </c>
      <c r="BD510" s="44" t="s">
        <v>116</v>
      </c>
      <c r="BE510">
        <v>657962741</v>
      </c>
      <c r="BF510" t="s">
        <v>1886</v>
      </c>
      <c r="BG510" s="44" t="s">
        <v>449</v>
      </c>
      <c r="BI510" s="11">
        <v>46174</v>
      </c>
      <c r="BJ510" t="str">
        <f t="shared" si="103"/>
        <v>S23_2026</v>
      </c>
      <c r="BK510" t="s">
        <v>793</v>
      </c>
      <c r="BL510" t="str">
        <f t="shared" si="106"/>
        <v>S22_2026</v>
      </c>
      <c r="BM510" s="44" t="s">
        <v>159</v>
      </c>
      <c r="BN510" s="11">
        <v>46174</v>
      </c>
      <c r="BO510" s="36" t="str">
        <f t="shared" si="105"/>
        <v>S23_2026</v>
      </c>
      <c r="BP510" s="44" t="s">
        <v>114</v>
      </c>
      <c r="BQ510" s="44" t="s">
        <v>450</v>
      </c>
      <c r="BR510" s="44" t="s">
        <v>451</v>
      </c>
      <c r="BS510" s="44" t="s">
        <v>132</v>
      </c>
      <c r="CI510" t="s">
        <v>119</v>
      </c>
      <c r="CK510" t="s">
        <v>138</v>
      </c>
      <c r="CP510" s="11">
        <v>46169</v>
      </c>
      <c r="CQ510" t="s">
        <v>132</v>
      </c>
      <c r="CW510" t="s">
        <v>132</v>
      </c>
      <c r="CX510" s="11">
        <v>46155</v>
      </c>
      <c r="CY510" t="str">
        <f t="shared" si="102"/>
        <v>S20_2026</v>
      </c>
      <c r="CZ510" t="s">
        <v>132</v>
      </c>
      <c r="DB510" t="s">
        <v>132</v>
      </c>
      <c r="DC510" t="s">
        <v>139</v>
      </c>
    </row>
    <row r="511" spans="1:107" x14ac:dyDescent="0.35">
      <c r="A511" s="36" t="s">
        <v>1890</v>
      </c>
      <c r="B511" s="23" t="str">
        <f t="shared" si="101"/>
        <v>S22_2026</v>
      </c>
      <c r="C511" s="10" t="str">
        <f t="shared" si="96"/>
        <v>S18_2026</v>
      </c>
      <c r="D511" s="11">
        <v>46169</v>
      </c>
      <c r="E511" t="s">
        <v>106</v>
      </c>
      <c r="F511" s="24">
        <v>44</v>
      </c>
      <c r="G511" t="s">
        <v>1891</v>
      </c>
      <c r="H511" s="44" t="s">
        <v>835</v>
      </c>
      <c r="J511" s="44" t="s">
        <v>132</v>
      </c>
      <c r="L511" s="44" t="s">
        <v>180</v>
      </c>
      <c r="M511" s="44" t="s">
        <v>836</v>
      </c>
      <c r="N511" s="44" t="s">
        <v>1892</v>
      </c>
      <c r="O511" s="44" t="s">
        <v>1893</v>
      </c>
      <c r="P511" s="44" t="s">
        <v>1894</v>
      </c>
      <c r="Q511" s="44" t="s">
        <v>836</v>
      </c>
      <c r="R511" s="11">
        <v>46144</v>
      </c>
      <c r="S511" s="11">
        <v>46144</v>
      </c>
      <c r="T511" s="11">
        <v>46144</v>
      </c>
      <c r="V511" s="44" t="s">
        <v>132</v>
      </c>
      <c r="W511" s="44" t="s">
        <v>132</v>
      </c>
      <c r="X511" s="44" t="s">
        <v>114</v>
      </c>
      <c r="Y511" s="44" t="s">
        <v>132</v>
      </c>
      <c r="Z511" s="44" t="s">
        <v>132</v>
      </c>
      <c r="AA511" s="44" t="s">
        <v>132</v>
      </c>
      <c r="AB511" s="44" t="s">
        <v>132</v>
      </c>
      <c r="AC511" s="44" t="s">
        <v>1495</v>
      </c>
      <c r="AE511" s="44" t="s">
        <v>114</v>
      </c>
      <c r="AF511" s="44" t="s">
        <v>132</v>
      </c>
      <c r="AG511" s="44" t="s">
        <v>114</v>
      </c>
      <c r="AH511" s="44" t="s">
        <v>132</v>
      </c>
      <c r="AI511" s="44" t="s">
        <v>132</v>
      </c>
      <c r="AJ511" s="44" t="s">
        <v>132</v>
      </c>
      <c r="AK511" s="44" t="s">
        <v>132</v>
      </c>
      <c r="AL511" s="44"/>
      <c r="AM511" s="44" t="s">
        <v>132</v>
      </c>
      <c r="AN511" s="44" t="s">
        <v>132</v>
      </c>
      <c r="AO511" s="44"/>
      <c r="AP511" s="44" t="s">
        <v>132</v>
      </c>
      <c r="AQ511" s="44" t="s">
        <v>132</v>
      </c>
      <c r="AR511" s="44" t="s">
        <v>1895</v>
      </c>
      <c r="AS511" s="11">
        <v>46171</v>
      </c>
      <c r="AU511" s="44" t="s">
        <v>114</v>
      </c>
      <c r="AV511" s="44" t="s">
        <v>115</v>
      </c>
      <c r="BB511" s="44" t="s">
        <v>114</v>
      </c>
      <c r="BC511" s="11">
        <v>46168</v>
      </c>
      <c r="BD511" t="s">
        <v>512</v>
      </c>
      <c r="BE511">
        <v>697288698</v>
      </c>
      <c r="BF511" t="s">
        <v>1892</v>
      </c>
      <c r="BG511" s="44" t="s">
        <v>449</v>
      </c>
      <c r="BJ511" t="str">
        <f t="shared" si="103"/>
        <v/>
      </c>
      <c r="BK511" s="44" t="s">
        <v>180</v>
      </c>
      <c r="BL511" t="str">
        <f t="shared" si="106"/>
        <v>S22_2026</v>
      </c>
      <c r="BM511" s="44" t="s">
        <v>159</v>
      </c>
      <c r="BN511" s="11">
        <v>46174</v>
      </c>
      <c r="BO511" s="36" t="str">
        <f t="shared" si="105"/>
        <v>S23_2026</v>
      </c>
      <c r="BP511" s="44" t="s">
        <v>114</v>
      </c>
      <c r="BQ511" s="44" t="s">
        <v>450</v>
      </c>
      <c r="BR511" s="44" t="s">
        <v>132</v>
      </c>
      <c r="BS511" s="44" t="s">
        <v>132</v>
      </c>
      <c r="CI511" t="s">
        <v>119</v>
      </c>
      <c r="CP511" s="11">
        <v>46167</v>
      </c>
      <c r="CQ511" t="s">
        <v>132</v>
      </c>
      <c r="CW511" t="s">
        <v>132</v>
      </c>
      <c r="CX511" s="11">
        <v>46144</v>
      </c>
      <c r="CY511" t="str">
        <f t="shared" si="102"/>
        <v>S18_2026</v>
      </c>
      <c r="CZ511" t="s">
        <v>132</v>
      </c>
      <c r="DB511" t="s">
        <v>132</v>
      </c>
      <c r="DC511" t="s">
        <v>120</v>
      </c>
    </row>
    <row r="512" spans="1:107" x14ac:dyDescent="0.35">
      <c r="A512" t="s">
        <v>1896</v>
      </c>
      <c r="B512" s="23" t="str">
        <f t="shared" si="101"/>
        <v>S22_2026</v>
      </c>
      <c r="C512" s="10" t="str">
        <f t="shared" si="96"/>
        <v>S21_2026</v>
      </c>
      <c r="D512" s="11">
        <v>46170</v>
      </c>
      <c r="E512" t="s">
        <v>123</v>
      </c>
      <c r="F512" s="24">
        <v>8</v>
      </c>
      <c r="G512" s="44" t="s">
        <v>107</v>
      </c>
      <c r="H512" s="44" t="s">
        <v>835</v>
      </c>
      <c r="J512" s="44" t="s">
        <v>114</v>
      </c>
      <c r="K512" s="11">
        <v>46162</v>
      </c>
      <c r="L512" s="44" t="s">
        <v>248</v>
      </c>
      <c r="M512" s="44" t="s">
        <v>249</v>
      </c>
      <c r="N512" s="44" t="s">
        <v>1807</v>
      </c>
      <c r="O512" s="44" t="s">
        <v>1897</v>
      </c>
      <c r="P512" s="44" t="s">
        <v>1898</v>
      </c>
      <c r="Q512" s="44" t="s">
        <v>249</v>
      </c>
      <c r="R512" s="11">
        <v>46160</v>
      </c>
      <c r="S512" s="11">
        <v>46160</v>
      </c>
      <c r="T512" s="11">
        <v>46160</v>
      </c>
      <c r="V512" s="44" t="s">
        <v>114</v>
      </c>
      <c r="W512" s="44" t="s">
        <v>114</v>
      </c>
      <c r="X512" s="44" t="s">
        <v>114</v>
      </c>
      <c r="Y512" s="44" t="s">
        <v>114</v>
      </c>
      <c r="Z512" s="44" t="s">
        <v>114</v>
      </c>
      <c r="AA512" s="44" t="s">
        <v>114</v>
      </c>
      <c r="AB512" s="44" t="s">
        <v>114</v>
      </c>
      <c r="AE512" s="44" t="s">
        <v>114</v>
      </c>
      <c r="AF512" s="44" t="s">
        <v>132</v>
      </c>
      <c r="AG512" s="44" t="s">
        <v>114</v>
      </c>
      <c r="AH512" s="44" t="s">
        <v>132</v>
      </c>
      <c r="AI512" s="44" t="s">
        <v>132</v>
      </c>
      <c r="AJ512" s="44" t="s">
        <v>132</v>
      </c>
      <c r="AK512" s="44" t="s">
        <v>132</v>
      </c>
      <c r="AL512" s="44"/>
      <c r="AM512" s="44" t="s">
        <v>132</v>
      </c>
      <c r="AN512" s="44" t="s">
        <v>114</v>
      </c>
      <c r="AO512" s="44"/>
      <c r="AP512" s="44" t="s">
        <v>132</v>
      </c>
      <c r="AQ512" s="44" t="s">
        <v>132</v>
      </c>
      <c r="AR512" s="44" t="s">
        <v>1899</v>
      </c>
      <c r="AS512" s="11">
        <v>46168</v>
      </c>
      <c r="AU512" s="44" t="s">
        <v>114</v>
      </c>
      <c r="AV512" s="44" t="s">
        <v>115</v>
      </c>
      <c r="BB512" s="44" t="s">
        <v>114</v>
      </c>
      <c r="BC512" s="11">
        <v>46163</v>
      </c>
      <c r="BD512" t="s">
        <v>116</v>
      </c>
      <c r="BE512">
        <v>665055510</v>
      </c>
      <c r="BF512" t="s">
        <v>1900</v>
      </c>
      <c r="BG512" t="s">
        <v>449</v>
      </c>
      <c r="BJ512" t="str">
        <f t="shared" si="103"/>
        <v/>
      </c>
      <c r="BK512" s="44" t="s">
        <v>253</v>
      </c>
      <c r="BL512" t="str">
        <f t="shared" si="106"/>
        <v>S21_2026</v>
      </c>
      <c r="BM512" s="44" t="s">
        <v>159</v>
      </c>
      <c r="BN512" s="11">
        <v>46170</v>
      </c>
      <c r="BO512" s="36" t="str">
        <f t="shared" si="105"/>
        <v>S22_2026</v>
      </c>
      <c r="BP512" t="s">
        <v>114</v>
      </c>
      <c r="BQ512" t="s">
        <v>450</v>
      </c>
      <c r="BR512" t="s">
        <v>451</v>
      </c>
      <c r="BS512" s="44" t="s">
        <v>132</v>
      </c>
      <c r="CI512" t="s">
        <v>119</v>
      </c>
      <c r="CP512" s="11">
        <v>46162</v>
      </c>
      <c r="CQ512" t="s">
        <v>132</v>
      </c>
      <c r="CW512" t="s">
        <v>132</v>
      </c>
      <c r="CX512" s="11">
        <v>46163</v>
      </c>
      <c r="CY512" t="str">
        <f t="shared" si="102"/>
        <v>S21_2026</v>
      </c>
      <c r="CZ512" t="s">
        <v>132</v>
      </c>
      <c r="DB512" t="s">
        <v>132</v>
      </c>
      <c r="DC512" t="s">
        <v>120</v>
      </c>
    </row>
    <row r="513" spans="1:107" x14ac:dyDescent="0.35">
      <c r="A513" s="36" t="s">
        <v>1901</v>
      </c>
      <c r="B513" s="23" t="str">
        <f t="shared" si="101"/>
        <v>S22_2026</v>
      </c>
      <c r="C513" s="10" t="str">
        <f t="shared" ref="C513:C524" si="107">IFERROR("S"&amp;(IF(_xlfn.ISOWEEKNUM(R513)&gt;0,_xlfn.ISOWEEKNUM(R513),_xlfn.CONCAT("0",_xlfn.ISOWEEKNUM(R513))))&amp;"_"&amp;(YEAR(R513+26-(_xlfn.ISOWEEKNUM(R513)))),"")</f>
        <v>S21_2026</v>
      </c>
      <c r="D513" s="11">
        <v>46171</v>
      </c>
      <c r="E513" t="s">
        <v>106</v>
      </c>
      <c r="F513" s="24">
        <v>25</v>
      </c>
      <c r="G513" s="44" t="s">
        <v>1751</v>
      </c>
      <c r="H513" s="44" t="s">
        <v>835</v>
      </c>
      <c r="J513" s="44" t="s">
        <v>132</v>
      </c>
      <c r="L513" s="44" t="s">
        <v>170</v>
      </c>
      <c r="M513" s="44" t="s">
        <v>776</v>
      </c>
      <c r="N513" s="44" t="s">
        <v>1380</v>
      </c>
      <c r="O513" s="44" t="s">
        <v>1381</v>
      </c>
      <c r="P513" s="44" t="s">
        <v>1902</v>
      </c>
      <c r="Q513" s="44" t="s">
        <v>776</v>
      </c>
      <c r="R513" s="11">
        <v>46161</v>
      </c>
      <c r="S513" s="11">
        <v>46161</v>
      </c>
      <c r="T513" s="11">
        <v>46161</v>
      </c>
      <c r="V513" s="44" t="s">
        <v>132</v>
      </c>
      <c r="W513" s="44" t="s">
        <v>132</v>
      </c>
      <c r="X513" s="44" t="s">
        <v>132</v>
      </c>
      <c r="Y513" s="44" t="s">
        <v>132</v>
      </c>
      <c r="Z513" s="44" t="s">
        <v>132</v>
      </c>
      <c r="AA513" s="44" t="s">
        <v>114</v>
      </c>
      <c r="AB513" s="44" t="s">
        <v>114</v>
      </c>
      <c r="AC513" s="44" t="s">
        <v>1147</v>
      </c>
      <c r="AE513" s="44" t="s">
        <v>132</v>
      </c>
      <c r="AF513" s="44" t="s">
        <v>132</v>
      </c>
      <c r="AG513" s="44" t="s">
        <v>114</v>
      </c>
      <c r="AH513" s="44" t="s">
        <v>132</v>
      </c>
      <c r="AI513" s="44" t="s">
        <v>132</v>
      </c>
      <c r="AJ513" s="44" t="s">
        <v>1903</v>
      </c>
      <c r="AK513" s="44" t="s">
        <v>132</v>
      </c>
      <c r="AL513" s="44"/>
      <c r="AM513" s="44" t="s">
        <v>132</v>
      </c>
      <c r="AN513" s="44" t="s">
        <v>114</v>
      </c>
      <c r="AO513" s="44"/>
      <c r="AP513" s="44" t="s">
        <v>132</v>
      </c>
      <c r="AQ513" s="44" t="s">
        <v>132</v>
      </c>
      <c r="AR513" s="44" t="s">
        <v>1904</v>
      </c>
      <c r="AS513" s="11">
        <v>46174</v>
      </c>
      <c r="AV513" s="44" t="s">
        <v>115</v>
      </c>
      <c r="BB513" s="44" t="s">
        <v>114</v>
      </c>
      <c r="BC513" s="11">
        <v>46169</v>
      </c>
      <c r="BD513" t="s">
        <v>116</v>
      </c>
      <c r="BE513">
        <v>670077836</v>
      </c>
      <c r="BF513" t="s">
        <v>1380</v>
      </c>
      <c r="BG513" s="44" t="s">
        <v>132</v>
      </c>
      <c r="BJ513" t="str">
        <f t="shared" si="103"/>
        <v/>
      </c>
      <c r="BK513" s="44" t="s">
        <v>170</v>
      </c>
      <c r="BL513" t="str">
        <f t="shared" si="106"/>
        <v>S22_2026</v>
      </c>
      <c r="BM513" s="44" t="s">
        <v>159</v>
      </c>
      <c r="BN513" s="11">
        <v>46175</v>
      </c>
      <c r="BO513" s="36" t="str">
        <f t="shared" si="105"/>
        <v>S23_2026</v>
      </c>
      <c r="BP513" s="44" t="s">
        <v>114</v>
      </c>
      <c r="BQ513" s="44" t="s">
        <v>118</v>
      </c>
      <c r="BR513" t="s">
        <v>451</v>
      </c>
      <c r="BS513" s="44" t="s">
        <v>132</v>
      </c>
      <c r="CI513" t="s">
        <v>119</v>
      </c>
      <c r="CP513" s="11">
        <v>46169</v>
      </c>
      <c r="CQ513" t="s">
        <v>132</v>
      </c>
      <c r="CW513" t="s">
        <v>132</v>
      </c>
      <c r="CX513" s="11">
        <v>46161</v>
      </c>
      <c r="CY513" t="str">
        <f t="shared" si="102"/>
        <v>S21_2026</v>
      </c>
      <c r="CZ513" t="s">
        <v>132</v>
      </c>
      <c r="DB513" t="s">
        <v>132</v>
      </c>
      <c r="DC513" t="s">
        <v>120</v>
      </c>
    </row>
    <row r="514" spans="1:107" x14ac:dyDescent="0.35">
      <c r="A514" t="s">
        <v>1905</v>
      </c>
      <c r="B514" s="23" t="str">
        <f t="shared" si="101"/>
        <v>S22_2026</v>
      </c>
      <c r="C514" s="10" t="str">
        <f t="shared" si="107"/>
        <v/>
      </c>
      <c r="D514" s="11">
        <v>46171</v>
      </c>
      <c r="E514" t="s">
        <v>106</v>
      </c>
      <c r="F514" s="24">
        <v>5</v>
      </c>
      <c r="H514" s="44" t="s">
        <v>835</v>
      </c>
      <c r="L514" s="44" t="s">
        <v>793</v>
      </c>
      <c r="M514" s="44" t="s">
        <v>1642</v>
      </c>
      <c r="Q514" s="44" t="s">
        <v>1642</v>
      </c>
      <c r="AR514" t="s">
        <v>1906</v>
      </c>
      <c r="AS514" s="11">
        <v>46170</v>
      </c>
      <c r="AU514" t="s">
        <v>114</v>
      </c>
      <c r="AV514" t="s">
        <v>115</v>
      </c>
      <c r="BB514" s="44" t="s">
        <v>114</v>
      </c>
      <c r="BC514" s="11">
        <v>46167</v>
      </c>
      <c r="BD514" t="s">
        <v>455</v>
      </c>
      <c r="BF514" s="44" t="s">
        <v>1907</v>
      </c>
      <c r="BG514" t="s">
        <v>449</v>
      </c>
      <c r="BJ514" t="str">
        <f t="shared" si="103"/>
        <v/>
      </c>
      <c r="BK514" t="s">
        <v>793</v>
      </c>
      <c r="BL514" t="str">
        <f t="shared" si="106"/>
        <v>S22_2026</v>
      </c>
      <c r="BM514" s="44" t="s">
        <v>159</v>
      </c>
      <c r="BN514" s="11">
        <v>46171</v>
      </c>
      <c r="BO514" s="36" t="str">
        <f t="shared" si="105"/>
        <v>S22_2026</v>
      </c>
      <c r="BP514" t="s">
        <v>114</v>
      </c>
      <c r="BQ514" t="s">
        <v>450</v>
      </c>
      <c r="BS514" s="44" t="s">
        <v>132</v>
      </c>
      <c r="CI514" t="s">
        <v>119</v>
      </c>
      <c r="CP514" s="11">
        <v>46167</v>
      </c>
      <c r="CQ514" t="s">
        <v>132</v>
      </c>
      <c r="CW514" t="s">
        <v>132</v>
      </c>
      <c r="CX514" s="11">
        <v>46162</v>
      </c>
      <c r="CY514" t="str">
        <f t="shared" si="102"/>
        <v>S21_2026</v>
      </c>
      <c r="CZ514" t="s">
        <v>132</v>
      </c>
      <c r="DB514" t="s">
        <v>132</v>
      </c>
      <c r="DC514" t="s">
        <v>120</v>
      </c>
    </row>
    <row r="515" spans="1:107" x14ac:dyDescent="0.35">
      <c r="A515" s="36" t="s">
        <v>1908</v>
      </c>
      <c r="B515" s="23" t="str">
        <f t="shared" si="101"/>
        <v>S23_2026</v>
      </c>
      <c r="C515" s="10" t="str">
        <f t="shared" si="107"/>
        <v>S22_2026</v>
      </c>
      <c r="D515" s="11">
        <v>46174</v>
      </c>
      <c r="E515" t="s">
        <v>106</v>
      </c>
      <c r="F515" s="24">
        <v>9</v>
      </c>
      <c r="G515" s="44" t="s">
        <v>107</v>
      </c>
      <c r="H515" s="44" t="s">
        <v>835</v>
      </c>
      <c r="J515" s="44" t="s">
        <v>114</v>
      </c>
      <c r="K515" s="11">
        <v>46169</v>
      </c>
      <c r="L515" s="44" t="s">
        <v>182</v>
      </c>
      <c r="M515" s="44" t="s">
        <v>193</v>
      </c>
      <c r="N515" s="44" t="s">
        <v>194</v>
      </c>
      <c r="O515" s="44" t="s">
        <v>1909</v>
      </c>
      <c r="P515" s="44" t="s">
        <v>1910</v>
      </c>
      <c r="Q515" s="44" t="s">
        <v>193</v>
      </c>
      <c r="R515" s="11">
        <v>46169</v>
      </c>
      <c r="V515" s="44" t="s">
        <v>132</v>
      </c>
      <c r="W515" s="44" t="s">
        <v>132</v>
      </c>
      <c r="X515" s="44" t="s">
        <v>132</v>
      </c>
      <c r="Y515" s="44" t="s">
        <v>132</v>
      </c>
      <c r="Z515" s="44" t="s">
        <v>132</v>
      </c>
      <c r="AA515" s="44" t="s">
        <v>114</v>
      </c>
      <c r="AB515" s="44" t="s">
        <v>132</v>
      </c>
      <c r="AC515" s="44" t="s">
        <v>1067</v>
      </c>
      <c r="AF515" s="44" t="s">
        <v>132</v>
      </c>
      <c r="AG515" s="44" t="s">
        <v>132</v>
      </c>
      <c r="AH515" s="44" t="s">
        <v>132</v>
      </c>
      <c r="AI515" s="44" t="s">
        <v>114</v>
      </c>
      <c r="AJ515" s="44" t="s">
        <v>132</v>
      </c>
      <c r="AK515" s="44" t="s">
        <v>132</v>
      </c>
      <c r="AL515" s="44"/>
      <c r="AM515" s="44" t="s">
        <v>132</v>
      </c>
      <c r="AN515" s="44" t="s">
        <v>132</v>
      </c>
      <c r="AO515" s="44"/>
      <c r="AP515" s="44" t="s">
        <v>132</v>
      </c>
      <c r="AQ515" s="44" t="s">
        <v>132</v>
      </c>
      <c r="AR515" s="44" t="s">
        <v>1911</v>
      </c>
      <c r="AS515" s="11">
        <v>46174</v>
      </c>
      <c r="AV515" t="s">
        <v>134</v>
      </c>
      <c r="AW515" t="s">
        <v>152</v>
      </c>
      <c r="AY515" t="s">
        <v>135</v>
      </c>
      <c r="BB515" s="44" t="s">
        <v>114</v>
      </c>
      <c r="BC515" s="11">
        <v>46170</v>
      </c>
      <c r="BD515" t="s">
        <v>116</v>
      </c>
      <c r="BE515">
        <v>680357755</v>
      </c>
      <c r="BF515" t="s">
        <v>1912</v>
      </c>
      <c r="BG515" t="s">
        <v>449</v>
      </c>
      <c r="BI515" s="11">
        <v>46174</v>
      </c>
      <c r="BJ515" t="str">
        <f t="shared" si="103"/>
        <v>S23_2026</v>
      </c>
      <c r="BK515" s="44" t="s">
        <v>187</v>
      </c>
      <c r="BL515" t="str">
        <f t="shared" si="106"/>
        <v>S22_2026</v>
      </c>
      <c r="BM515" s="44" t="s">
        <v>159</v>
      </c>
      <c r="BN515" s="11">
        <v>46174</v>
      </c>
      <c r="BO515" s="36" t="str">
        <f t="shared" si="105"/>
        <v>S23_2026</v>
      </c>
      <c r="BP515" t="s">
        <v>114</v>
      </c>
      <c r="BQ515" t="s">
        <v>450</v>
      </c>
      <c r="BR515" t="s">
        <v>451</v>
      </c>
      <c r="BS515" s="44" t="s">
        <v>132</v>
      </c>
      <c r="CI515" t="s">
        <v>119</v>
      </c>
      <c r="CK515" t="s">
        <v>138</v>
      </c>
      <c r="CP515" s="11">
        <v>46169</v>
      </c>
      <c r="CQ515" t="s">
        <v>132</v>
      </c>
      <c r="CW515" t="s">
        <v>132</v>
      </c>
      <c r="CX515" s="11">
        <v>46169</v>
      </c>
      <c r="CY515" t="str">
        <f t="shared" si="102"/>
        <v>S22_2026</v>
      </c>
      <c r="CZ515" t="s">
        <v>132</v>
      </c>
      <c r="DB515" t="s">
        <v>132</v>
      </c>
      <c r="DC515" t="s">
        <v>139</v>
      </c>
    </row>
    <row r="516" spans="1:107" x14ac:dyDescent="0.35">
      <c r="A516" t="s">
        <v>1913</v>
      </c>
      <c r="B516" s="23" t="str">
        <f t="shared" si="101"/>
        <v>S23_2026</v>
      </c>
      <c r="C516" s="10" t="str">
        <f t="shared" si="107"/>
        <v>S21_2026</v>
      </c>
      <c r="D516" s="49">
        <v>46175</v>
      </c>
      <c r="E516" s="22" t="s">
        <v>123</v>
      </c>
      <c r="F516" s="50">
        <v>49</v>
      </c>
      <c r="G516" s="22" t="s">
        <v>1914</v>
      </c>
      <c r="H516" s="22" t="s">
        <v>835</v>
      </c>
      <c r="I516" s="22"/>
      <c r="J516" s="22" t="s">
        <v>114</v>
      </c>
      <c r="K516" s="49">
        <v>46172</v>
      </c>
      <c r="L516" s="22" t="s">
        <v>126</v>
      </c>
      <c r="M516" s="22" t="s">
        <v>977</v>
      </c>
      <c r="N516" s="22" t="s">
        <v>1364</v>
      </c>
      <c r="O516" s="22" t="s">
        <v>971</v>
      </c>
      <c r="P516" s="22" t="s">
        <v>1053</v>
      </c>
      <c r="Q516" s="22" t="s">
        <v>1053</v>
      </c>
      <c r="R516" s="49">
        <v>46165</v>
      </c>
      <c r="S516" s="49">
        <v>46165</v>
      </c>
      <c r="T516" s="49">
        <v>46168</v>
      </c>
      <c r="V516" s="22" t="s">
        <v>132</v>
      </c>
      <c r="W516" s="22" t="s">
        <v>114</v>
      </c>
      <c r="X516" s="22" t="s">
        <v>132</v>
      </c>
      <c r="Y516" s="22" t="s">
        <v>132</v>
      </c>
      <c r="Z516" s="22" t="s">
        <v>132</v>
      </c>
      <c r="AA516" s="22" t="s">
        <v>132</v>
      </c>
      <c r="AB516" s="22" t="s">
        <v>132</v>
      </c>
      <c r="AC516" s="22"/>
      <c r="AD516" s="22"/>
      <c r="AE516" s="22" t="s">
        <v>114</v>
      </c>
      <c r="AF516" s="22" t="s">
        <v>132</v>
      </c>
      <c r="AG516" s="22" t="s">
        <v>114</v>
      </c>
      <c r="AH516" s="22" t="s">
        <v>132</v>
      </c>
      <c r="AI516" s="22" t="s">
        <v>132</v>
      </c>
      <c r="AJ516" s="22" t="s">
        <v>132</v>
      </c>
      <c r="AK516" s="22" t="s">
        <v>114</v>
      </c>
      <c r="AL516" s="22"/>
      <c r="AM516" s="22" t="s">
        <v>114</v>
      </c>
      <c r="AN516" s="22" t="s">
        <v>114</v>
      </c>
      <c r="AO516" s="22"/>
      <c r="AP516" s="22" t="s">
        <v>132</v>
      </c>
      <c r="AQ516" s="22" t="s">
        <v>132</v>
      </c>
      <c r="AS516" s="11">
        <v>46176</v>
      </c>
      <c r="AT516" s="22"/>
      <c r="AU516" s="22" t="s">
        <v>114</v>
      </c>
      <c r="AV516" t="s">
        <v>134</v>
      </c>
      <c r="AW516" s="22" t="s">
        <v>152</v>
      </c>
      <c r="AY516" t="s">
        <v>135</v>
      </c>
      <c r="AZ516" s="22"/>
      <c r="BA516" s="22"/>
      <c r="BB516" s="22" t="s">
        <v>114</v>
      </c>
      <c r="BC516" s="49">
        <v>46176</v>
      </c>
      <c r="BD516" t="s">
        <v>116</v>
      </c>
      <c r="BE516" s="22"/>
      <c r="BF516" s="22" t="s">
        <v>1915</v>
      </c>
      <c r="BG516" s="22" t="s">
        <v>449</v>
      </c>
      <c r="BH516" s="22"/>
      <c r="BI516" s="49">
        <v>46188</v>
      </c>
      <c r="BJ516" t="str">
        <f t="shared" si="103"/>
        <v>S25_2026</v>
      </c>
      <c r="BK516" s="22" t="s">
        <v>137</v>
      </c>
      <c r="BL516" t="str">
        <f t="shared" si="106"/>
        <v>S23_2026</v>
      </c>
      <c r="BM516" s="44" t="s">
        <v>159</v>
      </c>
      <c r="BN516" s="49">
        <v>46188</v>
      </c>
      <c r="BO516" s="36" t="str">
        <f t="shared" si="105"/>
        <v>S25_2026</v>
      </c>
      <c r="BP516" s="22" t="s">
        <v>114</v>
      </c>
      <c r="BQ516" s="22" t="s">
        <v>971</v>
      </c>
      <c r="BR516" s="22" t="s">
        <v>142</v>
      </c>
      <c r="BS516" s="22" t="s">
        <v>132</v>
      </c>
      <c r="CI516" t="s">
        <v>119</v>
      </c>
      <c r="CK516" t="s">
        <v>138</v>
      </c>
      <c r="CP516" s="49">
        <v>46174</v>
      </c>
      <c r="CQ516" t="s">
        <v>132</v>
      </c>
      <c r="CW516" t="s">
        <v>132</v>
      </c>
      <c r="CX516" s="49">
        <v>46165</v>
      </c>
      <c r="CY516" t="str">
        <f t="shared" si="102"/>
        <v>S21_2026</v>
      </c>
      <c r="CZ516" t="s">
        <v>132</v>
      </c>
      <c r="DB516" t="s">
        <v>132</v>
      </c>
      <c r="DC516" t="s">
        <v>139</v>
      </c>
    </row>
    <row r="517" spans="1:107" x14ac:dyDescent="0.35">
      <c r="A517" t="s">
        <v>1916</v>
      </c>
      <c r="B517" s="23" t="str">
        <f t="shared" si="101"/>
        <v>S23_2026</v>
      </c>
      <c r="C517" s="10" t="str">
        <f t="shared" si="107"/>
        <v>S20_2026</v>
      </c>
      <c r="D517" s="49">
        <v>46176</v>
      </c>
      <c r="E517" s="22" t="s">
        <v>106</v>
      </c>
      <c r="F517" s="50">
        <v>45</v>
      </c>
      <c r="G517" s="22" t="s">
        <v>1917</v>
      </c>
      <c r="H517" s="22" t="s">
        <v>835</v>
      </c>
      <c r="I517" s="22"/>
      <c r="J517" s="22" t="s">
        <v>132</v>
      </c>
      <c r="L517" s="22" t="s">
        <v>126</v>
      </c>
      <c r="M517" s="22" t="s">
        <v>130</v>
      </c>
      <c r="N517" s="22" t="s">
        <v>1524</v>
      </c>
      <c r="O517" s="22" t="s">
        <v>1525</v>
      </c>
      <c r="P517" s="22" t="s">
        <v>1918</v>
      </c>
      <c r="Q517" s="22" t="s">
        <v>130</v>
      </c>
      <c r="R517" s="49">
        <v>46156</v>
      </c>
      <c r="S517" s="49">
        <v>46156</v>
      </c>
      <c r="T517" s="49">
        <v>46158</v>
      </c>
      <c r="V517" s="22" t="s">
        <v>114</v>
      </c>
      <c r="W517" s="22" t="s">
        <v>114</v>
      </c>
      <c r="X517" s="22" t="s">
        <v>114</v>
      </c>
      <c r="Y517" s="22" t="s">
        <v>114</v>
      </c>
      <c r="Z517" s="22" t="s">
        <v>114</v>
      </c>
      <c r="AA517" s="22" t="s">
        <v>132</v>
      </c>
      <c r="AB517" s="22" t="s">
        <v>114</v>
      </c>
      <c r="AC517" s="22" t="s">
        <v>1238</v>
      </c>
      <c r="AD517" s="22"/>
      <c r="AE517" s="22" t="s">
        <v>114</v>
      </c>
      <c r="AF517" s="22" t="s">
        <v>132</v>
      </c>
      <c r="AG517" s="22" t="s">
        <v>114</v>
      </c>
      <c r="AH517" s="22" t="s">
        <v>114</v>
      </c>
      <c r="AI517" s="22" t="s">
        <v>132</v>
      </c>
      <c r="AJ517" s="22" t="s">
        <v>1837</v>
      </c>
      <c r="AK517" s="22" t="s">
        <v>132</v>
      </c>
      <c r="AL517" s="22"/>
      <c r="AM517" s="22" t="s">
        <v>132</v>
      </c>
      <c r="AN517" s="22" t="s">
        <v>114</v>
      </c>
      <c r="AO517" s="22"/>
      <c r="AP517" s="22" t="s">
        <v>132</v>
      </c>
      <c r="AQ517" s="22" t="s">
        <v>132</v>
      </c>
      <c r="AS517" s="11">
        <v>46164</v>
      </c>
      <c r="AT517" s="22"/>
      <c r="AU517" s="22" t="s">
        <v>114</v>
      </c>
      <c r="AV517" t="s">
        <v>134</v>
      </c>
      <c r="AW517" s="22" t="s">
        <v>152</v>
      </c>
      <c r="AY517" t="s">
        <v>135</v>
      </c>
      <c r="BA517" s="22"/>
      <c r="BB517" s="22" t="s">
        <v>114</v>
      </c>
      <c r="BC517" s="49">
        <v>46163</v>
      </c>
      <c r="BD517" s="22" t="s">
        <v>1919</v>
      </c>
      <c r="BE517" s="22"/>
      <c r="BF517" s="22" t="s">
        <v>1524</v>
      </c>
      <c r="BG517" s="22" t="s">
        <v>449</v>
      </c>
      <c r="BH517" s="22"/>
      <c r="BI517" s="49">
        <v>46176</v>
      </c>
      <c r="BJ517" t="str">
        <f t="shared" si="103"/>
        <v>S23_2026</v>
      </c>
      <c r="BK517" s="22" t="s">
        <v>137</v>
      </c>
      <c r="BL517" t="str">
        <f t="shared" si="106"/>
        <v>S21_2026</v>
      </c>
      <c r="BM517" s="44" t="s">
        <v>159</v>
      </c>
      <c r="BN517" s="49">
        <v>46176</v>
      </c>
      <c r="BO517" s="36" t="str">
        <f t="shared" si="105"/>
        <v>S23_2026</v>
      </c>
      <c r="BP517" s="22" t="s">
        <v>114</v>
      </c>
      <c r="BQ517" s="22" t="s">
        <v>971</v>
      </c>
      <c r="BR517" s="22" t="s">
        <v>114</v>
      </c>
      <c r="BS517" s="22" t="s">
        <v>132</v>
      </c>
      <c r="CI517" t="s">
        <v>119</v>
      </c>
      <c r="CK517" t="s">
        <v>138</v>
      </c>
      <c r="CP517" s="49">
        <v>46160</v>
      </c>
      <c r="CQ517" t="s">
        <v>132</v>
      </c>
      <c r="CW517" t="s">
        <v>114</v>
      </c>
      <c r="CX517" s="49">
        <v>46156</v>
      </c>
      <c r="CY517" t="str">
        <f t="shared" si="102"/>
        <v>S20_2026</v>
      </c>
      <c r="CZ517" t="s">
        <v>132</v>
      </c>
      <c r="DB517" t="s">
        <v>132</v>
      </c>
      <c r="DC517" t="s">
        <v>139</v>
      </c>
    </row>
    <row r="518" spans="1:107" x14ac:dyDescent="0.35">
      <c r="A518" t="s">
        <v>1920</v>
      </c>
      <c r="B518" s="23" t="str">
        <f t="shared" si="101"/>
        <v>S23_2026</v>
      </c>
      <c r="C518" s="10" t="str">
        <f t="shared" si="107"/>
        <v>S20_2026</v>
      </c>
      <c r="D518" s="49">
        <v>46176</v>
      </c>
      <c r="E518" s="22" t="s">
        <v>123</v>
      </c>
      <c r="F518" s="50">
        <v>10</v>
      </c>
      <c r="G518" s="22" t="s">
        <v>107</v>
      </c>
      <c r="H518" s="22" t="s">
        <v>835</v>
      </c>
      <c r="I518" s="22"/>
      <c r="J518" s="22" t="s">
        <v>132</v>
      </c>
      <c r="L518" s="22" t="s">
        <v>126</v>
      </c>
      <c r="M518" s="22" t="s">
        <v>130</v>
      </c>
      <c r="N518" s="22" t="s">
        <v>1524</v>
      </c>
      <c r="O518" s="22" t="s">
        <v>1525</v>
      </c>
      <c r="P518" s="22" t="s">
        <v>1918</v>
      </c>
      <c r="Q518" s="22" t="s">
        <v>130</v>
      </c>
      <c r="R518" s="49">
        <v>46156</v>
      </c>
      <c r="S518" s="49">
        <v>46156</v>
      </c>
      <c r="T518" s="49">
        <v>46158</v>
      </c>
      <c r="V518" s="22" t="s">
        <v>114</v>
      </c>
      <c r="W518" s="22" t="s">
        <v>132</v>
      </c>
      <c r="X518" s="22" t="s">
        <v>132</v>
      </c>
      <c r="Y518" s="22" t="s">
        <v>132</v>
      </c>
      <c r="Z518" s="22" t="s">
        <v>114</v>
      </c>
      <c r="AA518" s="22" t="s">
        <v>132</v>
      </c>
      <c r="AB518" s="22" t="s">
        <v>114</v>
      </c>
      <c r="AC518" s="22" t="s">
        <v>1238</v>
      </c>
      <c r="AD518" s="22"/>
      <c r="AE518" s="22" t="s">
        <v>114</v>
      </c>
      <c r="AF518" s="22" t="s">
        <v>132</v>
      </c>
      <c r="AG518" s="22" t="s">
        <v>114</v>
      </c>
      <c r="AH518" s="22" t="s">
        <v>132</v>
      </c>
      <c r="AI518" s="22" t="s">
        <v>132</v>
      </c>
      <c r="AJ518" s="22" t="s">
        <v>132</v>
      </c>
      <c r="AK518" s="22" t="s">
        <v>132</v>
      </c>
      <c r="AL518" s="22"/>
      <c r="AM518" s="22" t="s">
        <v>132</v>
      </c>
      <c r="AN518" s="22" t="s">
        <v>114</v>
      </c>
      <c r="AO518" s="22"/>
      <c r="AP518" s="22" t="s">
        <v>132</v>
      </c>
      <c r="AQ518" s="22" t="s">
        <v>132</v>
      </c>
      <c r="AS518" s="11">
        <v>46164</v>
      </c>
      <c r="AT518" s="22"/>
      <c r="AU518" s="22" t="s">
        <v>114</v>
      </c>
      <c r="AV518" t="s">
        <v>134</v>
      </c>
      <c r="AW518" t="s">
        <v>152</v>
      </c>
      <c r="AY518" t="s">
        <v>135</v>
      </c>
      <c r="BA518" s="22"/>
      <c r="BB518" s="22" t="s">
        <v>114</v>
      </c>
      <c r="BC518" s="49">
        <v>46163</v>
      </c>
      <c r="BD518" s="22" t="s">
        <v>284</v>
      </c>
      <c r="BE518" s="22"/>
      <c r="BF518" s="22" t="s">
        <v>1524</v>
      </c>
      <c r="BG518" s="22" t="s">
        <v>449</v>
      </c>
      <c r="BH518" s="22"/>
      <c r="BI518" s="49">
        <v>46176</v>
      </c>
      <c r="BJ518" t="str">
        <f t="shared" si="103"/>
        <v>S23_2026</v>
      </c>
      <c r="BK518" s="22" t="s">
        <v>137</v>
      </c>
      <c r="BL518" t="str">
        <f t="shared" si="106"/>
        <v>S21_2026</v>
      </c>
      <c r="BM518" s="44" t="s">
        <v>159</v>
      </c>
      <c r="BN518" s="49">
        <v>46176</v>
      </c>
      <c r="BO518" s="36" t="str">
        <f t="shared" si="105"/>
        <v>S23_2026</v>
      </c>
      <c r="BP518" s="22" t="s">
        <v>114</v>
      </c>
      <c r="BQ518" s="22" t="s">
        <v>971</v>
      </c>
      <c r="BR518" s="22" t="s">
        <v>451</v>
      </c>
      <c r="BS518" s="22" t="s">
        <v>132</v>
      </c>
      <c r="CI518" t="s">
        <v>119</v>
      </c>
      <c r="CK518" t="s">
        <v>138</v>
      </c>
      <c r="CP518" s="49">
        <v>46160</v>
      </c>
      <c r="CQ518" t="s">
        <v>132</v>
      </c>
      <c r="CW518" t="s">
        <v>132</v>
      </c>
      <c r="CX518" s="49">
        <v>46156</v>
      </c>
      <c r="CY518" t="str">
        <f t="shared" si="102"/>
        <v>S20_2026</v>
      </c>
      <c r="CZ518" t="s">
        <v>132</v>
      </c>
      <c r="DB518" t="s">
        <v>132</v>
      </c>
      <c r="DC518" t="s">
        <v>139</v>
      </c>
    </row>
    <row r="519" spans="1:107" x14ac:dyDescent="0.35">
      <c r="A519" t="s">
        <v>1921</v>
      </c>
      <c r="B519" s="23" t="str">
        <f t="shared" si="101"/>
        <v>S23_2026</v>
      </c>
      <c r="C519" s="10" t="str">
        <f t="shared" si="107"/>
        <v>S22_2026</v>
      </c>
      <c r="D519" s="49">
        <v>46177</v>
      </c>
      <c r="E519" s="22" t="s">
        <v>106</v>
      </c>
      <c r="F519" s="50">
        <v>33</v>
      </c>
      <c r="G519" s="22" t="s">
        <v>323</v>
      </c>
      <c r="H519" s="22" t="s">
        <v>835</v>
      </c>
      <c r="I519" s="22"/>
      <c r="J519" s="22" t="s">
        <v>132</v>
      </c>
      <c r="L519" s="22" t="s">
        <v>126</v>
      </c>
      <c r="M519" s="22" t="s">
        <v>1625</v>
      </c>
      <c r="N519" s="22" t="s">
        <v>1361</v>
      </c>
      <c r="O519" s="22" t="s">
        <v>1872</v>
      </c>
      <c r="P519" s="22" t="s">
        <v>1682</v>
      </c>
      <c r="Q519" s="22" t="s">
        <v>977</v>
      </c>
      <c r="R519" s="49">
        <v>46170</v>
      </c>
      <c r="S519" s="22"/>
      <c r="T519" s="49">
        <v>46170</v>
      </c>
      <c r="V519" s="22" t="s">
        <v>114</v>
      </c>
      <c r="W519" s="22" t="s">
        <v>132</v>
      </c>
      <c r="X519" s="22" t="s">
        <v>132</v>
      </c>
      <c r="Y519" s="22" t="s">
        <v>114</v>
      </c>
      <c r="Z519" s="22" t="s">
        <v>114</v>
      </c>
      <c r="AA519" s="22" t="s">
        <v>132</v>
      </c>
      <c r="AB519" s="22" t="s">
        <v>114</v>
      </c>
      <c r="AC519" s="22"/>
      <c r="AD519" s="22"/>
      <c r="AE519" s="22" t="s">
        <v>132</v>
      </c>
      <c r="AF519" s="22" t="s">
        <v>132</v>
      </c>
      <c r="AG519" s="22" t="s">
        <v>114</v>
      </c>
      <c r="AH519" s="22" t="s">
        <v>132</v>
      </c>
      <c r="AI519" s="22" t="s">
        <v>132</v>
      </c>
      <c r="AJ519" s="22" t="s">
        <v>132</v>
      </c>
      <c r="AK519" s="22" t="s">
        <v>132</v>
      </c>
      <c r="AL519" s="22"/>
      <c r="AM519" s="22" t="s">
        <v>114</v>
      </c>
      <c r="AN519" s="22" t="s">
        <v>132</v>
      </c>
      <c r="AO519" s="22"/>
      <c r="AP519" s="22" t="s">
        <v>132</v>
      </c>
      <c r="AQ519" s="22" t="s">
        <v>132</v>
      </c>
      <c r="AS519" s="11">
        <v>46174</v>
      </c>
      <c r="AT519" s="22"/>
      <c r="AU519" s="22" t="s">
        <v>114</v>
      </c>
      <c r="AV519" s="22" t="s">
        <v>115</v>
      </c>
      <c r="AW519" s="22"/>
      <c r="AY519" s="22"/>
      <c r="AZ519" s="22"/>
      <c r="BA519" s="22"/>
      <c r="BB519" s="22" t="s">
        <v>114</v>
      </c>
      <c r="BC519" s="49">
        <v>46174</v>
      </c>
      <c r="BD519" s="22" t="s">
        <v>284</v>
      </c>
      <c r="BE519" s="22"/>
      <c r="BF519" s="22" t="s">
        <v>1682</v>
      </c>
      <c r="BG519" s="22" t="s">
        <v>449</v>
      </c>
      <c r="BH519" s="22"/>
      <c r="BI519" s="22"/>
      <c r="BJ519" t="str">
        <f t="shared" si="103"/>
        <v/>
      </c>
      <c r="BK519" s="22" t="s">
        <v>137</v>
      </c>
      <c r="BL519" t="str">
        <f t="shared" si="106"/>
        <v>S23_2026</v>
      </c>
      <c r="BM519" s="44" t="s">
        <v>159</v>
      </c>
      <c r="BN519" s="49">
        <v>46184</v>
      </c>
      <c r="BO519" s="36" t="str">
        <f t="shared" si="105"/>
        <v>S24_2026</v>
      </c>
      <c r="BP519" s="22" t="s">
        <v>114</v>
      </c>
      <c r="BQ519" s="22" t="s">
        <v>971</v>
      </c>
      <c r="BR519" s="22" t="s">
        <v>451</v>
      </c>
      <c r="BS519" s="22" t="s">
        <v>132</v>
      </c>
      <c r="CI519" t="s">
        <v>119</v>
      </c>
      <c r="CP519" s="49">
        <v>46174</v>
      </c>
      <c r="CQ519" t="s">
        <v>132</v>
      </c>
      <c r="CW519" t="s">
        <v>132</v>
      </c>
      <c r="CX519" s="49">
        <v>46170</v>
      </c>
      <c r="CY519" t="str">
        <f t="shared" si="102"/>
        <v>S22_2026</v>
      </c>
      <c r="CZ519" t="s">
        <v>132</v>
      </c>
      <c r="DB519" t="s">
        <v>132</v>
      </c>
      <c r="DC519" t="s">
        <v>120</v>
      </c>
    </row>
    <row r="520" spans="1:107" x14ac:dyDescent="0.35">
      <c r="A520" t="s">
        <v>1922</v>
      </c>
      <c r="B520" s="23" t="str">
        <f t="shared" si="101"/>
        <v>S23_2026</v>
      </c>
      <c r="C520" s="10" t="str">
        <f t="shared" si="107"/>
        <v>S22_2026</v>
      </c>
      <c r="D520" s="11">
        <v>46176</v>
      </c>
      <c r="E520" s="22" t="s">
        <v>106</v>
      </c>
      <c r="F520" s="50">
        <v>8</v>
      </c>
      <c r="G520" s="22" t="s">
        <v>107</v>
      </c>
      <c r="H520" s="22" t="s">
        <v>835</v>
      </c>
      <c r="J520" s="22" t="s">
        <v>132</v>
      </c>
      <c r="L520" s="22" t="s">
        <v>117</v>
      </c>
      <c r="M520" s="22" t="s">
        <v>1779</v>
      </c>
      <c r="N520" s="22" t="s">
        <v>1780</v>
      </c>
      <c r="O520" s="22" t="s">
        <v>184</v>
      </c>
      <c r="P520" s="22" t="s">
        <v>1923</v>
      </c>
      <c r="Q520" s="22" t="s">
        <v>510</v>
      </c>
      <c r="R520" s="11">
        <v>46172</v>
      </c>
      <c r="S520" s="11">
        <v>46172</v>
      </c>
      <c r="T520" s="11">
        <v>46172</v>
      </c>
      <c r="V520" s="22" t="s">
        <v>114</v>
      </c>
      <c r="W520" s="22" t="s">
        <v>114</v>
      </c>
      <c r="X520" s="22" t="s">
        <v>114</v>
      </c>
      <c r="Y520" s="22" t="s">
        <v>114</v>
      </c>
      <c r="Z520" s="22" t="s">
        <v>114</v>
      </c>
      <c r="AA520" s="22" t="s">
        <v>114</v>
      </c>
      <c r="AB520" s="22" t="s">
        <v>114</v>
      </c>
      <c r="AE520" s="22" t="s">
        <v>132</v>
      </c>
      <c r="AF520" s="22" t="s">
        <v>132</v>
      </c>
      <c r="AG520" s="22" t="s">
        <v>114</v>
      </c>
      <c r="AH520" s="22" t="s">
        <v>132</v>
      </c>
      <c r="AI520" s="22" t="s">
        <v>132</v>
      </c>
      <c r="AJ520" s="22" t="s">
        <v>132</v>
      </c>
      <c r="AK520" s="22" t="s">
        <v>132</v>
      </c>
      <c r="AL520" s="22"/>
      <c r="AM520" s="22" t="s">
        <v>114</v>
      </c>
      <c r="AN520" s="22" t="s">
        <v>132</v>
      </c>
      <c r="AO520" s="22"/>
      <c r="AP520" s="22" t="s">
        <v>132</v>
      </c>
      <c r="AQ520" s="22" t="s">
        <v>132</v>
      </c>
      <c r="AR520" s="22" t="s">
        <v>1924</v>
      </c>
      <c r="AS520" s="11">
        <v>46181</v>
      </c>
      <c r="AU520" s="22" t="s">
        <v>114</v>
      </c>
      <c r="AV520" s="22" t="s">
        <v>115</v>
      </c>
      <c r="BB520" s="22" t="s">
        <v>114</v>
      </c>
      <c r="BC520" s="11">
        <v>46177</v>
      </c>
      <c r="BD520" s="22" t="s">
        <v>1925</v>
      </c>
      <c r="BE520">
        <v>654252920</v>
      </c>
      <c r="BF520" s="22" t="s">
        <v>1628</v>
      </c>
      <c r="BG520" s="22" t="s">
        <v>449</v>
      </c>
      <c r="BJ520" t="str">
        <f t="shared" si="103"/>
        <v/>
      </c>
      <c r="BK520" s="22" t="s">
        <v>117</v>
      </c>
      <c r="BL520" t="str">
        <f t="shared" si="106"/>
        <v>S23_2026</v>
      </c>
      <c r="BM520" s="44" t="s">
        <v>159</v>
      </c>
      <c r="BN520" s="11">
        <v>46182</v>
      </c>
      <c r="BO520" s="36" t="str">
        <f t="shared" si="105"/>
        <v>S24_2026</v>
      </c>
      <c r="BP520" s="22" t="s">
        <v>114</v>
      </c>
      <c r="BQ520" s="22" t="s">
        <v>450</v>
      </c>
      <c r="BR520" s="22" t="s">
        <v>132</v>
      </c>
      <c r="BS520" s="22" t="s">
        <v>132</v>
      </c>
      <c r="CI520" t="s">
        <v>119</v>
      </c>
      <c r="CP520" s="11">
        <v>46176</v>
      </c>
      <c r="CQ520" t="s">
        <v>132</v>
      </c>
      <c r="CW520" t="s">
        <v>132</v>
      </c>
      <c r="CX520" s="11">
        <v>46172</v>
      </c>
      <c r="CY520" t="str">
        <f t="shared" si="102"/>
        <v>S22_2026</v>
      </c>
      <c r="CZ520" t="s">
        <v>132</v>
      </c>
      <c r="DB520" t="s">
        <v>132</v>
      </c>
      <c r="DC520" t="s">
        <v>120</v>
      </c>
    </row>
    <row r="521" spans="1:107" x14ac:dyDescent="0.35">
      <c r="A521" t="s">
        <v>1926</v>
      </c>
      <c r="B521" s="23" t="str">
        <f t="shared" ref="B521:B526" si="108">IFERROR("S"&amp;(IF(_xlfn.ISOWEEKNUM(D521)&gt;0,_xlfn.ISOWEEKNUM(D521),_xlfn.CONCAT("0",_xlfn.ISOWEEKNUM(D521))))&amp;"_"&amp;(YEAR(D521+26-(_xlfn.ISOWEEKNUM(D521)))),"")</f>
        <v>S23_2026</v>
      </c>
      <c r="C521" s="10" t="str">
        <f t="shared" si="107"/>
        <v>S20_2026</v>
      </c>
      <c r="D521" s="11">
        <v>46178</v>
      </c>
      <c r="E521" s="22" t="s">
        <v>123</v>
      </c>
      <c r="F521" s="50">
        <v>44</v>
      </c>
      <c r="G521" s="22" t="s">
        <v>429</v>
      </c>
      <c r="H521" s="22" t="s">
        <v>835</v>
      </c>
      <c r="J521" s="22" t="s">
        <v>114</v>
      </c>
      <c r="K521" s="11">
        <v>46177</v>
      </c>
      <c r="L521" s="22" t="s">
        <v>253</v>
      </c>
      <c r="M521" s="22" t="s">
        <v>401</v>
      </c>
      <c r="O521" s="22" t="s">
        <v>1927</v>
      </c>
      <c r="P521" s="22" t="s">
        <v>1928</v>
      </c>
      <c r="Q521" s="22" t="s">
        <v>438</v>
      </c>
      <c r="R521" s="11">
        <v>46154</v>
      </c>
      <c r="S521" s="11">
        <v>46154</v>
      </c>
      <c r="T521" s="11">
        <v>46154</v>
      </c>
      <c r="V521" s="22" t="s">
        <v>114</v>
      </c>
      <c r="W521" s="22" t="s">
        <v>114</v>
      </c>
      <c r="X521" s="22" t="s">
        <v>114</v>
      </c>
      <c r="Y521" s="22" t="s">
        <v>114</v>
      </c>
      <c r="Z521" s="22" t="s">
        <v>114</v>
      </c>
      <c r="AA521" s="22" t="s">
        <v>114</v>
      </c>
      <c r="AB521" s="22" t="s">
        <v>114</v>
      </c>
      <c r="AE521" s="22" t="s">
        <v>132</v>
      </c>
      <c r="AF521" s="22" t="s">
        <v>114</v>
      </c>
      <c r="AG521" s="22" t="s">
        <v>132</v>
      </c>
      <c r="AH521" s="22" t="s">
        <v>132</v>
      </c>
      <c r="AI521" s="22" t="s">
        <v>132</v>
      </c>
      <c r="AJ521" s="22" t="s">
        <v>132</v>
      </c>
      <c r="AK521" s="22" t="s">
        <v>114</v>
      </c>
      <c r="AL521" s="22"/>
      <c r="AM521" s="22" t="s">
        <v>132</v>
      </c>
      <c r="AN521" s="22" t="s">
        <v>132</v>
      </c>
      <c r="AO521" s="22"/>
      <c r="AP521" s="22" t="s">
        <v>132</v>
      </c>
      <c r="AQ521" s="22" t="s">
        <v>132</v>
      </c>
      <c r="AR521" s="22" t="s">
        <v>1929</v>
      </c>
      <c r="AS521" s="11">
        <v>46181</v>
      </c>
      <c r="AU521" t="s">
        <v>114</v>
      </c>
      <c r="AV521" s="22" t="s">
        <v>115</v>
      </c>
      <c r="BB521" s="22" t="s">
        <v>114</v>
      </c>
      <c r="BC521" s="11">
        <v>46177</v>
      </c>
      <c r="BD521" s="22" t="s">
        <v>512</v>
      </c>
      <c r="BE521">
        <v>655183502</v>
      </c>
      <c r="BF521" s="22" t="s">
        <v>1930</v>
      </c>
      <c r="BG521" s="22" t="s">
        <v>449</v>
      </c>
      <c r="BJ521" t="str">
        <f t="shared" si="103"/>
        <v/>
      </c>
      <c r="BK521" s="22" t="s">
        <v>253</v>
      </c>
      <c r="BL521" t="str">
        <f t="shared" si="106"/>
        <v>S23_2026</v>
      </c>
      <c r="BM521" s="44" t="s">
        <v>159</v>
      </c>
      <c r="BN521" s="11">
        <v>46182</v>
      </c>
      <c r="BO521" s="36" t="str">
        <f t="shared" si="105"/>
        <v>S24_2026</v>
      </c>
      <c r="BP521" s="22" t="s">
        <v>114</v>
      </c>
      <c r="BQ521" s="22" t="s">
        <v>450</v>
      </c>
      <c r="BR521" t="s">
        <v>132</v>
      </c>
      <c r="BS521" s="22" t="s">
        <v>132</v>
      </c>
      <c r="CI521" t="s">
        <v>119</v>
      </c>
      <c r="CP521" s="11">
        <v>46177</v>
      </c>
      <c r="CQ521" t="s">
        <v>132</v>
      </c>
      <c r="CW521" t="s">
        <v>132</v>
      </c>
      <c r="CX521" s="11">
        <v>46185</v>
      </c>
      <c r="CY521" t="str">
        <f t="shared" si="102"/>
        <v>S24_2026</v>
      </c>
      <c r="CZ521" t="s">
        <v>132</v>
      </c>
      <c r="DB521" t="s">
        <v>132</v>
      </c>
      <c r="DC521" t="s">
        <v>120</v>
      </c>
    </row>
    <row r="522" spans="1:107" x14ac:dyDescent="0.35">
      <c r="A522" t="s">
        <v>1931</v>
      </c>
      <c r="B522" s="23" t="str">
        <f t="shared" si="108"/>
        <v>S23_2026</v>
      </c>
      <c r="C522" s="10" t="str">
        <f t="shared" si="107"/>
        <v>S22_2026</v>
      </c>
      <c r="D522" s="11">
        <v>46178</v>
      </c>
      <c r="E522" t="s">
        <v>123</v>
      </c>
      <c r="F522" s="50">
        <v>4</v>
      </c>
      <c r="G522" s="22" t="s">
        <v>107</v>
      </c>
      <c r="H522" s="22" t="s">
        <v>835</v>
      </c>
      <c r="J522" s="22" t="s">
        <v>142</v>
      </c>
      <c r="L522" s="22" t="s">
        <v>793</v>
      </c>
      <c r="M522" s="22" t="s">
        <v>1642</v>
      </c>
      <c r="N522" s="22" t="s">
        <v>1932</v>
      </c>
      <c r="O522" s="22" t="s">
        <v>1933</v>
      </c>
      <c r="P522" s="22" t="s">
        <v>1934</v>
      </c>
      <c r="Q522" s="22" t="s">
        <v>1642</v>
      </c>
      <c r="R522" s="11">
        <v>46172</v>
      </c>
      <c r="S522" s="11">
        <v>46172</v>
      </c>
      <c r="T522" s="11">
        <v>46172</v>
      </c>
      <c r="V522" s="22" t="s">
        <v>114</v>
      </c>
      <c r="W522" s="22" t="s">
        <v>114</v>
      </c>
      <c r="X522" s="22" t="s">
        <v>114</v>
      </c>
      <c r="Y522" s="22" t="s">
        <v>114</v>
      </c>
      <c r="Z522" s="22" t="s">
        <v>114</v>
      </c>
      <c r="AA522" s="22" t="s">
        <v>114</v>
      </c>
      <c r="AB522" s="22" t="s">
        <v>114</v>
      </c>
      <c r="AE522" s="22" t="s">
        <v>132</v>
      </c>
      <c r="AF522" s="22" t="s">
        <v>114</v>
      </c>
      <c r="AG522" s="22" t="s">
        <v>132</v>
      </c>
      <c r="AH522" s="22" t="s">
        <v>132</v>
      </c>
      <c r="AI522" s="22" t="s">
        <v>132</v>
      </c>
      <c r="AJ522" s="22" t="s">
        <v>132</v>
      </c>
      <c r="AK522" s="22" t="s">
        <v>132</v>
      </c>
      <c r="AL522" s="22"/>
      <c r="AM522" s="22" t="s">
        <v>114</v>
      </c>
      <c r="AN522" s="22" t="s">
        <v>114</v>
      </c>
      <c r="AO522" s="22"/>
      <c r="AP522" s="22" t="s">
        <v>132</v>
      </c>
      <c r="AQ522" s="22" t="s">
        <v>132</v>
      </c>
      <c r="AR522" s="22" t="s">
        <v>1935</v>
      </c>
      <c r="AS522" s="11">
        <v>46181</v>
      </c>
      <c r="AU522" s="22" t="s">
        <v>114</v>
      </c>
      <c r="AV522" s="22" t="s">
        <v>115</v>
      </c>
      <c r="BB522" s="22" t="s">
        <v>114</v>
      </c>
      <c r="BC522" s="11">
        <v>46177</v>
      </c>
      <c r="BD522" s="22" t="s">
        <v>284</v>
      </c>
      <c r="BE522">
        <v>676556855</v>
      </c>
      <c r="BF522" s="22" t="s">
        <v>1932</v>
      </c>
      <c r="BG522" s="22" t="s">
        <v>449</v>
      </c>
      <c r="BJ522" t="str">
        <f t="shared" si="103"/>
        <v/>
      </c>
      <c r="BK522" t="s">
        <v>793</v>
      </c>
      <c r="BL522" t="str">
        <f t="shared" si="106"/>
        <v>S23_2026</v>
      </c>
      <c r="BM522" s="44" t="s">
        <v>159</v>
      </c>
      <c r="BN522" s="11">
        <v>46182</v>
      </c>
      <c r="BO522" s="36" t="str">
        <f t="shared" si="105"/>
        <v>S24_2026</v>
      </c>
      <c r="BP522" s="22" t="s">
        <v>114</v>
      </c>
      <c r="BQ522" s="22" t="s">
        <v>450</v>
      </c>
      <c r="BR522" s="22" t="s">
        <v>132</v>
      </c>
      <c r="BS522" s="22" t="s">
        <v>132</v>
      </c>
      <c r="CI522" t="s">
        <v>119</v>
      </c>
      <c r="CP522" s="11">
        <v>46177</v>
      </c>
      <c r="CQ522" t="s">
        <v>132</v>
      </c>
      <c r="CW522" t="s">
        <v>132</v>
      </c>
      <c r="CX522" s="11">
        <v>46172</v>
      </c>
      <c r="CY522" t="str">
        <f t="shared" si="102"/>
        <v>S22_2026</v>
      </c>
      <c r="CZ522" t="s">
        <v>132</v>
      </c>
      <c r="DB522" t="s">
        <v>132</v>
      </c>
      <c r="DC522" t="s">
        <v>120</v>
      </c>
    </row>
    <row r="523" spans="1:107" x14ac:dyDescent="0.35">
      <c r="A523" t="s">
        <v>1936</v>
      </c>
      <c r="B523" s="23" t="str">
        <f t="shared" si="108"/>
        <v>S23_2026</v>
      </c>
      <c r="C523" s="10" t="str">
        <f t="shared" si="107"/>
        <v>S23_2026</v>
      </c>
      <c r="D523" s="11">
        <v>46178</v>
      </c>
      <c r="E523" s="22" t="s">
        <v>106</v>
      </c>
      <c r="F523" s="24">
        <v>0.91</v>
      </c>
      <c r="G523" s="22" t="s">
        <v>141</v>
      </c>
      <c r="H523" s="22" t="s">
        <v>835</v>
      </c>
      <c r="J523" s="22" t="s">
        <v>114</v>
      </c>
      <c r="L523" s="22" t="s">
        <v>793</v>
      </c>
      <c r="M523" s="22" t="s">
        <v>1642</v>
      </c>
      <c r="N523" s="22" t="s">
        <v>1932</v>
      </c>
      <c r="O523" s="22" t="s">
        <v>1933</v>
      </c>
      <c r="P523" s="22" t="s">
        <v>1934</v>
      </c>
      <c r="Q523" s="22" t="s">
        <v>1642</v>
      </c>
      <c r="R523" s="11">
        <v>46176</v>
      </c>
      <c r="S523" s="11">
        <v>46176</v>
      </c>
      <c r="T523" s="11">
        <v>46176</v>
      </c>
      <c r="V523" s="22" t="s">
        <v>114</v>
      </c>
      <c r="W523" s="22" t="s">
        <v>114</v>
      </c>
      <c r="X523" s="22" t="s">
        <v>114</v>
      </c>
      <c r="Y523" s="22" t="s">
        <v>114</v>
      </c>
      <c r="Z523" s="22" t="s">
        <v>114</v>
      </c>
      <c r="AA523" s="22" t="s">
        <v>114</v>
      </c>
      <c r="AB523" s="22" t="s">
        <v>114</v>
      </c>
      <c r="AE523" s="22" t="s">
        <v>114</v>
      </c>
      <c r="AF523" s="22" t="s">
        <v>132</v>
      </c>
      <c r="AG523" s="22" t="s">
        <v>114</v>
      </c>
      <c r="AH523" s="22" t="s">
        <v>132</v>
      </c>
      <c r="AI523" s="22" t="s">
        <v>132</v>
      </c>
      <c r="AJ523" s="22" t="s">
        <v>132</v>
      </c>
      <c r="AK523" s="22" t="s">
        <v>132</v>
      </c>
      <c r="AL523" s="22"/>
      <c r="AM523" s="22" t="s">
        <v>114</v>
      </c>
      <c r="AN523" s="22" t="s">
        <v>114</v>
      </c>
      <c r="AO523" s="22"/>
      <c r="AP523" s="22" t="s">
        <v>132</v>
      </c>
      <c r="AQ523" s="22" t="s">
        <v>132</v>
      </c>
      <c r="AR523" s="22" t="s">
        <v>1937</v>
      </c>
      <c r="AS523" s="11">
        <v>46181</v>
      </c>
      <c r="AU523" s="22" t="s">
        <v>114</v>
      </c>
      <c r="AV523" s="22" t="s">
        <v>115</v>
      </c>
      <c r="BB523" s="22" t="s">
        <v>114</v>
      </c>
      <c r="BC523" s="11">
        <v>46177</v>
      </c>
      <c r="BD523" s="22" t="s">
        <v>284</v>
      </c>
      <c r="BE523">
        <v>680941570</v>
      </c>
      <c r="BF523" s="22" t="s">
        <v>1932</v>
      </c>
      <c r="BG523" s="22" t="s">
        <v>449</v>
      </c>
      <c r="BJ523" t="str">
        <f t="shared" si="103"/>
        <v/>
      </c>
      <c r="BK523" t="s">
        <v>793</v>
      </c>
      <c r="BL523" t="str">
        <f t="shared" si="106"/>
        <v>S23_2026</v>
      </c>
      <c r="BM523" s="44" t="s">
        <v>159</v>
      </c>
      <c r="BN523" s="11">
        <v>46182</v>
      </c>
      <c r="BO523" s="36" t="str">
        <f t="shared" si="105"/>
        <v>S24_2026</v>
      </c>
      <c r="BP523" t="s">
        <v>114</v>
      </c>
      <c r="BQ523" s="22" t="s">
        <v>450</v>
      </c>
      <c r="BR523" s="22" t="s">
        <v>132</v>
      </c>
      <c r="BS523" s="22" t="s">
        <v>132</v>
      </c>
      <c r="CI523" t="s">
        <v>119</v>
      </c>
      <c r="CP523" s="11">
        <v>46177</v>
      </c>
      <c r="CQ523" t="s">
        <v>132</v>
      </c>
      <c r="CW523" t="s">
        <v>132</v>
      </c>
      <c r="CX523" s="11">
        <v>46176</v>
      </c>
      <c r="CY523" t="str">
        <f t="shared" si="102"/>
        <v>S23_2026</v>
      </c>
      <c r="CZ523" t="s">
        <v>132</v>
      </c>
      <c r="DB523" t="s">
        <v>132</v>
      </c>
      <c r="DC523" t="s">
        <v>120</v>
      </c>
    </row>
    <row r="524" spans="1:107" x14ac:dyDescent="0.35">
      <c r="A524" t="s">
        <v>1938</v>
      </c>
      <c r="B524" s="23" t="str">
        <f t="shared" si="108"/>
        <v>S23_2026</v>
      </c>
      <c r="C524" s="10" t="str">
        <f t="shared" si="107"/>
        <v>S23_2026</v>
      </c>
      <c r="D524" s="11">
        <v>46178</v>
      </c>
      <c r="E524" t="s">
        <v>106</v>
      </c>
      <c r="F524" s="24">
        <v>8</v>
      </c>
      <c r="G524" s="22" t="s">
        <v>107</v>
      </c>
      <c r="H524" s="22" t="s">
        <v>835</v>
      </c>
      <c r="J524" s="22" t="s">
        <v>142</v>
      </c>
      <c r="L524" s="22" t="s">
        <v>793</v>
      </c>
      <c r="M524" s="22" t="s">
        <v>1642</v>
      </c>
      <c r="N524" s="22" t="s">
        <v>1932</v>
      </c>
      <c r="O524" s="22" t="s">
        <v>1933</v>
      </c>
      <c r="P524" s="22" t="s">
        <v>1934</v>
      </c>
      <c r="Q524" s="22" t="s">
        <v>1642</v>
      </c>
      <c r="R524" s="11">
        <v>46176</v>
      </c>
      <c r="S524" s="11">
        <v>46176</v>
      </c>
      <c r="T524" s="11">
        <v>46176</v>
      </c>
      <c r="V524" s="22" t="s">
        <v>114</v>
      </c>
      <c r="W524" s="22" t="s">
        <v>114</v>
      </c>
      <c r="X524" s="22" t="s">
        <v>114</v>
      </c>
      <c r="Y524" s="22" t="s">
        <v>114</v>
      </c>
      <c r="Z524" s="22" t="s">
        <v>114</v>
      </c>
      <c r="AA524" s="22" t="s">
        <v>114</v>
      </c>
      <c r="AB524" s="22" t="s">
        <v>114</v>
      </c>
      <c r="AE524" s="22" t="s">
        <v>132</v>
      </c>
      <c r="AF524" s="22" t="s">
        <v>114</v>
      </c>
      <c r="AG524" s="22" t="s">
        <v>132</v>
      </c>
      <c r="AH524" s="22" t="s">
        <v>132</v>
      </c>
      <c r="AI524" s="22" t="s">
        <v>132</v>
      </c>
      <c r="AJ524" s="22" t="s">
        <v>132</v>
      </c>
      <c r="AK524" s="22" t="s">
        <v>132</v>
      </c>
      <c r="AL524" s="22"/>
      <c r="AM524" s="22" t="s">
        <v>114</v>
      </c>
      <c r="AN524" s="22" t="s">
        <v>114</v>
      </c>
      <c r="AO524" s="22"/>
      <c r="AP524" s="22" t="s">
        <v>132</v>
      </c>
      <c r="AQ524" s="22" t="s">
        <v>132</v>
      </c>
      <c r="AR524" s="22" t="s">
        <v>1939</v>
      </c>
      <c r="AS524" s="11">
        <v>46181</v>
      </c>
      <c r="AU524" s="22" t="s">
        <v>114</v>
      </c>
      <c r="AV524" s="22" t="s">
        <v>115</v>
      </c>
      <c r="BB524" s="22" t="s">
        <v>114</v>
      </c>
      <c r="BC524" s="11">
        <v>46177</v>
      </c>
      <c r="BD524" s="22" t="s">
        <v>284</v>
      </c>
      <c r="BE524">
        <v>680941570</v>
      </c>
      <c r="BF524" s="22" t="s">
        <v>1932</v>
      </c>
      <c r="BG524" s="22" t="s">
        <v>449</v>
      </c>
      <c r="BJ524" t="str">
        <f t="shared" si="103"/>
        <v/>
      </c>
      <c r="BK524" t="s">
        <v>793</v>
      </c>
      <c r="BL524" t="str">
        <f t="shared" si="106"/>
        <v>S23_2026</v>
      </c>
      <c r="BM524" s="44" t="s">
        <v>159</v>
      </c>
      <c r="BN524" s="11">
        <v>46182</v>
      </c>
      <c r="BO524" s="36" t="str">
        <f t="shared" si="105"/>
        <v>S24_2026</v>
      </c>
      <c r="BP524" t="s">
        <v>114</v>
      </c>
      <c r="BQ524" s="22" t="s">
        <v>450</v>
      </c>
      <c r="BR524" s="22" t="s">
        <v>132</v>
      </c>
      <c r="BS524" s="22" t="s">
        <v>132</v>
      </c>
      <c r="CI524" t="s">
        <v>119</v>
      </c>
      <c r="CP524" s="11">
        <v>46177</v>
      </c>
      <c r="CQ524" t="s">
        <v>132</v>
      </c>
      <c r="CW524" t="s">
        <v>132</v>
      </c>
      <c r="CX524" s="11">
        <v>46176</v>
      </c>
      <c r="CY524" t="str">
        <f>IFERROR("S"&amp;(IF(_xlfn.ISOWEEKNUM(CX524)&gt;0,_xlfn.ISOWEEKNUM(CX524),_xlfn.CONCAT("0",_xlfn.ISOWEEKNUM(CX524))))&amp;"_"&amp;(YEAR(CX524+26-(_xlfn.ISOWEEKNUM(CX524)))),"")</f>
        <v>S23_2026</v>
      </c>
      <c r="CZ524" t="s">
        <v>132</v>
      </c>
      <c r="DB524" t="s">
        <v>132</v>
      </c>
      <c r="DC524" t="s">
        <v>120</v>
      </c>
    </row>
    <row r="525" spans="1:107" x14ac:dyDescent="0.35">
      <c r="A525" s="44" t="s">
        <v>1940</v>
      </c>
      <c r="B525" s="23" t="str">
        <f t="shared" si="108"/>
        <v>S24_2026</v>
      </c>
      <c r="C525" s="10" t="str">
        <f>IFERROR("S"&amp;(IF(_xlfn.ISOWEEKNUM(R525)&gt;0,_xlfn.ISOWEEKNUM(R525),_xlfn.CONCAT("0",_xlfn.ISOWEEKNUM(R525))))&amp;"_"&amp;(YEAR(R525+26-(_xlfn.ISOWEEKNUM(R525)))),"")</f>
        <v>S23_2026</v>
      </c>
      <c r="D525" s="43">
        <v>46181</v>
      </c>
      <c r="E525" s="44" t="s">
        <v>106</v>
      </c>
      <c r="F525" s="48">
        <v>5</v>
      </c>
      <c r="G525" s="44" t="s">
        <v>107</v>
      </c>
      <c r="H525" s="44" t="s">
        <v>835</v>
      </c>
      <c r="I525" s="44"/>
      <c r="J525" s="44" t="s">
        <v>114</v>
      </c>
      <c r="K525" s="44"/>
      <c r="L525" s="43" t="s">
        <v>126</v>
      </c>
      <c r="M525" s="44" t="s">
        <v>1625</v>
      </c>
      <c r="N525" s="44" t="s">
        <v>965</v>
      </c>
      <c r="O525" s="44" t="s">
        <v>1941</v>
      </c>
      <c r="P525" s="44" t="s">
        <v>1942</v>
      </c>
      <c r="Q525" s="44" t="s">
        <v>853</v>
      </c>
      <c r="R525" s="43">
        <v>46174</v>
      </c>
      <c r="S525" s="43">
        <v>46174</v>
      </c>
      <c r="T525" s="43">
        <v>46175</v>
      </c>
      <c r="V525" s="44" t="s">
        <v>132</v>
      </c>
      <c r="W525" s="44" t="s">
        <v>114</v>
      </c>
      <c r="X525" s="44" t="s">
        <v>114</v>
      </c>
      <c r="Y525" s="44" t="s">
        <v>114</v>
      </c>
      <c r="Z525" s="44" t="s">
        <v>114</v>
      </c>
      <c r="AA525" s="44" t="s">
        <v>132</v>
      </c>
      <c r="AB525" s="44" t="s">
        <v>114</v>
      </c>
      <c r="AC525" s="44" t="s">
        <v>1238</v>
      </c>
      <c r="AD525" s="44"/>
      <c r="AE525" s="44" t="s">
        <v>114</v>
      </c>
      <c r="AF525" s="44" t="s">
        <v>132</v>
      </c>
      <c r="AG525" s="44" t="s">
        <v>132</v>
      </c>
      <c r="AH525" s="44" t="s">
        <v>132</v>
      </c>
      <c r="AI525" s="44" t="s">
        <v>132</v>
      </c>
      <c r="AJ525" s="44" t="s">
        <v>132</v>
      </c>
      <c r="AK525" s="44" t="s">
        <v>132</v>
      </c>
      <c r="AL525" s="44"/>
      <c r="AM525" s="44" t="s">
        <v>132</v>
      </c>
      <c r="AN525" s="44" t="s">
        <v>132</v>
      </c>
      <c r="AO525" s="44"/>
      <c r="AP525" s="44" t="s">
        <v>132</v>
      </c>
      <c r="AQ525" s="44" t="s">
        <v>132</v>
      </c>
      <c r="AS525" s="11">
        <v>46178</v>
      </c>
      <c r="AT525" s="44"/>
      <c r="AU525" s="44" t="s">
        <v>114</v>
      </c>
      <c r="AV525" s="44" t="s">
        <v>115</v>
      </c>
      <c r="AW525" s="44"/>
      <c r="AX525" s="44"/>
      <c r="AY525" s="44"/>
      <c r="AZ525" s="44"/>
      <c r="BA525" s="44"/>
      <c r="BB525" s="44" t="s">
        <v>114</v>
      </c>
      <c r="BC525" s="43">
        <v>46177</v>
      </c>
      <c r="BD525" s="44" t="s">
        <v>284</v>
      </c>
      <c r="BF525" s="44" t="s">
        <v>965</v>
      </c>
      <c r="BG525" s="22" t="s">
        <v>449</v>
      </c>
      <c r="BH525" s="44"/>
      <c r="BI525" s="44"/>
      <c r="BJ525" t="str">
        <f t="shared" si="103"/>
        <v/>
      </c>
      <c r="BK525" s="44" t="s">
        <v>137</v>
      </c>
      <c r="BL525" t="str">
        <f>IFERROR("S"&amp;(IF(_xlfn.ISOWEEKNUM(BC525)&gt;0,_xlfn.ISOWEEKNUM(BC525),_xlfn.CONCAT("0",_xlfn.ISOWEEKNUM(BC525))))&amp;"_"&amp;(YEAR(BC525+26-(_xlfn.ISOWEEKNUM(BC525)))),"")</f>
        <v>S23_2026</v>
      </c>
      <c r="BM525" s="44" t="s">
        <v>159</v>
      </c>
      <c r="BN525" s="43">
        <v>46184</v>
      </c>
      <c r="BO525" s="36" t="str">
        <f t="shared" si="105"/>
        <v>S24_2026</v>
      </c>
      <c r="BP525" s="44" t="s">
        <v>114</v>
      </c>
      <c r="BQ525" s="44" t="s">
        <v>971</v>
      </c>
      <c r="BR525" s="44" t="s">
        <v>132</v>
      </c>
      <c r="BS525" s="44" t="s">
        <v>132</v>
      </c>
      <c r="CI525" t="s">
        <v>119</v>
      </c>
      <c r="CP525" s="11">
        <v>46177</v>
      </c>
      <c r="CQ525" t="s">
        <v>132</v>
      </c>
      <c r="CW525" t="s">
        <v>132</v>
      </c>
      <c r="CX525" s="11">
        <v>46174</v>
      </c>
      <c r="CY525" t="str">
        <f>IFERROR("S"&amp;(IF(_xlfn.ISOWEEKNUM(CX525)&gt;0,_xlfn.ISOWEEKNUM(CX525),_xlfn.CONCAT("0",_xlfn.ISOWEEKNUM(CX525))))&amp;"_"&amp;(YEAR(CX525+26-(_xlfn.ISOWEEKNUM(CX525)))),"")</f>
        <v>S23_2026</v>
      </c>
      <c r="CZ525" t="s">
        <v>132</v>
      </c>
      <c r="DB525" t="s">
        <v>132</v>
      </c>
      <c r="DC525" t="s">
        <v>120</v>
      </c>
    </row>
    <row r="526" spans="1:107" x14ac:dyDescent="0.35">
      <c r="A526" t="s">
        <v>1943</v>
      </c>
      <c r="B526" s="23" t="str">
        <f t="shared" si="108"/>
        <v>S23_2026</v>
      </c>
      <c r="C526" s="10" t="str">
        <f>IFERROR("S"&amp;(IF(_xlfn.ISOWEEKNUM(R526)&gt;0,_xlfn.ISOWEEKNUM(R526),_xlfn.CONCAT("0",_xlfn.ISOWEEKNUM(R526))))&amp;"_"&amp;(YEAR(R526+26-(_xlfn.ISOWEEKNUM(R526)))),"")</f>
        <v>S22_2026</v>
      </c>
      <c r="D526" s="11">
        <v>46177</v>
      </c>
      <c r="E526" t="s">
        <v>106</v>
      </c>
      <c r="F526" s="24">
        <v>13</v>
      </c>
      <c r="G526" s="22" t="s">
        <v>107</v>
      </c>
      <c r="H526" s="22" t="s">
        <v>835</v>
      </c>
      <c r="J526" s="22" t="s">
        <v>132</v>
      </c>
      <c r="L526" s="22" t="s">
        <v>321</v>
      </c>
      <c r="M526" s="22" t="s">
        <v>1944</v>
      </c>
      <c r="N526" s="22" t="s">
        <v>1944</v>
      </c>
      <c r="O526" s="22" t="s">
        <v>184</v>
      </c>
      <c r="P526" s="22" t="s">
        <v>1945</v>
      </c>
      <c r="Q526" s="22" t="s">
        <v>1944</v>
      </c>
      <c r="R526" s="11">
        <v>46169</v>
      </c>
      <c r="S526" s="11">
        <v>46169</v>
      </c>
      <c r="T526" s="11">
        <v>46169</v>
      </c>
      <c r="V526" s="22" t="s">
        <v>114</v>
      </c>
      <c r="W526" s="22" t="s">
        <v>114</v>
      </c>
      <c r="X526" s="22" t="s">
        <v>114</v>
      </c>
      <c r="Y526" s="22" t="s">
        <v>114</v>
      </c>
      <c r="Z526" s="22" t="s">
        <v>114</v>
      </c>
      <c r="AA526" s="22" t="s">
        <v>114</v>
      </c>
      <c r="AB526" s="22" t="s">
        <v>114</v>
      </c>
      <c r="AE526" s="22" t="s">
        <v>114</v>
      </c>
      <c r="AF526" s="22" t="s">
        <v>114</v>
      </c>
      <c r="AG526" s="22" t="s">
        <v>114</v>
      </c>
      <c r="AH526" s="22" t="s">
        <v>132</v>
      </c>
      <c r="AI526" s="22" t="s">
        <v>132</v>
      </c>
      <c r="AJ526" s="22" t="s">
        <v>132</v>
      </c>
      <c r="AK526" s="22" t="s">
        <v>132</v>
      </c>
      <c r="AL526" s="22"/>
      <c r="AM526" s="22" t="s">
        <v>132</v>
      </c>
      <c r="AN526" s="22" t="s">
        <v>142</v>
      </c>
      <c r="AO526" s="22"/>
      <c r="AP526" s="22" t="s">
        <v>132</v>
      </c>
      <c r="AQ526" s="22" t="s">
        <v>132</v>
      </c>
      <c r="AR526" s="22" t="s">
        <v>1946</v>
      </c>
      <c r="AS526" s="11">
        <v>46181</v>
      </c>
      <c r="AU526" s="22" t="s">
        <v>114</v>
      </c>
      <c r="AV526" s="22" t="s">
        <v>115</v>
      </c>
      <c r="BB526" s="22" t="s">
        <v>114</v>
      </c>
      <c r="BC526" s="11">
        <v>46176</v>
      </c>
      <c r="BD526" s="22" t="s">
        <v>116</v>
      </c>
      <c r="BF526" t="s">
        <v>1944</v>
      </c>
      <c r="BG526" s="22" t="s">
        <v>449</v>
      </c>
      <c r="BJ526" t="str">
        <f t="shared" si="103"/>
        <v/>
      </c>
      <c r="BK526" s="22" t="s">
        <v>321</v>
      </c>
      <c r="BL526" t="str">
        <f>IFERROR("S"&amp;(IF(_xlfn.ISOWEEKNUM(BC526)&gt;0,_xlfn.ISOWEEKNUM(BC526),_xlfn.CONCAT("0",_xlfn.ISOWEEKNUM(BC526))))&amp;"_"&amp;(YEAR(BC526+26-(_xlfn.ISOWEEKNUM(BC526)))),"")</f>
        <v>S23_2026</v>
      </c>
      <c r="BM526" s="44" t="s">
        <v>159</v>
      </c>
      <c r="BN526" s="11">
        <v>46182</v>
      </c>
      <c r="BO526" s="36" t="str">
        <f t="shared" si="105"/>
        <v>S24_2026</v>
      </c>
      <c r="BP526" t="s">
        <v>114</v>
      </c>
      <c r="BQ526" t="s">
        <v>450</v>
      </c>
      <c r="BR526" s="22" t="s">
        <v>132</v>
      </c>
      <c r="BS526" s="22" t="s">
        <v>132</v>
      </c>
      <c r="CI526" t="s">
        <v>119</v>
      </c>
      <c r="CP526" s="11">
        <v>46171</v>
      </c>
      <c r="CQ526" t="s">
        <v>132</v>
      </c>
      <c r="CW526" t="s">
        <v>132</v>
      </c>
      <c r="CX526" s="11">
        <v>46169</v>
      </c>
      <c r="CY526" t="str">
        <f>IFERROR("S"&amp;(IF(_xlfn.ISOWEEKNUM(CX526)&gt;0,_xlfn.ISOWEEKNUM(CX526),_xlfn.CONCAT("0",_xlfn.ISOWEEKNUM(CX526))))&amp;"_"&amp;(YEAR(CX526+26-(_xlfn.ISOWEEKNUM(CX526)))),"")</f>
        <v>S22_2026</v>
      </c>
      <c r="CZ526" t="s">
        <v>132</v>
      </c>
      <c r="DB526" t="s">
        <v>132</v>
      </c>
      <c r="DC526" t="s">
        <v>120</v>
      </c>
    </row>
    <row r="527" spans="1:107" x14ac:dyDescent="0.35">
      <c r="A527" s="44" t="s">
        <v>1947</v>
      </c>
      <c r="B527" s="23" t="str">
        <f t="shared" ref="B527:B562" si="109">IFERROR("S"&amp;(IF(_xlfn.ISOWEEKNUM(D527)&gt;0,_xlfn.ISOWEEKNUM(D527),_xlfn.CONCAT("0",_xlfn.ISOWEEKNUM(D527))))&amp;"_"&amp;(YEAR(D527+26-(_xlfn.ISOWEEKNUM(D527)))),"")</f>
        <v>S24_2026</v>
      </c>
      <c r="C527" s="10" t="str">
        <f t="shared" ref="C527:C532" si="110">IFERROR("S"&amp;(IF(_xlfn.ISOWEEKNUM(R527)&gt;0,_xlfn.ISOWEEKNUM(R527),_xlfn.CONCAT("0",_xlfn.ISOWEEKNUM(R527))))&amp;"_"&amp;(YEAR(R527+26-(_xlfn.ISOWEEKNUM(R527)))),"")</f>
        <v>S23_2026</v>
      </c>
      <c r="D527" s="43">
        <v>46184</v>
      </c>
      <c r="E527" s="44" t="s">
        <v>123</v>
      </c>
      <c r="F527" s="48">
        <v>5</v>
      </c>
      <c r="G527" s="44" t="s">
        <v>107</v>
      </c>
      <c r="H527" s="44" t="s">
        <v>835</v>
      </c>
      <c r="I527" s="44"/>
      <c r="J527" s="44" t="s">
        <v>132</v>
      </c>
      <c r="K527" s="44"/>
      <c r="L527" s="44" t="s">
        <v>126</v>
      </c>
      <c r="M527" s="44" t="s">
        <v>1519</v>
      </c>
      <c r="N527" s="44" t="s">
        <v>1948</v>
      </c>
      <c r="O527" s="44" t="s">
        <v>1949</v>
      </c>
      <c r="P527" s="44" t="s">
        <v>1404</v>
      </c>
      <c r="Q527" s="44" t="s">
        <v>215</v>
      </c>
      <c r="R527" s="43">
        <v>46177</v>
      </c>
      <c r="S527" s="43">
        <v>46177</v>
      </c>
      <c r="T527" s="43">
        <v>46177</v>
      </c>
      <c r="V527" s="44" t="s">
        <v>114</v>
      </c>
      <c r="W527" s="44" t="s">
        <v>114</v>
      </c>
      <c r="X527" s="44" t="s">
        <v>114</v>
      </c>
      <c r="Y527" s="44" t="s">
        <v>114</v>
      </c>
      <c r="Z527" s="44" t="s">
        <v>114</v>
      </c>
      <c r="AA527" s="44" t="s">
        <v>132</v>
      </c>
      <c r="AB527" s="44" t="s">
        <v>114</v>
      </c>
      <c r="AC527" s="44" t="s">
        <v>1238</v>
      </c>
      <c r="AD527" s="44">
        <v>500</v>
      </c>
      <c r="AE527" s="44" t="s">
        <v>132</v>
      </c>
      <c r="AF527" s="44" t="s">
        <v>114</v>
      </c>
      <c r="AG527" s="44" t="s">
        <v>132</v>
      </c>
      <c r="AH527" s="44" t="s">
        <v>132</v>
      </c>
      <c r="AI527" s="44" t="s">
        <v>132</v>
      </c>
      <c r="AJ527" s="44" t="s">
        <v>132</v>
      </c>
      <c r="AK527" s="44" t="s">
        <v>114</v>
      </c>
      <c r="AL527" s="44"/>
      <c r="AM527" s="44" t="s">
        <v>114</v>
      </c>
      <c r="AN527" s="44" t="s">
        <v>132</v>
      </c>
      <c r="AO527" s="44"/>
      <c r="AP527" s="44" t="s">
        <v>132</v>
      </c>
      <c r="AQ527" s="44" t="s">
        <v>132</v>
      </c>
      <c r="AS527" s="11">
        <v>46183</v>
      </c>
      <c r="AT527" s="44"/>
      <c r="AU527" s="44" t="s">
        <v>114</v>
      </c>
      <c r="AV527" s="44" t="s">
        <v>115</v>
      </c>
      <c r="AW527" s="44"/>
      <c r="AX527" s="44"/>
      <c r="AY527" s="44"/>
      <c r="AZ527" s="44"/>
      <c r="BA527" s="44"/>
      <c r="BB527" s="44" t="s">
        <v>114</v>
      </c>
      <c r="BC527" s="43">
        <v>46181</v>
      </c>
      <c r="BD527" s="44" t="s">
        <v>1950</v>
      </c>
      <c r="BE527" s="44"/>
      <c r="BF527" s="44" t="s">
        <v>1948</v>
      </c>
      <c r="BG527" s="22" t="s">
        <v>449</v>
      </c>
      <c r="BH527" s="44"/>
      <c r="BI527" s="44"/>
      <c r="BJ527" t="str">
        <f t="shared" si="103"/>
        <v/>
      </c>
      <c r="BK527" s="44" t="s">
        <v>137</v>
      </c>
      <c r="BL527" t="str">
        <f t="shared" ref="BL527:BL590" si="111">IFERROR("S"&amp;(IF(_xlfn.ISOWEEKNUM(BC527)&gt;0,_xlfn.ISOWEEKNUM(BC527),_xlfn.CONCAT("0",_xlfn.ISOWEEKNUM(BC527))))&amp;"_"&amp;(YEAR(BC527+26-(_xlfn.ISOWEEKNUM(BC527)))),"")</f>
        <v>S24_2026</v>
      </c>
      <c r="BM527" s="44" t="s">
        <v>159</v>
      </c>
      <c r="BN527" s="43">
        <v>46184</v>
      </c>
      <c r="BO527" s="36" t="str">
        <f t="shared" si="105"/>
        <v>S24_2026</v>
      </c>
      <c r="BP527" s="44" t="s">
        <v>114</v>
      </c>
      <c r="BQ527" s="44" t="s">
        <v>971</v>
      </c>
      <c r="BR527" s="22" t="s">
        <v>451</v>
      </c>
      <c r="BS527" s="22" t="s">
        <v>132</v>
      </c>
      <c r="CI527" t="s">
        <v>119</v>
      </c>
      <c r="CP527" s="43">
        <v>46181</v>
      </c>
      <c r="CQ527" t="s">
        <v>132</v>
      </c>
      <c r="CW527" t="s">
        <v>132</v>
      </c>
      <c r="CX527" s="43">
        <v>46177</v>
      </c>
      <c r="CY527" t="str">
        <f t="shared" ref="CY527:CY592" si="112">IFERROR("S"&amp;(IF(_xlfn.ISOWEEKNUM(CX527)&gt;0,_xlfn.ISOWEEKNUM(CX527),_xlfn.CONCAT("0",_xlfn.ISOWEEKNUM(CX527))))&amp;"_"&amp;(YEAR(CX527+26-(_xlfn.ISOWEEKNUM(CX527)))),"")</f>
        <v>S23_2026</v>
      </c>
      <c r="CZ527" t="s">
        <v>132</v>
      </c>
      <c r="DB527" t="s">
        <v>132</v>
      </c>
      <c r="DC527" t="s">
        <v>120</v>
      </c>
    </row>
    <row r="528" spans="1:107" x14ac:dyDescent="0.35">
      <c r="A528" s="44" t="s">
        <v>1951</v>
      </c>
      <c r="B528" s="23" t="str">
        <f t="shared" si="109"/>
        <v>S24_2026</v>
      </c>
      <c r="C528" s="10" t="str">
        <f t="shared" si="110"/>
        <v>S21_2026</v>
      </c>
      <c r="D528" s="43">
        <v>46184</v>
      </c>
      <c r="E528" s="44" t="s">
        <v>123</v>
      </c>
      <c r="F528" s="48">
        <v>36</v>
      </c>
      <c r="G528" s="44" t="s">
        <v>1952</v>
      </c>
      <c r="H528" s="44" t="s">
        <v>835</v>
      </c>
      <c r="I528" s="44"/>
      <c r="J528" s="44" t="s">
        <v>132</v>
      </c>
      <c r="K528" s="44"/>
      <c r="L528" s="44" t="s">
        <v>126</v>
      </c>
      <c r="M528" s="44" t="s">
        <v>1519</v>
      </c>
      <c r="N528" s="44" t="s">
        <v>202</v>
      </c>
      <c r="O528" s="44" t="s">
        <v>1949</v>
      </c>
      <c r="P528" s="44" t="s">
        <v>1404</v>
      </c>
      <c r="Q528" s="44" t="s">
        <v>215</v>
      </c>
      <c r="R528" s="43">
        <v>46165</v>
      </c>
      <c r="S528" s="43">
        <v>46174</v>
      </c>
      <c r="T528" s="43">
        <v>46165</v>
      </c>
      <c r="V528" s="44" t="s">
        <v>114</v>
      </c>
      <c r="W528" s="44" t="s">
        <v>114</v>
      </c>
      <c r="X528" s="44" t="s">
        <v>114</v>
      </c>
      <c r="Y528" s="44" t="s">
        <v>114</v>
      </c>
      <c r="Z528" s="44" t="s">
        <v>114</v>
      </c>
      <c r="AA528" s="44" t="s">
        <v>114</v>
      </c>
      <c r="AB528" s="44" t="s">
        <v>114</v>
      </c>
      <c r="AC528" s="44" t="s">
        <v>1238</v>
      </c>
      <c r="AD528" s="44">
        <v>80</v>
      </c>
      <c r="AE528" s="44" t="s">
        <v>114</v>
      </c>
      <c r="AF528" s="44" t="s">
        <v>114</v>
      </c>
      <c r="AG528" s="44" t="s">
        <v>114</v>
      </c>
      <c r="AH528" s="44" t="s">
        <v>114</v>
      </c>
      <c r="AI528" s="44" t="s">
        <v>132</v>
      </c>
      <c r="AJ528" s="44" t="s">
        <v>132</v>
      </c>
      <c r="AK528" s="44" t="s">
        <v>114</v>
      </c>
      <c r="AL528" s="44"/>
      <c r="AM528" s="44" t="s">
        <v>132</v>
      </c>
      <c r="AN528" s="44" t="s">
        <v>132</v>
      </c>
      <c r="AO528" s="44"/>
      <c r="AP528" s="44" t="s">
        <v>132</v>
      </c>
      <c r="AQ528" s="44" t="s">
        <v>132</v>
      </c>
      <c r="AS528" s="11">
        <v>46182</v>
      </c>
      <c r="AT528" s="44"/>
      <c r="AU528" s="44" t="s">
        <v>114</v>
      </c>
      <c r="AV528" t="s">
        <v>134</v>
      </c>
      <c r="AW528" s="44" t="s">
        <v>152</v>
      </c>
      <c r="AX528" s="44"/>
      <c r="AY528" t="s">
        <v>135</v>
      </c>
      <c r="AZ528" s="44"/>
      <c r="BA528" s="44"/>
      <c r="BB528" s="44" t="s">
        <v>114</v>
      </c>
      <c r="BC528" s="43">
        <v>46182</v>
      </c>
      <c r="BD528" s="44" t="s">
        <v>1953</v>
      </c>
      <c r="BE528" s="44"/>
      <c r="BF528" s="44" t="s">
        <v>340</v>
      </c>
      <c r="BG528" s="22" t="s">
        <v>449</v>
      </c>
      <c r="BH528" s="44"/>
      <c r="BI528" s="43">
        <v>46185</v>
      </c>
      <c r="BJ528" t="str">
        <f t="shared" si="103"/>
        <v>S24_2026</v>
      </c>
      <c r="BK528" s="44" t="s">
        <v>137</v>
      </c>
      <c r="BL528" t="str">
        <f t="shared" si="111"/>
        <v>S24_2026</v>
      </c>
      <c r="BM528" s="44" t="s">
        <v>159</v>
      </c>
      <c r="BN528" s="43">
        <v>46185</v>
      </c>
      <c r="BO528" s="36" t="str">
        <f t="shared" si="105"/>
        <v>S24_2026</v>
      </c>
      <c r="BP528" s="44" t="s">
        <v>114</v>
      </c>
      <c r="BQ528" s="44" t="s">
        <v>971</v>
      </c>
      <c r="BR528" s="22" t="s">
        <v>451</v>
      </c>
      <c r="BS528" s="22" t="s">
        <v>132</v>
      </c>
      <c r="CI528" t="s">
        <v>119</v>
      </c>
      <c r="CK528" t="s">
        <v>138</v>
      </c>
      <c r="CP528" s="43">
        <v>46182</v>
      </c>
      <c r="CQ528" t="s">
        <v>132</v>
      </c>
      <c r="CW528" t="s">
        <v>132</v>
      </c>
      <c r="CX528" s="43">
        <v>46165</v>
      </c>
      <c r="CY528" t="str">
        <f t="shared" si="112"/>
        <v>S21_2026</v>
      </c>
      <c r="CZ528" t="s">
        <v>132</v>
      </c>
      <c r="DB528" t="s">
        <v>132</v>
      </c>
      <c r="DC528" t="s">
        <v>139</v>
      </c>
    </row>
    <row r="529" spans="1:107" x14ac:dyDescent="0.35">
      <c r="A529" s="44" t="s">
        <v>1954</v>
      </c>
      <c r="B529" s="23" t="str">
        <f t="shared" si="109"/>
        <v>S24_2026</v>
      </c>
      <c r="C529" s="10" t="str">
        <f t="shared" si="110"/>
        <v>S23_2026</v>
      </c>
      <c r="D529" s="43">
        <v>46184</v>
      </c>
      <c r="E529" s="44" t="s">
        <v>106</v>
      </c>
      <c r="F529" s="48">
        <v>27</v>
      </c>
      <c r="G529" s="44" t="s">
        <v>1593</v>
      </c>
      <c r="H529" s="44" t="s">
        <v>835</v>
      </c>
      <c r="I529" s="44"/>
      <c r="J529" s="44" t="s">
        <v>132</v>
      </c>
      <c r="K529" s="44"/>
      <c r="L529" s="44" t="s">
        <v>126</v>
      </c>
      <c r="M529" s="44" t="s">
        <v>1519</v>
      </c>
      <c r="N529" s="44" t="s">
        <v>202</v>
      </c>
      <c r="O529" s="44" t="s">
        <v>1949</v>
      </c>
      <c r="P529" s="44" t="s">
        <v>1404</v>
      </c>
      <c r="Q529" s="44" t="s">
        <v>215</v>
      </c>
      <c r="R529" s="43">
        <v>46178</v>
      </c>
      <c r="S529" s="43">
        <v>46178</v>
      </c>
      <c r="T529" s="43">
        <v>46180</v>
      </c>
      <c r="V529" s="44" t="s">
        <v>132</v>
      </c>
      <c r="W529" s="44" t="s">
        <v>132</v>
      </c>
      <c r="X529" s="44" t="s">
        <v>132</v>
      </c>
      <c r="Y529" s="44" t="s">
        <v>132</v>
      </c>
      <c r="Z529" s="44" t="s">
        <v>114</v>
      </c>
      <c r="AA529" s="44" t="s">
        <v>114</v>
      </c>
      <c r="AB529" s="44" t="s">
        <v>114</v>
      </c>
      <c r="AC529" s="44" t="s">
        <v>294</v>
      </c>
      <c r="AD529" s="44">
        <v>12</v>
      </c>
      <c r="AE529" s="44" t="s">
        <v>132</v>
      </c>
      <c r="AF529" s="44" t="s">
        <v>114</v>
      </c>
      <c r="AG529" s="44" t="s">
        <v>114</v>
      </c>
      <c r="AH529" s="44" t="s">
        <v>114</v>
      </c>
      <c r="AI529" s="44" t="s">
        <v>132</v>
      </c>
      <c r="AJ529" s="44" t="s">
        <v>132</v>
      </c>
      <c r="AK529" s="44" t="s">
        <v>114</v>
      </c>
      <c r="AL529" s="44"/>
      <c r="AM529" s="44" t="s">
        <v>114</v>
      </c>
      <c r="AN529" s="44" t="s">
        <v>132</v>
      </c>
      <c r="AO529" s="44"/>
      <c r="AP529" s="44" t="s">
        <v>132</v>
      </c>
      <c r="AQ529" s="44" t="s">
        <v>132</v>
      </c>
      <c r="AS529" s="11">
        <v>46182</v>
      </c>
      <c r="AT529" s="44"/>
      <c r="AU529" s="44" t="s">
        <v>114</v>
      </c>
      <c r="AV529" t="s">
        <v>134</v>
      </c>
      <c r="AW529" s="44" t="s">
        <v>152</v>
      </c>
      <c r="AX529" s="44"/>
      <c r="AY529" t="s">
        <v>135</v>
      </c>
      <c r="AZ529" s="44"/>
      <c r="BA529" s="44"/>
      <c r="BB529" s="44" t="s">
        <v>114</v>
      </c>
      <c r="BC529" s="43">
        <v>46182</v>
      </c>
      <c r="BD529" s="44" t="s">
        <v>1955</v>
      </c>
      <c r="BE529" s="44"/>
      <c r="BF529" s="44" t="s">
        <v>340</v>
      </c>
      <c r="BG529" s="22" t="s">
        <v>449</v>
      </c>
      <c r="BH529" s="44"/>
      <c r="BI529" s="43">
        <v>46185</v>
      </c>
      <c r="BJ529" t="str">
        <f t="shared" ref="BJ529:BJ592" si="113">IFERROR("S"&amp;(IF(_xlfn.ISOWEEKNUM(BI529)&gt;0,_xlfn.ISOWEEKNUM(BI529),_xlfn.CONCAT("0",_xlfn.ISOWEEKNUM(BI529))))&amp;"_"&amp;(YEAR(BI529+26-(_xlfn.ISOWEEKNUM(BI529)))),"")</f>
        <v>S24_2026</v>
      </c>
      <c r="BK529" s="44" t="s">
        <v>137</v>
      </c>
      <c r="BL529" t="str">
        <f t="shared" si="111"/>
        <v>S24_2026</v>
      </c>
      <c r="BM529" s="44" t="s">
        <v>159</v>
      </c>
      <c r="BN529" s="43">
        <v>46185</v>
      </c>
      <c r="BO529" s="36" t="str">
        <f t="shared" si="105"/>
        <v>S24_2026</v>
      </c>
      <c r="BP529" s="44" t="s">
        <v>114</v>
      </c>
      <c r="BQ529" s="44" t="s">
        <v>971</v>
      </c>
      <c r="BR529" s="22" t="s">
        <v>451</v>
      </c>
      <c r="BS529" s="22" t="s">
        <v>132</v>
      </c>
      <c r="CI529" t="s">
        <v>119</v>
      </c>
      <c r="CK529" t="s">
        <v>138</v>
      </c>
      <c r="CP529" s="43">
        <v>46182</v>
      </c>
      <c r="CQ529" t="s">
        <v>132</v>
      </c>
      <c r="CW529" t="s">
        <v>132</v>
      </c>
      <c r="CX529" s="43">
        <v>46178</v>
      </c>
      <c r="CY529" t="str">
        <f t="shared" si="112"/>
        <v>S23_2026</v>
      </c>
      <c r="CZ529" t="s">
        <v>132</v>
      </c>
      <c r="DB529" t="s">
        <v>132</v>
      </c>
      <c r="DC529" t="s">
        <v>139</v>
      </c>
    </row>
    <row r="530" spans="1:107" x14ac:dyDescent="0.35">
      <c r="A530" s="44" t="s">
        <v>1956</v>
      </c>
      <c r="B530" s="23" t="str">
        <f t="shared" si="109"/>
        <v>S24_2026</v>
      </c>
      <c r="C530" s="10" t="str">
        <f t="shared" si="110"/>
        <v>S23_2026</v>
      </c>
      <c r="D530" s="43">
        <v>46184</v>
      </c>
      <c r="E530" s="44" t="s">
        <v>123</v>
      </c>
      <c r="F530" s="48">
        <v>25</v>
      </c>
      <c r="G530" s="44" t="s">
        <v>1952</v>
      </c>
      <c r="H530" s="44" t="s">
        <v>835</v>
      </c>
      <c r="I530" s="44"/>
      <c r="J530" s="44" t="s">
        <v>114</v>
      </c>
      <c r="K530" s="43">
        <v>46183</v>
      </c>
      <c r="L530" s="44" t="s">
        <v>126</v>
      </c>
      <c r="M530" s="44" t="s">
        <v>1625</v>
      </c>
      <c r="N530" s="44" t="s">
        <v>1361</v>
      </c>
      <c r="O530" s="44" t="s">
        <v>1872</v>
      </c>
      <c r="P530" s="44" t="s">
        <v>1361</v>
      </c>
      <c r="Q530" s="44" t="s">
        <v>853</v>
      </c>
      <c r="R530" s="43">
        <v>46180</v>
      </c>
      <c r="S530" s="43">
        <v>46180</v>
      </c>
      <c r="T530" s="43">
        <v>46180</v>
      </c>
      <c r="V530" s="44" t="s">
        <v>132</v>
      </c>
      <c r="W530" s="44" t="s">
        <v>114</v>
      </c>
      <c r="X530" s="44" t="s">
        <v>114</v>
      </c>
      <c r="Y530" s="44" t="s">
        <v>114</v>
      </c>
      <c r="Z530" s="44" t="s">
        <v>114</v>
      </c>
      <c r="AA530" s="44" t="s">
        <v>114</v>
      </c>
      <c r="AB530" s="44" t="s">
        <v>114</v>
      </c>
      <c r="AC530" s="44" t="s">
        <v>1238</v>
      </c>
      <c r="AD530" s="53" t="s">
        <v>1957</v>
      </c>
      <c r="AE530" s="44" t="s">
        <v>132</v>
      </c>
      <c r="AF530" s="44" t="s">
        <v>114</v>
      </c>
      <c r="AG530" s="44" t="s">
        <v>132</v>
      </c>
      <c r="AH530" s="44" t="s">
        <v>132</v>
      </c>
      <c r="AI530" s="44" t="s">
        <v>132</v>
      </c>
      <c r="AJ530" s="44" t="s">
        <v>132</v>
      </c>
      <c r="AK530" s="44" t="s">
        <v>132</v>
      </c>
      <c r="AL530" s="44"/>
      <c r="AM530" s="44" t="s">
        <v>132</v>
      </c>
      <c r="AN530" s="44" t="s">
        <v>132</v>
      </c>
      <c r="AO530" s="44"/>
      <c r="AP530" s="44" t="s">
        <v>132</v>
      </c>
      <c r="AQ530" s="44" t="s">
        <v>132</v>
      </c>
      <c r="AS530" s="11">
        <v>46183</v>
      </c>
      <c r="AT530" s="44"/>
      <c r="AU530" s="44" t="s">
        <v>114</v>
      </c>
      <c r="AV530" s="44" t="s">
        <v>115</v>
      </c>
      <c r="AW530" s="44"/>
      <c r="AX530" s="44"/>
      <c r="AY530" s="44"/>
      <c r="AZ530" s="44"/>
      <c r="BA530" s="44"/>
      <c r="BB530" s="44" t="s">
        <v>114</v>
      </c>
      <c r="BC530" s="43">
        <v>46183</v>
      </c>
      <c r="BD530" s="44" t="s">
        <v>1958</v>
      </c>
      <c r="BE530" s="44"/>
      <c r="BF530" s="44" t="s">
        <v>1361</v>
      </c>
      <c r="BG530" s="44" t="s">
        <v>449</v>
      </c>
      <c r="BH530" s="44"/>
      <c r="BI530" s="44"/>
      <c r="BJ530" t="str">
        <f t="shared" si="113"/>
        <v/>
      </c>
      <c r="BK530" s="44" t="s">
        <v>137</v>
      </c>
      <c r="BL530" t="str">
        <f t="shared" si="111"/>
        <v>S24_2026</v>
      </c>
      <c r="BM530" s="44" t="s">
        <v>159</v>
      </c>
      <c r="BN530" s="43">
        <v>46184</v>
      </c>
      <c r="BO530" s="36" t="str">
        <f t="shared" si="105"/>
        <v>S24_2026</v>
      </c>
      <c r="BP530" s="44" t="s">
        <v>114</v>
      </c>
      <c r="BQ530" s="44" t="s">
        <v>971</v>
      </c>
      <c r="BR530" s="22" t="s">
        <v>451</v>
      </c>
      <c r="BS530" s="22" t="s">
        <v>132</v>
      </c>
      <c r="CI530" t="s">
        <v>119</v>
      </c>
      <c r="CP530" s="43">
        <v>46183</v>
      </c>
      <c r="CQ530" t="s">
        <v>132</v>
      </c>
      <c r="CW530" t="s">
        <v>132</v>
      </c>
      <c r="CX530" s="43">
        <v>46180</v>
      </c>
      <c r="CY530" t="str">
        <f t="shared" si="112"/>
        <v>S23_2026</v>
      </c>
      <c r="CZ530" t="s">
        <v>132</v>
      </c>
      <c r="DB530" t="s">
        <v>132</v>
      </c>
      <c r="DC530" t="s">
        <v>120</v>
      </c>
    </row>
    <row r="531" spans="1:107" x14ac:dyDescent="0.35">
      <c r="A531" t="s">
        <v>1959</v>
      </c>
      <c r="B531" s="23" t="str">
        <f t="shared" si="109"/>
        <v>S24_2026</v>
      </c>
      <c r="C531" s="10" t="str">
        <f t="shared" si="110"/>
        <v>S24_2026</v>
      </c>
      <c r="D531" s="43">
        <v>46184</v>
      </c>
      <c r="E531" s="44" t="s">
        <v>106</v>
      </c>
      <c r="F531" s="48">
        <v>30</v>
      </c>
      <c r="G531" s="44" t="s">
        <v>1960</v>
      </c>
      <c r="H531" s="44" t="s">
        <v>835</v>
      </c>
      <c r="I531" s="44"/>
      <c r="J531" s="44" t="s">
        <v>114</v>
      </c>
      <c r="K531" s="43">
        <v>46183</v>
      </c>
      <c r="L531" s="44" t="s">
        <v>126</v>
      </c>
      <c r="M531" s="44" t="s">
        <v>1625</v>
      </c>
      <c r="N531" s="44" t="s">
        <v>1361</v>
      </c>
      <c r="O531" s="44" t="s">
        <v>1872</v>
      </c>
      <c r="P531" s="44" t="s">
        <v>977</v>
      </c>
      <c r="Q531" s="44" t="s">
        <v>977</v>
      </c>
      <c r="R531" s="43">
        <v>46181</v>
      </c>
      <c r="S531" s="43">
        <v>46177</v>
      </c>
      <c r="T531" s="43">
        <v>46181</v>
      </c>
      <c r="V531" s="44" t="s">
        <v>132</v>
      </c>
      <c r="W531" s="44" t="s">
        <v>132</v>
      </c>
      <c r="X531" s="44" t="s">
        <v>114</v>
      </c>
      <c r="Y531" s="44" t="s">
        <v>132</v>
      </c>
      <c r="Z531" s="44" t="s">
        <v>132</v>
      </c>
      <c r="AA531" s="44" t="s">
        <v>114</v>
      </c>
      <c r="AB531" s="44" t="s">
        <v>114</v>
      </c>
      <c r="AC531" s="44"/>
      <c r="AD531" s="53" t="s">
        <v>1961</v>
      </c>
      <c r="AE531" s="44" t="s">
        <v>114</v>
      </c>
      <c r="AF531" s="44" t="s">
        <v>114</v>
      </c>
      <c r="AG531" s="44" t="s">
        <v>132</v>
      </c>
      <c r="AH531" s="44" t="s">
        <v>132</v>
      </c>
      <c r="AI531" s="44" t="s">
        <v>132</v>
      </c>
      <c r="AJ531" s="44" t="s">
        <v>132</v>
      </c>
      <c r="AK531" s="44" t="s">
        <v>132</v>
      </c>
      <c r="AL531" s="44"/>
      <c r="AM531" s="44" t="s">
        <v>114</v>
      </c>
      <c r="AN531" s="44" t="s">
        <v>132</v>
      </c>
      <c r="AO531" s="44"/>
      <c r="AP531" s="44" t="s">
        <v>132</v>
      </c>
      <c r="AQ531" s="44" t="s">
        <v>132</v>
      </c>
      <c r="AS531" s="11">
        <v>46183</v>
      </c>
      <c r="AT531" s="44"/>
      <c r="AU531" s="44" t="s">
        <v>114</v>
      </c>
      <c r="AV531" t="s">
        <v>134</v>
      </c>
      <c r="AW531" s="44" t="s">
        <v>152</v>
      </c>
      <c r="AX531" s="44"/>
      <c r="AY531" t="s">
        <v>135</v>
      </c>
      <c r="AZ531" s="44"/>
      <c r="BA531" s="44"/>
      <c r="BB531" s="44" t="s">
        <v>114</v>
      </c>
      <c r="BC531" s="43">
        <v>46183</v>
      </c>
      <c r="BD531" s="44" t="s">
        <v>1958</v>
      </c>
      <c r="BE531" s="44"/>
      <c r="BF531" s="44" t="s">
        <v>977</v>
      </c>
      <c r="BG531" s="22" t="s">
        <v>449</v>
      </c>
      <c r="BH531" s="44"/>
      <c r="BI531" s="43">
        <v>46188</v>
      </c>
      <c r="BJ531" t="str">
        <f t="shared" si="113"/>
        <v>S25_2026</v>
      </c>
      <c r="BK531" s="44" t="s">
        <v>137</v>
      </c>
      <c r="BL531" t="str">
        <f t="shared" si="111"/>
        <v>S24_2026</v>
      </c>
      <c r="BM531" s="44" t="s">
        <v>159</v>
      </c>
      <c r="BN531" s="43">
        <v>46188</v>
      </c>
      <c r="BO531" s="36" t="str">
        <f t="shared" si="105"/>
        <v>S25_2026</v>
      </c>
      <c r="BP531" s="44" t="s">
        <v>114</v>
      </c>
      <c r="BQ531" s="44" t="s">
        <v>971</v>
      </c>
      <c r="BR531" s="22" t="s">
        <v>451</v>
      </c>
      <c r="BS531" s="22" t="s">
        <v>132</v>
      </c>
      <c r="CI531" t="s">
        <v>119</v>
      </c>
      <c r="CK531" t="s">
        <v>138</v>
      </c>
      <c r="CP531" s="43">
        <v>46183</v>
      </c>
      <c r="CX531" s="43">
        <v>46181</v>
      </c>
      <c r="CY531" t="str">
        <f t="shared" si="112"/>
        <v>S24_2026</v>
      </c>
      <c r="DC531" t="s">
        <v>139</v>
      </c>
    </row>
    <row r="532" spans="1:107" x14ac:dyDescent="0.35">
      <c r="A532" s="44" t="s">
        <v>1962</v>
      </c>
      <c r="B532" s="23" t="str">
        <f t="shared" si="109"/>
        <v>S24_2026</v>
      </c>
      <c r="C532" s="10" t="str">
        <f t="shared" si="110"/>
        <v/>
      </c>
      <c r="D532" s="43">
        <v>46184</v>
      </c>
      <c r="E532" s="44" t="s">
        <v>106</v>
      </c>
      <c r="F532" s="48">
        <v>9</v>
      </c>
      <c r="G532" s="44" t="s">
        <v>107</v>
      </c>
      <c r="H532" s="44" t="s">
        <v>835</v>
      </c>
      <c r="I532" s="44"/>
      <c r="J532" s="44" t="s">
        <v>132</v>
      </c>
      <c r="K532" s="44"/>
      <c r="L532" s="44" t="s">
        <v>126</v>
      </c>
      <c r="M532" s="44" t="s">
        <v>1625</v>
      </c>
      <c r="N532" s="44" t="s">
        <v>1963</v>
      </c>
      <c r="O532" s="44" t="s">
        <v>1964</v>
      </c>
      <c r="P532" s="44" t="s">
        <v>855</v>
      </c>
      <c r="Q532" s="44" t="s">
        <v>853</v>
      </c>
      <c r="R532" s="44"/>
      <c r="S532" s="44"/>
      <c r="T532" s="44"/>
      <c r="V532" s="44" t="s">
        <v>132</v>
      </c>
      <c r="W532" s="44" t="s">
        <v>114</v>
      </c>
      <c r="X532" s="44" t="s">
        <v>132</v>
      </c>
      <c r="Y532" s="44" t="s">
        <v>114</v>
      </c>
      <c r="Z532" s="44" t="s">
        <v>132</v>
      </c>
      <c r="AA532" s="44" t="s">
        <v>132</v>
      </c>
      <c r="AB532" s="44" t="s">
        <v>114</v>
      </c>
      <c r="AC532" s="44" t="s">
        <v>1238</v>
      </c>
      <c r="AD532" s="53" t="s">
        <v>1957</v>
      </c>
      <c r="AE532" s="44" t="s">
        <v>114</v>
      </c>
      <c r="AF532" s="44" t="s">
        <v>114</v>
      </c>
      <c r="AG532" s="44" t="s">
        <v>132</v>
      </c>
      <c r="AH532" s="44"/>
      <c r="AI532" s="44" t="s">
        <v>132</v>
      </c>
      <c r="AJ532" s="44" t="s">
        <v>132</v>
      </c>
      <c r="AK532" s="44" t="s">
        <v>132</v>
      </c>
      <c r="AL532" s="44"/>
      <c r="AM532" s="44" t="s">
        <v>1341</v>
      </c>
      <c r="AN532" s="44"/>
      <c r="AO532" s="44"/>
      <c r="AP532" s="44" t="s">
        <v>132</v>
      </c>
      <c r="AQ532" s="44" t="s">
        <v>132</v>
      </c>
      <c r="AS532" s="11">
        <v>46183</v>
      </c>
      <c r="AT532" s="44"/>
      <c r="AU532" s="44" t="s">
        <v>114</v>
      </c>
      <c r="AV532" s="44" t="s">
        <v>115</v>
      </c>
      <c r="AW532" s="44"/>
      <c r="AX532" s="44"/>
      <c r="AY532" s="44"/>
      <c r="AZ532" s="44"/>
      <c r="BA532" s="44"/>
      <c r="BB532" s="44" t="s">
        <v>114</v>
      </c>
      <c r="BC532" s="43">
        <v>46182</v>
      </c>
      <c r="BD532" s="44" t="s">
        <v>512</v>
      </c>
      <c r="BE532" s="44"/>
      <c r="BF532" s="44" t="s">
        <v>1963</v>
      </c>
      <c r="BG532" s="44" t="s">
        <v>449</v>
      </c>
      <c r="BH532" s="44"/>
      <c r="BI532" s="44"/>
      <c r="BJ532" t="str">
        <f t="shared" si="113"/>
        <v/>
      </c>
      <c r="BK532" s="44" t="s">
        <v>137</v>
      </c>
      <c r="BL532" t="str">
        <f t="shared" si="111"/>
        <v>S24_2026</v>
      </c>
      <c r="BM532" s="44" t="s">
        <v>159</v>
      </c>
      <c r="BN532" s="43">
        <v>46184</v>
      </c>
      <c r="BO532" s="36" t="str">
        <f t="shared" si="105"/>
        <v>S24_2026</v>
      </c>
      <c r="BP532" s="44" t="s">
        <v>114</v>
      </c>
      <c r="BQ532" s="44" t="s">
        <v>971</v>
      </c>
      <c r="BR532" s="22" t="s">
        <v>451</v>
      </c>
      <c r="BS532" s="22" t="s">
        <v>132</v>
      </c>
      <c r="CI532" t="s">
        <v>119</v>
      </c>
      <c r="CP532" s="43">
        <v>46182</v>
      </c>
      <c r="CQ532" t="s">
        <v>132</v>
      </c>
      <c r="CW532" t="s">
        <v>132</v>
      </c>
      <c r="CX532" s="43">
        <v>46182</v>
      </c>
      <c r="CY532" t="str">
        <f t="shared" si="112"/>
        <v>S24_2026</v>
      </c>
      <c r="CZ532" t="s">
        <v>132</v>
      </c>
      <c r="DB532" t="s">
        <v>132</v>
      </c>
      <c r="DC532" t="s">
        <v>120</v>
      </c>
    </row>
    <row r="533" spans="1:107" x14ac:dyDescent="0.35">
      <c r="A533" s="44" t="s">
        <v>1965</v>
      </c>
      <c r="B533" s="23" t="str">
        <f t="shared" si="109"/>
        <v>S24_2026</v>
      </c>
      <c r="C533" s="10" t="str">
        <f>IFERROR("S"&amp;(IF(_xlfn.ISOWEEKNUM(Q533)&gt;0,_xlfn.ISOWEEKNUM(Q533),_xlfn.CONCAT("0",_xlfn.ISOWEEKNUM(Q533))))&amp;"_"&amp;(YEAR(Q533+26-(_xlfn.ISOWEEKNUM(Q533)))),"")</f>
        <v/>
      </c>
      <c r="D533" s="43">
        <v>46183</v>
      </c>
      <c r="E533" s="44" t="s">
        <v>106</v>
      </c>
      <c r="F533" s="48">
        <v>62</v>
      </c>
      <c r="G533" s="44" t="s">
        <v>1966</v>
      </c>
      <c r="H533" s="44" t="s">
        <v>835</v>
      </c>
      <c r="I533" s="44"/>
      <c r="J533" s="44" t="s">
        <v>114</v>
      </c>
      <c r="K533" s="43">
        <v>46183</v>
      </c>
      <c r="L533" s="44" t="s">
        <v>126</v>
      </c>
      <c r="M533" s="44" t="s">
        <v>1224</v>
      </c>
      <c r="N533" s="44" t="s">
        <v>1224</v>
      </c>
      <c r="O533" s="44" t="s">
        <v>1967</v>
      </c>
      <c r="P533" s="44" t="s">
        <v>1968</v>
      </c>
      <c r="Q533" s="44" t="s">
        <v>973</v>
      </c>
      <c r="R533" s="43">
        <v>46179</v>
      </c>
      <c r="S533" s="43">
        <v>46180</v>
      </c>
      <c r="T533" s="43">
        <v>46179</v>
      </c>
      <c r="U533" s="44"/>
      <c r="V533" s="44" t="s">
        <v>114</v>
      </c>
      <c r="W533" s="44" t="s">
        <v>114</v>
      </c>
      <c r="X533" s="44" t="s">
        <v>132</v>
      </c>
      <c r="Y533" s="44" t="s">
        <v>132</v>
      </c>
      <c r="Z533" s="44" t="s">
        <v>114</v>
      </c>
      <c r="AA533" s="44" t="s">
        <v>114</v>
      </c>
      <c r="AB533" s="44" t="s">
        <v>114</v>
      </c>
      <c r="AC533" s="44" t="s">
        <v>1238</v>
      </c>
      <c r="AD533" s="44" t="s">
        <v>1969</v>
      </c>
      <c r="AE533" s="44" t="s">
        <v>114</v>
      </c>
      <c r="AF533" s="44" t="s">
        <v>114</v>
      </c>
      <c r="AG533" s="44" t="s">
        <v>114</v>
      </c>
      <c r="AH533" s="44" t="s">
        <v>132</v>
      </c>
      <c r="AI533" s="44" t="s">
        <v>132</v>
      </c>
      <c r="AJ533" s="44" t="s">
        <v>294</v>
      </c>
      <c r="AK533" s="44" t="s">
        <v>132</v>
      </c>
      <c r="AL533" s="44"/>
      <c r="AM533" s="44" t="s">
        <v>132</v>
      </c>
      <c r="AN533" s="44" t="s">
        <v>114</v>
      </c>
      <c r="AO533" s="44"/>
      <c r="AP533" s="44" t="s">
        <v>132</v>
      </c>
      <c r="AQ533" s="44" t="s">
        <v>132</v>
      </c>
      <c r="AS533" s="11">
        <v>46183</v>
      </c>
      <c r="AT533" s="44"/>
      <c r="AU533" s="44" t="s">
        <v>114</v>
      </c>
      <c r="AV533" s="44" t="s">
        <v>115</v>
      </c>
      <c r="AW533" s="44"/>
      <c r="AX533" s="44"/>
      <c r="AY533" s="44"/>
      <c r="AZ533" s="44"/>
      <c r="BA533" s="44"/>
      <c r="BB533" s="44" t="s">
        <v>114</v>
      </c>
      <c r="BC533" s="43">
        <v>46183</v>
      </c>
      <c r="BD533" s="44" t="s">
        <v>1970</v>
      </c>
      <c r="BE533" s="44"/>
      <c r="BF533" s="44" t="s">
        <v>974</v>
      </c>
      <c r="BG533" s="44" t="s">
        <v>449</v>
      </c>
      <c r="BH533" s="44"/>
      <c r="BI533" s="44"/>
      <c r="BJ533" t="str">
        <f t="shared" si="113"/>
        <v/>
      </c>
      <c r="BK533" s="44" t="s">
        <v>137</v>
      </c>
      <c r="BL533" t="str">
        <f t="shared" si="111"/>
        <v>S24_2026</v>
      </c>
      <c r="BM533" s="44" t="s">
        <v>159</v>
      </c>
      <c r="BN533" s="43">
        <v>46184</v>
      </c>
      <c r="BO533" s="36" t="str">
        <f t="shared" si="105"/>
        <v>S24_2026</v>
      </c>
      <c r="BP533" s="44" t="s">
        <v>114</v>
      </c>
      <c r="BQ533" s="44" t="s">
        <v>971</v>
      </c>
      <c r="BR533" s="44" t="s">
        <v>451</v>
      </c>
      <c r="BS533" s="44" t="s">
        <v>132</v>
      </c>
      <c r="CI533" t="s">
        <v>119</v>
      </c>
      <c r="CP533" s="11">
        <v>46183</v>
      </c>
      <c r="CQ533" t="s">
        <v>132</v>
      </c>
      <c r="CW533" t="s">
        <v>132</v>
      </c>
      <c r="CX533" s="11">
        <v>46179</v>
      </c>
      <c r="CY533" t="str">
        <f t="shared" si="112"/>
        <v>S23_2026</v>
      </c>
      <c r="CZ533" t="s">
        <v>132</v>
      </c>
      <c r="DB533" t="s">
        <v>132</v>
      </c>
      <c r="DC533" t="s">
        <v>120</v>
      </c>
    </row>
    <row r="534" spans="1:107" x14ac:dyDescent="0.35">
      <c r="A534" t="s">
        <v>1971</v>
      </c>
      <c r="B534" s="23" t="str">
        <f t="shared" si="109"/>
        <v>S24_2026</v>
      </c>
      <c r="C534" s="10" t="str">
        <f t="shared" ref="C534:C562" si="114">IFERROR("S"&amp;(IF(_xlfn.ISOWEEKNUM(R534)&gt;0,_xlfn.ISOWEEKNUM(R534),_xlfn.CONCAT("0",_xlfn.ISOWEEKNUM(R534))))&amp;"_"&amp;(YEAR(R534+26-(_xlfn.ISOWEEKNUM(R534)))),"")</f>
        <v>S23_2026</v>
      </c>
      <c r="D534" s="11">
        <v>46182</v>
      </c>
      <c r="E534" s="44" t="s">
        <v>123</v>
      </c>
      <c r="F534" s="48">
        <v>40</v>
      </c>
      <c r="G534" s="44" t="s">
        <v>1972</v>
      </c>
      <c r="H534" s="44" t="s">
        <v>835</v>
      </c>
      <c r="J534" s="44" t="s">
        <v>114</v>
      </c>
      <c r="K534" s="11">
        <v>46182</v>
      </c>
      <c r="L534" s="44" t="s">
        <v>117</v>
      </c>
      <c r="M534" s="44" t="s">
        <v>312</v>
      </c>
      <c r="N534" s="44" t="s">
        <v>1154</v>
      </c>
      <c r="O534" s="44" t="s">
        <v>1973</v>
      </c>
      <c r="P534" s="44" t="s">
        <v>1974</v>
      </c>
      <c r="Q534" s="44" t="s">
        <v>306</v>
      </c>
      <c r="R534" s="11">
        <v>46176</v>
      </c>
      <c r="S534" s="11">
        <v>46176</v>
      </c>
      <c r="T534" s="11">
        <v>46176</v>
      </c>
      <c r="V534" s="44" t="s">
        <v>132</v>
      </c>
      <c r="W534" s="44" t="s">
        <v>114</v>
      </c>
      <c r="X534" s="44" t="s">
        <v>114</v>
      </c>
      <c r="Y534" s="44" t="s">
        <v>114</v>
      </c>
      <c r="Z534" s="44" t="s">
        <v>114</v>
      </c>
      <c r="AA534" s="44" t="s">
        <v>114</v>
      </c>
      <c r="AB534" s="44" t="s">
        <v>114</v>
      </c>
      <c r="AC534" s="44" t="s">
        <v>1975</v>
      </c>
      <c r="AE534" s="44" t="s">
        <v>114</v>
      </c>
      <c r="AF534" s="44" t="s">
        <v>114</v>
      </c>
      <c r="AG534" s="44" t="s">
        <v>114</v>
      </c>
      <c r="AH534" s="44" t="s">
        <v>132</v>
      </c>
      <c r="AI534" s="44" t="s">
        <v>132</v>
      </c>
      <c r="AJ534" s="44" t="s">
        <v>495</v>
      </c>
      <c r="AK534" s="44" t="s">
        <v>114</v>
      </c>
      <c r="AL534" s="44"/>
      <c r="AM534" s="44" t="s">
        <v>132</v>
      </c>
      <c r="AN534" s="44" t="s">
        <v>132</v>
      </c>
      <c r="AO534" s="44"/>
      <c r="AP534" s="44" t="s">
        <v>132</v>
      </c>
      <c r="AQ534" s="44" t="s">
        <v>132</v>
      </c>
      <c r="AR534" s="44" t="s">
        <v>1976</v>
      </c>
      <c r="AS534" s="11">
        <v>46182</v>
      </c>
      <c r="AU534" s="44" t="s">
        <v>114</v>
      </c>
      <c r="AV534" t="s">
        <v>134</v>
      </c>
      <c r="AW534" s="22" t="s">
        <v>152</v>
      </c>
      <c r="AY534" t="s">
        <v>135</v>
      </c>
      <c r="BB534" s="44" t="s">
        <v>114</v>
      </c>
      <c r="BC534" s="11">
        <v>46182</v>
      </c>
      <c r="BD534" s="44" t="s">
        <v>512</v>
      </c>
      <c r="BE534">
        <v>690662663</v>
      </c>
      <c r="BF534" s="44" t="s">
        <v>1977</v>
      </c>
      <c r="BG534" s="44" t="s">
        <v>449</v>
      </c>
      <c r="BI534" s="11">
        <v>46185</v>
      </c>
      <c r="BJ534" t="str">
        <f t="shared" si="113"/>
        <v>S24_2026</v>
      </c>
      <c r="BK534" s="44" t="s">
        <v>117</v>
      </c>
      <c r="BL534" t="str">
        <f t="shared" si="111"/>
        <v>S24_2026</v>
      </c>
      <c r="BM534" s="44" t="s">
        <v>159</v>
      </c>
      <c r="BN534" s="11">
        <v>46185</v>
      </c>
      <c r="BO534" s="36" t="str">
        <f t="shared" si="105"/>
        <v>S24_2026</v>
      </c>
      <c r="BP534" s="44" t="s">
        <v>114</v>
      </c>
      <c r="BQ534" s="44" t="s">
        <v>450</v>
      </c>
      <c r="BR534" s="22" t="s">
        <v>114</v>
      </c>
      <c r="BS534" s="22" t="s">
        <v>132</v>
      </c>
      <c r="CI534" t="s">
        <v>119</v>
      </c>
      <c r="CK534" t="s">
        <v>138</v>
      </c>
      <c r="CP534" s="11">
        <v>46182</v>
      </c>
      <c r="CQ534" t="s">
        <v>132</v>
      </c>
      <c r="CW534" t="s">
        <v>114</v>
      </c>
      <c r="CX534" s="11">
        <v>46176</v>
      </c>
      <c r="CY534" t="str">
        <f t="shared" si="112"/>
        <v>S23_2026</v>
      </c>
      <c r="CZ534" t="s">
        <v>132</v>
      </c>
      <c r="DB534" t="s">
        <v>132</v>
      </c>
      <c r="DC534" t="s">
        <v>139</v>
      </c>
    </row>
    <row r="535" spans="1:107" x14ac:dyDescent="0.35">
      <c r="A535" t="s">
        <v>1978</v>
      </c>
      <c r="B535" s="23" t="str">
        <f t="shared" si="109"/>
        <v>S24_2026</v>
      </c>
      <c r="C535" s="10" t="str">
        <f t="shared" si="114"/>
        <v>S23_2026</v>
      </c>
      <c r="D535" s="11">
        <v>46183</v>
      </c>
      <c r="E535" s="44" t="s">
        <v>123</v>
      </c>
      <c r="F535" s="48">
        <v>24</v>
      </c>
      <c r="G535" s="44" t="s">
        <v>1197</v>
      </c>
      <c r="H535" s="44" t="s">
        <v>835</v>
      </c>
      <c r="J535" s="44" t="s">
        <v>132</v>
      </c>
      <c r="L535" s="44" t="s">
        <v>117</v>
      </c>
      <c r="M535" s="44" t="s">
        <v>1979</v>
      </c>
      <c r="N535" s="44" t="s">
        <v>1980</v>
      </c>
      <c r="O535" s="44" t="s">
        <v>184</v>
      </c>
      <c r="P535" s="44" t="s">
        <v>1981</v>
      </c>
      <c r="Q535" s="44" t="s">
        <v>348</v>
      </c>
      <c r="R535" s="11">
        <v>46177</v>
      </c>
      <c r="S535" s="11">
        <v>46177</v>
      </c>
      <c r="T535" s="11">
        <v>46177</v>
      </c>
      <c r="V535" s="44" t="s">
        <v>114</v>
      </c>
      <c r="W535" s="44" t="s">
        <v>114</v>
      </c>
      <c r="X535" s="44" t="s">
        <v>114</v>
      </c>
      <c r="Y535" s="44" t="s">
        <v>114</v>
      </c>
      <c r="Z535" s="44" t="s">
        <v>114</v>
      </c>
      <c r="AA535" s="44" t="s">
        <v>114</v>
      </c>
      <c r="AB535" s="44" t="s">
        <v>114</v>
      </c>
      <c r="AC535" s="44" t="s">
        <v>1115</v>
      </c>
      <c r="AE535" s="44" t="s">
        <v>114</v>
      </c>
      <c r="AF535" s="44" t="s">
        <v>114</v>
      </c>
      <c r="AG535" s="44" t="s">
        <v>114</v>
      </c>
      <c r="AH535" s="44" t="s">
        <v>132</v>
      </c>
      <c r="AI535" s="44" t="s">
        <v>132</v>
      </c>
      <c r="AJ535" s="44" t="s">
        <v>132</v>
      </c>
      <c r="AK535" s="44" t="s">
        <v>114</v>
      </c>
      <c r="AL535" s="44"/>
      <c r="AM535" s="44" t="s">
        <v>132</v>
      </c>
      <c r="AN535" s="44" t="s">
        <v>132</v>
      </c>
      <c r="AO535" s="44"/>
      <c r="AP535" s="44" t="s">
        <v>132</v>
      </c>
      <c r="AQ535" s="44" t="s">
        <v>132</v>
      </c>
      <c r="AR535" s="44" t="s">
        <v>1982</v>
      </c>
      <c r="AS535" s="11">
        <v>46183</v>
      </c>
      <c r="AU535" s="44" t="s">
        <v>114</v>
      </c>
      <c r="AV535" s="44" t="s">
        <v>115</v>
      </c>
      <c r="BB535" s="44" t="s">
        <v>114</v>
      </c>
      <c r="BC535" s="11">
        <v>46181</v>
      </c>
      <c r="BD535" s="44" t="s">
        <v>116</v>
      </c>
      <c r="BE535">
        <v>657041499</v>
      </c>
      <c r="BF535" s="44" t="s">
        <v>1983</v>
      </c>
      <c r="BG535" s="44" t="s">
        <v>449</v>
      </c>
      <c r="BJ535" t="str">
        <f t="shared" si="113"/>
        <v/>
      </c>
      <c r="BK535" s="44" t="s">
        <v>117</v>
      </c>
      <c r="BL535" t="str">
        <f t="shared" si="111"/>
        <v>S24_2026</v>
      </c>
      <c r="BM535" s="44" t="s">
        <v>159</v>
      </c>
      <c r="BN535" s="11">
        <v>46185</v>
      </c>
      <c r="BO535" s="36" t="str">
        <f t="shared" si="105"/>
        <v>S24_2026</v>
      </c>
      <c r="BP535" s="44" t="s">
        <v>114</v>
      </c>
      <c r="BQ535" s="44" t="s">
        <v>450</v>
      </c>
      <c r="BR535" s="22" t="s">
        <v>451</v>
      </c>
      <c r="BS535" s="22" t="s">
        <v>132</v>
      </c>
      <c r="CI535" t="s">
        <v>119</v>
      </c>
      <c r="CP535" s="11">
        <v>46183</v>
      </c>
      <c r="CQ535" t="s">
        <v>132</v>
      </c>
      <c r="CW535" t="s">
        <v>132</v>
      </c>
      <c r="CX535" s="11">
        <v>46177</v>
      </c>
      <c r="CY535" t="str">
        <f t="shared" si="112"/>
        <v>S23_2026</v>
      </c>
      <c r="CZ535" t="s">
        <v>132</v>
      </c>
      <c r="DB535" t="s">
        <v>132</v>
      </c>
      <c r="DC535" t="s">
        <v>120</v>
      </c>
    </row>
    <row r="536" spans="1:107" x14ac:dyDescent="0.35">
      <c r="A536" t="s">
        <v>1984</v>
      </c>
      <c r="B536" s="23" t="str">
        <f t="shared" si="109"/>
        <v>S24_2026</v>
      </c>
      <c r="C536" s="10" t="str">
        <f t="shared" si="114"/>
        <v>S23_2026</v>
      </c>
      <c r="D536" s="11">
        <v>46183</v>
      </c>
      <c r="E536" s="44" t="s">
        <v>106</v>
      </c>
      <c r="F536" s="48">
        <v>10</v>
      </c>
      <c r="G536" s="44" t="s">
        <v>107</v>
      </c>
      <c r="H536" s="44" t="s">
        <v>835</v>
      </c>
      <c r="J536" s="44" t="s">
        <v>114</v>
      </c>
      <c r="K536" s="11">
        <v>46183</v>
      </c>
      <c r="L536" s="44" t="s">
        <v>117</v>
      </c>
      <c r="M536" s="44" t="s">
        <v>306</v>
      </c>
      <c r="N536" s="44" t="s">
        <v>1985</v>
      </c>
      <c r="O536" s="44" t="s">
        <v>1986</v>
      </c>
      <c r="P536" s="44" t="s">
        <v>1985</v>
      </c>
      <c r="Q536" s="44" t="s">
        <v>306</v>
      </c>
      <c r="R536" s="11">
        <v>46179</v>
      </c>
      <c r="S536" s="11">
        <v>46179</v>
      </c>
      <c r="T536" s="11">
        <v>46179</v>
      </c>
      <c r="V536" s="44" t="s">
        <v>114</v>
      </c>
      <c r="W536" s="44" t="s">
        <v>114</v>
      </c>
      <c r="X536" s="44" t="s">
        <v>114</v>
      </c>
      <c r="Y536" s="44" t="s">
        <v>114</v>
      </c>
      <c r="Z536" s="44" t="s">
        <v>114</v>
      </c>
      <c r="AA536" s="44" t="s">
        <v>114</v>
      </c>
      <c r="AB536" s="44" t="s">
        <v>114</v>
      </c>
      <c r="AE536" s="44" t="s">
        <v>132</v>
      </c>
      <c r="AF536" s="44" t="s">
        <v>114</v>
      </c>
      <c r="AG536" s="44" t="s">
        <v>132</v>
      </c>
      <c r="AH536" s="44" t="s">
        <v>132</v>
      </c>
      <c r="AI536" s="44" t="s">
        <v>132</v>
      </c>
      <c r="AJ536" s="44" t="s">
        <v>132</v>
      </c>
      <c r="AK536" s="44" t="s">
        <v>132</v>
      </c>
      <c r="AL536" s="44"/>
      <c r="AM536" s="44" t="s">
        <v>132</v>
      </c>
      <c r="AN536" s="44" t="s">
        <v>132</v>
      </c>
      <c r="AO536" s="44"/>
      <c r="AP536" s="44" t="s">
        <v>132</v>
      </c>
      <c r="AQ536" s="44" t="s">
        <v>132</v>
      </c>
      <c r="AR536" s="44" t="s">
        <v>1987</v>
      </c>
      <c r="AS536" s="11">
        <v>46185</v>
      </c>
      <c r="AU536" s="44" t="s">
        <v>114</v>
      </c>
      <c r="AV536" s="44" t="s">
        <v>115</v>
      </c>
      <c r="BB536" s="44" t="s">
        <v>114</v>
      </c>
      <c r="BC536" s="11">
        <v>46183</v>
      </c>
      <c r="BD536" s="44" t="s">
        <v>116</v>
      </c>
      <c r="BE536">
        <v>696338737</v>
      </c>
      <c r="BF536" s="44" t="s">
        <v>1988</v>
      </c>
      <c r="BG536" s="44" t="s">
        <v>449</v>
      </c>
      <c r="BJ536" t="str">
        <f t="shared" si="113"/>
        <v/>
      </c>
      <c r="BK536" s="44" t="s">
        <v>117</v>
      </c>
      <c r="BL536" t="str">
        <f t="shared" si="111"/>
        <v>S24_2026</v>
      </c>
      <c r="BM536" s="44" t="s">
        <v>159</v>
      </c>
      <c r="BN536" s="11">
        <v>46188</v>
      </c>
      <c r="BO536" s="36" t="str">
        <f t="shared" si="105"/>
        <v>S25_2026</v>
      </c>
      <c r="BP536" s="44" t="s">
        <v>114</v>
      </c>
      <c r="BQ536" s="44" t="s">
        <v>450</v>
      </c>
      <c r="BR536" t="s">
        <v>451</v>
      </c>
      <c r="BS536" t="s">
        <v>132</v>
      </c>
      <c r="CI536" t="s">
        <v>119</v>
      </c>
      <c r="CP536" s="11">
        <v>46183</v>
      </c>
      <c r="CQ536" t="s">
        <v>132</v>
      </c>
      <c r="CW536" t="s">
        <v>132</v>
      </c>
      <c r="CX536" s="11">
        <v>46179</v>
      </c>
      <c r="CY536" t="str">
        <f t="shared" si="112"/>
        <v>S23_2026</v>
      </c>
      <c r="CZ536" t="s">
        <v>132</v>
      </c>
      <c r="DB536" t="s">
        <v>132</v>
      </c>
      <c r="DC536" t="s">
        <v>120</v>
      </c>
    </row>
    <row r="537" spans="1:107" x14ac:dyDescent="0.35">
      <c r="A537" t="s">
        <v>1989</v>
      </c>
      <c r="B537" s="23" t="str">
        <f t="shared" si="109"/>
        <v>S24_2026</v>
      </c>
      <c r="C537" s="10" t="str">
        <f t="shared" si="114"/>
        <v>S22_2026</v>
      </c>
      <c r="D537" s="43">
        <v>46184</v>
      </c>
      <c r="E537" s="44" t="s">
        <v>123</v>
      </c>
      <c r="F537" s="48">
        <v>52</v>
      </c>
      <c r="G537" s="44" t="s">
        <v>1990</v>
      </c>
      <c r="H537" s="44" t="s">
        <v>835</v>
      </c>
      <c r="I537" s="44"/>
      <c r="J537" s="44" t="s">
        <v>114</v>
      </c>
      <c r="K537" s="43">
        <v>46182</v>
      </c>
      <c r="L537" s="44" t="s">
        <v>126</v>
      </c>
      <c r="M537" s="44" t="s">
        <v>130</v>
      </c>
      <c r="N537" s="44" t="s">
        <v>130</v>
      </c>
      <c r="O537" s="44" t="s">
        <v>1991</v>
      </c>
      <c r="P537" s="44" t="s">
        <v>1992</v>
      </c>
      <c r="Q537" s="44" t="s">
        <v>130</v>
      </c>
      <c r="R537" s="43">
        <v>46170</v>
      </c>
      <c r="S537" s="43">
        <v>46170</v>
      </c>
      <c r="T537" s="43">
        <v>46171</v>
      </c>
      <c r="U537" s="44"/>
      <c r="V537" s="44" t="s">
        <v>132</v>
      </c>
      <c r="W537" s="44" t="s">
        <v>114</v>
      </c>
      <c r="X537" s="44" t="s">
        <v>114</v>
      </c>
      <c r="Y537" s="44" t="s">
        <v>114</v>
      </c>
      <c r="Z537" s="44" t="s">
        <v>132</v>
      </c>
      <c r="AA537" s="44" t="s">
        <v>132</v>
      </c>
      <c r="AB537" s="44" t="s">
        <v>132</v>
      </c>
      <c r="AC537" s="44"/>
      <c r="AD537" s="44" t="s">
        <v>1993</v>
      </c>
      <c r="AE537" s="44" t="s">
        <v>114</v>
      </c>
      <c r="AF537" s="44" t="s">
        <v>114</v>
      </c>
      <c r="AG537" s="44" t="s">
        <v>132</v>
      </c>
      <c r="AH537" s="44" t="s">
        <v>132</v>
      </c>
      <c r="AI537" s="44" t="s">
        <v>132</v>
      </c>
      <c r="AJ537" s="44" t="s">
        <v>132</v>
      </c>
      <c r="AK537" s="44" t="s">
        <v>114</v>
      </c>
      <c r="AL537" s="44"/>
      <c r="AM537" s="44" t="s">
        <v>132</v>
      </c>
      <c r="AN537" s="44" t="s">
        <v>114</v>
      </c>
      <c r="AO537" s="44"/>
      <c r="AP537" s="44" t="s">
        <v>132</v>
      </c>
      <c r="AQ537" s="44" t="s">
        <v>132</v>
      </c>
      <c r="AS537" s="11">
        <v>46184</v>
      </c>
      <c r="AT537" s="44"/>
      <c r="AU537" s="44" t="s">
        <v>114</v>
      </c>
      <c r="AV537" t="s">
        <v>134</v>
      </c>
      <c r="AW537" s="22" t="s">
        <v>152</v>
      </c>
      <c r="AX537" s="44"/>
      <c r="AY537" s="44" t="s">
        <v>452</v>
      </c>
      <c r="AZ537" s="44"/>
      <c r="BA537" s="44"/>
      <c r="BB537" s="44" t="s">
        <v>114</v>
      </c>
      <c r="BC537" s="43">
        <v>46183</v>
      </c>
      <c r="BD537" s="44" t="s">
        <v>1994</v>
      </c>
      <c r="BE537" s="44"/>
      <c r="BF537" s="44" t="s">
        <v>1995</v>
      </c>
      <c r="BG537" s="22" t="s">
        <v>449</v>
      </c>
      <c r="BH537" s="44"/>
      <c r="BI537" s="43">
        <v>46186</v>
      </c>
      <c r="BJ537" t="str">
        <f t="shared" si="113"/>
        <v>S24_2026</v>
      </c>
      <c r="BK537" s="44" t="s">
        <v>137</v>
      </c>
      <c r="BL537" t="str">
        <f t="shared" si="111"/>
        <v>S24_2026</v>
      </c>
      <c r="BM537" s="44" t="s">
        <v>159</v>
      </c>
      <c r="BN537" s="11">
        <v>46186</v>
      </c>
      <c r="BO537" s="36" t="str">
        <f t="shared" si="105"/>
        <v>S24_2026</v>
      </c>
      <c r="BP537" s="44" t="s">
        <v>114</v>
      </c>
      <c r="BQ537" s="44" t="s">
        <v>971</v>
      </c>
      <c r="BR537" s="44" t="s">
        <v>451</v>
      </c>
      <c r="BS537" s="44" t="s">
        <v>132</v>
      </c>
      <c r="CI537" t="s">
        <v>119</v>
      </c>
      <c r="CK537" t="s">
        <v>138</v>
      </c>
      <c r="CQ537" t="s">
        <v>132</v>
      </c>
      <c r="CW537" t="s">
        <v>132</v>
      </c>
      <c r="CX537" s="11">
        <v>46170</v>
      </c>
      <c r="CY537" t="str">
        <f t="shared" si="112"/>
        <v>S22_2026</v>
      </c>
      <c r="DC537" t="s">
        <v>139</v>
      </c>
    </row>
    <row r="538" spans="1:107" x14ac:dyDescent="0.35">
      <c r="A538" t="s">
        <v>1996</v>
      </c>
      <c r="B538" s="23" t="str">
        <f t="shared" si="109"/>
        <v>S24_2026</v>
      </c>
      <c r="C538" s="10" t="str">
        <f t="shared" si="114"/>
        <v/>
      </c>
      <c r="D538" s="11">
        <v>46182</v>
      </c>
      <c r="E538" s="44" t="s">
        <v>123</v>
      </c>
      <c r="F538" s="48">
        <v>1</v>
      </c>
      <c r="G538" s="44" t="s">
        <v>141</v>
      </c>
      <c r="H538" s="44" t="s">
        <v>835</v>
      </c>
      <c r="L538" s="44" t="s">
        <v>187</v>
      </c>
      <c r="M538" s="44" t="s">
        <v>193</v>
      </c>
      <c r="Q538" s="44" t="s">
        <v>193</v>
      </c>
      <c r="AR538" t="s">
        <v>1997</v>
      </c>
      <c r="AS538" s="11">
        <v>46181</v>
      </c>
      <c r="AU538" t="s">
        <v>114</v>
      </c>
      <c r="AV538" t="s">
        <v>115</v>
      </c>
      <c r="BB538" s="44" t="s">
        <v>114</v>
      </c>
      <c r="BC538" s="11">
        <v>46177</v>
      </c>
      <c r="BD538" t="s">
        <v>116</v>
      </c>
      <c r="BF538" s="44" t="s">
        <v>1912</v>
      </c>
      <c r="BG538" s="44" t="s">
        <v>449</v>
      </c>
      <c r="BJ538" t="str">
        <f t="shared" si="113"/>
        <v/>
      </c>
      <c r="BK538" s="44" t="s">
        <v>187</v>
      </c>
      <c r="BL538" t="str">
        <f t="shared" si="111"/>
        <v>S23_2026</v>
      </c>
      <c r="BM538" s="44" t="s">
        <v>159</v>
      </c>
      <c r="BN538" s="11">
        <v>46182</v>
      </c>
      <c r="BO538" s="36" t="str">
        <f t="shared" si="105"/>
        <v>S24_2026</v>
      </c>
      <c r="BP538" t="s">
        <v>114</v>
      </c>
      <c r="BQ538" t="s">
        <v>450</v>
      </c>
      <c r="BS538" t="s">
        <v>132</v>
      </c>
      <c r="CI538" t="s">
        <v>119</v>
      </c>
      <c r="CP538" s="11">
        <v>46177</v>
      </c>
      <c r="CQ538" t="s">
        <v>132</v>
      </c>
      <c r="CW538" t="s">
        <v>132</v>
      </c>
      <c r="CX538" s="11">
        <v>46177</v>
      </c>
      <c r="CY538" t="str">
        <f t="shared" si="112"/>
        <v>S23_2026</v>
      </c>
      <c r="CZ538" t="s">
        <v>132</v>
      </c>
      <c r="DB538" t="s">
        <v>132</v>
      </c>
      <c r="DC538" t="s">
        <v>120</v>
      </c>
    </row>
    <row r="539" spans="1:107" x14ac:dyDescent="0.35">
      <c r="A539" t="s">
        <v>1998</v>
      </c>
      <c r="B539" s="23" t="str">
        <f t="shared" si="109"/>
        <v>S24_2026</v>
      </c>
      <c r="C539" s="10" t="str">
        <f t="shared" si="114"/>
        <v>S24_2026</v>
      </c>
      <c r="D539" s="11">
        <v>46184</v>
      </c>
      <c r="E539" s="44" t="s">
        <v>123</v>
      </c>
      <c r="F539" s="48">
        <v>10</v>
      </c>
      <c r="G539" s="44" t="s">
        <v>141</v>
      </c>
      <c r="H539" s="44" t="s">
        <v>835</v>
      </c>
      <c r="J539" s="44" t="s">
        <v>114</v>
      </c>
      <c r="K539" s="11">
        <v>46183</v>
      </c>
      <c r="L539" s="44" t="s">
        <v>117</v>
      </c>
      <c r="M539" s="44" t="s">
        <v>1999</v>
      </c>
      <c r="N539" s="44" t="s">
        <v>1999</v>
      </c>
      <c r="O539" s="44" t="s">
        <v>2000</v>
      </c>
      <c r="P539" s="44" t="s">
        <v>2001</v>
      </c>
      <c r="Q539" s="44" t="s">
        <v>1999</v>
      </c>
      <c r="R539" s="11">
        <v>46181</v>
      </c>
      <c r="S539" s="11">
        <v>46181</v>
      </c>
      <c r="T539" s="11">
        <v>46181</v>
      </c>
      <c r="V539" s="44" t="s">
        <v>114</v>
      </c>
      <c r="W539" s="44" t="s">
        <v>114</v>
      </c>
      <c r="X539" s="44" t="s">
        <v>114</v>
      </c>
      <c r="Y539" s="44" t="s">
        <v>114</v>
      </c>
      <c r="Z539" s="44" t="s">
        <v>114</v>
      </c>
      <c r="AA539" s="44" t="s">
        <v>114</v>
      </c>
      <c r="AB539" s="44" t="s">
        <v>114</v>
      </c>
      <c r="AE539" s="44" t="s">
        <v>114</v>
      </c>
      <c r="AF539" s="44" t="s">
        <v>114</v>
      </c>
      <c r="AG539" s="44" t="s">
        <v>132</v>
      </c>
      <c r="AH539" s="44" t="s">
        <v>132</v>
      </c>
      <c r="AI539" s="44" t="s">
        <v>132</v>
      </c>
      <c r="AJ539" s="44" t="s">
        <v>132</v>
      </c>
      <c r="AK539" s="44" t="s">
        <v>132</v>
      </c>
      <c r="AL539" s="44"/>
      <c r="AM539" s="44" t="s">
        <v>132</v>
      </c>
      <c r="AN539" s="44" t="s">
        <v>114</v>
      </c>
      <c r="AO539" s="44"/>
      <c r="AP539" s="44" t="s">
        <v>132</v>
      </c>
      <c r="AQ539" s="44" t="s">
        <v>132</v>
      </c>
      <c r="AR539" s="44" t="s">
        <v>2002</v>
      </c>
      <c r="AS539" s="11">
        <v>46188</v>
      </c>
      <c r="AU539" s="44" t="s">
        <v>114</v>
      </c>
      <c r="AV539" s="44" t="s">
        <v>115</v>
      </c>
      <c r="BB539" s="44" t="s">
        <v>114</v>
      </c>
      <c r="BC539" s="11">
        <v>46184</v>
      </c>
      <c r="BD539" t="s">
        <v>284</v>
      </c>
      <c r="BF539" s="44" t="s">
        <v>1999</v>
      </c>
      <c r="BG539" t="s">
        <v>449</v>
      </c>
      <c r="BJ539" t="str">
        <f t="shared" si="113"/>
        <v/>
      </c>
      <c r="BK539" s="44" t="s">
        <v>117</v>
      </c>
      <c r="BL539" t="str">
        <f t="shared" si="111"/>
        <v>S24_2026</v>
      </c>
      <c r="BM539" s="44" t="s">
        <v>159</v>
      </c>
      <c r="BN539" s="11">
        <v>46188</v>
      </c>
      <c r="BO539" s="36" t="str">
        <f t="shared" si="105"/>
        <v>S25_2026</v>
      </c>
      <c r="BP539" s="44" t="s">
        <v>114</v>
      </c>
      <c r="BQ539" s="44" t="s">
        <v>450</v>
      </c>
      <c r="BR539" t="s">
        <v>451</v>
      </c>
      <c r="BS539" t="s">
        <v>132</v>
      </c>
      <c r="CI539" t="s">
        <v>119</v>
      </c>
      <c r="CP539" s="11">
        <v>46183</v>
      </c>
      <c r="CQ539" t="s">
        <v>132</v>
      </c>
      <c r="CW539" t="s">
        <v>132</v>
      </c>
      <c r="CX539" s="11">
        <v>46183</v>
      </c>
      <c r="CY539" t="str">
        <f t="shared" si="112"/>
        <v>S24_2026</v>
      </c>
      <c r="CZ539" t="s">
        <v>132</v>
      </c>
      <c r="DB539" t="s">
        <v>132</v>
      </c>
      <c r="DC539" t="s">
        <v>120</v>
      </c>
    </row>
    <row r="540" spans="1:107" x14ac:dyDescent="0.35">
      <c r="A540" t="s">
        <v>2003</v>
      </c>
      <c r="B540" s="23" t="str">
        <f t="shared" si="109"/>
        <v>S24_2026</v>
      </c>
      <c r="C540" s="10" t="str">
        <f t="shared" si="114"/>
        <v>S24_2026</v>
      </c>
      <c r="D540" s="11">
        <v>46184</v>
      </c>
      <c r="E540" s="44" t="s">
        <v>123</v>
      </c>
      <c r="F540" s="24">
        <v>36</v>
      </c>
      <c r="G540" s="44" t="s">
        <v>2004</v>
      </c>
      <c r="H540" s="44" t="s">
        <v>835</v>
      </c>
      <c r="J540" s="44" t="s">
        <v>114</v>
      </c>
      <c r="K540" s="11">
        <v>46184</v>
      </c>
      <c r="L540" s="44" t="s">
        <v>126</v>
      </c>
      <c r="M540" s="44" t="s">
        <v>1625</v>
      </c>
      <c r="N540" s="44" t="s">
        <v>2005</v>
      </c>
      <c r="O540" s="44"/>
      <c r="Q540" s="44" t="s">
        <v>146</v>
      </c>
      <c r="R540" s="11">
        <v>46181</v>
      </c>
      <c r="S540" s="11">
        <v>46181</v>
      </c>
      <c r="T540" s="11">
        <v>46181</v>
      </c>
      <c r="V540" s="44" t="s">
        <v>132</v>
      </c>
      <c r="W540" s="44" t="s">
        <v>114</v>
      </c>
      <c r="X540" s="44" t="s">
        <v>114</v>
      </c>
      <c r="Y540" s="44" t="s">
        <v>114</v>
      </c>
      <c r="Z540" s="44" t="s">
        <v>132</v>
      </c>
      <c r="AA540" s="44" t="s">
        <v>132</v>
      </c>
      <c r="AB540" s="44" t="s">
        <v>114</v>
      </c>
      <c r="AC540" s="44" t="s">
        <v>2006</v>
      </c>
      <c r="AE540" s="44" t="s">
        <v>114</v>
      </c>
      <c r="AF540" s="44" t="s">
        <v>132</v>
      </c>
      <c r="AG540" s="44" t="s">
        <v>114</v>
      </c>
      <c r="AH540" s="44" t="s">
        <v>132</v>
      </c>
      <c r="AI540" s="44" t="s">
        <v>132</v>
      </c>
      <c r="AJ540" s="44" t="s">
        <v>132</v>
      </c>
      <c r="AK540" s="44" t="s">
        <v>114</v>
      </c>
      <c r="AL540" s="44"/>
      <c r="AM540" s="44" t="s">
        <v>132</v>
      </c>
      <c r="AN540" s="44" t="s">
        <v>132</v>
      </c>
      <c r="AO540" s="44"/>
      <c r="AP540" s="44" t="s">
        <v>132</v>
      </c>
      <c r="AQ540" s="44" t="s">
        <v>132</v>
      </c>
      <c r="AS540" s="11">
        <v>46184</v>
      </c>
      <c r="AU540" t="s">
        <v>114</v>
      </c>
      <c r="AV540" t="s">
        <v>115</v>
      </c>
      <c r="BB540" s="44" t="s">
        <v>114</v>
      </c>
      <c r="BC540" s="11">
        <v>46184</v>
      </c>
      <c r="BD540" t="s">
        <v>284</v>
      </c>
      <c r="BF540" s="44" t="s">
        <v>147</v>
      </c>
      <c r="BG540" t="s">
        <v>449</v>
      </c>
      <c r="BJ540" t="str">
        <f t="shared" si="113"/>
        <v/>
      </c>
      <c r="BK540" s="44" t="s">
        <v>137</v>
      </c>
      <c r="BL540" t="str">
        <f t="shared" si="111"/>
        <v>S24_2026</v>
      </c>
      <c r="BM540" s="44" t="s">
        <v>159</v>
      </c>
      <c r="BN540" s="11">
        <v>46185</v>
      </c>
      <c r="BO540" s="36" t="str">
        <f t="shared" si="105"/>
        <v>S24_2026</v>
      </c>
      <c r="BP540" t="s">
        <v>114</v>
      </c>
      <c r="BQ540" t="s">
        <v>971</v>
      </c>
      <c r="BR540" t="s">
        <v>451</v>
      </c>
      <c r="BS540" t="s">
        <v>132</v>
      </c>
      <c r="CI540" t="s">
        <v>119</v>
      </c>
      <c r="CP540" s="11">
        <v>46184</v>
      </c>
      <c r="CQ540" t="s">
        <v>132</v>
      </c>
      <c r="CW540" t="s">
        <v>132</v>
      </c>
      <c r="CX540" s="11">
        <v>46181</v>
      </c>
      <c r="CY540" t="str">
        <f t="shared" si="112"/>
        <v>S24_2026</v>
      </c>
      <c r="CZ540" t="s">
        <v>132</v>
      </c>
      <c r="DB540" t="s">
        <v>132</v>
      </c>
      <c r="DC540" t="s">
        <v>120</v>
      </c>
    </row>
    <row r="541" spans="1:107" x14ac:dyDescent="0.35">
      <c r="A541" t="s">
        <v>2007</v>
      </c>
      <c r="B541" s="23" t="str">
        <f t="shared" si="109"/>
        <v>S24_2026</v>
      </c>
      <c r="C541" s="10" t="str">
        <f t="shared" si="114"/>
        <v>S23_2026</v>
      </c>
      <c r="D541" s="11">
        <v>46185</v>
      </c>
      <c r="E541" t="s">
        <v>106</v>
      </c>
      <c r="F541" s="48">
        <v>11</v>
      </c>
      <c r="G541" s="44" t="s">
        <v>107</v>
      </c>
      <c r="H541" s="44" t="s">
        <v>108</v>
      </c>
      <c r="J541" s="44" t="s">
        <v>114</v>
      </c>
      <c r="K541" s="11">
        <v>46181</v>
      </c>
      <c r="L541" t="s">
        <v>187</v>
      </c>
      <c r="M541" t="s">
        <v>193</v>
      </c>
      <c r="N541" s="44" t="s">
        <v>2008</v>
      </c>
      <c r="O541" s="44" t="s">
        <v>2009</v>
      </c>
      <c r="P541" s="44" t="s">
        <v>2010</v>
      </c>
      <c r="Q541" t="s">
        <v>193</v>
      </c>
      <c r="R541" s="11">
        <v>46178</v>
      </c>
      <c r="S541" s="11">
        <v>46178</v>
      </c>
      <c r="T541" s="11">
        <v>46178</v>
      </c>
      <c r="V541" s="44" t="s">
        <v>132</v>
      </c>
      <c r="W541" s="44" t="s">
        <v>132</v>
      </c>
      <c r="X541" s="44" t="s">
        <v>132</v>
      </c>
      <c r="Y541" s="44" t="s">
        <v>132</v>
      </c>
      <c r="Z541" s="44" t="s">
        <v>132</v>
      </c>
      <c r="AA541" s="44" t="s">
        <v>132</v>
      </c>
      <c r="AB541" s="44" t="s">
        <v>132</v>
      </c>
      <c r="AC541" s="44" t="s">
        <v>1209</v>
      </c>
      <c r="AE541" s="44" t="s">
        <v>114</v>
      </c>
      <c r="AF541" s="44" t="s">
        <v>132</v>
      </c>
      <c r="AG541" s="44" t="s">
        <v>132</v>
      </c>
      <c r="AH541" s="44" t="s">
        <v>132</v>
      </c>
      <c r="AI541" s="44" t="s">
        <v>132</v>
      </c>
      <c r="AR541" t="s">
        <v>2011</v>
      </c>
      <c r="AS541" s="11">
        <v>46184</v>
      </c>
      <c r="AU541" t="s">
        <v>114</v>
      </c>
      <c r="AV541" t="s">
        <v>115</v>
      </c>
      <c r="BB541" t="s">
        <v>114</v>
      </c>
      <c r="BC541" s="11">
        <v>46182</v>
      </c>
      <c r="BD541" t="s">
        <v>116</v>
      </c>
      <c r="BE541">
        <v>654308432</v>
      </c>
      <c r="BF541" s="44" t="s">
        <v>2008</v>
      </c>
      <c r="BG541" t="s">
        <v>449</v>
      </c>
      <c r="BJ541" t="str">
        <f t="shared" si="113"/>
        <v/>
      </c>
      <c r="BK541" t="s">
        <v>187</v>
      </c>
      <c r="BL541" t="str">
        <f t="shared" si="111"/>
        <v>S24_2026</v>
      </c>
      <c r="BM541" t="s">
        <v>159</v>
      </c>
      <c r="BN541" s="11">
        <v>46185</v>
      </c>
      <c r="BO541" s="36" t="str">
        <f t="shared" si="105"/>
        <v>S24_2026</v>
      </c>
      <c r="BP541" t="s">
        <v>114</v>
      </c>
      <c r="BQ541" t="s">
        <v>450</v>
      </c>
      <c r="BR541" t="s">
        <v>451</v>
      </c>
      <c r="BS541" t="s">
        <v>132</v>
      </c>
      <c r="CI541" t="s">
        <v>119</v>
      </c>
      <c r="CP541" s="11">
        <v>46182</v>
      </c>
      <c r="CQ541" t="s">
        <v>132</v>
      </c>
      <c r="CW541" t="s">
        <v>132</v>
      </c>
      <c r="CX541" s="11">
        <v>46178</v>
      </c>
      <c r="CY541" t="str">
        <f t="shared" si="112"/>
        <v>S23_2026</v>
      </c>
      <c r="CZ541" t="s">
        <v>132</v>
      </c>
      <c r="DB541" t="s">
        <v>132</v>
      </c>
      <c r="DC541" t="s">
        <v>120</v>
      </c>
    </row>
    <row r="542" spans="1:107" x14ac:dyDescent="0.35">
      <c r="A542" s="44" t="s">
        <v>2012</v>
      </c>
      <c r="B542" s="23" t="str">
        <f t="shared" si="109"/>
        <v>S24_2026</v>
      </c>
      <c r="C542" s="10" t="str">
        <f t="shared" si="114"/>
        <v>S23_2026</v>
      </c>
      <c r="D542" s="49">
        <v>46185</v>
      </c>
      <c r="E542" s="22" t="s">
        <v>123</v>
      </c>
      <c r="F542" s="50">
        <v>44</v>
      </c>
      <c r="G542" s="22" t="s">
        <v>429</v>
      </c>
      <c r="H542" s="22" t="s">
        <v>835</v>
      </c>
      <c r="I542" s="22"/>
      <c r="J542" s="22" t="s">
        <v>114</v>
      </c>
      <c r="K542" s="49">
        <v>46184</v>
      </c>
      <c r="L542" s="22" t="s">
        <v>126</v>
      </c>
      <c r="M542" s="22" t="s">
        <v>1625</v>
      </c>
      <c r="N542" s="22" t="s">
        <v>1616</v>
      </c>
      <c r="O542" s="22" t="s">
        <v>1991</v>
      </c>
      <c r="P542" s="22" t="s">
        <v>2013</v>
      </c>
      <c r="Q542" s="22" t="s">
        <v>853</v>
      </c>
      <c r="R542" s="49">
        <v>46177</v>
      </c>
      <c r="S542" s="49">
        <v>46178</v>
      </c>
      <c r="T542" s="49">
        <v>46177</v>
      </c>
      <c r="U542" s="22"/>
      <c r="V542" s="22" t="s">
        <v>114</v>
      </c>
      <c r="W542" s="22" t="s">
        <v>114</v>
      </c>
      <c r="X542" s="22" t="s">
        <v>114</v>
      </c>
      <c r="Y542" s="22" t="s">
        <v>114</v>
      </c>
      <c r="Z542" s="22" t="s">
        <v>114</v>
      </c>
      <c r="AA542" s="22" t="s">
        <v>114</v>
      </c>
      <c r="AB542" s="22" t="s">
        <v>114</v>
      </c>
      <c r="AC542" s="22" t="s">
        <v>1238</v>
      </c>
      <c r="AD542" s="22" t="s">
        <v>1993</v>
      </c>
      <c r="AE542" s="22" t="s">
        <v>114</v>
      </c>
      <c r="AF542" s="22" t="s">
        <v>114</v>
      </c>
      <c r="AG542" s="22" t="s">
        <v>132</v>
      </c>
      <c r="AH542" s="22" t="s">
        <v>132</v>
      </c>
      <c r="AI542" s="22" t="s">
        <v>132</v>
      </c>
      <c r="AJ542" s="22" t="s">
        <v>132</v>
      </c>
      <c r="AK542" s="22" t="s">
        <v>114</v>
      </c>
      <c r="AL542" s="22"/>
      <c r="AM542" s="22" t="s">
        <v>132</v>
      </c>
      <c r="AN542" s="22" t="s">
        <v>132</v>
      </c>
      <c r="AO542" s="22"/>
      <c r="AP542" s="22" t="s">
        <v>132</v>
      </c>
      <c r="AQ542" s="22" t="s">
        <v>132</v>
      </c>
      <c r="AS542" s="11">
        <v>46184</v>
      </c>
      <c r="AT542" s="22"/>
      <c r="AU542" s="22" t="s">
        <v>114</v>
      </c>
      <c r="AV542" t="s">
        <v>134</v>
      </c>
      <c r="AW542" s="22" t="s">
        <v>152</v>
      </c>
      <c r="AY542" t="s">
        <v>135</v>
      </c>
      <c r="AZ542" s="22"/>
      <c r="BA542" s="22"/>
      <c r="BB542" s="22" t="s">
        <v>114</v>
      </c>
      <c r="BC542" s="49">
        <v>46184</v>
      </c>
      <c r="BD542" s="22" t="s">
        <v>116</v>
      </c>
      <c r="BE542" s="22"/>
      <c r="BF542" s="22" t="s">
        <v>1616</v>
      </c>
      <c r="BG542" s="22" t="s">
        <v>449</v>
      </c>
      <c r="BH542" s="22"/>
      <c r="BI542" s="49">
        <v>46186</v>
      </c>
      <c r="BJ542" t="str">
        <f t="shared" si="113"/>
        <v>S24_2026</v>
      </c>
      <c r="BK542" s="22" t="s">
        <v>137</v>
      </c>
      <c r="BL542" t="str">
        <f t="shared" si="111"/>
        <v>S24_2026</v>
      </c>
      <c r="BM542" s="22" t="s">
        <v>159</v>
      </c>
      <c r="BN542" s="11">
        <v>46186</v>
      </c>
      <c r="BO542" s="36" t="str">
        <f t="shared" si="105"/>
        <v>S24_2026</v>
      </c>
      <c r="BP542" s="22" t="s">
        <v>114</v>
      </c>
      <c r="BQ542" s="22" t="s">
        <v>971</v>
      </c>
      <c r="BR542" s="22" t="s">
        <v>451</v>
      </c>
      <c r="BS542" t="s">
        <v>132</v>
      </c>
      <c r="CI542" t="s">
        <v>119</v>
      </c>
      <c r="CK542" t="s">
        <v>138</v>
      </c>
      <c r="CP542" s="22"/>
      <c r="CQ542" t="s">
        <v>132</v>
      </c>
      <c r="CW542" t="s">
        <v>132</v>
      </c>
      <c r="CX542" s="49">
        <v>46177</v>
      </c>
      <c r="CY542" t="str">
        <f t="shared" si="112"/>
        <v>S23_2026</v>
      </c>
      <c r="CZ542" t="s">
        <v>132</v>
      </c>
      <c r="DC542" t="s">
        <v>139</v>
      </c>
    </row>
    <row r="543" spans="1:107" x14ac:dyDescent="0.35">
      <c r="A543" s="44" t="s">
        <v>2014</v>
      </c>
      <c r="B543" s="23" t="str">
        <f t="shared" si="109"/>
        <v>S24_2026</v>
      </c>
      <c r="C543" s="10" t="str">
        <f t="shared" si="114"/>
        <v>S22_2026</v>
      </c>
      <c r="D543" s="49">
        <v>46185</v>
      </c>
      <c r="E543" s="22" t="s">
        <v>123</v>
      </c>
      <c r="F543" s="50">
        <v>16</v>
      </c>
      <c r="G543" s="22" t="s">
        <v>107</v>
      </c>
      <c r="H543" s="22" t="s">
        <v>835</v>
      </c>
      <c r="I543" s="22"/>
      <c r="J543" s="22" t="s">
        <v>114</v>
      </c>
      <c r="K543" s="49">
        <v>46185</v>
      </c>
      <c r="L543" s="22" t="s">
        <v>126</v>
      </c>
      <c r="M543" s="22" t="s">
        <v>1057</v>
      </c>
      <c r="N543" s="22" t="s">
        <v>2015</v>
      </c>
      <c r="O543" s="22" t="s">
        <v>2016</v>
      </c>
      <c r="P543" s="22" t="s">
        <v>2017</v>
      </c>
      <c r="Q543" s="22" t="s">
        <v>2018</v>
      </c>
      <c r="R543" s="49">
        <v>46173</v>
      </c>
      <c r="S543" s="49">
        <v>46174</v>
      </c>
      <c r="T543" s="49">
        <v>46173</v>
      </c>
      <c r="U543" s="22"/>
      <c r="V543" s="22" t="s">
        <v>114</v>
      </c>
      <c r="W543" s="22" t="s">
        <v>114</v>
      </c>
      <c r="X543" s="22" t="s">
        <v>114</v>
      </c>
      <c r="Y543" s="22" t="s">
        <v>114</v>
      </c>
      <c r="Z543" s="22" t="s">
        <v>132</v>
      </c>
      <c r="AA543" s="22" t="s">
        <v>132</v>
      </c>
      <c r="AB543" s="22" t="s">
        <v>132</v>
      </c>
      <c r="AC543" s="22" t="s">
        <v>1238</v>
      </c>
      <c r="AD543" s="22" t="s">
        <v>2019</v>
      </c>
      <c r="AE543" s="22" t="s">
        <v>114</v>
      </c>
      <c r="AF543" s="22" t="s">
        <v>114</v>
      </c>
      <c r="AG543" s="22" t="s">
        <v>114</v>
      </c>
      <c r="AH543" s="22" t="s">
        <v>132</v>
      </c>
      <c r="AI543" s="22" t="s">
        <v>132</v>
      </c>
      <c r="AJ543" s="22" t="s">
        <v>132</v>
      </c>
      <c r="AK543" s="22" t="s">
        <v>132</v>
      </c>
      <c r="AL543" s="22"/>
      <c r="AM543" s="22" t="s">
        <v>132</v>
      </c>
      <c r="AN543" s="22" t="s">
        <v>132</v>
      </c>
      <c r="AO543" s="22"/>
      <c r="AP543" s="22" t="s">
        <v>132</v>
      </c>
      <c r="AQ543" s="22" t="s">
        <v>132</v>
      </c>
      <c r="AS543" s="49">
        <v>46185</v>
      </c>
      <c r="AT543" s="22"/>
      <c r="AU543" t="s">
        <v>114</v>
      </c>
      <c r="AV543" s="22" t="s">
        <v>115</v>
      </c>
      <c r="AW543" s="22"/>
      <c r="AY543" s="22"/>
      <c r="AZ543" s="22"/>
      <c r="BA543" s="22"/>
      <c r="BB543" s="22" t="s">
        <v>114</v>
      </c>
      <c r="BC543" s="49">
        <v>46185</v>
      </c>
      <c r="BD543" s="22" t="s">
        <v>2020</v>
      </c>
      <c r="BE543" s="22"/>
      <c r="BF543" s="22" t="s">
        <v>2021</v>
      </c>
      <c r="BG543" s="22" t="s">
        <v>449</v>
      </c>
      <c r="BH543" s="22"/>
      <c r="BI543" s="22"/>
      <c r="BJ543" t="str">
        <f t="shared" si="113"/>
        <v/>
      </c>
      <c r="BK543" s="22" t="s">
        <v>137</v>
      </c>
      <c r="BL543" t="str">
        <f t="shared" si="111"/>
        <v>S24_2026</v>
      </c>
      <c r="BM543" s="22" t="s">
        <v>159</v>
      </c>
      <c r="BN543" s="11">
        <v>46186</v>
      </c>
      <c r="BO543" s="22" t="str">
        <f t="shared" si="105"/>
        <v>S24_2026</v>
      </c>
      <c r="BP543" s="22" t="s">
        <v>114</v>
      </c>
      <c r="BQ543" s="22" t="s">
        <v>971</v>
      </c>
      <c r="BR543" s="22" t="s">
        <v>451</v>
      </c>
      <c r="BS543" t="s">
        <v>132</v>
      </c>
      <c r="CI543" t="s">
        <v>119</v>
      </c>
      <c r="CP543" s="22"/>
      <c r="CX543" s="49">
        <v>46173</v>
      </c>
      <c r="CY543" t="str">
        <f t="shared" si="112"/>
        <v>S22_2026</v>
      </c>
      <c r="DC543" t="s">
        <v>120</v>
      </c>
    </row>
    <row r="544" spans="1:107" x14ac:dyDescent="0.35">
      <c r="A544" s="22" t="s">
        <v>2022</v>
      </c>
      <c r="B544" s="23" t="str">
        <f t="shared" si="109"/>
        <v>S24_2026</v>
      </c>
      <c r="C544" s="10" t="str">
        <f t="shared" si="114"/>
        <v>S24_2026</v>
      </c>
      <c r="D544" s="49">
        <v>46185</v>
      </c>
      <c r="E544" s="22" t="s">
        <v>123</v>
      </c>
      <c r="F544" s="50">
        <v>15</v>
      </c>
      <c r="G544" s="22" t="s">
        <v>107</v>
      </c>
      <c r="H544" s="22" t="s">
        <v>835</v>
      </c>
      <c r="I544" s="22"/>
      <c r="J544" s="22" t="s">
        <v>114</v>
      </c>
      <c r="K544" s="49">
        <v>46185</v>
      </c>
      <c r="L544" s="22" t="s">
        <v>126</v>
      </c>
      <c r="M544" s="22" t="s">
        <v>146</v>
      </c>
      <c r="N544" s="22" t="s">
        <v>147</v>
      </c>
      <c r="O544" s="22" t="s">
        <v>1295</v>
      </c>
      <c r="P544" s="22" t="s">
        <v>2023</v>
      </c>
      <c r="Q544" s="22" t="s">
        <v>215</v>
      </c>
      <c r="R544" s="49">
        <v>46182</v>
      </c>
      <c r="S544" s="49">
        <v>46182</v>
      </c>
      <c r="T544" s="49">
        <v>46182</v>
      </c>
      <c r="U544" s="22"/>
      <c r="V544" s="22" t="s">
        <v>114</v>
      </c>
      <c r="W544" s="22" t="s">
        <v>114</v>
      </c>
      <c r="X544" s="22" t="s">
        <v>114</v>
      </c>
      <c r="Y544" s="22" t="s">
        <v>114</v>
      </c>
      <c r="Z544" s="22" t="s">
        <v>114</v>
      </c>
      <c r="AA544" s="22" t="s">
        <v>114</v>
      </c>
      <c r="AB544" s="22" t="s">
        <v>114</v>
      </c>
      <c r="AC544" s="22" t="s">
        <v>1238</v>
      </c>
      <c r="AD544" s="22" t="s">
        <v>1961</v>
      </c>
      <c r="AE544" s="22" t="s">
        <v>114</v>
      </c>
      <c r="AF544" s="22" t="s">
        <v>132</v>
      </c>
      <c r="AG544" s="22" t="s">
        <v>114</v>
      </c>
      <c r="AH544" s="22" t="s">
        <v>114</v>
      </c>
      <c r="AI544" s="22" t="s">
        <v>132</v>
      </c>
      <c r="AJ544" s="22" t="s">
        <v>132</v>
      </c>
      <c r="AK544" s="22" t="s">
        <v>132</v>
      </c>
      <c r="AL544" s="22"/>
      <c r="AM544" s="22" t="s">
        <v>132</v>
      </c>
      <c r="AN544" s="22" t="s">
        <v>132</v>
      </c>
      <c r="AO544" s="22"/>
      <c r="AP544" s="22" t="s">
        <v>132</v>
      </c>
      <c r="AQ544" s="22" t="s">
        <v>132</v>
      </c>
      <c r="AS544" s="49">
        <v>46185</v>
      </c>
      <c r="AT544" s="22"/>
      <c r="AU544" t="s">
        <v>114</v>
      </c>
      <c r="AV544" s="22" t="s">
        <v>115</v>
      </c>
      <c r="AW544" s="22"/>
      <c r="AY544" s="22"/>
      <c r="AZ544" s="22"/>
      <c r="BA544" s="22"/>
      <c r="BB544" s="22" t="s">
        <v>114</v>
      </c>
      <c r="BC544" s="49">
        <v>46185</v>
      </c>
      <c r="BD544" s="22" t="s">
        <v>2024</v>
      </c>
      <c r="BE544" s="22"/>
      <c r="BF544" s="22" t="s">
        <v>202</v>
      </c>
      <c r="BG544" s="22" t="s">
        <v>449</v>
      </c>
      <c r="BH544" s="22"/>
      <c r="BI544" s="22"/>
      <c r="BJ544" t="str">
        <f t="shared" si="113"/>
        <v/>
      </c>
      <c r="BK544" s="22" t="s">
        <v>137</v>
      </c>
      <c r="BL544" t="str">
        <f t="shared" si="111"/>
        <v>S24_2026</v>
      </c>
      <c r="BM544" s="22" t="s">
        <v>159</v>
      </c>
      <c r="BN544" s="11">
        <v>46186</v>
      </c>
      <c r="BO544" s="22" t="str">
        <f t="shared" si="105"/>
        <v>S24_2026</v>
      </c>
      <c r="BP544" s="22" t="s">
        <v>114</v>
      </c>
      <c r="BQ544" s="22" t="s">
        <v>971</v>
      </c>
      <c r="BR544" s="22" t="s">
        <v>451</v>
      </c>
      <c r="BS544" t="s">
        <v>132</v>
      </c>
      <c r="CI544" t="s">
        <v>119</v>
      </c>
      <c r="CP544" s="49">
        <v>46185</v>
      </c>
      <c r="CX544" s="49">
        <v>46182</v>
      </c>
      <c r="CY544" t="str">
        <f t="shared" si="112"/>
        <v>S24_2026</v>
      </c>
      <c r="DC544" t="s">
        <v>120</v>
      </c>
    </row>
    <row r="545" spans="1:107" x14ac:dyDescent="0.35">
      <c r="A545" s="22" t="s">
        <v>2025</v>
      </c>
      <c r="B545" s="23" t="str">
        <f t="shared" si="109"/>
        <v>S24_2026</v>
      </c>
      <c r="C545" s="10" t="str">
        <f t="shared" si="114"/>
        <v>S24_2026</v>
      </c>
      <c r="D545" s="49">
        <v>46185</v>
      </c>
      <c r="E545" s="22" t="s">
        <v>123</v>
      </c>
      <c r="F545" s="50">
        <v>36</v>
      </c>
      <c r="G545" s="22" t="s">
        <v>895</v>
      </c>
      <c r="H545" s="22" t="s">
        <v>835</v>
      </c>
      <c r="I545" s="22"/>
      <c r="J545" s="22" t="s">
        <v>132</v>
      </c>
      <c r="K545" s="22"/>
      <c r="L545" s="22" t="s">
        <v>126</v>
      </c>
      <c r="M545" s="22" t="s">
        <v>1084</v>
      </c>
      <c r="N545" s="22" t="s">
        <v>1274</v>
      </c>
      <c r="O545" s="22" t="s">
        <v>1658</v>
      </c>
      <c r="P545" s="22" t="s">
        <v>1543</v>
      </c>
      <c r="Q545" s="22" t="s">
        <v>1084</v>
      </c>
      <c r="R545" s="49">
        <v>46182</v>
      </c>
      <c r="S545" s="49">
        <v>46182</v>
      </c>
      <c r="T545" s="49">
        <v>46182</v>
      </c>
      <c r="U545" s="22"/>
      <c r="V545" s="22" t="s">
        <v>132</v>
      </c>
      <c r="W545" s="22" t="s">
        <v>132</v>
      </c>
      <c r="X545" s="22" t="s">
        <v>114</v>
      </c>
      <c r="Y545" s="22" t="s">
        <v>114</v>
      </c>
      <c r="Z545" s="22" t="s">
        <v>114</v>
      </c>
      <c r="AA545" s="22" t="s">
        <v>114</v>
      </c>
      <c r="AB545" s="22" t="s">
        <v>114</v>
      </c>
      <c r="AC545" s="22" t="s">
        <v>114</v>
      </c>
      <c r="AD545" s="22">
        <v>20</v>
      </c>
      <c r="AE545" s="22" t="s">
        <v>114</v>
      </c>
      <c r="AF545" s="22" t="s">
        <v>114</v>
      </c>
      <c r="AG545" s="22" t="s">
        <v>132</v>
      </c>
      <c r="AH545" s="22" t="s">
        <v>132</v>
      </c>
      <c r="AI545" s="22" t="s">
        <v>132</v>
      </c>
      <c r="AJ545" s="22" t="s">
        <v>132</v>
      </c>
      <c r="AK545" s="22" t="s">
        <v>132</v>
      </c>
      <c r="AL545" s="22"/>
      <c r="AM545" s="22" t="s">
        <v>132</v>
      </c>
      <c r="AN545" s="22" t="s">
        <v>132</v>
      </c>
      <c r="AO545" s="22"/>
      <c r="AP545" s="22" t="s">
        <v>132</v>
      </c>
      <c r="AQ545" s="22" t="s">
        <v>132</v>
      </c>
      <c r="AS545" s="49">
        <v>46185</v>
      </c>
      <c r="AT545" s="22"/>
      <c r="AU545" t="s">
        <v>114</v>
      </c>
      <c r="AV545" t="s">
        <v>134</v>
      </c>
      <c r="AW545" s="22" t="s">
        <v>152</v>
      </c>
      <c r="AY545" t="s">
        <v>135</v>
      </c>
      <c r="AZ545" s="22"/>
      <c r="BA545" s="22"/>
      <c r="BB545" s="22" t="s">
        <v>114</v>
      </c>
      <c r="BC545" s="49">
        <v>46185</v>
      </c>
      <c r="BD545" s="22" t="s">
        <v>2026</v>
      </c>
      <c r="BE545" s="22"/>
      <c r="BF545" s="22" t="s">
        <v>1274</v>
      </c>
      <c r="BG545" s="22" t="s">
        <v>449</v>
      </c>
      <c r="BH545" s="22"/>
      <c r="BI545" s="49">
        <v>46189</v>
      </c>
      <c r="BJ545" t="str">
        <f t="shared" si="113"/>
        <v>S25_2026</v>
      </c>
      <c r="BK545" s="22" t="s">
        <v>137</v>
      </c>
      <c r="BL545" t="str">
        <f t="shared" si="111"/>
        <v>S24_2026</v>
      </c>
      <c r="BM545" s="22" t="s">
        <v>159</v>
      </c>
      <c r="BN545" s="11">
        <v>46189</v>
      </c>
      <c r="BO545" s="22" t="str">
        <f t="shared" si="105"/>
        <v>S25_2026</v>
      </c>
      <c r="BP545" s="22" t="s">
        <v>114</v>
      </c>
      <c r="BQ545" s="22" t="s">
        <v>971</v>
      </c>
      <c r="BR545" s="22" t="s">
        <v>451</v>
      </c>
      <c r="BS545" t="s">
        <v>132</v>
      </c>
      <c r="CI545" t="s">
        <v>119</v>
      </c>
      <c r="CK545" t="s">
        <v>138</v>
      </c>
      <c r="CP545" s="49">
        <v>46185</v>
      </c>
      <c r="CQ545" t="s">
        <v>132</v>
      </c>
      <c r="CW545" t="s">
        <v>132</v>
      </c>
      <c r="CX545" s="49">
        <v>46182</v>
      </c>
      <c r="CY545" t="str">
        <f t="shared" si="112"/>
        <v>S24_2026</v>
      </c>
      <c r="CZ545" t="s">
        <v>132</v>
      </c>
      <c r="DB545" t="s">
        <v>132</v>
      </c>
      <c r="DC545" t="s">
        <v>139</v>
      </c>
    </row>
    <row r="546" spans="1:107" x14ac:dyDescent="0.35">
      <c r="A546" s="22" t="s">
        <v>2027</v>
      </c>
      <c r="B546" s="23" t="str">
        <f t="shared" si="109"/>
        <v>S24_2026</v>
      </c>
      <c r="C546" s="10" t="str">
        <f t="shared" si="114"/>
        <v>S23_2026</v>
      </c>
      <c r="D546" s="49">
        <v>46186</v>
      </c>
      <c r="E546" s="22" t="s">
        <v>123</v>
      </c>
      <c r="F546" s="50">
        <v>43</v>
      </c>
      <c r="G546" s="22" t="s">
        <v>2028</v>
      </c>
      <c r="H546" s="22" t="s">
        <v>835</v>
      </c>
      <c r="I546" s="22"/>
      <c r="J546" s="22" t="s">
        <v>114</v>
      </c>
      <c r="K546" s="49">
        <v>46183</v>
      </c>
      <c r="L546" s="22" t="s">
        <v>126</v>
      </c>
      <c r="M546" s="22" t="s">
        <v>977</v>
      </c>
      <c r="N546" s="22" t="s">
        <v>1364</v>
      </c>
      <c r="O546" s="22" t="s">
        <v>971</v>
      </c>
      <c r="P546" s="22" t="s">
        <v>2029</v>
      </c>
      <c r="Q546" s="22" t="s">
        <v>1053</v>
      </c>
      <c r="R546" s="49">
        <v>46179</v>
      </c>
      <c r="S546" s="49">
        <v>46179</v>
      </c>
      <c r="T546" s="49">
        <v>46182</v>
      </c>
      <c r="U546" s="22"/>
      <c r="V546" s="22" t="s">
        <v>114</v>
      </c>
      <c r="W546" s="22" t="s">
        <v>114</v>
      </c>
      <c r="X546" s="22" t="s">
        <v>114</v>
      </c>
      <c r="Y546" s="22" t="s">
        <v>114</v>
      </c>
      <c r="Z546" s="22" t="s">
        <v>114</v>
      </c>
      <c r="AA546" s="22" t="s">
        <v>114</v>
      </c>
      <c r="AB546" s="22" t="s">
        <v>114</v>
      </c>
      <c r="AC546" s="22" t="s">
        <v>1238</v>
      </c>
      <c r="AD546" s="22"/>
      <c r="AE546" s="22" t="s">
        <v>114</v>
      </c>
      <c r="AF546" s="22" t="s">
        <v>114</v>
      </c>
      <c r="AG546" s="22" t="s">
        <v>114</v>
      </c>
      <c r="AH546" s="22" t="s">
        <v>132</v>
      </c>
      <c r="AI546" s="22" t="s">
        <v>132</v>
      </c>
      <c r="AJ546" s="22" t="s">
        <v>132</v>
      </c>
      <c r="AK546" s="22" t="s">
        <v>132</v>
      </c>
      <c r="AL546" s="22"/>
      <c r="AM546" s="22" t="s">
        <v>132</v>
      </c>
      <c r="AN546" s="22" t="s">
        <v>132</v>
      </c>
      <c r="AO546" s="22"/>
      <c r="AP546" s="22" t="s">
        <v>132</v>
      </c>
      <c r="AQ546" s="22" t="s">
        <v>132</v>
      </c>
      <c r="AS546" s="49">
        <v>46184</v>
      </c>
      <c r="AT546" s="22"/>
      <c r="AU546" t="s">
        <v>114</v>
      </c>
      <c r="AV546" s="22" t="s">
        <v>115</v>
      </c>
      <c r="AW546" s="22"/>
      <c r="AY546" s="22"/>
      <c r="AZ546" s="22"/>
      <c r="BA546" s="22"/>
      <c r="BB546" s="22" t="s">
        <v>114</v>
      </c>
      <c r="BC546" s="49">
        <v>46184</v>
      </c>
      <c r="BD546" s="22" t="s">
        <v>1970</v>
      </c>
      <c r="BE546" s="22"/>
      <c r="BF546" s="22" t="s">
        <v>1915</v>
      </c>
      <c r="BG546" s="22" t="s">
        <v>449</v>
      </c>
      <c r="BH546" s="22"/>
      <c r="BI546" s="22"/>
      <c r="BJ546" t="str">
        <f t="shared" si="113"/>
        <v/>
      </c>
      <c r="BK546" s="22" t="s">
        <v>137</v>
      </c>
      <c r="BL546" t="str">
        <f t="shared" si="111"/>
        <v>S24_2026</v>
      </c>
      <c r="BM546" s="22" t="s">
        <v>159</v>
      </c>
      <c r="BN546" s="11">
        <v>46186</v>
      </c>
      <c r="BO546" s="22" t="str">
        <f t="shared" si="105"/>
        <v>S24_2026</v>
      </c>
      <c r="BP546" s="22" t="s">
        <v>114</v>
      </c>
      <c r="BQ546" s="22" t="s">
        <v>971</v>
      </c>
      <c r="BR546" s="22" t="s">
        <v>451</v>
      </c>
      <c r="BS546" t="s">
        <v>132</v>
      </c>
      <c r="CI546" t="s">
        <v>119</v>
      </c>
      <c r="CP546" s="49">
        <v>46184</v>
      </c>
      <c r="CX546" s="49">
        <v>46179</v>
      </c>
      <c r="CY546" t="str">
        <f t="shared" si="112"/>
        <v>S23_2026</v>
      </c>
      <c r="CZ546" t="s">
        <v>132</v>
      </c>
      <c r="DC546" t="s">
        <v>120</v>
      </c>
    </row>
    <row r="547" spans="1:107" x14ac:dyDescent="0.35">
      <c r="A547" s="44" t="s">
        <v>2030</v>
      </c>
      <c r="B547" s="23" t="str">
        <f t="shared" si="109"/>
        <v>S25_2026</v>
      </c>
      <c r="C547" s="10" t="str">
        <f t="shared" si="114"/>
        <v>S24_2026</v>
      </c>
      <c r="D547" s="43">
        <v>46188</v>
      </c>
      <c r="E547" s="44" t="s">
        <v>106</v>
      </c>
      <c r="F547" s="48">
        <v>21</v>
      </c>
      <c r="G547" s="44" t="s">
        <v>323</v>
      </c>
      <c r="H547" s="44" t="s">
        <v>835</v>
      </c>
      <c r="I547" s="44"/>
      <c r="J547" s="44" t="s">
        <v>114</v>
      </c>
      <c r="K547" s="43">
        <v>46186</v>
      </c>
      <c r="L547" s="44" t="s">
        <v>126</v>
      </c>
      <c r="M547" s="44" t="s">
        <v>1625</v>
      </c>
      <c r="N547" s="44" t="s">
        <v>1616</v>
      </c>
      <c r="O547" s="44" t="s">
        <v>1991</v>
      </c>
      <c r="P547" s="44" t="s">
        <v>2013</v>
      </c>
      <c r="Q547" s="44" t="s">
        <v>853</v>
      </c>
      <c r="R547" s="43">
        <v>46185</v>
      </c>
      <c r="S547" s="43">
        <v>46185</v>
      </c>
      <c r="T547" s="43">
        <v>46185</v>
      </c>
      <c r="U547" s="44"/>
      <c r="V547" s="44" t="s">
        <v>132</v>
      </c>
      <c r="W547" s="44" t="s">
        <v>132</v>
      </c>
      <c r="X547" s="44" t="s">
        <v>132</v>
      </c>
      <c r="Y547" s="44" t="s">
        <v>114</v>
      </c>
      <c r="Z547" s="44" t="s">
        <v>132</v>
      </c>
      <c r="AA547" s="44" t="s">
        <v>114</v>
      </c>
      <c r="AB547" s="44" t="s">
        <v>114</v>
      </c>
      <c r="AC547" s="44" t="s">
        <v>1238</v>
      </c>
      <c r="AD547" s="44" t="s">
        <v>1961</v>
      </c>
      <c r="AE547" s="44" t="s">
        <v>132</v>
      </c>
      <c r="AF547" s="44" t="s">
        <v>114</v>
      </c>
      <c r="AG547" s="44" t="s">
        <v>114</v>
      </c>
      <c r="AH547" s="44" t="s">
        <v>132</v>
      </c>
      <c r="AI547" s="44" t="s">
        <v>132</v>
      </c>
      <c r="AJ547" s="44" t="s">
        <v>132</v>
      </c>
      <c r="AK547" s="44" t="s">
        <v>132</v>
      </c>
      <c r="AL547" s="44"/>
      <c r="AM547" s="44" t="s">
        <v>114</v>
      </c>
      <c r="AN547" s="44" t="s">
        <v>114</v>
      </c>
      <c r="AO547" s="44"/>
      <c r="AP547" s="44" t="s">
        <v>132</v>
      </c>
      <c r="AQ547" s="44" t="s">
        <v>132</v>
      </c>
      <c r="AS547" s="11">
        <v>46186</v>
      </c>
      <c r="AT547" s="44"/>
      <c r="AU547" s="44" t="s">
        <v>114</v>
      </c>
      <c r="AV547" s="44" t="s">
        <v>115</v>
      </c>
      <c r="AW547" s="44"/>
      <c r="AX547" s="44"/>
      <c r="AY547" s="44"/>
      <c r="AZ547" s="44"/>
      <c r="BA547" s="44"/>
      <c r="BB547" s="44" t="s">
        <v>114</v>
      </c>
      <c r="BC547" s="43">
        <v>46189</v>
      </c>
      <c r="BD547" s="44" t="s">
        <v>1958</v>
      </c>
      <c r="BE547" s="44"/>
      <c r="BF547" s="44" t="s">
        <v>1616</v>
      </c>
      <c r="BG547" s="22" t="s">
        <v>449</v>
      </c>
      <c r="BH547" s="44"/>
      <c r="BI547" s="44"/>
      <c r="BJ547" t="str">
        <f t="shared" si="113"/>
        <v/>
      </c>
      <c r="BK547" s="44" t="s">
        <v>137</v>
      </c>
      <c r="BL547" t="str">
        <f t="shared" si="111"/>
        <v>S25_2026</v>
      </c>
      <c r="BM547" s="44" t="s">
        <v>159</v>
      </c>
      <c r="BN547" s="11">
        <v>46193</v>
      </c>
      <c r="BO547" s="22" t="str">
        <f t="shared" si="105"/>
        <v>S25_2026</v>
      </c>
      <c r="BP547" s="44" t="s">
        <v>114</v>
      </c>
      <c r="BQ547" s="44" t="s">
        <v>971</v>
      </c>
      <c r="BR547" s="22" t="s">
        <v>451</v>
      </c>
      <c r="BS547" s="44" t="s">
        <v>132</v>
      </c>
      <c r="CI547" t="s">
        <v>119</v>
      </c>
      <c r="CP547" s="11">
        <v>46186</v>
      </c>
      <c r="CQ547" t="s">
        <v>132</v>
      </c>
      <c r="CW547" t="s">
        <v>132</v>
      </c>
      <c r="CX547" s="11">
        <v>46185</v>
      </c>
      <c r="CY547" t="str">
        <f t="shared" si="112"/>
        <v>S24_2026</v>
      </c>
      <c r="CZ547" t="s">
        <v>114</v>
      </c>
      <c r="DA547" t="s">
        <v>2031</v>
      </c>
      <c r="DB547" t="s">
        <v>132</v>
      </c>
      <c r="DC547" t="s">
        <v>986</v>
      </c>
    </row>
    <row r="548" spans="1:107" x14ac:dyDescent="0.35">
      <c r="A548" s="22" t="s">
        <v>2032</v>
      </c>
      <c r="B548" s="23" t="str">
        <f t="shared" si="109"/>
        <v>S25_2026</v>
      </c>
      <c r="C548" s="10" t="str">
        <f t="shared" si="114"/>
        <v>S23_2026</v>
      </c>
      <c r="D548" s="49">
        <v>46189</v>
      </c>
      <c r="E548" s="22" t="s">
        <v>123</v>
      </c>
      <c r="F548" s="50">
        <v>58</v>
      </c>
      <c r="G548" s="22" t="s">
        <v>575</v>
      </c>
      <c r="H548" s="22" t="s">
        <v>835</v>
      </c>
      <c r="I548" s="22"/>
      <c r="J548" s="22" t="s">
        <v>132</v>
      </c>
      <c r="L548" s="22" t="s">
        <v>126</v>
      </c>
      <c r="M548" s="22" t="s">
        <v>973</v>
      </c>
      <c r="N548" s="22" t="s">
        <v>974</v>
      </c>
      <c r="P548" s="22" t="s">
        <v>2033</v>
      </c>
      <c r="Q548" s="22" t="s">
        <v>973</v>
      </c>
      <c r="R548" s="49">
        <v>46178</v>
      </c>
      <c r="S548" s="49">
        <v>46178</v>
      </c>
      <c r="T548" s="49">
        <v>46179</v>
      </c>
      <c r="U548" s="22"/>
      <c r="V548" s="22" t="s">
        <v>114</v>
      </c>
      <c r="W548" s="22" t="s">
        <v>114</v>
      </c>
      <c r="X548" s="22" t="s">
        <v>114</v>
      </c>
      <c r="Y548" s="22" t="s">
        <v>114</v>
      </c>
      <c r="Z548" s="22" t="s">
        <v>114</v>
      </c>
      <c r="AA548" s="22" t="s">
        <v>132</v>
      </c>
      <c r="AB548" s="22" t="s">
        <v>114</v>
      </c>
      <c r="AC548" s="22" t="s">
        <v>1238</v>
      </c>
      <c r="AD548" s="22"/>
      <c r="AE548" s="22" t="s">
        <v>114</v>
      </c>
      <c r="AF548" s="22" t="s">
        <v>132</v>
      </c>
      <c r="AG548" s="22" t="s">
        <v>114</v>
      </c>
      <c r="AH548" s="22" t="s">
        <v>132</v>
      </c>
      <c r="AI548" s="22" t="s">
        <v>132</v>
      </c>
      <c r="AJ548" s="22" t="s">
        <v>132</v>
      </c>
      <c r="AK548" s="22" t="s">
        <v>132</v>
      </c>
      <c r="AL548" s="22"/>
      <c r="AM548" s="22" t="s">
        <v>132</v>
      </c>
      <c r="AN548" s="22" t="s">
        <v>132</v>
      </c>
      <c r="AO548" s="22"/>
      <c r="AP548" s="22" t="s">
        <v>132</v>
      </c>
      <c r="AQ548" s="22" t="s">
        <v>132</v>
      </c>
      <c r="AS548" s="11">
        <v>46185</v>
      </c>
      <c r="AT548" s="22"/>
      <c r="AU548" s="22" t="s">
        <v>114</v>
      </c>
      <c r="AV548" t="s">
        <v>134</v>
      </c>
      <c r="AW548" s="22" t="s">
        <v>152</v>
      </c>
      <c r="AY548" t="s">
        <v>135</v>
      </c>
      <c r="AZ548" s="22"/>
      <c r="BA548" s="22"/>
      <c r="BB548" s="22" t="s">
        <v>114</v>
      </c>
      <c r="BC548" s="49">
        <v>46183</v>
      </c>
      <c r="BD548" s="22" t="s">
        <v>284</v>
      </c>
      <c r="BE548" s="22"/>
      <c r="BF548" s="22" t="s">
        <v>974</v>
      </c>
      <c r="BG548" s="22" t="s">
        <v>449</v>
      </c>
      <c r="BH548" s="22"/>
      <c r="BI548" s="49">
        <v>46189</v>
      </c>
      <c r="BJ548" t="str">
        <f t="shared" si="113"/>
        <v>S25_2026</v>
      </c>
      <c r="BK548" s="22" t="s">
        <v>137</v>
      </c>
      <c r="BL548" t="str">
        <f t="shared" si="111"/>
        <v>S24_2026</v>
      </c>
      <c r="BM548" s="22" t="s">
        <v>159</v>
      </c>
      <c r="BN548" s="11">
        <v>46189</v>
      </c>
      <c r="BO548" s="22" t="str">
        <f t="shared" si="105"/>
        <v>S25_2026</v>
      </c>
      <c r="BP548" s="22" t="s">
        <v>114</v>
      </c>
      <c r="BQ548" s="22" t="s">
        <v>971</v>
      </c>
      <c r="BR548" s="22" t="s">
        <v>451</v>
      </c>
      <c r="BS548" s="22" t="s">
        <v>132</v>
      </c>
      <c r="CI548" t="s">
        <v>119</v>
      </c>
      <c r="CK548" t="s">
        <v>138</v>
      </c>
      <c r="CP548" s="11">
        <v>46183</v>
      </c>
      <c r="CQ548" t="s">
        <v>132</v>
      </c>
      <c r="CW548" t="s">
        <v>132</v>
      </c>
      <c r="CX548" s="11">
        <v>46178</v>
      </c>
      <c r="CY548" t="str">
        <f t="shared" si="112"/>
        <v>S23_2026</v>
      </c>
      <c r="CZ548" t="s">
        <v>132</v>
      </c>
      <c r="DB548" t="s">
        <v>132</v>
      </c>
      <c r="DC548" t="s">
        <v>139</v>
      </c>
    </row>
    <row r="549" spans="1:107" x14ac:dyDescent="0.35">
      <c r="A549" s="22" t="s">
        <v>2034</v>
      </c>
      <c r="B549" s="23" t="str">
        <f t="shared" si="109"/>
        <v>S25_2026</v>
      </c>
      <c r="C549" s="10" t="str">
        <f t="shared" si="114"/>
        <v>S24_2026</v>
      </c>
      <c r="D549" s="11">
        <v>46190</v>
      </c>
      <c r="E549" t="s">
        <v>106</v>
      </c>
      <c r="F549" s="50">
        <v>21</v>
      </c>
      <c r="G549" s="22" t="s">
        <v>2035</v>
      </c>
      <c r="H549" s="22" t="s">
        <v>108</v>
      </c>
      <c r="J549" s="22" t="s">
        <v>132</v>
      </c>
      <c r="L549" s="22" t="s">
        <v>321</v>
      </c>
      <c r="M549" s="22" t="s">
        <v>896</v>
      </c>
      <c r="N549" s="22" t="s">
        <v>2036</v>
      </c>
      <c r="O549" s="22" t="s">
        <v>2037</v>
      </c>
      <c r="P549" s="22" t="s">
        <v>2038</v>
      </c>
      <c r="Q549" s="22" t="s">
        <v>896</v>
      </c>
      <c r="R549" s="11">
        <v>46182</v>
      </c>
      <c r="S549" s="11">
        <v>46182</v>
      </c>
      <c r="T549" s="11">
        <v>46182</v>
      </c>
      <c r="V549" s="22" t="s">
        <v>132</v>
      </c>
      <c r="W549" s="22" t="s">
        <v>132</v>
      </c>
      <c r="X549" s="22" t="s">
        <v>114</v>
      </c>
      <c r="Y549" s="22" t="s">
        <v>132</v>
      </c>
      <c r="Z549" s="22" t="s">
        <v>114</v>
      </c>
      <c r="AA549" s="22" t="s">
        <v>132</v>
      </c>
      <c r="AB549" s="22" t="s">
        <v>132</v>
      </c>
      <c r="AE549" s="22" t="s">
        <v>114</v>
      </c>
      <c r="AF549" s="22" t="s">
        <v>132</v>
      </c>
      <c r="AG549" s="22" t="s">
        <v>132</v>
      </c>
      <c r="AH549" s="22" t="s">
        <v>132</v>
      </c>
      <c r="AI549" s="22" t="s">
        <v>132</v>
      </c>
      <c r="AJ549" s="22" t="s">
        <v>132</v>
      </c>
      <c r="AK549" s="22" t="s">
        <v>132</v>
      </c>
      <c r="AL549" s="22"/>
      <c r="AM549" s="22" t="s">
        <v>114</v>
      </c>
      <c r="AN549" s="22" t="s">
        <v>114</v>
      </c>
      <c r="AO549" s="22"/>
      <c r="AP549" s="22" t="s">
        <v>132</v>
      </c>
      <c r="AQ549" s="22" t="s">
        <v>132</v>
      </c>
      <c r="AS549" s="11">
        <v>46186</v>
      </c>
      <c r="AU549" t="s">
        <v>114</v>
      </c>
      <c r="AV549" t="s">
        <v>134</v>
      </c>
      <c r="AW549" t="s">
        <v>152</v>
      </c>
      <c r="AY549" t="s">
        <v>452</v>
      </c>
      <c r="BB549" s="22" t="s">
        <v>114</v>
      </c>
      <c r="BC549" s="11">
        <v>46186</v>
      </c>
      <c r="BD549" s="22" t="s">
        <v>512</v>
      </c>
      <c r="BE549">
        <v>671695041</v>
      </c>
      <c r="BF549" s="22" t="s">
        <v>900</v>
      </c>
      <c r="BG549" s="22" t="s">
        <v>449</v>
      </c>
      <c r="BI549" s="11">
        <v>46199</v>
      </c>
      <c r="BJ549" t="str">
        <f t="shared" si="113"/>
        <v>S26_2026</v>
      </c>
      <c r="BK549" s="22" t="s">
        <v>321</v>
      </c>
      <c r="BL549" t="str">
        <f t="shared" si="111"/>
        <v>S24_2026</v>
      </c>
      <c r="BM549" s="22" t="s">
        <v>159</v>
      </c>
      <c r="BN549" s="11">
        <v>46199</v>
      </c>
      <c r="BO549" s="22" t="str">
        <f t="shared" si="105"/>
        <v>S26_2026</v>
      </c>
      <c r="BP549" t="s">
        <v>114</v>
      </c>
      <c r="BQ549" t="s">
        <v>971</v>
      </c>
      <c r="BR549" s="22" t="s">
        <v>451</v>
      </c>
      <c r="BS549" t="s">
        <v>132</v>
      </c>
      <c r="CI549" t="s">
        <v>119</v>
      </c>
      <c r="CK549" t="s">
        <v>138</v>
      </c>
      <c r="CP549" s="11">
        <v>46186</v>
      </c>
      <c r="CQ549" t="s">
        <v>132</v>
      </c>
      <c r="CW549" t="s">
        <v>132</v>
      </c>
      <c r="CX549" s="11">
        <v>46182</v>
      </c>
      <c r="CY549" t="str">
        <f t="shared" si="112"/>
        <v>S24_2026</v>
      </c>
      <c r="CZ549" t="s">
        <v>132</v>
      </c>
      <c r="DB549" t="s">
        <v>132</v>
      </c>
      <c r="DC549" t="s">
        <v>139</v>
      </c>
    </row>
    <row r="550" spans="1:107" x14ac:dyDescent="0.35">
      <c r="A550" t="s">
        <v>2039</v>
      </c>
      <c r="B550" s="23" t="str">
        <f t="shared" si="109"/>
        <v>S25_2026</v>
      </c>
      <c r="C550" s="10" t="str">
        <f t="shared" si="114"/>
        <v>S24_2026</v>
      </c>
      <c r="D550" s="11">
        <v>46189</v>
      </c>
      <c r="E550" t="s">
        <v>123</v>
      </c>
      <c r="F550" s="24">
        <v>4</v>
      </c>
      <c r="G550" s="22" t="s">
        <v>107</v>
      </c>
      <c r="H550" s="22" t="s">
        <v>108</v>
      </c>
      <c r="J550" s="22" t="s">
        <v>114</v>
      </c>
      <c r="K550" s="11">
        <v>46182</v>
      </c>
      <c r="L550" t="s">
        <v>170</v>
      </c>
      <c r="M550" t="s">
        <v>2040</v>
      </c>
      <c r="N550" s="22" t="s">
        <v>2041</v>
      </c>
      <c r="O550" t="s">
        <v>2042</v>
      </c>
      <c r="P550" s="22" t="s">
        <v>2041</v>
      </c>
      <c r="Q550" t="s">
        <v>2040</v>
      </c>
      <c r="R550" s="11">
        <v>46181</v>
      </c>
      <c r="S550" s="11">
        <v>46181</v>
      </c>
      <c r="T550" s="11">
        <v>46181</v>
      </c>
      <c r="V550" s="22" t="s">
        <v>114</v>
      </c>
      <c r="W550" s="22" t="s">
        <v>114</v>
      </c>
      <c r="X550" s="22" t="s">
        <v>114</v>
      </c>
      <c r="Y550" s="22" t="s">
        <v>114</v>
      </c>
      <c r="Z550" s="22" t="s">
        <v>114</v>
      </c>
      <c r="AA550" s="22" t="s">
        <v>114</v>
      </c>
      <c r="AB550" s="22" t="s">
        <v>114</v>
      </c>
      <c r="AE550" s="22" t="s">
        <v>114</v>
      </c>
      <c r="AF550" s="22" t="s">
        <v>132</v>
      </c>
      <c r="AG550" s="22" t="s">
        <v>132</v>
      </c>
      <c r="AH550" s="22" t="s">
        <v>132</v>
      </c>
      <c r="AI550" s="22" t="s">
        <v>132</v>
      </c>
      <c r="AJ550" s="22" t="s">
        <v>132</v>
      </c>
      <c r="AK550" s="22" t="s">
        <v>132</v>
      </c>
      <c r="AL550" s="22"/>
      <c r="AM550" s="22" t="s">
        <v>451</v>
      </c>
      <c r="AN550" s="22" t="s">
        <v>132</v>
      </c>
      <c r="AO550" s="22"/>
      <c r="AP550" s="22" t="s">
        <v>132</v>
      </c>
      <c r="AQ550" s="22" t="s">
        <v>132</v>
      </c>
      <c r="AR550" t="s">
        <v>2043</v>
      </c>
      <c r="AS550" s="11">
        <v>46188</v>
      </c>
      <c r="AU550" t="s">
        <v>114</v>
      </c>
      <c r="AV550" t="s">
        <v>115</v>
      </c>
      <c r="BB550" t="s">
        <v>114</v>
      </c>
      <c r="BC550" s="11">
        <v>46065</v>
      </c>
      <c r="BD550" t="s">
        <v>243</v>
      </c>
      <c r="BE550">
        <v>651050933</v>
      </c>
      <c r="BF550" s="22" t="s">
        <v>2041</v>
      </c>
      <c r="BG550" t="s">
        <v>114</v>
      </c>
      <c r="BJ550" t="str">
        <f t="shared" si="113"/>
        <v/>
      </c>
      <c r="BK550" s="22" t="s">
        <v>170</v>
      </c>
      <c r="BL550" t="str">
        <f t="shared" si="111"/>
        <v>S7_2026</v>
      </c>
      <c r="BM550" s="22" t="s">
        <v>159</v>
      </c>
      <c r="BN550" s="11">
        <v>46189</v>
      </c>
      <c r="BO550" s="22" t="str">
        <f t="shared" si="105"/>
        <v>S25_2026</v>
      </c>
      <c r="BP550" s="22" t="s">
        <v>114</v>
      </c>
      <c r="BQ550" s="22" t="s">
        <v>2044</v>
      </c>
      <c r="BR550" s="22" t="s">
        <v>451</v>
      </c>
      <c r="BS550" t="s">
        <v>132</v>
      </c>
      <c r="CI550" t="s">
        <v>119</v>
      </c>
      <c r="CP550" s="11">
        <v>46185</v>
      </c>
      <c r="CQ550" t="s">
        <v>132</v>
      </c>
      <c r="CW550" t="s">
        <v>132</v>
      </c>
      <c r="CX550" s="11">
        <v>46181</v>
      </c>
      <c r="CY550" t="str">
        <f t="shared" si="112"/>
        <v>S24_2026</v>
      </c>
      <c r="CZ550" t="s">
        <v>132</v>
      </c>
      <c r="DB550" t="s">
        <v>132</v>
      </c>
      <c r="DC550" t="s">
        <v>120</v>
      </c>
    </row>
    <row r="551" spans="1:107" x14ac:dyDescent="0.35">
      <c r="A551" t="s">
        <v>2045</v>
      </c>
      <c r="B551" s="23" t="str">
        <f t="shared" si="109"/>
        <v>S25_2026</v>
      </c>
      <c r="C551" s="10" t="str">
        <f t="shared" si="114"/>
        <v>S24_2026</v>
      </c>
      <c r="D551" s="11">
        <v>46189</v>
      </c>
      <c r="E551" t="s">
        <v>123</v>
      </c>
      <c r="F551" s="24">
        <v>17</v>
      </c>
      <c r="G551" s="22" t="s">
        <v>1197</v>
      </c>
      <c r="H551" t="s">
        <v>108</v>
      </c>
      <c r="J551" t="s">
        <v>132</v>
      </c>
      <c r="L551" t="s">
        <v>170</v>
      </c>
      <c r="M551" t="s">
        <v>846</v>
      </c>
      <c r="N551" t="s">
        <v>2046</v>
      </c>
      <c r="O551" t="s">
        <v>2047</v>
      </c>
      <c r="P551" t="s">
        <v>2048</v>
      </c>
      <c r="Q551" t="s">
        <v>846</v>
      </c>
      <c r="R551" s="11">
        <v>46183</v>
      </c>
      <c r="S551" s="11">
        <v>46183</v>
      </c>
      <c r="T551" s="11">
        <v>46183</v>
      </c>
      <c r="V551" t="s">
        <v>114</v>
      </c>
      <c r="W551" t="s">
        <v>114</v>
      </c>
      <c r="X551" t="s">
        <v>114</v>
      </c>
      <c r="Y551" t="s">
        <v>114</v>
      </c>
      <c r="Z551" t="s">
        <v>114</v>
      </c>
      <c r="AA551" t="s">
        <v>114</v>
      </c>
      <c r="AB551" t="s">
        <v>114</v>
      </c>
      <c r="AE551" t="s">
        <v>132</v>
      </c>
      <c r="AF551" t="s">
        <v>132</v>
      </c>
      <c r="AG551" t="s">
        <v>114</v>
      </c>
      <c r="AH551" t="s">
        <v>132</v>
      </c>
      <c r="AI551" t="s">
        <v>132</v>
      </c>
      <c r="AJ551" t="s">
        <v>132</v>
      </c>
      <c r="AK551" t="s">
        <v>132</v>
      </c>
      <c r="AM551" t="s">
        <v>451</v>
      </c>
      <c r="AN551" t="s">
        <v>132</v>
      </c>
      <c r="AP551" t="s">
        <v>132</v>
      </c>
      <c r="AQ551" t="s">
        <v>142</v>
      </c>
      <c r="AR551" t="s">
        <v>2049</v>
      </c>
      <c r="AS551" s="11">
        <v>46188</v>
      </c>
      <c r="AU551" t="s">
        <v>114</v>
      </c>
      <c r="AV551" t="s">
        <v>115</v>
      </c>
      <c r="BB551" t="s">
        <v>114</v>
      </c>
      <c r="BC551" s="11">
        <v>46185</v>
      </c>
      <c r="BD551" t="s">
        <v>116</v>
      </c>
      <c r="BE551">
        <v>674166852</v>
      </c>
      <c r="BF551" t="s">
        <v>2046</v>
      </c>
      <c r="BG551" t="s">
        <v>449</v>
      </c>
      <c r="BJ551" t="str">
        <f t="shared" si="113"/>
        <v/>
      </c>
      <c r="BK551" s="22" t="s">
        <v>170</v>
      </c>
      <c r="BL551" t="str">
        <f t="shared" si="111"/>
        <v>S24_2026</v>
      </c>
      <c r="BM551" s="22" t="s">
        <v>159</v>
      </c>
      <c r="BN551" s="11">
        <v>46189</v>
      </c>
      <c r="BO551" s="22" t="str">
        <f t="shared" si="105"/>
        <v>S25_2026</v>
      </c>
      <c r="BP551" s="22" t="s">
        <v>114</v>
      </c>
      <c r="BQ551" s="22" t="s">
        <v>450</v>
      </c>
      <c r="BR551" s="22" t="s">
        <v>451</v>
      </c>
      <c r="BS551" t="s">
        <v>132</v>
      </c>
      <c r="CI551" t="s">
        <v>119</v>
      </c>
      <c r="CP551" s="11">
        <v>46185</v>
      </c>
      <c r="CQ551" t="s">
        <v>132</v>
      </c>
      <c r="CW551" t="s">
        <v>132</v>
      </c>
      <c r="CX551" s="11">
        <v>46183</v>
      </c>
      <c r="CY551" t="str">
        <f t="shared" si="112"/>
        <v>S24_2026</v>
      </c>
      <c r="CZ551" t="s">
        <v>132</v>
      </c>
      <c r="DB551" t="s">
        <v>132</v>
      </c>
      <c r="DC551" t="s">
        <v>120</v>
      </c>
    </row>
    <row r="552" spans="1:107" x14ac:dyDescent="0.35">
      <c r="A552" t="s">
        <v>2050</v>
      </c>
      <c r="B552" s="23" t="str">
        <f t="shared" si="109"/>
        <v>S25_2026</v>
      </c>
      <c r="C552" s="10" t="str">
        <f t="shared" si="114"/>
        <v>S24_2026</v>
      </c>
      <c r="D552" s="11">
        <v>46190</v>
      </c>
      <c r="E552" t="s">
        <v>106</v>
      </c>
      <c r="F552" s="24">
        <v>9</v>
      </c>
      <c r="G552" t="s">
        <v>107</v>
      </c>
      <c r="H552" t="s">
        <v>108</v>
      </c>
      <c r="J552" t="s">
        <v>142</v>
      </c>
      <c r="L552" t="s">
        <v>793</v>
      </c>
      <c r="M552" t="s">
        <v>805</v>
      </c>
      <c r="N552" t="s">
        <v>2051</v>
      </c>
      <c r="O552" t="s">
        <v>2052</v>
      </c>
      <c r="P552" t="s">
        <v>2053</v>
      </c>
      <c r="Q552" t="s">
        <v>805</v>
      </c>
      <c r="R552" s="11">
        <v>46186</v>
      </c>
      <c r="S552" s="11">
        <v>46186</v>
      </c>
      <c r="T552" s="11">
        <v>46186</v>
      </c>
      <c r="AJ552" t="s">
        <v>132</v>
      </c>
      <c r="AK552" t="s">
        <v>132</v>
      </c>
      <c r="AM552" t="s">
        <v>132</v>
      </c>
      <c r="AN552" t="s">
        <v>132</v>
      </c>
      <c r="AP552" t="s">
        <v>132</v>
      </c>
      <c r="AQ552" t="s">
        <v>132</v>
      </c>
      <c r="AR552" t="s">
        <v>2054</v>
      </c>
      <c r="AS552" s="11">
        <v>46190</v>
      </c>
      <c r="AU552" t="s">
        <v>114</v>
      </c>
      <c r="AV552" t="s">
        <v>115</v>
      </c>
      <c r="BB552" t="s">
        <v>114</v>
      </c>
      <c r="BC552" s="11">
        <v>46188</v>
      </c>
      <c r="BD552" t="s">
        <v>116</v>
      </c>
      <c r="BE552">
        <v>697879623</v>
      </c>
      <c r="BF552" t="s">
        <v>1876</v>
      </c>
      <c r="BG552" t="s">
        <v>449</v>
      </c>
      <c r="BJ552" t="str">
        <f t="shared" si="113"/>
        <v/>
      </c>
      <c r="BK552" s="22" t="s">
        <v>793</v>
      </c>
      <c r="BL552" t="str">
        <f t="shared" si="111"/>
        <v>S25_2026</v>
      </c>
      <c r="BM552" s="22" t="s">
        <v>159</v>
      </c>
      <c r="BN552" s="11">
        <v>46191</v>
      </c>
      <c r="BO552" s="22" t="str">
        <f t="shared" si="105"/>
        <v>S25_2026</v>
      </c>
      <c r="BP552" s="22" t="s">
        <v>114</v>
      </c>
      <c r="BQ552" s="22" t="s">
        <v>450</v>
      </c>
      <c r="BR552" t="s">
        <v>451</v>
      </c>
      <c r="BS552" t="s">
        <v>132</v>
      </c>
      <c r="CI552" t="s">
        <v>119</v>
      </c>
      <c r="CP552" s="11">
        <v>46188</v>
      </c>
      <c r="CQ552" t="s">
        <v>132</v>
      </c>
      <c r="CW552" t="s">
        <v>132</v>
      </c>
      <c r="CX552" s="11">
        <v>46186</v>
      </c>
      <c r="CY552" t="str">
        <f t="shared" si="112"/>
        <v>S24_2026</v>
      </c>
      <c r="CZ552" t="s">
        <v>132</v>
      </c>
      <c r="DB552" t="s">
        <v>132</v>
      </c>
      <c r="DC552" t="s">
        <v>120</v>
      </c>
    </row>
    <row r="553" spans="1:107" x14ac:dyDescent="0.35">
      <c r="A553" t="s">
        <v>2055</v>
      </c>
      <c r="B553" s="23" t="str">
        <f t="shared" si="109"/>
        <v>S25_2026</v>
      </c>
      <c r="C553" s="10" t="str">
        <f t="shared" si="114"/>
        <v>S23_2026</v>
      </c>
      <c r="D553" s="11">
        <v>46191</v>
      </c>
      <c r="E553" t="s">
        <v>106</v>
      </c>
      <c r="F553" s="24">
        <v>24</v>
      </c>
      <c r="G553" s="22" t="s">
        <v>2056</v>
      </c>
      <c r="H553" s="22" t="s">
        <v>835</v>
      </c>
      <c r="J553" s="22" t="s">
        <v>114</v>
      </c>
      <c r="K553" s="11">
        <v>46181</v>
      </c>
      <c r="L553" t="s">
        <v>180</v>
      </c>
      <c r="M553" t="s">
        <v>368</v>
      </c>
      <c r="N553" t="s">
        <v>2057</v>
      </c>
      <c r="O553" t="s">
        <v>2058</v>
      </c>
      <c r="P553" t="s">
        <v>2059</v>
      </c>
      <c r="Q553" t="s">
        <v>368</v>
      </c>
      <c r="R553" s="11">
        <v>46179</v>
      </c>
      <c r="S553" s="11">
        <v>46179</v>
      </c>
      <c r="T553" s="11">
        <v>46179</v>
      </c>
      <c r="V553" s="22" t="s">
        <v>114</v>
      </c>
      <c r="W553" s="22" t="s">
        <v>114</v>
      </c>
      <c r="X553" s="22" t="s">
        <v>114</v>
      </c>
      <c r="Y553" s="22" t="s">
        <v>114</v>
      </c>
      <c r="Z553" s="22" t="s">
        <v>114</v>
      </c>
      <c r="AA553" s="22" t="s">
        <v>114</v>
      </c>
      <c r="AB553" s="22" t="s">
        <v>114</v>
      </c>
      <c r="AE553" s="22" t="s">
        <v>114</v>
      </c>
      <c r="AF553" s="22" t="s">
        <v>132</v>
      </c>
      <c r="AG553" s="22" t="s">
        <v>132</v>
      </c>
      <c r="AH553" s="22" t="s">
        <v>132</v>
      </c>
      <c r="AI553" s="22" t="s">
        <v>132</v>
      </c>
      <c r="AJ553" s="22" t="s">
        <v>132</v>
      </c>
      <c r="AK553" s="22" t="s">
        <v>132</v>
      </c>
      <c r="AL553" s="22"/>
      <c r="AM553" s="22" t="s">
        <v>132</v>
      </c>
      <c r="AN553" s="22" t="s">
        <v>132</v>
      </c>
      <c r="AO553" s="22"/>
      <c r="AP553" s="22" t="s">
        <v>132</v>
      </c>
      <c r="AQ553" s="22" t="s">
        <v>132</v>
      </c>
      <c r="AR553" t="s">
        <v>2060</v>
      </c>
      <c r="AS553" s="11">
        <v>46189</v>
      </c>
      <c r="AU553" t="s">
        <v>114</v>
      </c>
      <c r="AV553" t="s">
        <v>115</v>
      </c>
      <c r="BB553" t="s">
        <v>114</v>
      </c>
      <c r="BC553" s="11">
        <v>46186</v>
      </c>
      <c r="BD553" t="s">
        <v>116</v>
      </c>
      <c r="BE553">
        <v>691882329</v>
      </c>
      <c r="BF553" t="s">
        <v>2061</v>
      </c>
      <c r="BG553" t="s">
        <v>449</v>
      </c>
      <c r="BJ553" t="str">
        <f t="shared" si="113"/>
        <v/>
      </c>
      <c r="BK553" s="22" t="s">
        <v>180</v>
      </c>
      <c r="BL553" t="str">
        <f t="shared" si="111"/>
        <v>S24_2026</v>
      </c>
      <c r="BM553" s="22" t="s">
        <v>159</v>
      </c>
      <c r="BN553" s="11">
        <v>46191</v>
      </c>
      <c r="BO553" s="22" t="str">
        <f t="shared" si="105"/>
        <v>S25_2026</v>
      </c>
      <c r="BP553" s="22" t="s">
        <v>114</v>
      </c>
      <c r="BQ553" s="22" t="s">
        <v>450</v>
      </c>
      <c r="BR553" s="22" t="s">
        <v>132</v>
      </c>
      <c r="BS553" t="s">
        <v>132</v>
      </c>
      <c r="CI553" t="s">
        <v>119</v>
      </c>
      <c r="CP553" s="11">
        <v>46186</v>
      </c>
      <c r="CQ553" t="s">
        <v>132</v>
      </c>
      <c r="CW553" t="s">
        <v>132</v>
      </c>
      <c r="CX553" s="11">
        <v>46183</v>
      </c>
      <c r="CY553" t="str">
        <f t="shared" si="112"/>
        <v>S24_2026</v>
      </c>
      <c r="CZ553" t="s">
        <v>132</v>
      </c>
      <c r="DB553" t="s">
        <v>132</v>
      </c>
      <c r="DC553" t="s">
        <v>120</v>
      </c>
    </row>
    <row r="554" spans="1:107" x14ac:dyDescent="0.35">
      <c r="A554" t="s">
        <v>2062</v>
      </c>
      <c r="B554" s="23" t="str">
        <f t="shared" si="109"/>
        <v>S26_2026</v>
      </c>
      <c r="C554" s="10" t="str">
        <f t="shared" si="114"/>
        <v>S22_2026</v>
      </c>
      <c r="D554" s="11">
        <v>46195</v>
      </c>
      <c r="E554" t="s">
        <v>106</v>
      </c>
      <c r="F554" s="24">
        <v>14</v>
      </c>
      <c r="G554" t="s">
        <v>2063</v>
      </c>
      <c r="H554" s="22" t="s">
        <v>835</v>
      </c>
      <c r="J554" s="22" t="s">
        <v>132</v>
      </c>
      <c r="L554" s="22" t="s">
        <v>187</v>
      </c>
      <c r="M554" t="s">
        <v>193</v>
      </c>
      <c r="N554" s="22" t="s">
        <v>194</v>
      </c>
      <c r="O554" t="s">
        <v>2064</v>
      </c>
      <c r="P554" s="22" t="s">
        <v>2065</v>
      </c>
      <c r="Q554" t="s">
        <v>193</v>
      </c>
      <c r="R554" s="11">
        <v>46170</v>
      </c>
      <c r="S554" s="11">
        <v>46170</v>
      </c>
      <c r="T554" s="11">
        <v>46170</v>
      </c>
      <c r="V554" s="22" t="s">
        <v>132</v>
      </c>
      <c r="W554" t="s">
        <v>132</v>
      </c>
      <c r="X554" t="s">
        <v>114</v>
      </c>
      <c r="Y554" t="s">
        <v>132</v>
      </c>
      <c r="Z554" t="s">
        <v>132</v>
      </c>
      <c r="AA554" t="s">
        <v>132</v>
      </c>
      <c r="AB554" t="s">
        <v>132</v>
      </c>
      <c r="AE554" s="22" t="s">
        <v>132</v>
      </c>
      <c r="AF554" s="22" t="s">
        <v>132</v>
      </c>
      <c r="AG554" s="22" t="s">
        <v>132</v>
      </c>
      <c r="AH554" s="22" t="s">
        <v>132</v>
      </c>
      <c r="AI554" s="22" t="s">
        <v>132</v>
      </c>
      <c r="AJ554" s="22" t="s">
        <v>132</v>
      </c>
      <c r="AP554" s="22" t="s">
        <v>132</v>
      </c>
      <c r="AQ554" s="22" t="s">
        <v>142</v>
      </c>
      <c r="AR554" t="s">
        <v>2066</v>
      </c>
      <c r="AS554" s="11">
        <v>46191</v>
      </c>
      <c r="AU554" t="s">
        <v>114</v>
      </c>
      <c r="AV554" t="s">
        <v>115</v>
      </c>
      <c r="BB554" t="s">
        <v>114</v>
      </c>
      <c r="BC554" s="11">
        <v>46184</v>
      </c>
      <c r="BD554" t="s">
        <v>116</v>
      </c>
      <c r="BE554">
        <v>672038845</v>
      </c>
      <c r="BF554" t="s">
        <v>1912</v>
      </c>
      <c r="BG554" t="s">
        <v>449</v>
      </c>
      <c r="BJ554" t="str">
        <f t="shared" si="113"/>
        <v/>
      </c>
      <c r="BK554" s="22" t="s">
        <v>187</v>
      </c>
      <c r="BL554" t="str">
        <f t="shared" si="111"/>
        <v>S24_2026</v>
      </c>
      <c r="BM554" s="22" t="s">
        <v>159</v>
      </c>
      <c r="BN554" s="11">
        <v>46195</v>
      </c>
      <c r="BO554" s="22" t="str">
        <f t="shared" si="105"/>
        <v>S26_2026</v>
      </c>
      <c r="BP554" s="22" t="s">
        <v>114</v>
      </c>
      <c r="BQ554" s="22" t="s">
        <v>450</v>
      </c>
      <c r="BR554" s="22" t="s">
        <v>142</v>
      </c>
      <c r="BS554" s="22" t="s">
        <v>132</v>
      </c>
      <c r="CI554" t="s">
        <v>119</v>
      </c>
      <c r="CP554" s="11">
        <v>46184</v>
      </c>
      <c r="CQ554" t="s">
        <v>132</v>
      </c>
      <c r="CW554" t="s">
        <v>132</v>
      </c>
      <c r="CX554" s="11">
        <v>46170</v>
      </c>
      <c r="CY554" t="str">
        <f t="shared" si="112"/>
        <v>S22_2026</v>
      </c>
      <c r="CZ554" t="s">
        <v>132</v>
      </c>
      <c r="DB554" t="s">
        <v>132</v>
      </c>
      <c r="DC554" t="s">
        <v>120</v>
      </c>
    </row>
    <row r="555" spans="1:107" x14ac:dyDescent="0.35">
      <c r="A555" t="s">
        <v>2067</v>
      </c>
      <c r="B555" s="23" t="str">
        <f t="shared" si="109"/>
        <v>S26_2026</v>
      </c>
      <c r="C555" s="10" t="str">
        <f t="shared" si="114"/>
        <v/>
      </c>
      <c r="D555" s="11">
        <v>46195</v>
      </c>
      <c r="E555" t="s">
        <v>123</v>
      </c>
      <c r="F555" s="24">
        <v>8</v>
      </c>
      <c r="G555" t="s">
        <v>2063</v>
      </c>
      <c r="H555" s="22" t="s">
        <v>835</v>
      </c>
      <c r="J555" s="22" t="s">
        <v>132</v>
      </c>
      <c r="L555" s="22" t="s">
        <v>187</v>
      </c>
      <c r="M555" t="s">
        <v>193</v>
      </c>
      <c r="N555" s="22" t="s">
        <v>194</v>
      </c>
      <c r="O555" t="s">
        <v>2064</v>
      </c>
      <c r="P555" t="s">
        <v>2065</v>
      </c>
      <c r="Q555" t="s">
        <v>193</v>
      </c>
      <c r="V555" s="22" t="s">
        <v>132</v>
      </c>
      <c r="W555" t="s">
        <v>132</v>
      </c>
      <c r="X555" t="s">
        <v>114</v>
      </c>
      <c r="Y555" t="s">
        <v>132</v>
      </c>
      <c r="Z555" t="s">
        <v>132</v>
      </c>
      <c r="AA555" t="s">
        <v>132</v>
      </c>
      <c r="AB555" t="s">
        <v>132</v>
      </c>
      <c r="AC555" t="s">
        <v>1377</v>
      </c>
      <c r="AE555" s="22" t="s">
        <v>132</v>
      </c>
      <c r="AF555" s="22" t="s">
        <v>132</v>
      </c>
      <c r="AG555" s="22" t="s">
        <v>132</v>
      </c>
      <c r="AH555" s="22" t="s">
        <v>132</v>
      </c>
      <c r="AI555" s="22" t="s">
        <v>132</v>
      </c>
      <c r="AJ555" s="22" t="s">
        <v>132</v>
      </c>
      <c r="AP555" s="22" t="s">
        <v>132</v>
      </c>
      <c r="AQ555" s="22" t="s">
        <v>142</v>
      </c>
      <c r="AR555" t="s">
        <v>2068</v>
      </c>
      <c r="AS555" s="11">
        <v>46191</v>
      </c>
      <c r="AU555" t="s">
        <v>114</v>
      </c>
      <c r="AV555" t="s">
        <v>115</v>
      </c>
      <c r="BB555" t="s">
        <v>114</v>
      </c>
      <c r="BC555" s="11">
        <v>46184</v>
      </c>
      <c r="BD555" t="s">
        <v>116</v>
      </c>
      <c r="BE555">
        <v>672038845</v>
      </c>
      <c r="BF555" t="s">
        <v>1912</v>
      </c>
      <c r="BG555" t="s">
        <v>449</v>
      </c>
      <c r="BJ555" t="str">
        <f t="shared" si="113"/>
        <v/>
      </c>
      <c r="BK555" s="22" t="s">
        <v>187</v>
      </c>
      <c r="BL555" t="str">
        <f t="shared" si="111"/>
        <v>S24_2026</v>
      </c>
      <c r="BM555" s="22" t="s">
        <v>159</v>
      </c>
      <c r="BN555" s="11">
        <v>46195</v>
      </c>
      <c r="BO555" s="22" t="str">
        <f t="shared" si="105"/>
        <v>S26_2026</v>
      </c>
      <c r="BP555" s="22" t="s">
        <v>114</v>
      </c>
      <c r="BQ555" s="22" t="s">
        <v>450</v>
      </c>
      <c r="BR555" s="22" t="s">
        <v>142</v>
      </c>
      <c r="BS555" s="22" t="s">
        <v>132</v>
      </c>
      <c r="CI555" t="s">
        <v>119</v>
      </c>
      <c r="CP555" s="11">
        <v>46184</v>
      </c>
      <c r="CQ555" t="s">
        <v>132</v>
      </c>
      <c r="CW555" t="s">
        <v>132</v>
      </c>
      <c r="CX555" s="11">
        <v>46184</v>
      </c>
      <c r="CY555" t="str">
        <f t="shared" si="112"/>
        <v>S24_2026</v>
      </c>
      <c r="CZ555" t="s">
        <v>132</v>
      </c>
      <c r="DB555" t="s">
        <v>132</v>
      </c>
      <c r="DC555" t="s">
        <v>120</v>
      </c>
    </row>
    <row r="556" spans="1:107" x14ac:dyDescent="0.35">
      <c r="A556" t="s">
        <v>2069</v>
      </c>
      <c r="B556" s="23" t="str">
        <f t="shared" si="109"/>
        <v>S26_2026</v>
      </c>
      <c r="C556" s="10" t="str">
        <f t="shared" si="114"/>
        <v>S21_2026</v>
      </c>
      <c r="D556" s="11">
        <v>46195</v>
      </c>
      <c r="E556" t="s">
        <v>123</v>
      </c>
      <c r="F556" s="24">
        <v>9</v>
      </c>
      <c r="G556" t="s">
        <v>2063</v>
      </c>
      <c r="H556" s="22" t="s">
        <v>108</v>
      </c>
      <c r="J556" s="22" t="s">
        <v>132</v>
      </c>
      <c r="L556" s="22" t="s">
        <v>187</v>
      </c>
      <c r="M556" t="s">
        <v>193</v>
      </c>
      <c r="N556" t="s">
        <v>194</v>
      </c>
      <c r="O556" t="s">
        <v>2064</v>
      </c>
      <c r="P556" t="s">
        <v>2065</v>
      </c>
      <c r="Q556" t="s">
        <v>193</v>
      </c>
      <c r="R556" s="11">
        <v>46160</v>
      </c>
      <c r="S556" s="11">
        <v>46160</v>
      </c>
      <c r="T556" s="11">
        <v>46160</v>
      </c>
      <c r="V556" s="22" t="s">
        <v>114</v>
      </c>
      <c r="W556" t="s">
        <v>114</v>
      </c>
      <c r="X556" t="s">
        <v>114</v>
      </c>
      <c r="Y556" t="s">
        <v>114</v>
      </c>
      <c r="Z556" t="s">
        <v>114</v>
      </c>
      <c r="AA556" t="s">
        <v>114</v>
      </c>
      <c r="AB556" t="s">
        <v>114</v>
      </c>
      <c r="AE556" s="22" t="s">
        <v>114</v>
      </c>
      <c r="AF556" s="22" t="s">
        <v>132</v>
      </c>
      <c r="AG556" s="22" t="s">
        <v>132</v>
      </c>
      <c r="AH556" s="22" t="s">
        <v>132</v>
      </c>
      <c r="AI556" s="22" t="s">
        <v>132</v>
      </c>
      <c r="AJ556" s="22" t="s">
        <v>132</v>
      </c>
      <c r="AP556" s="22" t="s">
        <v>132</v>
      </c>
      <c r="AQ556" s="22" t="s">
        <v>142</v>
      </c>
      <c r="AR556" t="s">
        <v>2070</v>
      </c>
      <c r="AS556" s="11">
        <v>46191</v>
      </c>
      <c r="AU556" t="s">
        <v>114</v>
      </c>
      <c r="AV556" t="s">
        <v>115</v>
      </c>
      <c r="BB556" t="s">
        <v>114</v>
      </c>
      <c r="BC556" s="11">
        <v>46184</v>
      </c>
      <c r="BD556" t="s">
        <v>116</v>
      </c>
      <c r="BE556">
        <v>682795457</v>
      </c>
      <c r="BF556" t="s">
        <v>1912</v>
      </c>
      <c r="BG556" t="s">
        <v>449</v>
      </c>
      <c r="BJ556" t="str">
        <f t="shared" si="113"/>
        <v/>
      </c>
      <c r="BK556" s="22" t="s">
        <v>187</v>
      </c>
      <c r="BL556" t="str">
        <f t="shared" si="111"/>
        <v>S24_2026</v>
      </c>
      <c r="BM556" s="22" t="s">
        <v>159</v>
      </c>
      <c r="BN556" s="11">
        <v>46195</v>
      </c>
      <c r="BO556" s="22" t="str">
        <f t="shared" si="105"/>
        <v>S26_2026</v>
      </c>
      <c r="BP556" s="22" t="s">
        <v>114</v>
      </c>
      <c r="BQ556" s="22" t="s">
        <v>450</v>
      </c>
      <c r="BR556" s="22" t="s">
        <v>142</v>
      </c>
      <c r="BS556" s="22" t="s">
        <v>132</v>
      </c>
      <c r="CI556" t="s">
        <v>119</v>
      </c>
      <c r="CP556" s="11">
        <v>46184</v>
      </c>
      <c r="CQ556" t="s">
        <v>132</v>
      </c>
      <c r="CW556" t="s">
        <v>132</v>
      </c>
      <c r="CX556" s="11">
        <v>46160</v>
      </c>
      <c r="CY556" t="str">
        <f t="shared" si="112"/>
        <v>S21_2026</v>
      </c>
      <c r="CZ556" t="s">
        <v>132</v>
      </c>
      <c r="DB556" t="s">
        <v>132</v>
      </c>
      <c r="DC556" t="s">
        <v>120</v>
      </c>
    </row>
    <row r="557" spans="1:107" x14ac:dyDescent="0.35">
      <c r="A557" t="s">
        <v>2071</v>
      </c>
      <c r="B557" s="23" t="str">
        <f t="shared" si="109"/>
        <v>S26_2026</v>
      </c>
      <c r="C557" s="10" t="str">
        <f t="shared" si="114"/>
        <v>S22_2026</v>
      </c>
      <c r="D557" s="11">
        <v>46195</v>
      </c>
      <c r="E557" t="s">
        <v>106</v>
      </c>
      <c r="F557" s="24">
        <v>12</v>
      </c>
      <c r="G557" t="s">
        <v>2063</v>
      </c>
      <c r="H557" s="22" t="s">
        <v>108</v>
      </c>
      <c r="J557" s="22" t="s">
        <v>132</v>
      </c>
      <c r="L557" s="22" t="s">
        <v>187</v>
      </c>
      <c r="M557" t="s">
        <v>193</v>
      </c>
      <c r="N557" s="22" t="s">
        <v>194</v>
      </c>
      <c r="O557" t="s">
        <v>2064</v>
      </c>
      <c r="P557" s="22" t="s">
        <v>2065</v>
      </c>
      <c r="Q557" t="s">
        <v>193</v>
      </c>
      <c r="R557" s="11">
        <v>46167</v>
      </c>
      <c r="S557" s="11">
        <v>46167</v>
      </c>
      <c r="T557" s="11">
        <v>46167</v>
      </c>
      <c r="V557" s="22" t="s">
        <v>132</v>
      </c>
      <c r="W557" t="s">
        <v>132</v>
      </c>
      <c r="X557" t="s">
        <v>114</v>
      </c>
      <c r="Y557" t="s">
        <v>132</v>
      </c>
      <c r="Z557" t="s">
        <v>132</v>
      </c>
      <c r="AA557" t="s">
        <v>132</v>
      </c>
      <c r="AB557" t="s">
        <v>132</v>
      </c>
      <c r="AC557" t="s">
        <v>2072</v>
      </c>
      <c r="AE557" s="22" t="s">
        <v>132</v>
      </c>
      <c r="AF557" s="22" t="s">
        <v>132</v>
      </c>
      <c r="AG557" s="22" t="s">
        <v>132</v>
      </c>
      <c r="AH557" s="22" t="s">
        <v>132</v>
      </c>
      <c r="AI557" s="22" t="s">
        <v>132</v>
      </c>
      <c r="AJ557" s="22" t="s">
        <v>132</v>
      </c>
      <c r="AP557" s="22" t="s">
        <v>132</v>
      </c>
      <c r="AQ557" s="22" t="s">
        <v>142</v>
      </c>
      <c r="AR557" t="s">
        <v>2073</v>
      </c>
      <c r="AS557" s="11">
        <v>46191</v>
      </c>
      <c r="AU557" t="s">
        <v>114</v>
      </c>
      <c r="AV557" t="s">
        <v>115</v>
      </c>
      <c r="BB557" t="s">
        <v>114</v>
      </c>
      <c r="BC557" s="11">
        <v>46184</v>
      </c>
      <c r="BD557" t="s">
        <v>116</v>
      </c>
      <c r="BE557">
        <v>672038845</v>
      </c>
      <c r="BF557" t="s">
        <v>1912</v>
      </c>
      <c r="BG557" t="s">
        <v>449</v>
      </c>
      <c r="BJ557" t="str">
        <f t="shared" si="113"/>
        <v/>
      </c>
      <c r="BK557" s="22" t="s">
        <v>187</v>
      </c>
      <c r="BL557" t="str">
        <f t="shared" si="111"/>
        <v>S24_2026</v>
      </c>
      <c r="BM557" s="22" t="s">
        <v>159</v>
      </c>
      <c r="BN557" s="11">
        <v>46195</v>
      </c>
      <c r="BO557" s="22" t="str">
        <f t="shared" si="105"/>
        <v>S26_2026</v>
      </c>
      <c r="BP557" s="22" t="s">
        <v>114</v>
      </c>
      <c r="BQ557" s="22" t="s">
        <v>450</v>
      </c>
      <c r="BR557" s="22" t="s">
        <v>142</v>
      </c>
      <c r="BS557" s="22" t="s">
        <v>132</v>
      </c>
      <c r="CI557" t="s">
        <v>119</v>
      </c>
      <c r="CP557" s="11">
        <v>46184</v>
      </c>
      <c r="CQ557" t="s">
        <v>132</v>
      </c>
      <c r="CW557" t="s">
        <v>132</v>
      </c>
      <c r="CX557" s="11">
        <v>46167</v>
      </c>
      <c r="CY557" t="str">
        <f t="shared" si="112"/>
        <v>S22_2026</v>
      </c>
      <c r="CZ557" t="s">
        <v>132</v>
      </c>
      <c r="DB557" t="s">
        <v>132</v>
      </c>
      <c r="DC557" t="s">
        <v>120</v>
      </c>
    </row>
    <row r="558" spans="1:107" x14ac:dyDescent="0.35">
      <c r="A558" t="s">
        <v>2074</v>
      </c>
      <c r="B558" s="23" t="str">
        <f t="shared" si="109"/>
        <v>S26_2026</v>
      </c>
      <c r="C558" s="10" t="str">
        <f t="shared" si="114"/>
        <v>S23_2026</v>
      </c>
      <c r="D558" s="11">
        <v>46195</v>
      </c>
      <c r="E558" t="s">
        <v>106</v>
      </c>
      <c r="F558" s="24">
        <v>1</v>
      </c>
      <c r="G558" t="s">
        <v>141</v>
      </c>
      <c r="H558" s="22" t="s">
        <v>108</v>
      </c>
      <c r="J558" s="22" t="s">
        <v>132</v>
      </c>
      <c r="L558" s="22" t="s">
        <v>187</v>
      </c>
      <c r="M558" t="s">
        <v>2075</v>
      </c>
      <c r="N558" s="22" t="s">
        <v>2076</v>
      </c>
      <c r="O558" t="s">
        <v>184</v>
      </c>
      <c r="P558" s="22" t="s">
        <v>2076</v>
      </c>
      <c r="Q558" t="s">
        <v>2075</v>
      </c>
      <c r="R558" s="11">
        <v>46177</v>
      </c>
      <c r="S558" s="11">
        <v>46177</v>
      </c>
      <c r="T558" s="11">
        <v>46177</v>
      </c>
      <c r="V558" s="22" t="s">
        <v>132</v>
      </c>
      <c r="W558" t="s">
        <v>132</v>
      </c>
      <c r="X558" t="s">
        <v>132</v>
      </c>
      <c r="Y558" t="s">
        <v>132</v>
      </c>
      <c r="Z558" t="s">
        <v>132</v>
      </c>
      <c r="AA558" t="s">
        <v>132</v>
      </c>
      <c r="AB558" t="s">
        <v>114</v>
      </c>
      <c r="AC558" t="s">
        <v>1147</v>
      </c>
      <c r="AE558" s="22" t="s">
        <v>114</v>
      </c>
      <c r="AF558" s="22" t="s">
        <v>132</v>
      </c>
      <c r="AG558" s="22" t="s">
        <v>132</v>
      </c>
      <c r="AH558" s="22" t="s">
        <v>132</v>
      </c>
      <c r="AI558" s="22" t="s">
        <v>132</v>
      </c>
      <c r="AJ558" s="22" t="s">
        <v>132</v>
      </c>
      <c r="AK558" s="22" t="s">
        <v>132</v>
      </c>
      <c r="AL558" s="22"/>
      <c r="AM558" s="22" t="s">
        <v>132</v>
      </c>
      <c r="AN558" s="22" t="s">
        <v>114</v>
      </c>
      <c r="AO558" s="22"/>
      <c r="AP558" s="22" t="s">
        <v>132</v>
      </c>
      <c r="AQ558" s="22" t="s">
        <v>132</v>
      </c>
      <c r="AR558" s="22" t="s">
        <v>2077</v>
      </c>
      <c r="AS558" s="11">
        <v>46191</v>
      </c>
      <c r="AU558" s="22" t="s">
        <v>114</v>
      </c>
      <c r="AV558" t="s">
        <v>134</v>
      </c>
      <c r="AW558" s="22" t="s">
        <v>152</v>
      </c>
      <c r="AY558" t="s">
        <v>135</v>
      </c>
      <c r="BB558" t="s">
        <v>114</v>
      </c>
      <c r="BC558" s="11">
        <v>46184</v>
      </c>
      <c r="BD558" t="s">
        <v>243</v>
      </c>
      <c r="BE558">
        <v>670014910</v>
      </c>
      <c r="BF558" t="s">
        <v>2076</v>
      </c>
      <c r="BG558" t="s">
        <v>449</v>
      </c>
      <c r="BI558" s="11">
        <v>46194</v>
      </c>
      <c r="BJ558" t="str">
        <f t="shared" si="113"/>
        <v>S25_2026</v>
      </c>
      <c r="BK558" s="22" t="s">
        <v>187</v>
      </c>
      <c r="BL558" t="str">
        <f t="shared" si="111"/>
        <v>S24_2026</v>
      </c>
      <c r="BM558" s="22" t="s">
        <v>159</v>
      </c>
      <c r="BN558" s="11">
        <v>46194</v>
      </c>
      <c r="BO558" s="22" t="str">
        <f t="shared" si="105"/>
        <v>S25_2026</v>
      </c>
      <c r="BP558" s="22" t="s">
        <v>114</v>
      </c>
      <c r="BQ558" s="22" t="s">
        <v>450</v>
      </c>
      <c r="BR558" s="22" t="s">
        <v>451</v>
      </c>
      <c r="BS558" s="22" t="s">
        <v>132</v>
      </c>
      <c r="CI558" t="s">
        <v>119</v>
      </c>
      <c r="CK558" t="s">
        <v>138</v>
      </c>
      <c r="CP558" s="11">
        <v>46184</v>
      </c>
      <c r="CQ558" t="s">
        <v>132</v>
      </c>
      <c r="CW558" t="s">
        <v>132</v>
      </c>
      <c r="CX558" s="11">
        <v>46177</v>
      </c>
      <c r="CY558" t="str">
        <f t="shared" si="112"/>
        <v>S23_2026</v>
      </c>
      <c r="CZ558" t="s">
        <v>132</v>
      </c>
      <c r="DB558" t="s">
        <v>132</v>
      </c>
      <c r="DC558" t="s">
        <v>139</v>
      </c>
    </row>
    <row r="559" spans="1:107" x14ac:dyDescent="0.35">
      <c r="A559" s="36" t="s">
        <v>2078</v>
      </c>
      <c r="B559" s="23" t="str">
        <f t="shared" si="109"/>
        <v>S26_2026</v>
      </c>
      <c r="C559" s="10" t="str">
        <f t="shared" si="114"/>
        <v>S14_2026</v>
      </c>
      <c r="D559" s="11">
        <v>46196</v>
      </c>
      <c r="E559" t="s">
        <v>123</v>
      </c>
      <c r="F559" s="24">
        <v>15</v>
      </c>
      <c r="G559" t="s">
        <v>1751</v>
      </c>
      <c r="H559" s="22" t="s">
        <v>108</v>
      </c>
      <c r="J559" s="22" t="s">
        <v>114</v>
      </c>
      <c r="K559" s="11">
        <v>46194</v>
      </c>
      <c r="L559" s="22" t="s">
        <v>111</v>
      </c>
      <c r="M559" s="22" t="s">
        <v>598</v>
      </c>
      <c r="N559" s="22" t="s">
        <v>1290</v>
      </c>
      <c r="O559" s="22" t="s">
        <v>2079</v>
      </c>
      <c r="P559" s="22" t="s">
        <v>1290</v>
      </c>
      <c r="Q559" s="22" t="s">
        <v>598</v>
      </c>
      <c r="R559" s="11">
        <v>46113</v>
      </c>
      <c r="S559" s="11">
        <v>46113</v>
      </c>
      <c r="T559" s="11">
        <v>46113</v>
      </c>
      <c r="V559" s="22" t="s">
        <v>114</v>
      </c>
      <c r="W559" t="s">
        <v>114</v>
      </c>
      <c r="X559" t="s">
        <v>114</v>
      </c>
      <c r="Y559" t="s">
        <v>114</v>
      </c>
      <c r="Z559" t="s">
        <v>114</v>
      </c>
      <c r="AA559" t="s">
        <v>114</v>
      </c>
      <c r="AB559" t="s">
        <v>114</v>
      </c>
      <c r="AE559" s="22" t="s">
        <v>114</v>
      </c>
      <c r="AF559" s="22" t="s">
        <v>132</v>
      </c>
      <c r="AG559" s="22" t="s">
        <v>114</v>
      </c>
      <c r="AH559" s="22" t="s">
        <v>132</v>
      </c>
      <c r="AI559" s="22" t="s">
        <v>132</v>
      </c>
      <c r="AJ559" s="22" t="s">
        <v>132</v>
      </c>
      <c r="AK559" s="22" t="s">
        <v>132</v>
      </c>
      <c r="AL559" s="22"/>
      <c r="AM559" s="22" t="s">
        <v>132</v>
      </c>
      <c r="AN559" s="22" t="s">
        <v>114</v>
      </c>
      <c r="AO559" s="22"/>
      <c r="AP559" s="22" t="s">
        <v>132</v>
      </c>
      <c r="AQ559" s="22" t="s">
        <v>132</v>
      </c>
      <c r="AR559" t="s">
        <v>2080</v>
      </c>
      <c r="AS559" s="11">
        <v>46198</v>
      </c>
      <c r="AU559" t="s">
        <v>114</v>
      </c>
      <c r="AV559" t="s">
        <v>115</v>
      </c>
      <c r="BB559" t="s">
        <v>114</v>
      </c>
      <c r="BC559" s="11">
        <v>46195</v>
      </c>
      <c r="BD559" t="s">
        <v>243</v>
      </c>
      <c r="BE559">
        <v>681185028</v>
      </c>
      <c r="BF559" t="s">
        <v>1290</v>
      </c>
      <c r="BG559" t="s">
        <v>449</v>
      </c>
      <c r="BJ559" t="str">
        <f t="shared" si="113"/>
        <v/>
      </c>
      <c r="BK559" s="22" t="s">
        <v>117</v>
      </c>
      <c r="BL559" t="str">
        <f t="shared" si="111"/>
        <v>S26_2026</v>
      </c>
      <c r="BM559" s="22" t="s">
        <v>159</v>
      </c>
      <c r="BN559" s="11">
        <v>46199</v>
      </c>
      <c r="BO559" s="22" t="str">
        <f t="shared" si="105"/>
        <v>S26_2026</v>
      </c>
      <c r="BP559" s="22" t="s">
        <v>114</v>
      </c>
      <c r="BQ559" s="22" t="s">
        <v>450</v>
      </c>
      <c r="BR559" s="22" t="s">
        <v>451</v>
      </c>
      <c r="BS559" s="22" t="s">
        <v>132</v>
      </c>
      <c r="CI559" t="s">
        <v>119</v>
      </c>
      <c r="CP559" s="11">
        <v>46195</v>
      </c>
      <c r="CQ559" t="s">
        <v>132</v>
      </c>
      <c r="CW559" t="s">
        <v>132</v>
      </c>
      <c r="CX559" s="11">
        <v>46113</v>
      </c>
      <c r="CY559" t="str">
        <f t="shared" si="112"/>
        <v>S14_2026</v>
      </c>
      <c r="CZ559" t="s">
        <v>132</v>
      </c>
      <c r="DB559" t="s">
        <v>132</v>
      </c>
      <c r="DC559" t="s">
        <v>120</v>
      </c>
    </row>
    <row r="560" spans="1:107" x14ac:dyDescent="0.35">
      <c r="A560" t="s">
        <v>2081</v>
      </c>
      <c r="B560" s="23" t="str">
        <f t="shared" si="109"/>
        <v>S26_2026</v>
      </c>
      <c r="C560" s="10" t="str">
        <f t="shared" si="114"/>
        <v>S25_2026</v>
      </c>
      <c r="D560" s="11">
        <v>46197</v>
      </c>
      <c r="E560" t="s">
        <v>106</v>
      </c>
      <c r="F560" s="24">
        <v>3</v>
      </c>
      <c r="G560" t="s">
        <v>107</v>
      </c>
      <c r="H560" s="22" t="s">
        <v>108</v>
      </c>
      <c r="J560" s="22" t="s">
        <v>132</v>
      </c>
      <c r="L560" s="22" t="s">
        <v>793</v>
      </c>
      <c r="M560" t="s">
        <v>1642</v>
      </c>
      <c r="N560" s="22" t="s">
        <v>2082</v>
      </c>
      <c r="O560" t="s">
        <v>2083</v>
      </c>
      <c r="P560" s="22" t="s">
        <v>2084</v>
      </c>
      <c r="Q560" t="s">
        <v>1642</v>
      </c>
      <c r="R560" s="11">
        <v>46191</v>
      </c>
      <c r="T560" s="11">
        <v>46191</v>
      </c>
      <c r="V560" s="22" t="s">
        <v>114</v>
      </c>
      <c r="W560" t="s">
        <v>114</v>
      </c>
      <c r="X560" t="s">
        <v>114</v>
      </c>
      <c r="Y560" t="s">
        <v>114</v>
      </c>
      <c r="Z560" t="s">
        <v>114</v>
      </c>
      <c r="AA560" t="s">
        <v>114</v>
      </c>
      <c r="AB560" t="s">
        <v>114</v>
      </c>
      <c r="AE560" s="22" t="s">
        <v>132</v>
      </c>
      <c r="AF560" s="22" t="s">
        <v>132</v>
      </c>
      <c r="AG560" s="22" t="s">
        <v>132</v>
      </c>
      <c r="AH560" s="22" t="s">
        <v>132</v>
      </c>
      <c r="AI560" s="22" t="s">
        <v>132</v>
      </c>
      <c r="AJ560" s="22" t="s">
        <v>132</v>
      </c>
      <c r="AK560" s="22" t="s">
        <v>132</v>
      </c>
      <c r="AL560" s="22"/>
      <c r="AM560" s="22" t="s">
        <v>451</v>
      </c>
      <c r="AN560" s="22" t="s">
        <v>114</v>
      </c>
      <c r="AO560" s="22"/>
      <c r="AP560" s="22" t="s">
        <v>132</v>
      </c>
      <c r="AQ560" s="22" t="s">
        <v>132</v>
      </c>
      <c r="AR560" s="22" t="s">
        <v>2085</v>
      </c>
      <c r="AS560" s="11">
        <v>46199</v>
      </c>
      <c r="AU560" s="22" t="s">
        <v>114</v>
      </c>
      <c r="AV560" s="22" t="s">
        <v>115</v>
      </c>
      <c r="BB560" t="s">
        <v>114</v>
      </c>
      <c r="BC560" s="11">
        <v>46196</v>
      </c>
      <c r="BD560" t="s">
        <v>284</v>
      </c>
      <c r="BE560">
        <v>670867847</v>
      </c>
      <c r="BF560" t="s">
        <v>2082</v>
      </c>
      <c r="BG560" t="s">
        <v>449</v>
      </c>
      <c r="BJ560" t="str">
        <f t="shared" si="113"/>
        <v/>
      </c>
      <c r="BK560" s="22" t="s">
        <v>793</v>
      </c>
      <c r="BL560" t="str">
        <f t="shared" si="111"/>
        <v>S26_2026</v>
      </c>
      <c r="BM560" s="22" t="s">
        <v>159</v>
      </c>
      <c r="BN560" s="11">
        <v>46201</v>
      </c>
      <c r="BO560" s="22" t="str">
        <f t="shared" si="105"/>
        <v>S26_2026</v>
      </c>
      <c r="BP560" s="22" t="s">
        <v>114</v>
      </c>
      <c r="BQ560" s="22" t="s">
        <v>450</v>
      </c>
      <c r="BR560" s="22" t="s">
        <v>451</v>
      </c>
      <c r="BS560" s="22" t="s">
        <v>132</v>
      </c>
      <c r="CI560" t="s">
        <v>119</v>
      </c>
      <c r="CP560" s="11">
        <v>46196</v>
      </c>
      <c r="CQ560" t="s">
        <v>132</v>
      </c>
      <c r="CW560" t="s">
        <v>132</v>
      </c>
      <c r="CX560" s="11">
        <v>46191</v>
      </c>
      <c r="CY560" t="str">
        <f t="shared" si="112"/>
        <v>S25_2026</v>
      </c>
      <c r="CZ560" t="s">
        <v>132</v>
      </c>
      <c r="DB560" t="s">
        <v>132</v>
      </c>
      <c r="DC560" t="s">
        <v>120</v>
      </c>
    </row>
    <row r="561" spans="1:107" x14ac:dyDescent="0.35">
      <c r="A561" t="s">
        <v>2086</v>
      </c>
      <c r="B561" s="23" t="str">
        <f t="shared" si="109"/>
        <v>S26_2026</v>
      </c>
      <c r="C561" s="10" t="str">
        <f t="shared" si="114"/>
        <v>S24_2026</v>
      </c>
      <c r="D561" s="11">
        <v>46197</v>
      </c>
      <c r="E561" t="s">
        <v>123</v>
      </c>
      <c r="F561" s="24">
        <v>17</v>
      </c>
      <c r="G561" t="s">
        <v>107</v>
      </c>
      <c r="H561" s="22" t="s">
        <v>108</v>
      </c>
      <c r="J561" s="22" t="s">
        <v>132</v>
      </c>
      <c r="L561" s="22" t="s">
        <v>321</v>
      </c>
      <c r="M561" t="s">
        <v>1944</v>
      </c>
      <c r="N561" t="s">
        <v>1944</v>
      </c>
      <c r="O561" t="s">
        <v>2087</v>
      </c>
      <c r="P561" t="s">
        <v>1945</v>
      </c>
      <c r="Q561" t="s">
        <v>1944</v>
      </c>
      <c r="R561" s="11">
        <v>46183</v>
      </c>
      <c r="S561" s="11">
        <v>46183</v>
      </c>
      <c r="T561" s="11">
        <v>46183</v>
      </c>
      <c r="V561" s="22" t="s">
        <v>114</v>
      </c>
      <c r="W561" t="s">
        <v>114</v>
      </c>
      <c r="X561" t="s">
        <v>114</v>
      </c>
      <c r="Y561" t="s">
        <v>114</v>
      </c>
      <c r="Z561" t="s">
        <v>114</v>
      </c>
      <c r="AA561" t="s">
        <v>114</v>
      </c>
      <c r="AB561" t="s">
        <v>114</v>
      </c>
      <c r="AE561" s="22" t="s">
        <v>114</v>
      </c>
      <c r="AF561" s="22" t="s">
        <v>132</v>
      </c>
      <c r="AG561" s="22" t="s">
        <v>132</v>
      </c>
      <c r="AH561" s="22" t="s">
        <v>132</v>
      </c>
      <c r="AI561" s="22" t="s">
        <v>132</v>
      </c>
      <c r="AJ561" s="22" t="s">
        <v>132</v>
      </c>
      <c r="AQ561" s="22" t="s">
        <v>142</v>
      </c>
      <c r="AR561" t="s">
        <v>2088</v>
      </c>
      <c r="AS561" s="11">
        <v>46192</v>
      </c>
      <c r="AU561" t="s">
        <v>114</v>
      </c>
      <c r="AV561" t="s">
        <v>115</v>
      </c>
      <c r="BB561" t="s">
        <v>114</v>
      </c>
      <c r="BC561" s="11">
        <v>46190</v>
      </c>
      <c r="BD561" t="s">
        <v>116</v>
      </c>
      <c r="BE561">
        <v>657849899</v>
      </c>
      <c r="BF561" t="s">
        <v>1944</v>
      </c>
      <c r="BG561" t="s">
        <v>449</v>
      </c>
      <c r="BJ561" t="str">
        <f t="shared" si="113"/>
        <v/>
      </c>
      <c r="BK561" s="22" t="s">
        <v>321</v>
      </c>
      <c r="BL561" t="str">
        <f t="shared" si="111"/>
        <v>S25_2026</v>
      </c>
      <c r="BM561" s="22" t="s">
        <v>159</v>
      </c>
      <c r="BN561" s="11">
        <v>46197</v>
      </c>
      <c r="BO561" s="22" t="str">
        <f t="shared" si="105"/>
        <v>S26_2026</v>
      </c>
      <c r="BP561" s="22" t="s">
        <v>114</v>
      </c>
      <c r="BQ561" s="22" t="s">
        <v>450</v>
      </c>
      <c r="BR561" s="22" t="s">
        <v>451</v>
      </c>
      <c r="BS561" s="22" t="s">
        <v>132</v>
      </c>
      <c r="CI561" t="s">
        <v>119</v>
      </c>
      <c r="CP561" s="11">
        <v>46190</v>
      </c>
      <c r="CQ561" t="s">
        <v>132</v>
      </c>
      <c r="CW561" t="s">
        <v>132</v>
      </c>
      <c r="CX561" s="11">
        <v>46183</v>
      </c>
      <c r="CY561" t="str">
        <f t="shared" si="112"/>
        <v>S24_2026</v>
      </c>
      <c r="CZ561" t="s">
        <v>132</v>
      </c>
      <c r="DB561" t="s">
        <v>132</v>
      </c>
      <c r="DC561" t="s">
        <v>120</v>
      </c>
    </row>
    <row r="562" spans="1:107" x14ac:dyDescent="0.35">
      <c r="A562" t="s">
        <v>2089</v>
      </c>
      <c r="B562" s="23" t="str">
        <f t="shared" si="109"/>
        <v>S26_2026</v>
      </c>
      <c r="C562" s="10" t="str">
        <f t="shared" si="114"/>
        <v>S24_2026</v>
      </c>
      <c r="D562" s="11">
        <v>46197</v>
      </c>
      <c r="E562" t="s">
        <v>123</v>
      </c>
      <c r="F562" s="24">
        <v>7</v>
      </c>
      <c r="G562" t="s">
        <v>107</v>
      </c>
      <c r="H562" s="22" t="s">
        <v>108</v>
      </c>
      <c r="J562" s="22" t="s">
        <v>114</v>
      </c>
      <c r="K562" s="11">
        <v>46186</v>
      </c>
      <c r="L562" s="22" t="s">
        <v>793</v>
      </c>
      <c r="M562" t="s">
        <v>2090</v>
      </c>
      <c r="N562" t="s">
        <v>2091</v>
      </c>
      <c r="O562" t="s">
        <v>2092</v>
      </c>
      <c r="P562" t="s">
        <v>1296</v>
      </c>
      <c r="Q562" t="s">
        <v>2090</v>
      </c>
      <c r="R562" s="11">
        <v>46183</v>
      </c>
      <c r="S562" s="11">
        <v>46183</v>
      </c>
      <c r="T562" s="11">
        <v>46183</v>
      </c>
      <c r="V562" t="s">
        <v>114</v>
      </c>
      <c r="W562" t="s">
        <v>114</v>
      </c>
      <c r="X562" t="s">
        <v>114</v>
      </c>
      <c r="Y562" t="s">
        <v>114</v>
      </c>
      <c r="Z562" t="s">
        <v>114</v>
      </c>
      <c r="AA562" t="s">
        <v>114</v>
      </c>
      <c r="AB562" t="s">
        <v>114</v>
      </c>
      <c r="AE562" s="22" t="s">
        <v>114</v>
      </c>
      <c r="AF562" s="22" t="s">
        <v>132</v>
      </c>
      <c r="AG562" s="22" t="s">
        <v>114</v>
      </c>
      <c r="AH562" s="22" t="s">
        <v>132</v>
      </c>
      <c r="AI562" s="22" t="s">
        <v>132</v>
      </c>
      <c r="AJ562" s="22" t="s">
        <v>132</v>
      </c>
      <c r="AQ562" s="22" t="s">
        <v>142</v>
      </c>
      <c r="AR562" t="s">
        <v>2093</v>
      </c>
      <c r="AS562" s="11">
        <v>46192</v>
      </c>
      <c r="AU562" t="s">
        <v>114</v>
      </c>
      <c r="AV562" t="s">
        <v>115</v>
      </c>
      <c r="BB562" t="s">
        <v>114</v>
      </c>
      <c r="BC562" s="11">
        <v>46191</v>
      </c>
      <c r="BD562" t="s">
        <v>116</v>
      </c>
      <c r="BE562">
        <v>689882171</v>
      </c>
      <c r="BF562" t="s">
        <v>2091</v>
      </c>
      <c r="BG562" t="s">
        <v>449</v>
      </c>
      <c r="BJ562" t="str">
        <f t="shared" si="113"/>
        <v/>
      </c>
      <c r="BK562" s="22" t="s">
        <v>793</v>
      </c>
      <c r="BL562" t="str">
        <f t="shared" si="111"/>
        <v>S25_2026</v>
      </c>
      <c r="BM562" s="22" t="s">
        <v>159</v>
      </c>
      <c r="BN562" s="11">
        <v>46197</v>
      </c>
      <c r="BO562" s="22" t="str">
        <f t="shared" si="105"/>
        <v>S26_2026</v>
      </c>
      <c r="BP562" t="s">
        <v>114</v>
      </c>
      <c r="BQ562" t="s">
        <v>450</v>
      </c>
      <c r="BR562" t="s">
        <v>451</v>
      </c>
      <c r="BS562" s="22" t="s">
        <v>132</v>
      </c>
      <c r="CI562" t="s">
        <v>119</v>
      </c>
      <c r="CP562" s="11">
        <v>46191</v>
      </c>
      <c r="CQ562" t="s">
        <v>132</v>
      </c>
      <c r="CW562" t="s">
        <v>132</v>
      </c>
      <c r="CX562" s="11">
        <v>46183</v>
      </c>
      <c r="CY562" t="str">
        <f t="shared" si="112"/>
        <v>S24_2026</v>
      </c>
      <c r="CZ562" t="s">
        <v>132</v>
      </c>
      <c r="DB562" t="s">
        <v>132</v>
      </c>
      <c r="DC562" t="s">
        <v>120</v>
      </c>
    </row>
    <row r="563" spans="1:107" x14ac:dyDescent="0.35">
      <c r="A563" t="s">
        <v>2094</v>
      </c>
      <c r="B563" s="23" t="str">
        <f t="shared" ref="B563:B568" si="115">IFERROR("S"&amp;(IF(_xlfn.ISOWEEKNUM(D563)&gt;0,_xlfn.ISOWEEKNUM(D563),_xlfn.CONCAT("0",_xlfn.ISOWEEKNUM(D563))))&amp;"_"&amp;(YEAR(D563+26-(_xlfn.ISOWEEKNUM(D563)))),"")</f>
        <v>S26_2026</v>
      </c>
      <c r="C563" s="10" t="str">
        <f t="shared" ref="C563:C568" si="116">IFERROR("S"&amp;(IF(_xlfn.ISOWEEKNUM(R563)&gt;0,_xlfn.ISOWEEKNUM(R563),_xlfn.CONCAT("0",_xlfn.ISOWEEKNUM(R563))))&amp;"_"&amp;(YEAR(R563+26-(_xlfn.ISOWEEKNUM(R563)))),"")</f>
        <v>S24_2026</v>
      </c>
      <c r="D563" s="11">
        <v>46198</v>
      </c>
      <c r="E563" t="s">
        <v>123</v>
      </c>
      <c r="F563" s="24">
        <v>19</v>
      </c>
      <c r="G563" t="s">
        <v>1197</v>
      </c>
      <c r="H563" t="s">
        <v>108</v>
      </c>
      <c r="J563" t="s">
        <v>114</v>
      </c>
      <c r="K563" s="11">
        <v>46192</v>
      </c>
      <c r="L563" s="22" t="s">
        <v>187</v>
      </c>
      <c r="M563" t="s">
        <v>193</v>
      </c>
      <c r="N563" t="s">
        <v>194</v>
      </c>
      <c r="P563" t="s">
        <v>620</v>
      </c>
      <c r="Q563" t="s">
        <v>619</v>
      </c>
      <c r="R563" s="11">
        <v>46186</v>
      </c>
      <c r="T563" s="11">
        <v>46186</v>
      </c>
      <c r="V563" t="s">
        <v>132</v>
      </c>
      <c r="W563" t="s">
        <v>114</v>
      </c>
      <c r="X563" t="s">
        <v>132</v>
      </c>
      <c r="Y563" t="s">
        <v>132</v>
      </c>
      <c r="Z563" t="s">
        <v>132</v>
      </c>
      <c r="AA563" t="s">
        <v>132</v>
      </c>
      <c r="AB563" t="s">
        <v>114</v>
      </c>
      <c r="AC563" t="s">
        <v>2095</v>
      </c>
      <c r="AE563" t="s">
        <v>132</v>
      </c>
      <c r="AF563" t="s">
        <v>132</v>
      </c>
      <c r="AG563" t="s">
        <v>132</v>
      </c>
      <c r="AH563" t="s">
        <v>132</v>
      </c>
      <c r="AI563" t="s">
        <v>132</v>
      </c>
      <c r="AJ563" t="s">
        <v>1767</v>
      </c>
      <c r="AK563" t="s">
        <v>132</v>
      </c>
      <c r="AM563" t="s">
        <v>114</v>
      </c>
      <c r="AN563" t="s">
        <v>132</v>
      </c>
      <c r="AP563" t="s">
        <v>132</v>
      </c>
      <c r="AQ563" t="s">
        <v>132</v>
      </c>
      <c r="AR563" t="s">
        <v>2096</v>
      </c>
      <c r="AS563" s="11">
        <v>46198</v>
      </c>
      <c r="AU563" t="s">
        <v>114</v>
      </c>
      <c r="AV563" t="s">
        <v>115</v>
      </c>
      <c r="BB563" t="s">
        <v>114</v>
      </c>
      <c r="BC563" s="11">
        <v>46192</v>
      </c>
      <c r="BD563" t="s">
        <v>116</v>
      </c>
      <c r="BF563" t="s">
        <v>620</v>
      </c>
      <c r="BG563" t="s">
        <v>449</v>
      </c>
      <c r="BJ563" t="str">
        <f t="shared" si="113"/>
        <v/>
      </c>
      <c r="BK563" s="22" t="s">
        <v>187</v>
      </c>
      <c r="BL563" t="str">
        <f t="shared" si="111"/>
        <v>S25_2026</v>
      </c>
      <c r="BM563" s="22" t="s">
        <v>159</v>
      </c>
      <c r="BN563" s="11">
        <v>46199</v>
      </c>
      <c r="BO563" s="22" t="str">
        <f t="shared" si="105"/>
        <v>S26_2026</v>
      </c>
      <c r="BP563" t="s">
        <v>114</v>
      </c>
      <c r="BQ563" t="s">
        <v>450</v>
      </c>
      <c r="BR563" t="s">
        <v>451</v>
      </c>
      <c r="BS563" s="22" t="s">
        <v>132</v>
      </c>
      <c r="CI563" t="s">
        <v>119</v>
      </c>
      <c r="CP563" s="11">
        <v>46192</v>
      </c>
      <c r="CQ563" t="s">
        <v>132</v>
      </c>
      <c r="CW563" t="s">
        <v>132</v>
      </c>
      <c r="CX563" s="11">
        <v>46186</v>
      </c>
      <c r="CY563" t="str">
        <f t="shared" si="112"/>
        <v>S24_2026</v>
      </c>
      <c r="CZ563" t="s">
        <v>132</v>
      </c>
      <c r="DB563" t="s">
        <v>132</v>
      </c>
      <c r="DC563" t="s">
        <v>120</v>
      </c>
    </row>
    <row r="564" spans="1:107" x14ac:dyDescent="0.35">
      <c r="A564" t="s">
        <v>2097</v>
      </c>
      <c r="B564" s="23" t="str">
        <f t="shared" si="115"/>
        <v>S26_2026</v>
      </c>
      <c r="C564" s="10" t="str">
        <f t="shared" si="116"/>
        <v>S25_2026</v>
      </c>
      <c r="D564" s="11">
        <v>46198</v>
      </c>
      <c r="E564" t="s">
        <v>106</v>
      </c>
      <c r="F564" s="24">
        <v>12</v>
      </c>
      <c r="G564" t="s">
        <v>107</v>
      </c>
      <c r="H564" t="s">
        <v>108</v>
      </c>
      <c r="J564" t="s">
        <v>114</v>
      </c>
      <c r="K564" s="11">
        <v>46194</v>
      </c>
      <c r="L564" s="22" t="s">
        <v>187</v>
      </c>
      <c r="M564" t="s">
        <v>263</v>
      </c>
      <c r="N564" t="s">
        <v>624</v>
      </c>
      <c r="O564" t="s">
        <v>2098</v>
      </c>
      <c r="P564" t="s">
        <v>1682</v>
      </c>
      <c r="Q564" t="s">
        <v>263</v>
      </c>
      <c r="R564" s="11">
        <v>46189</v>
      </c>
      <c r="S564" s="11">
        <v>46189</v>
      </c>
      <c r="T564" s="11">
        <v>46189</v>
      </c>
      <c r="V564" t="s">
        <v>114</v>
      </c>
      <c r="W564" t="s">
        <v>114</v>
      </c>
      <c r="X564" t="s">
        <v>114</v>
      </c>
      <c r="Y564" t="s">
        <v>114</v>
      </c>
      <c r="Z564" t="s">
        <v>114</v>
      </c>
      <c r="AA564" t="s">
        <v>114</v>
      </c>
      <c r="AB564" t="s">
        <v>114</v>
      </c>
      <c r="AE564" t="s">
        <v>114</v>
      </c>
      <c r="AF564" t="s">
        <v>132</v>
      </c>
      <c r="AG564" t="s">
        <v>114</v>
      </c>
      <c r="AH564" t="s">
        <v>132</v>
      </c>
      <c r="AI564" t="s">
        <v>132</v>
      </c>
      <c r="AJ564" t="s">
        <v>132</v>
      </c>
      <c r="AQ564" t="s">
        <v>132</v>
      </c>
      <c r="AR564" t="s">
        <v>2099</v>
      </c>
      <c r="AS564" s="11">
        <v>46198</v>
      </c>
      <c r="AU564" t="s">
        <v>114</v>
      </c>
      <c r="AV564" t="s">
        <v>115</v>
      </c>
      <c r="BB564" t="s">
        <v>114</v>
      </c>
      <c r="BC564" s="11">
        <v>46196</v>
      </c>
      <c r="BD564" t="s">
        <v>116</v>
      </c>
      <c r="BE564">
        <v>690700133</v>
      </c>
      <c r="BF564" t="s">
        <v>624</v>
      </c>
      <c r="BG564" t="s">
        <v>449</v>
      </c>
      <c r="BJ564" t="str">
        <f t="shared" si="113"/>
        <v/>
      </c>
      <c r="BK564" s="22" t="s">
        <v>187</v>
      </c>
      <c r="BL564" t="str">
        <f t="shared" si="111"/>
        <v>S26_2026</v>
      </c>
      <c r="BM564" s="22" t="s">
        <v>159</v>
      </c>
      <c r="BN564" s="11">
        <v>46199</v>
      </c>
      <c r="BO564" s="22" t="str">
        <f t="shared" si="105"/>
        <v>S26_2026</v>
      </c>
      <c r="BP564" t="s">
        <v>114</v>
      </c>
      <c r="BQ564" t="s">
        <v>450</v>
      </c>
      <c r="BR564" t="s">
        <v>451</v>
      </c>
      <c r="BS564" s="22" t="s">
        <v>132</v>
      </c>
      <c r="CI564" t="s">
        <v>119</v>
      </c>
      <c r="CP564" s="11">
        <v>46196</v>
      </c>
      <c r="CQ564" t="s">
        <v>132</v>
      </c>
      <c r="CW564" t="s">
        <v>132</v>
      </c>
      <c r="CX564" s="11">
        <v>46189</v>
      </c>
      <c r="CY564" t="str">
        <f t="shared" si="112"/>
        <v>S25_2026</v>
      </c>
      <c r="CZ564" t="s">
        <v>132</v>
      </c>
      <c r="DB564" t="s">
        <v>132</v>
      </c>
      <c r="DC564" t="s">
        <v>120</v>
      </c>
    </row>
    <row r="565" spans="1:107" x14ac:dyDescent="0.35">
      <c r="A565" t="s">
        <v>2100</v>
      </c>
      <c r="B565" s="23" t="str">
        <f t="shared" si="115"/>
        <v>S26_2026</v>
      </c>
      <c r="C565" s="10" t="str">
        <f t="shared" si="116"/>
        <v>S23_2026</v>
      </c>
      <c r="D565" s="11">
        <v>46198</v>
      </c>
      <c r="E565" t="s">
        <v>123</v>
      </c>
      <c r="F565" s="24">
        <v>70</v>
      </c>
      <c r="G565" t="s">
        <v>1751</v>
      </c>
      <c r="H565" t="s">
        <v>108</v>
      </c>
      <c r="J565" t="s">
        <v>142</v>
      </c>
      <c r="L565" s="22" t="s">
        <v>187</v>
      </c>
      <c r="M565" t="s">
        <v>183</v>
      </c>
      <c r="N565" t="s">
        <v>225</v>
      </c>
      <c r="P565" t="s">
        <v>245</v>
      </c>
      <c r="Q565" t="s">
        <v>183</v>
      </c>
      <c r="R565" s="11">
        <v>46179</v>
      </c>
      <c r="S565" s="11">
        <v>46184</v>
      </c>
      <c r="T565" s="11">
        <v>46179</v>
      </c>
      <c r="V565" t="s">
        <v>114</v>
      </c>
      <c r="W565" t="s">
        <v>114</v>
      </c>
      <c r="X565" t="s">
        <v>114</v>
      </c>
      <c r="Y565" t="s">
        <v>114</v>
      </c>
      <c r="Z565" t="s">
        <v>114</v>
      </c>
      <c r="AA565" t="s">
        <v>114</v>
      </c>
      <c r="AB565" t="s">
        <v>114</v>
      </c>
      <c r="AE565" t="s">
        <v>114</v>
      </c>
      <c r="AF565" t="s">
        <v>132</v>
      </c>
      <c r="AG565" t="s">
        <v>114</v>
      </c>
      <c r="AH565" t="s">
        <v>132</v>
      </c>
      <c r="AI565" t="s">
        <v>132</v>
      </c>
      <c r="AJ565" t="s">
        <v>132</v>
      </c>
      <c r="AQ565" t="s">
        <v>132</v>
      </c>
      <c r="AR565" t="s">
        <v>2101</v>
      </c>
      <c r="AS565" s="11">
        <v>46198</v>
      </c>
      <c r="AU565" t="s">
        <v>114</v>
      </c>
      <c r="AV565" t="s">
        <v>115</v>
      </c>
      <c r="BB565" t="s">
        <v>114</v>
      </c>
      <c r="BC565" s="11">
        <v>46197</v>
      </c>
      <c r="BD565" t="s">
        <v>116</v>
      </c>
      <c r="BF565" t="s">
        <v>228</v>
      </c>
      <c r="BG565" t="s">
        <v>449</v>
      </c>
      <c r="BJ565" t="str">
        <f t="shared" si="113"/>
        <v/>
      </c>
      <c r="BK565" s="22" t="s">
        <v>187</v>
      </c>
      <c r="BL565" t="str">
        <f t="shared" si="111"/>
        <v>S26_2026</v>
      </c>
      <c r="BM565" s="22" t="s">
        <v>159</v>
      </c>
      <c r="BN565" s="11">
        <v>46199</v>
      </c>
      <c r="BO565" s="22" t="str">
        <f t="shared" si="105"/>
        <v>S26_2026</v>
      </c>
      <c r="BP565" t="s">
        <v>114</v>
      </c>
      <c r="BQ565" t="s">
        <v>450</v>
      </c>
      <c r="BR565" t="s">
        <v>451</v>
      </c>
      <c r="BS565" s="22" t="s">
        <v>132</v>
      </c>
      <c r="CI565" t="s">
        <v>119</v>
      </c>
      <c r="CP565" s="11">
        <v>46195</v>
      </c>
      <c r="CQ565" t="s">
        <v>132</v>
      </c>
      <c r="CW565" t="s">
        <v>132</v>
      </c>
      <c r="CX565" s="11">
        <v>46179</v>
      </c>
      <c r="CY565" t="str">
        <f t="shared" si="112"/>
        <v>S23_2026</v>
      </c>
      <c r="CZ565" t="s">
        <v>132</v>
      </c>
      <c r="DB565" t="s">
        <v>132</v>
      </c>
      <c r="DC565" t="s">
        <v>120</v>
      </c>
    </row>
    <row r="566" spans="1:107" x14ac:dyDescent="0.35">
      <c r="A566" t="s">
        <v>2102</v>
      </c>
      <c r="B566" s="23" t="str">
        <f t="shared" si="115"/>
        <v>S26_2026</v>
      </c>
      <c r="C566" s="10" t="str">
        <f t="shared" si="116"/>
        <v>S25_2026</v>
      </c>
      <c r="D566" s="11">
        <v>46198</v>
      </c>
      <c r="E566" t="s">
        <v>123</v>
      </c>
      <c r="F566" s="24">
        <v>44</v>
      </c>
      <c r="G566" t="s">
        <v>1751</v>
      </c>
      <c r="H566" t="s">
        <v>108</v>
      </c>
      <c r="J566" t="s">
        <v>114</v>
      </c>
      <c r="K566" s="11">
        <v>46189</v>
      </c>
      <c r="L566" s="22" t="s">
        <v>187</v>
      </c>
      <c r="M566" t="s">
        <v>651</v>
      </c>
      <c r="O566" t="s">
        <v>1493</v>
      </c>
      <c r="P566" t="s">
        <v>245</v>
      </c>
      <c r="Q566" t="s">
        <v>183</v>
      </c>
      <c r="R566" s="11">
        <v>46188</v>
      </c>
      <c r="S566" s="11">
        <v>46188</v>
      </c>
      <c r="T566" s="11">
        <v>46188</v>
      </c>
      <c r="V566" t="s">
        <v>114</v>
      </c>
      <c r="W566" t="s">
        <v>114</v>
      </c>
      <c r="X566" t="s">
        <v>114</v>
      </c>
      <c r="Y566" t="s">
        <v>114</v>
      </c>
      <c r="Z566" t="s">
        <v>114</v>
      </c>
      <c r="AA566" t="s">
        <v>114</v>
      </c>
      <c r="AB566" t="s">
        <v>114</v>
      </c>
      <c r="AE566" t="s">
        <v>114</v>
      </c>
      <c r="AF566" t="s">
        <v>132</v>
      </c>
      <c r="AG566" t="s">
        <v>114</v>
      </c>
      <c r="AH566" t="s">
        <v>132</v>
      </c>
      <c r="AI566" t="s">
        <v>132</v>
      </c>
      <c r="AJ566" t="s">
        <v>132</v>
      </c>
      <c r="AQ566" t="s">
        <v>142</v>
      </c>
      <c r="AR566" t="s">
        <v>2103</v>
      </c>
      <c r="AS566" s="11">
        <v>46198</v>
      </c>
      <c r="AU566" t="s">
        <v>114</v>
      </c>
      <c r="AV566" t="s">
        <v>115</v>
      </c>
      <c r="BB566" t="s">
        <v>114</v>
      </c>
      <c r="BC566" s="11">
        <v>46194</v>
      </c>
      <c r="BD566" t="s">
        <v>116</v>
      </c>
      <c r="BE566">
        <v>651468142</v>
      </c>
      <c r="BF566" t="s">
        <v>186</v>
      </c>
      <c r="BG566" t="s">
        <v>449</v>
      </c>
      <c r="BJ566" t="str">
        <f t="shared" si="113"/>
        <v/>
      </c>
      <c r="BK566" s="22" t="s">
        <v>187</v>
      </c>
      <c r="BL566" t="str">
        <f t="shared" si="111"/>
        <v>S25_2026</v>
      </c>
      <c r="BM566" s="22" t="s">
        <v>159</v>
      </c>
      <c r="BN566" s="11">
        <v>46199</v>
      </c>
      <c r="BO566" s="22" t="str">
        <f t="shared" si="105"/>
        <v>S26_2026</v>
      </c>
      <c r="BP566" t="s">
        <v>114</v>
      </c>
      <c r="BQ566" t="s">
        <v>450</v>
      </c>
      <c r="BR566" t="s">
        <v>451</v>
      </c>
      <c r="BS566" s="22" t="s">
        <v>132</v>
      </c>
      <c r="CI566" t="s">
        <v>119</v>
      </c>
      <c r="CP566" s="11">
        <v>46189</v>
      </c>
      <c r="CQ566" t="s">
        <v>132</v>
      </c>
      <c r="CW566" t="s">
        <v>132</v>
      </c>
      <c r="CX566" s="11">
        <v>46188</v>
      </c>
      <c r="CY566" t="str">
        <f t="shared" si="112"/>
        <v>S25_2026</v>
      </c>
      <c r="CZ566" t="s">
        <v>132</v>
      </c>
      <c r="DB566" t="s">
        <v>132</v>
      </c>
      <c r="DC566" t="s">
        <v>120</v>
      </c>
    </row>
    <row r="567" spans="1:107" x14ac:dyDescent="0.35">
      <c r="A567" t="s">
        <v>2104</v>
      </c>
      <c r="B567" s="23" t="str">
        <f t="shared" si="115"/>
        <v>S26_2026</v>
      </c>
      <c r="C567" s="10" t="str">
        <f t="shared" si="116"/>
        <v>S26_2026</v>
      </c>
      <c r="D567" s="11">
        <v>46201</v>
      </c>
      <c r="E567" t="s">
        <v>123</v>
      </c>
      <c r="F567" s="24">
        <v>32</v>
      </c>
      <c r="G567" t="s">
        <v>569</v>
      </c>
      <c r="H567" t="s">
        <v>108</v>
      </c>
      <c r="J567" t="s">
        <v>114</v>
      </c>
      <c r="K567" s="11">
        <v>46199</v>
      </c>
      <c r="L567" t="s">
        <v>170</v>
      </c>
      <c r="M567" t="s">
        <v>298</v>
      </c>
      <c r="N567" t="s">
        <v>220</v>
      </c>
      <c r="O567" t="s">
        <v>2105</v>
      </c>
      <c r="P567" t="s">
        <v>2106</v>
      </c>
      <c r="Q567" t="s">
        <v>298</v>
      </c>
      <c r="R567" s="11">
        <v>46197</v>
      </c>
      <c r="S567" s="11">
        <v>46197</v>
      </c>
      <c r="T567" s="11">
        <v>46197</v>
      </c>
      <c r="V567" t="s">
        <v>114</v>
      </c>
      <c r="W567" t="s">
        <v>114</v>
      </c>
      <c r="X567" t="s">
        <v>114</v>
      </c>
      <c r="Y567" t="s">
        <v>114</v>
      </c>
      <c r="Z567" t="s">
        <v>114</v>
      </c>
      <c r="AA567" t="s">
        <v>114</v>
      </c>
      <c r="AB567" t="s">
        <v>114</v>
      </c>
      <c r="AE567" t="s">
        <v>114</v>
      </c>
      <c r="AF567" t="s">
        <v>132</v>
      </c>
      <c r="AG567" t="s">
        <v>132</v>
      </c>
      <c r="AH567" t="s">
        <v>132</v>
      </c>
      <c r="AI567" t="s">
        <v>132</v>
      </c>
      <c r="AJ567" t="s">
        <v>132</v>
      </c>
      <c r="AK567" t="s">
        <v>132</v>
      </c>
      <c r="AM567" t="s">
        <v>142</v>
      </c>
      <c r="AN567" t="s">
        <v>142</v>
      </c>
      <c r="AP567" t="s">
        <v>132</v>
      </c>
      <c r="AQ567" t="s">
        <v>142</v>
      </c>
      <c r="AR567" t="s">
        <v>2107</v>
      </c>
      <c r="AS567" s="11">
        <v>46203</v>
      </c>
      <c r="AU567" t="s">
        <v>114</v>
      </c>
      <c r="AV567" t="s">
        <v>115</v>
      </c>
      <c r="BB567" t="s">
        <v>114</v>
      </c>
      <c r="BC567" s="11">
        <v>46200</v>
      </c>
      <c r="BD567" t="s">
        <v>284</v>
      </c>
      <c r="BE567">
        <v>683799311</v>
      </c>
      <c r="BF567" t="s">
        <v>220</v>
      </c>
      <c r="BG567" t="s">
        <v>449</v>
      </c>
      <c r="BJ567" t="str">
        <f t="shared" si="113"/>
        <v/>
      </c>
      <c r="BK567" t="s">
        <v>170</v>
      </c>
      <c r="BL567" t="str">
        <f t="shared" si="111"/>
        <v>S26_2026</v>
      </c>
      <c r="BM567" s="22" t="s">
        <v>159</v>
      </c>
      <c r="BN567" s="11">
        <v>46206</v>
      </c>
      <c r="BO567" s="22" t="str">
        <f t="shared" si="105"/>
        <v>S27_2026</v>
      </c>
      <c r="BP567" t="s">
        <v>114</v>
      </c>
      <c r="BQ567" t="s">
        <v>450</v>
      </c>
      <c r="BR567" t="s">
        <v>451</v>
      </c>
      <c r="BS567" s="22" t="s">
        <v>132</v>
      </c>
      <c r="CI567" t="s">
        <v>119</v>
      </c>
      <c r="CP567" s="11">
        <v>46200</v>
      </c>
      <c r="CQ567" t="s">
        <v>132</v>
      </c>
      <c r="CW567" t="s">
        <v>132</v>
      </c>
      <c r="CX567" s="11">
        <v>46197</v>
      </c>
      <c r="CY567" t="str">
        <f t="shared" si="112"/>
        <v>S26_2026</v>
      </c>
      <c r="CZ567" t="s">
        <v>132</v>
      </c>
      <c r="DB567" t="s">
        <v>132</v>
      </c>
      <c r="DC567" t="s">
        <v>120</v>
      </c>
    </row>
    <row r="568" spans="1:107" x14ac:dyDescent="0.35">
      <c r="A568" t="s">
        <v>2108</v>
      </c>
      <c r="B568" s="23" t="str">
        <f t="shared" si="115"/>
        <v>S26_2026</v>
      </c>
      <c r="C568" s="10" t="str">
        <f t="shared" si="116"/>
        <v>S26_2026</v>
      </c>
      <c r="D568" s="11">
        <v>46201</v>
      </c>
      <c r="E568" t="s">
        <v>106</v>
      </c>
      <c r="F568" s="24">
        <v>24</v>
      </c>
      <c r="G568" t="s">
        <v>2109</v>
      </c>
      <c r="H568" t="s">
        <v>108</v>
      </c>
      <c r="J568" t="s">
        <v>114</v>
      </c>
      <c r="K568" s="11">
        <v>46198</v>
      </c>
      <c r="L568" t="s">
        <v>170</v>
      </c>
      <c r="M568" t="s">
        <v>2110</v>
      </c>
      <c r="N568" t="s">
        <v>2111</v>
      </c>
      <c r="O568" t="s">
        <v>2112</v>
      </c>
      <c r="P568" t="s">
        <v>2113</v>
      </c>
      <c r="Q568" t="s">
        <v>2110</v>
      </c>
      <c r="R568" s="11">
        <v>46196</v>
      </c>
      <c r="S568" s="11"/>
      <c r="T568" s="11">
        <v>46196</v>
      </c>
      <c r="V568" t="s">
        <v>114</v>
      </c>
      <c r="W568" t="s">
        <v>114</v>
      </c>
      <c r="X568" t="s">
        <v>114</v>
      </c>
      <c r="Y568" t="s">
        <v>114</v>
      </c>
      <c r="Z568" t="s">
        <v>114</v>
      </c>
      <c r="AA568" t="s">
        <v>114</v>
      </c>
      <c r="AB568" t="s">
        <v>114</v>
      </c>
      <c r="AE568" t="s">
        <v>132</v>
      </c>
      <c r="AF568" t="s">
        <v>132</v>
      </c>
      <c r="AG568" t="s">
        <v>132</v>
      </c>
      <c r="AH568" t="s">
        <v>132</v>
      </c>
      <c r="AI568" t="s">
        <v>132</v>
      </c>
      <c r="AJ568" t="s">
        <v>132</v>
      </c>
      <c r="AK568" t="s">
        <v>132</v>
      </c>
      <c r="AM568" t="s">
        <v>132</v>
      </c>
      <c r="AN568" t="s">
        <v>132</v>
      </c>
      <c r="AP568" t="s">
        <v>132</v>
      </c>
      <c r="AQ568" t="s">
        <v>132</v>
      </c>
      <c r="AR568" t="s">
        <v>2114</v>
      </c>
      <c r="AS568" s="11">
        <v>46203</v>
      </c>
      <c r="AU568" t="s">
        <v>114</v>
      </c>
      <c r="AV568" t="s">
        <v>115</v>
      </c>
      <c r="BB568" t="s">
        <v>114</v>
      </c>
      <c r="BC568" s="11">
        <v>46199</v>
      </c>
      <c r="BD568" t="s">
        <v>116</v>
      </c>
      <c r="BE568">
        <v>651141982</v>
      </c>
      <c r="BF568" t="s">
        <v>2111</v>
      </c>
      <c r="BG568" t="s">
        <v>449</v>
      </c>
      <c r="BJ568" t="str">
        <f t="shared" si="113"/>
        <v/>
      </c>
      <c r="BK568" t="s">
        <v>170</v>
      </c>
      <c r="BL568" t="str">
        <f t="shared" si="111"/>
        <v>S26_2026</v>
      </c>
      <c r="BM568" s="22" t="s">
        <v>159</v>
      </c>
      <c r="BN568" s="11">
        <v>46206</v>
      </c>
      <c r="BO568" s="22" t="str">
        <f t="shared" si="105"/>
        <v>S27_2026</v>
      </c>
      <c r="BP568" t="s">
        <v>114</v>
      </c>
      <c r="BQ568" t="s">
        <v>450</v>
      </c>
      <c r="BR568" t="s">
        <v>451</v>
      </c>
      <c r="BS568" s="22" t="s">
        <v>132</v>
      </c>
      <c r="CI568" t="s">
        <v>119</v>
      </c>
      <c r="CP568" s="11">
        <v>46199</v>
      </c>
      <c r="CQ568" t="s">
        <v>132</v>
      </c>
      <c r="CW568" t="s">
        <v>132</v>
      </c>
      <c r="CX568" s="11">
        <v>46196</v>
      </c>
      <c r="CY568" t="str">
        <f t="shared" si="112"/>
        <v>S26_2026</v>
      </c>
      <c r="CZ568" t="s">
        <v>132</v>
      </c>
      <c r="DB568" t="s">
        <v>132</v>
      </c>
      <c r="DC568" t="s">
        <v>120</v>
      </c>
    </row>
    <row r="569" spans="1:107" x14ac:dyDescent="0.35">
      <c r="A569" s="54" t="s">
        <v>2115</v>
      </c>
      <c r="B569" s="23" t="str">
        <f t="shared" ref="B569:B574" si="117">IFERROR("S"&amp;(IF(_xlfn.ISOWEEKNUM(D569)&gt;0,_xlfn.ISOWEEKNUM(D569),_xlfn.CONCAT("0",_xlfn.ISOWEEKNUM(D569))))&amp;"_"&amp;(YEAR(D569+26-(_xlfn.ISOWEEKNUM(D569)))),"")</f>
        <v>S26_2026</v>
      </c>
      <c r="C569" s="10" t="str">
        <f t="shared" ref="C569:C574" si="118">IFERROR("S"&amp;(IF(_xlfn.ISOWEEKNUM(R569)&gt;0,_xlfn.ISOWEEKNUM(R569),_xlfn.CONCAT("0",_xlfn.ISOWEEKNUM(R569))))&amp;"_"&amp;(YEAR(R569+26-(_xlfn.ISOWEEKNUM(R569)))),"")</f>
        <v>S25_2026</v>
      </c>
      <c r="D569" s="55">
        <v>46199</v>
      </c>
      <c r="E569" s="54" t="s">
        <v>106</v>
      </c>
      <c r="F569" s="56">
        <v>0.04</v>
      </c>
      <c r="G569" s="54" t="s">
        <v>2116</v>
      </c>
      <c r="H569" s="54" t="s">
        <v>108</v>
      </c>
      <c r="I569" s="54"/>
      <c r="J569" s="54" t="s">
        <v>114</v>
      </c>
      <c r="K569" s="55">
        <v>46198</v>
      </c>
      <c r="L569" s="54" t="s">
        <v>126</v>
      </c>
      <c r="M569" s="54" t="s">
        <v>1625</v>
      </c>
      <c r="N569" s="54" t="s">
        <v>1616</v>
      </c>
      <c r="O569" s="54" t="s">
        <v>1823</v>
      </c>
      <c r="P569" s="54" t="s">
        <v>2013</v>
      </c>
      <c r="Q569" s="54" t="s">
        <v>853</v>
      </c>
      <c r="R569" s="55">
        <v>46194</v>
      </c>
      <c r="S569" s="54"/>
      <c r="T569" s="55">
        <v>46194</v>
      </c>
      <c r="U569" s="54" t="s">
        <v>2117</v>
      </c>
      <c r="V569" s="54" t="s">
        <v>114</v>
      </c>
      <c r="W569" s="54" t="s">
        <v>114</v>
      </c>
      <c r="X569" s="54" t="s">
        <v>114</v>
      </c>
      <c r="Y569" s="54" t="s">
        <v>114</v>
      </c>
      <c r="Z569" s="54" t="s">
        <v>114</v>
      </c>
      <c r="AA569" s="54" t="s">
        <v>114</v>
      </c>
      <c r="AB569" s="54" t="s">
        <v>114</v>
      </c>
      <c r="AC569" s="54" t="s">
        <v>1238</v>
      </c>
      <c r="AD569" s="54" t="s">
        <v>2117</v>
      </c>
      <c r="AE569" s="54" t="s">
        <v>132</v>
      </c>
      <c r="AF569" s="54" t="s">
        <v>132</v>
      </c>
      <c r="AG569" s="54"/>
      <c r="AH569" s="54"/>
      <c r="AI569" s="54" t="s">
        <v>114</v>
      </c>
      <c r="AJ569" s="54" t="s">
        <v>132</v>
      </c>
      <c r="AK569" s="54" t="s">
        <v>132</v>
      </c>
      <c r="AL569" s="54"/>
      <c r="AM569" s="54" t="s">
        <v>114</v>
      </c>
      <c r="AN569" s="54" t="s">
        <v>132</v>
      </c>
      <c r="AO569" s="54"/>
      <c r="AP569" s="54" t="s">
        <v>132</v>
      </c>
      <c r="AQ569" s="54" t="s">
        <v>132</v>
      </c>
      <c r="AS569" s="11">
        <v>46199</v>
      </c>
      <c r="AT569" s="54"/>
      <c r="AU569" s="54" t="s">
        <v>114</v>
      </c>
      <c r="AV569" t="s">
        <v>134</v>
      </c>
      <c r="AW569" s="54" t="s">
        <v>125</v>
      </c>
      <c r="AX569" s="55">
        <v>46200</v>
      </c>
      <c r="AY569" t="s">
        <v>135</v>
      </c>
      <c r="AZ569" s="54"/>
      <c r="BA569" s="54"/>
      <c r="BB569" t="s">
        <v>114</v>
      </c>
      <c r="BC569" s="55">
        <v>46198</v>
      </c>
      <c r="BD569" s="54" t="s">
        <v>2118</v>
      </c>
      <c r="BE569" s="54"/>
      <c r="BF569" s="54" t="s">
        <v>1616</v>
      </c>
      <c r="BG569" s="54" t="s">
        <v>449</v>
      </c>
      <c r="BH569" s="54"/>
      <c r="BI569" s="55">
        <v>46199</v>
      </c>
      <c r="BJ569" t="str">
        <f t="shared" si="113"/>
        <v>S26_2026</v>
      </c>
      <c r="BK569" s="54" t="s">
        <v>137</v>
      </c>
      <c r="BL569" t="str">
        <f t="shared" si="111"/>
        <v>S26_2026</v>
      </c>
      <c r="BM569" s="54" t="s">
        <v>159</v>
      </c>
      <c r="BN569" s="55">
        <v>46199</v>
      </c>
      <c r="BO569" s="22" t="str">
        <f t="shared" si="105"/>
        <v>S26_2026</v>
      </c>
      <c r="BP569" s="54" t="s">
        <v>114</v>
      </c>
      <c r="BQ569" s="54" t="s">
        <v>971</v>
      </c>
      <c r="BR569" s="54" t="s">
        <v>451</v>
      </c>
      <c r="BS569" s="54" t="s">
        <v>132</v>
      </c>
      <c r="CI569" t="s">
        <v>119</v>
      </c>
      <c r="CK569" t="s">
        <v>138</v>
      </c>
      <c r="CP569" s="11">
        <v>46198</v>
      </c>
      <c r="CQ569" t="s">
        <v>132</v>
      </c>
      <c r="CW569" t="s">
        <v>132</v>
      </c>
      <c r="CX569" s="11">
        <v>46194</v>
      </c>
      <c r="CY569" t="str">
        <f t="shared" si="112"/>
        <v>S25_2026</v>
      </c>
      <c r="CZ569" t="s">
        <v>114</v>
      </c>
      <c r="DA569" t="s">
        <v>2031</v>
      </c>
      <c r="DB569" t="s">
        <v>132</v>
      </c>
      <c r="DC569" t="s">
        <v>139</v>
      </c>
    </row>
    <row r="570" spans="1:107" x14ac:dyDescent="0.35">
      <c r="A570" s="54" t="s">
        <v>2119</v>
      </c>
      <c r="B570" s="23" t="str">
        <f t="shared" si="117"/>
        <v>S26_2026</v>
      </c>
      <c r="C570" s="10" t="str">
        <f t="shared" si="118"/>
        <v>S25_2026</v>
      </c>
      <c r="D570" s="55">
        <v>46199</v>
      </c>
      <c r="E570" s="54" t="s">
        <v>123</v>
      </c>
      <c r="F570" s="56">
        <v>24</v>
      </c>
      <c r="G570" s="54" t="s">
        <v>2120</v>
      </c>
      <c r="H570" s="54" t="s">
        <v>108</v>
      </c>
      <c r="I570" s="54"/>
      <c r="J570" s="54" t="s">
        <v>132</v>
      </c>
      <c r="K570" s="54"/>
      <c r="L570" s="54" t="s">
        <v>126</v>
      </c>
      <c r="M570" s="54" t="s">
        <v>977</v>
      </c>
      <c r="N570" s="54" t="s">
        <v>1364</v>
      </c>
      <c r="O570" s="54" t="s">
        <v>971</v>
      </c>
      <c r="P570" s="54" t="s">
        <v>2121</v>
      </c>
      <c r="Q570" s="54" t="s">
        <v>292</v>
      </c>
      <c r="R570" s="55">
        <v>46194</v>
      </c>
      <c r="S570" s="55">
        <v>46194</v>
      </c>
      <c r="T570" s="55">
        <v>46197</v>
      </c>
      <c r="U570" s="54"/>
      <c r="V570" s="54" t="s">
        <v>114</v>
      </c>
      <c r="W570" s="54" t="s">
        <v>114</v>
      </c>
      <c r="X570" s="54" t="s">
        <v>132</v>
      </c>
      <c r="Y570" s="54" t="s">
        <v>132</v>
      </c>
      <c r="Z570" s="54" t="s">
        <v>132</v>
      </c>
      <c r="AA570" s="54" t="s">
        <v>132</v>
      </c>
      <c r="AB570" s="54" t="s">
        <v>114</v>
      </c>
      <c r="AC570" s="54"/>
      <c r="AD570" s="54"/>
      <c r="AE570" s="54" t="s">
        <v>114</v>
      </c>
      <c r="AF570" s="54" t="s">
        <v>114</v>
      </c>
      <c r="AG570" s="54" t="s">
        <v>132</v>
      </c>
      <c r="AH570" s="54" t="s">
        <v>132</v>
      </c>
      <c r="AI570" s="54" t="s">
        <v>132</v>
      </c>
      <c r="AJ570" s="54" t="s">
        <v>132</v>
      </c>
      <c r="AK570" s="54" t="s">
        <v>132</v>
      </c>
      <c r="AL570" s="54"/>
      <c r="AM570" s="54" t="s">
        <v>114</v>
      </c>
      <c r="AN570" s="54" t="s">
        <v>132</v>
      </c>
      <c r="AO570" s="54"/>
      <c r="AP570" s="54" t="s">
        <v>132</v>
      </c>
      <c r="AQ570" s="54" t="s">
        <v>132</v>
      </c>
      <c r="AS570" s="11">
        <v>46199</v>
      </c>
      <c r="AT570" s="54"/>
      <c r="AU570" s="54" t="s">
        <v>114</v>
      </c>
      <c r="AV570" t="s">
        <v>134</v>
      </c>
      <c r="AW570" s="54" t="s">
        <v>152</v>
      </c>
      <c r="AX570" s="54"/>
      <c r="AY570" t="s">
        <v>135</v>
      </c>
      <c r="AZ570" s="54"/>
      <c r="BA570" s="54"/>
      <c r="BB570" t="s">
        <v>114</v>
      </c>
      <c r="BC570" s="55">
        <v>46199</v>
      </c>
      <c r="BD570" s="54" t="s">
        <v>2118</v>
      </c>
      <c r="BE570" s="54"/>
      <c r="BF570" s="54" t="s">
        <v>292</v>
      </c>
      <c r="BG570" s="54" t="s">
        <v>449</v>
      </c>
      <c r="BH570" s="54"/>
      <c r="BI570" s="55">
        <v>46199</v>
      </c>
      <c r="BJ570" t="str">
        <f t="shared" si="113"/>
        <v>S26_2026</v>
      </c>
      <c r="BK570" s="54" t="s">
        <v>137</v>
      </c>
      <c r="BL570" t="str">
        <f t="shared" si="111"/>
        <v>S26_2026</v>
      </c>
      <c r="BM570" s="54" t="s">
        <v>159</v>
      </c>
      <c r="BN570" s="55">
        <v>46199</v>
      </c>
      <c r="BO570" s="22" t="str">
        <f t="shared" ref="BO570:BO633" si="119">IFERROR("S"&amp;(IF(_xlfn.ISOWEEKNUM(BN570)&gt;0,_xlfn.ISOWEEKNUM(BN570),_xlfn.CONCAT("0",_xlfn.ISOWEEKNUM(BN570))))&amp;"_"&amp;(YEAR(BN570+26-(_xlfn.ISOWEEKNUM(BN570)))),"")</f>
        <v>S26_2026</v>
      </c>
      <c r="BP570" s="54" t="s">
        <v>114</v>
      </c>
      <c r="BQ570" s="54" t="s">
        <v>971</v>
      </c>
      <c r="BR570" s="54" t="s">
        <v>451</v>
      </c>
      <c r="BS570" s="54" t="s">
        <v>132</v>
      </c>
      <c r="CI570" t="s">
        <v>119</v>
      </c>
      <c r="CK570" t="s">
        <v>138</v>
      </c>
      <c r="CP570" s="11">
        <v>46199</v>
      </c>
      <c r="CQ570" t="s">
        <v>132</v>
      </c>
      <c r="CW570" t="s">
        <v>132</v>
      </c>
      <c r="CX570" s="11">
        <v>46194</v>
      </c>
      <c r="CY570" t="str">
        <f t="shared" si="112"/>
        <v>S25_2026</v>
      </c>
      <c r="CZ570" t="s">
        <v>132</v>
      </c>
      <c r="DB570" t="s">
        <v>132</v>
      </c>
      <c r="DC570" t="s">
        <v>139</v>
      </c>
    </row>
    <row r="571" spans="1:107" x14ac:dyDescent="0.35">
      <c r="A571" t="s">
        <v>2122</v>
      </c>
      <c r="B571" s="23" t="str">
        <f t="shared" si="117"/>
        <v>S27_2026</v>
      </c>
      <c r="C571" s="10" t="str">
        <f t="shared" si="118"/>
        <v>S25_2026</v>
      </c>
      <c r="D571" s="11">
        <v>46204</v>
      </c>
      <c r="E571" t="s">
        <v>123</v>
      </c>
      <c r="F571" s="24">
        <v>36</v>
      </c>
      <c r="G571" t="s">
        <v>2123</v>
      </c>
      <c r="H571" t="s">
        <v>108</v>
      </c>
      <c r="J571" t="s">
        <v>114</v>
      </c>
      <c r="K571" s="11">
        <v>46203</v>
      </c>
      <c r="L571" t="s">
        <v>552</v>
      </c>
      <c r="M571" t="s">
        <v>553</v>
      </c>
      <c r="N571" t="s">
        <v>2124</v>
      </c>
      <c r="O571" t="s">
        <v>2125</v>
      </c>
      <c r="Q571" t="s">
        <v>2126</v>
      </c>
      <c r="R571" s="11">
        <v>46188</v>
      </c>
      <c r="S571" s="11">
        <v>46188</v>
      </c>
      <c r="T571" s="11">
        <v>46188</v>
      </c>
      <c r="V571" t="s">
        <v>132</v>
      </c>
      <c r="W571" t="s">
        <v>132</v>
      </c>
      <c r="X571" t="s">
        <v>132</v>
      </c>
      <c r="Y571" t="s">
        <v>132</v>
      </c>
      <c r="Z571" t="s">
        <v>132</v>
      </c>
      <c r="AA571" t="s">
        <v>132</v>
      </c>
      <c r="AB571" t="s">
        <v>114</v>
      </c>
      <c r="AC571" t="s">
        <v>1377</v>
      </c>
      <c r="AE571" t="s">
        <v>114</v>
      </c>
      <c r="AF571" t="s">
        <v>132</v>
      </c>
      <c r="AG571" t="s">
        <v>132</v>
      </c>
      <c r="AH571" t="s">
        <v>132</v>
      </c>
      <c r="AI571" t="s">
        <v>132</v>
      </c>
      <c r="AJ571" t="s">
        <v>132</v>
      </c>
      <c r="AK571" t="s">
        <v>114</v>
      </c>
      <c r="AM571" t="s">
        <v>132</v>
      </c>
      <c r="AN571" t="s">
        <v>132</v>
      </c>
      <c r="AP571" t="s">
        <v>132</v>
      </c>
      <c r="AQ571" t="s">
        <v>142</v>
      </c>
      <c r="AR571" t="s">
        <v>2127</v>
      </c>
      <c r="AS571" s="11">
        <v>46206</v>
      </c>
      <c r="AU571" t="s">
        <v>114</v>
      </c>
      <c r="AV571" t="s">
        <v>115</v>
      </c>
      <c r="BB571" t="s">
        <v>114</v>
      </c>
      <c r="BC571" s="11">
        <v>46204</v>
      </c>
      <c r="BD571" t="s">
        <v>116</v>
      </c>
      <c r="BF571" s="44" t="s">
        <v>2128</v>
      </c>
      <c r="BG571" t="s">
        <v>449</v>
      </c>
      <c r="BJ571" t="str">
        <f t="shared" si="113"/>
        <v/>
      </c>
      <c r="BK571" t="s">
        <v>206</v>
      </c>
      <c r="BL571" t="str">
        <f t="shared" si="111"/>
        <v>S27_2026</v>
      </c>
      <c r="BM571" s="22" t="s">
        <v>159</v>
      </c>
      <c r="BN571" s="11">
        <v>46210</v>
      </c>
      <c r="BO571" s="22" t="str">
        <f t="shared" si="119"/>
        <v>S28_2026</v>
      </c>
      <c r="BP571" t="s">
        <v>114</v>
      </c>
      <c r="BQ571" t="s">
        <v>450</v>
      </c>
      <c r="BR571" t="s">
        <v>451</v>
      </c>
      <c r="BS571" s="22" t="s">
        <v>132</v>
      </c>
      <c r="CI571" t="s">
        <v>119</v>
      </c>
      <c r="CP571" s="11">
        <v>46204</v>
      </c>
      <c r="CQ571" t="s">
        <v>132</v>
      </c>
      <c r="CW571" t="s">
        <v>132</v>
      </c>
      <c r="CX571" s="11">
        <v>46188</v>
      </c>
      <c r="CY571" t="str">
        <f t="shared" si="112"/>
        <v>S25_2026</v>
      </c>
      <c r="CZ571" t="s">
        <v>132</v>
      </c>
      <c r="DB571" t="s">
        <v>132</v>
      </c>
      <c r="DC571" t="s">
        <v>120</v>
      </c>
    </row>
    <row r="572" spans="1:107" x14ac:dyDescent="0.35">
      <c r="A572" t="s">
        <v>2129</v>
      </c>
      <c r="B572" s="23" t="str">
        <f t="shared" si="117"/>
        <v>S27_2026</v>
      </c>
      <c r="C572" s="10" t="str">
        <f t="shared" si="118"/>
        <v>S26_2026</v>
      </c>
      <c r="D572" s="11">
        <v>46203</v>
      </c>
      <c r="E572" t="s">
        <v>123</v>
      </c>
      <c r="F572" s="24">
        <v>42</v>
      </c>
      <c r="G572" t="s">
        <v>486</v>
      </c>
      <c r="H572" t="s">
        <v>108</v>
      </c>
      <c r="J572" t="s">
        <v>132</v>
      </c>
      <c r="L572" t="s">
        <v>126</v>
      </c>
      <c r="M572" t="s">
        <v>1625</v>
      </c>
      <c r="N572" t="s">
        <v>1553</v>
      </c>
      <c r="O572" t="s">
        <v>1554</v>
      </c>
      <c r="P572" t="s">
        <v>1686</v>
      </c>
      <c r="Q572" t="s">
        <v>357</v>
      </c>
      <c r="R572" s="11">
        <v>46198</v>
      </c>
      <c r="S572" s="11">
        <v>46199</v>
      </c>
      <c r="T572" s="11">
        <v>46198</v>
      </c>
      <c r="V572" t="s">
        <v>114</v>
      </c>
      <c r="W572" t="s">
        <v>114</v>
      </c>
      <c r="X572" t="s">
        <v>114</v>
      </c>
      <c r="Y572" t="s">
        <v>114</v>
      </c>
      <c r="Z572" t="s">
        <v>114</v>
      </c>
      <c r="AA572" t="s">
        <v>114</v>
      </c>
      <c r="AB572" t="s">
        <v>114</v>
      </c>
      <c r="AC572" t="s">
        <v>1238</v>
      </c>
      <c r="AE572" t="s">
        <v>114</v>
      </c>
      <c r="AF572" t="s">
        <v>132</v>
      </c>
      <c r="AG572" t="s">
        <v>132</v>
      </c>
      <c r="AH572" t="s">
        <v>114</v>
      </c>
      <c r="AI572" t="s">
        <v>132</v>
      </c>
      <c r="AJ572" t="s">
        <v>132</v>
      </c>
      <c r="AK572" t="s">
        <v>114</v>
      </c>
      <c r="AM572" t="s">
        <v>132</v>
      </c>
      <c r="AN572" t="s">
        <v>132</v>
      </c>
      <c r="AP572" t="s">
        <v>132</v>
      </c>
      <c r="AQ572" t="s">
        <v>132</v>
      </c>
      <c r="AS572" s="11">
        <v>46203</v>
      </c>
      <c r="AU572" t="s">
        <v>114</v>
      </c>
      <c r="AV572" t="s">
        <v>115</v>
      </c>
      <c r="BB572" t="s">
        <v>114</v>
      </c>
      <c r="BC572" s="11">
        <v>46202</v>
      </c>
      <c r="BD572" t="s">
        <v>1958</v>
      </c>
      <c r="BF572" t="s">
        <v>1686</v>
      </c>
      <c r="BG572" t="s">
        <v>449</v>
      </c>
      <c r="BJ572" t="str">
        <f t="shared" si="113"/>
        <v/>
      </c>
      <c r="BK572" t="s">
        <v>137</v>
      </c>
      <c r="BL572" t="str">
        <f t="shared" si="111"/>
        <v>S27_2026</v>
      </c>
      <c r="BM572" s="22" t="s">
        <v>159</v>
      </c>
      <c r="BN572" s="11">
        <v>46204</v>
      </c>
      <c r="BO572" s="22" t="str">
        <f t="shared" si="119"/>
        <v>S27_2026</v>
      </c>
      <c r="BP572" t="s">
        <v>114</v>
      </c>
      <c r="BQ572" t="s">
        <v>971</v>
      </c>
      <c r="BR572" t="s">
        <v>451</v>
      </c>
      <c r="BS572" s="22" t="s">
        <v>132</v>
      </c>
      <c r="CI572" t="s">
        <v>119</v>
      </c>
      <c r="CP572" s="11">
        <v>46202</v>
      </c>
      <c r="CQ572" t="s">
        <v>132</v>
      </c>
      <c r="CW572" t="s">
        <v>132</v>
      </c>
      <c r="CX572" s="11">
        <v>46198</v>
      </c>
      <c r="CY572" t="str">
        <f t="shared" si="112"/>
        <v>S26_2026</v>
      </c>
      <c r="CZ572" t="s">
        <v>132</v>
      </c>
      <c r="DB572" t="s">
        <v>132</v>
      </c>
      <c r="DC572" t="s">
        <v>120</v>
      </c>
    </row>
    <row r="573" spans="1:107" x14ac:dyDescent="0.35">
      <c r="A573" s="44" t="s">
        <v>2130</v>
      </c>
      <c r="B573" s="23" t="str">
        <f t="shared" si="117"/>
        <v>S27_2026</v>
      </c>
      <c r="C573" s="10" t="str">
        <f t="shared" si="118"/>
        <v>S26_2026</v>
      </c>
      <c r="D573" s="11">
        <v>46203</v>
      </c>
      <c r="E573" t="s">
        <v>106</v>
      </c>
      <c r="F573" s="24">
        <v>0.17</v>
      </c>
      <c r="G573" t="s">
        <v>2131</v>
      </c>
      <c r="H573" t="s">
        <v>108</v>
      </c>
      <c r="J573" t="s">
        <v>132</v>
      </c>
      <c r="L573" t="s">
        <v>126</v>
      </c>
      <c r="M573" t="s">
        <v>1625</v>
      </c>
      <c r="N573" t="s">
        <v>1616</v>
      </c>
      <c r="O573" t="s">
        <v>1823</v>
      </c>
      <c r="P573" t="s">
        <v>2132</v>
      </c>
      <c r="Q573" t="s">
        <v>853</v>
      </c>
      <c r="R573" s="11">
        <v>46201</v>
      </c>
      <c r="S573" s="11"/>
      <c r="T573" s="11">
        <v>46201</v>
      </c>
      <c r="V573" t="s">
        <v>132</v>
      </c>
      <c r="W573" t="s">
        <v>132</v>
      </c>
      <c r="X573" t="s">
        <v>114</v>
      </c>
      <c r="Y573" t="s">
        <v>132</v>
      </c>
      <c r="Z573" t="s">
        <v>132</v>
      </c>
      <c r="AA573" t="s">
        <v>132</v>
      </c>
      <c r="AB573" t="s">
        <v>114</v>
      </c>
      <c r="AC573" t="s">
        <v>1238</v>
      </c>
      <c r="AE573" t="s">
        <v>132</v>
      </c>
      <c r="AF573" t="s">
        <v>132</v>
      </c>
      <c r="AI573" t="s">
        <v>132</v>
      </c>
      <c r="AJ573" t="s">
        <v>132</v>
      </c>
      <c r="AK573" t="s">
        <v>132</v>
      </c>
      <c r="AM573" t="s">
        <v>132</v>
      </c>
      <c r="AN573" t="s">
        <v>132</v>
      </c>
      <c r="AP573" t="s">
        <v>132</v>
      </c>
      <c r="AQ573" t="s">
        <v>132</v>
      </c>
      <c r="AS573" s="11">
        <v>46203</v>
      </c>
      <c r="AU573" t="s">
        <v>114</v>
      </c>
      <c r="AV573" t="s">
        <v>115</v>
      </c>
      <c r="BB573" t="s">
        <v>114</v>
      </c>
      <c r="BC573" s="11">
        <v>46203</v>
      </c>
      <c r="BD573" t="s">
        <v>1958</v>
      </c>
      <c r="BF573" t="s">
        <v>965</v>
      </c>
      <c r="BG573" t="s">
        <v>449</v>
      </c>
      <c r="BJ573" t="str">
        <f t="shared" si="113"/>
        <v/>
      </c>
      <c r="BK573" t="s">
        <v>137</v>
      </c>
      <c r="BL573" t="str">
        <f t="shared" si="111"/>
        <v>S27_2026</v>
      </c>
      <c r="BM573" s="22" t="s">
        <v>159</v>
      </c>
      <c r="BN573" s="11">
        <v>46204</v>
      </c>
      <c r="BO573" s="22" t="str">
        <f t="shared" si="119"/>
        <v>S27_2026</v>
      </c>
      <c r="BP573" t="s">
        <v>114</v>
      </c>
      <c r="BQ573" t="s">
        <v>971</v>
      </c>
      <c r="BR573" t="s">
        <v>451</v>
      </c>
      <c r="BS573" s="22" t="s">
        <v>132</v>
      </c>
      <c r="CI573" t="s">
        <v>119</v>
      </c>
      <c r="CP573" s="11">
        <v>46203</v>
      </c>
      <c r="CQ573" t="s">
        <v>132</v>
      </c>
      <c r="CW573" t="s">
        <v>132</v>
      </c>
      <c r="CX573" s="11">
        <v>46201</v>
      </c>
      <c r="CY573" t="str">
        <f t="shared" si="112"/>
        <v>S26_2026</v>
      </c>
      <c r="CZ573" t="s">
        <v>132</v>
      </c>
      <c r="DB573" t="s">
        <v>132</v>
      </c>
      <c r="DC573" t="s">
        <v>120</v>
      </c>
    </row>
    <row r="574" spans="1:107" x14ac:dyDescent="0.35">
      <c r="A574" s="44" t="s">
        <v>2133</v>
      </c>
      <c r="B574" s="23" t="str">
        <f t="shared" si="117"/>
        <v>S27_2026</v>
      </c>
      <c r="C574" s="10" t="str">
        <f t="shared" si="118"/>
        <v>S27_2026</v>
      </c>
      <c r="D574" s="11">
        <v>46203</v>
      </c>
      <c r="E574" t="s">
        <v>123</v>
      </c>
      <c r="F574" s="24">
        <v>7</v>
      </c>
      <c r="G574" t="s">
        <v>107</v>
      </c>
      <c r="H574" t="s">
        <v>108</v>
      </c>
      <c r="J574" t="s">
        <v>132</v>
      </c>
      <c r="L574" t="s">
        <v>126</v>
      </c>
      <c r="M574" t="s">
        <v>1625</v>
      </c>
      <c r="N574" t="s">
        <v>1616</v>
      </c>
      <c r="O574" t="s">
        <v>1823</v>
      </c>
      <c r="P574" t="s">
        <v>2132</v>
      </c>
      <c r="Q574" t="s">
        <v>853</v>
      </c>
      <c r="R574" s="11">
        <v>46203</v>
      </c>
      <c r="S574" s="11"/>
      <c r="T574" s="11">
        <v>46203</v>
      </c>
      <c r="V574" t="s">
        <v>132</v>
      </c>
      <c r="W574" t="s">
        <v>132</v>
      </c>
      <c r="X574" t="s">
        <v>114</v>
      </c>
      <c r="Y574" t="s">
        <v>114</v>
      </c>
      <c r="Z574" t="s">
        <v>132</v>
      </c>
      <c r="AA574" t="s">
        <v>132</v>
      </c>
      <c r="AB574" t="s">
        <v>114</v>
      </c>
      <c r="AC574" t="s">
        <v>1238</v>
      </c>
      <c r="AE574" t="s">
        <v>132</v>
      </c>
      <c r="AF574" t="s">
        <v>132</v>
      </c>
      <c r="AG574" t="s">
        <v>132</v>
      </c>
      <c r="AH574" t="s">
        <v>132</v>
      </c>
      <c r="AI574" t="s">
        <v>132</v>
      </c>
      <c r="AJ574" t="s">
        <v>132</v>
      </c>
      <c r="AK574" t="s">
        <v>132</v>
      </c>
      <c r="AM574" t="s">
        <v>132</v>
      </c>
      <c r="AN574" t="s">
        <v>132</v>
      </c>
      <c r="AP574" t="s">
        <v>132</v>
      </c>
      <c r="AQ574" t="s">
        <v>132</v>
      </c>
      <c r="AS574" s="11">
        <v>46203</v>
      </c>
      <c r="AU574" t="s">
        <v>114</v>
      </c>
      <c r="AV574" t="s">
        <v>115</v>
      </c>
      <c r="BB574" t="s">
        <v>114</v>
      </c>
      <c r="BC574" s="11">
        <v>46233</v>
      </c>
      <c r="BD574" t="s">
        <v>1958</v>
      </c>
      <c r="BF574" t="s">
        <v>965</v>
      </c>
      <c r="BG574" t="s">
        <v>449</v>
      </c>
      <c r="BJ574" t="str">
        <f t="shared" si="113"/>
        <v/>
      </c>
      <c r="BK574" t="s">
        <v>137</v>
      </c>
      <c r="BL574" t="str">
        <f t="shared" si="111"/>
        <v>S31_2026</v>
      </c>
      <c r="BM574" s="22" t="s">
        <v>159</v>
      </c>
      <c r="BN574" s="11">
        <v>46204</v>
      </c>
      <c r="BO574" s="22" t="str">
        <f t="shared" si="119"/>
        <v>S27_2026</v>
      </c>
      <c r="BP574" t="s">
        <v>114</v>
      </c>
      <c r="BQ574" t="s">
        <v>971</v>
      </c>
      <c r="BR574" t="s">
        <v>451</v>
      </c>
      <c r="BS574" s="22" t="s">
        <v>132</v>
      </c>
      <c r="CI574" t="s">
        <v>119</v>
      </c>
      <c r="CP574" s="11">
        <v>46203</v>
      </c>
      <c r="CQ574" t="s">
        <v>132</v>
      </c>
      <c r="CW574" t="s">
        <v>132</v>
      </c>
      <c r="CX574" s="11">
        <v>46203</v>
      </c>
      <c r="CY574" t="str">
        <f t="shared" si="112"/>
        <v>S27_2026</v>
      </c>
      <c r="CZ574" t="s">
        <v>132</v>
      </c>
      <c r="DB574" t="s">
        <v>132</v>
      </c>
      <c r="DC574" t="s">
        <v>120</v>
      </c>
    </row>
    <row r="575" spans="1:107" x14ac:dyDescent="0.35">
      <c r="A575" t="s">
        <v>2134</v>
      </c>
      <c r="B575" s="23" t="str">
        <f t="shared" ref="B575:B584" si="120">IFERROR("S"&amp;(IF(_xlfn.ISOWEEKNUM(D575)&gt;0,_xlfn.ISOWEEKNUM(D575),_xlfn.CONCAT("0",_xlfn.ISOWEEKNUM(D575))))&amp;"_"&amp;(YEAR(D575+26-(_xlfn.ISOWEEKNUM(D575)))),"")</f>
        <v>S27_2026</v>
      </c>
      <c r="C575" s="10" t="str">
        <f t="shared" ref="C575:C585" si="121">IFERROR("S"&amp;(IF(_xlfn.ISOWEEKNUM(R575)&gt;0,_xlfn.ISOWEEKNUM(R575),_xlfn.CONCAT("0",_xlfn.ISOWEEKNUM(R575))))&amp;"_"&amp;(YEAR(R575+26-(_xlfn.ISOWEEKNUM(R575)))),"")</f>
        <v>S25_2026</v>
      </c>
      <c r="D575" s="11">
        <v>46205</v>
      </c>
      <c r="E575" t="s">
        <v>123</v>
      </c>
      <c r="F575" s="24">
        <v>5</v>
      </c>
      <c r="G575" t="s">
        <v>107</v>
      </c>
      <c r="H575" t="s">
        <v>108</v>
      </c>
      <c r="J575" t="s">
        <v>114</v>
      </c>
      <c r="L575" t="s">
        <v>126</v>
      </c>
      <c r="M575" t="s">
        <v>977</v>
      </c>
      <c r="N575" t="s">
        <v>1364</v>
      </c>
      <c r="O575" t="s">
        <v>2135</v>
      </c>
      <c r="P575" t="s">
        <v>2136</v>
      </c>
      <c r="Q575" t="s">
        <v>146</v>
      </c>
      <c r="R575" s="11">
        <v>46193</v>
      </c>
      <c r="S575" s="11">
        <v>46193</v>
      </c>
      <c r="T575" s="11">
        <v>46196</v>
      </c>
      <c r="V575" t="s">
        <v>114</v>
      </c>
      <c r="W575" t="s">
        <v>114</v>
      </c>
      <c r="X575" t="s">
        <v>114</v>
      </c>
      <c r="Y575" t="s">
        <v>114</v>
      </c>
      <c r="Z575" t="s">
        <v>132</v>
      </c>
      <c r="AA575" t="s">
        <v>132</v>
      </c>
      <c r="AB575" t="s">
        <v>114</v>
      </c>
      <c r="AC575" t="s">
        <v>1238</v>
      </c>
      <c r="AE575" t="s">
        <v>114</v>
      </c>
      <c r="AF575" t="s">
        <v>132</v>
      </c>
      <c r="AG575" t="s">
        <v>132</v>
      </c>
      <c r="AH575" t="s">
        <v>132</v>
      </c>
      <c r="AI575" t="s">
        <v>132</v>
      </c>
      <c r="AJ575" t="s">
        <v>132</v>
      </c>
      <c r="AK575" t="s">
        <v>132</v>
      </c>
      <c r="AM575" t="s">
        <v>132</v>
      </c>
      <c r="AN575" t="s">
        <v>114</v>
      </c>
      <c r="AP575" t="s">
        <v>132</v>
      </c>
      <c r="AQ575" t="s">
        <v>132</v>
      </c>
      <c r="AS575" s="11">
        <v>46203</v>
      </c>
      <c r="AU575" t="s">
        <v>114</v>
      </c>
      <c r="AV575" t="s">
        <v>134</v>
      </c>
      <c r="AW575" t="s">
        <v>152</v>
      </c>
      <c r="AY575" t="s">
        <v>135</v>
      </c>
      <c r="BB575" t="s">
        <v>114</v>
      </c>
      <c r="BC575" s="11">
        <v>46203</v>
      </c>
      <c r="BD575" t="s">
        <v>116</v>
      </c>
      <c r="BF575" t="s">
        <v>1816</v>
      </c>
      <c r="BG575" t="s">
        <v>449</v>
      </c>
      <c r="BI575" s="11">
        <v>46206</v>
      </c>
      <c r="BJ575" t="str">
        <f t="shared" si="113"/>
        <v>S27_2026</v>
      </c>
      <c r="BK575" t="s">
        <v>137</v>
      </c>
      <c r="BL575" t="str">
        <f t="shared" si="111"/>
        <v>S27_2026</v>
      </c>
      <c r="BM575" t="s">
        <v>159</v>
      </c>
      <c r="BN575" s="11">
        <v>46206</v>
      </c>
      <c r="BO575" s="22" t="str">
        <f t="shared" si="119"/>
        <v>S27_2026</v>
      </c>
      <c r="BP575" t="s">
        <v>114</v>
      </c>
      <c r="BQ575" t="s">
        <v>971</v>
      </c>
      <c r="BR575" t="s">
        <v>451</v>
      </c>
      <c r="BS575" s="22" t="s">
        <v>132</v>
      </c>
      <c r="CI575" t="s">
        <v>119</v>
      </c>
      <c r="CK575" t="s">
        <v>138</v>
      </c>
      <c r="CP575" s="11">
        <v>46201</v>
      </c>
      <c r="CQ575" t="s">
        <v>132</v>
      </c>
      <c r="CW575" t="s">
        <v>132</v>
      </c>
      <c r="CX575" s="11">
        <v>46193</v>
      </c>
      <c r="CY575" t="str">
        <f t="shared" si="112"/>
        <v>S25_2026</v>
      </c>
      <c r="CZ575" t="s">
        <v>132</v>
      </c>
      <c r="DB575" t="s">
        <v>132</v>
      </c>
      <c r="DC575" t="s">
        <v>139</v>
      </c>
    </row>
    <row r="576" spans="1:107" x14ac:dyDescent="0.35">
      <c r="A576" s="36" t="s">
        <v>2137</v>
      </c>
      <c r="B576" s="23" t="str">
        <f t="shared" si="120"/>
        <v>S27_2026</v>
      </c>
      <c r="C576" s="10" t="str">
        <f t="shared" si="121"/>
        <v>S26_2026</v>
      </c>
      <c r="D576" s="11">
        <v>46206</v>
      </c>
      <c r="E576" t="s">
        <v>106</v>
      </c>
      <c r="F576" s="24">
        <v>27</v>
      </c>
      <c r="G576" t="s">
        <v>2138</v>
      </c>
      <c r="H576" t="s">
        <v>108</v>
      </c>
      <c r="J576" t="s">
        <v>114</v>
      </c>
      <c r="L576" t="s">
        <v>126</v>
      </c>
      <c r="M576" t="s">
        <v>1625</v>
      </c>
      <c r="N576" t="s">
        <v>1616</v>
      </c>
      <c r="O576" t="s">
        <v>1823</v>
      </c>
      <c r="P576" t="s">
        <v>2139</v>
      </c>
      <c r="Q576" t="s">
        <v>541</v>
      </c>
      <c r="R576" s="11">
        <v>46200</v>
      </c>
      <c r="T576" s="11">
        <v>46200</v>
      </c>
      <c r="V576" t="s">
        <v>132</v>
      </c>
      <c r="W576" t="s">
        <v>132</v>
      </c>
      <c r="X576" t="s">
        <v>114</v>
      </c>
      <c r="Y576" t="s">
        <v>114</v>
      </c>
      <c r="Z576" t="s">
        <v>132</v>
      </c>
      <c r="AA576" t="s">
        <v>114</v>
      </c>
      <c r="AB576" t="s">
        <v>114</v>
      </c>
      <c r="AC576" t="s">
        <v>1238</v>
      </c>
      <c r="AE576" t="s">
        <v>132</v>
      </c>
      <c r="AF576" t="s">
        <v>114</v>
      </c>
      <c r="AG576" t="s">
        <v>114</v>
      </c>
      <c r="AH576" t="s">
        <v>132</v>
      </c>
      <c r="AI576" t="s">
        <v>132</v>
      </c>
      <c r="AJ576" t="s">
        <v>132</v>
      </c>
      <c r="AK576" t="s">
        <v>132</v>
      </c>
      <c r="AM576" t="s">
        <v>132</v>
      </c>
      <c r="AN576" t="s">
        <v>132</v>
      </c>
      <c r="AP576" t="s">
        <v>132</v>
      </c>
      <c r="AQ576" t="s">
        <v>132</v>
      </c>
      <c r="AS576" s="11">
        <v>46205</v>
      </c>
      <c r="AU576" t="s">
        <v>114</v>
      </c>
      <c r="AV576" t="s">
        <v>134</v>
      </c>
      <c r="AW576" t="s">
        <v>152</v>
      </c>
      <c r="AY576" t="s">
        <v>135</v>
      </c>
      <c r="BB576" t="s">
        <v>114</v>
      </c>
      <c r="BC576" s="11">
        <v>46205</v>
      </c>
      <c r="BD576" t="s">
        <v>1958</v>
      </c>
      <c r="BF576" t="s">
        <v>542</v>
      </c>
      <c r="BG576" t="s">
        <v>449</v>
      </c>
      <c r="BI576" s="11">
        <v>46207</v>
      </c>
      <c r="BJ576" t="str">
        <f t="shared" si="113"/>
        <v>S27_2026</v>
      </c>
      <c r="BK576" t="s">
        <v>137</v>
      </c>
      <c r="BL576" t="str">
        <f t="shared" si="111"/>
        <v>S27_2026</v>
      </c>
      <c r="BM576" t="s">
        <v>159</v>
      </c>
      <c r="BN576" s="11">
        <v>46207</v>
      </c>
      <c r="BO576" s="22" t="str">
        <f t="shared" si="119"/>
        <v>S27_2026</v>
      </c>
      <c r="BP576" t="s">
        <v>114</v>
      </c>
      <c r="BQ576" t="s">
        <v>971</v>
      </c>
      <c r="BR576" t="s">
        <v>451</v>
      </c>
      <c r="BS576" s="22" t="s">
        <v>132</v>
      </c>
      <c r="CI576" t="s">
        <v>119</v>
      </c>
      <c r="CK576" t="s">
        <v>138</v>
      </c>
      <c r="CP576" s="11">
        <v>46205</v>
      </c>
      <c r="CQ576" t="s">
        <v>132</v>
      </c>
      <c r="CW576" t="s">
        <v>132</v>
      </c>
      <c r="CX576" s="11">
        <v>46200</v>
      </c>
      <c r="CY576" t="str">
        <f t="shared" si="112"/>
        <v>S26_2026</v>
      </c>
      <c r="CZ576" t="s">
        <v>132</v>
      </c>
      <c r="DB576" t="s">
        <v>132</v>
      </c>
      <c r="DC576" t="s">
        <v>139</v>
      </c>
    </row>
    <row r="577" spans="1:107" x14ac:dyDescent="0.35">
      <c r="A577" t="s">
        <v>2140</v>
      </c>
      <c r="B577" s="23" t="str">
        <f t="shared" si="120"/>
        <v>S27_2026</v>
      </c>
      <c r="C577" s="10" t="str">
        <f t="shared" si="121"/>
        <v>S26_2026</v>
      </c>
      <c r="D577" s="11">
        <v>46206</v>
      </c>
      <c r="E577" t="s">
        <v>123</v>
      </c>
      <c r="F577" s="24">
        <v>38</v>
      </c>
      <c r="G577" t="s">
        <v>2141</v>
      </c>
      <c r="H577" t="s">
        <v>108</v>
      </c>
      <c r="J577" t="s">
        <v>114</v>
      </c>
      <c r="K577" s="11">
        <v>46203</v>
      </c>
      <c r="L577" t="s">
        <v>126</v>
      </c>
      <c r="M577" t="s">
        <v>977</v>
      </c>
      <c r="N577" t="s">
        <v>1364</v>
      </c>
      <c r="O577" t="s">
        <v>971</v>
      </c>
      <c r="P577" t="s">
        <v>2142</v>
      </c>
      <c r="Q577" t="s">
        <v>146</v>
      </c>
      <c r="R577" s="11">
        <v>46195</v>
      </c>
      <c r="S577" s="11">
        <v>46195</v>
      </c>
      <c r="T577" s="11">
        <v>46198</v>
      </c>
      <c r="V577" t="s">
        <v>114</v>
      </c>
      <c r="W577" t="s">
        <v>114</v>
      </c>
      <c r="X577" t="s">
        <v>114</v>
      </c>
      <c r="Y577" t="s">
        <v>114</v>
      </c>
      <c r="Z577" t="s">
        <v>114</v>
      </c>
      <c r="AA577" t="s">
        <v>114</v>
      </c>
      <c r="AB577" t="s">
        <v>114</v>
      </c>
      <c r="AC577" t="s">
        <v>1238</v>
      </c>
      <c r="AE577" t="s">
        <v>114</v>
      </c>
      <c r="AF577" t="s">
        <v>114</v>
      </c>
      <c r="AG577" t="s">
        <v>132</v>
      </c>
      <c r="AH577" t="s">
        <v>132</v>
      </c>
      <c r="AI577" t="s">
        <v>132</v>
      </c>
      <c r="AJ577" t="s">
        <v>132</v>
      </c>
      <c r="AK577" t="s">
        <v>114</v>
      </c>
      <c r="AM577" t="s">
        <v>114</v>
      </c>
      <c r="AN577" t="s">
        <v>132</v>
      </c>
      <c r="AP577" t="s">
        <v>132</v>
      </c>
      <c r="AQ577" t="s">
        <v>132</v>
      </c>
      <c r="AS577" s="11">
        <v>46204</v>
      </c>
      <c r="AU577" t="s">
        <v>114</v>
      </c>
      <c r="AV577" t="s">
        <v>134</v>
      </c>
      <c r="AW577" t="s">
        <v>152</v>
      </c>
      <c r="AY577" t="s">
        <v>135</v>
      </c>
      <c r="BB577" t="s">
        <v>114</v>
      </c>
      <c r="BC577" s="11">
        <v>46204</v>
      </c>
      <c r="BD577" t="s">
        <v>1958</v>
      </c>
      <c r="BF577" t="s">
        <v>1042</v>
      </c>
      <c r="BG577" t="s">
        <v>449</v>
      </c>
      <c r="BI577" s="11">
        <v>46207</v>
      </c>
      <c r="BJ577" t="str">
        <f t="shared" si="113"/>
        <v>S27_2026</v>
      </c>
      <c r="BK577" t="s">
        <v>137</v>
      </c>
      <c r="BL577" t="str">
        <f t="shared" si="111"/>
        <v>S27_2026</v>
      </c>
      <c r="BM577" t="s">
        <v>159</v>
      </c>
      <c r="BN577" s="11">
        <v>46207</v>
      </c>
      <c r="BO577" s="22" t="str">
        <f t="shared" si="119"/>
        <v>S27_2026</v>
      </c>
      <c r="BP577" t="s">
        <v>114</v>
      </c>
      <c r="BQ577" t="s">
        <v>971</v>
      </c>
      <c r="BR577" t="s">
        <v>451</v>
      </c>
      <c r="BS577" s="22" t="s">
        <v>132</v>
      </c>
      <c r="CI577" t="s">
        <v>119</v>
      </c>
      <c r="CK577" t="s">
        <v>138</v>
      </c>
      <c r="CP577" s="11">
        <v>46203</v>
      </c>
      <c r="CQ577" t="s">
        <v>132</v>
      </c>
      <c r="CW577" t="s">
        <v>132</v>
      </c>
      <c r="CX577" s="11">
        <v>46195</v>
      </c>
      <c r="CY577" t="str">
        <f t="shared" si="112"/>
        <v>S26_2026</v>
      </c>
      <c r="CZ577" t="s">
        <v>132</v>
      </c>
      <c r="DB577" t="s">
        <v>132</v>
      </c>
      <c r="DC577" t="s">
        <v>139</v>
      </c>
    </row>
    <row r="578" spans="1:107" x14ac:dyDescent="0.35">
      <c r="A578" s="22" t="s">
        <v>2143</v>
      </c>
      <c r="B578" s="23" t="str">
        <f t="shared" si="120"/>
        <v>S27_2026</v>
      </c>
      <c r="C578" s="10" t="str">
        <f t="shared" si="121"/>
        <v>S25_2026</v>
      </c>
      <c r="D578" s="11">
        <v>46208</v>
      </c>
      <c r="E578" t="s">
        <v>123</v>
      </c>
      <c r="F578" s="24">
        <v>16</v>
      </c>
      <c r="G578" t="s">
        <v>575</v>
      </c>
      <c r="H578" t="s">
        <v>108</v>
      </c>
      <c r="J578" t="s">
        <v>132</v>
      </c>
      <c r="L578" t="s">
        <v>126</v>
      </c>
      <c r="M578" t="s">
        <v>1053</v>
      </c>
      <c r="N578" t="s">
        <v>1915</v>
      </c>
      <c r="O578" t="s">
        <v>2144</v>
      </c>
      <c r="P578" t="s">
        <v>2145</v>
      </c>
      <c r="Q578" t="s">
        <v>1053</v>
      </c>
      <c r="R578" s="11">
        <v>46194</v>
      </c>
      <c r="T578" s="11">
        <v>46194</v>
      </c>
      <c r="V578" t="s">
        <v>132</v>
      </c>
      <c r="W578" t="s">
        <v>132</v>
      </c>
      <c r="X578" t="s">
        <v>114</v>
      </c>
      <c r="Y578" t="s">
        <v>114</v>
      </c>
      <c r="Z578" t="s">
        <v>132</v>
      </c>
      <c r="AA578" t="s">
        <v>132</v>
      </c>
      <c r="AB578" t="s">
        <v>132</v>
      </c>
      <c r="AC578" t="s">
        <v>1272</v>
      </c>
      <c r="AE578" t="s">
        <v>132</v>
      </c>
      <c r="AF578" t="s">
        <v>114</v>
      </c>
      <c r="AG578" t="s">
        <v>114</v>
      </c>
      <c r="AH578" t="s">
        <v>132</v>
      </c>
      <c r="AI578" t="s">
        <v>132</v>
      </c>
      <c r="AJ578" t="s">
        <v>132</v>
      </c>
      <c r="AK578" t="s">
        <v>114</v>
      </c>
      <c r="AM578" t="s">
        <v>132</v>
      </c>
      <c r="AN578" t="s">
        <v>114</v>
      </c>
      <c r="AP578" t="s">
        <v>132</v>
      </c>
      <c r="AQ578" t="s">
        <v>132</v>
      </c>
      <c r="AS578" s="11">
        <v>46205</v>
      </c>
      <c r="AU578" t="s">
        <v>114</v>
      </c>
      <c r="AV578" t="s">
        <v>115</v>
      </c>
      <c r="BB578" t="s">
        <v>114</v>
      </c>
      <c r="BC578" s="11">
        <v>46204</v>
      </c>
      <c r="BD578" t="s">
        <v>1958</v>
      </c>
      <c r="BF578" t="s">
        <v>1915</v>
      </c>
      <c r="BG578" t="s">
        <v>449</v>
      </c>
      <c r="BJ578" t="str">
        <f t="shared" si="113"/>
        <v/>
      </c>
      <c r="BK578" t="s">
        <v>137</v>
      </c>
      <c r="BL578" t="str">
        <f t="shared" si="111"/>
        <v>S27_2026</v>
      </c>
      <c r="BM578" t="s">
        <v>159</v>
      </c>
      <c r="BN578" s="11">
        <v>46209</v>
      </c>
      <c r="BO578" s="22" t="str">
        <f t="shared" si="119"/>
        <v>S28_2026</v>
      </c>
      <c r="BP578" t="s">
        <v>114</v>
      </c>
      <c r="BQ578" t="s">
        <v>971</v>
      </c>
      <c r="BR578" t="s">
        <v>451</v>
      </c>
      <c r="BS578" s="22" t="s">
        <v>132</v>
      </c>
      <c r="CI578" t="s">
        <v>119</v>
      </c>
      <c r="CP578" s="11">
        <v>46204</v>
      </c>
      <c r="CQ578" t="s">
        <v>132</v>
      </c>
      <c r="CW578" t="s">
        <v>132</v>
      </c>
      <c r="CX578" s="11">
        <v>46194</v>
      </c>
      <c r="CY578" t="str">
        <f t="shared" si="112"/>
        <v>S25_2026</v>
      </c>
      <c r="CZ578" t="s">
        <v>132</v>
      </c>
      <c r="DB578" t="s">
        <v>132</v>
      </c>
      <c r="DC578" t="s">
        <v>120</v>
      </c>
    </row>
    <row r="579" spans="1:107" x14ac:dyDescent="0.35">
      <c r="A579" s="22" t="s">
        <v>2146</v>
      </c>
      <c r="B579" s="23" t="str">
        <f t="shared" si="120"/>
        <v>S27_2026</v>
      </c>
      <c r="C579" s="10" t="str">
        <f t="shared" si="121"/>
        <v>S26_2026</v>
      </c>
      <c r="D579" s="11">
        <v>46206</v>
      </c>
      <c r="E579" t="s">
        <v>106</v>
      </c>
      <c r="F579" s="24">
        <v>55</v>
      </c>
      <c r="G579" t="s">
        <v>323</v>
      </c>
      <c r="H579" t="s">
        <v>108</v>
      </c>
      <c r="J579" t="s">
        <v>114</v>
      </c>
      <c r="K579" s="11">
        <v>46203</v>
      </c>
      <c r="L579" t="s">
        <v>253</v>
      </c>
      <c r="M579" t="s">
        <v>409</v>
      </c>
      <c r="N579" t="s">
        <v>2147</v>
      </c>
      <c r="O579" t="s">
        <v>411</v>
      </c>
      <c r="P579" t="s">
        <v>2148</v>
      </c>
      <c r="Q579" t="s">
        <v>2149</v>
      </c>
      <c r="R579" s="11">
        <v>46199</v>
      </c>
      <c r="S579" s="11">
        <v>46199</v>
      </c>
      <c r="T579" s="11">
        <v>46199</v>
      </c>
      <c r="V579" t="s">
        <v>114</v>
      </c>
      <c r="W579" t="s">
        <v>114</v>
      </c>
      <c r="X579" t="s">
        <v>114</v>
      </c>
      <c r="Y579" t="s">
        <v>114</v>
      </c>
      <c r="Z579" t="s">
        <v>114</v>
      </c>
      <c r="AA579" t="s">
        <v>114</v>
      </c>
      <c r="AB579" t="s">
        <v>114</v>
      </c>
      <c r="AE579" t="s">
        <v>114</v>
      </c>
      <c r="AF579" t="s">
        <v>132</v>
      </c>
      <c r="AG579" t="s">
        <v>132</v>
      </c>
      <c r="AH579" t="s">
        <v>132</v>
      </c>
      <c r="AI579" t="s">
        <v>132</v>
      </c>
      <c r="AJ579" t="s">
        <v>132</v>
      </c>
      <c r="AK579" t="s">
        <v>132</v>
      </c>
      <c r="AM579" t="s">
        <v>114</v>
      </c>
      <c r="AN579" t="s">
        <v>132</v>
      </c>
      <c r="AP579" t="s">
        <v>132</v>
      </c>
      <c r="AQ579" t="s">
        <v>132</v>
      </c>
      <c r="AR579" t="s">
        <v>2150</v>
      </c>
      <c r="AS579" s="11">
        <v>46206</v>
      </c>
      <c r="AU579" t="s">
        <v>114</v>
      </c>
      <c r="AV579" t="s">
        <v>115</v>
      </c>
      <c r="BB579" t="s">
        <v>114</v>
      </c>
      <c r="BC579" s="11">
        <v>46203</v>
      </c>
      <c r="BD579" t="s">
        <v>284</v>
      </c>
      <c r="BE579">
        <v>696562052</v>
      </c>
      <c r="BF579" t="s">
        <v>2151</v>
      </c>
      <c r="BG579" t="s">
        <v>449</v>
      </c>
      <c r="BJ579" t="str">
        <f t="shared" si="113"/>
        <v/>
      </c>
      <c r="BK579" t="s">
        <v>253</v>
      </c>
      <c r="BL579" t="str">
        <f t="shared" si="111"/>
        <v>S27_2026</v>
      </c>
      <c r="BM579" t="s">
        <v>159</v>
      </c>
      <c r="BN579" s="11">
        <v>46210</v>
      </c>
      <c r="BO579" s="22" t="str">
        <f t="shared" si="119"/>
        <v>S28_2026</v>
      </c>
      <c r="BP579" t="s">
        <v>114</v>
      </c>
      <c r="BQ579" t="s">
        <v>450</v>
      </c>
      <c r="BR579" t="s">
        <v>451</v>
      </c>
      <c r="BS579" s="22" t="s">
        <v>132</v>
      </c>
      <c r="CI579" t="s">
        <v>119</v>
      </c>
      <c r="CP579" s="11">
        <v>46203</v>
      </c>
      <c r="CQ579" t="s">
        <v>132</v>
      </c>
      <c r="CW579" t="s">
        <v>132</v>
      </c>
      <c r="CX579" s="11">
        <v>46199</v>
      </c>
      <c r="CY579" t="str">
        <f t="shared" si="112"/>
        <v>S26_2026</v>
      </c>
      <c r="CZ579" t="s">
        <v>132</v>
      </c>
      <c r="DB579" t="s">
        <v>132</v>
      </c>
      <c r="DC579" t="s">
        <v>120</v>
      </c>
    </row>
    <row r="580" spans="1:107" x14ac:dyDescent="0.35">
      <c r="A580" t="s">
        <v>2152</v>
      </c>
      <c r="B580" s="23" t="str">
        <f t="shared" si="120"/>
        <v>S28_2026</v>
      </c>
      <c r="C580" s="10" t="str">
        <f t="shared" si="121"/>
        <v>S26_2026</v>
      </c>
      <c r="D580" s="11">
        <v>46209</v>
      </c>
      <c r="E580" t="s">
        <v>106</v>
      </c>
      <c r="F580" s="24">
        <v>8</v>
      </c>
      <c r="G580" t="s">
        <v>107</v>
      </c>
      <c r="H580" t="s">
        <v>108</v>
      </c>
      <c r="J580" t="s">
        <v>132</v>
      </c>
      <c r="L580" t="s">
        <v>170</v>
      </c>
      <c r="M580" t="s">
        <v>2153</v>
      </c>
      <c r="N580" t="s">
        <v>2154</v>
      </c>
      <c r="O580" t="s">
        <v>184</v>
      </c>
      <c r="P580" t="s">
        <v>2155</v>
      </c>
      <c r="Q580" t="s">
        <v>2153</v>
      </c>
      <c r="R580" s="11">
        <v>46196</v>
      </c>
      <c r="S580" s="11"/>
      <c r="T580" s="11">
        <v>46196</v>
      </c>
      <c r="V580" t="s">
        <v>132</v>
      </c>
      <c r="W580" t="s">
        <v>132</v>
      </c>
      <c r="X580" t="s">
        <v>132</v>
      </c>
      <c r="Y580" t="s">
        <v>132</v>
      </c>
      <c r="Z580" t="s">
        <v>132</v>
      </c>
      <c r="AA580" t="s">
        <v>132</v>
      </c>
      <c r="AB580" t="s">
        <v>114</v>
      </c>
      <c r="AC580" t="s">
        <v>1115</v>
      </c>
      <c r="AE580" t="s">
        <v>132</v>
      </c>
      <c r="AF580" t="s">
        <v>132</v>
      </c>
      <c r="AG580" t="s">
        <v>132</v>
      </c>
      <c r="AH580" t="s">
        <v>132</v>
      </c>
      <c r="AI580" t="s">
        <v>132</v>
      </c>
      <c r="AJ580" t="s">
        <v>132</v>
      </c>
      <c r="AK580" t="s">
        <v>114</v>
      </c>
      <c r="AM580" t="s">
        <v>132</v>
      </c>
      <c r="AN580" t="s">
        <v>132</v>
      </c>
      <c r="AP580" t="s">
        <v>132</v>
      </c>
      <c r="AQ580" t="s">
        <v>132</v>
      </c>
      <c r="AR580" t="s">
        <v>2156</v>
      </c>
      <c r="AS580" s="11">
        <v>46206</v>
      </c>
      <c r="AU580" t="s">
        <v>114</v>
      </c>
      <c r="AV580" t="s">
        <v>115</v>
      </c>
      <c r="BB580" t="s">
        <v>114</v>
      </c>
      <c r="BC580" s="11">
        <v>46199</v>
      </c>
      <c r="BD580" t="s">
        <v>169</v>
      </c>
      <c r="BE580">
        <v>677554853</v>
      </c>
      <c r="BF580" t="s">
        <v>2154</v>
      </c>
      <c r="BG580" t="s">
        <v>132</v>
      </c>
      <c r="BJ580" t="str">
        <f t="shared" si="113"/>
        <v/>
      </c>
      <c r="BK580" t="s">
        <v>170</v>
      </c>
      <c r="BL580" t="str">
        <f t="shared" si="111"/>
        <v>S26_2026</v>
      </c>
      <c r="BM580" t="s">
        <v>159</v>
      </c>
      <c r="BN580" s="11">
        <v>46209</v>
      </c>
      <c r="BO580" s="22" t="str">
        <f t="shared" si="119"/>
        <v>S28_2026</v>
      </c>
      <c r="BP580" t="s">
        <v>114</v>
      </c>
      <c r="BQ580" t="s">
        <v>118</v>
      </c>
      <c r="BR580" t="s">
        <v>451</v>
      </c>
      <c r="BS580" s="22" t="s">
        <v>132</v>
      </c>
      <c r="CI580" t="s">
        <v>119</v>
      </c>
      <c r="CP580" s="11">
        <v>46199</v>
      </c>
      <c r="CQ580" t="s">
        <v>132</v>
      </c>
      <c r="CW580" t="s">
        <v>132</v>
      </c>
      <c r="CX580" s="11">
        <v>46196</v>
      </c>
      <c r="CY580" t="str">
        <f t="shared" si="112"/>
        <v>S26_2026</v>
      </c>
      <c r="CZ580" t="s">
        <v>132</v>
      </c>
      <c r="DB580" t="s">
        <v>114</v>
      </c>
      <c r="DC580" t="s">
        <v>160</v>
      </c>
    </row>
    <row r="581" spans="1:107" x14ac:dyDescent="0.35">
      <c r="A581" t="s">
        <v>2157</v>
      </c>
      <c r="B581" s="23" t="str">
        <f t="shared" si="120"/>
        <v>S28_2026</v>
      </c>
      <c r="C581" s="10" t="str">
        <f t="shared" si="121"/>
        <v>S26_2026</v>
      </c>
      <c r="D581" s="11">
        <v>46209</v>
      </c>
      <c r="E581" t="s">
        <v>123</v>
      </c>
      <c r="F581" s="24">
        <v>5</v>
      </c>
      <c r="G581" t="s">
        <v>107</v>
      </c>
      <c r="H581" t="s">
        <v>108</v>
      </c>
      <c r="J581" t="s">
        <v>132</v>
      </c>
      <c r="L581" t="s">
        <v>170</v>
      </c>
      <c r="M581" t="s">
        <v>2153</v>
      </c>
      <c r="N581" t="s">
        <v>2154</v>
      </c>
      <c r="O581" t="s">
        <v>184</v>
      </c>
      <c r="P581" t="s">
        <v>2155</v>
      </c>
      <c r="Q581" t="s">
        <v>2153</v>
      </c>
      <c r="R581" s="11">
        <v>46197</v>
      </c>
      <c r="S581" s="11"/>
      <c r="T581" s="11">
        <v>46197</v>
      </c>
      <c r="V581" t="s">
        <v>132</v>
      </c>
      <c r="W581" t="s">
        <v>132</v>
      </c>
      <c r="X581" t="s">
        <v>132</v>
      </c>
      <c r="Y581" t="s">
        <v>132</v>
      </c>
      <c r="Z581" t="s">
        <v>132</v>
      </c>
      <c r="AA581" t="s">
        <v>132</v>
      </c>
      <c r="AB581" t="s">
        <v>114</v>
      </c>
      <c r="AC581" t="s">
        <v>1147</v>
      </c>
      <c r="AE581" t="s">
        <v>132</v>
      </c>
      <c r="AF581" t="s">
        <v>132</v>
      </c>
      <c r="AG581" t="s">
        <v>132</v>
      </c>
      <c r="AH581" t="s">
        <v>132</v>
      </c>
      <c r="AI581" t="s">
        <v>132</v>
      </c>
      <c r="AJ581" t="s">
        <v>132</v>
      </c>
      <c r="AK581" t="s">
        <v>114</v>
      </c>
      <c r="AM581" t="s">
        <v>132</v>
      </c>
      <c r="AN581" t="s">
        <v>132</v>
      </c>
      <c r="AP581" t="s">
        <v>132</v>
      </c>
      <c r="AQ581" t="s">
        <v>132</v>
      </c>
      <c r="AR581" t="s">
        <v>2158</v>
      </c>
      <c r="AS581" s="11">
        <v>46206</v>
      </c>
      <c r="AU581" t="s">
        <v>114</v>
      </c>
      <c r="AV581" t="s">
        <v>115</v>
      </c>
      <c r="BB581" t="s">
        <v>114</v>
      </c>
      <c r="BC581" s="11">
        <v>46199</v>
      </c>
      <c r="BD581" t="s">
        <v>169</v>
      </c>
      <c r="BE581">
        <v>677554853</v>
      </c>
      <c r="BF581" t="s">
        <v>2154</v>
      </c>
      <c r="BG581" t="s">
        <v>132</v>
      </c>
      <c r="BJ581" t="str">
        <f t="shared" si="113"/>
        <v/>
      </c>
      <c r="BK581" t="s">
        <v>170</v>
      </c>
      <c r="BL581" t="str">
        <f t="shared" si="111"/>
        <v>S26_2026</v>
      </c>
      <c r="BM581" t="s">
        <v>159</v>
      </c>
      <c r="BN581" s="11">
        <v>46209</v>
      </c>
      <c r="BO581" s="22" t="str">
        <f t="shared" si="119"/>
        <v>S28_2026</v>
      </c>
      <c r="BP581" t="s">
        <v>114</v>
      </c>
      <c r="BQ581" t="s">
        <v>118</v>
      </c>
      <c r="BR581" t="s">
        <v>451</v>
      </c>
      <c r="BS581" s="22" t="s">
        <v>132</v>
      </c>
      <c r="CI581" t="s">
        <v>119</v>
      </c>
      <c r="CP581" s="11">
        <v>46199</v>
      </c>
      <c r="CQ581" t="s">
        <v>132</v>
      </c>
      <c r="CW581" t="s">
        <v>132</v>
      </c>
      <c r="CX581" s="11">
        <v>46197</v>
      </c>
      <c r="CY581" t="str">
        <f t="shared" si="112"/>
        <v>S26_2026</v>
      </c>
      <c r="CZ581" t="s">
        <v>132</v>
      </c>
      <c r="DB581" t="s">
        <v>114</v>
      </c>
      <c r="DC581" t="s">
        <v>160</v>
      </c>
    </row>
    <row r="582" spans="1:107" x14ac:dyDescent="0.35">
      <c r="A582" t="s">
        <v>2159</v>
      </c>
      <c r="B582" s="23" t="str">
        <f t="shared" si="120"/>
        <v>S28_2026</v>
      </c>
      <c r="C582" s="10" t="str">
        <f t="shared" si="121"/>
        <v>S27_2026</v>
      </c>
      <c r="D582" s="11">
        <v>46210</v>
      </c>
      <c r="E582" t="s">
        <v>123</v>
      </c>
      <c r="F582" s="24">
        <v>38</v>
      </c>
      <c r="G582" t="s">
        <v>1485</v>
      </c>
      <c r="H582" t="s">
        <v>108</v>
      </c>
      <c r="J582" t="s">
        <v>132</v>
      </c>
      <c r="L582" t="s">
        <v>793</v>
      </c>
      <c r="M582" t="s">
        <v>1642</v>
      </c>
      <c r="N582" t="s">
        <v>1907</v>
      </c>
      <c r="O582" t="s">
        <v>2160</v>
      </c>
      <c r="P582" t="s">
        <v>2161</v>
      </c>
      <c r="Q582" t="s">
        <v>1642</v>
      </c>
      <c r="R582" s="11">
        <v>46203</v>
      </c>
      <c r="S582" s="11">
        <v>46203</v>
      </c>
      <c r="T582" s="11">
        <v>46203</v>
      </c>
      <c r="V582" t="s">
        <v>132</v>
      </c>
      <c r="W582" t="s">
        <v>132</v>
      </c>
      <c r="X582" t="s">
        <v>132</v>
      </c>
      <c r="Y582" t="s">
        <v>132</v>
      </c>
      <c r="Z582" t="s">
        <v>132</v>
      </c>
      <c r="AA582" t="s">
        <v>132</v>
      </c>
      <c r="AB582" t="s">
        <v>132</v>
      </c>
      <c r="AC582" t="s">
        <v>935</v>
      </c>
      <c r="AE582" t="s">
        <v>114</v>
      </c>
      <c r="AF582" t="s">
        <v>132</v>
      </c>
      <c r="AG582" t="s">
        <v>114</v>
      </c>
      <c r="AH582" t="s">
        <v>132</v>
      </c>
      <c r="AI582" t="s">
        <v>132</v>
      </c>
      <c r="AJ582" t="s">
        <v>132</v>
      </c>
      <c r="AK582" t="s">
        <v>132</v>
      </c>
      <c r="AM582" t="s">
        <v>132</v>
      </c>
      <c r="AN582" t="s">
        <v>114</v>
      </c>
      <c r="AP582" t="s">
        <v>132</v>
      </c>
      <c r="AQ582" t="s">
        <v>142</v>
      </c>
      <c r="AR582" t="s">
        <v>2162</v>
      </c>
      <c r="AS582" s="11">
        <v>46211</v>
      </c>
      <c r="AU582" t="s">
        <v>114</v>
      </c>
      <c r="AV582" t="s">
        <v>115</v>
      </c>
      <c r="BB582" t="s">
        <v>114</v>
      </c>
      <c r="BC582" s="11">
        <v>46209</v>
      </c>
      <c r="BD582" t="s">
        <v>116</v>
      </c>
      <c r="BE582">
        <v>650707429</v>
      </c>
      <c r="BF582" t="s">
        <v>1907</v>
      </c>
      <c r="BG582" t="s">
        <v>449</v>
      </c>
      <c r="BJ582" t="str">
        <f t="shared" si="113"/>
        <v/>
      </c>
      <c r="BK582" t="s">
        <v>793</v>
      </c>
      <c r="BL582" t="str">
        <f t="shared" si="111"/>
        <v>S28_2026</v>
      </c>
      <c r="BM582" t="s">
        <v>159</v>
      </c>
      <c r="BN582" s="11">
        <v>46216</v>
      </c>
      <c r="BO582" s="22" t="str">
        <f t="shared" si="119"/>
        <v>S29_2026</v>
      </c>
      <c r="BP582" t="s">
        <v>114</v>
      </c>
      <c r="BQ582" t="s">
        <v>450</v>
      </c>
      <c r="BR582" t="s">
        <v>451</v>
      </c>
      <c r="BS582" s="22" t="s">
        <v>132</v>
      </c>
      <c r="CI582" t="s">
        <v>119</v>
      </c>
      <c r="CP582" s="11">
        <v>46209</v>
      </c>
      <c r="CQ582" t="s">
        <v>132</v>
      </c>
      <c r="CW582" t="s">
        <v>132</v>
      </c>
      <c r="CX582" s="11">
        <v>46203</v>
      </c>
      <c r="CY582" t="str">
        <f t="shared" si="112"/>
        <v>S27_2026</v>
      </c>
      <c r="CZ582" t="s">
        <v>132</v>
      </c>
      <c r="DB582" t="s">
        <v>132</v>
      </c>
      <c r="DC582" t="s">
        <v>120</v>
      </c>
    </row>
    <row r="583" spans="1:107" x14ac:dyDescent="0.35">
      <c r="A583" s="36" t="s">
        <v>2163</v>
      </c>
      <c r="B583" s="23" t="str">
        <f t="shared" si="120"/>
        <v>S28_2026</v>
      </c>
      <c r="C583" s="10" t="str">
        <f t="shared" si="121"/>
        <v>S26_2026</v>
      </c>
      <c r="D583" s="11">
        <v>46211</v>
      </c>
      <c r="E583" t="s">
        <v>123</v>
      </c>
      <c r="F583" s="24">
        <v>20</v>
      </c>
      <c r="G583" t="s">
        <v>107</v>
      </c>
      <c r="H583" t="s">
        <v>108</v>
      </c>
      <c r="J583" t="s">
        <v>114</v>
      </c>
      <c r="K583" s="11">
        <v>46205</v>
      </c>
      <c r="L583" t="s">
        <v>111</v>
      </c>
      <c r="M583" t="s">
        <v>1771</v>
      </c>
      <c r="N583" t="s">
        <v>1771</v>
      </c>
      <c r="O583" t="s">
        <v>2164</v>
      </c>
      <c r="P583" t="s">
        <v>2165</v>
      </c>
      <c r="Q583" t="s">
        <v>1771</v>
      </c>
      <c r="R583" s="11">
        <v>46201</v>
      </c>
      <c r="S583" s="11">
        <v>46201</v>
      </c>
      <c r="T583" s="11">
        <v>46201</v>
      </c>
      <c r="V583" t="s">
        <v>114</v>
      </c>
      <c r="W583" t="s">
        <v>114</v>
      </c>
      <c r="X583" t="s">
        <v>114</v>
      </c>
      <c r="Y583" t="s">
        <v>114</v>
      </c>
      <c r="Z583" t="s">
        <v>114</v>
      </c>
      <c r="AA583" t="s">
        <v>114</v>
      </c>
      <c r="AB583" t="s">
        <v>114</v>
      </c>
      <c r="AE583" t="s">
        <v>114</v>
      </c>
      <c r="AF583" t="s">
        <v>132</v>
      </c>
      <c r="AG583" t="s">
        <v>114</v>
      </c>
      <c r="AH583" t="s">
        <v>132</v>
      </c>
      <c r="AI583" t="s">
        <v>132</v>
      </c>
      <c r="AJ583" t="s">
        <v>132</v>
      </c>
      <c r="AK583" t="s">
        <v>132</v>
      </c>
      <c r="AM583" t="s">
        <v>132</v>
      </c>
      <c r="AN583" t="s">
        <v>114</v>
      </c>
      <c r="AP583" t="s">
        <v>132</v>
      </c>
      <c r="AQ583" t="s">
        <v>132</v>
      </c>
      <c r="AR583" t="s">
        <v>2166</v>
      </c>
      <c r="AS583" s="11">
        <v>46211</v>
      </c>
      <c r="AU583" t="s">
        <v>114</v>
      </c>
      <c r="AV583" t="s">
        <v>115</v>
      </c>
      <c r="BB583" t="s">
        <v>114</v>
      </c>
      <c r="BC583" s="11">
        <v>46211</v>
      </c>
      <c r="BD583" t="s">
        <v>1712</v>
      </c>
      <c r="BE583">
        <v>670400942</v>
      </c>
      <c r="BF583" t="s">
        <v>1771</v>
      </c>
      <c r="BG583" t="s">
        <v>449</v>
      </c>
      <c r="BJ583" t="str">
        <f t="shared" si="113"/>
        <v/>
      </c>
      <c r="BK583" t="s">
        <v>117</v>
      </c>
      <c r="BL583" t="str">
        <f t="shared" si="111"/>
        <v>S28_2026</v>
      </c>
      <c r="BM583" t="s">
        <v>159</v>
      </c>
      <c r="BN583" s="11">
        <v>46216</v>
      </c>
      <c r="BO583" s="22" t="str">
        <f t="shared" si="119"/>
        <v>S29_2026</v>
      </c>
      <c r="BP583" t="s">
        <v>114</v>
      </c>
      <c r="BQ583" t="s">
        <v>450</v>
      </c>
      <c r="BR583" t="s">
        <v>451</v>
      </c>
      <c r="BS583" s="22" t="s">
        <v>132</v>
      </c>
      <c r="CI583" t="s">
        <v>119</v>
      </c>
      <c r="CP583" s="11">
        <v>46206</v>
      </c>
      <c r="CQ583" t="s">
        <v>132</v>
      </c>
      <c r="CW583" t="s">
        <v>132</v>
      </c>
      <c r="CX583" s="11">
        <v>46201</v>
      </c>
      <c r="CY583" t="str">
        <f t="shared" si="112"/>
        <v>S26_2026</v>
      </c>
      <c r="CZ583" t="s">
        <v>132</v>
      </c>
      <c r="DB583" t="s">
        <v>132</v>
      </c>
      <c r="DC583" t="s">
        <v>120</v>
      </c>
    </row>
    <row r="584" spans="1:107" x14ac:dyDescent="0.35">
      <c r="A584" t="s">
        <v>2167</v>
      </c>
      <c r="B584" s="23" t="str">
        <f t="shared" si="120"/>
        <v>S28_2026</v>
      </c>
      <c r="C584" s="10" t="str">
        <f t="shared" si="121"/>
        <v>S27_2026</v>
      </c>
      <c r="D584" s="11">
        <v>46211</v>
      </c>
      <c r="E584" t="s">
        <v>123</v>
      </c>
      <c r="F584" s="24">
        <v>4</v>
      </c>
      <c r="G584" t="s">
        <v>107</v>
      </c>
      <c r="H584" t="s">
        <v>108</v>
      </c>
      <c r="J584" t="s">
        <v>114</v>
      </c>
      <c r="K584" s="11">
        <v>46209</v>
      </c>
      <c r="L584" t="s">
        <v>793</v>
      </c>
      <c r="M584" t="s">
        <v>805</v>
      </c>
      <c r="N584" t="s">
        <v>2168</v>
      </c>
      <c r="O584" t="s">
        <v>2169</v>
      </c>
      <c r="P584" t="s">
        <v>1634</v>
      </c>
      <c r="Q584" t="s">
        <v>1634</v>
      </c>
      <c r="R584" s="11">
        <v>46206</v>
      </c>
      <c r="S584" s="11">
        <v>46206</v>
      </c>
      <c r="T584" s="11">
        <v>46206</v>
      </c>
      <c r="V584" t="s">
        <v>132</v>
      </c>
      <c r="W584" t="s">
        <v>132</v>
      </c>
      <c r="X584" t="s">
        <v>132</v>
      </c>
      <c r="Y584" t="s">
        <v>132</v>
      </c>
      <c r="Z584" t="s">
        <v>132</v>
      </c>
      <c r="AA584" t="s">
        <v>132</v>
      </c>
      <c r="AB584" t="s">
        <v>114</v>
      </c>
      <c r="AE584" t="s">
        <v>114</v>
      </c>
      <c r="AF584" t="s">
        <v>132</v>
      </c>
      <c r="AG584" t="s">
        <v>132</v>
      </c>
      <c r="AH584" t="s">
        <v>132</v>
      </c>
      <c r="AI584" t="s">
        <v>132</v>
      </c>
      <c r="AQ584" t="s">
        <v>132</v>
      </c>
      <c r="AR584" t="s">
        <v>2170</v>
      </c>
      <c r="AS584" s="11">
        <v>46211</v>
      </c>
      <c r="AU584" t="s">
        <v>114</v>
      </c>
      <c r="AV584" t="s">
        <v>115</v>
      </c>
      <c r="BB584" t="s">
        <v>114</v>
      </c>
      <c r="BC584" s="11">
        <v>46209</v>
      </c>
      <c r="BD584" t="s">
        <v>116</v>
      </c>
      <c r="BE584">
        <v>696199818</v>
      </c>
      <c r="BF584" t="s">
        <v>1639</v>
      </c>
      <c r="BG584" t="s">
        <v>449</v>
      </c>
      <c r="BJ584" t="str">
        <f t="shared" si="113"/>
        <v/>
      </c>
      <c r="BK584" t="s">
        <v>793</v>
      </c>
      <c r="BL584" t="str">
        <f t="shared" si="111"/>
        <v>S28_2026</v>
      </c>
      <c r="BM584" t="s">
        <v>159</v>
      </c>
      <c r="BN584" s="11">
        <v>46216</v>
      </c>
      <c r="BO584" s="22" t="str">
        <f t="shared" si="119"/>
        <v>S29_2026</v>
      </c>
      <c r="BP584" t="s">
        <v>114</v>
      </c>
      <c r="BQ584" t="s">
        <v>450</v>
      </c>
      <c r="BR584" t="s">
        <v>451</v>
      </c>
      <c r="BS584" s="22" t="s">
        <v>132</v>
      </c>
      <c r="CI584" t="s">
        <v>119</v>
      </c>
      <c r="CP584" s="11">
        <v>46209</v>
      </c>
      <c r="CQ584" t="s">
        <v>132</v>
      </c>
      <c r="CW584" t="s">
        <v>132</v>
      </c>
      <c r="CX584" s="11">
        <v>46206</v>
      </c>
      <c r="CY584" t="str">
        <f t="shared" si="112"/>
        <v>S27_2026</v>
      </c>
      <c r="CZ584" t="s">
        <v>132</v>
      </c>
      <c r="DB584" t="s">
        <v>132</v>
      </c>
      <c r="DC584" t="s">
        <v>120</v>
      </c>
    </row>
    <row r="585" spans="1:107" x14ac:dyDescent="0.35">
      <c r="A585" s="22" t="s">
        <v>2171</v>
      </c>
      <c r="B585" s="23" t="str">
        <f t="shared" ref="B585:B590" si="122">IFERROR("S"&amp;(IF(_xlfn.ISOWEEKNUM(D585)&gt;0,_xlfn.ISOWEEKNUM(D585),_xlfn.CONCAT("0",_xlfn.ISOWEEKNUM(D585))))&amp;"_"&amp;(YEAR(D585+26-(_xlfn.ISOWEEKNUM(D585)))),"")</f>
        <v>S28_2026</v>
      </c>
      <c r="C585" s="10" t="str">
        <f t="shared" si="121"/>
        <v>S24_2026</v>
      </c>
      <c r="D585" s="11">
        <v>46210</v>
      </c>
      <c r="E585" t="s">
        <v>123</v>
      </c>
      <c r="F585" s="24">
        <v>40</v>
      </c>
      <c r="G585" t="s">
        <v>2172</v>
      </c>
      <c r="H585" t="s">
        <v>108</v>
      </c>
      <c r="J585" t="s">
        <v>132</v>
      </c>
      <c r="L585" t="s">
        <v>126</v>
      </c>
      <c r="M585" t="s">
        <v>1084</v>
      </c>
      <c r="N585" t="s">
        <v>2173</v>
      </c>
      <c r="O585" t="s">
        <v>2174</v>
      </c>
      <c r="P585" t="s">
        <v>2175</v>
      </c>
      <c r="Q585" t="s">
        <v>541</v>
      </c>
      <c r="R585" s="11">
        <v>46181</v>
      </c>
      <c r="S585" s="11">
        <v>46204</v>
      </c>
      <c r="T585" s="11">
        <v>46206</v>
      </c>
      <c r="U585">
        <v>50</v>
      </c>
      <c r="V585" t="s">
        <v>114</v>
      </c>
      <c r="W585" t="s">
        <v>114</v>
      </c>
      <c r="X585" t="s">
        <v>114</v>
      </c>
      <c r="Y585" t="s">
        <v>114</v>
      </c>
      <c r="Z585" t="s">
        <v>114</v>
      </c>
      <c r="AA585" t="s">
        <v>114</v>
      </c>
      <c r="AB585" t="s">
        <v>114</v>
      </c>
      <c r="AC585" t="s">
        <v>1238</v>
      </c>
      <c r="AD585">
        <v>100</v>
      </c>
      <c r="AE585" t="s">
        <v>114</v>
      </c>
      <c r="AF585" t="s">
        <v>114</v>
      </c>
      <c r="AG585" t="s">
        <v>114</v>
      </c>
      <c r="AH585" t="s">
        <v>132</v>
      </c>
      <c r="AI585" t="s">
        <v>132</v>
      </c>
      <c r="AJ585" t="s">
        <v>132</v>
      </c>
      <c r="AK585" t="s">
        <v>132</v>
      </c>
      <c r="AM585" t="s">
        <v>132</v>
      </c>
      <c r="AN585" t="s">
        <v>114</v>
      </c>
      <c r="AP585" t="s">
        <v>132</v>
      </c>
      <c r="AQ585" t="s">
        <v>132</v>
      </c>
      <c r="AU585" t="s">
        <v>114</v>
      </c>
      <c r="AV585" t="s">
        <v>134</v>
      </c>
      <c r="AW585" t="s">
        <v>152</v>
      </c>
      <c r="AY585" t="s">
        <v>135</v>
      </c>
      <c r="BB585" t="s">
        <v>114</v>
      </c>
      <c r="BC585" s="11">
        <v>46210</v>
      </c>
      <c r="BD585" t="s">
        <v>1958</v>
      </c>
      <c r="BF585" t="s">
        <v>2173</v>
      </c>
      <c r="BG585" t="s">
        <v>449</v>
      </c>
      <c r="BI585" s="11">
        <v>46216</v>
      </c>
      <c r="BJ585" t="str">
        <f t="shared" si="113"/>
        <v>S29_2026</v>
      </c>
      <c r="BK585" t="s">
        <v>137</v>
      </c>
      <c r="BL585" t="str">
        <f t="shared" si="111"/>
        <v>S28_2026</v>
      </c>
      <c r="BM585" t="s">
        <v>159</v>
      </c>
      <c r="BN585" s="11">
        <v>46216</v>
      </c>
      <c r="BO585" s="22" t="str">
        <f t="shared" si="119"/>
        <v>S29_2026</v>
      </c>
      <c r="BP585" t="s">
        <v>114</v>
      </c>
      <c r="BQ585" t="s">
        <v>971</v>
      </c>
      <c r="BR585" t="s">
        <v>451</v>
      </c>
      <c r="BS585" s="22" t="s">
        <v>132</v>
      </c>
      <c r="CI585" t="s">
        <v>119</v>
      </c>
      <c r="CK585" t="s">
        <v>138</v>
      </c>
      <c r="CP585" s="11">
        <v>46210</v>
      </c>
      <c r="CQ585" t="s">
        <v>132</v>
      </c>
      <c r="CW585" t="s">
        <v>132</v>
      </c>
      <c r="CX585" s="11">
        <v>46181</v>
      </c>
      <c r="CY585" t="str">
        <f t="shared" si="112"/>
        <v>S24_2026</v>
      </c>
      <c r="CZ585" t="s">
        <v>132</v>
      </c>
      <c r="DB585" t="s">
        <v>132</v>
      </c>
      <c r="DC585" t="s">
        <v>139</v>
      </c>
    </row>
    <row r="586" spans="1:107" x14ac:dyDescent="0.35">
      <c r="A586" t="s">
        <v>2176</v>
      </c>
      <c r="B586" s="23" t="str">
        <f t="shared" si="122"/>
        <v>S28_2026</v>
      </c>
      <c r="C586" s="10" t="str">
        <f>IFERROR("S"&amp;(IF(_xlfn.ISOWEEKNUM(R586)&gt;0,_xlfn.ISOWEEKNUM(R586),_xlfn.CONCAT("0",_xlfn.ISOWEEKNUM(R586))))&amp;"_"&amp;(YEAR(R586+26-(_xlfn.ISOWEEKNUM(R586)))),"")</f>
        <v>S26_2026</v>
      </c>
      <c r="D586" s="57">
        <v>46212</v>
      </c>
      <c r="E586" t="s">
        <v>123</v>
      </c>
      <c r="F586" s="58">
        <v>13</v>
      </c>
      <c r="G586" t="s">
        <v>107</v>
      </c>
      <c r="H586" t="s">
        <v>835</v>
      </c>
      <c r="J586" t="s">
        <v>132</v>
      </c>
      <c r="L586" s="23" t="s">
        <v>2177</v>
      </c>
      <c r="M586" s="23" t="s">
        <v>2178</v>
      </c>
      <c r="N586" s="23" t="s">
        <v>2179</v>
      </c>
      <c r="O586" s="23" t="s">
        <v>2180</v>
      </c>
      <c r="Q586" s="23" t="s">
        <v>348</v>
      </c>
      <c r="R586" s="57">
        <v>46199</v>
      </c>
      <c r="S586" s="57">
        <v>46199</v>
      </c>
      <c r="T586" s="57">
        <v>46199</v>
      </c>
      <c r="V586" t="s">
        <v>132</v>
      </c>
      <c r="W586" t="s">
        <v>132</v>
      </c>
      <c r="X586" t="s">
        <v>114</v>
      </c>
      <c r="Y586" t="s">
        <v>114</v>
      </c>
      <c r="Z586" t="s">
        <v>132</v>
      </c>
      <c r="AA586" t="s">
        <v>132</v>
      </c>
      <c r="AB586" t="s">
        <v>132</v>
      </c>
      <c r="AC586" t="s">
        <v>114</v>
      </c>
      <c r="AE586" t="s">
        <v>132</v>
      </c>
      <c r="AF586" t="s">
        <v>132</v>
      </c>
      <c r="AG586" t="s">
        <v>132</v>
      </c>
      <c r="AH586" t="s">
        <v>132</v>
      </c>
      <c r="AI586" t="s">
        <v>132</v>
      </c>
      <c r="AJ586" t="s">
        <v>132</v>
      </c>
      <c r="AK586" t="s">
        <v>114</v>
      </c>
      <c r="AN586" t="s">
        <v>114</v>
      </c>
      <c r="AP586" t="s">
        <v>132</v>
      </c>
      <c r="AQ586" t="s">
        <v>114</v>
      </c>
      <c r="AS586" s="57">
        <v>46204</v>
      </c>
      <c r="AU586" t="s">
        <v>114</v>
      </c>
      <c r="AV586" t="s">
        <v>115</v>
      </c>
      <c r="BB586" t="s">
        <v>114</v>
      </c>
      <c r="BC586" s="57">
        <v>46204</v>
      </c>
      <c r="BD586" s="23" t="s">
        <v>2181</v>
      </c>
      <c r="BF586" s="23" t="s">
        <v>2182</v>
      </c>
      <c r="BG586" t="s">
        <v>449</v>
      </c>
      <c r="BJ586" t="str">
        <f t="shared" si="113"/>
        <v/>
      </c>
      <c r="BK586" t="s">
        <v>117</v>
      </c>
      <c r="BL586" t="str">
        <f t="shared" si="111"/>
        <v>S27_2026</v>
      </c>
      <c r="BM586" t="s">
        <v>159</v>
      </c>
      <c r="BN586" s="57">
        <v>46211</v>
      </c>
      <c r="BO586" s="22" t="str">
        <f t="shared" si="119"/>
        <v>S28_2026</v>
      </c>
      <c r="BP586" t="s">
        <v>114</v>
      </c>
      <c r="BQ586" t="s">
        <v>971</v>
      </c>
      <c r="BS586" s="22" t="s">
        <v>132</v>
      </c>
      <c r="CI586" t="s">
        <v>119</v>
      </c>
      <c r="CP586" s="57">
        <v>46204</v>
      </c>
      <c r="CQ586" t="s">
        <v>132</v>
      </c>
      <c r="CW586" t="s">
        <v>132</v>
      </c>
      <c r="CX586" s="57">
        <v>46199</v>
      </c>
      <c r="CY586" t="str">
        <f t="shared" si="112"/>
        <v>S26_2026</v>
      </c>
      <c r="CZ586" t="s">
        <v>132</v>
      </c>
      <c r="DB586" t="s">
        <v>132</v>
      </c>
      <c r="DC586" t="s">
        <v>120</v>
      </c>
    </row>
    <row r="587" spans="1:107" x14ac:dyDescent="0.35">
      <c r="A587" s="22" t="s">
        <v>2183</v>
      </c>
      <c r="B587" s="23" t="str">
        <f t="shared" si="122"/>
        <v>S28_2026</v>
      </c>
      <c r="C587" s="10" t="str">
        <f>IFERROR("S"&amp;(IF(_xlfn.ISOWEEKNUM(R587)&gt;0,_xlfn.ISOWEEKNUM(R587),_xlfn.CONCAT("0",_xlfn.ISOWEEKNUM(R587))))&amp;"_"&amp;(YEAR(R587+26-(_xlfn.ISOWEEKNUM(R587)))),"")</f>
        <v>S27_2026</v>
      </c>
      <c r="D587" s="57">
        <v>46212</v>
      </c>
      <c r="E587" t="s">
        <v>123</v>
      </c>
      <c r="F587" s="58">
        <v>0.91</v>
      </c>
      <c r="G587" t="s">
        <v>2184</v>
      </c>
      <c r="H587" t="s">
        <v>835</v>
      </c>
      <c r="L587" s="23" t="s">
        <v>2177</v>
      </c>
      <c r="M587" s="23" t="s">
        <v>2185</v>
      </c>
      <c r="N587" s="23" t="s">
        <v>2186</v>
      </c>
      <c r="O587" s="23" t="s">
        <v>2187</v>
      </c>
      <c r="P587" s="23" t="s">
        <v>2188</v>
      </c>
      <c r="Q587" s="23" t="s">
        <v>1203</v>
      </c>
      <c r="R587" s="57">
        <v>46206</v>
      </c>
      <c r="S587" s="57">
        <v>46206</v>
      </c>
      <c r="T587" s="57">
        <v>46206</v>
      </c>
      <c r="AP587" t="s">
        <v>132</v>
      </c>
      <c r="AQ587" t="s">
        <v>132</v>
      </c>
      <c r="AS587" s="57">
        <v>46210</v>
      </c>
      <c r="AU587" t="s">
        <v>114</v>
      </c>
      <c r="AV587" t="s">
        <v>115</v>
      </c>
      <c r="BB587" t="s">
        <v>114</v>
      </c>
      <c r="BC587" s="57">
        <v>46209</v>
      </c>
      <c r="BD587" s="23" t="s">
        <v>2189</v>
      </c>
      <c r="BF587" s="39" t="s">
        <v>1207</v>
      </c>
      <c r="BG587" t="s">
        <v>449</v>
      </c>
      <c r="BJ587" t="str">
        <f t="shared" si="113"/>
        <v/>
      </c>
      <c r="BK587" t="s">
        <v>137</v>
      </c>
      <c r="BL587" t="str">
        <f t="shared" si="111"/>
        <v>S28_2026</v>
      </c>
      <c r="BM587" t="s">
        <v>159</v>
      </c>
      <c r="BN587" s="57">
        <v>46211</v>
      </c>
      <c r="BO587" s="22" t="str">
        <f t="shared" si="119"/>
        <v>S28_2026</v>
      </c>
      <c r="BP587" t="s">
        <v>114</v>
      </c>
      <c r="BQ587" t="s">
        <v>971</v>
      </c>
      <c r="BS587" s="22" t="s">
        <v>132</v>
      </c>
      <c r="CI587" t="s">
        <v>119</v>
      </c>
      <c r="CP587" s="57">
        <v>46209</v>
      </c>
      <c r="CQ587" t="s">
        <v>132</v>
      </c>
      <c r="CW587" t="s">
        <v>132</v>
      </c>
      <c r="CX587" s="57">
        <v>46206</v>
      </c>
      <c r="CY587" t="str">
        <f t="shared" si="112"/>
        <v>S27_2026</v>
      </c>
      <c r="CZ587" t="s">
        <v>132</v>
      </c>
      <c r="DB587" t="s">
        <v>132</v>
      </c>
      <c r="DC587" t="s">
        <v>120</v>
      </c>
    </row>
    <row r="588" spans="1:107" x14ac:dyDescent="0.35">
      <c r="A588" t="s">
        <v>2190</v>
      </c>
      <c r="B588" s="23" t="str">
        <f t="shared" si="122"/>
        <v>S28_2026</v>
      </c>
      <c r="C588" s="10" t="str">
        <f>IFERROR("S"&amp;(IF(_xlfn.ISOWEEKNUM(R588)&gt;0,_xlfn.ISOWEEKNUM(R588),_xlfn.CONCAT("0",_xlfn.ISOWEEKNUM(R588))))&amp;"_"&amp;(YEAR(R588+26-(_xlfn.ISOWEEKNUM(R588)))),"")</f>
        <v>S18_2026</v>
      </c>
      <c r="D588" s="57">
        <v>46212</v>
      </c>
      <c r="E588" t="s">
        <v>106</v>
      </c>
      <c r="F588" s="58">
        <v>42</v>
      </c>
      <c r="H588" t="s">
        <v>835</v>
      </c>
      <c r="L588" s="23" t="s">
        <v>2177</v>
      </c>
      <c r="M588" s="23" t="s">
        <v>2191</v>
      </c>
      <c r="N588" s="23" t="s">
        <v>2191</v>
      </c>
      <c r="P588" s="23" t="s">
        <v>2192</v>
      </c>
      <c r="Q588" s="23" t="s">
        <v>146</v>
      </c>
      <c r="R588" s="57">
        <v>46143</v>
      </c>
      <c r="S588" s="57">
        <v>46143</v>
      </c>
      <c r="T588" s="57">
        <v>46143</v>
      </c>
      <c r="AS588" s="57">
        <v>46211</v>
      </c>
      <c r="AU588" t="s">
        <v>114</v>
      </c>
      <c r="AV588" t="s">
        <v>115</v>
      </c>
      <c r="BB588" t="s">
        <v>114</v>
      </c>
      <c r="BC588" s="57">
        <v>46211</v>
      </c>
      <c r="BD588" s="23" t="s">
        <v>2193</v>
      </c>
      <c r="BF588" s="23" t="s">
        <v>1816</v>
      </c>
      <c r="BG588" t="s">
        <v>449</v>
      </c>
      <c r="BJ588" t="str">
        <f t="shared" si="113"/>
        <v/>
      </c>
      <c r="BK588" t="s">
        <v>137</v>
      </c>
      <c r="BL588" t="str">
        <f t="shared" si="111"/>
        <v>S28_2026</v>
      </c>
      <c r="BM588" t="s">
        <v>159</v>
      </c>
      <c r="BN588" s="57">
        <v>46211</v>
      </c>
      <c r="BO588" s="22" t="str">
        <f t="shared" si="119"/>
        <v>S28_2026</v>
      </c>
      <c r="BP588" t="s">
        <v>114</v>
      </c>
      <c r="BQ588" t="s">
        <v>971</v>
      </c>
      <c r="BS588" s="22" t="s">
        <v>132</v>
      </c>
      <c r="CI588" t="s">
        <v>119</v>
      </c>
      <c r="CP588" s="57">
        <v>46211</v>
      </c>
      <c r="CQ588" t="s">
        <v>132</v>
      </c>
      <c r="CW588" t="s">
        <v>132</v>
      </c>
      <c r="CX588" s="57">
        <v>46143</v>
      </c>
      <c r="CY588" t="str">
        <f t="shared" si="112"/>
        <v>S18_2026</v>
      </c>
      <c r="CZ588" t="s">
        <v>132</v>
      </c>
      <c r="DB588" t="s">
        <v>132</v>
      </c>
      <c r="DC588" t="s">
        <v>120</v>
      </c>
    </row>
    <row r="589" spans="1:107" x14ac:dyDescent="0.35">
      <c r="A589" s="54" t="s">
        <v>2194</v>
      </c>
      <c r="B589" s="23" t="str">
        <f t="shared" si="122"/>
        <v>S28_2026</v>
      </c>
      <c r="C589" s="10" t="str">
        <f>IFERROR("S"&amp;(IF(_xlfn.ISOWEEKNUM(R589)&gt;0,_xlfn.ISOWEEKNUM(R589),_xlfn.CONCAT("0",_xlfn.ISOWEEKNUM(R589))))&amp;"_"&amp;(YEAR(R589+26-(_xlfn.ISOWEEKNUM(R589)))),"")</f>
        <v>S27_2026</v>
      </c>
      <c r="D589" s="57">
        <v>46212</v>
      </c>
      <c r="E589" t="s">
        <v>106</v>
      </c>
      <c r="F589" s="58">
        <v>54</v>
      </c>
      <c r="L589" s="23" t="s">
        <v>2177</v>
      </c>
      <c r="M589" s="23" t="s">
        <v>2195</v>
      </c>
      <c r="N589" s="23" t="s">
        <v>2196</v>
      </c>
      <c r="Q589" s="23" t="s">
        <v>292</v>
      </c>
      <c r="R589" s="57">
        <v>46203</v>
      </c>
      <c r="S589" s="57">
        <v>46203</v>
      </c>
      <c r="T589" s="57">
        <v>46203</v>
      </c>
      <c r="AS589" s="57">
        <v>46210</v>
      </c>
      <c r="AU589" t="s">
        <v>114</v>
      </c>
      <c r="AV589" t="s">
        <v>115</v>
      </c>
      <c r="BB589" t="s">
        <v>114</v>
      </c>
      <c r="BC589" s="57">
        <v>46210</v>
      </c>
      <c r="BD589" s="23" t="s">
        <v>2193</v>
      </c>
      <c r="BF589" s="23" t="s">
        <v>156</v>
      </c>
      <c r="BG589" t="s">
        <v>449</v>
      </c>
      <c r="BJ589" t="str">
        <f t="shared" si="113"/>
        <v/>
      </c>
      <c r="BK589" t="s">
        <v>137</v>
      </c>
      <c r="BL589" t="str">
        <f t="shared" si="111"/>
        <v>S28_2026</v>
      </c>
      <c r="BM589" t="s">
        <v>159</v>
      </c>
      <c r="BN589" s="57">
        <v>46211</v>
      </c>
      <c r="BO589" s="22" t="str">
        <f t="shared" si="119"/>
        <v>S28_2026</v>
      </c>
      <c r="BP589" t="s">
        <v>114</v>
      </c>
      <c r="BQ589" t="s">
        <v>971</v>
      </c>
      <c r="BS589" s="22" t="s">
        <v>132</v>
      </c>
      <c r="CI589" t="s">
        <v>119</v>
      </c>
      <c r="CP589" s="57">
        <v>46210</v>
      </c>
      <c r="CQ589" t="s">
        <v>132</v>
      </c>
      <c r="CW589" t="s">
        <v>132</v>
      </c>
      <c r="CX589" s="57">
        <v>46203</v>
      </c>
      <c r="CY589" t="str">
        <f t="shared" si="112"/>
        <v>S27_2026</v>
      </c>
      <c r="CZ589" t="s">
        <v>132</v>
      </c>
      <c r="DB589" t="s">
        <v>132</v>
      </c>
      <c r="DC589" t="s">
        <v>120</v>
      </c>
    </row>
    <row r="590" spans="1:107" x14ac:dyDescent="0.35">
      <c r="A590" t="s">
        <v>2197</v>
      </c>
      <c r="B590" s="23" t="str">
        <f t="shared" si="122"/>
        <v>S28_2026</v>
      </c>
      <c r="C590" s="10" t="str">
        <f>IFERROR("S"&amp;(IF(_xlfn.ISOWEEKNUM(R590)&gt;0,_xlfn.ISOWEEKNUM(R590),_xlfn.CONCAT("0",_xlfn.ISOWEEKNUM(R590))))&amp;"_"&amp;(YEAR(R590+26-(_xlfn.ISOWEEKNUM(R590)))),"")</f>
        <v>S23_2026</v>
      </c>
      <c r="D590" s="11">
        <v>46211</v>
      </c>
      <c r="E590" t="s">
        <v>123</v>
      </c>
      <c r="F590" s="58">
        <v>9</v>
      </c>
      <c r="G590" t="s">
        <v>107</v>
      </c>
      <c r="H590" t="s">
        <v>835</v>
      </c>
      <c r="J590" t="s">
        <v>132</v>
      </c>
      <c r="L590" s="23" t="s">
        <v>117</v>
      </c>
      <c r="M590" s="23" t="s">
        <v>800</v>
      </c>
      <c r="N590" s="23" t="s">
        <v>2198</v>
      </c>
      <c r="P590" s="23" t="s">
        <v>2199</v>
      </c>
      <c r="Q590" s="23" t="s">
        <v>800</v>
      </c>
      <c r="R590" s="11">
        <v>46180</v>
      </c>
      <c r="S590" s="11">
        <v>46180</v>
      </c>
      <c r="T590" s="11">
        <v>46180</v>
      </c>
      <c r="V590" t="s">
        <v>114</v>
      </c>
      <c r="W590" t="s">
        <v>114</v>
      </c>
      <c r="X590" t="s">
        <v>114</v>
      </c>
      <c r="Y590" t="s">
        <v>114</v>
      </c>
      <c r="Z590" t="s">
        <v>114</v>
      </c>
      <c r="AA590" t="s">
        <v>114</v>
      </c>
      <c r="AB590" t="s">
        <v>114</v>
      </c>
      <c r="AE590" t="s">
        <v>114</v>
      </c>
      <c r="AF590" t="s">
        <v>132</v>
      </c>
      <c r="AG590" t="s">
        <v>132</v>
      </c>
      <c r="AH590" t="s">
        <v>132</v>
      </c>
      <c r="AI590" t="s">
        <v>132</v>
      </c>
      <c r="AJ590" t="s">
        <v>132</v>
      </c>
      <c r="AK590" t="s">
        <v>132</v>
      </c>
      <c r="AM590" t="s">
        <v>132</v>
      </c>
      <c r="AN590" t="s">
        <v>132</v>
      </c>
      <c r="AP590" t="s">
        <v>132</v>
      </c>
      <c r="AQ590" t="s">
        <v>132</v>
      </c>
      <c r="BB590" t="s">
        <v>114</v>
      </c>
      <c r="BC590" s="11">
        <v>46211</v>
      </c>
      <c r="BD590" s="23" t="s">
        <v>512</v>
      </c>
      <c r="BE590">
        <v>690730148</v>
      </c>
      <c r="BF590" s="23" t="s">
        <v>2198</v>
      </c>
      <c r="BJ590" t="str">
        <f t="shared" si="113"/>
        <v/>
      </c>
      <c r="BK590" t="s">
        <v>117</v>
      </c>
      <c r="BL590" t="str">
        <f t="shared" si="111"/>
        <v>S28_2026</v>
      </c>
      <c r="BM590" t="s">
        <v>159</v>
      </c>
      <c r="BO590" s="22" t="str">
        <f t="shared" si="119"/>
        <v/>
      </c>
      <c r="BR590" t="s">
        <v>451</v>
      </c>
      <c r="BS590" s="22" t="s">
        <v>132</v>
      </c>
      <c r="CI590" t="s">
        <v>119</v>
      </c>
      <c r="CP590" s="11">
        <v>46211</v>
      </c>
      <c r="CX590" s="11">
        <v>46210</v>
      </c>
      <c r="CY590" t="str">
        <f t="shared" si="112"/>
        <v>S28_2026</v>
      </c>
      <c r="DC590" t="s">
        <v>1293</v>
      </c>
    </row>
    <row r="591" spans="1:107" x14ac:dyDescent="0.35">
      <c r="A591" t="s">
        <v>2200</v>
      </c>
      <c r="B591" s="23" t="str">
        <f t="shared" ref="B591:B596" si="123">IFERROR("S"&amp;(IF(_xlfn.ISOWEEKNUM(D591)&gt;0,_xlfn.ISOWEEKNUM(D591),_xlfn.CONCAT("0",_xlfn.ISOWEEKNUM(D591))))&amp;"_"&amp;(YEAR(D591+26-(_xlfn.ISOWEEKNUM(D591)))),"")</f>
        <v>S28_2026</v>
      </c>
      <c r="C591" s="10" t="str">
        <f t="shared" ref="C591:C603" si="124">IFERROR("S"&amp;(IF(_xlfn.ISOWEEKNUM(R591)&gt;0,_xlfn.ISOWEEKNUM(R591),_xlfn.CONCAT("0",_xlfn.ISOWEEKNUM(R591))))&amp;"_"&amp;(YEAR(R591+26-(_xlfn.ISOWEEKNUM(R591)))),"")</f>
        <v>S26_2026</v>
      </c>
      <c r="D591" s="11">
        <v>46212</v>
      </c>
      <c r="E591" t="s">
        <v>123</v>
      </c>
      <c r="F591" s="58">
        <v>35</v>
      </c>
      <c r="G591" t="s">
        <v>429</v>
      </c>
      <c r="H591" t="s">
        <v>835</v>
      </c>
      <c r="J591" t="s">
        <v>114</v>
      </c>
      <c r="K591" s="11">
        <v>46198</v>
      </c>
      <c r="L591" s="23" t="s">
        <v>187</v>
      </c>
      <c r="M591" s="23" t="s">
        <v>263</v>
      </c>
      <c r="N591" s="23" t="s">
        <v>2201</v>
      </c>
      <c r="O591" s="23" t="s">
        <v>2202</v>
      </c>
      <c r="P591" s="23" t="s">
        <v>2203</v>
      </c>
      <c r="Q591" s="23" t="s">
        <v>263</v>
      </c>
      <c r="R591" s="11">
        <v>46195</v>
      </c>
      <c r="S591" s="11">
        <v>46195</v>
      </c>
      <c r="T591" s="11">
        <v>46195</v>
      </c>
      <c r="V591" t="s">
        <v>114</v>
      </c>
      <c r="W591" t="s">
        <v>114</v>
      </c>
      <c r="X591" t="s">
        <v>114</v>
      </c>
      <c r="Y591" t="s">
        <v>114</v>
      </c>
      <c r="Z591" t="s">
        <v>114</v>
      </c>
      <c r="AA591" t="s">
        <v>114</v>
      </c>
      <c r="AB591" t="s">
        <v>114</v>
      </c>
      <c r="AE591" t="s">
        <v>114</v>
      </c>
      <c r="AF591" t="s">
        <v>132</v>
      </c>
      <c r="AG591" t="s">
        <v>132</v>
      </c>
      <c r="AH591" t="s">
        <v>132</v>
      </c>
      <c r="AI591" t="s">
        <v>132</v>
      </c>
      <c r="AJ591" t="s">
        <v>132</v>
      </c>
      <c r="AK591" t="s">
        <v>114</v>
      </c>
      <c r="AM591" t="s">
        <v>142</v>
      </c>
      <c r="AN591" t="s">
        <v>114</v>
      </c>
      <c r="AP591" t="s">
        <v>132</v>
      </c>
      <c r="AQ591" t="s">
        <v>142</v>
      </c>
      <c r="AR591" t="s">
        <v>2204</v>
      </c>
      <c r="AS591" s="11">
        <v>46207</v>
      </c>
      <c r="AU591" t="s">
        <v>114</v>
      </c>
      <c r="AV591" t="s">
        <v>134</v>
      </c>
      <c r="AW591" t="s">
        <v>152</v>
      </c>
      <c r="AY591" t="s">
        <v>452</v>
      </c>
      <c r="BB591" t="s">
        <v>114</v>
      </c>
      <c r="BC591" s="11">
        <v>46202</v>
      </c>
      <c r="BD591" s="23" t="s">
        <v>116</v>
      </c>
      <c r="BE591">
        <v>671499335</v>
      </c>
      <c r="BF591" s="23" t="s">
        <v>2205</v>
      </c>
      <c r="BG591" t="s">
        <v>449</v>
      </c>
      <c r="BI591" s="11">
        <v>46212</v>
      </c>
      <c r="BJ591" t="str">
        <f t="shared" si="113"/>
        <v>S28_2026</v>
      </c>
      <c r="BK591" t="s">
        <v>187</v>
      </c>
      <c r="BL591" t="str">
        <f t="shared" ref="BL591:BL654" si="125">IFERROR("S"&amp;(IF(_xlfn.ISOWEEKNUM(BC591)&gt;0,_xlfn.ISOWEEKNUM(BC591),_xlfn.CONCAT("0",_xlfn.ISOWEEKNUM(BC591))))&amp;"_"&amp;(YEAR(BC591+26-(_xlfn.ISOWEEKNUM(BC591)))),"")</f>
        <v>S27_2026</v>
      </c>
      <c r="BM591" t="s">
        <v>159</v>
      </c>
      <c r="BN591" s="11">
        <v>46212</v>
      </c>
      <c r="BO591" s="22" t="str">
        <f t="shared" si="119"/>
        <v>S28_2026</v>
      </c>
      <c r="BP591" t="s">
        <v>114</v>
      </c>
      <c r="BQ591" t="s">
        <v>450</v>
      </c>
      <c r="BR591" t="s">
        <v>451</v>
      </c>
      <c r="BS591" s="22" t="s">
        <v>132</v>
      </c>
      <c r="CI591" t="s">
        <v>119</v>
      </c>
      <c r="CK591" t="s">
        <v>138</v>
      </c>
      <c r="CP591" s="11">
        <v>46202</v>
      </c>
      <c r="CQ591" t="s">
        <v>132</v>
      </c>
      <c r="CW591" t="s">
        <v>132</v>
      </c>
      <c r="CX591" s="11">
        <v>46202</v>
      </c>
      <c r="CY591" t="str">
        <f t="shared" si="112"/>
        <v>S27_2026</v>
      </c>
      <c r="CZ591" t="s">
        <v>132</v>
      </c>
      <c r="DB591" t="s">
        <v>132</v>
      </c>
      <c r="DC591" t="s">
        <v>139</v>
      </c>
    </row>
    <row r="592" spans="1:107" x14ac:dyDescent="0.35">
      <c r="A592" s="44" t="s">
        <v>2206</v>
      </c>
      <c r="B592" s="23" t="str">
        <f t="shared" si="123"/>
        <v>S28_2026</v>
      </c>
      <c r="C592" s="10" t="str">
        <f t="shared" si="124"/>
        <v>S28_2026</v>
      </c>
      <c r="D592" s="11">
        <v>46213</v>
      </c>
      <c r="E592" t="s">
        <v>106</v>
      </c>
      <c r="F592" s="24">
        <v>24</v>
      </c>
      <c r="G592" t="s">
        <v>1197</v>
      </c>
      <c r="H592" t="s">
        <v>835</v>
      </c>
      <c r="J592" t="s">
        <v>114</v>
      </c>
      <c r="K592" s="11">
        <v>46212</v>
      </c>
      <c r="L592" t="s">
        <v>126</v>
      </c>
      <c r="M592" t="s">
        <v>1625</v>
      </c>
      <c r="N592" t="s">
        <v>1616</v>
      </c>
      <c r="O592" t="s">
        <v>1823</v>
      </c>
      <c r="P592" t="s">
        <v>1361</v>
      </c>
      <c r="Q592" t="s">
        <v>853</v>
      </c>
      <c r="R592" s="11">
        <v>46210</v>
      </c>
      <c r="S592" s="11">
        <v>46211</v>
      </c>
      <c r="T592" s="11">
        <v>46210</v>
      </c>
      <c r="V592" t="s">
        <v>114</v>
      </c>
      <c r="W592" t="s">
        <v>114</v>
      </c>
      <c r="X592" t="s">
        <v>114</v>
      </c>
      <c r="Y592" t="s">
        <v>114</v>
      </c>
      <c r="Z592" t="s">
        <v>114</v>
      </c>
      <c r="AA592" t="s">
        <v>114</v>
      </c>
      <c r="AB592" t="s">
        <v>114</v>
      </c>
      <c r="AC592" t="s">
        <v>132</v>
      </c>
      <c r="AE592" t="s">
        <v>114</v>
      </c>
      <c r="AF592" t="s">
        <v>114</v>
      </c>
      <c r="AG592" t="s">
        <v>132</v>
      </c>
      <c r="AH592" t="s">
        <v>132</v>
      </c>
      <c r="AI592" t="s">
        <v>132</v>
      </c>
      <c r="AJ592" t="s">
        <v>132</v>
      </c>
      <c r="AM592" t="s">
        <v>132</v>
      </c>
      <c r="AN592" t="s">
        <v>114</v>
      </c>
      <c r="AP592" t="s">
        <v>132</v>
      </c>
      <c r="AQ592" t="s">
        <v>132</v>
      </c>
      <c r="AU592" t="s">
        <v>114</v>
      </c>
      <c r="AV592" t="s">
        <v>134</v>
      </c>
      <c r="AW592" t="s">
        <v>152</v>
      </c>
      <c r="AY592" t="s">
        <v>135</v>
      </c>
      <c r="BB592" t="s">
        <v>114</v>
      </c>
      <c r="BC592" s="11">
        <v>46212</v>
      </c>
      <c r="BD592" t="s">
        <v>2207</v>
      </c>
      <c r="BF592" t="s">
        <v>1361</v>
      </c>
      <c r="BG592" t="s">
        <v>449</v>
      </c>
      <c r="BI592" s="11">
        <v>46215</v>
      </c>
      <c r="BJ592" t="str">
        <f t="shared" si="113"/>
        <v>S28_2026</v>
      </c>
      <c r="BK592" t="s">
        <v>137</v>
      </c>
      <c r="BL592" t="str">
        <f t="shared" si="125"/>
        <v>S28_2026</v>
      </c>
      <c r="BM592" t="s">
        <v>159</v>
      </c>
      <c r="BN592" s="11">
        <v>46215</v>
      </c>
      <c r="BO592" s="22" t="str">
        <f t="shared" si="119"/>
        <v>S28_2026</v>
      </c>
      <c r="BP592" t="s">
        <v>114</v>
      </c>
      <c r="BQ592" t="s">
        <v>971</v>
      </c>
      <c r="BR592" t="s">
        <v>451</v>
      </c>
      <c r="BS592" s="22" t="s">
        <v>132</v>
      </c>
      <c r="CI592" t="s">
        <v>119</v>
      </c>
      <c r="CK592" t="s">
        <v>138</v>
      </c>
      <c r="CP592" s="11">
        <v>46212</v>
      </c>
      <c r="CQ592" t="s">
        <v>132</v>
      </c>
      <c r="CW592" t="s">
        <v>132</v>
      </c>
      <c r="CX592" s="11">
        <v>46210</v>
      </c>
      <c r="CY592" t="str">
        <f t="shared" si="112"/>
        <v>S28_2026</v>
      </c>
      <c r="CZ592" t="s">
        <v>132</v>
      </c>
      <c r="DB592" t="s">
        <v>132</v>
      </c>
      <c r="DC592" t="s">
        <v>139</v>
      </c>
    </row>
    <row r="593" spans="1:107" x14ac:dyDescent="0.35">
      <c r="A593" s="36" t="s">
        <v>2208</v>
      </c>
      <c r="B593" s="23" t="str">
        <f t="shared" si="123"/>
        <v>S28_2026</v>
      </c>
      <c r="C593" s="10" t="str">
        <f t="shared" si="124"/>
        <v>S27_2026</v>
      </c>
      <c r="D593" s="11">
        <v>46213</v>
      </c>
      <c r="E593" t="s">
        <v>106</v>
      </c>
      <c r="F593" s="24">
        <v>36</v>
      </c>
      <c r="G593" t="s">
        <v>2209</v>
      </c>
      <c r="H593" t="s">
        <v>835</v>
      </c>
      <c r="J593" t="s">
        <v>114</v>
      </c>
      <c r="K593" s="11">
        <v>46212</v>
      </c>
      <c r="L593" t="s">
        <v>126</v>
      </c>
      <c r="M593" t="s">
        <v>1625</v>
      </c>
      <c r="N593" t="s">
        <v>1616</v>
      </c>
      <c r="O593" t="s">
        <v>1823</v>
      </c>
      <c r="P593" t="s">
        <v>2210</v>
      </c>
      <c r="Q593" t="s">
        <v>541</v>
      </c>
      <c r="R593" s="11">
        <v>46208</v>
      </c>
      <c r="S593" s="11">
        <v>46208</v>
      </c>
      <c r="T593" s="11">
        <v>46209</v>
      </c>
      <c r="V593" t="s">
        <v>114</v>
      </c>
      <c r="W593" t="s">
        <v>114</v>
      </c>
      <c r="X593" t="s">
        <v>114</v>
      </c>
      <c r="Y593" t="s">
        <v>114</v>
      </c>
      <c r="Z593" t="s">
        <v>114</v>
      </c>
      <c r="AA593" t="s">
        <v>114</v>
      </c>
      <c r="AB593" t="s">
        <v>114</v>
      </c>
      <c r="AC593" t="s">
        <v>1238</v>
      </c>
      <c r="AE593" t="s">
        <v>114</v>
      </c>
      <c r="AF593" t="s">
        <v>114</v>
      </c>
      <c r="AG593" t="s">
        <v>114</v>
      </c>
      <c r="AH593" t="s">
        <v>132</v>
      </c>
      <c r="AI593" t="s">
        <v>132</v>
      </c>
      <c r="AJ593" t="s">
        <v>132</v>
      </c>
      <c r="AM593" t="s">
        <v>132</v>
      </c>
      <c r="AN593" t="s">
        <v>114</v>
      </c>
      <c r="AP593" t="s">
        <v>132</v>
      </c>
      <c r="AQ593" t="s">
        <v>132</v>
      </c>
      <c r="AU593" t="s">
        <v>114</v>
      </c>
      <c r="AV593" t="s">
        <v>134</v>
      </c>
      <c r="AW593" t="s">
        <v>152</v>
      </c>
      <c r="AY593" t="s">
        <v>135</v>
      </c>
      <c r="BB593" t="s">
        <v>114</v>
      </c>
      <c r="BC593" s="11">
        <v>46212</v>
      </c>
      <c r="BD593" t="s">
        <v>2211</v>
      </c>
      <c r="BF593" t="s">
        <v>2212</v>
      </c>
      <c r="BG593" t="s">
        <v>449</v>
      </c>
      <c r="BI593" s="11">
        <v>46215</v>
      </c>
      <c r="BJ593" t="str">
        <f>IFERROR("S"&amp;(IF(_xlfn.ISOWEEKNUM(BI593)&gt;0,_xlfn.ISOWEEKNUM(BI593),_xlfn.CONCAT("0",_xlfn.ISOWEEKNUM(BI593))))&amp;"_"&amp;(YEAR(BI593+26-(_xlfn.ISOWEEKNUM(BI593)))),"")</f>
        <v>S28_2026</v>
      </c>
      <c r="BK593" t="s">
        <v>137</v>
      </c>
      <c r="BL593" t="str">
        <f t="shared" si="125"/>
        <v>S28_2026</v>
      </c>
      <c r="BM593" t="s">
        <v>159</v>
      </c>
      <c r="BN593" s="11">
        <v>46215</v>
      </c>
      <c r="BO593" s="22" t="str">
        <f t="shared" si="119"/>
        <v>S28_2026</v>
      </c>
      <c r="BP593" t="s">
        <v>114</v>
      </c>
      <c r="BQ593" t="s">
        <v>971</v>
      </c>
      <c r="BR593" t="s">
        <v>451</v>
      </c>
      <c r="BS593" s="22" t="s">
        <v>132</v>
      </c>
      <c r="CI593" t="s">
        <v>119</v>
      </c>
      <c r="CK593" t="s">
        <v>138</v>
      </c>
      <c r="CP593" s="11">
        <v>46212</v>
      </c>
      <c r="CQ593" t="s">
        <v>132</v>
      </c>
      <c r="CW593" t="s">
        <v>132</v>
      </c>
      <c r="CX593" s="11">
        <v>46208</v>
      </c>
      <c r="CY593" t="str">
        <f t="shared" ref="CY593:CY660" si="126">IFERROR("S"&amp;(IF(_xlfn.ISOWEEKNUM(CX593)&gt;0,_xlfn.ISOWEEKNUM(CX593),_xlfn.CONCAT("0",_xlfn.ISOWEEKNUM(CX593))))&amp;"_"&amp;(YEAR(CX593+26-(_xlfn.ISOWEEKNUM(CX593)))),"")</f>
        <v>S27_2026</v>
      </c>
      <c r="CZ593" t="s">
        <v>132</v>
      </c>
      <c r="DB593" t="s">
        <v>132</v>
      </c>
      <c r="DC593" t="s">
        <v>139</v>
      </c>
    </row>
    <row r="594" spans="1:107" x14ac:dyDescent="0.35">
      <c r="A594" s="54" t="s">
        <v>2213</v>
      </c>
      <c r="B594" s="23" t="str">
        <f t="shared" si="123"/>
        <v>S28_2026</v>
      </c>
      <c r="C594" s="10" t="str">
        <f t="shared" si="124"/>
        <v>S28_2026</v>
      </c>
      <c r="D594" s="11">
        <v>46213</v>
      </c>
      <c r="E594" t="s">
        <v>106</v>
      </c>
      <c r="F594" s="24">
        <v>21</v>
      </c>
      <c r="H594" t="s">
        <v>835</v>
      </c>
      <c r="J594" t="s">
        <v>132</v>
      </c>
      <c r="L594" t="s">
        <v>126</v>
      </c>
      <c r="M594" t="s">
        <v>1084</v>
      </c>
      <c r="N594" t="s">
        <v>1274</v>
      </c>
      <c r="O594" t="s">
        <v>1275</v>
      </c>
      <c r="P594" t="s">
        <v>2214</v>
      </c>
      <c r="Q594" t="s">
        <v>292</v>
      </c>
      <c r="R594" s="11">
        <v>46210</v>
      </c>
      <c r="S594" s="11">
        <v>46210</v>
      </c>
      <c r="T594" s="11">
        <v>46210</v>
      </c>
      <c r="V594" t="s">
        <v>114</v>
      </c>
      <c r="W594" t="s">
        <v>114</v>
      </c>
      <c r="X594" t="s">
        <v>114</v>
      </c>
      <c r="Y594" t="s">
        <v>114</v>
      </c>
      <c r="Z594" t="s">
        <v>114</v>
      </c>
      <c r="AA594" t="s">
        <v>114</v>
      </c>
      <c r="AB594" t="s">
        <v>114</v>
      </c>
      <c r="AC594" t="s">
        <v>1238</v>
      </c>
      <c r="AE594" t="s">
        <v>114</v>
      </c>
      <c r="AF594" t="s">
        <v>114</v>
      </c>
      <c r="AG594" t="s">
        <v>132</v>
      </c>
      <c r="AH594" t="s">
        <v>132</v>
      </c>
      <c r="AI594" t="s">
        <v>132</v>
      </c>
      <c r="AJ594" t="s">
        <v>132</v>
      </c>
      <c r="AK594" t="s">
        <v>132</v>
      </c>
      <c r="AM594" t="s">
        <v>114</v>
      </c>
      <c r="AN594" t="s">
        <v>132</v>
      </c>
      <c r="AP594" t="s">
        <v>132</v>
      </c>
      <c r="AQ594" t="s">
        <v>132</v>
      </c>
      <c r="AU594" t="s">
        <v>114</v>
      </c>
      <c r="AV594" t="s">
        <v>134</v>
      </c>
      <c r="AW594" t="s">
        <v>152</v>
      </c>
      <c r="AY594" t="s">
        <v>135</v>
      </c>
      <c r="BB594" t="s">
        <v>114</v>
      </c>
      <c r="BC594" s="11">
        <v>46213</v>
      </c>
      <c r="BD594" t="s">
        <v>116</v>
      </c>
      <c r="BF594" t="s">
        <v>2215</v>
      </c>
      <c r="BG594" t="s">
        <v>449</v>
      </c>
      <c r="BI594" s="11">
        <v>46215</v>
      </c>
      <c r="BJ594" t="str">
        <f>IFERROR("S"&amp;(IF(_xlfn.ISOWEEKNUM(BI594)&gt;0,_xlfn.ISOWEEKNUM(BI594),_xlfn.CONCAT("0",_xlfn.ISOWEEKNUM(BI594))))&amp;"_"&amp;(YEAR(BI594+26-(_xlfn.ISOWEEKNUM(BI594)))),"")</f>
        <v>S28_2026</v>
      </c>
      <c r="BK594" t="s">
        <v>137</v>
      </c>
      <c r="BL594" t="str">
        <f t="shared" si="125"/>
        <v>S28_2026</v>
      </c>
      <c r="BM594" t="s">
        <v>159</v>
      </c>
      <c r="BN594" s="11">
        <v>46215</v>
      </c>
      <c r="BO594" s="22" t="str">
        <f t="shared" si="119"/>
        <v>S28_2026</v>
      </c>
      <c r="BP594" t="s">
        <v>114</v>
      </c>
      <c r="BQ594" t="s">
        <v>971</v>
      </c>
      <c r="BR594" t="s">
        <v>451</v>
      </c>
      <c r="BS594" s="22" t="s">
        <v>132</v>
      </c>
      <c r="CI594" t="s">
        <v>119</v>
      </c>
      <c r="CK594" t="s">
        <v>138</v>
      </c>
      <c r="CP594" s="11">
        <v>46213</v>
      </c>
      <c r="CQ594" t="s">
        <v>132</v>
      </c>
      <c r="CW594" t="s">
        <v>132</v>
      </c>
      <c r="CX594" s="11">
        <v>46210</v>
      </c>
      <c r="CY594" t="str">
        <f t="shared" si="126"/>
        <v>S28_2026</v>
      </c>
      <c r="CZ594" t="s">
        <v>132</v>
      </c>
      <c r="DB594" t="s">
        <v>132</v>
      </c>
      <c r="DC594" t="s">
        <v>139</v>
      </c>
    </row>
    <row r="595" spans="1:107" x14ac:dyDescent="0.35">
      <c r="A595" t="s">
        <v>2216</v>
      </c>
      <c r="B595" s="23" t="str">
        <f t="shared" si="123"/>
        <v>S28_2026</v>
      </c>
      <c r="C595" s="10" t="str">
        <f t="shared" si="124"/>
        <v>S27_2026</v>
      </c>
      <c r="D595" s="11">
        <v>46213</v>
      </c>
      <c r="E595" t="s">
        <v>123</v>
      </c>
      <c r="F595" s="24">
        <v>22</v>
      </c>
      <c r="G595" t="s">
        <v>1751</v>
      </c>
      <c r="H595" t="s">
        <v>835</v>
      </c>
      <c r="J595" t="s">
        <v>132</v>
      </c>
      <c r="L595" t="s">
        <v>117</v>
      </c>
      <c r="M595" t="s">
        <v>143</v>
      </c>
      <c r="N595" t="s">
        <v>2217</v>
      </c>
      <c r="O595" t="s">
        <v>184</v>
      </c>
      <c r="P595" t="s">
        <v>2217</v>
      </c>
      <c r="Q595" t="s">
        <v>143</v>
      </c>
      <c r="R595" s="11">
        <v>46207</v>
      </c>
      <c r="S595" s="11">
        <v>46207</v>
      </c>
      <c r="T595" s="11">
        <v>46207</v>
      </c>
      <c r="V595" t="s">
        <v>132</v>
      </c>
      <c r="W595" t="s">
        <v>132</v>
      </c>
      <c r="X595" t="s">
        <v>114</v>
      </c>
      <c r="Y595" t="s">
        <v>132</v>
      </c>
      <c r="Z595" t="s">
        <v>132</v>
      </c>
      <c r="AA595" t="s">
        <v>132</v>
      </c>
      <c r="AB595" t="s">
        <v>132</v>
      </c>
      <c r="AC595" t="s">
        <v>1666</v>
      </c>
      <c r="AE595" t="s">
        <v>114</v>
      </c>
      <c r="AF595" t="s">
        <v>132</v>
      </c>
      <c r="AG595" t="s">
        <v>132</v>
      </c>
      <c r="AH595" t="s">
        <v>132</v>
      </c>
      <c r="AI595" t="s">
        <v>132</v>
      </c>
      <c r="AJ595" t="s">
        <v>132</v>
      </c>
      <c r="AP595" t="s">
        <v>132</v>
      </c>
      <c r="AQ595" t="s">
        <v>132</v>
      </c>
      <c r="AR595" t="s">
        <v>2218</v>
      </c>
      <c r="AS595" s="11">
        <v>46213</v>
      </c>
      <c r="AU595" t="s">
        <v>114</v>
      </c>
      <c r="AV595" t="s">
        <v>134</v>
      </c>
      <c r="AW595" t="s">
        <v>152</v>
      </c>
      <c r="AY595" t="s">
        <v>2219</v>
      </c>
      <c r="BB595" t="s">
        <v>114</v>
      </c>
      <c r="BC595" s="11">
        <v>46209</v>
      </c>
      <c r="BD595" t="s">
        <v>243</v>
      </c>
      <c r="BE595">
        <v>688706214</v>
      </c>
      <c r="BF595" t="s">
        <v>2217</v>
      </c>
      <c r="BG595" t="s">
        <v>132</v>
      </c>
      <c r="BI595" s="11">
        <v>46217</v>
      </c>
      <c r="BJ595" t="str">
        <f>IFERROR("S"&amp;(IF(_xlfn.ISOWEEKNUM(BI595)&gt;0,_xlfn.ISOWEEKNUM(BI595),_xlfn.CONCAT("0",_xlfn.ISOWEEKNUM(BI595))))&amp;"_"&amp;(YEAR(BI595+26-(_xlfn.ISOWEEKNUM(BI595)))),"")</f>
        <v>S29_2026</v>
      </c>
      <c r="BK595" t="s">
        <v>117</v>
      </c>
      <c r="BL595" t="str">
        <f t="shared" si="125"/>
        <v>S28_2026</v>
      </c>
      <c r="BM595" t="s">
        <v>159</v>
      </c>
      <c r="BN595" s="11">
        <v>46217</v>
      </c>
      <c r="BO595" s="22" t="str">
        <f t="shared" si="119"/>
        <v>S29_2026</v>
      </c>
      <c r="BP595" t="s">
        <v>114</v>
      </c>
      <c r="BQ595" t="s">
        <v>118</v>
      </c>
      <c r="BR595" t="s">
        <v>451</v>
      </c>
      <c r="BS595" s="22" t="s">
        <v>132</v>
      </c>
      <c r="CI595" t="s">
        <v>119</v>
      </c>
      <c r="CK595" t="s">
        <v>138</v>
      </c>
      <c r="CP595" s="11">
        <v>46209</v>
      </c>
      <c r="CQ595" t="s">
        <v>132</v>
      </c>
      <c r="CW595" t="s">
        <v>132</v>
      </c>
      <c r="CX595" s="11">
        <v>46207</v>
      </c>
      <c r="CY595" t="str">
        <f t="shared" si="126"/>
        <v>S27_2026</v>
      </c>
      <c r="CZ595" t="s">
        <v>132</v>
      </c>
      <c r="DB595" t="s">
        <v>132</v>
      </c>
      <c r="DC595" t="s">
        <v>139</v>
      </c>
    </row>
    <row r="596" spans="1:107" x14ac:dyDescent="0.35">
      <c r="A596" s="36" t="s">
        <v>2220</v>
      </c>
      <c r="B596" s="23" t="str">
        <f t="shared" si="123"/>
        <v>S29_2026</v>
      </c>
      <c r="C596" s="10" t="str">
        <f t="shared" si="124"/>
        <v>S28_2026</v>
      </c>
      <c r="D596" s="11">
        <v>46216</v>
      </c>
      <c r="E596" t="s">
        <v>106</v>
      </c>
      <c r="F596" s="24">
        <v>5</v>
      </c>
      <c r="G596" t="s">
        <v>107</v>
      </c>
      <c r="H596" t="s">
        <v>835</v>
      </c>
      <c r="J596" t="s">
        <v>114</v>
      </c>
      <c r="K596" s="11">
        <v>46213</v>
      </c>
      <c r="L596" t="s">
        <v>126</v>
      </c>
      <c r="M596" t="s">
        <v>1625</v>
      </c>
      <c r="N596" t="s">
        <v>1616</v>
      </c>
      <c r="O596" t="s">
        <v>1823</v>
      </c>
      <c r="P596" t="s">
        <v>2210</v>
      </c>
      <c r="Q596" t="s">
        <v>541</v>
      </c>
      <c r="R596" s="11">
        <v>46209</v>
      </c>
      <c r="S596" s="11">
        <v>46210</v>
      </c>
      <c r="T596" s="11">
        <v>46209</v>
      </c>
      <c r="V596" t="s">
        <v>114</v>
      </c>
      <c r="Y596" t="s">
        <v>114</v>
      </c>
      <c r="Z596" t="s">
        <v>114</v>
      </c>
      <c r="AA596" t="s">
        <v>132</v>
      </c>
      <c r="AB596" t="s">
        <v>114</v>
      </c>
      <c r="AC596" t="s">
        <v>132</v>
      </c>
      <c r="AE596" t="s">
        <v>114</v>
      </c>
      <c r="AF596" t="s">
        <v>132</v>
      </c>
      <c r="AG596" t="s">
        <v>132</v>
      </c>
      <c r="AH596" t="s">
        <v>132</v>
      </c>
      <c r="AI596" t="s">
        <v>132</v>
      </c>
      <c r="AJ596" t="s">
        <v>132</v>
      </c>
      <c r="AK596" t="s">
        <v>132</v>
      </c>
      <c r="AM596" t="s">
        <v>114</v>
      </c>
      <c r="AN596" t="s">
        <v>114</v>
      </c>
      <c r="AP596" t="s">
        <v>2221</v>
      </c>
      <c r="AQ596" t="s">
        <v>132</v>
      </c>
      <c r="AU596" t="s">
        <v>114</v>
      </c>
      <c r="AV596" t="s">
        <v>115</v>
      </c>
      <c r="BB596" t="s">
        <v>114</v>
      </c>
      <c r="BC596" s="11">
        <v>46213</v>
      </c>
      <c r="BD596" t="s">
        <v>2118</v>
      </c>
      <c r="BF596" t="s">
        <v>2212</v>
      </c>
      <c r="BG596" t="s">
        <v>449</v>
      </c>
      <c r="BJ596" t="str">
        <f>IFERROR("S"&amp;(IF(_xlfn.ISOWEEKNUM(BI596)&gt;0,_xlfn.ISOWEEKNUM(BI596),_xlfn.CONCAT("0",_xlfn.ISOWEEKNUM(BI596))))&amp;"_"&amp;(YEAR(BI596+26-(_xlfn.ISOWEEKNUM(BI596)))),"")</f>
        <v/>
      </c>
      <c r="BK596" t="s">
        <v>137</v>
      </c>
      <c r="BL596" t="str">
        <f t="shared" si="125"/>
        <v>S28_2026</v>
      </c>
      <c r="BM596" t="s">
        <v>159</v>
      </c>
      <c r="BN596" s="11">
        <v>46216</v>
      </c>
      <c r="BO596" s="22" t="str">
        <f t="shared" si="119"/>
        <v>S29_2026</v>
      </c>
      <c r="BP596" t="s">
        <v>114</v>
      </c>
      <c r="BQ596" t="s">
        <v>971</v>
      </c>
      <c r="BR596" t="s">
        <v>451</v>
      </c>
      <c r="BS596" s="22" t="s">
        <v>132</v>
      </c>
      <c r="CI596" t="s">
        <v>119</v>
      </c>
      <c r="CP596" s="11">
        <v>46213</v>
      </c>
      <c r="CQ596" t="s">
        <v>132</v>
      </c>
      <c r="CW596" t="s">
        <v>132</v>
      </c>
      <c r="CX596" s="11">
        <v>46207</v>
      </c>
      <c r="CY596" t="str">
        <f t="shared" si="126"/>
        <v>S27_2026</v>
      </c>
      <c r="CZ596" t="s">
        <v>132</v>
      </c>
      <c r="DB596" t="s">
        <v>132</v>
      </c>
      <c r="DC596" t="s">
        <v>120</v>
      </c>
    </row>
    <row r="597" spans="1:107" x14ac:dyDescent="0.35">
      <c r="A597" t="s">
        <v>2222</v>
      </c>
      <c r="B597" s="23" t="str">
        <f t="shared" ref="B597:B613" si="127">IFERROR("S"&amp;(IF(_xlfn.ISOWEEKNUM(D597)&gt;0,_xlfn.ISOWEEKNUM(D597),_xlfn.CONCAT("0",_xlfn.ISOWEEKNUM(D597))))&amp;"_"&amp;(YEAR(D597+26-(_xlfn.ISOWEEKNUM(D597)))),"")</f>
        <v>S29_2026</v>
      </c>
      <c r="C597" s="10" t="str">
        <f t="shared" si="124"/>
        <v>S27_2026</v>
      </c>
      <c r="D597" s="11">
        <v>46216</v>
      </c>
      <c r="E597" t="s">
        <v>123</v>
      </c>
      <c r="F597" s="24">
        <v>10</v>
      </c>
      <c r="G597" t="s">
        <v>107</v>
      </c>
      <c r="H597" t="s">
        <v>835</v>
      </c>
      <c r="J597" t="s">
        <v>132</v>
      </c>
      <c r="L597" t="s">
        <v>126</v>
      </c>
      <c r="M597" t="s">
        <v>146</v>
      </c>
      <c r="N597" t="s">
        <v>1297</v>
      </c>
      <c r="O597" t="s">
        <v>2223</v>
      </c>
      <c r="P597" t="s">
        <v>2224</v>
      </c>
      <c r="Q597" t="s">
        <v>146</v>
      </c>
      <c r="R597" s="11">
        <v>46204</v>
      </c>
      <c r="S597" s="11">
        <v>46204</v>
      </c>
      <c r="T597" s="11">
        <v>46207</v>
      </c>
      <c r="V597" t="s">
        <v>114</v>
      </c>
      <c r="W597" t="s">
        <v>114</v>
      </c>
      <c r="X597" t="s">
        <v>114</v>
      </c>
      <c r="Y597" t="s">
        <v>114</v>
      </c>
      <c r="Z597" t="s">
        <v>114</v>
      </c>
      <c r="AA597" t="s">
        <v>114</v>
      </c>
      <c r="AB597" t="s">
        <v>114</v>
      </c>
      <c r="AC597" t="s">
        <v>2225</v>
      </c>
      <c r="AE597" t="s">
        <v>114</v>
      </c>
      <c r="AF597" t="s">
        <v>132</v>
      </c>
      <c r="AG597" t="s">
        <v>114</v>
      </c>
      <c r="AH597" t="s">
        <v>132</v>
      </c>
      <c r="AI597" t="s">
        <v>132</v>
      </c>
      <c r="AJ597" t="s">
        <v>132</v>
      </c>
      <c r="AK597" t="s">
        <v>132</v>
      </c>
      <c r="AM597" t="s">
        <v>114</v>
      </c>
      <c r="AN597" t="s">
        <v>132</v>
      </c>
      <c r="AP597" t="s">
        <v>132</v>
      </c>
      <c r="AQ597" t="s">
        <v>132</v>
      </c>
      <c r="AS597" s="11">
        <v>46213</v>
      </c>
      <c r="AU597" t="s">
        <v>114</v>
      </c>
      <c r="AV597" t="s">
        <v>134</v>
      </c>
      <c r="AW597" s="70" t="s">
        <v>152</v>
      </c>
      <c r="AY597" t="s">
        <v>135</v>
      </c>
      <c r="BB597" t="s">
        <v>114</v>
      </c>
      <c r="BC597" s="11">
        <v>46212</v>
      </c>
      <c r="BD597" t="s">
        <v>2118</v>
      </c>
      <c r="BF597" t="s">
        <v>1297</v>
      </c>
      <c r="BG597" t="s">
        <v>449</v>
      </c>
      <c r="BI597" s="11">
        <v>46216</v>
      </c>
      <c r="BJ597" t="str">
        <f>IFERROR("S"&amp;(IF(_xlfn.ISOWEEKNUM(BI597)&gt;0,_xlfn.ISOWEEKNUM(BI597),_xlfn.CONCAT("0",_xlfn.ISOWEEKNUM(BI597))))&amp;"_"&amp;(YEAR(BI597+26-(_xlfn.ISOWEEKNUM(BI597)))),"")</f>
        <v>S29_2026</v>
      </c>
      <c r="BK597" t="s">
        <v>137</v>
      </c>
      <c r="BL597" t="str">
        <f t="shared" si="125"/>
        <v>S28_2026</v>
      </c>
      <c r="BM597" t="s">
        <v>159</v>
      </c>
      <c r="BN597" s="11">
        <v>46216</v>
      </c>
      <c r="BO597" s="22" t="str">
        <f t="shared" si="119"/>
        <v>S29_2026</v>
      </c>
      <c r="BP597" t="s">
        <v>114</v>
      </c>
      <c r="BQ597" t="s">
        <v>971</v>
      </c>
      <c r="BR597" t="s">
        <v>451</v>
      </c>
      <c r="BS597" s="22" t="s">
        <v>132</v>
      </c>
      <c r="CI597" t="s">
        <v>119</v>
      </c>
      <c r="CK597" t="s">
        <v>138</v>
      </c>
      <c r="CP597" s="11">
        <v>46216</v>
      </c>
      <c r="CQ597" t="s">
        <v>132</v>
      </c>
      <c r="CW597" t="s">
        <v>132</v>
      </c>
      <c r="CX597" s="11">
        <v>46207</v>
      </c>
      <c r="CY597" t="str">
        <f t="shared" si="126"/>
        <v>S27_2026</v>
      </c>
      <c r="CZ597" t="s">
        <v>132</v>
      </c>
      <c r="DB597" t="s">
        <v>132</v>
      </c>
      <c r="DC597" t="s">
        <v>139</v>
      </c>
    </row>
    <row r="598" spans="1:107" x14ac:dyDescent="0.35">
      <c r="A598" t="s">
        <v>2226</v>
      </c>
      <c r="B598" s="23" t="str">
        <f t="shared" si="127"/>
        <v>S29_2026</v>
      </c>
      <c r="C598" s="10" t="str">
        <f t="shared" si="124"/>
        <v/>
      </c>
      <c r="D598" s="11">
        <v>46216</v>
      </c>
      <c r="E598" t="s">
        <v>106</v>
      </c>
      <c r="F598" s="24">
        <v>2</v>
      </c>
      <c r="L598" t="s">
        <v>793</v>
      </c>
      <c r="M598" t="s">
        <v>1642</v>
      </c>
      <c r="Q598" t="s">
        <v>1642</v>
      </c>
      <c r="AR598" t="s">
        <v>2227</v>
      </c>
      <c r="AS598" s="11">
        <v>46213</v>
      </c>
      <c r="AU598" t="s">
        <v>114</v>
      </c>
      <c r="AV598" t="s">
        <v>115</v>
      </c>
      <c r="BB598" t="s">
        <v>114</v>
      </c>
      <c r="BC598" s="11">
        <v>46212</v>
      </c>
      <c r="BD598" t="s">
        <v>116</v>
      </c>
      <c r="BF598" s="44" t="s">
        <v>1907</v>
      </c>
      <c r="BG598" t="s">
        <v>449</v>
      </c>
      <c r="BK598" t="s">
        <v>793</v>
      </c>
      <c r="BL598" t="str">
        <f t="shared" si="125"/>
        <v>S28_2026</v>
      </c>
      <c r="BM598" t="s">
        <v>159</v>
      </c>
      <c r="BN598" s="11">
        <v>46216</v>
      </c>
      <c r="BO598" s="22" t="str">
        <f t="shared" si="119"/>
        <v>S29_2026</v>
      </c>
      <c r="BP598" t="s">
        <v>114</v>
      </c>
      <c r="BQ598" t="s">
        <v>450</v>
      </c>
      <c r="BR598" t="s">
        <v>451</v>
      </c>
      <c r="BS598" s="22" t="s">
        <v>132</v>
      </c>
      <c r="CI598" t="s">
        <v>119</v>
      </c>
      <c r="CQ598" t="s">
        <v>132</v>
      </c>
      <c r="CW598" t="s">
        <v>132</v>
      </c>
      <c r="CX598" s="11">
        <v>46212</v>
      </c>
      <c r="CY598" t="str">
        <f t="shared" si="126"/>
        <v>S28_2026</v>
      </c>
      <c r="CZ598" t="s">
        <v>132</v>
      </c>
      <c r="DB598" t="s">
        <v>132</v>
      </c>
      <c r="DC598" t="s">
        <v>120</v>
      </c>
    </row>
    <row r="599" spans="1:107" x14ac:dyDescent="0.35">
      <c r="A599" s="36" t="s">
        <v>2228</v>
      </c>
      <c r="B599" s="23" t="str">
        <f t="shared" si="127"/>
        <v>S29_2026</v>
      </c>
      <c r="C599" s="10" t="str">
        <f t="shared" si="124"/>
        <v>S28_2026</v>
      </c>
      <c r="D599" s="11">
        <v>46216</v>
      </c>
      <c r="E599" t="s">
        <v>106</v>
      </c>
      <c r="F599" s="24">
        <v>39</v>
      </c>
      <c r="H599" t="s">
        <v>835</v>
      </c>
      <c r="J599" t="s">
        <v>132</v>
      </c>
      <c r="L599" t="s">
        <v>126</v>
      </c>
      <c r="M599" t="s">
        <v>1084</v>
      </c>
      <c r="N599" t="s">
        <v>2173</v>
      </c>
      <c r="O599" t="s">
        <v>2229</v>
      </c>
      <c r="P599" t="s">
        <v>2175</v>
      </c>
      <c r="Q599" t="s">
        <v>541</v>
      </c>
      <c r="R599" s="11">
        <v>46213</v>
      </c>
      <c r="S599" s="11">
        <v>46213</v>
      </c>
      <c r="T599" s="11">
        <v>46213</v>
      </c>
      <c r="V599" t="s">
        <v>132</v>
      </c>
      <c r="W599" t="s">
        <v>132</v>
      </c>
      <c r="X599" t="s">
        <v>114</v>
      </c>
      <c r="Y599" t="s">
        <v>114</v>
      </c>
      <c r="Z599" t="s">
        <v>114</v>
      </c>
      <c r="AA599" t="s">
        <v>114</v>
      </c>
      <c r="AB599" t="s">
        <v>132</v>
      </c>
      <c r="AC599" t="s">
        <v>1238</v>
      </c>
      <c r="AE599" t="s">
        <v>114</v>
      </c>
      <c r="AF599" t="s">
        <v>114</v>
      </c>
      <c r="AG599" t="s">
        <v>114</v>
      </c>
      <c r="AH599" t="s">
        <v>132</v>
      </c>
      <c r="AI599" t="s">
        <v>132</v>
      </c>
      <c r="AJ599" t="s">
        <v>132</v>
      </c>
      <c r="AK599" t="s">
        <v>132</v>
      </c>
      <c r="AM599" t="s">
        <v>114</v>
      </c>
      <c r="AN599" t="s">
        <v>132</v>
      </c>
      <c r="AP599" t="s">
        <v>132</v>
      </c>
      <c r="AQ599" t="s">
        <v>132</v>
      </c>
      <c r="AU599" t="s">
        <v>114</v>
      </c>
      <c r="AV599" t="s">
        <v>115</v>
      </c>
      <c r="BB599" t="s">
        <v>114</v>
      </c>
      <c r="BC599" s="11">
        <v>46216</v>
      </c>
      <c r="BD599" t="s">
        <v>2230</v>
      </c>
      <c r="BF599" t="s">
        <v>2212</v>
      </c>
      <c r="BG599" t="s">
        <v>449</v>
      </c>
      <c r="BJ599" t="str">
        <f>IFERROR("S"&amp;(IF(_xlfn.ISOWEEKNUM(BI599)&gt;0,_xlfn.ISOWEEKNUM(BI599),_xlfn.CONCAT("0",_xlfn.ISOWEEKNUM(BI599))))&amp;"_"&amp;(YEAR(BI599+26-(_xlfn.ISOWEEKNUM(BI599)))),"")</f>
        <v/>
      </c>
      <c r="BK599" t="s">
        <v>137</v>
      </c>
      <c r="BL599" t="str">
        <f t="shared" si="125"/>
        <v>S29_2026</v>
      </c>
      <c r="BM599" t="s">
        <v>159</v>
      </c>
      <c r="BN599" s="11">
        <v>46228</v>
      </c>
      <c r="BO599" s="22" t="str">
        <f t="shared" si="119"/>
        <v>S30_2026</v>
      </c>
      <c r="BP599" t="s">
        <v>114</v>
      </c>
      <c r="BQ599" t="s">
        <v>971</v>
      </c>
      <c r="BR599" t="s">
        <v>451</v>
      </c>
      <c r="BS599" s="22" t="s">
        <v>132</v>
      </c>
      <c r="CI599" t="s">
        <v>119</v>
      </c>
      <c r="CP599" s="11">
        <v>46216</v>
      </c>
      <c r="CQ599" t="s">
        <v>132</v>
      </c>
      <c r="CW599" t="s">
        <v>132</v>
      </c>
      <c r="CX599" s="11">
        <v>46213</v>
      </c>
      <c r="CY599" t="str">
        <f t="shared" si="126"/>
        <v>S28_2026</v>
      </c>
      <c r="CZ599" t="s">
        <v>132</v>
      </c>
      <c r="DB599" t="s">
        <v>132</v>
      </c>
      <c r="DC599" t="s">
        <v>120</v>
      </c>
    </row>
    <row r="600" spans="1:107" x14ac:dyDescent="0.35">
      <c r="A600" t="s">
        <v>2231</v>
      </c>
      <c r="B600" s="23" t="str">
        <f t="shared" si="127"/>
        <v>S29_2026</v>
      </c>
      <c r="C600" s="10" t="str">
        <f t="shared" si="124"/>
        <v>S28_2026</v>
      </c>
      <c r="D600" s="11">
        <v>46216</v>
      </c>
      <c r="E600" t="s">
        <v>106</v>
      </c>
      <c r="F600" s="24">
        <v>12</v>
      </c>
      <c r="G600" t="s">
        <v>107</v>
      </c>
      <c r="H600" t="s">
        <v>835</v>
      </c>
      <c r="J600" t="s">
        <v>132</v>
      </c>
      <c r="L600" t="s">
        <v>126</v>
      </c>
      <c r="M600" t="s">
        <v>977</v>
      </c>
      <c r="N600" t="s">
        <v>1611</v>
      </c>
      <c r="O600" t="s">
        <v>2232</v>
      </c>
      <c r="P600" t="s">
        <v>2233</v>
      </c>
      <c r="Q600" t="s">
        <v>977</v>
      </c>
      <c r="R600" s="11">
        <v>46213</v>
      </c>
      <c r="S600" s="11">
        <v>46212</v>
      </c>
      <c r="T600" s="11">
        <v>46213</v>
      </c>
      <c r="V600" t="s">
        <v>114</v>
      </c>
      <c r="W600" t="s">
        <v>114</v>
      </c>
      <c r="X600" t="s">
        <v>114</v>
      </c>
      <c r="Y600" t="s">
        <v>114</v>
      </c>
      <c r="Z600" t="s">
        <v>114</v>
      </c>
      <c r="AA600" t="s">
        <v>114</v>
      </c>
      <c r="AB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132</v>
      </c>
      <c r="AJ600" t="s">
        <v>132</v>
      </c>
      <c r="AK600" t="s">
        <v>132</v>
      </c>
      <c r="AM600" t="s">
        <v>114</v>
      </c>
      <c r="AN600" t="s">
        <v>114</v>
      </c>
      <c r="AP600" t="s">
        <v>132</v>
      </c>
      <c r="AQ600" t="s">
        <v>132</v>
      </c>
      <c r="AU600" t="s">
        <v>114</v>
      </c>
      <c r="AV600" t="s">
        <v>115</v>
      </c>
      <c r="BB600" t="s">
        <v>114</v>
      </c>
      <c r="BC600" s="11">
        <v>46216</v>
      </c>
      <c r="BF600" t="s">
        <v>1127</v>
      </c>
      <c r="BK600" t="s">
        <v>137</v>
      </c>
      <c r="BL600" t="str">
        <f t="shared" si="125"/>
        <v>S29_2026</v>
      </c>
      <c r="BM600" t="s">
        <v>159</v>
      </c>
      <c r="BN600" s="11">
        <v>46222</v>
      </c>
      <c r="BO600" s="22" t="str">
        <f t="shared" si="119"/>
        <v>S29_2026</v>
      </c>
      <c r="BP600" t="s">
        <v>114</v>
      </c>
      <c r="BQ600" t="s">
        <v>971</v>
      </c>
      <c r="BR600" t="s">
        <v>451</v>
      </c>
      <c r="BS600" s="22" t="s">
        <v>132</v>
      </c>
      <c r="CI600" t="s">
        <v>119</v>
      </c>
      <c r="CP600" s="11">
        <v>46216</v>
      </c>
      <c r="CQ600" t="s">
        <v>132</v>
      </c>
      <c r="CW600" t="s">
        <v>132</v>
      </c>
      <c r="CX600" s="11">
        <v>46213</v>
      </c>
      <c r="CY600" t="str">
        <f t="shared" si="126"/>
        <v>S28_2026</v>
      </c>
      <c r="CZ600" t="s">
        <v>132</v>
      </c>
      <c r="DB600" t="s">
        <v>132</v>
      </c>
      <c r="DC600" t="s">
        <v>120</v>
      </c>
    </row>
    <row r="601" spans="1:107" x14ac:dyDescent="0.35">
      <c r="A601" t="s">
        <v>2234</v>
      </c>
      <c r="B601" s="23" t="str">
        <f t="shared" si="127"/>
        <v>S29_2026</v>
      </c>
      <c r="C601" s="10" t="str">
        <f t="shared" si="124"/>
        <v>S28_2026</v>
      </c>
      <c r="D601" s="11">
        <v>46216</v>
      </c>
      <c r="E601" t="s">
        <v>106</v>
      </c>
      <c r="F601" s="24">
        <v>27</v>
      </c>
      <c r="G601" t="s">
        <v>323</v>
      </c>
      <c r="H601" t="s">
        <v>835</v>
      </c>
      <c r="J601" t="s">
        <v>132</v>
      </c>
      <c r="L601" t="s">
        <v>126</v>
      </c>
      <c r="M601" t="s">
        <v>977</v>
      </c>
      <c r="N601" t="s">
        <v>1611</v>
      </c>
      <c r="O601" t="s">
        <v>2232</v>
      </c>
      <c r="P601" t="s">
        <v>2233</v>
      </c>
      <c r="Q601" t="s">
        <v>977</v>
      </c>
      <c r="R601" s="11">
        <v>46213</v>
      </c>
      <c r="S601" s="11">
        <v>46212</v>
      </c>
      <c r="T601" s="11">
        <v>46213</v>
      </c>
      <c r="V601" t="s">
        <v>114</v>
      </c>
      <c r="W601" t="s">
        <v>114</v>
      </c>
      <c r="X601" t="s">
        <v>114</v>
      </c>
      <c r="Y601" t="s">
        <v>114</v>
      </c>
      <c r="Z601" t="s">
        <v>114</v>
      </c>
      <c r="AA601" t="s">
        <v>114</v>
      </c>
      <c r="AB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132</v>
      </c>
      <c r="AJ601" t="s">
        <v>132</v>
      </c>
      <c r="AK601" t="s">
        <v>132</v>
      </c>
      <c r="AM601" t="s">
        <v>114</v>
      </c>
      <c r="AN601" t="s">
        <v>132</v>
      </c>
      <c r="AP601" t="s">
        <v>132</v>
      </c>
      <c r="AQ601" t="s">
        <v>132</v>
      </c>
      <c r="AU601" t="s">
        <v>114</v>
      </c>
      <c r="AV601" t="s">
        <v>115</v>
      </c>
      <c r="BB601" t="s">
        <v>114</v>
      </c>
      <c r="BC601" s="11">
        <v>46216</v>
      </c>
      <c r="BF601" s="44" t="s">
        <v>1127</v>
      </c>
      <c r="BK601" t="s">
        <v>137</v>
      </c>
      <c r="BL601" t="str">
        <f t="shared" si="125"/>
        <v>S29_2026</v>
      </c>
      <c r="BM601" t="s">
        <v>159</v>
      </c>
      <c r="BN601" s="11">
        <v>46222</v>
      </c>
      <c r="BO601" s="22" t="str">
        <f t="shared" si="119"/>
        <v>S29_2026</v>
      </c>
      <c r="BP601" t="s">
        <v>114</v>
      </c>
      <c r="BQ601" t="s">
        <v>971</v>
      </c>
      <c r="BR601" t="s">
        <v>451</v>
      </c>
      <c r="BS601" s="22" t="s">
        <v>132</v>
      </c>
      <c r="CI601" t="s">
        <v>119</v>
      </c>
      <c r="CP601" s="11">
        <v>46216</v>
      </c>
      <c r="CQ601" t="s">
        <v>132</v>
      </c>
      <c r="CW601" t="s">
        <v>132</v>
      </c>
      <c r="CX601" s="11">
        <v>46213</v>
      </c>
      <c r="CY601" t="str">
        <f t="shared" si="126"/>
        <v>S28_2026</v>
      </c>
      <c r="CZ601" t="s">
        <v>132</v>
      </c>
      <c r="DB601" t="s">
        <v>132</v>
      </c>
      <c r="DC601" t="s">
        <v>120</v>
      </c>
    </row>
    <row r="602" spans="1:107" x14ac:dyDescent="0.35">
      <c r="A602" t="s">
        <v>2235</v>
      </c>
      <c r="B602" s="23" t="str">
        <f t="shared" si="127"/>
        <v>S29_2026</v>
      </c>
      <c r="C602" s="10" t="str">
        <f t="shared" si="124"/>
        <v>S27_2026</v>
      </c>
      <c r="D602" s="11">
        <v>46218</v>
      </c>
      <c r="E602" t="s">
        <v>123</v>
      </c>
      <c r="F602" s="24">
        <v>43</v>
      </c>
      <c r="G602" t="s">
        <v>429</v>
      </c>
      <c r="H602" t="s">
        <v>835</v>
      </c>
      <c r="J602" t="s">
        <v>132</v>
      </c>
      <c r="L602" t="s">
        <v>126</v>
      </c>
      <c r="M602" t="s">
        <v>1084</v>
      </c>
      <c r="N602" t="s">
        <v>1274</v>
      </c>
      <c r="O602" t="s">
        <v>2236</v>
      </c>
      <c r="P602" t="s">
        <v>1836</v>
      </c>
      <c r="Q602" t="s">
        <v>1084</v>
      </c>
      <c r="R602" s="11">
        <v>46203</v>
      </c>
      <c r="S602" s="11">
        <v>46203</v>
      </c>
      <c r="T602" s="11">
        <v>46207</v>
      </c>
      <c r="V602" t="s">
        <v>114</v>
      </c>
      <c r="W602" t="s">
        <v>114</v>
      </c>
      <c r="X602" t="s">
        <v>114</v>
      </c>
      <c r="Y602" t="s">
        <v>114</v>
      </c>
      <c r="Z602" t="s">
        <v>132</v>
      </c>
      <c r="AA602" t="s">
        <v>114</v>
      </c>
      <c r="AB602" t="s">
        <v>132</v>
      </c>
      <c r="AC602" t="s">
        <v>1238</v>
      </c>
      <c r="AE602" t="s">
        <v>114</v>
      </c>
      <c r="AF602" t="s">
        <v>132</v>
      </c>
      <c r="AG602" t="s">
        <v>114</v>
      </c>
      <c r="AH602" t="s">
        <v>132</v>
      </c>
      <c r="AI602" t="s">
        <v>132</v>
      </c>
      <c r="AJ602" t="s">
        <v>132</v>
      </c>
      <c r="AK602" t="s">
        <v>132</v>
      </c>
      <c r="AM602" t="s">
        <v>132</v>
      </c>
      <c r="AN602" t="s">
        <v>132</v>
      </c>
      <c r="AP602" t="s">
        <v>132</v>
      </c>
      <c r="AQ602" t="s">
        <v>132</v>
      </c>
      <c r="AU602" t="s">
        <v>114</v>
      </c>
      <c r="AV602" t="s">
        <v>134</v>
      </c>
      <c r="AW602" t="s">
        <v>152</v>
      </c>
      <c r="AY602" t="s">
        <v>135</v>
      </c>
      <c r="BB602" t="s">
        <v>114</v>
      </c>
      <c r="BC602" s="11">
        <v>46217</v>
      </c>
      <c r="BD602" t="s">
        <v>2238</v>
      </c>
      <c r="BF602" t="s">
        <v>1274</v>
      </c>
      <c r="BG602" t="s">
        <v>449</v>
      </c>
      <c r="BI602" s="11">
        <v>46222</v>
      </c>
      <c r="BJ602" t="str">
        <f>IFERROR("S"&amp;(IF(_xlfn.ISOWEEKNUM(BI602)&gt;0,_xlfn.ISOWEEKNUM(BI602),_xlfn.CONCAT("0",_xlfn.ISOWEEKNUM(BI602))))&amp;"_"&amp;(YEAR(BI602+26-(_xlfn.ISOWEEKNUM(BI602)))),"")</f>
        <v>S29_2026</v>
      </c>
      <c r="BK602" t="s">
        <v>137</v>
      </c>
      <c r="BL602" t="str">
        <f t="shared" si="125"/>
        <v>S29_2026</v>
      </c>
      <c r="BM602" t="s">
        <v>159</v>
      </c>
      <c r="BN602" s="11">
        <v>46222</v>
      </c>
      <c r="BO602" s="22" t="str">
        <f t="shared" si="119"/>
        <v>S29_2026</v>
      </c>
      <c r="BP602" t="s">
        <v>114</v>
      </c>
      <c r="BQ602" t="s">
        <v>971</v>
      </c>
      <c r="BR602" t="s">
        <v>451</v>
      </c>
      <c r="BS602" s="22" t="s">
        <v>132</v>
      </c>
      <c r="CI602" t="s">
        <v>119</v>
      </c>
      <c r="CK602" t="s">
        <v>138</v>
      </c>
      <c r="CP602" s="11">
        <v>46217</v>
      </c>
      <c r="CQ602" t="s">
        <v>132</v>
      </c>
      <c r="CW602" t="s">
        <v>132</v>
      </c>
      <c r="CX602" s="11">
        <v>46203</v>
      </c>
      <c r="CY602" t="str">
        <f t="shared" si="126"/>
        <v>S27_2026</v>
      </c>
      <c r="CZ602" t="s">
        <v>132</v>
      </c>
      <c r="DB602" t="s">
        <v>132</v>
      </c>
      <c r="DC602" t="s">
        <v>139</v>
      </c>
    </row>
    <row r="603" spans="1:107" x14ac:dyDescent="0.35">
      <c r="A603" s="22" t="s">
        <v>2239</v>
      </c>
      <c r="B603" s="23" t="str">
        <f t="shared" si="127"/>
        <v>S29_2026</v>
      </c>
      <c r="C603" s="10" t="str">
        <f t="shared" si="124"/>
        <v>S28_2026</v>
      </c>
      <c r="D603" s="11">
        <v>46217</v>
      </c>
      <c r="E603" t="s">
        <v>106</v>
      </c>
      <c r="F603" s="24">
        <v>6</v>
      </c>
      <c r="G603" t="s">
        <v>107</v>
      </c>
      <c r="H603" t="s">
        <v>835</v>
      </c>
      <c r="J603" t="s">
        <v>114</v>
      </c>
      <c r="K603" s="11">
        <v>46213</v>
      </c>
      <c r="L603" t="s">
        <v>321</v>
      </c>
      <c r="M603" t="s">
        <v>896</v>
      </c>
      <c r="N603" t="s">
        <v>2240</v>
      </c>
      <c r="O603" t="s">
        <v>2037</v>
      </c>
      <c r="P603" t="s">
        <v>2241</v>
      </c>
      <c r="Q603" t="s">
        <v>896</v>
      </c>
      <c r="R603" s="11">
        <v>46210</v>
      </c>
      <c r="S603" s="11">
        <v>46210</v>
      </c>
      <c r="T603" s="11">
        <v>46210</v>
      </c>
      <c r="V603" t="s">
        <v>114</v>
      </c>
      <c r="W603" t="s">
        <v>114</v>
      </c>
      <c r="X603" t="s">
        <v>114</v>
      </c>
      <c r="Y603" t="s">
        <v>114</v>
      </c>
      <c r="Z603" t="s">
        <v>114</v>
      </c>
      <c r="AA603" t="s">
        <v>114</v>
      </c>
      <c r="AB603" t="s">
        <v>114</v>
      </c>
      <c r="AE603" t="s">
        <v>132</v>
      </c>
      <c r="AF603" t="s">
        <v>132</v>
      </c>
      <c r="AG603" t="s">
        <v>132</v>
      </c>
      <c r="AH603" t="s">
        <v>132</v>
      </c>
      <c r="AI603" t="s">
        <v>132</v>
      </c>
      <c r="AJ603" t="s">
        <v>132</v>
      </c>
      <c r="AK603" t="s">
        <v>132</v>
      </c>
      <c r="AM603" t="s">
        <v>132</v>
      </c>
      <c r="AN603" t="s">
        <v>132</v>
      </c>
      <c r="AP603" t="s">
        <v>132</v>
      </c>
      <c r="AQ603" t="s">
        <v>132</v>
      </c>
      <c r="AR603" t="s">
        <v>2242</v>
      </c>
      <c r="AS603" s="11">
        <v>46214</v>
      </c>
      <c r="AU603" t="s">
        <v>114</v>
      </c>
      <c r="AV603" t="s">
        <v>115</v>
      </c>
      <c r="BB603" t="s">
        <v>114</v>
      </c>
      <c r="BC603" s="11">
        <v>46213</v>
      </c>
      <c r="BD603" t="s">
        <v>116</v>
      </c>
      <c r="BE603">
        <v>696225822</v>
      </c>
      <c r="BF603" t="s">
        <v>2243</v>
      </c>
      <c r="BG603" t="s">
        <v>114</v>
      </c>
      <c r="BK603" t="s">
        <v>321</v>
      </c>
      <c r="BL603" t="str">
        <f t="shared" si="125"/>
        <v>S28_2026</v>
      </c>
      <c r="BM603" t="s">
        <v>159</v>
      </c>
      <c r="BN603" s="11">
        <v>46217</v>
      </c>
      <c r="BO603" s="22" t="str">
        <f t="shared" si="119"/>
        <v>S29_2026</v>
      </c>
      <c r="BP603" t="s">
        <v>114</v>
      </c>
      <c r="BQ603" t="s">
        <v>118</v>
      </c>
      <c r="BR603" t="s">
        <v>451</v>
      </c>
      <c r="BS603" s="22" t="s">
        <v>132</v>
      </c>
      <c r="CI603" t="s">
        <v>119</v>
      </c>
      <c r="CP603" s="11">
        <v>46213</v>
      </c>
      <c r="CQ603" t="s">
        <v>132</v>
      </c>
      <c r="CW603" t="s">
        <v>132</v>
      </c>
      <c r="CX603" s="11">
        <v>46210</v>
      </c>
      <c r="CY603" t="str">
        <f t="shared" si="126"/>
        <v>S28_2026</v>
      </c>
      <c r="CZ603" t="s">
        <v>132</v>
      </c>
      <c r="DB603" t="s">
        <v>132</v>
      </c>
      <c r="DC603" t="s">
        <v>120</v>
      </c>
    </row>
    <row r="604" spans="1:107" x14ac:dyDescent="0.35">
      <c r="A604" t="s">
        <v>2244</v>
      </c>
      <c r="B604" s="23" t="str">
        <f t="shared" si="127"/>
        <v>S29_2026</v>
      </c>
      <c r="C604" s="10" t="str">
        <f t="shared" ref="C604:C613" si="128">IFERROR("S"&amp;(IF(_xlfn.ISOWEEKNUM(R604)&gt;0,_xlfn.ISOWEEKNUM(R604),_xlfn.CONCAT("0",_xlfn.ISOWEEKNUM(R604))))&amp;"_"&amp;(YEAR(R604+26-(_xlfn.ISOWEEKNUM(R604)))),"")</f>
        <v/>
      </c>
      <c r="D604" s="11">
        <v>46217</v>
      </c>
      <c r="E604" t="s">
        <v>106</v>
      </c>
      <c r="F604" s="24">
        <v>5</v>
      </c>
      <c r="L604" t="s">
        <v>117</v>
      </c>
      <c r="M604" t="s">
        <v>385</v>
      </c>
      <c r="Q604" t="s">
        <v>385</v>
      </c>
      <c r="AR604" t="s">
        <v>2245</v>
      </c>
      <c r="AS604" s="11">
        <v>46213</v>
      </c>
      <c r="AU604" t="s">
        <v>114</v>
      </c>
      <c r="AV604" t="s">
        <v>115</v>
      </c>
      <c r="BB604" t="s">
        <v>114</v>
      </c>
      <c r="BC604" s="11">
        <v>46213</v>
      </c>
      <c r="BD604" t="s">
        <v>116</v>
      </c>
      <c r="BF604" t="s">
        <v>2246</v>
      </c>
      <c r="BG604" t="s">
        <v>114</v>
      </c>
      <c r="BK604" t="s">
        <v>117</v>
      </c>
      <c r="BL604" t="str">
        <f t="shared" si="125"/>
        <v>S28_2026</v>
      </c>
      <c r="BM604" t="s">
        <v>159</v>
      </c>
      <c r="BN604" s="11">
        <v>46217</v>
      </c>
      <c r="BO604" s="22" t="str">
        <f t="shared" si="119"/>
        <v>S29_2026</v>
      </c>
      <c r="BP604" t="s">
        <v>114</v>
      </c>
      <c r="BQ604" t="s">
        <v>118</v>
      </c>
      <c r="BS604" s="22" t="s">
        <v>132</v>
      </c>
      <c r="CI604" t="s">
        <v>119</v>
      </c>
      <c r="CP604" s="11">
        <v>46213</v>
      </c>
      <c r="CQ604" t="s">
        <v>132</v>
      </c>
      <c r="CX604" s="11">
        <v>46213</v>
      </c>
      <c r="CY604" t="str">
        <f t="shared" si="126"/>
        <v>S28_2026</v>
      </c>
      <c r="CZ604" t="s">
        <v>132</v>
      </c>
      <c r="DB604" t="s">
        <v>132</v>
      </c>
      <c r="DC604" t="s">
        <v>120</v>
      </c>
    </row>
    <row r="605" spans="1:107" x14ac:dyDescent="0.35">
      <c r="A605" t="s">
        <v>2247</v>
      </c>
      <c r="B605" s="23" t="str">
        <f t="shared" si="127"/>
        <v>S29_2026</v>
      </c>
      <c r="C605" s="10" t="str">
        <f t="shared" si="128"/>
        <v>S28_2026</v>
      </c>
      <c r="D605" s="11">
        <v>46219</v>
      </c>
      <c r="E605" t="s">
        <v>123</v>
      </c>
      <c r="F605" s="24">
        <v>26</v>
      </c>
      <c r="G605" t="s">
        <v>429</v>
      </c>
      <c r="H605" t="s">
        <v>835</v>
      </c>
      <c r="J605" t="s">
        <v>114</v>
      </c>
      <c r="K605" s="11">
        <v>46218</v>
      </c>
      <c r="L605" t="s">
        <v>126</v>
      </c>
      <c r="M605" t="s">
        <v>1625</v>
      </c>
      <c r="N605" t="s">
        <v>1616</v>
      </c>
      <c r="O605" t="s">
        <v>1823</v>
      </c>
      <c r="P605" t="s">
        <v>2248</v>
      </c>
      <c r="Q605" t="s">
        <v>977</v>
      </c>
      <c r="R605" s="11">
        <v>46215</v>
      </c>
      <c r="T605" s="11">
        <v>46215</v>
      </c>
      <c r="V605" t="s">
        <v>114</v>
      </c>
      <c r="W605" t="s">
        <v>114</v>
      </c>
      <c r="X605" t="s">
        <v>114</v>
      </c>
      <c r="Y605" t="s">
        <v>114</v>
      </c>
      <c r="Z605" t="s">
        <v>114</v>
      </c>
      <c r="AA605" t="s">
        <v>132</v>
      </c>
      <c r="AB605" t="s">
        <v>114</v>
      </c>
      <c r="AC605" t="s">
        <v>1238</v>
      </c>
      <c r="AE605" t="s">
        <v>132</v>
      </c>
      <c r="AF605" t="s">
        <v>132</v>
      </c>
      <c r="AG605" t="s">
        <v>114</v>
      </c>
      <c r="AH605" t="s">
        <v>132</v>
      </c>
      <c r="AI605" t="s">
        <v>132</v>
      </c>
      <c r="AJ605" t="s">
        <v>132</v>
      </c>
      <c r="AK605" t="s">
        <v>132</v>
      </c>
      <c r="AM605" t="s">
        <v>114</v>
      </c>
      <c r="AN605" t="s">
        <v>132</v>
      </c>
      <c r="AP605" t="s">
        <v>132</v>
      </c>
      <c r="AQ605" t="s">
        <v>132</v>
      </c>
      <c r="AU605" t="s">
        <v>114</v>
      </c>
      <c r="AV605" t="s">
        <v>134</v>
      </c>
      <c r="AW605" t="s">
        <v>152</v>
      </c>
      <c r="AY605" t="s">
        <v>452</v>
      </c>
      <c r="BB605" t="s">
        <v>114</v>
      </c>
      <c r="BC605" s="11">
        <v>46218</v>
      </c>
      <c r="BD605" t="s">
        <v>116</v>
      </c>
      <c r="BF605" t="s">
        <v>2249</v>
      </c>
      <c r="BG605" t="s">
        <v>449</v>
      </c>
      <c r="BI605" s="11">
        <v>46222</v>
      </c>
      <c r="BJ605" t="str">
        <f t="shared" ref="BJ605:BJ668" si="129">IFERROR("S"&amp;(IF(_xlfn.ISOWEEKNUM(BI605)&gt;0,_xlfn.ISOWEEKNUM(BI605),_xlfn.CONCAT("0",_xlfn.ISOWEEKNUM(BI605))))&amp;"_"&amp;(YEAR(BI605+26-(_xlfn.ISOWEEKNUM(BI605)))),"")</f>
        <v>S29_2026</v>
      </c>
      <c r="BK605" t="s">
        <v>137</v>
      </c>
      <c r="BL605" t="str">
        <f t="shared" si="125"/>
        <v>S29_2026</v>
      </c>
      <c r="BM605" t="s">
        <v>159</v>
      </c>
      <c r="BN605" s="11">
        <v>46222</v>
      </c>
      <c r="BO605" s="22" t="str">
        <f t="shared" si="119"/>
        <v>S29_2026</v>
      </c>
      <c r="BP605" t="s">
        <v>114</v>
      </c>
      <c r="BQ605" t="s">
        <v>971</v>
      </c>
      <c r="BR605" t="s">
        <v>451</v>
      </c>
      <c r="BS605" s="22" t="s">
        <v>132</v>
      </c>
      <c r="CI605" t="s">
        <v>119</v>
      </c>
      <c r="CK605" t="s">
        <v>138</v>
      </c>
      <c r="CP605" s="11">
        <v>46218</v>
      </c>
      <c r="CQ605" t="s">
        <v>132</v>
      </c>
      <c r="CW605" t="s">
        <v>132</v>
      </c>
      <c r="CX605" s="11">
        <v>46215</v>
      </c>
      <c r="CY605" t="str">
        <f t="shared" si="126"/>
        <v>S28_2026</v>
      </c>
      <c r="CZ605" t="s">
        <v>132</v>
      </c>
      <c r="DB605" t="s">
        <v>132</v>
      </c>
      <c r="DC605" t="s">
        <v>139</v>
      </c>
    </row>
    <row r="606" spans="1:107" x14ac:dyDescent="0.35">
      <c r="A606" t="s">
        <v>2250</v>
      </c>
      <c r="B606" s="23" t="str">
        <f t="shared" si="127"/>
        <v>S29_2026</v>
      </c>
      <c r="C606" s="10" t="str">
        <f t="shared" si="128"/>
        <v>S28_2026</v>
      </c>
      <c r="D606" s="11">
        <v>46218</v>
      </c>
      <c r="E606" t="s">
        <v>123</v>
      </c>
      <c r="F606" s="24">
        <v>12</v>
      </c>
      <c r="G606" t="s">
        <v>107</v>
      </c>
      <c r="H606" t="s">
        <v>108</v>
      </c>
      <c r="J606" t="s">
        <v>132</v>
      </c>
      <c r="L606" t="s">
        <v>170</v>
      </c>
      <c r="M606" t="s">
        <v>2153</v>
      </c>
      <c r="N606" t="s">
        <v>2154</v>
      </c>
      <c r="O606" t="s">
        <v>184</v>
      </c>
      <c r="P606" t="s">
        <v>2251</v>
      </c>
      <c r="Q606" t="s">
        <v>2153</v>
      </c>
      <c r="R606" s="11">
        <v>46214</v>
      </c>
      <c r="S606" s="11">
        <v>46214</v>
      </c>
      <c r="T606" s="11">
        <v>46214</v>
      </c>
      <c r="V606" t="s">
        <v>114</v>
      </c>
      <c r="W606" t="s">
        <v>114</v>
      </c>
      <c r="X606" t="s">
        <v>114</v>
      </c>
      <c r="Y606" t="s">
        <v>114</v>
      </c>
      <c r="Z606" t="s">
        <v>114</v>
      </c>
      <c r="AA606" t="s">
        <v>114</v>
      </c>
      <c r="AB606" t="s">
        <v>114</v>
      </c>
      <c r="AE606" t="s">
        <v>114</v>
      </c>
      <c r="AF606" t="s">
        <v>132</v>
      </c>
      <c r="AG606" t="s">
        <v>114</v>
      </c>
      <c r="AH606" t="s">
        <v>132</v>
      </c>
      <c r="AI606" t="s">
        <v>132</v>
      </c>
      <c r="AJ606" t="s">
        <v>132</v>
      </c>
      <c r="AK606" t="s">
        <v>132</v>
      </c>
      <c r="AM606" t="s">
        <v>132</v>
      </c>
      <c r="AN606" t="s">
        <v>114</v>
      </c>
      <c r="AP606" t="s">
        <v>132</v>
      </c>
      <c r="AQ606" t="s">
        <v>132</v>
      </c>
      <c r="AR606" t="s">
        <v>2252</v>
      </c>
      <c r="AS606" s="11">
        <v>46223</v>
      </c>
      <c r="AU606" t="s">
        <v>114</v>
      </c>
      <c r="AV606" t="s">
        <v>115</v>
      </c>
      <c r="BB606" t="s">
        <v>114</v>
      </c>
      <c r="BC606" s="11">
        <v>46217</v>
      </c>
      <c r="BD606" t="s">
        <v>116</v>
      </c>
      <c r="BE606">
        <v>672951015</v>
      </c>
      <c r="BF606" t="s">
        <v>2154</v>
      </c>
      <c r="BG606" t="s">
        <v>449</v>
      </c>
      <c r="BJ606" t="str">
        <f t="shared" si="129"/>
        <v/>
      </c>
      <c r="BK606" t="s">
        <v>170</v>
      </c>
      <c r="BL606" t="str">
        <f t="shared" si="125"/>
        <v>S29_2026</v>
      </c>
      <c r="BM606" t="s">
        <v>159</v>
      </c>
      <c r="BN606" s="11">
        <v>46228</v>
      </c>
      <c r="BO606" s="22" t="str">
        <f t="shared" si="119"/>
        <v>S30_2026</v>
      </c>
      <c r="BP606" t="s">
        <v>114</v>
      </c>
      <c r="BQ606" t="s">
        <v>450</v>
      </c>
      <c r="BR606" t="s">
        <v>451</v>
      </c>
      <c r="BS606" s="22" t="s">
        <v>132</v>
      </c>
      <c r="CI606" t="s">
        <v>119</v>
      </c>
      <c r="CP606" s="11">
        <v>46217</v>
      </c>
      <c r="CQ606" t="s">
        <v>132</v>
      </c>
      <c r="CW606" t="s">
        <v>132</v>
      </c>
      <c r="CX606" s="11">
        <v>46214</v>
      </c>
      <c r="CY606" t="str">
        <f t="shared" si="126"/>
        <v>S28_2026</v>
      </c>
      <c r="CZ606" t="s">
        <v>132</v>
      </c>
      <c r="DB606" t="s">
        <v>132</v>
      </c>
      <c r="DC606" t="s">
        <v>120</v>
      </c>
    </row>
    <row r="607" spans="1:107" x14ac:dyDescent="0.35">
      <c r="A607" t="s">
        <v>2253</v>
      </c>
      <c r="B607" s="23" t="str">
        <f t="shared" si="127"/>
        <v>S29_2026</v>
      </c>
      <c r="C607" s="10" t="str">
        <f t="shared" si="128"/>
        <v/>
      </c>
      <c r="D607" s="11">
        <v>46218</v>
      </c>
      <c r="E607" t="s">
        <v>123</v>
      </c>
      <c r="F607" s="24">
        <v>25</v>
      </c>
      <c r="H607" t="s">
        <v>835</v>
      </c>
      <c r="J607" t="s">
        <v>114</v>
      </c>
      <c r="K607" s="11">
        <v>46215</v>
      </c>
      <c r="L607" t="s">
        <v>170</v>
      </c>
      <c r="M607" t="s">
        <v>298</v>
      </c>
      <c r="N607" t="s">
        <v>220</v>
      </c>
      <c r="Q607" t="s">
        <v>385</v>
      </c>
      <c r="R607" s="11"/>
      <c r="S607" s="11"/>
      <c r="T607" s="11"/>
      <c r="V607" t="s">
        <v>114</v>
      </c>
      <c r="W607" t="s">
        <v>114</v>
      </c>
      <c r="X607" t="s">
        <v>114</v>
      </c>
      <c r="Y607" t="s">
        <v>114</v>
      </c>
      <c r="Z607" t="s">
        <v>114</v>
      </c>
      <c r="AA607" t="s">
        <v>114</v>
      </c>
      <c r="AB607" t="s">
        <v>114</v>
      </c>
      <c r="AE607" t="s">
        <v>114</v>
      </c>
      <c r="AF607" t="s">
        <v>132</v>
      </c>
      <c r="AG607" t="s">
        <v>132</v>
      </c>
      <c r="AH607" t="s">
        <v>132</v>
      </c>
      <c r="AI607" t="s">
        <v>132</v>
      </c>
      <c r="AJ607" t="s">
        <v>132</v>
      </c>
      <c r="AK607" t="s">
        <v>132</v>
      </c>
      <c r="AM607" t="s">
        <v>132</v>
      </c>
      <c r="AN607" t="s">
        <v>132</v>
      </c>
      <c r="AP607" t="s">
        <v>132</v>
      </c>
      <c r="AQ607" t="s">
        <v>142</v>
      </c>
      <c r="AR607" t="s">
        <v>2254</v>
      </c>
      <c r="AS607" s="11">
        <v>46223</v>
      </c>
      <c r="AU607" t="s">
        <v>114</v>
      </c>
      <c r="AV607" t="s">
        <v>134</v>
      </c>
      <c r="AW607" t="s">
        <v>152</v>
      </c>
      <c r="AY607" t="s">
        <v>135</v>
      </c>
      <c r="BB607" t="s">
        <v>114</v>
      </c>
      <c r="BC607" s="11">
        <v>46215</v>
      </c>
      <c r="BD607" t="s">
        <v>116</v>
      </c>
      <c r="BE607">
        <v>680347492</v>
      </c>
      <c r="BF607" t="s">
        <v>2246</v>
      </c>
      <c r="BG607" t="s">
        <v>449</v>
      </c>
      <c r="BI607" s="11">
        <v>46228</v>
      </c>
      <c r="BJ607" t="str">
        <f t="shared" si="129"/>
        <v>S30_2026</v>
      </c>
      <c r="BK607" t="s">
        <v>117</v>
      </c>
      <c r="BL607" t="str">
        <f t="shared" si="125"/>
        <v>S28_2026</v>
      </c>
      <c r="BM607" t="s">
        <v>159</v>
      </c>
      <c r="BN607" s="11">
        <v>46228</v>
      </c>
      <c r="BO607" s="22" t="str">
        <f t="shared" si="119"/>
        <v>S30_2026</v>
      </c>
      <c r="BP607" t="s">
        <v>114</v>
      </c>
      <c r="BQ607" t="s">
        <v>450</v>
      </c>
      <c r="BR607" t="s">
        <v>451</v>
      </c>
      <c r="BS607" s="22" t="s">
        <v>132</v>
      </c>
      <c r="CI607" t="s">
        <v>119</v>
      </c>
      <c r="CK607" t="s">
        <v>138</v>
      </c>
      <c r="CP607" s="11">
        <v>46215</v>
      </c>
      <c r="CQ607" t="s">
        <v>132</v>
      </c>
      <c r="CW607" t="s">
        <v>132</v>
      </c>
      <c r="CX607" s="11">
        <v>46215</v>
      </c>
      <c r="CY607" t="str">
        <f t="shared" si="126"/>
        <v>S28_2026</v>
      </c>
      <c r="CZ607" t="s">
        <v>132</v>
      </c>
      <c r="DB607" t="s">
        <v>132</v>
      </c>
      <c r="DC607" t="s">
        <v>139</v>
      </c>
    </row>
    <row r="608" spans="1:107" x14ac:dyDescent="0.35">
      <c r="A608" t="s">
        <v>2255</v>
      </c>
      <c r="B608" s="23" t="str">
        <f t="shared" si="127"/>
        <v>S29_2026</v>
      </c>
      <c r="C608" s="10" t="str">
        <f t="shared" si="128"/>
        <v>S27_2026</v>
      </c>
      <c r="D608" s="11">
        <v>46219</v>
      </c>
      <c r="E608" t="s">
        <v>123</v>
      </c>
      <c r="F608" s="24">
        <v>5</v>
      </c>
      <c r="G608" t="s">
        <v>107</v>
      </c>
      <c r="H608" t="s">
        <v>835</v>
      </c>
      <c r="J608" t="s">
        <v>114</v>
      </c>
      <c r="K608" s="11">
        <v>46215</v>
      </c>
      <c r="L608" t="s">
        <v>126</v>
      </c>
      <c r="M608" t="s">
        <v>146</v>
      </c>
      <c r="N608" t="s">
        <v>146</v>
      </c>
      <c r="O608" t="s">
        <v>2256</v>
      </c>
      <c r="P608" t="s">
        <v>2257</v>
      </c>
      <c r="Q608" t="s">
        <v>146</v>
      </c>
      <c r="R608" s="11">
        <v>46207</v>
      </c>
      <c r="S608" s="11">
        <v>46207</v>
      </c>
      <c r="T608" s="11">
        <v>46207</v>
      </c>
      <c r="V608" t="s">
        <v>114</v>
      </c>
      <c r="W608" t="s">
        <v>132</v>
      </c>
      <c r="X608" t="s">
        <v>114</v>
      </c>
      <c r="Y608" t="s">
        <v>114</v>
      </c>
      <c r="Z608" t="s">
        <v>114</v>
      </c>
      <c r="AA608" t="s">
        <v>132</v>
      </c>
      <c r="AB608" t="s">
        <v>114</v>
      </c>
      <c r="AC608" t="s">
        <v>132</v>
      </c>
      <c r="AE608" t="s">
        <v>114</v>
      </c>
      <c r="AF608" t="s">
        <v>114</v>
      </c>
      <c r="AG608" t="s">
        <v>114</v>
      </c>
      <c r="AH608" t="s">
        <v>132</v>
      </c>
      <c r="AI608" t="s">
        <v>132</v>
      </c>
      <c r="AJ608" t="s">
        <v>132</v>
      </c>
      <c r="AK608" t="s">
        <v>114</v>
      </c>
      <c r="AM608" t="s">
        <v>132</v>
      </c>
      <c r="AN608" t="s">
        <v>132</v>
      </c>
      <c r="AP608" t="s">
        <v>132</v>
      </c>
      <c r="AQ608" t="s">
        <v>132</v>
      </c>
      <c r="AS608" s="11">
        <v>46216</v>
      </c>
      <c r="AU608" t="s">
        <v>114</v>
      </c>
      <c r="AV608" t="s">
        <v>115</v>
      </c>
      <c r="BB608" t="s">
        <v>114</v>
      </c>
      <c r="BC608" s="11">
        <v>46216</v>
      </c>
      <c r="BD608" t="s">
        <v>2258</v>
      </c>
      <c r="BF608" t="s">
        <v>146</v>
      </c>
      <c r="BJ608" t="str">
        <f t="shared" si="129"/>
        <v/>
      </c>
      <c r="BK608" t="s">
        <v>137</v>
      </c>
      <c r="BL608" t="str">
        <f t="shared" si="125"/>
        <v>S29_2026</v>
      </c>
      <c r="BM608" t="s">
        <v>159</v>
      </c>
      <c r="BN608" s="11">
        <v>46222</v>
      </c>
      <c r="BO608" s="22" t="str">
        <f t="shared" si="119"/>
        <v>S29_2026</v>
      </c>
      <c r="BP608" t="s">
        <v>114</v>
      </c>
      <c r="BQ608" t="s">
        <v>971</v>
      </c>
      <c r="BR608" t="s">
        <v>451</v>
      </c>
      <c r="BS608" s="22" t="s">
        <v>132</v>
      </c>
      <c r="CI608" t="s">
        <v>119</v>
      </c>
      <c r="CP608" s="11">
        <v>46215</v>
      </c>
      <c r="CQ608" t="s">
        <v>132</v>
      </c>
      <c r="CW608" t="s">
        <v>132</v>
      </c>
      <c r="CX608" s="11">
        <v>46207</v>
      </c>
      <c r="CY608" t="str">
        <f t="shared" si="126"/>
        <v>S27_2026</v>
      </c>
      <c r="CZ608" t="s">
        <v>132</v>
      </c>
      <c r="DB608" t="s">
        <v>132</v>
      </c>
      <c r="DC608" t="s">
        <v>120</v>
      </c>
    </row>
    <row r="609" spans="1:107" x14ac:dyDescent="0.35">
      <c r="A609" s="36" t="s">
        <v>2259</v>
      </c>
      <c r="B609" s="23" t="str">
        <f t="shared" si="127"/>
        <v>S29_2026</v>
      </c>
      <c r="C609" s="10" t="str">
        <f t="shared" si="128"/>
        <v>S25_2026</v>
      </c>
      <c r="D609" s="11">
        <v>46219</v>
      </c>
      <c r="E609" t="s">
        <v>106</v>
      </c>
      <c r="F609" s="24">
        <v>1</v>
      </c>
      <c r="G609" t="s">
        <v>141</v>
      </c>
      <c r="H609" t="s">
        <v>835</v>
      </c>
      <c r="J609" t="s">
        <v>114</v>
      </c>
      <c r="K609" s="11">
        <v>46217</v>
      </c>
      <c r="L609" t="s">
        <v>117</v>
      </c>
      <c r="M609" t="s">
        <v>312</v>
      </c>
      <c r="N609" t="s">
        <v>1154</v>
      </c>
      <c r="O609" t="s">
        <v>2260</v>
      </c>
      <c r="P609" t="s">
        <v>509</v>
      </c>
      <c r="Q609" t="s">
        <v>1779</v>
      </c>
      <c r="R609" s="11">
        <v>46188</v>
      </c>
      <c r="S609" s="11">
        <v>46188</v>
      </c>
      <c r="T609" s="11">
        <v>46188</v>
      </c>
      <c r="V609" t="s">
        <v>114</v>
      </c>
      <c r="W609" t="s">
        <v>114</v>
      </c>
      <c r="X609" t="s">
        <v>114</v>
      </c>
      <c r="Y609" t="s">
        <v>114</v>
      </c>
      <c r="Z609" t="s">
        <v>114</v>
      </c>
      <c r="AA609" t="s">
        <v>114</v>
      </c>
      <c r="AB609" t="s">
        <v>114</v>
      </c>
      <c r="AE609" t="s">
        <v>114</v>
      </c>
      <c r="AF609" t="s">
        <v>132</v>
      </c>
      <c r="AG609" t="s">
        <v>132</v>
      </c>
      <c r="AH609" t="s">
        <v>132</v>
      </c>
      <c r="AI609" t="s">
        <v>132</v>
      </c>
      <c r="AJ609" t="s">
        <v>132</v>
      </c>
      <c r="AK609" t="s">
        <v>132</v>
      </c>
      <c r="AM609" t="s">
        <v>132</v>
      </c>
      <c r="AN609" t="s">
        <v>114</v>
      </c>
      <c r="AP609" t="s">
        <v>132</v>
      </c>
      <c r="AQ609" t="s">
        <v>132</v>
      </c>
      <c r="AR609" t="s">
        <v>2261</v>
      </c>
      <c r="AS609" s="11">
        <v>46218</v>
      </c>
      <c r="AU609" t="s">
        <v>114</v>
      </c>
      <c r="AV609" t="s">
        <v>115</v>
      </c>
      <c r="BB609" t="s">
        <v>114</v>
      </c>
      <c r="BC609" s="11">
        <v>46217</v>
      </c>
      <c r="BD609" t="s">
        <v>116</v>
      </c>
      <c r="BE609">
        <v>697269107</v>
      </c>
      <c r="BF609" t="s">
        <v>1780</v>
      </c>
      <c r="BG609" t="s">
        <v>449</v>
      </c>
      <c r="BJ609" t="str">
        <f t="shared" si="129"/>
        <v/>
      </c>
      <c r="BK609" t="s">
        <v>117</v>
      </c>
      <c r="BL609" t="str">
        <f t="shared" si="125"/>
        <v>S29_2026</v>
      </c>
      <c r="BM609" t="s">
        <v>159</v>
      </c>
      <c r="BN609" s="11">
        <v>46220</v>
      </c>
      <c r="BO609" s="22" t="str">
        <f t="shared" si="119"/>
        <v>S29_2026</v>
      </c>
      <c r="BP609" t="s">
        <v>114</v>
      </c>
      <c r="BQ609" t="s">
        <v>450</v>
      </c>
      <c r="BR609" t="s">
        <v>451</v>
      </c>
      <c r="BS609" s="22" t="s">
        <v>132</v>
      </c>
      <c r="CI609" t="s">
        <v>119</v>
      </c>
      <c r="CP609" s="11">
        <v>46217</v>
      </c>
      <c r="CQ609" t="s">
        <v>132</v>
      </c>
      <c r="CW609" t="s">
        <v>132</v>
      </c>
      <c r="CX609" s="11">
        <v>46188</v>
      </c>
      <c r="CY609" t="str">
        <f t="shared" si="126"/>
        <v>S25_2026</v>
      </c>
      <c r="CZ609" t="s">
        <v>132</v>
      </c>
      <c r="DB609" t="s">
        <v>132</v>
      </c>
      <c r="DC609" t="s">
        <v>120</v>
      </c>
    </row>
    <row r="610" spans="1:107" x14ac:dyDescent="0.35">
      <c r="A610" t="s">
        <v>2262</v>
      </c>
      <c r="B610" s="23" t="str">
        <f t="shared" si="127"/>
        <v>S29_2026</v>
      </c>
      <c r="C610" s="10" t="str">
        <f t="shared" si="128"/>
        <v>S28_2026</v>
      </c>
      <c r="D610" s="11">
        <v>46219</v>
      </c>
      <c r="E610" t="s">
        <v>123</v>
      </c>
      <c r="F610" s="24">
        <v>26</v>
      </c>
      <c r="G610" t="s">
        <v>1197</v>
      </c>
      <c r="H610" t="s">
        <v>835</v>
      </c>
      <c r="J610" t="s">
        <v>114</v>
      </c>
      <c r="K610" s="11">
        <v>46212</v>
      </c>
      <c r="L610" t="s">
        <v>187</v>
      </c>
      <c r="M610" t="s">
        <v>193</v>
      </c>
      <c r="N610" t="s">
        <v>194</v>
      </c>
      <c r="O610" t="s">
        <v>2263</v>
      </c>
      <c r="P610" t="s">
        <v>2264</v>
      </c>
      <c r="Q610" t="s">
        <v>2153</v>
      </c>
      <c r="R610" s="11">
        <v>46210</v>
      </c>
      <c r="S610" s="11">
        <v>46210</v>
      </c>
      <c r="T610" s="11">
        <v>46210</v>
      </c>
      <c r="V610" t="s">
        <v>114</v>
      </c>
      <c r="W610" t="s">
        <v>114</v>
      </c>
      <c r="X610" t="s">
        <v>114</v>
      </c>
      <c r="Y610" t="s">
        <v>114</v>
      </c>
      <c r="Z610" t="s">
        <v>114</v>
      </c>
      <c r="AA610" t="s">
        <v>114</v>
      </c>
      <c r="AB610" t="s">
        <v>114</v>
      </c>
      <c r="AE610" t="s">
        <v>114</v>
      </c>
      <c r="AF610" t="s">
        <v>132</v>
      </c>
      <c r="AG610" t="s">
        <v>114</v>
      </c>
      <c r="AH610" t="s">
        <v>132</v>
      </c>
      <c r="AI610" t="s">
        <v>132</v>
      </c>
      <c r="AJ610" t="s">
        <v>132</v>
      </c>
      <c r="AK610" t="s">
        <v>132</v>
      </c>
      <c r="AM610" t="s">
        <v>132</v>
      </c>
      <c r="AN610" t="s">
        <v>132</v>
      </c>
      <c r="AP610" t="s">
        <v>132</v>
      </c>
      <c r="AQ610" t="s">
        <v>132</v>
      </c>
      <c r="BB610" t="s">
        <v>114</v>
      </c>
      <c r="BC610" s="11">
        <v>46212</v>
      </c>
      <c r="BD610" t="s">
        <v>116</v>
      </c>
      <c r="BE610">
        <v>674745414</v>
      </c>
      <c r="BF610" t="s">
        <v>2154</v>
      </c>
      <c r="BJ610" t="str">
        <f t="shared" si="129"/>
        <v/>
      </c>
      <c r="BK610" t="s">
        <v>170</v>
      </c>
      <c r="BL610" t="str">
        <f t="shared" si="125"/>
        <v>S28_2026</v>
      </c>
      <c r="BM610" t="s">
        <v>159</v>
      </c>
      <c r="BO610" s="22" t="str">
        <f t="shared" si="119"/>
        <v/>
      </c>
      <c r="BR610" t="s">
        <v>451</v>
      </c>
      <c r="BS610" s="22" t="s">
        <v>132</v>
      </c>
      <c r="CI610" t="s">
        <v>119</v>
      </c>
      <c r="CP610" s="11">
        <v>46212</v>
      </c>
      <c r="CX610" s="11">
        <v>46210</v>
      </c>
      <c r="CY610" t="str">
        <f t="shared" si="126"/>
        <v>S28_2026</v>
      </c>
      <c r="DC610" t="s">
        <v>1293</v>
      </c>
    </row>
    <row r="611" spans="1:107" x14ac:dyDescent="0.35">
      <c r="A611" t="s">
        <v>2265</v>
      </c>
      <c r="B611" s="23" t="str">
        <f t="shared" si="127"/>
        <v>S29_2026</v>
      </c>
      <c r="C611" s="10" t="str">
        <f t="shared" si="128"/>
        <v>S28_2026</v>
      </c>
      <c r="D611" s="11">
        <v>46219</v>
      </c>
      <c r="E611" t="s">
        <v>106</v>
      </c>
      <c r="F611" s="24">
        <v>6</v>
      </c>
      <c r="G611" t="s">
        <v>107</v>
      </c>
      <c r="H611" t="s">
        <v>835</v>
      </c>
      <c r="J611" t="s">
        <v>132</v>
      </c>
      <c r="L611" t="s">
        <v>321</v>
      </c>
      <c r="M611" t="s">
        <v>2266</v>
      </c>
      <c r="N611" t="s">
        <v>2267</v>
      </c>
      <c r="O611" t="s">
        <v>184</v>
      </c>
      <c r="P611" t="s">
        <v>2268</v>
      </c>
      <c r="Q611" t="s">
        <v>319</v>
      </c>
      <c r="R611" s="11">
        <v>46213</v>
      </c>
      <c r="S611" s="11">
        <v>46213</v>
      </c>
      <c r="T611" s="11">
        <v>46213</v>
      </c>
      <c r="V611" t="s">
        <v>114</v>
      </c>
      <c r="W611" t="s">
        <v>114</v>
      </c>
      <c r="X611" t="s">
        <v>114</v>
      </c>
      <c r="Y611" t="s">
        <v>114</v>
      </c>
      <c r="Z611" t="s">
        <v>114</v>
      </c>
      <c r="AA611" t="s">
        <v>114</v>
      </c>
      <c r="AB611" t="s">
        <v>114</v>
      </c>
      <c r="AE611" t="s">
        <v>132</v>
      </c>
      <c r="AF611" t="s">
        <v>132</v>
      </c>
      <c r="AG611" t="s">
        <v>132</v>
      </c>
      <c r="AH611" t="s">
        <v>132</v>
      </c>
      <c r="AI611" t="s">
        <v>132</v>
      </c>
      <c r="AJ611" t="s">
        <v>142</v>
      </c>
      <c r="AR611" t="s">
        <v>2269</v>
      </c>
      <c r="AS611" s="11">
        <v>46216</v>
      </c>
      <c r="AU611" t="s">
        <v>114</v>
      </c>
      <c r="AV611" t="s">
        <v>115</v>
      </c>
      <c r="BB611" t="s">
        <v>114</v>
      </c>
      <c r="BC611" s="11">
        <v>46213</v>
      </c>
      <c r="BD611" t="s">
        <v>116</v>
      </c>
      <c r="BF611" t="s">
        <v>2270</v>
      </c>
      <c r="BG611" t="s">
        <v>449</v>
      </c>
      <c r="BJ611" t="str">
        <f t="shared" si="129"/>
        <v/>
      </c>
      <c r="BK611" t="s">
        <v>321</v>
      </c>
      <c r="BL611" t="str">
        <f t="shared" si="125"/>
        <v>S28_2026</v>
      </c>
      <c r="BM611" t="s">
        <v>159</v>
      </c>
      <c r="BN611" s="11">
        <v>46220</v>
      </c>
      <c r="BO611" s="22" t="str">
        <f t="shared" si="119"/>
        <v>S29_2026</v>
      </c>
      <c r="BP611" t="s">
        <v>114</v>
      </c>
      <c r="BQ611" t="s">
        <v>450</v>
      </c>
      <c r="BR611" t="s">
        <v>451</v>
      </c>
      <c r="BS611" s="22" t="s">
        <v>132</v>
      </c>
      <c r="CI611" t="s">
        <v>119</v>
      </c>
      <c r="CP611" s="11">
        <v>46213</v>
      </c>
      <c r="CQ611" t="s">
        <v>132</v>
      </c>
      <c r="CW611" t="s">
        <v>132</v>
      </c>
      <c r="CX611" s="11">
        <v>46213</v>
      </c>
      <c r="CY611" t="str">
        <f t="shared" si="126"/>
        <v>S28_2026</v>
      </c>
      <c r="CZ611" t="s">
        <v>132</v>
      </c>
      <c r="DB611" t="s">
        <v>132</v>
      </c>
      <c r="DC611" t="s">
        <v>120</v>
      </c>
    </row>
    <row r="612" spans="1:107" x14ac:dyDescent="0.35">
      <c r="A612" t="s">
        <v>2271</v>
      </c>
      <c r="B612" s="23" t="str">
        <f t="shared" si="127"/>
        <v>S29_2026</v>
      </c>
      <c r="C612" s="10" t="str">
        <f t="shared" si="128"/>
        <v>S26_2026</v>
      </c>
      <c r="D612" s="11">
        <v>46219</v>
      </c>
      <c r="E612" t="s">
        <v>123</v>
      </c>
      <c r="F612" s="24">
        <v>31</v>
      </c>
      <c r="G612" t="s">
        <v>429</v>
      </c>
      <c r="H612" t="s">
        <v>835</v>
      </c>
      <c r="J612" t="s">
        <v>132</v>
      </c>
      <c r="L612" t="s">
        <v>793</v>
      </c>
      <c r="M612" t="s">
        <v>2090</v>
      </c>
      <c r="N612" t="s">
        <v>2091</v>
      </c>
      <c r="O612" t="s">
        <v>2092</v>
      </c>
      <c r="P612" t="s">
        <v>2272</v>
      </c>
      <c r="Q612" t="s">
        <v>2090</v>
      </c>
      <c r="R612" s="11">
        <v>46201</v>
      </c>
      <c r="T612" s="11">
        <v>46201</v>
      </c>
      <c r="V612" t="s">
        <v>132</v>
      </c>
      <c r="W612" t="s">
        <v>132</v>
      </c>
      <c r="X612" t="s">
        <v>114</v>
      </c>
      <c r="Y612" t="s">
        <v>114</v>
      </c>
      <c r="Z612" t="s">
        <v>132</v>
      </c>
      <c r="AA612" t="s">
        <v>132</v>
      </c>
      <c r="AB612" t="s">
        <v>132</v>
      </c>
      <c r="AE612" t="s">
        <v>132</v>
      </c>
      <c r="AF612" t="s">
        <v>132</v>
      </c>
      <c r="AG612" t="s">
        <v>132</v>
      </c>
      <c r="AH612" t="s">
        <v>132</v>
      </c>
      <c r="AI612" t="s">
        <v>132</v>
      </c>
      <c r="AJ612" t="s">
        <v>132</v>
      </c>
      <c r="AK612" t="s">
        <v>114</v>
      </c>
      <c r="AM612" t="s">
        <v>114</v>
      </c>
      <c r="AN612" t="s">
        <v>132</v>
      </c>
      <c r="AP612" t="s">
        <v>132</v>
      </c>
      <c r="AQ612" t="s">
        <v>132</v>
      </c>
      <c r="BB612" t="s">
        <v>114</v>
      </c>
      <c r="BC612" s="11">
        <v>46213</v>
      </c>
      <c r="BD612" t="s">
        <v>116</v>
      </c>
      <c r="BE612">
        <v>698385566</v>
      </c>
      <c r="BF612" t="s">
        <v>2091</v>
      </c>
      <c r="BJ612" t="str">
        <f t="shared" si="129"/>
        <v/>
      </c>
      <c r="BK612" t="s">
        <v>793</v>
      </c>
      <c r="BL612" t="str">
        <f t="shared" si="125"/>
        <v>S28_2026</v>
      </c>
      <c r="BM612" t="s">
        <v>159</v>
      </c>
      <c r="BO612" s="22" t="str">
        <f t="shared" si="119"/>
        <v/>
      </c>
      <c r="BR612" t="s">
        <v>451</v>
      </c>
      <c r="BS612" s="22" t="s">
        <v>132</v>
      </c>
      <c r="CI612" t="s">
        <v>119</v>
      </c>
      <c r="CP612" s="11">
        <v>46213</v>
      </c>
      <c r="CX612" s="11">
        <v>46201</v>
      </c>
      <c r="CY612" t="str">
        <f t="shared" si="126"/>
        <v>S26_2026</v>
      </c>
      <c r="DC612" t="s">
        <v>1293</v>
      </c>
    </row>
    <row r="613" spans="1:107" x14ac:dyDescent="0.35">
      <c r="A613" s="36" t="s">
        <v>2273</v>
      </c>
      <c r="B613" s="23" t="str">
        <f t="shared" si="127"/>
        <v>S29_2026</v>
      </c>
      <c r="C613" s="10" t="str">
        <f t="shared" si="128"/>
        <v>S28_2026</v>
      </c>
      <c r="D613" s="11">
        <v>46220</v>
      </c>
      <c r="E613" t="s">
        <v>123</v>
      </c>
      <c r="F613" s="24">
        <v>2</v>
      </c>
      <c r="G613" t="s">
        <v>141</v>
      </c>
      <c r="H613" t="s">
        <v>835</v>
      </c>
      <c r="J613" t="s">
        <v>114</v>
      </c>
      <c r="K613" s="11">
        <v>46217</v>
      </c>
      <c r="L613" t="s">
        <v>117</v>
      </c>
      <c r="M613" t="s">
        <v>312</v>
      </c>
      <c r="N613" t="s">
        <v>1154</v>
      </c>
      <c r="O613" t="s">
        <v>2260</v>
      </c>
      <c r="Q613" t="s">
        <v>1779</v>
      </c>
      <c r="R613" s="11">
        <v>46213</v>
      </c>
      <c r="S613" s="11">
        <v>46213</v>
      </c>
      <c r="T613" s="11">
        <v>46213</v>
      </c>
      <c r="V613" t="s">
        <v>132</v>
      </c>
      <c r="W613" t="s">
        <v>132</v>
      </c>
      <c r="X613" t="s">
        <v>132</v>
      </c>
      <c r="Y613" t="s">
        <v>132</v>
      </c>
      <c r="Z613" t="s">
        <v>132</v>
      </c>
      <c r="AA613" t="s">
        <v>132</v>
      </c>
      <c r="AB613" t="s">
        <v>132</v>
      </c>
      <c r="AC613" t="s">
        <v>1147</v>
      </c>
      <c r="AE613" t="s">
        <v>114</v>
      </c>
      <c r="AF613" t="s">
        <v>132</v>
      </c>
      <c r="AG613" t="s">
        <v>132</v>
      </c>
      <c r="AH613" t="s">
        <v>132</v>
      </c>
      <c r="AI613" t="s">
        <v>132</v>
      </c>
      <c r="AJ613" t="s">
        <v>132</v>
      </c>
      <c r="AK613" t="s">
        <v>132</v>
      </c>
      <c r="AM613" t="s">
        <v>132</v>
      </c>
      <c r="AN613" t="s">
        <v>114</v>
      </c>
      <c r="AP613" t="s">
        <v>132</v>
      </c>
      <c r="AQ613" t="s">
        <v>132</v>
      </c>
      <c r="AR613" t="s">
        <v>2274</v>
      </c>
      <c r="AS613" s="11">
        <v>46218</v>
      </c>
      <c r="AU613" t="s">
        <v>114</v>
      </c>
      <c r="AV613" t="s">
        <v>115</v>
      </c>
      <c r="BB613" t="s">
        <v>114</v>
      </c>
      <c r="BC613" s="11">
        <v>46217</v>
      </c>
      <c r="BD613" t="s">
        <v>512</v>
      </c>
      <c r="BE613">
        <v>697269107</v>
      </c>
      <c r="BF613" t="s">
        <v>1780</v>
      </c>
      <c r="BG613" t="s">
        <v>449</v>
      </c>
      <c r="BJ613" t="str">
        <f t="shared" si="129"/>
        <v/>
      </c>
      <c r="BK613" t="s">
        <v>117</v>
      </c>
      <c r="BL613" t="str">
        <f t="shared" si="125"/>
        <v>S29_2026</v>
      </c>
      <c r="BM613" t="s">
        <v>159</v>
      </c>
      <c r="BN613" s="11">
        <v>46220</v>
      </c>
      <c r="BO613" s="22" t="str">
        <f t="shared" si="119"/>
        <v>S29_2026</v>
      </c>
      <c r="BP613" t="s">
        <v>114</v>
      </c>
      <c r="BQ613" t="s">
        <v>450</v>
      </c>
      <c r="BR613" t="s">
        <v>451</v>
      </c>
      <c r="BS613" s="22" t="s">
        <v>132</v>
      </c>
      <c r="CI613" t="s">
        <v>119</v>
      </c>
      <c r="CP613" s="11">
        <v>46217</v>
      </c>
      <c r="CQ613" t="s">
        <v>132</v>
      </c>
      <c r="CW613" t="s">
        <v>132</v>
      </c>
      <c r="CX613" s="11">
        <v>46213</v>
      </c>
      <c r="CY613" t="str">
        <f t="shared" si="126"/>
        <v>S28_2026</v>
      </c>
      <c r="CZ613" t="s">
        <v>132</v>
      </c>
      <c r="DB613" t="s">
        <v>132</v>
      </c>
      <c r="DC613" t="s">
        <v>120</v>
      </c>
    </row>
    <row r="614" spans="1:107" x14ac:dyDescent="0.35">
      <c r="A614" t="s">
        <v>2275</v>
      </c>
      <c r="B614" s="23" t="str">
        <f t="shared" ref="B614:B629" si="130">IFERROR("S"&amp;(IF(_xlfn.ISOWEEKNUM(D614)&gt;0,_xlfn.ISOWEEKNUM(D614),_xlfn.CONCAT("0",_xlfn.ISOWEEKNUM(D614))))&amp;"_"&amp;(YEAR(D614+26-(_xlfn.ISOWEEKNUM(D614)))),"")</f>
        <v>S29_2026</v>
      </c>
      <c r="C614" s="10" t="str">
        <f t="shared" ref="C614:C629" si="131">IFERROR("S"&amp;(IF(_xlfn.ISOWEEKNUM(R614)&gt;0,_xlfn.ISOWEEKNUM(R614),_xlfn.CONCAT("0",_xlfn.ISOWEEKNUM(R614))))&amp;"_"&amp;(YEAR(R614+26-(_xlfn.ISOWEEKNUM(R614)))),"")</f>
        <v>S28_2026</v>
      </c>
      <c r="D614" s="11">
        <v>46221</v>
      </c>
      <c r="E614" t="s">
        <v>123</v>
      </c>
      <c r="F614" s="24">
        <v>33</v>
      </c>
      <c r="G614" t="s">
        <v>2276</v>
      </c>
      <c r="H614" t="s">
        <v>835</v>
      </c>
      <c r="J614" t="s">
        <v>132</v>
      </c>
      <c r="L614" t="s">
        <v>126</v>
      </c>
      <c r="M614" t="s">
        <v>1084</v>
      </c>
      <c r="N614" t="s">
        <v>1274</v>
      </c>
      <c r="O614" t="s">
        <v>1658</v>
      </c>
      <c r="P614" t="s">
        <v>1543</v>
      </c>
      <c r="Q614" t="s">
        <v>1084</v>
      </c>
      <c r="R614" s="11">
        <v>46214</v>
      </c>
      <c r="S614" s="11">
        <v>46213</v>
      </c>
      <c r="T614" s="11">
        <v>46214</v>
      </c>
      <c r="V614" t="s">
        <v>132</v>
      </c>
      <c r="W614" t="s">
        <v>132</v>
      </c>
      <c r="X614" t="s">
        <v>114</v>
      </c>
      <c r="Y614" t="s">
        <v>132</v>
      </c>
      <c r="Z614" t="s">
        <v>132</v>
      </c>
      <c r="AA614" t="s">
        <v>114</v>
      </c>
      <c r="AB614" t="s">
        <v>132</v>
      </c>
      <c r="AC614" t="s">
        <v>2277</v>
      </c>
      <c r="AE614" t="s">
        <v>114</v>
      </c>
      <c r="AF614" t="s">
        <v>114</v>
      </c>
      <c r="AG614" t="s">
        <v>114</v>
      </c>
      <c r="AH614" t="s">
        <v>132</v>
      </c>
      <c r="AI614" t="s">
        <v>132</v>
      </c>
      <c r="AJ614" t="s">
        <v>132</v>
      </c>
      <c r="AK614" t="s">
        <v>132</v>
      </c>
      <c r="AM614" t="s">
        <v>132</v>
      </c>
      <c r="AN614" t="s">
        <v>132</v>
      </c>
      <c r="AP614" t="s">
        <v>132</v>
      </c>
      <c r="AQ614" t="s">
        <v>132</v>
      </c>
      <c r="AS614" s="11">
        <v>46218</v>
      </c>
      <c r="AU614" t="s">
        <v>114</v>
      </c>
      <c r="AV614" t="s">
        <v>134</v>
      </c>
      <c r="AW614" t="s">
        <v>152</v>
      </c>
      <c r="AY614" t="s">
        <v>135</v>
      </c>
      <c r="BB614" t="s">
        <v>114</v>
      </c>
      <c r="BC614" s="11">
        <v>46218</v>
      </c>
      <c r="BD614" t="s">
        <v>2278</v>
      </c>
      <c r="BF614" t="s">
        <v>1274</v>
      </c>
      <c r="BG614" t="s">
        <v>449</v>
      </c>
      <c r="BI614" s="11">
        <v>46222</v>
      </c>
      <c r="BJ614" t="str">
        <f t="shared" si="129"/>
        <v>S29_2026</v>
      </c>
      <c r="BK614" t="s">
        <v>137</v>
      </c>
      <c r="BL614" t="str">
        <f t="shared" si="125"/>
        <v>S29_2026</v>
      </c>
      <c r="BM614" t="s">
        <v>159</v>
      </c>
      <c r="BN614" s="11">
        <v>46222</v>
      </c>
      <c r="BO614" s="22" t="str">
        <f t="shared" si="119"/>
        <v>S29_2026</v>
      </c>
      <c r="BP614" t="s">
        <v>114</v>
      </c>
      <c r="BQ614" t="s">
        <v>971</v>
      </c>
      <c r="BR614" t="s">
        <v>451</v>
      </c>
      <c r="BS614" s="22" t="s">
        <v>132</v>
      </c>
      <c r="CI614" t="s">
        <v>119</v>
      </c>
      <c r="CK614" t="s">
        <v>138</v>
      </c>
      <c r="CP614" s="11">
        <v>46218</v>
      </c>
      <c r="CQ614" t="s">
        <v>132</v>
      </c>
      <c r="CW614" t="s">
        <v>132</v>
      </c>
      <c r="CX614" s="11">
        <v>46214</v>
      </c>
      <c r="CY614" t="str">
        <f t="shared" si="126"/>
        <v>S28_2026</v>
      </c>
      <c r="CZ614" t="s">
        <v>132</v>
      </c>
      <c r="DB614" t="s">
        <v>132</v>
      </c>
      <c r="DC614" t="s">
        <v>139</v>
      </c>
    </row>
    <row r="615" spans="1:107" x14ac:dyDescent="0.35">
      <c r="A615" s="44" t="s">
        <v>2279</v>
      </c>
      <c r="B615" s="23" t="str">
        <f t="shared" si="130"/>
        <v>S29_2026</v>
      </c>
      <c r="C615" s="10" t="str">
        <f t="shared" si="131"/>
        <v>S28_2026</v>
      </c>
      <c r="D615" s="11">
        <v>46221</v>
      </c>
      <c r="E615" t="s">
        <v>123</v>
      </c>
      <c r="F615" s="24">
        <v>30</v>
      </c>
      <c r="G615" t="s">
        <v>429</v>
      </c>
      <c r="H615" t="s">
        <v>835</v>
      </c>
      <c r="J615" t="s">
        <v>114</v>
      </c>
      <c r="K615" s="11">
        <v>46220</v>
      </c>
      <c r="L615" t="s">
        <v>126</v>
      </c>
      <c r="M615" t="s">
        <v>1625</v>
      </c>
      <c r="N615" t="s">
        <v>1874</v>
      </c>
      <c r="O615" t="s">
        <v>2280</v>
      </c>
      <c r="P615" t="s">
        <v>2281</v>
      </c>
      <c r="Q615" t="s">
        <v>853</v>
      </c>
      <c r="R615" s="11">
        <v>46214</v>
      </c>
      <c r="S615" s="11">
        <v>46214</v>
      </c>
      <c r="T615" s="11">
        <v>46214</v>
      </c>
      <c r="V615" t="s">
        <v>132</v>
      </c>
      <c r="W615" t="s">
        <v>132</v>
      </c>
      <c r="X615" t="s">
        <v>114</v>
      </c>
      <c r="Y615" t="s">
        <v>114</v>
      </c>
      <c r="Z615" t="s">
        <v>114</v>
      </c>
      <c r="AA615" t="s">
        <v>114</v>
      </c>
      <c r="AB615" t="s">
        <v>114</v>
      </c>
      <c r="AC615" t="s">
        <v>1238</v>
      </c>
      <c r="AE615" t="s">
        <v>114</v>
      </c>
      <c r="AF615" t="s">
        <v>114</v>
      </c>
      <c r="AG615" t="s">
        <v>132</v>
      </c>
      <c r="AH615" t="s">
        <v>132</v>
      </c>
      <c r="AI615" t="s">
        <v>132</v>
      </c>
      <c r="AJ615" t="s">
        <v>132</v>
      </c>
      <c r="AK615" t="s">
        <v>114</v>
      </c>
      <c r="AM615" t="s">
        <v>114</v>
      </c>
      <c r="AN615" t="s">
        <v>114</v>
      </c>
      <c r="AP615" t="s">
        <v>114</v>
      </c>
      <c r="AQ615" t="s">
        <v>132</v>
      </c>
      <c r="AU615" t="s">
        <v>114</v>
      </c>
      <c r="AV615" t="s">
        <v>134</v>
      </c>
      <c r="AW615" s="59" t="s">
        <v>152</v>
      </c>
      <c r="AY615" t="s">
        <v>135</v>
      </c>
      <c r="BB615" t="s">
        <v>114</v>
      </c>
      <c r="BC615" s="11">
        <v>46220</v>
      </c>
      <c r="BD615" t="s">
        <v>116</v>
      </c>
      <c r="BF615" t="s">
        <v>1361</v>
      </c>
      <c r="BG615" t="s">
        <v>449</v>
      </c>
      <c r="BI615" s="11">
        <v>46223</v>
      </c>
      <c r="BJ615" t="str">
        <f t="shared" si="129"/>
        <v>S30_2026</v>
      </c>
      <c r="BK615" t="s">
        <v>137</v>
      </c>
      <c r="BL615" t="str">
        <f t="shared" si="125"/>
        <v>S29_2026</v>
      </c>
      <c r="BM615" t="s">
        <v>159</v>
      </c>
      <c r="BN615" s="11">
        <v>46223</v>
      </c>
      <c r="BO615" s="22" t="str">
        <f t="shared" si="119"/>
        <v>S30_2026</v>
      </c>
      <c r="BP615" t="s">
        <v>114</v>
      </c>
      <c r="BQ615" t="s">
        <v>971</v>
      </c>
      <c r="BR615" t="s">
        <v>451</v>
      </c>
      <c r="BS615" s="22" t="s">
        <v>132</v>
      </c>
      <c r="CI615" t="s">
        <v>119</v>
      </c>
      <c r="CK615" t="s">
        <v>138</v>
      </c>
      <c r="CP615" s="11">
        <v>46220</v>
      </c>
      <c r="CQ615" t="s">
        <v>132</v>
      </c>
      <c r="CW615" t="s">
        <v>132</v>
      </c>
      <c r="CX615" s="11">
        <v>46214</v>
      </c>
      <c r="CY615" t="str">
        <f t="shared" si="126"/>
        <v>S28_2026</v>
      </c>
      <c r="CZ615" t="s">
        <v>132</v>
      </c>
      <c r="DB615" t="s">
        <v>132</v>
      </c>
      <c r="DC615" t="s">
        <v>139</v>
      </c>
    </row>
    <row r="616" spans="1:107" x14ac:dyDescent="0.35">
      <c r="A616" s="22" t="s">
        <v>2282</v>
      </c>
      <c r="B616" s="23" t="str">
        <f t="shared" si="130"/>
        <v>S29_2026</v>
      </c>
      <c r="C616" s="10" t="str">
        <f t="shared" si="131"/>
        <v>S28_2026</v>
      </c>
      <c r="D616" s="11">
        <v>46221</v>
      </c>
      <c r="E616" t="s">
        <v>123</v>
      </c>
      <c r="F616" s="24">
        <v>6</v>
      </c>
      <c r="G616" t="s">
        <v>107</v>
      </c>
      <c r="H616" t="s">
        <v>835</v>
      </c>
      <c r="J616" t="s">
        <v>114</v>
      </c>
      <c r="K616" s="11">
        <v>46218</v>
      </c>
      <c r="L616" t="s">
        <v>126</v>
      </c>
      <c r="M616" t="s">
        <v>973</v>
      </c>
      <c r="N616" t="s">
        <v>974</v>
      </c>
      <c r="P616" t="s">
        <v>2283</v>
      </c>
      <c r="Q616" t="s">
        <v>973</v>
      </c>
      <c r="R616" s="11">
        <v>46214</v>
      </c>
      <c r="S616" s="11">
        <v>46214</v>
      </c>
      <c r="T616" s="11">
        <v>46217</v>
      </c>
      <c r="V616" t="s">
        <v>114</v>
      </c>
      <c r="W616" t="s">
        <v>114</v>
      </c>
      <c r="X616" t="s">
        <v>132</v>
      </c>
      <c r="Y616" t="s">
        <v>132</v>
      </c>
      <c r="AB616" t="s">
        <v>132</v>
      </c>
      <c r="AC616" t="s">
        <v>1238</v>
      </c>
      <c r="AE616" t="s">
        <v>114</v>
      </c>
      <c r="AI616" t="s">
        <v>132</v>
      </c>
      <c r="AJ616" t="s">
        <v>114</v>
      </c>
      <c r="AK616" t="s">
        <v>132</v>
      </c>
      <c r="AM616" t="s">
        <v>132</v>
      </c>
      <c r="AN616" t="s">
        <v>132</v>
      </c>
      <c r="AP616" t="s">
        <v>132</v>
      </c>
      <c r="AQ616" t="s">
        <v>132</v>
      </c>
      <c r="AU616" t="s">
        <v>114</v>
      </c>
      <c r="AV616" t="s">
        <v>134</v>
      </c>
      <c r="AW616" t="s">
        <v>152</v>
      </c>
      <c r="AY616" t="s">
        <v>135</v>
      </c>
      <c r="BB616" t="s">
        <v>114</v>
      </c>
      <c r="BC616" s="11">
        <v>46218</v>
      </c>
      <c r="BF616" t="s">
        <v>974</v>
      </c>
      <c r="BG616" t="s">
        <v>449</v>
      </c>
      <c r="BI616" s="11">
        <v>46222</v>
      </c>
      <c r="BJ616" t="str">
        <f t="shared" si="129"/>
        <v>S29_2026</v>
      </c>
      <c r="BK616" t="s">
        <v>137</v>
      </c>
      <c r="BL616" t="str">
        <f t="shared" si="125"/>
        <v>S29_2026</v>
      </c>
      <c r="BM616" t="s">
        <v>159</v>
      </c>
      <c r="BN616" s="11">
        <v>46222</v>
      </c>
      <c r="BO616" s="22" t="str">
        <f t="shared" si="119"/>
        <v>S29_2026</v>
      </c>
      <c r="BP616" t="s">
        <v>114</v>
      </c>
      <c r="BQ616" t="s">
        <v>971</v>
      </c>
      <c r="BR616" t="s">
        <v>142</v>
      </c>
      <c r="BS616" s="22" t="s">
        <v>132</v>
      </c>
      <c r="CI616" t="s">
        <v>119</v>
      </c>
      <c r="CK616" t="s">
        <v>138</v>
      </c>
      <c r="CP616" s="11">
        <v>46218</v>
      </c>
      <c r="CQ616" t="s">
        <v>132</v>
      </c>
      <c r="CW616" t="s">
        <v>142</v>
      </c>
      <c r="CX616" s="11">
        <v>46214</v>
      </c>
      <c r="CY616" t="str">
        <f t="shared" si="126"/>
        <v>S28_2026</v>
      </c>
      <c r="CZ616" t="s">
        <v>132</v>
      </c>
      <c r="DB616" t="s">
        <v>132</v>
      </c>
      <c r="DC616" t="s">
        <v>139</v>
      </c>
    </row>
    <row r="617" spans="1:107" x14ac:dyDescent="0.35">
      <c r="A617" t="s">
        <v>2284</v>
      </c>
      <c r="B617" s="23" t="str">
        <f t="shared" si="130"/>
        <v>S30_2026</v>
      </c>
      <c r="C617" s="10" t="str">
        <f t="shared" si="131"/>
        <v/>
      </c>
      <c r="D617" s="11">
        <v>46223</v>
      </c>
      <c r="E617" t="s">
        <v>106</v>
      </c>
      <c r="F617" s="24">
        <v>4</v>
      </c>
      <c r="G617" t="s">
        <v>107</v>
      </c>
      <c r="H617" t="s">
        <v>835</v>
      </c>
      <c r="J617" t="s">
        <v>132</v>
      </c>
      <c r="L617" t="s">
        <v>117</v>
      </c>
      <c r="M617" t="s">
        <v>385</v>
      </c>
      <c r="N617" t="s">
        <v>2285</v>
      </c>
      <c r="O617" t="s">
        <v>2286</v>
      </c>
      <c r="P617" t="s">
        <v>2287</v>
      </c>
      <c r="Q617" t="s">
        <v>385</v>
      </c>
      <c r="V617" t="s">
        <v>114</v>
      </c>
      <c r="W617" t="s">
        <v>114</v>
      </c>
      <c r="X617" t="s">
        <v>114</v>
      </c>
      <c r="Y617" t="s">
        <v>114</v>
      </c>
      <c r="Z617" t="s">
        <v>114</v>
      </c>
      <c r="AA617" t="s">
        <v>114</v>
      </c>
      <c r="AB617" t="s">
        <v>114</v>
      </c>
      <c r="AE617" t="s">
        <v>114</v>
      </c>
      <c r="AF617" t="s">
        <v>114</v>
      </c>
      <c r="AG617" t="s">
        <v>114</v>
      </c>
      <c r="AH617" t="s">
        <v>132</v>
      </c>
      <c r="AI617" t="s">
        <v>132</v>
      </c>
      <c r="AJ617" t="s">
        <v>132</v>
      </c>
      <c r="AK617" t="s">
        <v>132</v>
      </c>
      <c r="AM617" t="s">
        <v>114</v>
      </c>
      <c r="AN617" t="s">
        <v>114</v>
      </c>
      <c r="AP617" t="s">
        <v>132</v>
      </c>
      <c r="AQ617" t="s">
        <v>132</v>
      </c>
      <c r="BB617" t="s">
        <v>114</v>
      </c>
      <c r="BC617" s="11">
        <v>46213</v>
      </c>
      <c r="BD617" t="s">
        <v>524</v>
      </c>
      <c r="BE617">
        <v>678494659</v>
      </c>
      <c r="BF617" t="s">
        <v>2285</v>
      </c>
      <c r="BJ617" t="str">
        <f t="shared" si="129"/>
        <v/>
      </c>
      <c r="BK617" t="s">
        <v>117</v>
      </c>
      <c r="BL617" t="str">
        <f t="shared" si="125"/>
        <v>S28_2026</v>
      </c>
      <c r="BM617" t="s">
        <v>159</v>
      </c>
      <c r="BO617" s="22" t="str">
        <f t="shared" si="119"/>
        <v/>
      </c>
      <c r="BR617" t="s">
        <v>451</v>
      </c>
      <c r="BS617" s="22" t="s">
        <v>132</v>
      </c>
      <c r="CI617" t="s">
        <v>119</v>
      </c>
      <c r="CP617" s="11">
        <v>46212</v>
      </c>
      <c r="CX617" s="11">
        <v>46213</v>
      </c>
      <c r="CY617" t="str">
        <f t="shared" si="126"/>
        <v>S28_2026</v>
      </c>
      <c r="DC617" t="s">
        <v>1293</v>
      </c>
    </row>
    <row r="618" spans="1:107" x14ac:dyDescent="0.35">
      <c r="A618" t="s">
        <v>2288</v>
      </c>
      <c r="B618" s="23" t="str">
        <f t="shared" si="130"/>
        <v>S30_2026</v>
      </c>
      <c r="C618" s="10" t="str">
        <f t="shared" si="131"/>
        <v>S29_2026</v>
      </c>
      <c r="D618" s="11">
        <v>46223</v>
      </c>
      <c r="E618" t="s">
        <v>106</v>
      </c>
      <c r="F618" s="24">
        <v>20</v>
      </c>
      <c r="G618" t="s">
        <v>107</v>
      </c>
      <c r="H618" t="s">
        <v>835</v>
      </c>
      <c r="J618" t="s">
        <v>114</v>
      </c>
      <c r="K618" s="11">
        <v>46221</v>
      </c>
      <c r="L618" t="s">
        <v>117</v>
      </c>
      <c r="M618" t="s">
        <v>143</v>
      </c>
      <c r="N618" t="s">
        <v>2217</v>
      </c>
      <c r="O618" t="s">
        <v>2289</v>
      </c>
      <c r="P618" t="s">
        <v>2217</v>
      </c>
      <c r="Q618" t="s">
        <v>143</v>
      </c>
      <c r="R618" s="11">
        <v>46218</v>
      </c>
      <c r="T618" s="11">
        <v>46218</v>
      </c>
      <c r="V618" t="s">
        <v>132</v>
      </c>
      <c r="W618" t="s">
        <v>132</v>
      </c>
      <c r="X618" t="s">
        <v>114</v>
      </c>
      <c r="Y618" t="s">
        <v>132</v>
      </c>
      <c r="Z618" t="s">
        <v>132</v>
      </c>
      <c r="AA618" t="s">
        <v>132</v>
      </c>
      <c r="AB618" t="s">
        <v>114</v>
      </c>
      <c r="AC618" t="s">
        <v>1238</v>
      </c>
      <c r="AE618" t="s">
        <v>132</v>
      </c>
      <c r="AF618" t="s">
        <v>114</v>
      </c>
      <c r="AG618" t="s">
        <v>132</v>
      </c>
      <c r="AH618" t="s">
        <v>132</v>
      </c>
      <c r="AI618" t="s">
        <v>132</v>
      </c>
      <c r="AJ618" t="s">
        <v>132</v>
      </c>
      <c r="AK618" t="s">
        <v>132</v>
      </c>
      <c r="AM618" t="s">
        <v>114</v>
      </c>
      <c r="AN618" t="s">
        <v>114</v>
      </c>
      <c r="AP618" t="s">
        <v>132</v>
      </c>
      <c r="AQ618" t="s">
        <v>132</v>
      </c>
      <c r="AR618" t="s">
        <v>2290</v>
      </c>
      <c r="AS618" s="11">
        <v>46225</v>
      </c>
      <c r="AU618" t="s">
        <v>114</v>
      </c>
      <c r="AV618" t="s">
        <v>134</v>
      </c>
      <c r="AW618" t="s">
        <v>152</v>
      </c>
      <c r="AY618" t="s">
        <v>2219</v>
      </c>
      <c r="BB618" t="s">
        <v>114</v>
      </c>
      <c r="BC618" s="11">
        <v>46221</v>
      </c>
      <c r="BD618" t="s">
        <v>284</v>
      </c>
      <c r="BE618">
        <v>659436209</v>
      </c>
      <c r="BF618" t="s">
        <v>2217</v>
      </c>
      <c r="BG618" t="s">
        <v>132</v>
      </c>
      <c r="BI618" s="11">
        <v>46228</v>
      </c>
      <c r="BJ618" t="str">
        <f t="shared" si="129"/>
        <v>S30_2026</v>
      </c>
      <c r="BK618" t="s">
        <v>117</v>
      </c>
      <c r="BL618" t="str">
        <f t="shared" si="125"/>
        <v>S29_2026</v>
      </c>
      <c r="BM618" t="s">
        <v>159</v>
      </c>
      <c r="BN618" s="11">
        <v>46228</v>
      </c>
      <c r="BO618" s="22" t="str">
        <f t="shared" si="119"/>
        <v>S30_2026</v>
      </c>
      <c r="BP618" t="s">
        <v>114</v>
      </c>
      <c r="BQ618" t="s">
        <v>118</v>
      </c>
      <c r="BR618" t="s">
        <v>451</v>
      </c>
      <c r="BS618" s="22" t="s">
        <v>132</v>
      </c>
      <c r="CI618" t="s">
        <v>119</v>
      </c>
      <c r="CK618" t="s">
        <v>138</v>
      </c>
      <c r="CP618" s="11">
        <v>46221</v>
      </c>
      <c r="CQ618" t="s">
        <v>132</v>
      </c>
      <c r="CW618" t="s">
        <v>132</v>
      </c>
      <c r="CX618" s="11">
        <v>46218</v>
      </c>
      <c r="CY618" t="str">
        <f t="shared" si="126"/>
        <v>S29_2026</v>
      </c>
      <c r="CZ618" t="s">
        <v>132</v>
      </c>
      <c r="DB618" t="s">
        <v>132</v>
      </c>
      <c r="DC618" t="s">
        <v>139</v>
      </c>
    </row>
    <row r="619" spans="1:107" x14ac:dyDescent="0.35">
      <c r="A619" t="s">
        <v>2291</v>
      </c>
      <c r="B619" s="23" t="str">
        <f t="shared" si="130"/>
        <v>S30_2026</v>
      </c>
      <c r="C619" s="10" t="str">
        <f t="shared" si="131"/>
        <v>S25_2026</v>
      </c>
      <c r="D619" s="11">
        <v>46223</v>
      </c>
      <c r="E619" t="s">
        <v>106</v>
      </c>
      <c r="F619" s="24">
        <v>10</v>
      </c>
      <c r="G619" t="s">
        <v>107</v>
      </c>
      <c r="H619" t="s">
        <v>835</v>
      </c>
      <c r="J619" t="s">
        <v>132</v>
      </c>
      <c r="L619" t="s">
        <v>117</v>
      </c>
      <c r="M619" t="s">
        <v>315</v>
      </c>
      <c r="N619" t="s">
        <v>316</v>
      </c>
      <c r="O619" t="s">
        <v>184</v>
      </c>
      <c r="P619" t="s">
        <v>2292</v>
      </c>
      <c r="Q619" t="s">
        <v>678</v>
      </c>
      <c r="R619" s="11">
        <v>46188</v>
      </c>
      <c r="T619" s="11">
        <v>46188</v>
      </c>
      <c r="V619" t="s">
        <v>132</v>
      </c>
      <c r="W619" t="s">
        <v>132</v>
      </c>
      <c r="X619" t="s">
        <v>132</v>
      </c>
      <c r="Y619" t="s">
        <v>132</v>
      </c>
      <c r="Z619" t="s">
        <v>132</v>
      </c>
      <c r="AA619" t="s">
        <v>132</v>
      </c>
      <c r="AB619" t="s">
        <v>132</v>
      </c>
      <c r="AC619" t="s">
        <v>1067</v>
      </c>
      <c r="AE619" t="s">
        <v>132</v>
      </c>
      <c r="AF619" t="s">
        <v>132</v>
      </c>
      <c r="AG619" t="s">
        <v>132</v>
      </c>
      <c r="AH619" t="s">
        <v>132</v>
      </c>
      <c r="AI619" t="s">
        <v>132</v>
      </c>
      <c r="AJ619" t="s">
        <v>132</v>
      </c>
      <c r="AK619" t="s">
        <v>132</v>
      </c>
      <c r="AM619" t="s">
        <v>132</v>
      </c>
      <c r="AN619" t="s">
        <v>132</v>
      </c>
      <c r="AP619" t="s">
        <v>132</v>
      </c>
      <c r="AQ619" t="s">
        <v>132</v>
      </c>
      <c r="AR619" t="s">
        <v>2293</v>
      </c>
      <c r="AS619" s="11">
        <v>46223</v>
      </c>
      <c r="AU619" t="s">
        <v>114</v>
      </c>
      <c r="AV619" t="s">
        <v>115</v>
      </c>
      <c r="BB619" t="s">
        <v>114</v>
      </c>
      <c r="BC619" s="11">
        <v>46220</v>
      </c>
      <c r="BD619" t="s">
        <v>524</v>
      </c>
      <c r="BE619">
        <v>693785227</v>
      </c>
      <c r="BF619" t="s">
        <v>2294</v>
      </c>
      <c r="BG619" t="s">
        <v>449</v>
      </c>
      <c r="BJ619" t="str">
        <f t="shared" si="129"/>
        <v/>
      </c>
      <c r="BK619" t="s">
        <v>117</v>
      </c>
      <c r="BL619" t="str">
        <f t="shared" si="125"/>
        <v>S29_2026</v>
      </c>
      <c r="BM619" t="s">
        <v>159</v>
      </c>
      <c r="BN619" s="11">
        <v>46228</v>
      </c>
      <c r="BO619" s="22" t="str">
        <f t="shared" si="119"/>
        <v>S30_2026</v>
      </c>
      <c r="BP619" t="s">
        <v>114</v>
      </c>
      <c r="BQ619" t="s">
        <v>450</v>
      </c>
      <c r="BR619" t="s">
        <v>451</v>
      </c>
      <c r="BS619" s="22" t="s">
        <v>132</v>
      </c>
      <c r="CI619" t="s">
        <v>119</v>
      </c>
      <c r="CP619" s="11">
        <v>46220</v>
      </c>
      <c r="CQ619" t="s">
        <v>132</v>
      </c>
      <c r="CW619" t="s">
        <v>132</v>
      </c>
      <c r="CX619" s="11">
        <v>46188</v>
      </c>
      <c r="CY619" t="str">
        <f t="shared" si="126"/>
        <v>S25_2026</v>
      </c>
      <c r="CZ619" t="s">
        <v>132</v>
      </c>
      <c r="DB619" t="s">
        <v>132</v>
      </c>
      <c r="DC619" t="s">
        <v>120</v>
      </c>
    </row>
    <row r="620" spans="1:107" x14ac:dyDescent="0.35">
      <c r="A620" t="s">
        <v>2295</v>
      </c>
      <c r="B620" s="23" t="str">
        <f t="shared" si="130"/>
        <v>S30_2026</v>
      </c>
      <c r="C620" s="10" t="str">
        <f t="shared" si="131"/>
        <v>S25_2026</v>
      </c>
      <c r="D620" s="11">
        <v>46223</v>
      </c>
      <c r="E620" t="s">
        <v>106</v>
      </c>
      <c r="F620" s="24">
        <v>5</v>
      </c>
      <c r="G620" t="s">
        <v>107</v>
      </c>
      <c r="H620" t="s">
        <v>835</v>
      </c>
      <c r="J620" t="s">
        <v>132</v>
      </c>
      <c r="L620" t="s">
        <v>117</v>
      </c>
      <c r="M620" t="s">
        <v>315</v>
      </c>
      <c r="N620" t="s">
        <v>316</v>
      </c>
      <c r="O620" t="s">
        <v>184</v>
      </c>
      <c r="P620" t="s">
        <v>2292</v>
      </c>
      <c r="Q620" t="s">
        <v>678</v>
      </c>
      <c r="R620" s="11">
        <v>46188</v>
      </c>
      <c r="T620" s="11">
        <v>46188</v>
      </c>
      <c r="V620" t="s">
        <v>132</v>
      </c>
      <c r="W620" t="s">
        <v>132</v>
      </c>
      <c r="X620" t="s">
        <v>132</v>
      </c>
      <c r="Y620" t="s">
        <v>132</v>
      </c>
      <c r="Z620" t="s">
        <v>132</v>
      </c>
      <c r="AA620" t="s">
        <v>114</v>
      </c>
      <c r="AB620" t="s">
        <v>132</v>
      </c>
      <c r="AC620" t="s">
        <v>935</v>
      </c>
      <c r="AE620" t="s">
        <v>132</v>
      </c>
      <c r="AF620" t="s">
        <v>132</v>
      </c>
      <c r="AG620" t="s">
        <v>132</v>
      </c>
      <c r="AH620" t="s">
        <v>132</v>
      </c>
      <c r="AI620" t="s">
        <v>132</v>
      </c>
      <c r="AJ620" t="s">
        <v>132</v>
      </c>
      <c r="AK620" t="s">
        <v>132</v>
      </c>
      <c r="AM620" t="s">
        <v>132</v>
      </c>
      <c r="AN620" t="s">
        <v>132</v>
      </c>
      <c r="AP620" t="s">
        <v>132</v>
      </c>
      <c r="AQ620" t="s">
        <v>132</v>
      </c>
      <c r="AR620" t="s">
        <v>2296</v>
      </c>
      <c r="AS620" s="11">
        <v>46223</v>
      </c>
      <c r="AU620" t="s">
        <v>114</v>
      </c>
      <c r="AV620" t="s">
        <v>134</v>
      </c>
      <c r="AW620" t="s">
        <v>2237</v>
      </c>
      <c r="AY620" t="s">
        <v>135</v>
      </c>
      <c r="BB620" t="s">
        <v>114</v>
      </c>
      <c r="BC620" s="11">
        <v>46220</v>
      </c>
      <c r="BD620" t="s">
        <v>455</v>
      </c>
      <c r="BE620">
        <v>593785227</v>
      </c>
      <c r="BF620" t="s">
        <v>2294</v>
      </c>
      <c r="BG620" t="s">
        <v>449</v>
      </c>
      <c r="BI620" s="11">
        <v>46232</v>
      </c>
      <c r="BJ620" t="str">
        <f t="shared" si="129"/>
        <v>S31_2026</v>
      </c>
      <c r="BK620" t="s">
        <v>117</v>
      </c>
      <c r="BL620" t="str">
        <f t="shared" si="125"/>
        <v>S29_2026</v>
      </c>
      <c r="BM620" t="s">
        <v>159</v>
      </c>
      <c r="BN620" s="11">
        <v>46232</v>
      </c>
      <c r="BO620" s="22" t="str">
        <f t="shared" si="119"/>
        <v>S31_2026</v>
      </c>
      <c r="BP620" t="s">
        <v>114</v>
      </c>
      <c r="BQ620" t="s">
        <v>450</v>
      </c>
      <c r="BR620" t="s">
        <v>451</v>
      </c>
      <c r="BS620" s="22" t="s">
        <v>132</v>
      </c>
      <c r="CI620" t="s">
        <v>119</v>
      </c>
      <c r="CK620" t="s">
        <v>138</v>
      </c>
      <c r="CP620" s="11">
        <v>46220</v>
      </c>
      <c r="CQ620" t="s">
        <v>132</v>
      </c>
      <c r="CW620" t="s">
        <v>132</v>
      </c>
      <c r="CX620" s="11">
        <v>46188</v>
      </c>
      <c r="CY620" t="str">
        <f t="shared" si="126"/>
        <v>S25_2026</v>
      </c>
      <c r="CZ620" t="s">
        <v>132</v>
      </c>
      <c r="DB620" t="s">
        <v>132</v>
      </c>
      <c r="DC620" t="s">
        <v>139</v>
      </c>
    </row>
    <row r="621" spans="1:107" x14ac:dyDescent="0.35">
      <c r="A621" t="s">
        <v>2297</v>
      </c>
      <c r="B621" s="23" t="str">
        <f t="shared" si="130"/>
        <v>S30_2026</v>
      </c>
      <c r="C621" s="10" t="str">
        <f t="shared" si="131"/>
        <v>S18_2026</v>
      </c>
      <c r="D621" s="11">
        <v>46223</v>
      </c>
      <c r="E621" t="s">
        <v>123</v>
      </c>
      <c r="F621" s="24">
        <v>5</v>
      </c>
      <c r="G621" t="s">
        <v>107</v>
      </c>
      <c r="H621" t="s">
        <v>835</v>
      </c>
      <c r="J621" t="s">
        <v>132</v>
      </c>
      <c r="L621" t="s">
        <v>117</v>
      </c>
      <c r="M621" t="s">
        <v>315</v>
      </c>
      <c r="N621" t="s">
        <v>316</v>
      </c>
      <c r="O621" t="s">
        <v>184</v>
      </c>
      <c r="P621" t="s">
        <v>2292</v>
      </c>
      <c r="Q621" t="s">
        <v>678</v>
      </c>
      <c r="R621" s="11">
        <v>46143</v>
      </c>
      <c r="T621" s="11">
        <v>46143</v>
      </c>
      <c r="V621" t="s">
        <v>132</v>
      </c>
      <c r="W621" t="s">
        <v>132</v>
      </c>
      <c r="X621" t="s">
        <v>132</v>
      </c>
      <c r="Y621" t="s">
        <v>132</v>
      </c>
      <c r="Z621" t="s">
        <v>132</v>
      </c>
      <c r="AA621" t="s">
        <v>132</v>
      </c>
      <c r="AB621" t="s">
        <v>132</v>
      </c>
      <c r="AC621" t="s">
        <v>1067</v>
      </c>
      <c r="AE621" t="s">
        <v>132</v>
      </c>
      <c r="AF621" t="s">
        <v>132</v>
      </c>
      <c r="AG621" t="s">
        <v>132</v>
      </c>
      <c r="AH621" t="s">
        <v>132</v>
      </c>
      <c r="AI621" t="s">
        <v>132</v>
      </c>
      <c r="AJ621" t="s">
        <v>132</v>
      </c>
      <c r="AK621" t="s">
        <v>132</v>
      </c>
      <c r="AM621" t="s">
        <v>132</v>
      </c>
      <c r="AN621" t="s">
        <v>132</v>
      </c>
      <c r="AP621" t="s">
        <v>132</v>
      </c>
      <c r="AQ621" t="s">
        <v>132</v>
      </c>
      <c r="AR621" t="s">
        <v>2298</v>
      </c>
      <c r="AS621" s="11">
        <v>46223</v>
      </c>
      <c r="AU621" t="s">
        <v>114</v>
      </c>
      <c r="AV621" t="s">
        <v>115</v>
      </c>
      <c r="BB621" t="s">
        <v>114</v>
      </c>
      <c r="BC621" s="11">
        <v>46220</v>
      </c>
      <c r="BD621" t="s">
        <v>455</v>
      </c>
      <c r="BE621">
        <v>695295507</v>
      </c>
      <c r="BF621" t="s">
        <v>2294</v>
      </c>
      <c r="BG621" t="s">
        <v>449</v>
      </c>
      <c r="BJ621" t="str">
        <f t="shared" si="129"/>
        <v/>
      </c>
      <c r="BK621" t="s">
        <v>117</v>
      </c>
      <c r="BL621" t="str">
        <f t="shared" si="125"/>
        <v>S29_2026</v>
      </c>
      <c r="BM621" t="s">
        <v>159</v>
      </c>
      <c r="BN621" s="11">
        <v>46228</v>
      </c>
      <c r="BO621" s="22" t="str">
        <f t="shared" si="119"/>
        <v>S30_2026</v>
      </c>
      <c r="BP621" t="s">
        <v>114</v>
      </c>
      <c r="BQ621" t="s">
        <v>450</v>
      </c>
      <c r="BR621" t="s">
        <v>132</v>
      </c>
      <c r="BS621" s="22" t="s">
        <v>132</v>
      </c>
      <c r="CI621" t="s">
        <v>119</v>
      </c>
      <c r="CP621" s="11">
        <v>46220</v>
      </c>
      <c r="CQ621" t="s">
        <v>132</v>
      </c>
      <c r="CW621" t="s">
        <v>132</v>
      </c>
      <c r="CX621" s="11">
        <v>46143</v>
      </c>
      <c r="CY621" t="str">
        <f t="shared" si="126"/>
        <v>S18_2026</v>
      </c>
      <c r="CZ621" t="s">
        <v>132</v>
      </c>
      <c r="DB621" t="s">
        <v>132</v>
      </c>
      <c r="DC621" t="s">
        <v>120</v>
      </c>
    </row>
    <row r="622" spans="1:107" x14ac:dyDescent="0.35">
      <c r="A622" t="s">
        <v>2299</v>
      </c>
      <c r="B622" s="23" t="str">
        <f t="shared" si="130"/>
        <v>S30_2026</v>
      </c>
      <c r="C622" s="10" t="str">
        <f t="shared" si="131"/>
        <v>S25_2026</v>
      </c>
      <c r="D622" s="11">
        <v>46223</v>
      </c>
      <c r="E622" t="s">
        <v>123</v>
      </c>
      <c r="F622" s="24">
        <v>5</v>
      </c>
      <c r="G622" t="s">
        <v>107</v>
      </c>
      <c r="H622" t="s">
        <v>835</v>
      </c>
      <c r="J622" t="s">
        <v>132</v>
      </c>
      <c r="L622" t="s">
        <v>117</v>
      </c>
      <c r="M622" t="s">
        <v>315</v>
      </c>
      <c r="N622" t="s">
        <v>316</v>
      </c>
      <c r="O622" t="s">
        <v>184</v>
      </c>
      <c r="P622" t="s">
        <v>2292</v>
      </c>
      <c r="Q622" t="s">
        <v>678</v>
      </c>
      <c r="R622" s="11">
        <v>46188</v>
      </c>
      <c r="T622" s="11">
        <v>46188</v>
      </c>
      <c r="V622" t="s">
        <v>132</v>
      </c>
      <c r="W622" t="s">
        <v>132</v>
      </c>
      <c r="X622" t="s">
        <v>132</v>
      </c>
      <c r="Y622" t="s">
        <v>132</v>
      </c>
      <c r="Z622" t="s">
        <v>132</v>
      </c>
      <c r="AA622" t="s">
        <v>114</v>
      </c>
      <c r="AB622" t="s">
        <v>132</v>
      </c>
      <c r="AC622" t="s">
        <v>1377</v>
      </c>
      <c r="AE622" t="s">
        <v>132</v>
      </c>
      <c r="AF622" t="s">
        <v>132</v>
      </c>
      <c r="AG622" t="s">
        <v>132</v>
      </c>
      <c r="AH622" t="s">
        <v>132</v>
      </c>
      <c r="AI622" t="s">
        <v>132</v>
      </c>
      <c r="AJ622" t="s">
        <v>132</v>
      </c>
      <c r="AK622" t="s">
        <v>132</v>
      </c>
      <c r="AM622" t="s">
        <v>132</v>
      </c>
      <c r="AN622" t="s">
        <v>132</v>
      </c>
      <c r="AP622" t="s">
        <v>132</v>
      </c>
      <c r="AQ622" t="s">
        <v>132</v>
      </c>
      <c r="AR622" t="s">
        <v>2300</v>
      </c>
      <c r="AS622" s="11">
        <v>46223</v>
      </c>
      <c r="AU622" t="s">
        <v>114</v>
      </c>
      <c r="AV622" t="s">
        <v>115</v>
      </c>
      <c r="BB622" t="s">
        <v>114</v>
      </c>
      <c r="BC622" s="11">
        <v>46220</v>
      </c>
      <c r="BD622" t="s">
        <v>524</v>
      </c>
      <c r="BE622">
        <v>695295507</v>
      </c>
      <c r="BF622" t="s">
        <v>2294</v>
      </c>
      <c r="BG622" t="s">
        <v>449</v>
      </c>
      <c r="BJ622" t="str">
        <f t="shared" si="129"/>
        <v/>
      </c>
      <c r="BK622" t="s">
        <v>117</v>
      </c>
      <c r="BL622" t="str">
        <f t="shared" si="125"/>
        <v>S29_2026</v>
      </c>
      <c r="BM622" t="s">
        <v>159</v>
      </c>
      <c r="BN622" s="11">
        <v>46228</v>
      </c>
      <c r="BO622" s="22" t="str">
        <f t="shared" si="119"/>
        <v>S30_2026</v>
      </c>
      <c r="BP622" t="s">
        <v>114</v>
      </c>
      <c r="BQ622" t="s">
        <v>450</v>
      </c>
      <c r="BR622" t="s">
        <v>451</v>
      </c>
      <c r="BS622" s="22" t="s">
        <v>132</v>
      </c>
      <c r="CI622" t="s">
        <v>119</v>
      </c>
      <c r="CP622" s="11">
        <v>46220</v>
      </c>
      <c r="CQ622" t="s">
        <v>132</v>
      </c>
      <c r="CW622" t="s">
        <v>132</v>
      </c>
      <c r="CX622" s="11">
        <v>46188</v>
      </c>
      <c r="CY622" t="str">
        <f t="shared" si="126"/>
        <v>S25_2026</v>
      </c>
      <c r="CZ622" t="s">
        <v>132</v>
      </c>
      <c r="DB622" t="s">
        <v>132</v>
      </c>
      <c r="DC622" t="s">
        <v>120</v>
      </c>
    </row>
    <row r="623" spans="1:107" x14ac:dyDescent="0.35">
      <c r="A623" t="s">
        <v>2301</v>
      </c>
      <c r="B623" s="23" t="str">
        <f t="shared" si="130"/>
        <v>S30_2026</v>
      </c>
      <c r="C623" s="10" t="str">
        <f t="shared" si="131"/>
        <v>S20_2026</v>
      </c>
      <c r="D623" s="11">
        <v>46223</v>
      </c>
      <c r="E623" t="s">
        <v>106</v>
      </c>
      <c r="F623" s="24">
        <v>8</v>
      </c>
      <c r="G623" t="s">
        <v>107</v>
      </c>
      <c r="H623" t="s">
        <v>835</v>
      </c>
      <c r="J623" t="s">
        <v>132</v>
      </c>
      <c r="L623" t="s">
        <v>117</v>
      </c>
      <c r="M623" t="s">
        <v>315</v>
      </c>
      <c r="N623" t="s">
        <v>316</v>
      </c>
      <c r="O623" t="s">
        <v>184</v>
      </c>
      <c r="P623" t="s">
        <v>2292</v>
      </c>
      <c r="Q623" t="s">
        <v>678</v>
      </c>
      <c r="R623" s="11">
        <v>46157</v>
      </c>
      <c r="T623" s="11">
        <v>46157</v>
      </c>
      <c r="V623" t="s">
        <v>132</v>
      </c>
      <c r="W623" t="s">
        <v>132</v>
      </c>
      <c r="X623" t="s">
        <v>132</v>
      </c>
      <c r="Y623" t="s">
        <v>132</v>
      </c>
      <c r="Z623" t="s">
        <v>132</v>
      </c>
      <c r="AA623" t="s">
        <v>132</v>
      </c>
      <c r="AB623" t="s">
        <v>132</v>
      </c>
      <c r="AC623" t="s">
        <v>935</v>
      </c>
      <c r="AE623" t="s">
        <v>132</v>
      </c>
      <c r="AF623" t="s">
        <v>132</v>
      </c>
      <c r="AG623" t="s">
        <v>132</v>
      </c>
      <c r="AH623" t="s">
        <v>132</v>
      </c>
      <c r="AI623" t="s">
        <v>132</v>
      </c>
      <c r="AJ623" t="s">
        <v>132</v>
      </c>
      <c r="AK623" t="s">
        <v>132</v>
      </c>
      <c r="AM623" t="s">
        <v>132</v>
      </c>
      <c r="AN623" t="s">
        <v>132</v>
      </c>
      <c r="AP623" t="s">
        <v>132</v>
      </c>
      <c r="AQ623" t="s">
        <v>132</v>
      </c>
      <c r="AR623" t="s">
        <v>2302</v>
      </c>
      <c r="AS623" s="11">
        <v>46223</v>
      </c>
      <c r="AU623" t="s">
        <v>114</v>
      </c>
      <c r="AV623" t="s">
        <v>115</v>
      </c>
      <c r="BB623" t="s">
        <v>114</v>
      </c>
      <c r="BC623" s="11">
        <v>46220</v>
      </c>
      <c r="BD623" t="s">
        <v>524</v>
      </c>
      <c r="BE623">
        <v>693785227</v>
      </c>
      <c r="BF623" t="s">
        <v>2294</v>
      </c>
      <c r="BG623" t="s">
        <v>449</v>
      </c>
      <c r="BJ623" t="str">
        <f t="shared" si="129"/>
        <v/>
      </c>
      <c r="BK623" t="s">
        <v>117</v>
      </c>
      <c r="BL623" t="str">
        <f t="shared" si="125"/>
        <v>S29_2026</v>
      </c>
      <c r="BM623" t="s">
        <v>159</v>
      </c>
      <c r="BN623" s="11">
        <v>46228</v>
      </c>
      <c r="BO623" s="22" t="str">
        <f t="shared" si="119"/>
        <v>S30_2026</v>
      </c>
      <c r="BP623" t="s">
        <v>114</v>
      </c>
      <c r="BQ623" t="s">
        <v>450</v>
      </c>
      <c r="BR623" t="s">
        <v>451</v>
      </c>
      <c r="BS623" s="22" t="s">
        <v>132</v>
      </c>
      <c r="CI623" t="s">
        <v>119</v>
      </c>
      <c r="CP623" s="11">
        <v>46159</v>
      </c>
      <c r="CQ623" t="s">
        <v>132</v>
      </c>
      <c r="CW623" t="s">
        <v>132</v>
      </c>
      <c r="CX623" s="11">
        <v>46157</v>
      </c>
      <c r="CY623" t="str">
        <f t="shared" si="126"/>
        <v>S20_2026</v>
      </c>
      <c r="CZ623" t="s">
        <v>132</v>
      </c>
      <c r="DB623" t="s">
        <v>132</v>
      </c>
      <c r="DC623" t="s">
        <v>120</v>
      </c>
    </row>
    <row r="624" spans="1:107" x14ac:dyDescent="0.35">
      <c r="A624" t="s">
        <v>2303</v>
      </c>
      <c r="B624" s="23" t="str">
        <f t="shared" si="130"/>
        <v>S30_2026</v>
      </c>
      <c r="C624" s="10" t="str">
        <f t="shared" si="131"/>
        <v>S26_2026</v>
      </c>
      <c r="D624" s="11">
        <v>46223</v>
      </c>
      <c r="E624" t="s">
        <v>106</v>
      </c>
      <c r="F624" s="24">
        <v>43</v>
      </c>
      <c r="G624" t="s">
        <v>1751</v>
      </c>
      <c r="H624" t="s">
        <v>835</v>
      </c>
      <c r="J624" t="s">
        <v>132</v>
      </c>
      <c r="L624" t="s">
        <v>170</v>
      </c>
      <c r="M624" t="s">
        <v>164</v>
      </c>
      <c r="N624" t="s">
        <v>165</v>
      </c>
      <c r="O624" t="s">
        <v>2304</v>
      </c>
      <c r="P624" t="s">
        <v>2305</v>
      </c>
      <c r="Q624" t="s">
        <v>167</v>
      </c>
      <c r="R624" s="11">
        <v>46198</v>
      </c>
      <c r="T624" s="11">
        <v>46198</v>
      </c>
      <c r="V624" t="s">
        <v>132</v>
      </c>
      <c r="W624" t="s">
        <v>132</v>
      </c>
      <c r="X624" t="s">
        <v>132</v>
      </c>
      <c r="Y624" t="s">
        <v>132</v>
      </c>
      <c r="Z624" t="s">
        <v>132</v>
      </c>
      <c r="AA624" t="s">
        <v>114</v>
      </c>
      <c r="AB624" t="s">
        <v>132</v>
      </c>
      <c r="AC624" t="s">
        <v>1377</v>
      </c>
      <c r="AE624" t="s">
        <v>132</v>
      </c>
      <c r="AF624" t="s">
        <v>114</v>
      </c>
      <c r="AG624" t="s">
        <v>114</v>
      </c>
      <c r="AH624" t="s">
        <v>132</v>
      </c>
      <c r="AI624" t="s">
        <v>132</v>
      </c>
      <c r="AJ624" t="s">
        <v>132</v>
      </c>
      <c r="AK624" t="s">
        <v>132</v>
      </c>
      <c r="AM624" t="s">
        <v>142</v>
      </c>
      <c r="AN624" t="s">
        <v>114</v>
      </c>
      <c r="AP624" t="s">
        <v>132</v>
      </c>
      <c r="AQ624" t="s">
        <v>132</v>
      </c>
      <c r="AR624" t="s">
        <v>2306</v>
      </c>
      <c r="AS624" s="11">
        <v>46223</v>
      </c>
      <c r="AU624" t="s">
        <v>114</v>
      </c>
      <c r="AV624" t="s">
        <v>115</v>
      </c>
      <c r="BB624" t="s">
        <v>114</v>
      </c>
      <c r="BC624" s="11">
        <v>46219</v>
      </c>
      <c r="BD624" t="s">
        <v>243</v>
      </c>
      <c r="BF624" t="s">
        <v>165</v>
      </c>
      <c r="BG624" t="s">
        <v>132</v>
      </c>
      <c r="BJ624" t="str">
        <f t="shared" si="129"/>
        <v/>
      </c>
      <c r="BK624" t="s">
        <v>170</v>
      </c>
      <c r="BL624" t="str">
        <f t="shared" si="125"/>
        <v>S29_2026</v>
      </c>
      <c r="BM624" t="s">
        <v>159</v>
      </c>
      <c r="BN624" s="11">
        <v>46223</v>
      </c>
      <c r="BO624" s="22" t="str">
        <f t="shared" si="119"/>
        <v>S30_2026</v>
      </c>
      <c r="BP624" t="s">
        <v>114</v>
      </c>
      <c r="BQ624" t="s">
        <v>118</v>
      </c>
      <c r="BR624" t="s">
        <v>451</v>
      </c>
      <c r="BS624" s="22" t="s">
        <v>132</v>
      </c>
      <c r="CI624" t="s">
        <v>119</v>
      </c>
      <c r="CP624" s="11">
        <v>46219</v>
      </c>
      <c r="CQ624" t="s">
        <v>132</v>
      </c>
      <c r="CW624" t="s">
        <v>132</v>
      </c>
      <c r="CX624" s="11">
        <v>46198</v>
      </c>
      <c r="CY624" t="str">
        <f t="shared" si="126"/>
        <v>S26_2026</v>
      </c>
      <c r="CZ624" t="s">
        <v>132</v>
      </c>
      <c r="DB624" t="s">
        <v>132</v>
      </c>
      <c r="DC624" t="s">
        <v>120</v>
      </c>
    </row>
    <row r="625" spans="1:107" x14ac:dyDescent="0.35">
      <c r="A625" t="s">
        <v>2307</v>
      </c>
      <c r="B625" s="23" t="str">
        <f t="shared" si="130"/>
        <v>S30_2026</v>
      </c>
      <c r="C625" s="10" t="str">
        <f t="shared" si="131"/>
        <v>S29_2026</v>
      </c>
      <c r="D625" s="11">
        <v>46223</v>
      </c>
      <c r="E625" t="s">
        <v>123</v>
      </c>
      <c r="F625" s="24">
        <v>29</v>
      </c>
      <c r="G625" t="s">
        <v>429</v>
      </c>
      <c r="H625" t="s">
        <v>835</v>
      </c>
      <c r="J625" t="s">
        <v>114</v>
      </c>
      <c r="K625" s="11">
        <v>46218</v>
      </c>
      <c r="L625" t="s">
        <v>126</v>
      </c>
      <c r="M625" t="s">
        <v>292</v>
      </c>
      <c r="N625" t="s">
        <v>2308</v>
      </c>
      <c r="O625" t="s">
        <v>2309</v>
      </c>
      <c r="P625" t="s">
        <v>2310</v>
      </c>
      <c r="Q625" t="s">
        <v>146</v>
      </c>
      <c r="R625" s="11">
        <v>46217</v>
      </c>
      <c r="S625" s="11">
        <v>374934</v>
      </c>
      <c r="T625" s="11">
        <v>46217</v>
      </c>
      <c r="V625" t="s">
        <v>114</v>
      </c>
      <c r="W625" t="s">
        <v>114</v>
      </c>
      <c r="X625" t="s">
        <v>114</v>
      </c>
      <c r="Y625" t="s">
        <v>114</v>
      </c>
      <c r="Z625" t="s">
        <v>114</v>
      </c>
      <c r="AA625" t="s">
        <v>114</v>
      </c>
      <c r="AB625" t="s">
        <v>114</v>
      </c>
      <c r="AC625" t="s">
        <v>1238</v>
      </c>
      <c r="AE625" t="s">
        <v>132</v>
      </c>
      <c r="AF625" t="s">
        <v>132</v>
      </c>
      <c r="AG625" t="s">
        <v>132</v>
      </c>
      <c r="AH625" t="s">
        <v>132</v>
      </c>
      <c r="AI625" t="s">
        <v>132</v>
      </c>
      <c r="AJ625" t="s">
        <v>132</v>
      </c>
      <c r="AK625" t="s">
        <v>132</v>
      </c>
      <c r="AM625" t="s">
        <v>114</v>
      </c>
      <c r="AN625" t="s">
        <v>132</v>
      </c>
      <c r="AP625" t="s">
        <v>132</v>
      </c>
      <c r="AQ625" t="s">
        <v>132</v>
      </c>
      <c r="AS625" s="11">
        <v>46223</v>
      </c>
      <c r="AU625" s="11" t="s">
        <v>114</v>
      </c>
      <c r="AV625" t="s">
        <v>134</v>
      </c>
      <c r="AW625" s="59" t="s">
        <v>152</v>
      </c>
      <c r="AY625" t="s">
        <v>135</v>
      </c>
      <c r="BB625" t="s">
        <v>114</v>
      </c>
      <c r="BC625" s="11">
        <v>46587</v>
      </c>
      <c r="BD625" t="s">
        <v>2311</v>
      </c>
      <c r="BF625" t="s">
        <v>2312</v>
      </c>
      <c r="BG625" t="s">
        <v>449</v>
      </c>
      <c r="BI625" s="11">
        <v>46224</v>
      </c>
      <c r="BJ625" t="str">
        <f t="shared" si="129"/>
        <v>S30_2026</v>
      </c>
      <c r="BK625" t="s">
        <v>137</v>
      </c>
      <c r="BL625" t="str">
        <f t="shared" si="125"/>
        <v>S29_2027</v>
      </c>
      <c r="BM625" t="s">
        <v>159</v>
      </c>
      <c r="BN625" s="11">
        <v>46224</v>
      </c>
      <c r="BO625" s="22" t="str">
        <f t="shared" si="119"/>
        <v>S30_2026</v>
      </c>
      <c r="BP625" t="s">
        <v>114</v>
      </c>
      <c r="BQ625" t="s">
        <v>971</v>
      </c>
      <c r="BR625" t="s">
        <v>451</v>
      </c>
      <c r="BS625" s="22" t="s">
        <v>132</v>
      </c>
      <c r="CI625" t="s">
        <v>119</v>
      </c>
      <c r="CK625" t="s">
        <v>138</v>
      </c>
      <c r="CP625" s="11">
        <v>46219</v>
      </c>
      <c r="CQ625" t="s">
        <v>132</v>
      </c>
      <c r="CW625" t="s">
        <v>132</v>
      </c>
      <c r="CX625" s="11">
        <v>46217</v>
      </c>
      <c r="CY625" t="str">
        <f t="shared" si="126"/>
        <v>S29_2026</v>
      </c>
      <c r="CZ625" t="s">
        <v>132</v>
      </c>
      <c r="DB625" t="s">
        <v>132</v>
      </c>
      <c r="DC625" t="s">
        <v>139</v>
      </c>
    </row>
    <row r="626" spans="1:107" x14ac:dyDescent="0.35">
      <c r="A626" t="s">
        <v>2313</v>
      </c>
      <c r="B626" s="23" t="str">
        <f t="shared" si="130"/>
        <v>S30_2026</v>
      </c>
      <c r="C626" s="10" t="str">
        <f t="shared" si="131"/>
        <v>S28_2026</v>
      </c>
      <c r="D626" s="11">
        <v>46223</v>
      </c>
      <c r="E626" t="s">
        <v>123</v>
      </c>
      <c r="F626" s="24">
        <v>1</v>
      </c>
      <c r="G626" t="s">
        <v>141</v>
      </c>
      <c r="H626" t="s">
        <v>835</v>
      </c>
      <c r="J626" t="s">
        <v>114</v>
      </c>
      <c r="K626" s="11">
        <v>46223</v>
      </c>
      <c r="L626" t="s">
        <v>126</v>
      </c>
      <c r="M626" t="s">
        <v>1625</v>
      </c>
      <c r="N626" t="s">
        <v>1616</v>
      </c>
      <c r="O626" t="s">
        <v>1823</v>
      </c>
      <c r="P626" t="s">
        <v>1362</v>
      </c>
      <c r="Q626" t="s">
        <v>977</v>
      </c>
      <c r="R626" s="11">
        <v>46213</v>
      </c>
      <c r="S626" s="11">
        <v>46216</v>
      </c>
      <c r="T626" s="11">
        <v>46213</v>
      </c>
      <c r="V626" t="s">
        <v>114</v>
      </c>
      <c r="W626" t="s">
        <v>114</v>
      </c>
      <c r="X626" t="s">
        <v>114</v>
      </c>
      <c r="Y626" t="s">
        <v>114</v>
      </c>
      <c r="Z626" t="s">
        <v>114</v>
      </c>
      <c r="AA626" t="s">
        <v>114</v>
      </c>
      <c r="AB626" t="s">
        <v>114</v>
      </c>
      <c r="AC626" t="s">
        <v>1238</v>
      </c>
      <c r="AE626" t="s">
        <v>114</v>
      </c>
      <c r="AF626" t="s">
        <v>132</v>
      </c>
      <c r="AG626" t="s">
        <v>132</v>
      </c>
      <c r="AH626" t="s">
        <v>132</v>
      </c>
      <c r="AI626" t="s">
        <v>132</v>
      </c>
      <c r="AJ626" t="s">
        <v>132</v>
      </c>
      <c r="AK626" t="s">
        <v>132</v>
      </c>
      <c r="AM626" t="s">
        <v>132</v>
      </c>
      <c r="AN626" t="s">
        <v>132</v>
      </c>
      <c r="AP626" t="s">
        <v>132</v>
      </c>
      <c r="AQ626" t="s">
        <v>132</v>
      </c>
      <c r="AU626" t="s">
        <v>114</v>
      </c>
      <c r="AV626" t="s">
        <v>134</v>
      </c>
      <c r="AW626" s="59" t="s">
        <v>152</v>
      </c>
      <c r="AY626" t="s">
        <v>135</v>
      </c>
      <c r="BB626" t="s">
        <v>114</v>
      </c>
      <c r="BC626" s="11">
        <v>46223</v>
      </c>
      <c r="BD626" t="s">
        <v>2314</v>
      </c>
      <c r="BF626" t="s">
        <v>1364</v>
      </c>
      <c r="BG626" t="s">
        <v>449</v>
      </c>
      <c r="BI626" s="11">
        <v>46224</v>
      </c>
      <c r="BJ626" t="str">
        <f t="shared" si="129"/>
        <v>S30_2026</v>
      </c>
      <c r="BK626" t="s">
        <v>137</v>
      </c>
      <c r="BL626" t="str">
        <f t="shared" si="125"/>
        <v>S30_2026</v>
      </c>
      <c r="BM626" t="s">
        <v>159</v>
      </c>
      <c r="BN626" s="11">
        <v>46224</v>
      </c>
      <c r="BO626" s="22" t="str">
        <f t="shared" si="119"/>
        <v>S30_2026</v>
      </c>
      <c r="BP626" t="s">
        <v>114</v>
      </c>
      <c r="BQ626" t="s">
        <v>971</v>
      </c>
      <c r="BR626" t="s">
        <v>451</v>
      </c>
      <c r="BS626" s="22" t="s">
        <v>132</v>
      </c>
      <c r="CI626" t="s">
        <v>119</v>
      </c>
      <c r="CK626" t="s">
        <v>138</v>
      </c>
      <c r="CP626" s="11">
        <v>46223</v>
      </c>
      <c r="CQ626" t="s">
        <v>132</v>
      </c>
      <c r="CW626" t="s">
        <v>132</v>
      </c>
      <c r="CX626" s="11">
        <v>46213</v>
      </c>
      <c r="CY626" t="str">
        <f t="shared" si="126"/>
        <v>S28_2026</v>
      </c>
      <c r="CZ626" t="s">
        <v>132</v>
      </c>
      <c r="DB626" t="s">
        <v>132</v>
      </c>
      <c r="DC626" t="s">
        <v>139</v>
      </c>
    </row>
    <row r="627" spans="1:107" x14ac:dyDescent="0.35">
      <c r="A627" s="22" t="s">
        <v>2315</v>
      </c>
      <c r="B627" s="23" t="str">
        <f t="shared" si="130"/>
        <v>S30_2026</v>
      </c>
      <c r="C627" s="10" t="str">
        <f t="shared" si="131"/>
        <v>S29_2026</v>
      </c>
      <c r="D627" s="11">
        <v>46223</v>
      </c>
      <c r="E627" t="s">
        <v>106</v>
      </c>
      <c r="F627" s="24">
        <v>35</v>
      </c>
      <c r="G627" t="s">
        <v>2316</v>
      </c>
      <c r="H627" t="s">
        <v>835</v>
      </c>
      <c r="J627" t="s">
        <v>114</v>
      </c>
      <c r="K627" s="11">
        <v>46223</v>
      </c>
      <c r="L627" t="s">
        <v>126</v>
      </c>
      <c r="M627" t="s">
        <v>973</v>
      </c>
      <c r="N627" t="s">
        <v>974</v>
      </c>
      <c r="O627" t="s">
        <v>2317</v>
      </c>
      <c r="P627" t="s">
        <v>2318</v>
      </c>
      <c r="Q627" t="s">
        <v>973</v>
      </c>
      <c r="R627" s="11">
        <v>46222</v>
      </c>
      <c r="S627" s="11">
        <v>46220</v>
      </c>
      <c r="T627" s="11">
        <v>46222</v>
      </c>
      <c r="V627" t="s">
        <v>132</v>
      </c>
      <c r="W627" t="s">
        <v>114</v>
      </c>
      <c r="X627" t="s">
        <v>114</v>
      </c>
      <c r="Y627" t="s">
        <v>132</v>
      </c>
      <c r="Z627" t="s">
        <v>114</v>
      </c>
      <c r="AA627" t="s">
        <v>132</v>
      </c>
      <c r="AB627" t="s">
        <v>114</v>
      </c>
      <c r="AC627" t="s">
        <v>1238</v>
      </c>
      <c r="AE627" t="s">
        <v>114</v>
      </c>
      <c r="AF627" t="s">
        <v>132</v>
      </c>
      <c r="AG627" t="s">
        <v>132</v>
      </c>
      <c r="AH627" t="s">
        <v>132</v>
      </c>
      <c r="AI627" t="s">
        <v>132</v>
      </c>
      <c r="AJ627" t="s">
        <v>132</v>
      </c>
      <c r="AK627" t="s">
        <v>132</v>
      </c>
      <c r="AM627" t="s">
        <v>114</v>
      </c>
      <c r="AN627" t="s">
        <v>132</v>
      </c>
      <c r="AP627" t="s">
        <v>132</v>
      </c>
      <c r="AQ627" t="s">
        <v>132</v>
      </c>
      <c r="AR627" t="s">
        <v>2319</v>
      </c>
      <c r="AS627" s="11">
        <v>46234</v>
      </c>
      <c r="AU627" t="s">
        <v>114</v>
      </c>
      <c r="AV627" t="s">
        <v>134</v>
      </c>
      <c r="AW627" t="s">
        <v>2237</v>
      </c>
      <c r="AY627" t="s">
        <v>135</v>
      </c>
      <c r="BB627" t="s">
        <v>114</v>
      </c>
      <c r="BC627" s="11">
        <v>46223</v>
      </c>
      <c r="BD627" t="s">
        <v>116</v>
      </c>
      <c r="BF627" t="s">
        <v>974</v>
      </c>
      <c r="BG627" t="s">
        <v>449</v>
      </c>
      <c r="BI627" s="11">
        <v>46237</v>
      </c>
      <c r="BJ627" t="str">
        <f t="shared" si="129"/>
        <v>S32_2026</v>
      </c>
      <c r="BK627" t="s">
        <v>137</v>
      </c>
      <c r="BL627" t="str">
        <f t="shared" si="125"/>
        <v>S30_2026</v>
      </c>
      <c r="BM627" t="s">
        <v>159</v>
      </c>
      <c r="BN627" s="11">
        <v>46198</v>
      </c>
      <c r="BO627" s="22" t="str">
        <f t="shared" si="119"/>
        <v>S26_2026</v>
      </c>
      <c r="BP627" t="s">
        <v>114</v>
      </c>
      <c r="BQ627" t="s">
        <v>450</v>
      </c>
      <c r="BR627" t="s">
        <v>451</v>
      </c>
      <c r="BS627" s="22" t="s">
        <v>132</v>
      </c>
      <c r="CI627" t="s">
        <v>119</v>
      </c>
      <c r="CK627" t="s">
        <v>138</v>
      </c>
      <c r="CP627" s="11">
        <v>46223</v>
      </c>
      <c r="CQ627" t="s">
        <v>132</v>
      </c>
      <c r="CW627" t="s">
        <v>132</v>
      </c>
      <c r="CX627" s="11">
        <v>46222</v>
      </c>
      <c r="CY627" t="str">
        <f t="shared" si="126"/>
        <v>S29_2026</v>
      </c>
      <c r="CZ627" t="s">
        <v>132</v>
      </c>
      <c r="DB627" t="s">
        <v>132</v>
      </c>
      <c r="DC627" t="s">
        <v>139</v>
      </c>
    </row>
    <row r="628" spans="1:107" x14ac:dyDescent="0.35">
      <c r="A628" t="s">
        <v>2320</v>
      </c>
      <c r="B628" s="23" t="str">
        <f t="shared" si="130"/>
        <v>S30_2026</v>
      </c>
      <c r="C628" s="10" t="str">
        <f t="shared" si="131"/>
        <v>S28_2026</v>
      </c>
      <c r="D628" s="11">
        <v>46223</v>
      </c>
      <c r="E628" t="s">
        <v>123</v>
      </c>
      <c r="F628" s="24">
        <v>4</v>
      </c>
      <c r="G628" t="s">
        <v>107</v>
      </c>
      <c r="H628" t="s">
        <v>835</v>
      </c>
      <c r="J628" t="s">
        <v>132</v>
      </c>
      <c r="L628" t="s">
        <v>126</v>
      </c>
      <c r="M628" t="s">
        <v>1084</v>
      </c>
      <c r="N628" t="s">
        <v>1475</v>
      </c>
      <c r="O628" t="s">
        <v>2321</v>
      </c>
      <c r="P628" t="s">
        <v>2322</v>
      </c>
      <c r="Q628" t="s">
        <v>1084</v>
      </c>
      <c r="R628" s="11">
        <v>46212</v>
      </c>
      <c r="S628" s="11">
        <v>46212</v>
      </c>
      <c r="T628" s="11">
        <v>46212</v>
      </c>
      <c r="V628" t="s">
        <v>132</v>
      </c>
      <c r="W628" t="s">
        <v>132</v>
      </c>
      <c r="X628" t="s">
        <v>114</v>
      </c>
      <c r="Y628" t="s">
        <v>114</v>
      </c>
      <c r="Z628" t="s">
        <v>114</v>
      </c>
      <c r="AA628" t="s">
        <v>132</v>
      </c>
      <c r="AB628" t="s">
        <v>132</v>
      </c>
      <c r="AC628" t="s">
        <v>1238</v>
      </c>
      <c r="AE628" t="s">
        <v>114</v>
      </c>
      <c r="AF628" t="s">
        <v>132</v>
      </c>
      <c r="AG628" t="s">
        <v>114</v>
      </c>
      <c r="AH628" t="s">
        <v>132</v>
      </c>
      <c r="AI628" t="s">
        <v>132</v>
      </c>
      <c r="AJ628" t="s">
        <v>132</v>
      </c>
      <c r="AK628" t="s">
        <v>114</v>
      </c>
      <c r="AN628" t="s">
        <v>132</v>
      </c>
      <c r="AP628" t="s">
        <v>132</v>
      </c>
      <c r="AQ628" t="s">
        <v>132</v>
      </c>
      <c r="AS628" s="11">
        <v>46223</v>
      </c>
      <c r="AU628" s="11" t="s">
        <v>114</v>
      </c>
      <c r="AV628" t="s">
        <v>115</v>
      </c>
      <c r="BB628" t="s">
        <v>114</v>
      </c>
      <c r="BC628" s="11">
        <v>46220</v>
      </c>
      <c r="BD628" t="s">
        <v>2323</v>
      </c>
      <c r="BF628" t="s">
        <v>2173</v>
      </c>
      <c r="BG628" t="s">
        <v>449</v>
      </c>
      <c r="BJ628" t="str">
        <f t="shared" si="129"/>
        <v/>
      </c>
      <c r="BK628" t="s">
        <v>137</v>
      </c>
      <c r="BL628" t="str">
        <f t="shared" si="125"/>
        <v>S29_2026</v>
      </c>
      <c r="BM628" t="s">
        <v>159</v>
      </c>
      <c r="BN628" s="11">
        <v>46224</v>
      </c>
      <c r="BO628" s="22" t="str">
        <f t="shared" si="119"/>
        <v>S30_2026</v>
      </c>
      <c r="BP628" t="s">
        <v>114</v>
      </c>
      <c r="BQ628" t="s">
        <v>971</v>
      </c>
      <c r="BR628" t="s">
        <v>451</v>
      </c>
      <c r="BS628" s="22" t="s">
        <v>132</v>
      </c>
      <c r="CI628" t="s">
        <v>119</v>
      </c>
      <c r="CP628" s="11">
        <v>46223</v>
      </c>
      <c r="CQ628" t="s">
        <v>132</v>
      </c>
      <c r="CW628" t="s">
        <v>132</v>
      </c>
      <c r="CX628" s="11">
        <v>46212</v>
      </c>
      <c r="CY628" t="str">
        <f t="shared" si="126"/>
        <v>S28_2026</v>
      </c>
      <c r="CZ628" t="s">
        <v>132</v>
      </c>
      <c r="DB628" t="s">
        <v>132</v>
      </c>
      <c r="DC628" t="s">
        <v>120</v>
      </c>
    </row>
    <row r="629" spans="1:107" x14ac:dyDescent="0.35">
      <c r="A629" t="s">
        <v>2324</v>
      </c>
      <c r="B629" s="23" t="str">
        <f t="shared" si="130"/>
        <v>S30_2026</v>
      </c>
      <c r="C629" s="10" t="str">
        <f t="shared" si="131"/>
        <v>S28_2026</v>
      </c>
      <c r="D629" s="11">
        <v>46223</v>
      </c>
      <c r="E629" t="s">
        <v>123</v>
      </c>
      <c r="F629" s="24">
        <v>34</v>
      </c>
      <c r="G629" t="s">
        <v>2325</v>
      </c>
      <c r="H629" t="s">
        <v>835</v>
      </c>
      <c r="J629" t="s">
        <v>114</v>
      </c>
      <c r="K629" s="11">
        <v>46221</v>
      </c>
      <c r="L629" t="s">
        <v>126</v>
      </c>
      <c r="M629" t="s">
        <v>977</v>
      </c>
      <c r="N629" t="s">
        <v>1364</v>
      </c>
      <c r="O629" t="s">
        <v>971</v>
      </c>
      <c r="P629" t="s">
        <v>2326</v>
      </c>
      <c r="Q629" t="s">
        <v>977</v>
      </c>
      <c r="R629" s="11">
        <v>46215</v>
      </c>
      <c r="S629" s="11">
        <v>46215</v>
      </c>
      <c r="T629" s="11">
        <v>46218</v>
      </c>
      <c r="V629" t="s">
        <v>114</v>
      </c>
      <c r="W629" t="s">
        <v>114</v>
      </c>
      <c r="X629" t="s">
        <v>114</v>
      </c>
      <c r="Y629" t="s">
        <v>114</v>
      </c>
      <c r="Z629" t="s">
        <v>114</v>
      </c>
      <c r="AA629" t="s">
        <v>114</v>
      </c>
      <c r="AB629" t="s">
        <v>114</v>
      </c>
      <c r="AC629" t="s">
        <v>1238</v>
      </c>
      <c r="AE629" t="s">
        <v>114</v>
      </c>
      <c r="AF629" t="s">
        <v>114</v>
      </c>
      <c r="AG629" t="s">
        <v>114</v>
      </c>
      <c r="AH629" t="s">
        <v>132</v>
      </c>
      <c r="AI629" t="s">
        <v>132</v>
      </c>
      <c r="AJ629" t="s">
        <v>132</v>
      </c>
      <c r="AK629" t="s">
        <v>114</v>
      </c>
      <c r="AM629" t="s">
        <v>132</v>
      </c>
      <c r="AN629" t="s">
        <v>114</v>
      </c>
      <c r="AP629" t="s">
        <v>132</v>
      </c>
      <c r="AQ629" t="s">
        <v>132</v>
      </c>
      <c r="AS629" s="11">
        <v>46223</v>
      </c>
      <c r="AU629" s="11" t="s">
        <v>114</v>
      </c>
      <c r="AV629" t="s">
        <v>134</v>
      </c>
      <c r="AW629" s="59" t="s">
        <v>152</v>
      </c>
      <c r="AY629" t="s">
        <v>135</v>
      </c>
      <c r="BB629" t="s">
        <v>114</v>
      </c>
      <c r="BC629" s="11">
        <v>46223</v>
      </c>
      <c r="BD629" t="s">
        <v>2314</v>
      </c>
      <c r="BF629" t="s">
        <v>1117</v>
      </c>
      <c r="BG629" t="s">
        <v>449</v>
      </c>
      <c r="BI629" s="11">
        <v>46224</v>
      </c>
      <c r="BJ629" t="str">
        <f t="shared" si="129"/>
        <v>S30_2026</v>
      </c>
      <c r="BK629" t="s">
        <v>137</v>
      </c>
      <c r="BL629" t="str">
        <f t="shared" si="125"/>
        <v>S30_2026</v>
      </c>
      <c r="BM629" t="s">
        <v>159</v>
      </c>
      <c r="BN629" s="11">
        <v>46224</v>
      </c>
      <c r="BO629" s="22" t="str">
        <f t="shared" si="119"/>
        <v>S30_2026</v>
      </c>
      <c r="BP629" t="s">
        <v>114</v>
      </c>
      <c r="BQ629" t="s">
        <v>971</v>
      </c>
      <c r="BR629" t="s">
        <v>451</v>
      </c>
      <c r="BS629" s="22" t="s">
        <v>132</v>
      </c>
      <c r="CI629" t="s">
        <v>119</v>
      </c>
      <c r="CK629" t="s">
        <v>138</v>
      </c>
      <c r="CP629" s="11">
        <v>46222</v>
      </c>
      <c r="CQ629" t="s">
        <v>132</v>
      </c>
      <c r="CW629" t="s">
        <v>132</v>
      </c>
      <c r="CX629" s="11">
        <v>46215</v>
      </c>
      <c r="CY629" t="str">
        <f t="shared" si="126"/>
        <v>S28_2026</v>
      </c>
      <c r="CZ629" t="s">
        <v>132</v>
      </c>
      <c r="DB629" t="s">
        <v>132</v>
      </c>
      <c r="DC629" t="s">
        <v>139</v>
      </c>
    </row>
    <row r="630" spans="1:107" x14ac:dyDescent="0.35">
      <c r="A630" s="22" t="s">
        <v>2327</v>
      </c>
      <c r="B630" s="23" t="str">
        <f t="shared" ref="B630:B639" si="132">IFERROR("S"&amp;(IF(_xlfn.ISOWEEKNUM(D630)&gt;0,_xlfn.ISOWEEKNUM(D630),_xlfn.CONCAT("0",_xlfn.ISOWEEKNUM(D630))))&amp;"_"&amp;(YEAR(D630+26-(_xlfn.ISOWEEKNUM(D630)))),"")</f>
        <v>S30_2026</v>
      </c>
      <c r="C630" s="10" t="str">
        <f t="shared" ref="C630:C639" si="133">IFERROR("S"&amp;(IF(_xlfn.ISOWEEKNUM(R630)&gt;0,_xlfn.ISOWEEKNUM(R630),_xlfn.CONCAT("0",_xlfn.ISOWEEKNUM(R630))))&amp;"_"&amp;(YEAR(R630+26-(_xlfn.ISOWEEKNUM(R630)))),"")</f>
        <v>S27_2026</v>
      </c>
      <c r="D630" s="11">
        <v>46223</v>
      </c>
      <c r="E630" t="s">
        <v>123</v>
      </c>
      <c r="F630" s="24">
        <v>21</v>
      </c>
      <c r="H630" t="s">
        <v>835</v>
      </c>
      <c r="J630" t="s">
        <v>114</v>
      </c>
      <c r="K630" s="11">
        <v>46221</v>
      </c>
      <c r="L630" t="s">
        <v>321</v>
      </c>
      <c r="M630" t="s">
        <v>896</v>
      </c>
      <c r="N630" t="s">
        <v>2240</v>
      </c>
      <c r="O630" t="s">
        <v>1808</v>
      </c>
      <c r="P630" t="s">
        <v>2328</v>
      </c>
      <c r="Q630" t="s">
        <v>896</v>
      </c>
      <c r="R630" s="11">
        <v>46205</v>
      </c>
      <c r="S630" s="11">
        <v>46205</v>
      </c>
      <c r="T630" s="11">
        <v>46205</v>
      </c>
      <c r="V630" t="s">
        <v>132</v>
      </c>
      <c r="W630" t="s">
        <v>132</v>
      </c>
      <c r="X630" t="s">
        <v>132</v>
      </c>
      <c r="Y630" t="s">
        <v>132</v>
      </c>
      <c r="Z630" t="s">
        <v>132</v>
      </c>
      <c r="AA630" t="s">
        <v>114</v>
      </c>
      <c r="AB630" t="s">
        <v>114</v>
      </c>
      <c r="AC630" t="s">
        <v>1238</v>
      </c>
      <c r="AE630" t="s">
        <v>114</v>
      </c>
      <c r="AF630" t="s">
        <v>114</v>
      </c>
      <c r="AG630" t="s">
        <v>132</v>
      </c>
      <c r="AH630" t="s">
        <v>132</v>
      </c>
      <c r="AI630" t="s">
        <v>132</v>
      </c>
      <c r="AJ630" t="s">
        <v>132</v>
      </c>
      <c r="AK630" t="s">
        <v>114</v>
      </c>
      <c r="AM630" t="s">
        <v>142</v>
      </c>
      <c r="AN630" t="s">
        <v>132</v>
      </c>
      <c r="AP630" t="s">
        <v>132</v>
      </c>
      <c r="AQ630" t="s">
        <v>132</v>
      </c>
      <c r="AS630" s="11">
        <v>46212</v>
      </c>
      <c r="AU630" t="s">
        <v>114</v>
      </c>
      <c r="AV630" t="s">
        <v>134</v>
      </c>
      <c r="AW630" t="s">
        <v>152</v>
      </c>
      <c r="AY630" t="s">
        <v>135</v>
      </c>
      <c r="BB630" t="s">
        <v>114</v>
      </c>
      <c r="BC630" s="11">
        <v>46212</v>
      </c>
      <c r="BD630" t="s">
        <v>1440</v>
      </c>
      <c r="BF630" t="s">
        <v>2243</v>
      </c>
      <c r="BG630" t="s">
        <v>449</v>
      </c>
      <c r="BI630" s="11">
        <v>46221</v>
      </c>
      <c r="BJ630" t="str">
        <f t="shared" si="129"/>
        <v>S29_2026</v>
      </c>
      <c r="BK630" t="s">
        <v>321</v>
      </c>
      <c r="BL630" t="str">
        <f t="shared" si="125"/>
        <v>S28_2026</v>
      </c>
      <c r="BM630" t="s">
        <v>159</v>
      </c>
      <c r="BN630" s="11">
        <v>46221</v>
      </c>
      <c r="BO630" s="22" t="str">
        <f t="shared" si="119"/>
        <v>S29_2026</v>
      </c>
      <c r="BP630" t="s">
        <v>114</v>
      </c>
      <c r="BQ630" t="s">
        <v>971</v>
      </c>
      <c r="BR630" t="s">
        <v>451</v>
      </c>
      <c r="BS630" s="22" t="s">
        <v>132</v>
      </c>
      <c r="CI630" t="s">
        <v>119</v>
      </c>
      <c r="CK630" t="s">
        <v>138</v>
      </c>
      <c r="CP630" s="11">
        <v>46212</v>
      </c>
      <c r="CQ630" t="s">
        <v>132</v>
      </c>
      <c r="CX630" s="11">
        <v>46205</v>
      </c>
      <c r="CY630" t="str">
        <f t="shared" si="126"/>
        <v>S27_2026</v>
      </c>
      <c r="CZ630" t="s">
        <v>132</v>
      </c>
      <c r="DB630" t="s">
        <v>132</v>
      </c>
      <c r="DC630" t="s">
        <v>139</v>
      </c>
    </row>
    <row r="631" spans="1:107" x14ac:dyDescent="0.35">
      <c r="A631" s="22" t="s">
        <v>2329</v>
      </c>
      <c r="B631" s="23" t="str">
        <f t="shared" si="132"/>
        <v>S30_2026</v>
      </c>
      <c r="C631" s="10" t="str">
        <f t="shared" si="133"/>
        <v>S29_2026</v>
      </c>
      <c r="D631" s="11">
        <v>46223</v>
      </c>
      <c r="E631" t="s">
        <v>123</v>
      </c>
      <c r="F631" s="24">
        <v>3</v>
      </c>
      <c r="H631" t="s">
        <v>835</v>
      </c>
      <c r="J631" t="s">
        <v>114</v>
      </c>
      <c r="K631" s="11">
        <v>46222</v>
      </c>
      <c r="L631" t="s">
        <v>321</v>
      </c>
      <c r="M631" t="s">
        <v>896</v>
      </c>
      <c r="N631" t="s">
        <v>2240</v>
      </c>
      <c r="O631" t="s">
        <v>2330</v>
      </c>
      <c r="P631" t="s">
        <v>2331</v>
      </c>
      <c r="Q631" t="s">
        <v>896</v>
      </c>
      <c r="R631" s="11">
        <v>46218</v>
      </c>
      <c r="S631" s="11">
        <v>46218</v>
      </c>
      <c r="T631" s="11">
        <v>46218</v>
      </c>
      <c r="V631" t="s">
        <v>114</v>
      </c>
      <c r="W631" t="s">
        <v>114</v>
      </c>
      <c r="X631" t="s">
        <v>114</v>
      </c>
      <c r="Y631" t="s">
        <v>114</v>
      </c>
      <c r="Z631" t="s">
        <v>114</v>
      </c>
      <c r="AA631" t="s">
        <v>114</v>
      </c>
      <c r="AB631" t="s">
        <v>114</v>
      </c>
      <c r="AE631" t="s">
        <v>114</v>
      </c>
      <c r="AF631" t="s">
        <v>132</v>
      </c>
      <c r="AG631" t="s">
        <v>132</v>
      </c>
      <c r="AH631" t="s">
        <v>132</v>
      </c>
      <c r="AI631" t="s">
        <v>132</v>
      </c>
      <c r="AJ631" t="s">
        <v>132</v>
      </c>
      <c r="AK631" t="s">
        <v>132</v>
      </c>
      <c r="AM631" t="s">
        <v>132</v>
      </c>
      <c r="AN631" t="s">
        <v>132</v>
      </c>
      <c r="AP631" t="s">
        <v>132</v>
      </c>
      <c r="AQ631" t="s">
        <v>132</v>
      </c>
      <c r="AS631" s="11">
        <v>46221</v>
      </c>
      <c r="AU631" t="s">
        <v>114</v>
      </c>
      <c r="AV631" t="s">
        <v>134</v>
      </c>
      <c r="AW631" t="s">
        <v>152</v>
      </c>
      <c r="AY631" t="s">
        <v>135</v>
      </c>
      <c r="BB631" t="s">
        <v>114</v>
      </c>
      <c r="BC631" s="11">
        <v>46219</v>
      </c>
      <c r="BD631" t="s">
        <v>458</v>
      </c>
      <c r="BE631">
        <v>696078855</v>
      </c>
      <c r="BF631" t="s">
        <v>2243</v>
      </c>
      <c r="BG631" t="s">
        <v>449</v>
      </c>
      <c r="BI631" s="11">
        <v>46222</v>
      </c>
      <c r="BJ631" t="str">
        <f t="shared" si="129"/>
        <v>S29_2026</v>
      </c>
      <c r="BK631" t="s">
        <v>321</v>
      </c>
      <c r="BL631" t="str">
        <f t="shared" si="125"/>
        <v>S29_2026</v>
      </c>
      <c r="BM631" t="s">
        <v>159</v>
      </c>
      <c r="BN631" s="11">
        <v>46222</v>
      </c>
      <c r="BO631" s="22" t="str">
        <f t="shared" si="119"/>
        <v>S29_2026</v>
      </c>
      <c r="BP631" t="s">
        <v>114</v>
      </c>
      <c r="BQ631" t="s">
        <v>971</v>
      </c>
      <c r="BR631" t="s">
        <v>451</v>
      </c>
      <c r="BS631" s="22" t="s">
        <v>132</v>
      </c>
      <c r="CI631" t="s">
        <v>119</v>
      </c>
      <c r="CK631" t="s">
        <v>138</v>
      </c>
      <c r="CP631" s="11">
        <v>46219</v>
      </c>
      <c r="CQ631" t="s">
        <v>132</v>
      </c>
      <c r="CW631" t="s">
        <v>132</v>
      </c>
      <c r="CX631" s="11">
        <v>46218</v>
      </c>
      <c r="CY631" t="str">
        <f t="shared" si="126"/>
        <v>S29_2026</v>
      </c>
      <c r="CZ631" t="s">
        <v>132</v>
      </c>
      <c r="DB631" t="s">
        <v>132</v>
      </c>
      <c r="DC631" t="s">
        <v>139</v>
      </c>
    </row>
    <row r="632" spans="1:107" x14ac:dyDescent="0.35">
      <c r="A632" t="s">
        <v>2332</v>
      </c>
      <c r="B632" s="23" t="str">
        <f t="shared" si="132"/>
        <v>S30_2026</v>
      </c>
      <c r="C632" s="10" t="str">
        <f t="shared" si="133"/>
        <v>S24_2026</v>
      </c>
      <c r="D632" s="11">
        <v>46225</v>
      </c>
      <c r="E632" t="s">
        <v>123</v>
      </c>
      <c r="F632" s="24">
        <v>23</v>
      </c>
      <c r="G632" t="s">
        <v>564</v>
      </c>
      <c r="H632" t="s">
        <v>835</v>
      </c>
      <c r="J632" t="s">
        <v>114</v>
      </c>
      <c r="K632" s="11">
        <v>46223</v>
      </c>
      <c r="L632" t="s">
        <v>117</v>
      </c>
      <c r="M632" t="s">
        <v>312</v>
      </c>
      <c r="N632" t="s">
        <v>1154</v>
      </c>
      <c r="O632" t="s">
        <v>2333</v>
      </c>
      <c r="P632" t="s">
        <v>2334</v>
      </c>
      <c r="Q632" t="s">
        <v>510</v>
      </c>
      <c r="R632" s="11">
        <v>46183</v>
      </c>
      <c r="S632" s="11">
        <v>46183</v>
      </c>
      <c r="T632" s="11">
        <v>46183</v>
      </c>
      <c r="V632" t="s">
        <v>114</v>
      </c>
      <c r="W632" t="s">
        <v>114</v>
      </c>
      <c r="X632" t="s">
        <v>114</v>
      </c>
      <c r="Y632" t="s">
        <v>114</v>
      </c>
      <c r="Z632" t="s">
        <v>114</v>
      </c>
      <c r="AA632" t="s">
        <v>114</v>
      </c>
      <c r="AB632" t="s">
        <v>114</v>
      </c>
      <c r="AE632" t="s">
        <v>114</v>
      </c>
      <c r="AF632" t="s">
        <v>114</v>
      </c>
      <c r="AG632" t="s">
        <v>114</v>
      </c>
      <c r="AH632" t="s">
        <v>132</v>
      </c>
      <c r="AI632" t="s">
        <v>132</v>
      </c>
      <c r="AJ632" t="s">
        <v>132</v>
      </c>
      <c r="AK632" t="s">
        <v>114</v>
      </c>
      <c r="AM632" t="s">
        <v>132</v>
      </c>
      <c r="AN632" t="s">
        <v>114</v>
      </c>
      <c r="AP632" t="s">
        <v>132</v>
      </c>
      <c r="AQ632" t="s">
        <v>132</v>
      </c>
      <c r="AR632" t="s">
        <v>2335</v>
      </c>
      <c r="AS632" s="11">
        <v>46225</v>
      </c>
      <c r="AU632" t="s">
        <v>114</v>
      </c>
      <c r="AV632" t="s">
        <v>134</v>
      </c>
      <c r="AW632" t="s">
        <v>2237</v>
      </c>
      <c r="AY632" t="s">
        <v>135</v>
      </c>
      <c r="BB632" t="s">
        <v>114</v>
      </c>
      <c r="BC632" s="11">
        <v>46223</v>
      </c>
      <c r="BD632" t="s">
        <v>2314</v>
      </c>
      <c r="BE632">
        <v>695662119</v>
      </c>
      <c r="BF632" t="s">
        <v>706</v>
      </c>
      <c r="BG632" t="s">
        <v>449</v>
      </c>
      <c r="BI632" s="11">
        <v>46232</v>
      </c>
      <c r="BJ632" t="str">
        <f t="shared" si="129"/>
        <v>S31_2026</v>
      </c>
      <c r="BK632" t="s">
        <v>117</v>
      </c>
      <c r="BL632" t="str">
        <f t="shared" si="125"/>
        <v>S30_2026</v>
      </c>
      <c r="BM632" t="s">
        <v>159</v>
      </c>
      <c r="BN632" s="11">
        <v>46232</v>
      </c>
      <c r="BO632" s="22" t="str">
        <f t="shared" si="119"/>
        <v>S31_2026</v>
      </c>
      <c r="BP632" t="s">
        <v>114</v>
      </c>
      <c r="BQ632" t="s">
        <v>450</v>
      </c>
      <c r="BR632" t="s">
        <v>451</v>
      </c>
      <c r="BS632" s="22" t="s">
        <v>132</v>
      </c>
      <c r="CI632" t="s">
        <v>119</v>
      </c>
      <c r="CK632" t="s">
        <v>138</v>
      </c>
      <c r="CP632" s="11">
        <v>46223</v>
      </c>
      <c r="CQ632" t="s">
        <v>132</v>
      </c>
      <c r="CW632" t="s">
        <v>132</v>
      </c>
      <c r="CX632" s="11">
        <v>46183</v>
      </c>
      <c r="CY632" t="str">
        <f t="shared" si="126"/>
        <v>S24_2026</v>
      </c>
      <c r="CZ632" t="s">
        <v>132</v>
      </c>
      <c r="DB632" t="s">
        <v>132</v>
      </c>
      <c r="DC632" t="s">
        <v>139</v>
      </c>
    </row>
    <row r="633" spans="1:107" x14ac:dyDescent="0.35">
      <c r="A633" s="54" t="s">
        <v>2336</v>
      </c>
      <c r="B633" s="23" t="str">
        <f t="shared" si="132"/>
        <v>S30_2026</v>
      </c>
      <c r="C633" s="10" t="str">
        <f t="shared" si="133"/>
        <v>S29_2026</v>
      </c>
      <c r="D633" s="11">
        <v>46225</v>
      </c>
      <c r="E633" t="s">
        <v>106</v>
      </c>
      <c r="F633" s="24">
        <v>30</v>
      </c>
      <c r="G633" t="s">
        <v>1593</v>
      </c>
      <c r="H633" t="s">
        <v>835</v>
      </c>
      <c r="J633" t="s">
        <v>114</v>
      </c>
      <c r="K633" s="11">
        <v>46223</v>
      </c>
      <c r="L633" t="s">
        <v>126</v>
      </c>
      <c r="M633" t="s">
        <v>977</v>
      </c>
      <c r="N633" t="s">
        <v>1364</v>
      </c>
      <c r="O633" t="s">
        <v>971</v>
      </c>
      <c r="P633" t="s">
        <v>2337</v>
      </c>
      <c r="Q633" t="s">
        <v>292</v>
      </c>
      <c r="R633" s="11">
        <v>46220</v>
      </c>
      <c r="S633" s="11">
        <v>46222</v>
      </c>
      <c r="T633" s="11">
        <v>46222</v>
      </c>
      <c r="V633" t="s">
        <v>132</v>
      </c>
      <c r="W633" t="s">
        <v>114</v>
      </c>
      <c r="X633" t="s">
        <v>132</v>
      </c>
      <c r="Y633" t="s">
        <v>132</v>
      </c>
      <c r="Z633" t="s">
        <v>132</v>
      </c>
      <c r="AA633" t="s">
        <v>114</v>
      </c>
      <c r="AB633" t="s">
        <v>132</v>
      </c>
      <c r="AC633" t="s">
        <v>1238</v>
      </c>
      <c r="AE633" t="s">
        <v>114</v>
      </c>
      <c r="AF633" t="s">
        <v>114</v>
      </c>
      <c r="AG633" t="s">
        <v>114</v>
      </c>
      <c r="AH633" t="s">
        <v>114</v>
      </c>
      <c r="AI633" t="s">
        <v>132</v>
      </c>
      <c r="AJ633" t="s">
        <v>132</v>
      </c>
      <c r="AK633" t="s">
        <v>114</v>
      </c>
      <c r="AM633" t="s">
        <v>114</v>
      </c>
      <c r="AN633" t="s">
        <v>114</v>
      </c>
      <c r="AP633" t="s">
        <v>132</v>
      </c>
      <c r="AQ633" t="s">
        <v>132</v>
      </c>
      <c r="AS633" s="11">
        <v>46224</v>
      </c>
      <c r="BB633" t="s">
        <v>114</v>
      </c>
      <c r="BC633" s="11">
        <v>46224</v>
      </c>
      <c r="BD633" t="s">
        <v>2314</v>
      </c>
      <c r="BF633" t="s">
        <v>292</v>
      </c>
      <c r="BJ633" t="str">
        <f t="shared" si="129"/>
        <v/>
      </c>
      <c r="BK633" t="s">
        <v>137</v>
      </c>
      <c r="BL633" t="str">
        <f t="shared" si="125"/>
        <v>S30_2026</v>
      </c>
      <c r="BM633" t="s">
        <v>159</v>
      </c>
      <c r="BO633" s="22" t="str">
        <f t="shared" si="119"/>
        <v/>
      </c>
      <c r="CP633" s="11">
        <v>46224</v>
      </c>
      <c r="CX633" s="11">
        <v>46220</v>
      </c>
      <c r="CY633" t="str">
        <f t="shared" si="126"/>
        <v>S29_2026</v>
      </c>
      <c r="DC633" t="s">
        <v>1293</v>
      </c>
    </row>
    <row r="634" spans="1:107" x14ac:dyDescent="0.35">
      <c r="A634" s="36" t="s">
        <v>2338</v>
      </c>
      <c r="B634" s="23" t="str">
        <f t="shared" si="132"/>
        <v>S30_2026</v>
      </c>
      <c r="C634" s="10" t="str">
        <f t="shared" si="133"/>
        <v>S30_2026</v>
      </c>
      <c r="D634" s="11">
        <v>46225</v>
      </c>
      <c r="E634" t="s">
        <v>123</v>
      </c>
      <c r="F634" s="24">
        <v>34</v>
      </c>
      <c r="G634" t="s">
        <v>2339</v>
      </c>
      <c r="H634" t="s">
        <v>835</v>
      </c>
      <c r="J634" t="s">
        <v>114</v>
      </c>
      <c r="K634" s="11">
        <v>46225</v>
      </c>
      <c r="L634" t="s">
        <v>126</v>
      </c>
      <c r="M634" t="s">
        <v>1625</v>
      </c>
      <c r="N634" t="s">
        <v>1553</v>
      </c>
      <c r="O634" t="s">
        <v>1554</v>
      </c>
      <c r="P634" t="s">
        <v>1198</v>
      </c>
      <c r="Q634" t="s">
        <v>541</v>
      </c>
      <c r="R634" s="11">
        <v>46223</v>
      </c>
      <c r="T634" s="11">
        <v>46223</v>
      </c>
      <c r="V634" t="s">
        <v>132</v>
      </c>
      <c r="W634" t="s">
        <v>114</v>
      </c>
      <c r="X634" t="s">
        <v>132</v>
      </c>
      <c r="Y634" t="s">
        <v>114</v>
      </c>
      <c r="Z634" t="s">
        <v>114</v>
      </c>
      <c r="AA634" t="s">
        <v>132</v>
      </c>
      <c r="AB634" t="s">
        <v>114</v>
      </c>
      <c r="AC634" t="s">
        <v>1238</v>
      </c>
      <c r="AE634" t="s">
        <v>132</v>
      </c>
      <c r="AF634" t="s">
        <v>132</v>
      </c>
      <c r="AG634" t="s">
        <v>114</v>
      </c>
      <c r="AH634" t="s">
        <v>132</v>
      </c>
      <c r="AI634" t="s">
        <v>114</v>
      </c>
      <c r="AJ634" t="s">
        <v>132</v>
      </c>
      <c r="AK634" t="s">
        <v>132</v>
      </c>
      <c r="AM634" t="s">
        <v>132</v>
      </c>
      <c r="AN634" t="s">
        <v>132</v>
      </c>
      <c r="AP634" t="s">
        <v>132</v>
      </c>
      <c r="AQ634" t="s">
        <v>132</v>
      </c>
      <c r="AU634" t="s">
        <v>114</v>
      </c>
      <c r="AV634" t="s">
        <v>134</v>
      </c>
      <c r="AW634" t="s">
        <v>2237</v>
      </c>
      <c r="AY634" t="s">
        <v>135</v>
      </c>
      <c r="BB634" t="s">
        <v>114</v>
      </c>
      <c r="BC634" s="11">
        <v>46225</v>
      </c>
      <c r="BD634" t="s">
        <v>2340</v>
      </c>
      <c r="BF634" t="s">
        <v>2341</v>
      </c>
      <c r="BG634" t="s">
        <v>449</v>
      </c>
      <c r="BI634" s="11">
        <v>46228</v>
      </c>
      <c r="BJ634" t="str">
        <f t="shared" si="129"/>
        <v>S30_2026</v>
      </c>
      <c r="BK634" t="s">
        <v>137</v>
      </c>
      <c r="BL634" t="str">
        <f t="shared" si="125"/>
        <v>S30_2026</v>
      </c>
      <c r="BM634" t="s">
        <v>159</v>
      </c>
      <c r="BN634" s="11">
        <v>46228</v>
      </c>
      <c r="BO634" s="22" t="str">
        <f t="shared" ref="BO634:BO697" si="134">IFERROR("S"&amp;(IF(_xlfn.ISOWEEKNUM(BN634)&gt;0,_xlfn.ISOWEEKNUM(BN634),_xlfn.CONCAT("0",_xlfn.ISOWEEKNUM(BN634))))&amp;"_"&amp;(YEAR(BN634+26-(_xlfn.ISOWEEKNUM(BN634)))),"")</f>
        <v>S30_2026</v>
      </c>
      <c r="BP634" t="s">
        <v>114</v>
      </c>
      <c r="BQ634" t="s">
        <v>971</v>
      </c>
      <c r="BR634" t="s">
        <v>451</v>
      </c>
      <c r="BS634" s="22" t="s">
        <v>132</v>
      </c>
      <c r="CI634" t="s">
        <v>119</v>
      </c>
      <c r="CK634" t="s">
        <v>138</v>
      </c>
      <c r="CP634" s="11">
        <v>46225</v>
      </c>
      <c r="CQ634" t="s">
        <v>132</v>
      </c>
      <c r="CW634" t="s">
        <v>132</v>
      </c>
      <c r="CX634" s="11">
        <v>46223</v>
      </c>
      <c r="CY634" t="str">
        <f t="shared" si="126"/>
        <v>S30_2026</v>
      </c>
      <c r="CZ634" t="s">
        <v>132</v>
      </c>
      <c r="DB634" t="s">
        <v>132</v>
      </c>
      <c r="DC634" t="s">
        <v>139</v>
      </c>
    </row>
    <row r="635" spans="1:107" x14ac:dyDescent="0.35">
      <c r="A635" t="s">
        <v>2342</v>
      </c>
      <c r="B635" s="23" t="str">
        <f t="shared" si="132"/>
        <v>S30_2026</v>
      </c>
      <c r="C635" s="10" t="str">
        <f t="shared" si="133"/>
        <v>S28_2026</v>
      </c>
      <c r="D635" s="11">
        <v>46225</v>
      </c>
      <c r="E635" t="s">
        <v>106</v>
      </c>
      <c r="F635" s="24">
        <v>38</v>
      </c>
      <c r="G635" t="s">
        <v>1751</v>
      </c>
      <c r="H635" t="s">
        <v>835</v>
      </c>
      <c r="J635" t="s">
        <v>114</v>
      </c>
      <c r="K635" s="11">
        <v>46217</v>
      </c>
      <c r="L635" t="s">
        <v>182</v>
      </c>
      <c r="M635" t="s">
        <v>619</v>
      </c>
      <c r="N635" t="s">
        <v>2343</v>
      </c>
      <c r="O635" t="s">
        <v>2344</v>
      </c>
      <c r="P635" t="s">
        <v>2345</v>
      </c>
      <c r="Q635" t="s">
        <v>619</v>
      </c>
      <c r="R635" s="11">
        <v>46215</v>
      </c>
      <c r="S635" s="11">
        <v>46215</v>
      </c>
      <c r="T635" s="11">
        <v>46215</v>
      </c>
      <c r="V635" t="s">
        <v>132</v>
      </c>
      <c r="W635" t="s">
        <v>132</v>
      </c>
      <c r="X635" t="s">
        <v>114</v>
      </c>
      <c r="Y635" t="s">
        <v>132</v>
      </c>
      <c r="Z635" t="s">
        <v>132</v>
      </c>
      <c r="AA635" t="s">
        <v>114</v>
      </c>
      <c r="AB635" t="s">
        <v>114</v>
      </c>
      <c r="AC635" t="s">
        <v>1182</v>
      </c>
      <c r="AE635" t="s">
        <v>114</v>
      </c>
      <c r="AF635" t="s">
        <v>114</v>
      </c>
      <c r="AG635" t="s">
        <v>132</v>
      </c>
      <c r="AH635" t="s">
        <v>132</v>
      </c>
      <c r="AI635" t="s">
        <v>132</v>
      </c>
      <c r="AJ635" t="s">
        <v>1903</v>
      </c>
      <c r="AK635" t="s">
        <v>132</v>
      </c>
      <c r="AM635" t="s">
        <v>114</v>
      </c>
      <c r="AN635" t="s">
        <v>132</v>
      </c>
      <c r="AP635" t="s">
        <v>132</v>
      </c>
      <c r="AQ635" t="s">
        <v>132</v>
      </c>
      <c r="AS635" s="11">
        <v>46223</v>
      </c>
      <c r="AU635" t="s">
        <v>114</v>
      </c>
      <c r="AV635" t="s">
        <v>134</v>
      </c>
      <c r="AW635" s="59" t="s">
        <v>152</v>
      </c>
      <c r="AY635" t="s">
        <v>135</v>
      </c>
      <c r="BB635" t="s">
        <v>114</v>
      </c>
      <c r="BC635" s="11">
        <v>46222</v>
      </c>
      <c r="BD635" t="s">
        <v>2346</v>
      </c>
      <c r="BF635" t="s">
        <v>2343</v>
      </c>
      <c r="BG635" t="s">
        <v>449</v>
      </c>
      <c r="BI635" s="11">
        <v>46224</v>
      </c>
      <c r="BJ635" t="str">
        <f t="shared" si="129"/>
        <v>S30_2026</v>
      </c>
      <c r="BK635" t="s">
        <v>187</v>
      </c>
      <c r="BL635" t="str">
        <f t="shared" si="125"/>
        <v>S29_2026</v>
      </c>
      <c r="BM635" t="s">
        <v>159</v>
      </c>
      <c r="BN635" s="11">
        <v>46224</v>
      </c>
      <c r="BO635" s="22" t="str">
        <f t="shared" si="134"/>
        <v>S30_2026</v>
      </c>
      <c r="BP635" t="s">
        <v>114</v>
      </c>
      <c r="BQ635" t="s">
        <v>2347</v>
      </c>
      <c r="BR635" t="s">
        <v>142</v>
      </c>
      <c r="BS635" s="22" t="s">
        <v>132</v>
      </c>
      <c r="CI635" t="s">
        <v>119</v>
      </c>
      <c r="CK635" t="s">
        <v>138</v>
      </c>
      <c r="CP635" s="11">
        <v>46222</v>
      </c>
      <c r="CQ635" t="s">
        <v>132</v>
      </c>
      <c r="CW635" t="s">
        <v>132</v>
      </c>
      <c r="CX635" s="11">
        <v>46215</v>
      </c>
      <c r="CY635" t="str">
        <f t="shared" si="126"/>
        <v>S28_2026</v>
      </c>
      <c r="CZ635" t="s">
        <v>132</v>
      </c>
      <c r="DB635" t="s">
        <v>132</v>
      </c>
      <c r="DC635" t="s">
        <v>139</v>
      </c>
    </row>
    <row r="636" spans="1:107" x14ac:dyDescent="0.35">
      <c r="A636" t="s">
        <v>2348</v>
      </c>
      <c r="B636" s="23" t="str">
        <f t="shared" si="132"/>
        <v>S30_2026</v>
      </c>
      <c r="C636" s="10" t="str">
        <f t="shared" si="133"/>
        <v>S29_2026</v>
      </c>
      <c r="D636" s="11">
        <v>46226</v>
      </c>
      <c r="E636" t="s">
        <v>106</v>
      </c>
      <c r="F636" s="24">
        <v>17</v>
      </c>
      <c r="G636" t="s">
        <v>1197</v>
      </c>
      <c r="H636" t="s">
        <v>835</v>
      </c>
      <c r="J636" t="s">
        <v>114</v>
      </c>
      <c r="K636" s="11">
        <v>46226</v>
      </c>
      <c r="L636" t="s">
        <v>117</v>
      </c>
      <c r="M636" t="s">
        <v>312</v>
      </c>
      <c r="N636" t="s">
        <v>1154</v>
      </c>
      <c r="O636" t="s">
        <v>2349</v>
      </c>
      <c r="P636" t="s">
        <v>1130</v>
      </c>
      <c r="Q636" t="s">
        <v>1131</v>
      </c>
      <c r="R636" s="11">
        <v>46222</v>
      </c>
      <c r="S636" s="11">
        <v>46222</v>
      </c>
      <c r="T636" s="11">
        <v>46222</v>
      </c>
      <c r="V636" t="s">
        <v>114</v>
      </c>
      <c r="W636" t="s">
        <v>114</v>
      </c>
      <c r="X636" t="s">
        <v>114</v>
      </c>
      <c r="Y636" t="s">
        <v>114</v>
      </c>
      <c r="Z636" t="s">
        <v>114</v>
      </c>
      <c r="AA636" t="s">
        <v>114</v>
      </c>
      <c r="AB636" t="s">
        <v>114</v>
      </c>
      <c r="AE636" t="s">
        <v>114</v>
      </c>
      <c r="AF636" t="s">
        <v>132</v>
      </c>
      <c r="AG636" t="s">
        <v>132</v>
      </c>
      <c r="AH636" t="s">
        <v>132</v>
      </c>
      <c r="AI636" t="s">
        <v>132</v>
      </c>
      <c r="AJ636" t="s">
        <v>132</v>
      </c>
      <c r="AK636" t="s">
        <v>132</v>
      </c>
      <c r="AM636" t="s">
        <v>132</v>
      </c>
      <c r="AN636" t="s">
        <v>114</v>
      </c>
      <c r="AP636" t="s">
        <v>132</v>
      </c>
      <c r="AQ636" t="s">
        <v>132</v>
      </c>
      <c r="AR636" t="s">
        <v>2350</v>
      </c>
      <c r="AS636" s="11">
        <v>46230</v>
      </c>
      <c r="AU636" t="s">
        <v>114</v>
      </c>
      <c r="AV636" t="s">
        <v>115</v>
      </c>
      <c r="BB636" t="s">
        <v>114</v>
      </c>
      <c r="BC636" s="11">
        <v>46226</v>
      </c>
      <c r="BD636" t="s">
        <v>116</v>
      </c>
      <c r="BE636">
        <v>673830193</v>
      </c>
      <c r="BF636" t="s">
        <v>1135</v>
      </c>
      <c r="BG636" t="s">
        <v>449</v>
      </c>
      <c r="BJ636" t="str">
        <f t="shared" si="129"/>
        <v/>
      </c>
      <c r="BK636" t="s">
        <v>117</v>
      </c>
      <c r="BL636" t="str">
        <f t="shared" si="125"/>
        <v>S30_2026</v>
      </c>
      <c r="BM636" t="s">
        <v>159</v>
      </c>
      <c r="BN636" s="11">
        <v>46232</v>
      </c>
      <c r="BO636" s="22" t="str">
        <f t="shared" si="134"/>
        <v>S31_2026</v>
      </c>
      <c r="BP636" t="s">
        <v>114</v>
      </c>
      <c r="BQ636" t="s">
        <v>450</v>
      </c>
      <c r="BR636" t="s">
        <v>451</v>
      </c>
      <c r="BS636" s="22" t="s">
        <v>132</v>
      </c>
      <c r="CI636" t="s">
        <v>119</v>
      </c>
      <c r="CP636" s="11">
        <v>46226</v>
      </c>
      <c r="CQ636" t="s">
        <v>132</v>
      </c>
      <c r="CW636" t="s">
        <v>132</v>
      </c>
      <c r="CX636" s="11">
        <v>46222</v>
      </c>
      <c r="CY636" t="str">
        <f t="shared" si="126"/>
        <v>S29_2026</v>
      </c>
      <c r="CZ636" t="s">
        <v>132</v>
      </c>
      <c r="DB636" t="s">
        <v>132</v>
      </c>
      <c r="DC636" t="s">
        <v>120</v>
      </c>
    </row>
    <row r="637" spans="1:107" x14ac:dyDescent="0.35">
      <c r="A637" s="54" t="s">
        <v>2351</v>
      </c>
      <c r="B637" s="23" t="str">
        <f t="shared" si="132"/>
        <v>S30_2026</v>
      </c>
      <c r="C637" s="10" t="str">
        <f t="shared" si="133"/>
        <v>S29_2026</v>
      </c>
      <c r="D637" s="11">
        <v>46228</v>
      </c>
      <c r="E637" t="s">
        <v>123</v>
      </c>
      <c r="F637" s="24">
        <v>28</v>
      </c>
      <c r="G637" t="s">
        <v>1952</v>
      </c>
      <c r="H637" t="s">
        <v>835</v>
      </c>
      <c r="J637" t="s">
        <v>114</v>
      </c>
      <c r="L637" t="s">
        <v>126</v>
      </c>
      <c r="M637" t="s">
        <v>146</v>
      </c>
      <c r="N637" t="s">
        <v>147</v>
      </c>
      <c r="O637" t="s">
        <v>1481</v>
      </c>
      <c r="P637" t="s">
        <v>2352</v>
      </c>
      <c r="Q637" t="s">
        <v>292</v>
      </c>
      <c r="R637" s="11">
        <v>46217</v>
      </c>
      <c r="S637" s="11">
        <v>46217</v>
      </c>
      <c r="T637" s="11">
        <v>46217</v>
      </c>
      <c r="AU637" t="s">
        <v>114</v>
      </c>
      <c r="AV637" t="s">
        <v>134</v>
      </c>
      <c r="AW637" t="s">
        <v>2237</v>
      </c>
      <c r="AY637" t="s">
        <v>135</v>
      </c>
      <c r="BB637" t="s">
        <v>114</v>
      </c>
      <c r="BF637" t="s">
        <v>1189</v>
      </c>
      <c r="BG637" t="s">
        <v>449</v>
      </c>
      <c r="BI637" s="11">
        <v>46228</v>
      </c>
      <c r="BJ637" t="str">
        <f t="shared" si="129"/>
        <v>S30_2026</v>
      </c>
      <c r="BK637" t="s">
        <v>137</v>
      </c>
      <c r="BL637" t="str">
        <f t="shared" si="125"/>
        <v/>
      </c>
      <c r="BM637" t="s">
        <v>159</v>
      </c>
      <c r="BN637" s="11">
        <v>46228</v>
      </c>
      <c r="BO637" s="22" t="str">
        <f t="shared" si="134"/>
        <v>S30_2026</v>
      </c>
      <c r="BP637" t="s">
        <v>114</v>
      </c>
      <c r="BQ637" t="s">
        <v>971</v>
      </c>
      <c r="BR637" t="s">
        <v>142</v>
      </c>
      <c r="BS637" s="22" t="s">
        <v>132</v>
      </c>
      <c r="CI637" t="s">
        <v>119</v>
      </c>
      <c r="CK637" t="s">
        <v>138</v>
      </c>
      <c r="CP637" s="11">
        <v>46223</v>
      </c>
      <c r="CQ637" t="s">
        <v>132</v>
      </c>
      <c r="CW637" t="s">
        <v>132</v>
      </c>
      <c r="CX637" s="11">
        <v>46217</v>
      </c>
      <c r="CY637" t="str">
        <f t="shared" si="126"/>
        <v>S29_2026</v>
      </c>
      <c r="CZ637" t="s">
        <v>132</v>
      </c>
      <c r="DB637" t="s">
        <v>132</v>
      </c>
      <c r="DC637" t="s">
        <v>139</v>
      </c>
    </row>
    <row r="638" spans="1:107" x14ac:dyDescent="0.35">
      <c r="A638" t="s">
        <v>2353</v>
      </c>
      <c r="B638" s="23" t="str">
        <f t="shared" si="132"/>
        <v>S30_2026</v>
      </c>
      <c r="C638" s="10" t="str">
        <f t="shared" si="133"/>
        <v>S30_2026</v>
      </c>
      <c r="D638" s="11">
        <v>46228</v>
      </c>
      <c r="E638" t="s">
        <v>123</v>
      </c>
      <c r="F638" s="24">
        <v>65</v>
      </c>
      <c r="G638" t="s">
        <v>2354</v>
      </c>
      <c r="H638" t="s">
        <v>835</v>
      </c>
      <c r="J638" t="s">
        <v>114</v>
      </c>
      <c r="K638" s="11">
        <v>46224</v>
      </c>
      <c r="L638" t="s">
        <v>321</v>
      </c>
      <c r="M638" t="s">
        <v>2355</v>
      </c>
      <c r="N638" t="s">
        <v>2356</v>
      </c>
      <c r="O638" t="s">
        <v>2357</v>
      </c>
      <c r="P638" t="s">
        <v>2358</v>
      </c>
      <c r="Q638" t="s">
        <v>2355</v>
      </c>
      <c r="R638" s="11">
        <v>46224</v>
      </c>
      <c r="S638" s="11">
        <v>46224</v>
      </c>
      <c r="T638" s="11">
        <v>46224</v>
      </c>
      <c r="V638" t="s">
        <v>132</v>
      </c>
      <c r="W638" t="s">
        <v>132</v>
      </c>
      <c r="X638" t="s">
        <v>132</v>
      </c>
      <c r="Y638" t="s">
        <v>132</v>
      </c>
      <c r="Z638" t="s">
        <v>132</v>
      </c>
      <c r="AA638" t="s">
        <v>132</v>
      </c>
      <c r="AB638" t="s">
        <v>114</v>
      </c>
      <c r="AC638" t="s">
        <v>1238</v>
      </c>
      <c r="AE638" t="s">
        <v>114</v>
      </c>
      <c r="AF638" t="s">
        <v>132</v>
      </c>
      <c r="AG638" t="s">
        <v>132</v>
      </c>
      <c r="AH638" t="s">
        <v>132</v>
      </c>
      <c r="AI638" t="s">
        <v>132</v>
      </c>
      <c r="AJ638" t="s">
        <v>132</v>
      </c>
      <c r="AK638" t="s">
        <v>132</v>
      </c>
      <c r="AM638" t="s">
        <v>114</v>
      </c>
      <c r="AN638" t="s">
        <v>132</v>
      </c>
      <c r="AP638" t="s">
        <v>132</v>
      </c>
      <c r="AQ638" t="s">
        <v>132</v>
      </c>
      <c r="AR638" t="s">
        <v>2359</v>
      </c>
      <c r="AS638" s="11">
        <v>46225</v>
      </c>
      <c r="AU638" t="s">
        <v>114</v>
      </c>
      <c r="AV638" t="s">
        <v>115</v>
      </c>
      <c r="BB638" t="s">
        <v>114</v>
      </c>
      <c r="BC638" s="11">
        <v>46225</v>
      </c>
      <c r="BD638" t="s">
        <v>116</v>
      </c>
      <c r="BE638">
        <v>695125161</v>
      </c>
      <c r="BF638" t="s">
        <v>2356</v>
      </c>
      <c r="BG638" t="s">
        <v>449</v>
      </c>
      <c r="BJ638" t="str">
        <f t="shared" si="129"/>
        <v/>
      </c>
      <c r="BK638" t="s">
        <v>321</v>
      </c>
      <c r="BL638" t="str">
        <f t="shared" si="125"/>
        <v>S30_2026</v>
      </c>
      <c r="BM638" t="s">
        <v>159</v>
      </c>
      <c r="BN638" s="11">
        <v>46228</v>
      </c>
      <c r="BO638" s="22" t="str">
        <f t="shared" si="134"/>
        <v>S30_2026</v>
      </c>
      <c r="BP638" t="s">
        <v>114</v>
      </c>
      <c r="BQ638" t="s">
        <v>450</v>
      </c>
      <c r="BR638" t="s">
        <v>451</v>
      </c>
      <c r="BS638" s="22" t="s">
        <v>132</v>
      </c>
      <c r="CI638" t="s">
        <v>119</v>
      </c>
      <c r="CP638" s="11">
        <v>46225</v>
      </c>
      <c r="CQ638" t="s">
        <v>132</v>
      </c>
      <c r="CW638" t="s">
        <v>132</v>
      </c>
      <c r="CX638" s="11">
        <v>46224</v>
      </c>
      <c r="CY638" t="str">
        <f t="shared" si="126"/>
        <v>S30_2026</v>
      </c>
      <c r="CZ638" t="s">
        <v>132</v>
      </c>
      <c r="DB638" t="s">
        <v>132</v>
      </c>
      <c r="DC638" t="s">
        <v>120</v>
      </c>
    </row>
    <row r="639" spans="1:107" x14ac:dyDescent="0.35">
      <c r="A639" t="s">
        <v>2360</v>
      </c>
      <c r="B639" s="23" t="str">
        <f t="shared" si="132"/>
        <v>S30_2026</v>
      </c>
      <c r="C639" s="10" t="str">
        <f t="shared" si="133"/>
        <v>S27_2026</v>
      </c>
      <c r="D639" s="11">
        <v>46228</v>
      </c>
      <c r="E639" t="s">
        <v>106</v>
      </c>
      <c r="F639" s="24">
        <v>25</v>
      </c>
      <c r="G639" t="s">
        <v>2361</v>
      </c>
      <c r="H639" t="s">
        <v>835</v>
      </c>
      <c r="J639" t="s">
        <v>114</v>
      </c>
      <c r="K639" s="11">
        <v>46223</v>
      </c>
      <c r="L639" t="s">
        <v>180</v>
      </c>
      <c r="M639" t="s">
        <v>2362</v>
      </c>
      <c r="N639" t="s">
        <v>2362</v>
      </c>
      <c r="O639" t="s">
        <v>2363</v>
      </c>
      <c r="P639" t="s">
        <v>2364</v>
      </c>
      <c r="Q639" t="s">
        <v>2362</v>
      </c>
      <c r="R639" s="11">
        <v>46207</v>
      </c>
      <c r="S639" s="11">
        <v>46207</v>
      </c>
      <c r="T639" s="11">
        <v>46207</v>
      </c>
      <c r="V639" t="s">
        <v>114</v>
      </c>
      <c r="W639" t="s">
        <v>114</v>
      </c>
      <c r="X639" t="s">
        <v>114</v>
      </c>
      <c r="Y639" t="s">
        <v>114</v>
      </c>
      <c r="Z639" t="s">
        <v>114</v>
      </c>
      <c r="AA639" t="s">
        <v>114</v>
      </c>
      <c r="AB639" t="s">
        <v>114</v>
      </c>
      <c r="AE639" t="s">
        <v>114</v>
      </c>
      <c r="AF639" t="s">
        <v>132</v>
      </c>
      <c r="AG639" t="s">
        <v>132</v>
      </c>
      <c r="AH639" t="s">
        <v>132</v>
      </c>
      <c r="AI639" t="s">
        <v>132</v>
      </c>
      <c r="AJ639" t="s">
        <v>1903</v>
      </c>
      <c r="AK639" t="s">
        <v>132</v>
      </c>
      <c r="AM639" t="s">
        <v>114</v>
      </c>
      <c r="AN639" t="s">
        <v>132</v>
      </c>
      <c r="AP639" t="s">
        <v>132</v>
      </c>
      <c r="AQ639" t="s">
        <v>132</v>
      </c>
      <c r="AR639" t="s">
        <v>2365</v>
      </c>
      <c r="AS639" s="11">
        <v>46225</v>
      </c>
      <c r="AU639" t="s">
        <v>114</v>
      </c>
      <c r="AV639" t="s">
        <v>115</v>
      </c>
      <c r="BB639" t="s">
        <v>114</v>
      </c>
      <c r="BC639" s="11">
        <v>46224</v>
      </c>
      <c r="BD639" t="s">
        <v>116</v>
      </c>
      <c r="BE639">
        <v>696799895</v>
      </c>
      <c r="BF639" t="s">
        <v>2362</v>
      </c>
      <c r="BG639" t="s">
        <v>449</v>
      </c>
      <c r="BJ639" t="str">
        <f t="shared" si="129"/>
        <v/>
      </c>
      <c r="BK639" t="s">
        <v>180</v>
      </c>
      <c r="BL639" t="str">
        <f t="shared" si="125"/>
        <v>S30_2026</v>
      </c>
      <c r="BM639" t="s">
        <v>159</v>
      </c>
      <c r="BN639" s="11">
        <v>46228</v>
      </c>
      <c r="BO639" s="22" t="str">
        <f t="shared" si="134"/>
        <v>S30_2026</v>
      </c>
      <c r="BP639" t="s">
        <v>114</v>
      </c>
      <c r="BQ639" t="s">
        <v>450</v>
      </c>
      <c r="BR639" t="s">
        <v>451</v>
      </c>
      <c r="BS639" s="22" t="s">
        <v>132</v>
      </c>
      <c r="CI639" t="s">
        <v>119</v>
      </c>
      <c r="CP639" s="11">
        <v>46223</v>
      </c>
      <c r="CQ639" t="s">
        <v>132</v>
      </c>
      <c r="CW639" t="s">
        <v>132</v>
      </c>
      <c r="CX639" s="11">
        <v>46207</v>
      </c>
      <c r="CY639" t="str">
        <f t="shared" si="126"/>
        <v>S27_2026</v>
      </c>
      <c r="CZ639" t="s">
        <v>132</v>
      </c>
      <c r="DB639" t="s">
        <v>132</v>
      </c>
      <c r="DC639" t="s">
        <v>120</v>
      </c>
    </row>
    <row r="640" spans="1:107" x14ac:dyDescent="0.35">
      <c r="A640" s="22" t="s">
        <v>2366</v>
      </c>
      <c r="B640" s="23" t="str">
        <f t="shared" ref="B640:B651" si="135">IFERROR("S"&amp;(IF(_xlfn.ISOWEEKNUM(D640)&gt;0,_xlfn.ISOWEEKNUM(D640),_xlfn.CONCAT("0",_xlfn.ISOWEEKNUM(D640))))&amp;"_"&amp;(YEAR(D640+26-(_xlfn.ISOWEEKNUM(D640)))),"")</f>
        <v>S31_2026</v>
      </c>
      <c r="C640" s="10" t="str">
        <f t="shared" ref="C640:C655" si="136">IFERROR("S"&amp;(IF(_xlfn.ISOWEEKNUM(R640)&gt;0,_xlfn.ISOWEEKNUM(R640),_xlfn.CONCAT("0",_xlfn.ISOWEEKNUM(R640))))&amp;"_"&amp;(YEAR(R640+26-(_xlfn.ISOWEEKNUM(R640)))),"")</f>
        <v>S29_2026</v>
      </c>
      <c r="D640" s="57">
        <v>46230</v>
      </c>
      <c r="E640" s="23" t="s">
        <v>106</v>
      </c>
      <c r="F640" s="58">
        <v>22</v>
      </c>
      <c r="G640" t="s">
        <v>323</v>
      </c>
      <c r="H640" t="s">
        <v>835</v>
      </c>
      <c r="J640" t="s">
        <v>132</v>
      </c>
      <c r="L640" t="s">
        <v>321</v>
      </c>
      <c r="M640" s="23" t="s">
        <v>2367</v>
      </c>
      <c r="N640" t="s">
        <v>2240</v>
      </c>
      <c r="O640" t="s">
        <v>2368</v>
      </c>
      <c r="P640" s="23"/>
      <c r="Q640" t="s">
        <v>896</v>
      </c>
      <c r="R640" s="60">
        <v>46220</v>
      </c>
      <c r="S640" s="60">
        <v>46220</v>
      </c>
      <c r="T640" s="60">
        <v>46220</v>
      </c>
      <c r="V640" t="s">
        <v>114</v>
      </c>
      <c r="W640" t="s">
        <v>114</v>
      </c>
      <c r="X640" t="s">
        <v>114</v>
      </c>
      <c r="Y640" t="s">
        <v>114</v>
      </c>
      <c r="Z640" t="s">
        <v>114</v>
      </c>
      <c r="AA640" t="s">
        <v>114</v>
      </c>
      <c r="AB640" t="s">
        <v>114</v>
      </c>
      <c r="AE640" t="s">
        <v>114</v>
      </c>
      <c r="AF640" t="s">
        <v>132</v>
      </c>
      <c r="AG640" t="s">
        <v>114</v>
      </c>
      <c r="AH640" t="s">
        <v>132</v>
      </c>
      <c r="AI640" t="s">
        <v>132</v>
      </c>
      <c r="AJ640" t="s">
        <v>132</v>
      </c>
      <c r="AK640" t="s">
        <v>142</v>
      </c>
      <c r="AM640" t="s">
        <v>142</v>
      </c>
      <c r="AN640" t="s">
        <v>132</v>
      </c>
      <c r="AP640" t="s">
        <v>132</v>
      </c>
      <c r="AQ640" t="s">
        <v>132</v>
      </c>
      <c r="AS640" s="60">
        <v>46228</v>
      </c>
      <c r="AU640" t="s">
        <v>114</v>
      </c>
      <c r="AV640" t="s">
        <v>134</v>
      </c>
      <c r="AW640" t="s">
        <v>2237</v>
      </c>
      <c r="AY640" t="s">
        <v>135</v>
      </c>
      <c r="BB640" t="s">
        <v>114</v>
      </c>
      <c r="BC640" s="60">
        <v>46227</v>
      </c>
      <c r="BD640" s="23" t="s">
        <v>2369</v>
      </c>
      <c r="BE640">
        <v>655896683</v>
      </c>
      <c r="BF640" t="s">
        <v>2243</v>
      </c>
      <c r="BG640" t="s">
        <v>449</v>
      </c>
      <c r="BI640" s="60">
        <v>46230</v>
      </c>
      <c r="BJ640" t="str">
        <f t="shared" si="129"/>
        <v>S31_2026</v>
      </c>
      <c r="BK640" t="s">
        <v>321</v>
      </c>
      <c r="BL640" t="str">
        <f t="shared" si="125"/>
        <v>S30_2026</v>
      </c>
      <c r="BM640" t="s">
        <v>159</v>
      </c>
      <c r="BN640" s="11">
        <v>46230</v>
      </c>
      <c r="BO640" s="22" t="str">
        <f t="shared" si="134"/>
        <v>S31_2026</v>
      </c>
      <c r="BP640" t="s">
        <v>114</v>
      </c>
      <c r="BQ640" t="s">
        <v>971</v>
      </c>
      <c r="BR640" t="s">
        <v>451</v>
      </c>
      <c r="BS640" s="22" t="s">
        <v>132</v>
      </c>
      <c r="CI640" t="s">
        <v>119</v>
      </c>
      <c r="CK640" t="s">
        <v>138</v>
      </c>
      <c r="CP640" s="11">
        <v>46227</v>
      </c>
      <c r="CQ640" t="s">
        <v>132</v>
      </c>
      <c r="CW640" t="s">
        <v>132</v>
      </c>
      <c r="CX640" s="60">
        <v>46220</v>
      </c>
      <c r="CY640" t="str">
        <f t="shared" si="126"/>
        <v>S29_2026</v>
      </c>
      <c r="CZ640" t="s">
        <v>132</v>
      </c>
      <c r="DB640" t="s">
        <v>132</v>
      </c>
      <c r="DC640" t="s">
        <v>139</v>
      </c>
    </row>
    <row r="641" spans="1:107" x14ac:dyDescent="0.35">
      <c r="A641" t="s">
        <v>2370</v>
      </c>
      <c r="B641" s="23" t="str">
        <f t="shared" si="135"/>
        <v>S31_2026</v>
      </c>
      <c r="C641" s="10" t="str">
        <f t="shared" si="136"/>
        <v>S30_2026</v>
      </c>
      <c r="D641" s="57">
        <v>46230</v>
      </c>
      <c r="E641" s="23" t="s">
        <v>123</v>
      </c>
      <c r="F641" s="58">
        <v>29</v>
      </c>
      <c r="J641" t="s">
        <v>114</v>
      </c>
      <c r="L641" t="s">
        <v>321</v>
      </c>
      <c r="M641" s="23" t="s">
        <v>2371</v>
      </c>
      <c r="P641" s="23" t="s">
        <v>2372</v>
      </c>
      <c r="Q641" s="23" t="s">
        <v>2373</v>
      </c>
      <c r="R641" s="57">
        <v>46224</v>
      </c>
      <c r="S641" s="57">
        <v>46224</v>
      </c>
      <c r="T641" s="57">
        <v>46224</v>
      </c>
      <c r="AS641" s="57">
        <v>46228</v>
      </c>
      <c r="AU641" t="s">
        <v>114</v>
      </c>
      <c r="AV641" t="s">
        <v>134</v>
      </c>
      <c r="AW641" t="s">
        <v>2237</v>
      </c>
      <c r="AY641" t="s">
        <v>135</v>
      </c>
      <c r="BB641" t="s">
        <v>114</v>
      </c>
      <c r="BC641" s="57">
        <v>46227</v>
      </c>
      <c r="BD641" s="23" t="s">
        <v>2369</v>
      </c>
      <c r="BF641" s="23" t="s">
        <v>2374</v>
      </c>
      <c r="BG641" t="s">
        <v>449</v>
      </c>
      <c r="BI641" s="57">
        <v>46230</v>
      </c>
      <c r="BJ641" t="str">
        <f t="shared" si="129"/>
        <v>S31_2026</v>
      </c>
      <c r="BK641" t="s">
        <v>321</v>
      </c>
      <c r="BL641" t="str">
        <f t="shared" si="125"/>
        <v>S30_2026</v>
      </c>
      <c r="BM641" t="s">
        <v>159</v>
      </c>
      <c r="BN641" s="11">
        <v>46230</v>
      </c>
      <c r="BO641" s="22" t="str">
        <f t="shared" si="134"/>
        <v>S31_2026</v>
      </c>
      <c r="BP641" t="s">
        <v>114</v>
      </c>
      <c r="BQ641" t="s">
        <v>971</v>
      </c>
      <c r="BR641" t="s">
        <v>451</v>
      </c>
      <c r="BS641" s="22" t="s">
        <v>132</v>
      </c>
      <c r="CI641" t="s">
        <v>119</v>
      </c>
      <c r="CK641" t="s">
        <v>138</v>
      </c>
      <c r="CQ641" t="s">
        <v>132</v>
      </c>
      <c r="CW641" t="s">
        <v>132</v>
      </c>
      <c r="CX641" s="57">
        <v>46224</v>
      </c>
      <c r="CY641" t="str">
        <f t="shared" si="126"/>
        <v>S30_2026</v>
      </c>
      <c r="CZ641" t="s">
        <v>132</v>
      </c>
      <c r="DB641" t="s">
        <v>132</v>
      </c>
      <c r="DC641" t="s">
        <v>139</v>
      </c>
    </row>
    <row r="642" spans="1:107" x14ac:dyDescent="0.35">
      <c r="A642" t="s">
        <v>2375</v>
      </c>
      <c r="B642" s="23" t="str">
        <f t="shared" si="135"/>
        <v>S31_2026</v>
      </c>
      <c r="C642" s="10" t="str">
        <f t="shared" si="136"/>
        <v>S30_2026</v>
      </c>
      <c r="D642" s="57">
        <v>46230</v>
      </c>
      <c r="E642" s="23" t="s">
        <v>123</v>
      </c>
      <c r="F642" s="58">
        <v>22</v>
      </c>
      <c r="J642" t="s">
        <v>114</v>
      </c>
      <c r="L642" t="s">
        <v>321</v>
      </c>
      <c r="M642" s="23" t="s">
        <v>2373</v>
      </c>
      <c r="P642" s="23" t="s">
        <v>2376</v>
      </c>
      <c r="Q642" s="23" t="s">
        <v>2373</v>
      </c>
      <c r="R642" s="57">
        <v>46224</v>
      </c>
      <c r="S642" s="57">
        <v>46224</v>
      </c>
      <c r="T642" s="57">
        <v>46224</v>
      </c>
      <c r="AS642" s="57">
        <v>46228</v>
      </c>
      <c r="AU642" t="s">
        <v>114</v>
      </c>
      <c r="AV642" t="s">
        <v>134</v>
      </c>
      <c r="AW642" t="s">
        <v>2237</v>
      </c>
      <c r="AY642" t="s">
        <v>135</v>
      </c>
      <c r="BB642" t="s">
        <v>114</v>
      </c>
      <c r="BC642" s="57">
        <v>46227</v>
      </c>
      <c r="BD642" s="23" t="s">
        <v>2369</v>
      </c>
      <c r="BF642" s="23" t="s">
        <v>2374</v>
      </c>
      <c r="BG642" t="s">
        <v>449</v>
      </c>
      <c r="BI642" s="57">
        <v>46230</v>
      </c>
      <c r="BJ642" t="str">
        <f t="shared" si="129"/>
        <v>S31_2026</v>
      </c>
      <c r="BK642" t="s">
        <v>321</v>
      </c>
      <c r="BL642" t="str">
        <f t="shared" si="125"/>
        <v>S30_2026</v>
      </c>
      <c r="BM642" t="s">
        <v>159</v>
      </c>
      <c r="BN642" s="11">
        <v>46230</v>
      </c>
      <c r="BO642" s="22" t="str">
        <f t="shared" si="134"/>
        <v>S31_2026</v>
      </c>
      <c r="BP642" t="s">
        <v>114</v>
      </c>
      <c r="BQ642" t="s">
        <v>971</v>
      </c>
      <c r="BR642" t="s">
        <v>451</v>
      </c>
      <c r="BS642" s="22" t="s">
        <v>132</v>
      </c>
      <c r="CI642" t="s">
        <v>119</v>
      </c>
      <c r="CK642" t="s">
        <v>138</v>
      </c>
      <c r="CQ642" t="s">
        <v>132</v>
      </c>
      <c r="CW642" t="s">
        <v>132</v>
      </c>
      <c r="CX642" s="57">
        <v>46224</v>
      </c>
      <c r="CY642" t="str">
        <f t="shared" si="126"/>
        <v>S30_2026</v>
      </c>
      <c r="CZ642" t="s">
        <v>132</v>
      </c>
      <c r="DB642" t="s">
        <v>132</v>
      </c>
      <c r="DC642" t="s">
        <v>139</v>
      </c>
    </row>
    <row r="643" spans="1:107" x14ac:dyDescent="0.35">
      <c r="A643" s="22" t="s">
        <v>2377</v>
      </c>
      <c r="B643" s="23" t="str">
        <f t="shared" si="135"/>
        <v>S31_2026</v>
      </c>
      <c r="C643" s="10" t="str">
        <f t="shared" si="136"/>
        <v>S29_2026</v>
      </c>
      <c r="D643" s="57">
        <v>46230</v>
      </c>
      <c r="E643" s="23" t="s">
        <v>106</v>
      </c>
      <c r="F643" s="58">
        <v>13</v>
      </c>
      <c r="J643" t="s">
        <v>132</v>
      </c>
      <c r="L643" t="s">
        <v>321</v>
      </c>
      <c r="M643" s="23" t="s">
        <v>2378</v>
      </c>
      <c r="P643" s="23" t="s">
        <v>2379</v>
      </c>
      <c r="Q643" s="23" t="s">
        <v>896</v>
      </c>
      <c r="R643" s="57">
        <v>46219</v>
      </c>
      <c r="S643" s="57">
        <v>46219</v>
      </c>
      <c r="T643" s="57">
        <v>46219</v>
      </c>
      <c r="AS643" s="57">
        <v>46228</v>
      </c>
      <c r="AU643" t="s">
        <v>114</v>
      </c>
      <c r="AV643" t="s">
        <v>134</v>
      </c>
      <c r="AW643" t="s">
        <v>2237</v>
      </c>
      <c r="AY643" t="s">
        <v>135</v>
      </c>
      <c r="BB643" t="s">
        <v>114</v>
      </c>
      <c r="BC643" s="57">
        <v>46227</v>
      </c>
      <c r="BD643" s="23" t="s">
        <v>2369</v>
      </c>
      <c r="BF643" s="23" t="s">
        <v>2380</v>
      </c>
      <c r="BG643" t="s">
        <v>449</v>
      </c>
      <c r="BI643" s="57">
        <v>46230</v>
      </c>
      <c r="BJ643" t="str">
        <f t="shared" si="129"/>
        <v>S31_2026</v>
      </c>
      <c r="BK643" t="s">
        <v>321</v>
      </c>
      <c r="BL643" t="str">
        <f t="shared" si="125"/>
        <v>S30_2026</v>
      </c>
      <c r="BM643" t="s">
        <v>159</v>
      </c>
      <c r="BN643" s="11">
        <v>46230</v>
      </c>
      <c r="BO643" s="22" t="str">
        <f t="shared" si="134"/>
        <v>S31_2026</v>
      </c>
      <c r="BP643" t="s">
        <v>114</v>
      </c>
      <c r="BQ643" t="s">
        <v>971</v>
      </c>
      <c r="BR643" t="s">
        <v>451</v>
      </c>
      <c r="BS643" s="22" t="s">
        <v>132</v>
      </c>
      <c r="CI643" t="s">
        <v>119</v>
      </c>
      <c r="CK643" t="s">
        <v>138</v>
      </c>
      <c r="CQ643" t="s">
        <v>132</v>
      </c>
      <c r="CW643" t="s">
        <v>132</v>
      </c>
      <c r="CX643" s="57">
        <v>46219</v>
      </c>
      <c r="CY643" t="str">
        <f t="shared" si="126"/>
        <v>S29_2026</v>
      </c>
      <c r="CZ643" t="s">
        <v>132</v>
      </c>
      <c r="DB643" t="s">
        <v>132</v>
      </c>
      <c r="DC643" t="s">
        <v>139</v>
      </c>
    </row>
    <row r="644" spans="1:107" x14ac:dyDescent="0.35">
      <c r="A644" s="22" t="s">
        <v>2381</v>
      </c>
      <c r="B644" s="23" t="str">
        <f t="shared" si="135"/>
        <v>S31_2026</v>
      </c>
      <c r="C644" s="10" t="str">
        <f t="shared" si="136"/>
        <v>S29_2026</v>
      </c>
      <c r="D644" s="57">
        <v>46230</v>
      </c>
      <c r="E644" s="23" t="s">
        <v>106</v>
      </c>
      <c r="F644" s="58">
        <v>9</v>
      </c>
      <c r="J644" t="s">
        <v>132</v>
      </c>
      <c r="L644" t="s">
        <v>321</v>
      </c>
      <c r="M644" s="23" t="s">
        <v>2367</v>
      </c>
      <c r="P644" s="23" t="s">
        <v>2379</v>
      </c>
      <c r="Q644" s="23" t="s">
        <v>896</v>
      </c>
      <c r="R644" s="57">
        <v>46219</v>
      </c>
      <c r="S644" s="57">
        <v>46219</v>
      </c>
      <c r="T644" s="57">
        <v>46219</v>
      </c>
      <c r="AS644" s="57">
        <v>46228</v>
      </c>
      <c r="AU644" t="s">
        <v>114</v>
      </c>
      <c r="AV644" t="s">
        <v>134</v>
      </c>
      <c r="AW644" t="s">
        <v>2237</v>
      </c>
      <c r="AY644" t="s">
        <v>135</v>
      </c>
      <c r="BB644" t="s">
        <v>114</v>
      </c>
      <c r="BC644" s="57">
        <v>46227</v>
      </c>
      <c r="BD644" s="23" t="s">
        <v>2369</v>
      </c>
      <c r="BF644" s="23" t="s">
        <v>2380</v>
      </c>
      <c r="BG644" t="s">
        <v>449</v>
      </c>
      <c r="BI644" s="57">
        <v>46230</v>
      </c>
      <c r="BJ644" t="str">
        <f t="shared" si="129"/>
        <v>S31_2026</v>
      </c>
      <c r="BK644" t="s">
        <v>321</v>
      </c>
      <c r="BL644" t="str">
        <f t="shared" si="125"/>
        <v>S30_2026</v>
      </c>
      <c r="BM644" t="s">
        <v>159</v>
      </c>
      <c r="BN644" s="11">
        <v>46230</v>
      </c>
      <c r="BO644" s="22" t="str">
        <f t="shared" si="134"/>
        <v>S31_2026</v>
      </c>
      <c r="BP644" t="s">
        <v>114</v>
      </c>
      <c r="BQ644" t="s">
        <v>971</v>
      </c>
      <c r="BR644" t="s">
        <v>451</v>
      </c>
      <c r="BS644" s="22" t="s">
        <v>132</v>
      </c>
      <c r="CI644" t="s">
        <v>119</v>
      </c>
      <c r="CK644" t="s">
        <v>138</v>
      </c>
      <c r="CQ644" t="s">
        <v>132</v>
      </c>
      <c r="CW644" t="s">
        <v>132</v>
      </c>
      <c r="CX644" s="57">
        <v>46219</v>
      </c>
      <c r="CY644" t="str">
        <f t="shared" si="126"/>
        <v>S29_2026</v>
      </c>
      <c r="CZ644" t="s">
        <v>132</v>
      </c>
      <c r="DB644" t="s">
        <v>132</v>
      </c>
      <c r="DC644" t="s">
        <v>139</v>
      </c>
    </row>
    <row r="645" spans="1:107" x14ac:dyDescent="0.35">
      <c r="A645" s="22" t="s">
        <v>2382</v>
      </c>
      <c r="B645" s="23" t="str">
        <f t="shared" si="135"/>
        <v>S31_2026</v>
      </c>
      <c r="C645" s="10" t="str">
        <f t="shared" si="136"/>
        <v>S29_2026</v>
      </c>
      <c r="D645" s="57">
        <v>46230</v>
      </c>
      <c r="E645" s="23" t="s">
        <v>106</v>
      </c>
      <c r="F645" s="58">
        <v>7</v>
      </c>
      <c r="G645" t="s">
        <v>107</v>
      </c>
      <c r="H645" t="s">
        <v>835</v>
      </c>
      <c r="J645" t="s">
        <v>132</v>
      </c>
      <c r="L645" t="s">
        <v>321</v>
      </c>
      <c r="M645" s="23" t="s">
        <v>2378</v>
      </c>
      <c r="N645" t="s">
        <v>897</v>
      </c>
      <c r="O645" t="s">
        <v>2383</v>
      </c>
      <c r="P645" s="23" t="s">
        <v>2379</v>
      </c>
      <c r="Q645" s="23" t="s">
        <v>896</v>
      </c>
      <c r="R645" s="57">
        <v>46219</v>
      </c>
      <c r="S645" s="57">
        <v>46219</v>
      </c>
      <c r="T645" s="57">
        <v>46219</v>
      </c>
      <c r="V645" t="s">
        <v>114</v>
      </c>
      <c r="W645" t="s">
        <v>114</v>
      </c>
      <c r="X645" t="s">
        <v>114</v>
      </c>
      <c r="Y645" t="s">
        <v>114</v>
      </c>
      <c r="Z645" t="s">
        <v>114</v>
      </c>
      <c r="AA645" t="s">
        <v>114</v>
      </c>
      <c r="AB645" t="s">
        <v>114</v>
      </c>
      <c r="AE645" t="s">
        <v>114</v>
      </c>
      <c r="AF645" t="s">
        <v>132</v>
      </c>
      <c r="AG645" t="s">
        <v>132</v>
      </c>
      <c r="AH645" t="s">
        <v>132</v>
      </c>
      <c r="AI645" t="s">
        <v>132</v>
      </c>
      <c r="AJ645" t="s">
        <v>132</v>
      </c>
      <c r="AK645" t="s">
        <v>114</v>
      </c>
      <c r="AM645" t="s">
        <v>114</v>
      </c>
      <c r="AN645" t="s">
        <v>132</v>
      </c>
      <c r="AP645" t="s">
        <v>132</v>
      </c>
      <c r="AQ645" t="s">
        <v>142</v>
      </c>
      <c r="AS645" s="57">
        <v>46228</v>
      </c>
      <c r="AU645" t="s">
        <v>114</v>
      </c>
      <c r="AV645" t="s">
        <v>134</v>
      </c>
      <c r="AW645" t="s">
        <v>2237</v>
      </c>
      <c r="AY645" t="s">
        <v>135</v>
      </c>
      <c r="BB645" t="s">
        <v>114</v>
      </c>
      <c r="BC645" s="57">
        <v>46227</v>
      </c>
      <c r="BD645" s="23" t="s">
        <v>2369</v>
      </c>
      <c r="BE645">
        <v>674762324</v>
      </c>
      <c r="BF645" s="23" t="s">
        <v>2380</v>
      </c>
      <c r="BG645" t="s">
        <v>449</v>
      </c>
      <c r="BI645" s="57">
        <v>46230</v>
      </c>
      <c r="BJ645" t="str">
        <f t="shared" si="129"/>
        <v>S31_2026</v>
      </c>
      <c r="BK645" t="s">
        <v>321</v>
      </c>
      <c r="BL645" t="str">
        <f t="shared" si="125"/>
        <v>S30_2026</v>
      </c>
      <c r="BM645" t="s">
        <v>159</v>
      </c>
      <c r="BN645" s="11">
        <v>46230</v>
      </c>
      <c r="BO645" s="22" t="str">
        <f t="shared" si="134"/>
        <v>S31_2026</v>
      </c>
      <c r="BP645" t="s">
        <v>114</v>
      </c>
      <c r="BQ645" t="s">
        <v>971</v>
      </c>
      <c r="BR645" t="s">
        <v>451</v>
      </c>
      <c r="BS645" s="22" t="s">
        <v>132</v>
      </c>
      <c r="CI645" t="s">
        <v>119</v>
      </c>
      <c r="CK645" t="s">
        <v>138</v>
      </c>
      <c r="CP645" s="11">
        <v>46227</v>
      </c>
      <c r="CQ645" t="s">
        <v>132</v>
      </c>
      <c r="CW645" t="s">
        <v>132</v>
      </c>
      <c r="CX645" s="57">
        <v>46219</v>
      </c>
      <c r="CY645" t="str">
        <f t="shared" si="126"/>
        <v>S29_2026</v>
      </c>
      <c r="CZ645" t="s">
        <v>132</v>
      </c>
      <c r="DB645" t="s">
        <v>132</v>
      </c>
      <c r="DC645" t="s">
        <v>139</v>
      </c>
    </row>
    <row r="646" spans="1:107" x14ac:dyDescent="0.35">
      <c r="A646" s="22" t="s">
        <v>2384</v>
      </c>
      <c r="B646" s="23" t="str">
        <f t="shared" si="135"/>
        <v>S31_2026</v>
      </c>
      <c r="C646" s="10" t="str">
        <f t="shared" si="136"/>
        <v>S29_2026</v>
      </c>
      <c r="D646" s="57">
        <v>46230</v>
      </c>
      <c r="E646" s="23" t="s">
        <v>106</v>
      </c>
      <c r="F646" s="58">
        <v>2</v>
      </c>
      <c r="G646" t="s">
        <v>110</v>
      </c>
      <c r="H646" t="s">
        <v>835</v>
      </c>
      <c r="J646" t="s">
        <v>132</v>
      </c>
      <c r="L646" t="s">
        <v>321</v>
      </c>
      <c r="M646" s="23" t="s">
        <v>2378</v>
      </c>
      <c r="N646" t="s">
        <v>2240</v>
      </c>
      <c r="O646" t="s">
        <v>2330</v>
      </c>
      <c r="P646" s="23" t="s">
        <v>2385</v>
      </c>
      <c r="Q646" s="23" t="s">
        <v>896</v>
      </c>
      <c r="R646" s="57">
        <v>46222</v>
      </c>
      <c r="S646" s="57">
        <v>46222</v>
      </c>
      <c r="T646" s="57">
        <v>46222</v>
      </c>
      <c r="V646" t="s">
        <v>132</v>
      </c>
      <c r="W646" t="s">
        <v>132</v>
      </c>
      <c r="X646" t="s">
        <v>132</v>
      </c>
      <c r="Y646" t="s">
        <v>132</v>
      </c>
      <c r="Z646" t="s">
        <v>132</v>
      </c>
      <c r="AA646" t="s">
        <v>132</v>
      </c>
      <c r="AB646" t="s">
        <v>132</v>
      </c>
      <c r="AC646" t="s">
        <v>2386</v>
      </c>
      <c r="AE646" t="s">
        <v>114</v>
      </c>
      <c r="AF646" t="s">
        <v>132</v>
      </c>
      <c r="AG646" t="s">
        <v>132</v>
      </c>
      <c r="AH646" t="s">
        <v>132</v>
      </c>
      <c r="AI646" t="s">
        <v>132</v>
      </c>
      <c r="AJ646" t="s">
        <v>132</v>
      </c>
      <c r="AK646" t="s">
        <v>142</v>
      </c>
      <c r="AM646" t="s">
        <v>114</v>
      </c>
      <c r="AN646" t="s">
        <v>132</v>
      </c>
      <c r="AP646" t="s">
        <v>132</v>
      </c>
      <c r="AQ646" t="s">
        <v>142</v>
      </c>
      <c r="AS646" s="57">
        <v>46228</v>
      </c>
      <c r="AU646" t="s">
        <v>114</v>
      </c>
      <c r="AV646" t="s">
        <v>134</v>
      </c>
      <c r="AW646" t="s">
        <v>2237</v>
      </c>
      <c r="AY646" t="s">
        <v>135</v>
      </c>
      <c r="BB646" t="s">
        <v>114</v>
      </c>
      <c r="BC646" s="57">
        <v>46227</v>
      </c>
      <c r="BD646" s="23" t="s">
        <v>2369</v>
      </c>
      <c r="BE646">
        <v>655896653</v>
      </c>
      <c r="BF646" t="s">
        <v>2243</v>
      </c>
      <c r="BG646" t="s">
        <v>449</v>
      </c>
      <c r="BI646" s="57">
        <v>46230</v>
      </c>
      <c r="BJ646" t="str">
        <f t="shared" si="129"/>
        <v>S31_2026</v>
      </c>
      <c r="BK646" t="s">
        <v>321</v>
      </c>
      <c r="BL646" t="str">
        <f t="shared" si="125"/>
        <v>S30_2026</v>
      </c>
      <c r="BM646" t="s">
        <v>159</v>
      </c>
      <c r="BN646" s="11">
        <v>46230</v>
      </c>
      <c r="BO646" s="22" t="str">
        <f t="shared" si="134"/>
        <v>S31_2026</v>
      </c>
      <c r="BP646" t="s">
        <v>114</v>
      </c>
      <c r="BQ646" t="s">
        <v>971</v>
      </c>
      <c r="BR646" t="s">
        <v>451</v>
      </c>
      <c r="BS646" s="22" t="s">
        <v>132</v>
      </c>
      <c r="CI646" t="s">
        <v>119</v>
      </c>
      <c r="CK646" t="s">
        <v>138</v>
      </c>
      <c r="CP646" s="11">
        <v>46227</v>
      </c>
      <c r="CQ646" t="s">
        <v>132</v>
      </c>
      <c r="CW646" t="s">
        <v>132</v>
      </c>
      <c r="CX646" s="57">
        <v>46222</v>
      </c>
      <c r="CY646" t="str">
        <f t="shared" si="126"/>
        <v>S29_2026</v>
      </c>
      <c r="CZ646" t="s">
        <v>132</v>
      </c>
      <c r="DB646" t="s">
        <v>132</v>
      </c>
      <c r="DC646" t="s">
        <v>139</v>
      </c>
    </row>
    <row r="647" spans="1:107" x14ac:dyDescent="0.35">
      <c r="A647" t="s">
        <v>2387</v>
      </c>
      <c r="B647" s="23" t="str">
        <f t="shared" si="135"/>
        <v>S31_2026</v>
      </c>
      <c r="C647" s="10" t="str">
        <f t="shared" si="136"/>
        <v>S30_2026</v>
      </c>
      <c r="D647" s="11">
        <v>46232</v>
      </c>
      <c r="E647" s="23" t="s">
        <v>106</v>
      </c>
      <c r="F647" s="58">
        <v>7</v>
      </c>
      <c r="G647" t="s">
        <v>107</v>
      </c>
      <c r="H647" t="s">
        <v>835</v>
      </c>
      <c r="J647" t="s">
        <v>132</v>
      </c>
      <c r="L647" t="s">
        <v>321</v>
      </c>
      <c r="M647" s="23" t="s">
        <v>2355</v>
      </c>
      <c r="N647" t="s">
        <v>2388</v>
      </c>
      <c r="P647" s="23" t="s">
        <v>2389</v>
      </c>
      <c r="Q647" s="23" t="s">
        <v>2355</v>
      </c>
      <c r="R647" s="11">
        <v>46226</v>
      </c>
      <c r="S647" s="11">
        <v>46226</v>
      </c>
      <c r="T647" s="11">
        <v>46226</v>
      </c>
      <c r="V647" t="s">
        <v>114</v>
      </c>
      <c r="W647" t="s">
        <v>114</v>
      </c>
      <c r="X647" t="s">
        <v>114</v>
      </c>
      <c r="Y647" t="s">
        <v>114</v>
      </c>
      <c r="Z647" t="s">
        <v>114</v>
      </c>
      <c r="AA647" t="s">
        <v>114</v>
      </c>
      <c r="AB647" t="s">
        <v>114</v>
      </c>
      <c r="AE647" t="s">
        <v>114</v>
      </c>
      <c r="AF647" t="s">
        <v>132</v>
      </c>
      <c r="AG647" t="s">
        <v>132</v>
      </c>
      <c r="AH647" t="s">
        <v>132</v>
      </c>
      <c r="AI647" t="s">
        <v>132</v>
      </c>
      <c r="AJ647" t="s">
        <v>132</v>
      </c>
      <c r="AK647" t="s">
        <v>114</v>
      </c>
      <c r="AM647" t="s">
        <v>114</v>
      </c>
      <c r="AN647" t="s">
        <v>132</v>
      </c>
      <c r="AP647" t="s">
        <v>132</v>
      </c>
      <c r="AQ647" t="s">
        <v>132</v>
      </c>
      <c r="AR647" t="s">
        <v>2390</v>
      </c>
      <c r="AS647" s="11">
        <v>46230</v>
      </c>
      <c r="AU647" t="s">
        <v>114</v>
      </c>
      <c r="AV647" t="s">
        <v>134</v>
      </c>
      <c r="AW647" t="s">
        <v>2237</v>
      </c>
      <c r="AY647" t="s">
        <v>135</v>
      </c>
      <c r="BB647" t="s">
        <v>114</v>
      </c>
      <c r="BC647" s="11">
        <v>46227</v>
      </c>
      <c r="BD647" s="23" t="s">
        <v>116</v>
      </c>
      <c r="BE647">
        <v>675340710</v>
      </c>
      <c r="BF647" s="23" t="s">
        <v>2388</v>
      </c>
      <c r="BG647" t="s">
        <v>449</v>
      </c>
      <c r="BI647" s="11">
        <v>46232</v>
      </c>
      <c r="BJ647" t="str">
        <f t="shared" si="129"/>
        <v>S31_2026</v>
      </c>
      <c r="BK647" t="s">
        <v>321</v>
      </c>
      <c r="BL647" t="str">
        <f t="shared" si="125"/>
        <v>S30_2026</v>
      </c>
      <c r="BM647" t="s">
        <v>159</v>
      </c>
      <c r="BN647" s="11">
        <v>46232</v>
      </c>
      <c r="BO647" s="22" t="str">
        <f t="shared" si="134"/>
        <v>S31_2026</v>
      </c>
      <c r="BP647" t="s">
        <v>114</v>
      </c>
      <c r="BQ647" t="s">
        <v>450</v>
      </c>
      <c r="BR647" t="s">
        <v>451</v>
      </c>
      <c r="BS647" s="22" t="s">
        <v>132</v>
      </c>
      <c r="CI647" t="s">
        <v>119</v>
      </c>
      <c r="CK647" t="s">
        <v>138</v>
      </c>
      <c r="CP647" s="11">
        <v>46227</v>
      </c>
      <c r="CQ647" t="s">
        <v>132</v>
      </c>
      <c r="CW647" t="s">
        <v>132</v>
      </c>
      <c r="CX647" s="11">
        <v>46226</v>
      </c>
      <c r="CY647" t="str">
        <f t="shared" si="126"/>
        <v>S30_2026</v>
      </c>
      <c r="CZ647" t="s">
        <v>132</v>
      </c>
      <c r="DB647" t="s">
        <v>132</v>
      </c>
      <c r="DC647" t="s">
        <v>139</v>
      </c>
    </row>
    <row r="648" spans="1:107" x14ac:dyDescent="0.35">
      <c r="A648" t="s">
        <v>2391</v>
      </c>
      <c r="B648" s="23" t="str">
        <f t="shared" si="135"/>
        <v>S31_2026</v>
      </c>
      <c r="C648" s="10" t="str">
        <f t="shared" si="136"/>
        <v>S29_2026</v>
      </c>
      <c r="D648" s="11">
        <v>46232</v>
      </c>
      <c r="E648" s="23" t="s">
        <v>106</v>
      </c>
      <c r="F648" s="58">
        <v>10</v>
      </c>
      <c r="G648" t="s">
        <v>107</v>
      </c>
      <c r="H648" t="s">
        <v>835</v>
      </c>
      <c r="J648" t="s">
        <v>132</v>
      </c>
      <c r="L648" t="s">
        <v>321</v>
      </c>
      <c r="M648" s="23" t="s">
        <v>2355</v>
      </c>
      <c r="N648" t="s">
        <v>626</v>
      </c>
      <c r="O648" t="s">
        <v>2392</v>
      </c>
      <c r="P648" s="23" t="s">
        <v>2393</v>
      </c>
      <c r="Q648" s="23" t="s">
        <v>2355</v>
      </c>
      <c r="R648" s="11">
        <v>46222</v>
      </c>
      <c r="S648" s="11">
        <v>46222</v>
      </c>
      <c r="T648" s="11">
        <v>46222</v>
      </c>
      <c r="AE648" t="s">
        <v>114</v>
      </c>
      <c r="AF648" t="s">
        <v>114</v>
      </c>
      <c r="AG648" t="s">
        <v>114</v>
      </c>
      <c r="AH648" t="s">
        <v>132</v>
      </c>
      <c r="AI648" t="s">
        <v>132</v>
      </c>
      <c r="AJ648" t="s">
        <v>132</v>
      </c>
      <c r="AK648" t="s">
        <v>132</v>
      </c>
      <c r="AM648" t="s">
        <v>132</v>
      </c>
      <c r="AN648" t="s">
        <v>132</v>
      </c>
      <c r="AP648" t="s">
        <v>132</v>
      </c>
      <c r="AQ648" t="s">
        <v>142</v>
      </c>
      <c r="AR648" t="s">
        <v>2394</v>
      </c>
      <c r="AS648" s="11">
        <v>46230</v>
      </c>
      <c r="AU648" t="s">
        <v>114</v>
      </c>
      <c r="AV648" t="s">
        <v>115</v>
      </c>
      <c r="BB648" t="s">
        <v>114</v>
      </c>
      <c r="BC648" s="11">
        <v>46227</v>
      </c>
      <c r="BD648" s="23" t="s">
        <v>116</v>
      </c>
      <c r="BE648">
        <v>577800508</v>
      </c>
      <c r="BF648" s="23" t="s">
        <v>626</v>
      </c>
      <c r="BG648" t="s">
        <v>449</v>
      </c>
      <c r="BJ648" t="str">
        <f t="shared" si="129"/>
        <v/>
      </c>
      <c r="BK648" t="s">
        <v>321</v>
      </c>
      <c r="BL648" t="str">
        <f t="shared" si="125"/>
        <v>S30_2026</v>
      </c>
      <c r="BM648" t="s">
        <v>159</v>
      </c>
      <c r="BN648" s="11">
        <v>46232</v>
      </c>
      <c r="BO648" s="22" t="str">
        <f t="shared" si="134"/>
        <v>S31_2026</v>
      </c>
      <c r="BP648" t="s">
        <v>114</v>
      </c>
      <c r="BQ648" t="s">
        <v>450</v>
      </c>
      <c r="BR648" t="s">
        <v>451</v>
      </c>
      <c r="BS648" s="22" t="s">
        <v>132</v>
      </c>
      <c r="CI648" t="s">
        <v>119</v>
      </c>
      <c r="CP648" s="11">
        <v>46227</v>
      </c>
      <c r="CQ648" t="s">
        <v>132</v>
      </c>
      <c r="CW648" t="s">
        <v>132</v>
      </c>
      <c r="CX648" s="11">
        <v>46222</v>
      </c>
      <c r="CY648" t="str">
        <f t="shared" si="126"/>
        <v>S29_2026</v>
      </c>
      <c r="CZ648" t="s">
        <v>132</v>
      </c>
      <c r="DB648" t="s">
        <v>132</v>
      </c>
      <c r="DC648" t="s">
        <v>120</v>
      </c>
    </row>
    <row r="649" spans="1:107" x14ac:dyDescent="0.35">
      <c r="A649" s="22" t="s">
        <v>2395</v>
      </c>
      <c r="B649" s="23" t="str">
        <f t="shared" si="135"/>
        <v>S31_2026</v>
      </c>
      <c r="C649" s="10" t="str">
        <f t="shared" si="136"/>
        <v>S29_2026</v>
      </c>
      <c r="D649" s="11">
        <v>46232</v>
      </c>
      <c r="E649" s="23" t="s">
        <v>123</v>
      </c>
      <c r="F649" s="58">
        <v>14</v>
      </c>
      <c r="G649" t="s">
        <v>107</v>
      </c>
      <c r="H649" t="s">
        <v>835</v>
      </c>
      <c r="J649" t="s">
        <v>114</v>
      </c>
      <c r="K649" s="11">
        <v>46220</v>
      </c>
      <c r="L649" t="s">
        <v>253</v>
      </c>
      <c r="M649" s="23" t="s">
        <v>249</v>
      </c>
      <c r="N649" t="s">
        <v>1807</v>
      </c>
      <c r="O649" t="s">
        <v>2396</v>
      </c>
      <c r="P649" s="23" t="s">
        <v>2397</v>
      </c>
      <c r="Q649" s="23" t="s">
        <v>249</v>
      </c>
      <c r="R649" s="11">
        <v>46220</v>
      </c>
      <c r="S649" s="11">
        <v>46220</v>
      </c>
      <c r="T649" s="11">
        <v>46220</v>
      </c>
      <c r="V649" t="s">
        <v>114</v>
      </c>
      <c r="W649" t="s">
        <v>114</v>
      </c>
      <c r="X649" t="s">
        <v>114</v>
      </c>
      <c r="Y649" t="s">
        <v>114</v>
      </c>
      <c r="Z649" t="s">
        <v>114</v>
      </c>
      <c r="AA649" t="s">
        <v>114</v>
      </c>
      <c r="AB649" t="s">
        <v>114</v>
      </c>
      <c r="AE649" t="s">
        <v>114</v>
      </c>
      <c r="AF649" t="s">
        <v>132</v>
      </c>
      <c r="AG649" t="s">
        <v>114</v>
      </c>
      <c r="AH649" t="s">
        <v>132</v>
      </c>
      <c r="AI649" t="s">
        <v>132</v>
      </c>
      <c r="AJ649" t="s">
        <v>132</v>
      </c>
      <c r="AK649" t="s">
        <v>132</v>
      </c>
      <c r="AM649" t="s">
        <v>114</v>
      </c>
      <c r="AN649" t="s">
        <v>132</v>
      </c>
      <c r="AP649" t="s">
        <v>132</v>
      </c>
      <c r="AQ649" t="s">
        <v>132</v>
      </c>
      <c r="AR649" t="s">
        <v>2398</v>
      </c>
      <c r="AS649" s="11">
        <v>46230</v>
      </c>
      <c r="AU649" t="s">
        <v>114</v>
      </c>
      <c r="AV649" t="s">
        <v>134</v>
      </c>
      <c r="AW649" t="s">
        <v>152</v>
      </c>
      <c r="AY649" t="s">
        <v>135</v>
      </c>
      <c r="BB649" t="s">
        <v>114</v>
      </c>
      <c r="BC649" s="11">
        <v>46225</v>
      </c>
      <c r="BD649" s="23" t="s">
        <v>512</v>
      </c>
      <c r="BE649">
        <v>697467712</v>
      </c>
      <c r="BF649" s="23" t="s">
        <v>1810</v>
      </c>
      <c r="BG649" t="s">
        <v>449</v>
      </c>
      <c r="BI649" s="11">
        <v>46232</v>
      </c>
      <c r="BJ649" t="str">
        <f t="shared" si="129"/>
        <v>S31_2026</v>
      </c>
      <c r="BK649" t="s">
        <v>253</v>
      </c>
      <c r="BL649" t="str">
        <f t="shared" si="125"/>
        <v>S30_2026</v>
      </c>
      <c r="BM649" t="s">
        <v>159</v>
      </c>
      <c r="BN649" s="11">
        <v>46232</v>
      </c>
      <c r="BO649" s="22" t="str">
        <f t="shared" si="134"/>
        <v>S31_2026</v>
      </c>
      <c r="BP649" t="s">
        <v>114</v>
      </c>
      <c r="BQ649" t="s">
        <v>450</v>
      </c>
      <c r="BR649" t="s">
        <v>451</v>
      </c>
      <c r="BS649" s="22" t="s">
        <v>132</v>
      </c>
      <c r="CI649" t="s">
        <v>119</v>
      </c>
      <c r="CK649" t="s">
        <v>138</v>
      </c>
      <c r="CP649" s="11">
        <v>46225</v>
      </c>
      <c r="CQ649" t="s">
        <v>132</v>
      </c>
      <c r="CW649" t="s">
        <v>132</v>
      </c>
      <c r="CX649" s="11">
        <v>46220</v>
      </c>
      <c r="CY649" t="str">
        <f t="shared" si="126"/>
        <v>S29_2026</v>
      </c>
      <c r="CZ649" t="s">
        <v>132</v>
      </c>
      <c r="DB649" t="s">
        <v>132</v>
      </c>
      <c r="DC649" t="s">
        <v>139</v>
      </c>
    </row>
    <row r="650" spans="1:107" x14ac:dyDescent="0.35">
      <c r="A650" t="s">
        <v>2399</v>
      </c>
      <c r="B650" s="23" t="str">
        <f t="shared" si="135"/>
        <v>S31_2026</v>
      </c>
      <c r="C650" s="10" t="str">
        <f t="shared" si="136"/>
        <v>S25_2026</v>
      </c>
      <c r="D650" s="11">
        <v>46232</v>
      </c>
      <c r="E650" s="23" t="s">
        <v>123</v>
      </c>
      <c r="F650" s="58">
        <v>29</v>
      </c>
      <c r="G650" t="s">
        <v>2276</v>
      </c>
      <c r="H650" t="s">
        <v>108</v>
      </c>
      <c r="J650" t="s">
        <v>114</v>
      </c>
      <c r="K650" s="11">
        <v>46221</v>
      </c>
      <c r="L650" t="s">
        <v>793</v>
      </c>
      <c r="M650" s="23" t="s">
        <v>1885</v>
      </c>
      <c r="N650" t="s">
        <v>1886</v>
      </c>
      <c r="O650" t="s">
        <v>2400</v>
      </c>
      <c r="P650" s="23" t="s">
        <v>2401</v>
      </c>
      <c r="Q650" s="23" t="s">
        <v>1885</v>
      </c>
      <c r="R650" s="11">
        <v>46191</v>
      </c>
      <c r="S650" s="11">
        <v>46191</v>
      </c>
      <c r="T650" s="11">
        <v>46191</v>
      </c>
      <c r="V650" t="s">
        <v>132</v>
      </c>
      <c r="W650" t="s">
        <v>132</v>
      </c>
      <c r="X650" t="s">
        <v>114</v>
      </c>
      <c r="Y650" t="s">
        <v>114</v>
      </c>
      <c r="Z650" t="s">
        <v>132</v>
      </c>
      <c r="AA650" t="s">
        <v>132</v>
      </c>
      <c r="AB650" t="s">
        <v>114</v>
      </c>
      <c r="AC650" t="s">
        <v>1377</v>
      </c>
      <c r="AE650" t="s">
        <v>114</v>
      </c>
      <c r="AF650" t="s">
        <v>132</v>
      </c>
      <c r="AG650" t="s">
        <v>114</v>
      </c>
      <c r="AH650" t="s">
        <v>132</v>
      </c>
      <c r="AI650" t="s">
        <v>132</v>
      </c>
      <c r="AJ650" t="s">
        <v>132</v>
      </c>
      <c r="AK650" t="s">
        <v>114</v>
      </c>
      <c r="AM650" t="s">
        <v>132</v>
      </c>
      <c r="AN650" t="s">
        <v>132</v>
      </c>
      <c r="AP650" t="s">
        <v>132</v>
      </c>
      <c r="AQ650" t="s">
        <v>132</v>
      </c>
      <c r="AR650" t="s">
        <v>2402</v>
      </c>
      <c r="AS650" s="11">
        <v>46230</v>
      </c>
      <c r="AU650" t="s">
        <v>114</v>
      </c>
      <c r="AV650" t="s">
        <v>115</v>
      </c>
      <c r="BB650" t="s">
        <v>114</v>
      </c>
      <c r="BC650" s="11">
        <v>46227</v>
      </c>
      <c r="BD650" s="23" t="s">
        <v>116</v>
      </c>
      <c r="BE650">
        <v>689033659</v>
      </c>
      <c r="BF650" t="s">
        <v>1886</v>
      </c>
      <c r="BG650" t="s">
        <v>449</v>
      </c>
      <c r="BJ650" t="str">
        <f t="shared" si="129"/>
        <v/>
      </c>
      <c r="BK650" t="s">
        <v>793</v>
      </c>
      <c r="BL650" t="str">
        <f t="shared" si="125"/>
        <v>S30_2026</v>
      </c>
      <c r="BM650" t="s">
        <v>159</v>
      </c>
      <c r="BN650" s="11">
        <v>46232</v>
      </c>
      <c r="BO650" s="22" t="str">
        <f t="shared" si="134"/>
        <v>S31_2026</v>
      </c>
      <c r="BP650" t="s">
        <v>114</v>
      </c>
      <c r="BQ650" t="s">
        <v>450</v>
      </c>
      <c r="BR650" t="s">
        <v>451</v>
      </c>
      <c r="BS650" s="22" t="s">
        <v>132</v>
      </c>
      <c r="CI650" t="s">
        <v>119</v>
      </c>
      <c r="CP650" s="11">
        <v>46227</v>
      </c>
      <c r="CQ650" t="s">
        <v>132</v>
      </c>
      <c r="CW650" t="s">
        <v>132</v>
      </c>
      <c r="CX650" s="11">
        <v>46191</v>
      </c>
      <c r="CY650" t="str">
        <f t="shared" si="126"/>
        <v>S25_2026</v>
      </c>
      <c r="CZ650" t="s">
        <v>132</v>
      </c>
      <c r="DB650" t="s">
        <v>132</v>
      </c>
      <c r="DC650" t="s">
        <v>120</v>
      </c>
    </row>
    <row r="651" spans="1:107" x14ac:dyDescent="0.35">
      <c r="A651" t="s">
        <v>2403</v>
      </c>
      <c r="B651" s="23" t="str">
        <f t="shared" si="135"/>
        <v>S31_2026</v>
      </c>
      <c r="C651" s="10" t="str">
        <f t="shared" si="136"/>
        <v>S25_2026</v>
      </c>
      <c r="D651" s="11">
        <v>46232</v>
      </c>
      <c r="E651" s="23" t="s">
        <v>123</v>
      </c>
      <c r="F651" s="58">
        <v>7</v>
      </c>
      <c r="G651" t="s">
        <v>107</v>
      </c>
      <c r="H651" t="s">
        <v>108</v>
      </c>
      <c r="J651" t="s">
        <v>114</v>
      </c>
      <c r="K651" s="11">
        <v>46226</v>
      </c>
      <c r="L651" t="s">
        <v>187</v>
      </c>
      <c r="M651" s="23" t="s">
        <v>619</v>
      </c>
      <c r="O651" t="s">
        <v>2404</v>
      </c>
      <c r="P651" s="23" t="s">
        <v>2405</v>
      </c>
      <c r="Q651" s="23" t="s">
        <v>619</v>
      </c>
      <c r="R651" s="11">
        <v>46188</v>
      </c>
      <c r="S651" s="11">
        <v>46188</v>
      </c>
      <c r="T651" s="11">
        <v>46188</v>
      </c>
      <c r="V651" t="s">
        <v>114</v>
      </c>
      <c r="W651" t="s">
        <v>114</v>
      </c>
      <c r="X651" t="s">
        <v>114</v>
      </c>
      <c r="Y651" t="s">
        <v>114</v>
      </c>
      <c r="Z651" t="s">
        <v>114</v>
      </c>
      <c r="AA651" t="s">
        <v>114</v>
      </c>
      <c r="AB651" t="s">
        <v>114</v>
      </c>
      <c r="AE651" t="s">
        <v>114</v>
      </c>
      <c r="AF651" t="s">
        <v>114</v>
      </c>
      <c r="AG651" t="s">
        <v>114</v>
      </c>
      <c r="AH651" t="s">
        <v>132</v>
      </c>
      <c r="AI651" t="s">
        <v>132</v>
      </c>
      <c r="AJ651" t="s">
        <v>1767</v>
      </c>
      <c r="AK651" t="s">
        <v>132</v>
      </c>
      <c r="AM651" t="s">
        <v>132</v>
      </c>
      <c r="AN651" t="s">
        <v>132</v>
      </c>
      <c r="AP651" t="s">
        <v>132</v>
      </c>
      <c r="AQ651" t="s">
        <v>132</v>
      </c>
      <c r="AR651" t="s">
        <v>2406</v>
      </c>
      <c r="AS651" s="11">
        <v>46230</v>
      </c>
      <c r="AU651" t="s">
        <v>114</v>
      </c>
      <c r="AV651" t="s">
        <v>134</v>
      </c>
      <c r="AW651" t="s">
        <v>2237</v>
      </c>
      <c r="AY651" t="s">
        <v>135</v>
      </c>
      <c r="BB651" t="s">
        <v>114</v>
      </c>
      <c r="BC651" s="11">
        <v>46226</v>
      </c>
      <c r="BD651" s="23" t="s">
        <v>116</v>
      </c>
      <c r="BE651">
        <v>674779356</v>
      </c>
      <c r="BF651" t="s">
        <v>620</v>
      </c>
      <c r="BG651" t="s">
        <v>449</v>
      </c>
      <c r="BI651" s="11">
        <v>46232</v>
      </c>
      <c r="BJ651" t="str">
        <f t="shared" si="129"/>
        <v>S31_2026</v>
      </c>
      <c r="BK651" t="s">
        <v>187</v>
      </c>
      <c r="BL651" t="str">
        <f t="shared" si="125"/>
        <v>S30_2026</v>
      </c>
      <c r="BM651" t="s">
        <v>159</v>
      </c>
      <c r="BN651" s="11">
        <v>46232</v>
      </c>
      <c r="BO651" s="22" t="str">
        <f t="shared" si="134"/>
        <v>S31_2026</v>
      </c>
      <c r="BP651" t="s">
        <v>114</v>
      </c>
      <c r="BQ651" t="s">
        <v>450</v>
      </c>
      <c r="BR651" t="s">
        <v>142</v>
      </c>
      <c r="BS651" s="22" t="s">
        <v>132</v>
      </c>
      <c r="CI651" t="s">
        <v>119</v>
      </c>
      <c r="CK651" t="s">
        <v>138</v>
      </c>
      <c r="CP651" s="11">
        <v>46226</v>
      </c>
      <c r="CQ651" t="s">
        <v>132</v>
      </c>
      <c r="CW651" t="s">
        <v>132</v>
      </c>
      <c r="CX651" s="11">
        <v>46188</v>
      </c>
      <c r="CY651" t="str">
        <f t="shared" si="126"/>
        <v>S25_2026</v>
      </c>
      <c r="CZ651" t="s">
        <v>132</v>
      </c>
      <c r="DB651" t="s">
        <v>132</v>
      </c>
      <c r="DC651" t="s">
        <v>139</v>
      </c>
    </row>
    <row r="652" spans="1:107" x14ac:dyDescent="0.35">
      <c r="A652" t="s">
        <v>2407</v>
      </c>
      <c r="B652" s="23" t="str">
        <f>IFERROR("S"&amp;(IF(_xlfn.ISOWEEKNUM(D652)&gt;0,_xlfn.ISOWEEKNUM(D652),_xlfn.CONCAT("0",_xlfn.ISOWEEKNUM(D652))))&amp;"_"&amp;(YEAR(D652+26-(_xlfn.ISOWEEKNUM(D652)))),"")</f>
        <v>S31_2026</v>
      </c>
      <c r="C652" s="10" t="str">
        <f t="shared" si="136"/>
        <v>S29_2026</v>
      </c>
      <c r="D652" s="11">
        <v>46232</v>
      </c>
      <c r="E652" t="s">
        <v>123</v>
      </c>
      <c r="F652" s="24">
        <v>29</v>
      </c>
      <c r="G652" t="s">
        <v>2408</v>
      </c>
      <c r="H652" t="s">
        <v>835</v>
      </c>
      <c r="J652" t="s">
        <v>114</v>
      </c>
      <c r="K652" s="11">
        <v>46230</v>
      </c>
      <c r="L652" t="s">
        <v>126</v>
      </c>
      <c r="M652" t="s">
        <v>146</v>
      </c>
      <c r="N652" t="s">
        <v>147</v>
      </c>
      <c r="O652" t="s">
        <v>1295</v>
      </c>
      <c r="P652" t="s">
        <v>2409</v>
      </c>
      <c r="Q652" t="s">
        <v>146</v>
      </c>
      <c r="R652" s="11">
        <v>46216</v>
      </c>
      <c r="S652" s="11">
        <v>46214</v>
      </c>
      <c r="T652" s="11">
        <v>46216</v>
      </c>
      <c r="V652" t="s">
        <v>114</v>
      </c>
      <c r="W652" t="s">
        <v>114</v>
      </c>
      <c r="X652" t="s">
        <v>114</v>
      </c>
      <c r="Y652" t="s">
        <v>132</v>
      </c>
      <c r="Z652" t="s">
        <v>114</v>
      </c>
      <c r="AA652" t="s">
        <v>132</v>
      </c>
      <c r="AB652" t="s">
        <v>114</v>
      </c>
      <c r="AC652" t="s">
        <v>132</v>
      </c>
      <c r="AE652" t="s">
        <v>114</v>
      </c>
      <c r="AF652" t="s">
        <v>114</v>
      </c>
      <c r="AG652" t="s">
        <v>114</v>
      </c>
      <c r="AH652" t="s">
        <v>132</v>
      </c>
      <c r="AI652" t="s">
        <v>132</v>
      </c>
      <c r="AJ652" t="s">
        <v>132</v>
      </c>
      <c r="AK652" t="s">
        <v>114</v>
      </c>
      <c r="AM652" t="s">
        <v>132</v>
      </c>
      <c r="AN652" t="s">
        <v>132</v>
      </c>
      <c r="AP652" t="s">
        <v>132</v>
      </c>
      <c r="AQ652" t="s">
        <v>132</v>
      </c>
      <c r="AR652" t="s">
        <v>2410</v>
      </c>
      <c r="AS652" s="11">
        <v>46231</v>
      </c>
      <c r="AU652" t="s">
        <v>114</v>
      </c>
      <c r="AV652" t="s">
        <v>134</v>
      </c>
      <c r="AW652" t="s">
        <v>2237</v>
      </c>
      <c r="AY652" t="s">
        <v>135</v>
      </c>
      <c r="BB652" t="s">
        <v>114</v>
      </c>
      <c r="BC652" s="11">
        <v>46231</v>
      </c>
      <c r="BD652" t="s">
        <v>1994</v>
      </c>
      <c r="BF652" t="s">
        <v>1042</v>
      </c>
      <c r="BG652" t="s">
        <v>449</v>
      </c>
      <c r="BI652" s="11">
        <v>46237</v>
      </c>
      <c r="BJ652" t="str">
        <f t="shared" si="129"/>
        <v>S32_2026</v>
      </c>
      <c r="BK652" t="s">
        <v>137</v>
      </c>
      <c r="BL652" t="str">
        <f t="shared" si="125"/>
        <v>S31_2026</v>
      </c>
      <c r="BM652" t="s">
        <v>159</v>
      </c>
      <c r="BN652" s="11">
        <v>46237</v>
      </c>
      <c r="BO652" s="22" t="str">
        <f t="shared" si="134"/>
        <v>S32_2026</v>
      </c>
      <c r="BP652" t="s">
        <v>114</v>
      </c>
      <c r="BQ652" t="s">
        <v>450</v>
      </c>
      <c r="BR652" t="s">
        <v>451</v>
      </c>
      <c r="BS652" s="22" t="s">
        <v>132</v>
      </c>
      <c r="CI652" t="s">
        <v>119</v>
      </c>
      <c r="CK652" t="s">
        <v>138</v>
      </c>
      <c r="CP652" s="11">
        <v>46230</v>
      </c>
      <c r="CQ652" t="s">
        <v>132</v>
      </c>
      <c r="CW652" t="s">
        <v>132</v>
      </c>
      <c r="CX652" s="11">
        <v>46214</v>
      </c>
      <c r="CY652" t="str">
        <f t="shared" si="126"/>
        <v>S28_2026</v>
      </c>
      <c r="CZ652" t="s">
        <v>132</v>
      </c>
      <c r="DB652" t="s">
        <v>132</v>
      </c>
      <c r="DC652" t="s">
        <v>139</v>
      </c>
    </row>
    <row r="653" spans="1:107" x14ac:dyDescent="0.35">
      <c r="A653" t="s">
        <v>2411</v>
      </c>
      <c r="B653" s="23" t="str">
        <f>IFERROR("S"&amp;(IF(_xlfn.ISOWEEKNUM(D653)&gt;0,_xlfn.ISOWEEKNUM(D653),_xlfn.CONCAT("0",_xlfn.ISOWEEKNUM(D653))))&amp;"_"&amp;(YEAR(D653+26-(_xlfn.ISOWEEKNUM(D653)))),"")</f>
        <v>S31_2026</v>
      </c>
      <c r="C653" s="10" t="str">
        <f t="shared" si="136"/>
        <v>S30_2026</v>
      </c>
      <c r="D653" s="11">
        <v>46233</v>
      </c>
      <c r="E653" s="23" t="s">
        <v>106</v>
      </c>
      <c r="F653" s="58">
        <v>20</v>
      </c>
      <c r="G653" t="s">
        <v>1197</v>
      </c>
      <c r="H653" t="s">
        <v>108</v>
      </c>
      <c r="J653" t="s">
        <v>114</v>
      </c>
      <c r="K653" s="11">
        <v>46231</v>
      </c>
      <c r="L653" t="s">
        <v>170</v>
      </c>
      <c r="M653" s="23" t="s">
        <v>2110</v>
      </c>
      <c r="N653" t="s">
        <v>2111</v>
      </c>
      <c r="O653" t="s">
        <v>2112</v>
      </c>
      <c r="P653" t="s">
        <v>2412</v>
      </c>
      <c r="Q653" s="23" t="s">
        <v>2110</v>
      </c>
      <c r="R653" s="11">
        <v>46229</v>
      </c>
      <c r="S653" s="11">
        <v>46229</v>
      </c>
      <c r="T653" s="11">
        <v>46229</v>
      </c>
      <c r="V653" t="s">
        <v>114</v>
      </c>
      <c r="W653" t="s">
        <v>114</v>
      </c>
      <c r="X653" t="s">
        <v>114</v>
      </c>
      <c r="Y653" t="s">
        <v>114</v>
      </c>
      <c r="Z653" t="s">
        <v>114</v>
      </c>
      <c r="AA653" t="s">
        <v>114</v>
      </c>
      <c r="AB653" t="s">
        <v>114</v>
      </c>
      <c r="AE653" t="s">
        <v>114</v>
      </c>
      <c r="AF653" t="s">
        <v>132</v>
      </c>
      <c r="AG653" t="s">
        <v>114</v>
      </c>
      <c r="AH653" t="s">
        <v>132</v>
      </c>
      <c r="AI653" t="s">
        <v>132</v>
      </c>
      <c r="AJ653" t="s">
        <v>132</v>
      </c>
      <c r="AK653" t="s">
        <v>132</v>
      </c>
      <c r="AM653" t="s">
        <v>132</v>
      </c>
      <c r="AN653" t="s">
        <v>132</v>
      </c>
      <c r="AP653" t="s">
        <v>132</v>
      </c>
      <c r="AQ653" t="s">
        <v>132</v>
      </c>
      <c r="AR653" t="s">
        <v>2413</v>
      </c>
      <c r="AS653" s="11">
        <v>46234</v>
      </c>
      <c r="AU653" t="s">
        <v>114</v>
      </c>
      <c r="AV653" t="s">
        <v>115</v>
      </c>
      <c r="BB653" t="s">
        <v>114</v>
      </c>
      <c r="BC653" s="11">
        <v>46232</v>
      </c>
      <c r="BD653" s="23" t="s">
        <v>116</v>
      </c>
      <c r="BE653">
        <v>651141982</v>
      </c>
      <c r="BF653" t="s">
        <v>2111</v>
      </c>
      <c r="BG653" t="s">
        <v>449</v>
      </c>
      <c r="BJ653" t="str">
        <f t="shared" si="129"/>
        <v/>
      </c>
      <c r="BK653" t="s">
        <v>170</v>
      </c>
      <c r="BL653" t="str">
        <f t="shared" si="125"/>
        <v>S31_2026</v>
      </c>
      <c r="BM653" t="s">
        <v>159</v>
      </c>
      <c r="BN653" s="11">
        <v>46237</v>
      </c>
      <c r="BO653" s="22" t="str">
        <f t="shared" si="134"/>
        <v>S32_2026</v>
      </c>
      <c r="BP653" t="s">
        <v>114</v>
      </c>
      <c r="BQ653" t="s">
        <v>450</v>
      </c>
      <c r="BR653" t="s">
        <v>451</v>
      </c>
      <c r="BS653" s="22" t="s">
        <v>132</v>
      </c>
      <c r="CI653" t="s">
        <v>119</v>
      </c>
      <c r="CP653" s="11">
        <v>46232</v>
      </c>
      <c r="CQ653" t="s">
        <v>132</v>
      </c>
      <c r="CW653" t="s">
        <v>132</v>
      </c>
      <c r="CX653" s="11">
        <v>46229</v>
      </c>
      <c r="CY653" t="str">
        <f t="shared" si="126"/>
        <v>S30_2026</v>
      </c>
      <c r="CZ653" t="s">
        <v>132</v>
      </c>
      <c r="DB653" t="s">
        <v>132</v>
      </c>
      <c r="DC653" t="s">
        <v>120</v>
      </c>
    </row>
    <row r="654" spans="1:107" x14ac:dyDescent="0.35">
      <c r="A654" s="22" t="s">
        <v>2414</v>
      </c>
      <c r="B654" s="23" t="str">
        <f t="shared" ref="B654:B665" si="137">IFERROR("S"&amp;(IF(_xlfn.ISOWEEKNUM(D654)&gt;0,_xlfn.ISOWEEKNUM(D654),_xlfn.CONCAT("0",_xlfn.ISOWEEKNUM(D654))))&amp;"_"&amp;(YEAR(D654+26-(_xlfn.ISOWEEKNUM(D654)))),"")</f>
        <v>S31_2026</v>
      </c>
      <c r="C654" s="10" t="str">
        <f t="shared" si="136"/>
        <v>S31_2026</v>
      </c>
      <c r="D654" s="11">
        <v>46235</v>
      </c>
      <c r="E654" t="s">
        <v>123</v>
      </c>
      <c r="F654" s="24">
        <v>22</v>
      </c>
      <c r="G654" t="s">
        <v>564</v>
      </c>
      <c r="H654" t="s">
        <v>835</v>
      </c>
      <c r="J654" t="s">
        <v>132</v>
      </c>
      <c r="L654" t="s">
        <v>126</v>
      </c>
      <c r="M654" t="s">
        <v>1084</v>
      </c>
      <c r="N654" t="s">
        <v>1274</v>
      </c>
      <c r="O654" t="s">
        <v>1658</v>
      </c>
      <c r="P654" t="s">
        <v>2415</v>
      </c>
      <c r="Q654" t="s">
        <v>1053</v>
      </c>
      <c r="R654" s="11">
        <v>46231</v>
      </c>
      <c r="S654" s="11">
        <v>46231</v>
      </c>
      <c r="T654" s="11">
        <v>46232</v>
      </c>
      <c r="V654" t="s">
        <v>114</v>
      </c>
      <c r="W654" t="s">
        <v>114</v>
      </c>
      <c r="X654" t="s">
        <v>114</v>
      </c>
      <c r="Y654" t="s">
        <v>114</v>
      </c>
      <c r="Z654" t="s">
        <v>114</v>
      </c>
      <c r="AA654" t="s">
        <v>114</v>
      </c>
      <c r="AB654" t="s">
        <v>114</v>
      </c>
      <c r="AC654" t="s">
        <v>1238</v>
      </c>
      <c r="AE654" t="s">
        <v>114</v>
      </c>
      <c r="AF654" t="s">
        <v>114</v>
      </c>
      <c r="AG654" t="s">
        <v>114</v>
      </c>
      <c r="AH654" t="s">
        <v>132</v>
      </c>
      <c r="AI654" t="s">
        <v>132</v>
      </c>
      <c r="AJ654" t="s">
        <v>132</v>
      </c>
      <c r="AK654" t="s">
        <v>132</v>
      </c>
      <c r="AM654" t="s">
        <v>132</v>
      </c>
      <c r="AN654" t="s">
        <v>132</v>
      </c>
      <c r="AP654" t="s">
        <v>132</v>
      </c>
      <c r="AQ654" t="s">
        <v>132</v>
      </c>
      <c r="AR654" t="s">
        <v>2416</v>
      </c>
      <c r="AS654" s="11">
        <v>46235</v>
      </c>
      <c r="AU654" t="s">
        <v>114</v>
      </c>
      <c r="AV654" t="s">
        <v>134</v>
      </c>
      <c r="AW654" t="s">
        <v>2237</v>
      </c>
      <c r="AY654" t="s">
        <v>2219</v>
      </c>
      <c r="BB654" t="s">
        <v>114</v>
      </c>
      <c r="BC654" s="11">
        <v>46233</v>
      </c>
      <c r="BD654" t="s">
        <v>1994</v>
      </c>
      <c r="BF654" t="s">
        <v>2417</v>
      </c>
      <c r="BG654" t="s">
        <v>449</v>
      </c>
      <c r="BI654" s="11">
        <v>46239</v>
      </c>
      <c r="BJ654" t="str">
        <f t="shared" si="129"/>
        <v>S32_2026</v>
      </c>
      <c r="BK654" t="s">
        <v>137</v>
      </c>
      <c r="BL654" t="str">
        <f t="shared" si="125"/>
        <v>S31_2026</v>
      </c>
      <c r="BM654" t="s">
        <v>159</v>
      </c>
      <c r="BN654" s="11">
        <v>46239</v>
      </c>
      <c r="BO654" s="22" t="str">
        <f t="shared" si="134"/>
        <v>S32_2026</v>
      </c>
      <c r="BP654" t="s">
        <v>114</v>
      </c>
      <c r="BQ654" t="s">
        <v>450</v>
      </c>
      <c r="BR654" t="s">
        <v>451</v>
      </c>
      <c r="BS654" s="22" t="s">
        <v>132</v>
      </c>
      <c r="CI654" t="s">
        <v>119</v>
      </c>
      <c r="CK654" t="s">
        <v>138</v>
      </c>
      <c r="CP654" s="11">
        <v>46233</v>
      </c>
      <c r="CQ654" t="s">
        <v>132</v>
      </c>
      <c r="CW654" t="s">
        <v>132</v>
      </c>
      <c r="CX654" s="11">
        <v>46231</v>
      </c>
      <c r="CY654" t="str">
        <f t="shared" si="126"/>
        <v>S31_2026</v>
      </c>
      <c r="CZ654" t="s">
        <v>132</v>
      </c>
      <c r="DB654" t="s">
        <v>132</v>
      </c>
      <c r="DC654" t="s">
        <v>139</v>
      </c>
    </row>
    <row r="655" spans="1:107" x14ac:dyDescent="0.35">
      <c r="A655" t="s">
        <v>2418</v>
      </c>
      <c r="B655" s="23" t="str">
        <f t="shared" si="137"/>
        <v>S31_2026</v>
      </c>
      <c r="C655" s="10" t="str">
        <f t="shared" si="136"/>
        <v>S31_2026</v>
      </c>
      <c r="D655" s="11">
        <v>46235</v>
      </c>
      <c r="E655" t="s">
        <v>106</v>
      </c>
      <c r="F655" s="24">
        <v>24</v>
      </c>
      <c r="G655" t="s">
        <v>2339</v>
      </c>
      <c r="H655" t="s">
        <v>835</v>
      </c>
      <c r="J655" t="s">
        <v>132</v>
      </c>
      <c r="L655" t="s">
        <v>126</v>
      </c>
      <c r="M655" t="s">
        <v>1084</v>
      </c>
      <c r="N655" t="s">
        <v>1274</v>
      </c>
      <c r="O655" t="s">
        <v>1658</v>
      </c>
      <c r="P655" t="s">
        <v>2419</v>
      </c>
      <c r="Q655" t="s">
        <v>1084</v>
      </c>
      <c r="R655" s="11">
        <v>46230</v>
      </c>
      <c r="S655" s="11">
        <v>46230</v>
      </c>
      <c r="T655" s="11">
        <v>46231</v>
      </c>
      <c r="V655" t="s">
        <v>114</v>
      </c>
      <c r="W655" t="s">
        <v>114</v>
      </c>
      <c r="X655" t="s">
        <v>114</v>
      </c>
      <c r="Y655" t="s">
        <v>114</v>
      </c>
      <c r="Z655" t="s">
        <v>114</v>
      </c>
      <c r="AA655" t="s">
        <v>114</v>
      </c>
      <c r="AB655" t="s">
        <v>114</v>
      </c>
      <c r="AC655" t="s">
        <v>1238</v>
      </c>
      <c r="AE655" t="s">
        <v>114</v>
      </c>
      <c r="AF655" t="s">
        <v>114</v>
      </c>
      <c r="AG655" t="s">
        <v>114</v>
      </c>
      <c r="AH655" t="s">
        <v>132</v>
      </c>
      <c r="AI655" t="s">
        <v>132</v>
      </c>
      <c r="AJ655" t="s">
        <v>132</v>
      </c>
      <c r="AK655" t="s">
        <v>132</v>
      </c>
      <c r="AM655" t="s">
        <v>132</v>
      </c>
      <c r="AN655" t="s">
        <v>132</v>
      </c>
      <c r="AP655" t="s">
        <v>132</v>
      </c>
      <c r="AQ655" t="s">
        <v>132</v>
      </c>
      <c r="BB655" t="s">
        <v>114</v>
      </c>
      <c r="BC655" s="11">
        <v>46234</v>
      </c>
      <c r="BD655" t="s">
        <v>1994</v>
      </c>
      <c r="BF655" t="s">
        <v>2420</v>
      </c>
      <c r="BJ655" t="str">
        <f t="shared" si="129"/>
        <v/>
      </c>
      <c r="BK655" t="s">
        <v>137</v>
      </c>
      <c r="BL655" t="str">
        <f t="shared" ref="BL655:BL707" si="138">IFERROR("S"&amp;(IF(_xlfn.ISOWEEKNUM(BC655)&gt;0,_xlfn.ISOWEEKNUM(BC655),_xlfn.CONCAT("0",_xlfn.ISOWEEKNUM(BC655))))&amp;"_"&amp;(YEAR(BC655+26-(_xlfn.ISOWEEKNUM(BC655)))),"")</f>
        <v>S31_2026</v>
      </c>
      <c r="BM655" t="s">
        <v>159</v>
      </c>
      <c r="BO655" s="22" t="str">
        <f t="shared" si="134"/>
        <v/>
      </c>
      <c r="BR655" t="s">
        <v>451</v>
      </c>
      <c r="BS655" s="22" t="s">
        <v>132</v>
      </c>
      <c r="CI655" t="s">
        <v>119</v>
      </c>
      <c r="CP655" s="11">
        <v>46234</v>
      </c>
      <c r="CX655" s="11">
        <v>46230</v>
      </c>
      <c r="CY655" t="str">
        <f t="shared" si="126"/>
        <v>S31_2026</v>
      </c>
      <c r="DC655" t="s">
        <v>1293</v>
      </c>
    </row>
    <row r="656" spans="1:107" x14ac:dyDescent="0.35">
      <c r="A656" t="s">
        <v>2421</v>
      </c>
      <c r="B656" s="23" t="str">
        <f t="shared" si="137"/>
        <v>S31_2026</v>
      </c>
      <c r="C656" s="10" t="str">
        <f>IFERROR("S"&amp;(IF(_xlfn.ISOWEEKNUM(R656)&gt;0,_xlfn.ISOWEEKNUM(R656),_xlfn.CONCAT("0",_xlfn.ISOWEEKNUM(R656))))&amp;"_"&amp;(YEAR(R656+26-(_xlfn.ISOWEEKNUM(R656)))),"")</f>
        <v>S30_2026</v>
      </c>
      <c r="D656" s="11">
        <v>46234</v>
      </c>
      <c r="E656" t="s">
        <v>106</v>
      </c>
      <c r="F656" s="24">
        <v>1.5</v>
      </c>
      <c r="G656" t="s">
        <v>141</v>
      </c>
      <c r="H656" t="s">
        <v>835</v>
      </c>
      <c r="J656" t="s">
        <v>132</v>
      </c>
      <c r="L656" t="s">
        <v>137</v>
      </c>
      <c r="M656" t="s">
        <v>977</v>
      </c>
      <c r="N656" t="s">
        <v>1364</v>
      </c>
      <c r="O656" t="s">
        <v>184</v>
      </c>
      <c r="P656" t="s">
        <v>2422</v>
      </c>
      <c r="Q656" t="s">
        <v>1224</v>
      </c>
      <c r="R656" s="11">
        <v>46225</v>
      </c>
      <c r="S656" s="11">
        <v>46225</v>
      </c>
      <c r="T656" s="11">
        <v>46229</v>
      </c>
      <c r="V656" t="s">
        <v>132</v>
      </c>
      <c r="W656" t="s">
        <v>132</v>
      </c>
      <c r="X656" t="s">
        <v>114</v>
      </c>
      <c r="Y656" t="s">
        <v>114</v>
      </c>
      <c r="Z656" t="s">
        <v>132</v>
      </c>
      <c r="AA656" t="s">
        <v>132</v>
      </c>
      <c r="AB656" t="s">
        <v>132</v>
      </c>
      <c r="AC656" t="s">
        <v>1115</v>
      </c>
      <c r="AE656" t="s">
        <v>114</v>
      </c>
      <c r="AF656" t="s">
        <v>132</v>
      </c>
      <c r="AG656" t="s">
        <v>114</v>
      </c>
      <c r="AH656" t="s">
        <v>132</v>
      </c>
      <c r="AI656" t="s">
        <v>132</v>
      </c>
      <c r="AJ656" t="s">
        <v>132</v>
      </c>
      <c r="AK656" t="s">
        <v>132</v>
      </c>
      <c r="AM656" t="s">
        <v>132</v>
      </c>
      <c r="AN656" t="s">
        <v>132</v>
      </c>
      <c r="AP656" t="s">
        <v>132</v>
      </c>
      <c r="AQ656" t="s">
        <v>132</v>
      </c>
      <c r="AR656" t="s">
        <v>2423</v>
      </c>
      <c r="AS656" s="11">
        <v>46234</v>
      </c>
      <c r="AU656" t="s">
        <v>114</v>
      </c>
      <c r="AV656" t="s">
        <v>115</v>
      </c>
      <c r="BB656" t="s">
        <v>114</v>
      </c>
      <c r="BC656" s="11">
        <v>46230</v>
      </c>
      <c r="BD656" t="s">
        <v>116</v>
      </c>
      <c r="BE656">
        <v>691676123</v>
      </c>
      <c r="BF656" t="s">
        <v>2422</v>
      </c>
      <c r="BG656" t="s">
        <v>449</v>
      </c>
      <c r="BJ656" t="str">
        <f t="shared" si="129"/>
        <v/>
      </c>
      <c r="BK656" t="s">
        <v>137</v>
      </c>
      <c r="BL656" t="str">
        <f t="shared" si="138"/>
        <v>S31_2026</v>
      </c>
      <c r="BM656" t="s">
        <v>159</v>
      </c>
      <c r="BN656" s="11">
        <v>46237</v>
      </c>
      <c r="BO656" s="22" t="str">
        <f t="shared" si="134"/>
        <v>S32_2026</v>
      </c>
      <c r="BP656" t="s">
        <v>114</v>
      </c>
      <c r="BQ656" t="s">
        <v>450</v>
      </c>
      <c r="BR656" t="s">
        <v>451</v>
      </c>
      <c r="BS656" s="22" t="s">
        <v>132</v>
      </c>
      <c r="CI656" t="s">
        <v>119</v>
      </c>
      <c r="CP656" s="11">
        <v>46230</v>
      </c>
      <c r="CQ656" t="s">
        <v>132</v>
      </c>
      <c r="CW656" t="s">
        <v>132</v>
      </c>
      <c r="CX656" s="11">
        <v>46225</v>
      </c>
      <c r="CY656" t="str">
        <f t="shared" si="126"/>
        <v>S30_2026</v>
      </c>
      <c r="CZ656" t="s">
        <v>132</v>
      </c>
      <c r="DB656" t="s">
        <v>132</v>
      </c>
      <c r="DC656" t="s">
        <v>120</v>
      </c>
    </row>
    <row r="657" spans="1:107" x14ac:dyDescent="0.35">
      <c r="A657" t="s">
        <v>2424</v>
      </c>
      <c r="B657" s="23" t="str">
        <f t="shared" si="137"/>
        <v>S32_2026</v>
      </c>
      <c r="C657" s="10" t="str">
        <f t="shared" ref="C657:C665" si="139">IFERROR("S"&amp;(IF(_xlfn.ISOWEEKNUM(R657)&gt;0,_xlfn.ISOWEEKNUM(R657),_xlfn.CONCAT("0",_xlfn.ISOWEEKNUM(R657))))&amp;"_"&amp;(YEAR(R657+26-(_xlfn.ISOWEEKNUM(R657)))),"")</f>
        <v/>
      </c>
      <c r="D657" s="11">
        <v>46237</v>
      </c>
      <c r="E657" t="s">
        <v>123</v>
      </c>
      <c r="F657" s="24">
        <v>5</v>
      </c>
      <c r="G657" t="s">
        <v>107</v>
      </c>
      <c r="L657" t="s">
        <v>321</v>
      </c>
      <c r="M657" t="s">
        <v>2355</v>
      </c>
      <c r="Q657" t="s">
        <v>2355</v>
      </c>
      <c r="AR657" t="s">
        <v>2425</v>
      </c>
      <c r="AS657" s="11">
        <v>46234</v>
      </c>
      <c r="AU657" t="s">
        <v>114</v>
      </c>
      <c r="AV657" t="s">
        <v>115</v>
      </c>
      <c r="BB657" t="s">
        <v>114</v>
      </c>
      <c r="BC657" s="11">
        <v>46233</v>
      </c>
      <c r="BD657" t="s">
        <v>116</v>
      </c>
      <c r="BF657" t="s">
        <v>2388</v>
      </c>
      <c r="BG657" t="s">
        <v>449</v>
      </c>
      <c r="BJ657" t="str">
        <f t="shared" si="129"/>
        <v/>
      </c>
      <c r="BK657" t="s">
        <v>321</v>
      </c>
      <c r="BL657" t="str">
        <f t="shared" si="138"/>
        <v>S31_2026</v>
      </c>
      <c r="BM657" t="s">
        <v>159</v>
      </c>
      <c r="BN657" s="11">
        <v>46237</v>
      </c>
      <c r="BO657" s="22" t="str">
        <f t="shared" si="134"/>
        <v>S32_2026</v>
      </c>
      <c r="BP657" t="s">
        <v>114</v>
      </c>
      <c r="BQ657" t="s">
        <v>450</v>
      </c>
      <c r="BS657" s="22" t="s">
        <v>132</v>
      </c>
      <c r="CI657" t="s">
        <v>119</v>
      </c>
      <c r="CP657" s="11">
        <v>46233</v>
      </c>
      <c r="CQ657" t="s">
        <v>132</v>
      </c>
      <c r="CW657" t="s">
        <v>132</v>
      </c>
      <c r="CX657" s="11">
        <v>46233</v>
      </c>
      <c r="CY657" t="str">
        <f t="shared" si="126"/>
        <v>S31_2026</v>
      </c>
      <c r="DC657" t="s">
        <v>120</v>
      </c>
    </row>
    <row r="658" spans="1:107" x14ac:dyDescent="0.35">
      <c r="A658" t="s">
        <v>2426</v>
      </c>
      <c r="B658" s="23" t="str">
        <f t="shared" si="137"/>
        <v>S32_2026</v>
      </c>
      <c r="C658" s="10" t="str">
        <f t="shared" si="139"/>
        <v/>
      </c>
      <c r="D658" s="11">
        <v>46237</v>
      </c>
      <c r="E658" t="s">
        <v>106</v>
      </c>
      <c r="F658" s="24">
        <v>1</v>
      </c>
      <c r="L658" t="s">
        <v>321</v>
      </c>
      <c r="M658" t="s">
        <v>2355</v>
      </c>
      <c r="Q658" t="s">
        <v>2355</v>
      </c>
      <c r="AR658" t="s">
        <v>2425</v>
      </c>
      <c r="AS658" s="11">
        <v>46234</v>
      </c>
      <c r="AU658" t="s">
        <v>114</v>
      </c>
      <c r="AV658" t="s">
        <v>115</v>
      </c>
      <c r="BB658" t="s">
        <v>114</v>
      </c>
      <c r="BC658" s="11">
        <v>46233</v>
      </c>
      <c r="BD658" t="s">
        <v>116</v>
      </c>
      <c r="BF658" t="s">
        <v>2388</v>
      </c>
      <c r="BG658" t="s">
        <v>449</v>
      </c>
      <c r="BJ658" t="str">
        <f t="shared" si="129"/>
        <v/>
      </c>
      <c r="BK658" t="s">
        <v>321</v>
      </c>
      <c r="BL658" t="str">
        <f t="shared" si="138"/>
        <v>S31_2026</v>
      </c>
      <c r="BM658" t="s">
        <v>159</v>
      </c>
      <c r="BN658" s="11">
        <v>46237</v>
      </c>
      <c r="BO658" s="22" t="str">
        <f t="shared" si="134"/>
        <v>S32_2026</v>
      </c>
      <c r="BP658" t="s">
        <v>114</v>
      </c>
      <c r="BQ658" t="s">
        <v>450</v>
      </c>
      <c r="BS658" s="22" t="s">
        <v>132</v>
      </c>
      <c r="CI658" t="s">
        <v>119</v>
      </c>
      <c r="CP658" s="11">
        <v>46233</v>
      </c>
      <c r="CQ658" t="s">
        <v>132</v>
      </c>
      <c r="CW658" t="s">
        <v>132</v>
      </c>
      <c r="CX658" s="11">
        <v>46233</v>
      </c>
      <c r="CY658" t="str">
        <f t="shared" si="126"/>
        <v>S31_2026</v>
      </c>
      <c r="DC658" t="s">
        <v>120</v>
      </c>
    </row>
    <row r="659" spans="1:107" x14ac:dyDescent="0.35">
      <c r="A659" t="s">
        <v>2427</v>
      </c>
      <c r="B659" s="23" t="str">
        <f t="shared" si="137"/>
        <v>S32_2026</v>
      </c>
      <c r="C659" s="10" t="str">
        <f t="shared" si="139"/>
        <v/>
      </c>
      <c r="D659" s="11">
        <v>46239</v>
      </c>
      <c r="E659" t="s">
        <v>123</v>
      </c>
      <c r="F659" s="24">
        <v>10</v>
      </c>
      <c r="G659" t="s">
        <v>1751</v>
      </c>
      <c r="H659" t="s">
        <v>108</v>
      </c>
      <c r="J659" t="s">
        <v>132</v>
      </c>
      <c r="L659" t="s">
        <v>321</v>
      </c>
      <c r="M659" t="s">
        <v>2355</v>
      </c>
      <c r="N659" t="s">
        <v>2388</v>
      </c>
      <c r="O659" t="s">
        <v>184</v>
      </c>
      <c r="P659" t="s">
        <v>2428</v>
      </c>
      <c r="Q659" t="s">
        <v>2355</v>
      </c>
      <c r="V659" t="s">
        <v>114</v>
      </c>
      <c r="W659" t="s">
        <v>114</v>
      </c>
      <c r="X659" t="s">
        <v>114</v>
      </c>
      <c r="Y659" t="s">
        <v>114</v>
      </c>
      <c r="Z659" t="s">
        <v>114</v>
      </c>
      <c r="AA659" t="s">
        <v>114</v>
      </c>
      <c r="AB659" t="s">
        <v>114</v>
      </c>
      <c r="AE659" t="s">
        <v>114</v>
      </c>
      <c r="AF659" t="s">
        <v>132</v>
      </c>
      <c r="AG659" t="s">
        <v>114</v>
      </c>
      <c r="AH659" t="s">
        <v>132</v>
      </c>
      <c r="AI659" t="s">
        <v>132</v>
      </c>
      <c r="AJ659" t="s">
        <v>132</v>
      </c>
      <c r="AK659" t="s">
        <v>114</v>
      </c>
      <c r="AM659" t="s">
        <v>114</v>
      </c>
      <c r="AN659" t="s">
        <v>114</v>
      </c>
      <c r="AP659" t="s">
        <v>132</v>
      </c>
      <c r="AQ659" t="s">
        <v>132</v>
      </c>
      <c r="AR659" t="s">
        <v>2429</v>
      </c>
      <c r="AS659" s="11">
        <v>46235</v>
      </c>
      <c r="AU659" t="s">
        <v>114</v>
      </c>
      <c r="AV659" t="s">
        <v>115</v>
      </c>
      <c r="BB659" t="s">
        <v>114</v>
      </c>
      <c r="BC659" s="11">
        <v>46233</v>
      </c>
      <c r="BD659" t="s">
        <v>116</v>
      </c>
      <c r="BE659">
        <v>682142154</v>
      </c>
      <c r="BF659" t="s">
        <v>2388</v>
      </c>
      <c r="BG659" t="s">
        <v>449</v>
      </c>
      <c r="BJ659" t="str">
        <f t="shared" si="129"/>
        <v/>
      </c>
      <c r="BK659" t="s">
        <v>321</v>
      </c>
      <c r="BL659" t="str">
        <f t="shared" si="138"/>
        <v>S31_2026</v>
      </c>
      <c r="BM659" t="s">
        <v>159</v>
      </c>
      <c r="BN659" s="11">
        <v>46239</v>
      </c>
      <c r="BO659" s="22" t="str">
        <f t="shared" si="134"/>
        <v>S32_2026</v>
      </c>
      <c r="BP659" t="s">
        <v>114</v>
      </c>
      <c r="BQ659" t="s">
        <v>450</v>
      </c>
      <c r="BR659" t="s">
        <v>451</v>
      </c>
      <c r="BS659" s="22" t="s">
        <v>132</v>
      </c>
      <c r="CI659" t="s">
        <v>119</v>
      </c>
      <c r="CP659" s="11">
        <v>46233</v>
      </c>
      <c r="CQ659" t="s">
        <v>132</v>
      </c>
      <c r="CW659" t="s">
        <v>132</v>
      </c>
      <c r="CX659" s="11">
        <v>46233</v>
      </c>
      <c r="CY659" t="str">
        <f t="shared" si="126"/>
        <v>S31_2026</v>
      </c>
      <c r="CZ659" t="s">
        <v>132</v>
      </c>
      <c r="DB659" t="s">
        <v>132</v>
      </c>
      <c r="DC659" t="s">
        <v>120</v>
      </c>
    </row>
    <row r="660" spans="1:107" x14ac:dyDescent="0.35">
      <c r="A660" t="s">
        <v>2430</v>
      </c>
      <c r="B660" s="23" t="str">
        <f t="shared" si="137"/>
        <v>S32_2026</v>
      </c>
      <c r="C660" s="10" t="str">
        <f t="shared" si="139"/>
        <v>S31_2026</v>
      </c>
      <c r="D660" s="11">
        <v>46239</v>
      </c>
      <c r="E660" t="s">
        <v>106</v>
      </c>
      <c r="F660" s="24">
        <v>21</v>
      </c>
      <c r="G660" t="s">
        <v>1197</v>
      </c>
      <c r="H660" t="s">
        <v>108</v>
      </c>
      <c r="J660" t="s">
        <v>114</v>
      </c>
      <c r="K660" s="11">
        <v>46234</v>
      </c>
      <c r="L660" t="s">
        <v>793</v>
      </c>
      <c r="M660" t="s">
        <v>1642</v>
      </c>
      <c r="N660" t="s">
        <v>2431</v>
      </c>
      <c r="O660" t="s">
        <v>2432</v>
      </c>
      <c r="P660" t="s">
        <v>2433</v>
      </c>
      <c r="Q660" t="s">
        <v>1642</v>
      </c>
      <c r="R660" s="11">
        <v>46231</v>
      </c>
      <c r="S660" s="11">
        <v>46231</v>
      </c>
      <c r="T660" s="11">
        <v>46231</v>
      </c>
      <c r="V660" t="s">
        <v>114</v>
      </c>
      <c r="W660" t="s">
        <v>114</v>
      </c>
      <c r="X660" t="s">
        <v>114</v>
      </c>
      <c r="Y660" t="s">
        <v>114</v>
      </c>
      <c r="Z660" t="s">
        <v>114</v>
      </c>
      <c r="AA660" t="s">
        <v>114</v>
      </c>
      <c r="AB660" t="s">
        <v>114</v>
      </c>
      <c r="AE660" t="s">
        <v>114</v>
      </c>
      <c r="AF660" t="s">
        <v>132</v>
      </c>
      <c r="AG660" t="s">
        <v>132</v>
      </c>
      <c r="AH660" t="s">
        <v>132</v>
      </c>
      <c r="AI660" t="s">
        <v>132</v>
      </c>
      <c r="AJ660" t="s">
        <v>1903</v>
      </c>
      <c r="AK660" t="s">
        <v>114</v>
      </c>
      <c r="AM660" t="s">
        <v>132</v>
      </c>
      <c r="AN660" t="s">
        <v>132</v>
      </c>
      <c r="AP660" t="s">
        <v>132</v>
      </c>
      <c r="AQ660" t="s">
        <v>142</v>
      </c>
      <c r="AR660" t="s">
        <v>2434</v>
      </c>
      <c r="AS660" s="11">
        <v>46238</v>
      </c>
      <c r="AU660" t="s">
        <v>114</v>
      </c>
      <c r="AV660" t="s">
        <v>134</v>
      </c>
      <c r="AW660" t="s">
        <v>2237</v>
      </c>
      <c r="AY660" t="s">
        <v>2219</v>
      </c>
      <c r="BB660" t="s">
        <v>114</v>
      </c>
      <c r="BC660" s="11">
        <v>46237</v>
      </c>
      <c r="BD660" t="s">
        <v>116</v>
      </c>
      <c r="BE660">
        <v>688197673</v>
      </c>
      <c r="BF660" t="s">
        <v>2431</v>
      </c>
      <c r="BG660" t="s">
        <v>449</v>
      </c>
      <c r="BI660" s="11">
        <v>46239</v>
      </c>
      <c r="BJ660" t="str">
        <f t="shared" si="129"/>
        <v>S32_2026</v>
      </c>
      <c r="BK660" t="s">
        <v>793</v>
      </c>
      <c r="BL660" t="str">
        <f t="shared" si="138"/>
        <v>S32_2026</v>
      </c>
      <c r="BM660" t="s">
        <v>159</v>
      </c>
      <c r="BN660" s="11">
        <v>46239</v>
      </c>
      <c r="BO660" s="22" t="str">
        <f t="shared" si="134"/>
        <v>S32_2026</v>
      </c>
      <c r="BP660" t="s">
        <v>114</v>
      </c>
      <c r="BQ660" t="s">
        <v>450</v>
      </c>
      <c r="BR660" t="s">
        <v>451</v>
      </c>
      <c r="BS660" s="22" t="s">
        <v>132</v>
      </c>
      <c r="CI660" t="s">
        <v>119</v>
      </c>
      <c r="CK660" t="s">
        <v>138</v>
      </c>
      <c r="CP660" s="11">
        <v>46237</v>
      </c>
      <c r="CQ660" t="s">
        <v>132</v>
      </c>
      <c r="CW660" t="s">
        <v>132</v>
      </c>
      <c r="CX660" s="11">
        <v>46231</v>
      </c>
      <c r="CY660" t="str">
        <f t="shared" si="126"/>
        <v>S31_2026</v>
      </c>
      <c r="CZ660" t="s">
        <v>132</v>
      </c>
      <c r="DB660" t="s">
        <v>132</v>
      </c>
      <c r="DC660" t="s">
        <v>139</v>
      </c>
    </row>
    <row r="661" spans="1:107" x14ac:dyDescent="0.35">
      <c r="A661" t="s">
        <v>2435</v>
      </c>
      <c r="B661" s="23" t="str">
        <f t="shared" si="137"/>
        <v>S32_2026</v>
      </c>
      <c r="C661" s="10" t="str">
        <f t="shared" si="139"/>
        <v>S31_2026</v>
      </c>
      <c r="D661" s="11">
        <v>46240</v>
      </c>
      <c r="E661" t="s">
        <v>106</v>
      </c>
      <c r="F661" s="24">
        <v>23</v>
      </c>
      <c r="G661" t="s">
        <v>1197</v>
      </c>
      <c r="H661" t="s">
        <v>108</v>
      </c>
      <c r="J661" t="s">
        <v>132</v>
      </c>
      <c r="L661" t="s">
        <v>321</v>
      </c>
      <c r="M661" t="s">
        <v>2355</v>
      </c>
      <c r="N661" t="s">
        <v>2436</v>
      </c>
      <c r="O661" t="s">
        <v>2437</v>
      </c>
      <c r="P661" t="s">
        <v>2438</v>
      </c>
      <c r="Q661" t="s">
        <v>2355</v>
      </c>
      <c r="R661" s="11">
        <v>46234</v>
      </c>
      <c r="S661" s="11">
        <v>46234</v>
      </c>
      <c r="T661" s="11">
        <v>46234</v>
      </c>
      <c r="V661" t="s">
        <v>114</v>
      </c>
      <c r="W661" t="s">
        <v>114</v>
      </c>
      <c r="X661" t="s">
        <v>114</v>
      </c>
      <c r="Y661" t="s">
        <v>114</v>
      </c>
      <c r="Z661" t="s">
        <v>114</v>
      </c>
      <c r="AA661" t="s">
        <v>114</v>
      </c>
      <c r="AB661" t="s">
        <v>114</v>
      </c>
      <c r="AE661" t="s">
        <v>114</v>
      </c>
      <c r="AF661" t="s">
        <v>132</v>
      </c>
      <c r="AG661" t="s">
        <v>114</v>
      </c>
      <c r="AH661" t="s">
        <v>132</v>
      </c>
      <c r="AI661" t="s">
        <v>132</v>
      </c>
      <c r="AJ661" t="s">
        <v>132</v>
      </c>
      <c r="AK661" t="s">
        <v>132</v>
      </c>
      <c r="AM661" t="s">
        <v>132</v>
      </c>
      <c r="AN661" t="s">
        <v>132</v>
      </c>
      <c r="AP661" t="s">
        <v>132</v>
      </c>
      <c r="AQ661" t="s">
        <v>142</v>
      </c>
      <c r="AR661" t="s">
        <v>2465</v>
      </c>
      <c r="AS661" s="11">
        <v>46239</v>
      </c>
      <c r="AU661" t="s">
        <v>114</v>
      </c>
      <c r="AV661" t="s">
        <v>115</v>
      </c>
      <c r="BB661" t="s">
        <v>114</v>
      </c>
      <c r="BC661" s="11">
        <v>46238</v>
      </c>
      <c r="BD661" t="s">
        <v>116</v>
      </c>
      <c r="BE661">
        <v>693048313</v>
      </c>
      <c r="BF661" t="s">
        <v>853</v>
      </c>
      <c r="BG661" t="s">
        <v>449</v>
      </c>
      <c r="BJ661" t="str">
        <f t="shared" si="129"/>
        <v/>
      </c>
      <c r="BK661" t="s">
        <v>321</v>
      </c>
      <c r="BL661" t="str">
        <f t="shared" si="138"/>
        <v>S32_2026</v>
      </c>
      <c r="BM661" t="s">
        <v>159</v>
      </c>
      <c r="BN661" s="11">
        <v>46251</v>
      </c>
      <c r="BO661" s="22" t="str">
        <f t="shared" si="134"/>
        <v>S34_2026</v>
      </c>
      <c r="BP661" t="s">
        <v>114</v>
      </c>
      <c r="BQ661" t="s">
        <v>450</v>
      </c>
      <c r="BR661" t="s">
        <v>132</v>
      </c>
      <c r="BS661" s="22" t="s">
        <v>132</v>
      </c>
      <c r="CI661" t="s">
        <v>119</v>
      </c>
      <c r="CP661" s="11">
        <v>46237</v>
      </c>
      <c r="CQ661" t="s">
        <v>132</v>
      </c>
      <c r="CW661" t="s">
        <v>132</v>
      </c>
      <c r="CX661" s="11">
        <v>46234</v>
      </c>
      <c r="CY661" t="str">
        <f t="shared" ref="CY661:CY707" si="140">IFERROR("S"&amp;(IF(_xlfn.ISOWEEKNUM(CX661)&gt;0,_xlfn.ISOWEEKNUM(CX661),_xlfn.CONCAT("0",_xlfn.ISOWEEKNUM(CX661))))&amp;"_"&amp;(YEAR(CX661+26-(_xlfn.ISOWEEKNUM(CX661)))),"")</f>
        <v>S31_2026</v>
      </c>
      <c r="CZ661" t="s">
        <v>132</v>
      </c>
      <c r="DB661" t="s">
        <v>132</v>
      </c>
      <c r="DC661" t="s">
        <v>120</v>
      </c>
    </row>
    <row r="662" spans="1:107" x14ac:dyDescent="0.35">
      <c r="A662" t="s">
        <v>2439</v>
      </c>
      <c r="B662" s="23" t="str">
        <f t="shared" si="137"/>
        <v>S32_2026</v>
      </c>
      <c r="C662" s="10" t="str">
        <f t="shared" si="139"/>
        <v>S30_2026</v>
      </c>
      <c r="D662" s="11">
        <v>46240</v>
      </c>
      <c r="E662" t="s">
        <v>106</v>
      </c>
      <c r="F662" s="24">
        <v>10</v>
      </c>
      <c r="G662" t="s">
        <v>107</v>
      </c>
      <c r="H662" t="s">
        <v>108</v>
      </c>
      <c r="J662" t="s">
        <v>132</v>
      </c>
      <c r="L662" t="s">
        <v>321</v>
      </c>
      <c r="M662" t="s">
        <v>2440</v>
      </c>
      <c r="N662" t="s">
        <v>2440</v>
      </c>
      <c r="O662" t="s">
        <v>184</v>
      </c>
      <c r="P662" t="s">
        <v>2441</v>
      </c>
      <c r="Q662" t="s">
        <v>2440</v>
      </c>
      <c r="R662" s="11">
        <v>46228</v>
      </c>
      <c r="S662" s="11">
        <v>46228</v>
      </c>
      <c r="T662" s="11">
        <v>46228</v>
      </c>
      <c r="V662" t="s">
        <v>132</v>
      </c>
      <c r="W662" t="s">
        <v>132</v>
      </c>
      <c r="X662" t="s">
        <v>132</v>
      </c>
      <c r="Y662" t="s">
        <v>132</v>
      </c>
      <c r="Z662" t="s">
        <v>132</v>
      </c>
      <c r="AA662" t="s">
        <v>132</v>
      </c>
      <c r="AB662" t="s">
        <v>114</v>
      </c>
      <c r="AC662" t="s">
        <v>1377</v>
      </c>
      <c r="AE662" t="s">
        <v>114</v>
      </c>
      <c r="AF662" t="s">
        <v>132</v>
      </c>
      <c r="AG662" t="s">
        <v>132</v>
      </c>
      <c r="AH662" t="s">
        <v>132</v>
      </c>
      <c r="AI662" t="s">
        <v>132</v>
      </c>
      <c r="AJ662" t="s">
        <v>132</v>
      </c>
      <c r="AK662" t="s">
        <v>114</v>
      </c>
      <c r="AM662" t="s">
        <v>142</v>
      </c>
      <c r="AN662" t="s">
        <v>142</v>
      </c>
      <c r="AP662" t="s">
        <v>132</v>
      </c>
      <c r="AQ662" t="s">
        <v>132</v>
      </c>
      <c r="BB662" t="s">
        <v>114</v>
      </c>
      <c r="BC662" s="11">
        <v>46232</v>
      </c>
      <c r="BD662" t="s">
        <v>116</v>
      </c>
      <c r="BF662" t="s">
        <v>2440</v>
      </c>
      <c r="BJ662" t="str">
        <f t="shared" si="129"/>
        <v/>
      </c>
      <c r="BK662" t="s">
        <v>321</v>
      </c>
      <c r="BL662" t="str">
        <f t="shared" si="138"/>
        <v>S31_2026</v>
      </c>
      <c r="BM662" t="s">
        <v>159</v>
      </c>
      <c r="BO662" s="22" t="str">
        <f t="shared" si="134"/>
        <v/>
      </c>
      <c r="BR662" t="s">
        <v>451</v>
      </c>
      <c r="BS662" s="22" t="s">
        <v>132</v>
      </c>
      <c r="CI662" t="s">
        <v>119</v>
      </c>
      <c r="CP662" s="11">
        <v>46232</v>
      </c>
      <c r="CX662" s="11">
        <v>46228</v>
      </c>
      <c r="CY662" t="str">
        <f t="shared" si="140"/>
        <v>S30_2026</v>
      </c>
      <c r="DC662" t="s">
        <v>1293</v>
      </c>
    </row>
    <row r="663" spans="1:107" x14ac:dyDescent="0.35">
      <c r="A663" t="s">
        <v>2442</v>
      </c>
      <c r="B663" s="23" t="str">
        <f t="shared" si="137"/>
        <v>S32_2026</v>
      </c>
      <c r="C663" s="10" t="str">
        <f t="shared" si="139"/>
        <v>S30_2026</v>
      </c>
      <c r="D663" s="11">
        <v>46240</v>
      </c>
      <c r="E663" t="s">
        <v>106</v>
      </c>
      <c r="F663" s="24">
        <v>15</v>
      </c>
      <c r="G663" t="s">
        <v>107</v>
      </c>
      <c r="H663" t="s">
        <v>108</v>
      </c>
      <c r="J663" t="s">
        <v>132</v>
      </c>
      <c r="L663" t="s">
        <v>321</v>
      </c>
      <c r="M663" t="s">
        <v>2443</v>
      </c>
      <c r="N663" t="s">
        <v>2444</v>
      </c>
      <c r="O663" t="s">
        <v>184</v>
      </c>
      <c r="P663" t="s">
        <v>2445</v>
      </c>
      <c r="Q663" t="s">
        <v>2443</v>
      </c>
      <c r="R663" s="11">
        <v>46228</v>
      </c>
      <c r="S663" s="11">
        <v>46228</v>
      </c>
      <c r="T663" s="11">
        <v>46228</v>
      </c>
      <c r="V663" t="s">
        <v>132</v>
      </c>
      <c r="W663" t="s">
        <v>132</v>
      </c>
      <c r="X663" t="s">
        <v>132</v>
      </c>
      <c r="Y663" t="s">
        <v>132</v>
      </c>
      <c r="Z663" t="s">
        <v>132</v>
      </c>
      <c r="AA663" t="s">
        <v>132</v>
      </c>
      <c r="AB663" t="s">
        <v>114</v>
      </c>
      <c r="AC663" t="s">
        <v>935</v>
      </c>
      <c r="AE663" t="s">
        <v>114</v>
      </c>
      <c r="AF663" t="s">
        <v>132</v>
      </c>
      <c r="AG663" t="s">
        <v>132</v>
      </c>
      <c r="AH663" t="s">
        <v>132</v>
      </c>
      <c r="AI663" t="s">
        <v>132</v>
      </c>
      <c r="AJ663" t="s">
        <v>132</v>
      </c>
      <c r="AK663" t="s">
        <v>132</v>
      </c>
      <c r="AM663" t="s">
        <v>132</v>
      </c>
      <c r="AN663" t="s">
        <v>132</v>
      </c>
      <c r="AP663" t="s">
        <v>132</v>
      </c>
      <c r="AQ663" t="s">
        <v>132</v>
      </c>
      <c r="BB663" t="s">
        <v>114</v>
      </c>
      <c r="BC663" s="11">
        <v>46235</v>
      </c>
      <c r="BD663" t="s">
        <v>116</v>
      </c>
      <c r="BE663">
        <v>698221304</v>
      </c>
      <c r="BF663" t="s">
        <v>2444</v>
      </c>
      <c r="BJ663" t="str">
        <f t="shared" si="129"/>
        <v/>
      </c>
      <c r="BK663" t="s">
        <v>321</v>
      </c>
      <c r="BL663" t="str">
        <f t="shared" si="138"/>
        <v>S31_2026</v>
      </c>
      <c r="BM663" t="s">
        <v>159</v>
      </c>
      <c r="BO663" s="22" t="str">
        <f t="shared" si="134"/>
        <v/>
      </c>
      <c r="BR663" t="s">
        <v>451</v>
      </c>
      <c r="BS663" s="22" t="s">
        <v>132</v>
      </c>
      <c r="CI663" t="s">
        <v>119</v>
      </c>
      <c r="CP663" s="11">
        <v>46234</v>
      </c>
      <c r="CX663" s="11">
        <v>46228</v>
      </c>
      <c r="CY663" t="str">
        <f t="shared" si="140"/>
        <v>S30_2026</v>
      </c>
      <c r="DC663" t="s">
        <v>1293</v>
      </c>
    </row>
    <row r="664" spans="1:107" x14ac:dyDescent="0.35">
      <c r="A664" t="s">
        <v>2446</v>
      </c>
      <c r="B664" s="23" t="str">
        <f t="shared" si="137"/>
        <v>S32_2026</v>
      </c>
      <c r="C664" s="10" t="str">
        <f t="shared" si="139"/>
        <v>S29_2026</v>
      </c>
      <c r="D664" s="11">
        <v>46240</v>
      </c>
      <c r="E664" t="s">
        <v>106</v>
      </c>
      <c r="F664" s="24">
        <v>28</v>
      </c>
      <c r="G664" t="s">
        <v>323</v>
      </c>
      <c r="H664" t="s">
        <v>108</v>
      </c>
      <c r="J664" t="s">
        <v>132</v>
      </c>
      <c r="L664" t="s">
        <v>163</v>
      </c>
      <c r="M664" t="s">
        <v>1393</v>
      </c>
      <c r="N664" t="s">
        <v>1393</v>
      </c>
      <c r="O664" t="s">
        <v>184</v>
      </c>
      <c r="P664" t="s">
        <v>2447</v>
      </c>
      <c r="Q664" t="s">
        <v>1393</v>
      </c>
      <c r="R664" s="11">
        <v>46218</v>
      </c>
      <c r="S664" s="11">
        <v>46218</v>
      </c>
      <c r="T664" s="11">
        <v>46218</v>
      </c>
      <c r="V664" t="s">
        <v>132</v>
      </c>
      <c r="W664" t="s">
        <v>132</v>
      </c>
      <c r="X664" t="s">
        <v>132</v>
      </c>
      <c r="Y664" t="s">
        <v>132</v>
      </c>
      <c r="Z664" t="s">
        <v>132</v>
      </c>
      <c r="AA664" t="s">
        <v>132</v>
      </c>
      <c r="AB664" t="s">
        <v>132</v>
      </c>
      <c r="AC664" t="s">
        <v>1147</v>
      </c>
      <c r="AE664" t="s">
        <v>114</v>
      </c>
      <c r="AF664" t="s">
        <v>114</v>
      </c>
      <c r="AG664" t="s">
        <v>132</v>
      </c>
      <c r="AH664" t="s">
        <v>132</v>
      </c>
      <c r="AI664" t="s">
        <v>132</v>
      </c>
      <c r="AJ664" t="s">
        <v>132</v>
      </c>
      <c r="AK664" t="s">
        <v>132</v>
      </c>
      <c r="AM664" t="s">
        <v>132</v>
      </c>
      <c r="AN664" t="s">
        <v>132</v>
      </c>
      <c r="AP664" t="s">
        <v>132</v>
      </c>
      <c r="AQ664" t="s">
        <v>132</v>
      </c>
      <c r="BB664" t="s">
        <v>114</v>
      </c>
      <c r="BC664" s="11">
        <v>46231</v>
      </c>
      <c r="BD664" t="s">
        <v>116</v>
      </c>
      <c r="BF664" t="s">
        <v>1393</v>
      </c>
      <c r="BJ664" t="str">
        <f t="shared" si="129"/>
        <v/>
      </c>
      <c r="BK664" t="s">
        <v>170</v>
      </c>
      <c r="BL664" t="str">
        <f t="shared" si="138"/>
        <v>S31_2026</v>
      </c>
      <c r="BM664" t="s">
        <v>159</v>
      </c>
      <c r="BO664" s="22" t="str">
        <f t="shared" si="134"/>
        <v/>
      </c>
      <c r="BR664" t="s">
        <v>451</v>
      </c>
      <c r="BS664" s="22" t="s">
        <v>132</v>
      </c>
      <c r="CI664" t="s">
        <v>119</v>
      </c>
      <c r="CP664" s="11">
        <v>46231</v>
      </c>
      <c r="CX664" s="11">
        <v>46218</v>
      </c>
      <c r="CY664" t="str">
        <f t="shared" si="140"/>
        <v>S29_2026</v>
      </c>
      <c r="DC664" t="s">
        <v>1293</v>
      </c>
    </row>
    <row r="665" spans="1:107" x14ac:dyDescent="0.35">
      <c r="A665" t="s">
        <v>2448</v>
      </c>
      <c r="B665" s="23" t="str">
        <f t="shared" si="137"/>
        <v>S32_2026</v>
      </c>
      <c r="C665" s="10" t="str">
        <f t="shared" si="139"/>
        <v>S29_2026</v>
      </c>
      <c r="D665" s="11">
        <v>46240</v>
      </c>
      <c r="E665" t="s">
        <v>106</v>
      </c>
      <c r="F665" s="24">
        <v>2</v>
      </c>
      <c r="G665" t="s">
        <v>141</v>
      </c>
      <c r="H665" t="s">
        <v>108</v>
      </c>
      <c r="J665" t="s">
        <v>132</v>
      </c>
      <c r="L665" t="s">
        <v>321</v>
      </c>
      <c r="M665" t="s">
        <v>2443</v>
      </c>
      <c r="N665" t="s">
        <v>2444</v>
      </c>
      <c r="O665" t="s">
        <v>184</v>
      </c>
      <c r="P665" t="s">
        <v>2445</v>
      </c>
      <c r="Q665" t="s">
        <v>2443</v>
      </c>
      <c r="R665" s="11">
        <v>46221</v>
      </c>
      <c r="S665" s="11">
        <v>46221</v>
      </c>
      <c r="T665" s="11">
        <v>46221</v>
      </c>
      <c r="V665" t="s">
        <v>132</v>
      </c>
      <c r="W665" t="s">
        <v>132</v>
      </c>
      <c r="X665" t="s">
        <v>132</v>
      </c>
      <c r="Y665" t="s">
        <v>132</v>
      </c>
      <c r="Z665" t="s">
        <v>132</v>
      </c>
      <c r="AA665" t="s">
        <v>114</v>
      </c>
      <c r="AB665" t="s">
        <v>132</v>
      </c>
      <c r="AC665" t="s">
        <v>1556</v>
      </c>
      <c r="AE665" t="s">
        <v>114</v>
      </c>
      <c r="AF665" t="s">
        <v>114</v>
      </c>
      <c r="AG665" t="s">
        <v>132</v>
      </c>
      <c r="AH665" t="s">
        <v>132</v>
      </c>
      <c r="AI665" t="s">
        <v>132</v>
      </c>
      <c r="AJ665" t="s">
        <v>132</v>
      </c>
      <c r="AQ665" t="s">
        <v>132</v>
      </c>
      <c r="BB665" t="s">
        <v>114</v>
      </c>
      <c r="BC665" s="11">
        <v>46235</v>
      </c>
      <c r="BE665">
        <v>679253813</v>
      </c>
      <c r="BF665" t="s">
        <v>2444</v>
      </c>
      <c r="BJ665" t="str">
        <f t="shared" si="129"/>
        <v/>
      </c>
      <c r="BK665" t="s">
        <v>321</v>
      </c>
      <c r="BL665" t="str">
        <f t="shared" si="138"/>
        <v>S31_2026</v>
      </c>
      <c r="BM665" t="s">
        <v>159</v>
      </c>
      <c r="BO665" s="22" t="str">
        <f t="shared" si="134"/>
        <v/>
      </c>
      <c r="BR665" t="s">
        <v>451</v>
      </c>
      <c r="BS665" s="22" t="s">
        <v>132</v>
      </c>
      <c r="CI665" t="s">
        <v>119</v>
      </c>
      <c r="CP665" s="11">
        <v>46234</v>
      </c>
      <c r="CX665" s="11">
        <v>46221</v>
      </c>
      <c r="CY665" t="str">
        <f t="shared" si="140"/>
        <v>S29_2026</v>
      </c>
      <c r="DC665" t="s">
        <v>1293</v>
      </c>
    </row>
    <row r="666" spans="1:107" x14ac:dyDescent="0.35">
      <c r="A666" s="22" t="s">
        <v>2449</v>
      </c>
      <c r="B666" s="23" t="str">
        <f>IFERROR("S"&amp;(IF(_xlfn.ISOWEEKNUM(D666)&gt;0,_xlfn.ISOWEEKNUM(D666),_xlfn.CONCAT("0",_xlfn.ISOWEEKNUM(D666))))&amp;"_"&amp;(YEAR(D666+26-(_xlfn.ISOWEEKNUM(D666)))),"")</f>
        <v>S32_2026</v>
      </c>
      <c r="C666" s="10" t="str">
        <f t="shared" ref="C666:C699" si="141">IFERROR("S"&amp;(IF(_xlfn.ISOWEEKNUM(R666)&gt;0,_xlfn.ISOWEEKNUM(R666),_xlfn.CONCAT("0",_xlfn.ISOWEEKNUM(R666))))&amp;"_"&amp;(YEAR(R666+26-(_xlfn.ISOWEEKNUM(R666)))),"")</f>
        <v>S31_2026</v>
      </c>
      <c r="D666" s="11">
        <v>46239</v>
      </c>
      <c r="E666" s="23" t="s">
        <v>106</v>
      </c>
      <c r="F666" s="61">
        <v>6</v>
      </c>
      <c r="G666" s="23" t="s">
        <v>107</v>
      </c>
      <c r="H666" s="23" t="s">
        <v>835</v>
      </c>
      <c r="I666" s="23"/>
      <c r="J666" s="23" t="s">
        <v>114</v>
      </c>
      <c r="K666" s="62">
        <v>46230</v>
      </c>
      <c r="L666" s="23" t="s">
        <v>253</v>
      </c>
      <c r="M666" s="23" t="s">
        <v>2450</v>
      </c>
      <c r="N666" s="23" t="s">
        <v>1810</v>
      </c>
      <c r="O666" s="23" t="s">
        <v>2451</v>
      </c>
      <c r="P666" s="23" t="s">
        <v>2452</v>
      </c>
      <c r="Q666" s="23" t="s">
        <v>2450</v>
      </c>
      <c r="R666" s="63">
        <v>46231</v>
      </c>
      <c r="S666" s="63">
        <v>46231</v>
      </c>
      <c r="T666" s="63">
        <v>46231</v>
      </c>
      <c r="U666" s="23"/>
      <c r="V666" s="23" t="s">
        <v>132</v>
      </c>
      <c r="W666" s="23" t="s">
        <v>114</v>
      </c>
      <c r="X666" s="23" t="s">
        <v>114</v>
      </c>
      <c r="Y666" s="23" t="s">
        <v>114</v>
      </c>
      <c r="Z666" s="23" t="s">
        <v>114</v>
      </c>
      <c r="AA666" s="23" t="s">
        <v>132</v>
      </c>
      <c r="AB666" s="23" t="s">
        <v>114</v>
      </c>
      <c r="AC666" s="23" t="s">
        <v>132</v>
      </c>
      <c r="AD666" s="23"/>
      <c r="AE666" s="23" t="s">
        <v>114</v>
      </c>
      <c r="AF666" s="23" t="s">
        <v>132</v>
      </c>
      <c r="AG666" s="23" t="s">
        <v>114</v>
      </c>
      <c r="AH666" s="23" t="s">
        <v>114</v>
      </c>
      <c r="AI666" s="23" t="s">
        <v>132</v>
      </c>
      <c r="AJ666" s="23" t="s">
        <v>132</v>
      </c>
      <c r="AK666" s="23" t="s">
        <v>132</v>
      </c>
      <c r="AL666" s="23"/>
      <c r="AM666" s="23" t="s">
        <v>114</v>
      </c>
      <c r="AN666" s="23" t="s">
        <v>132</v>
      </c>
      <c r="AO666" s="23"/>
      <c r="AP666" s="23" t="s">
        <v>132</v>
      </c>
      <c r="AQ666" s="23" t="s">
        <v>132</v>
      </c>
      <c r="AR666" s="23"/>
      <c r="AS666" s="23"/>
      <c r="AT666" s="23"/>
      <c r="AU666" s="23"/>
      <c r="AV666" s="23"/>
      <c r="AW666" s="23"/>
      <c r="AX666" s="57"/>
      <c r="AY666" s="23"/>
      <c r="AZ666" s="23"/>
      <c r="BA666" s="64"/>
      <c r="BB666" s="57" t="s">
        <v>132</v>
      </c>
      <c r="BC666" s="57"/>
      <c r="BD666" s="23"/>
      <c r="BE666" s="23"/>
      <c r="BF666" s="23" t="s">
        <v>1810</v>
      </c>
      <c r="BG666" s="23"/>
      <c r="BH666" s="23"/>
      <c r="BI666" s="57"/>
      <c r="BJ666" t="str">
        <f t="shared" si="129"/>
        <v/>
      </c>
      <c r="BK666" s="23" t="s">
        <v>253</v>
      </c>
      <c r="BL666" t="str">
        <f t="shared" si="138"/>
        <v/>
      </c>
      <c r="BM666" s="23" t="s">
        <v>159</v>
      </c>
      <c r="BN666" s="63"/>
      <c r="BO666" s="22" t="str">
        <f t="shared" si="134"/>
        <v/>
      </c>
      <c r="BP666" s="23"/>
      <c r="BQ666" s="23"/>
      <c r="BR666" s="23" t="s">
        <v>451</v>
      </c>
      <c r="BS666" s="23" t="s">
        <v>132</v>
      </c>
      <c r="BT666" s="23" t="s">
        <v>132</v>
      </c>
      <c r="BU666" s="23" t="s">
        <v>132</v>
      </c>
      <c r="CI666" t="s">
        <v>119</v>
      </c>
      <c r="CP666" s="63">
        <v>46233</v>
      </c>
      <c r="CX666" s="63">
        <v>46231</v>
      </c>
      <c r="CY666" t="str">
        <f t="shared" si="140"/>
        <v>S31_2026</v>
      </c>
      <c r="DC666" t="s">
        <v>986</v>
      </c>
    </row>
    <row r="667" spans="1:107" x14ac:dyDescent="0.35">
      <c r="A667" s="22" t="s">
        <v>2453</v>
      </c>
      <c r="B667" s="23" t="str">
        <f>IFERROR("S"&amp;(IF(_xlfn.ISOWEEKNUM(D667)&gt;0,_xlfn.ISOWEEKNUM(D667),_xlfn.CONCAT("0",_xlfn.ISOWEEKNUM(D667))))&amp;"_"&amp;(YEAR(D667+26-(_xlfn.ISOWEEKNUM(D667)))),"")</f>
        <v>S32_2026</v>
      </c>
      <c r="C667" s="10" t="str">
        <f t="shared" si="141"/>
        <v>S31_2026</v>
      </c>
      <c r="D667" s="11">
        <v>46239</v>
      </c>
      <c r="E667" s="23" t="s">
        <v>106</v>
      </c>
      <c r="F667" s="61">
        <v>7</v>
      </c>
      <c r="G667" s="23" t="s">
        <v>107</v>
      </c>
      <c r="H667" s="23" t="s">
        <v>835</v>
      </c>
      <c r="I667" s="23"/>
      <c r="J667" s="23" t="s">
        <v>114</v>
      </c>
      <c r="K667" s="62">
        <v>46230</v>
      </c>
      <c r="L667" s="23" t="s">
        <v>253</v>
      </c>
      <c r="M667" s="23" t="s">
        <v>2450</v>
      </c>
      <c r="N667" s="23" t="s">
        <v>1810</v>
      </c>
      <c r="O667" s="23" t="s">
        <v>2451</v>
      </c>
      <c r="P667" s="23" t="s">
        <v>2452</v>
      </c>
      <c r="Q667" s="23" t="s">
        <v>2450</v>
      </c>
      <c r="R667" s="63">
        <v>46231</v>
      </c>
      <c r="S667" s="63">
        <v>46231</v>
      </c>
      <c r="T667" s="63">
        <v>46231</v>
      </c>
      <c r="U667" s="23"/>
      <c r="V667" s="23" t="s">
        <v>132</v>
      </c>
      <c r="W667" s="23" t="s">
        <v>114</v>
      </c>
      <c r="X667" s="23" t="s">
        <v>114</v>
      </c>
      <c r="Y667" s="23" t="s">
        <v>114</v>
      </c>
      <c r="Z667" s="23" t="s">
        <v>114</v>
      </c>
      <c r="AA667" s="23" t="s">
        <v>132</v>
      </c>
      <c r="AB667" s="23" t="s">
        <v>114</v>
      </c>
      <c r="AC667" s="23" t="s">
        <v>132</v>
      </c>
      <c r="AD667" s="23"/>
      <c r="AE667" s="23" t="s">
        <v>114</v>
      </c>
      <c r="AF667" s="23" t="s">
        <v>132</v>
      </c>
      <c r="AG667" s="23" t="s">
        <v>114</v>
      </c>
      <c r="AH667" s="23" t="s">
        <v>114</v>
      </c>
      <c r="AI667" s="23" t="s">
        <v>132</v>
      </c>
      <c r="AJ667" s="23" t="s">
        <v>132</v>
      </c>
      <c r="AK667" s="23" t="s">
        <v>132</v>
      </c>
      <c r="AL667" s="23"/>
      <c r="AM667" s="23" t="s">
        <v>114</v>
      </c>
      <c r="AN667" s="23" t="s">
        <v>132</v>
      </c>
      <c r="AO667" s="23"/>
      <c r="AP667" s="23" t="s">
        <v>132</v>
      </c>
      <c r="AQ667" s="23" t="s">
        <v>132</v>
      </c>
      <c r="AR667" s="23"/>
      <c r="AS667" s="23"/>
      <c r="AT667" s="23"/>
      <c r="AU667" s="23"/>
      <c r="AV667" s="23"/>
      <c r="AW667" s="23"/>
      <c r="AX667" s="57"/>
      <c r="AY667" s="23"/>
      <c r="AZ667" s="23"/>
      <c r="BA667" s="64"/>
      <c r="BB667" s="57" t="s">
        <v>132</v>
      </c>
      <c r="BC667" s="57"/>
      <c r="BD667" s="23"/>
      <c r="BE667" s="23"/>
      <c r="BF667" s="23" t="s">
        <v>1810</v>
      </c>
      <c r="BG667" s="23"/>
      <c r="BH667" s="23"/>
      <c r="BI667" s="57"/>
      <c r="BJ667" t="str">
        <f t="shared" si="129"/>
        <v/>
      </c>
      <c r="BK667" s="23" t="s">
        <v>253</v>
      </c>
      <c r="BL667" t="str">
        <f t="shared" si="138"/>
        <v/>
      </c>
      <c r="BM667" s="23" t="s">
        <v>159</v>
      </c>
      <c r="BN667" s="63"/>
      <c r="BO667" s="22" t="str">
        <f t="shared" si="134"/>
        <v/>
      </c>
      <c r="BP667" s="23"/>
      <c r="BQ667" s="23"/>
      <c r="BR667" s="23" t="s">
        <v>451</v>
      </c>
      <c r="BS667" s="23" t="s">
        <v>132</v>
      </c>
      <c r="BT667" s="23" t="s">
        <v>132</v>
      </c>
      <c r="BU667" s="23" t="s">
        <v>132</v>
      </c>
      <c r="CI667" t="s">
        <v>119</v>
      </c>
      <c r="CP667" s="63">
        <v>46233</v>
      </c>
      <c r="CX667" s="63">
        <v>46231</v>
      </c>
      <c r="CY667" t="str">
        <f t="shared" si="140"/>
        <v>S31_2026</v>
      </c>
      <c r="DC667" t="s">
        <v>986</v>
      </c>
    </row>
    <row r="668" spans="1:107" x14ac:dyDescent="0.35">
      <c r="A668" s="22" t="s">
        <v>2454</v>
      </c>
      <c r="B668" s="23" t="str">
        <f>IFERROR("S"&amp;(IF(_xlfn.ISOWEEKNUM(D668)&gt;0,_xlfn.ISOWEEKNUM(D668),_xlfn.CONCAT("0",_xlfn.ISOWEEKNUM(D668))))&amp;"_"&amp;(YEAR(D668+26-(_xlfn.ISOWEEKNUM(D668)))),"")</f>
        <v>S32_2026</v>
      </c>
      <c r="C668" s="10" t="str">
        <f t="shared" si="141"/>
        <v>S31_2026</v>
      </c>
      <c r="D668" s="11">
        <v>46239</v>
      </c>
      <c r="E668" s="23" t="s">
        <v>123</v>
      </c>
      <c r="F668" s="61">
        <v>2.5</v>
      </c>
      <c r="G668" s="23" t="s">
        <v>141</v>
      </c>
      <c r="H668" s="23" t="s">
        <v>835</v>
      </c>
      <c r="I668" s="23"/>
      <c r="J668" s="23" t="s">
        <v>114</v>
      </c>
      <c r="K668" s="62">
        <v>46230</v>
      </c>
      <c r="L668" s="23" t="s">
        <v>253</v>
      </c>
      <c r="M668" s="23" t="s">
        <v>2450</v>
      </c>
      <c r="N668" s="23" t="s">
        <v>1810</v>
      </c>
      <c r="O668" s="23" t="s">
        <v>2451</v>
      </c>
      <c r="P668" s="23" t="s">
        <v>2452</v>
      </c>
      <c r="Q668" s="23" t="s">
        <v>2450</v>
      </c>
      <c r="R668" s="63">
        <v>46231</v>
      </c>
      <c r="S668" s="63">
        <v>46231</v>
      </c>
      <c r="T668" s="63">
        <v>46232</v>
      </c>
      <c r="U668" s="23"/>
      <c r="V668" s="23" t="s">
        <v>132</v>
      </c>
      <c r="W668" s="23" t="s">
        <v>114</v>
      </c>
      <c r="X668" s="23" t="s">
        <v>114</v>
      </c>
      <c r="Y668" s="23" t="s">
        <v>114</v>
      </c>
      <c r="Z668" s="23" t="s">
        <v>114</v>
      </c>
      <c r="AA668" s="23" t="s">
        <v>132</v>
      </c>
      <c r="AB668" s="23" t="s">
        <v>114</v>
      </c>
      <c r="AC668" s="23" t="s">
        <v>132</v>
      </c>
      <c r="AD668" s="23"/>
      <c r="AE668" s="23" t="s">
        <v>114</v>
      </c>
      <c r="AF668" s="23" t="s">
        <v>132</v>
      </c>
      <c r="AG668" s="23" t="s">
        <v>114</v>
      </c>
      <c r="AH668" s="23" t="s">
        <v>114</v>
      </c>
      <c r="AI668" s="23" t="s">
        <v>132</v>
      </c>
      <c r="AJ668" s="23" t="s">
        <v>132</v>
      </c>
      <c r="AK668" s="23" t="s">
        <v>132</v>
      </c>
      <c r="AL668" s="23"/>
      <c r="AM668" s="23" t="s">
        <v>114</v>
      </c>
      <c r="AN668" s="23" t="s">
        <v>132</v>
      </c>
      <c r="AO668" s="23"/>
      <c r="AP668" s="23" t="s">
        <v>132</v>
      </c>
      <c r="AQ668" s="23" t="s">
        <v>132</v>
      </c>
      <c r="AR668" s="23"/>
      <c r="AS668" s="23"/>
      <c r="AT668" s="23"/>
      <c r="AU668" s="23"/>
      <c r="AV668" s="23"/>
      <c r="AW668" s="23"/>
      <c r="AX668" s="57"/>
      <c r="AY668" s="23"/>
      <c r="AZ668" s="23"/>
      <c r="BA668" s="64"/>
      <c r="BB668" s="57" t="s">
        <v>132</v>
      </c>
      <c r="BC668" s="57"/>
      <c r="BD668" s="23"/>
      <c r="BE668" s="23"/>
      <c r="BF668" s="23" t="s">
        <v>1810</v>
      </c>
      <c r="BG668" s="23"/>
      <c r="BH668" s="23"/>
      <c r="BI668" s="57"/>
      <c r="BJ668" t="str">
        <f t="shared" si="129"/>
        <v/>
      </c>
      <c r="BK668" s="23" t="s">
        <v>253</v>
      </c>
      <c r="BL668" t="str">
        <f t="shared" si="138"/>
        <v/>
      </c>
      <c r="BM668" s="23" t="s">
        <v>159</v>
      </c>
      <c r="BN668" s="63"/>
      <c r="BO668" s="22" t="str">
        <f t="shared" si="134"/>
        <v/>
      </c>
      <c r="BP668" s="23"/>
      <c r="BQ668" s="23"/>
      <c r="BR668" s="23" t="s">
        <v>451</v>
      </c>
      <c r="BS668" s="23" t="s">
        <v>132</v>
      </c>
      <c r="BT668" s="23" t="s">
        <v>132</v>
      </c>
      <c r="BU668" s="23" t="s">
        <v>132</v>
      </c>
      <c r="CI668" t="s">
        <v>119</v>
      </c>
      <c r="CP668" s="63">
        <v>46233</v>
      </c>
      <c r="CX668" s="63">
        <v>46231</v>
      </c>
      <c r="CY668" t="str">
        <f t="shared" si="140"/>
        <v>S31_2026</v>
      </c>
      <c r="DC668" t="s">
        <v>986</v>
      </c>
    </row>
    <row r="669" spans="1:107" x14ac:dyDescent="0.35">
      <c r="A669" t="s">
        <v>2455</v>
      </c>
      <c r="B669" s="23" t="str">
        <f>IFERROR("S"&amp;(IF(_xlfn.ISOWEEKNUM(D669)&gt;0,_xlfn.ISOWEEKNUM(D669),_xlfn.CONCAT("0",_xlfn.ISOWEEKNUM(D669))))&amp;"_"&amp;(YEAR(D669+26-(_xlfn.ISOWEEKNUM(D669)))),"")</f>
        <v>S32_2026</v>
      </c>
      <c r="C669" s="10" t="str">
        <f t="shared" si="141"/>
        <v>S31_2026</v>
      </c>
      <c r="D669" s="11">
        <v>46242</v>
      </c>
      <c r="E669" t="s">
        <v>123</v>
      </c>
      <c r="F669" s="24">
        <v>12</v>
      </c>
      <c r="G669" t="s">
        <v>107</v>
      </c>
      <c r="H669" t="s">
        <v>835</v>
      </c>
      <c r="J669" t="s">
        <v>132</v>
      </c>
      <c r="L669" t="s">
        <v>126</v>
      </c>
      <c r="M669" t="s">
        <v>1084</v>
      </c>
      <c r="N669" t="s">
        <v>2173</v>
      </c>
      <c r="O669" t="s">
        <v>2229</v>
      </c>
      <c r="P669" t="s">
        <v>2456</v>
      </c>
      <c r="Q669" t="s">
        <v>1084</v>
      </c>
      <c r="R669" s="11">
        <v>46231</v>
      </c>
      <c r="S669" s="11">
        <v>46227</v>
      </c>
      <c r="T669" s="11">
        <v>46231</v>
      </c>
      <c r="V669" t="s">
        <v>132</v>
      </c>
      <c r="W669" t="s">
        <v>132</v>
      </c>
      <c r="X669" t="s">
        <v>114</v>
      </c>
      <c r="Y669" t="s">
        <v>114</v>
      </c>
      <c r="Z669" t="s">
        <v>114</v>
      </c>
      <c r="AA669" t="s">
        <v>114</v>
      </c>
      <c r="AB669" t="s">
        <v>132</v>
      </c>
      <c r="AC669" t="s">
        <v>2457</v>
      </c>
      <c r="AE669" t="s">
        <v>114</v>
      </c>
      <c r="AF669" t="s">
        <v>114</v>
      </c>
      <c r="AG669" t="s">
        <v>114</v>
      </c>
      <c r="AH669" t="s">
        <v>132</v>
      </c>
      <c r="AI669" t="s">
        <v>132</v>
      </c>
      <c r="AJ669" t="s">
        <v>132</v>
      </c>
      <c r="AK669" t="s">
        <v>114</v>
      </c>
      <c r="AN669" t="s">
        <v>132</v>
      </c>
      <c r="AP669" t="s">
        <v>132</v>
      </c>
      <c r="AQ669" t="s">
        <v>132</v>
      </c>
      <c r="AS669" s="11">
        <v>46240</v>
      </c>
      <c r="AU669" t="s">
        <v>114</v>
      </c>
      <c r="AV669" t="s">
        <v>134</v>
      </c>
      <c r="AW669" t="s">
        <v>2237</v>
      </c>
      <c r="AY669" t="s">
        <v>135</v>
      </c>
      <c r="BB669" t="s">
        <v>114</v>
      </c>
      <c r="BC669" s="11">
        <v>46240</v>
      </c>
      <c r="BD669" t="s">
        <v>2458</v>
      </c>
      <c r="BF669" t="s">
        <v>2173</v>
      </c>
      <c r="BG669" t="s">
        <v>449</v>
      </c>
      <c r="BI669" s="11">
        <v>46242</v>
      </c>
      <c r="BJ669" t="str">
        <f t="shared" ref="BJ669:BJ699" si="142">IFERROR("S"&amp;(IF(_xlfn.ISOWEEKNUM(BI669)&gt;0,_xlfn.ISOWEEKNUM(BI669),_xlfn.CONCAT("0",_xlfn.ISOWEEKNUM(BI669))))&amp;"_"&amp;(YEAR(BI669+26-(_xlfn.ISOWEEKNUM(BI669)))),"")</f>
        <v>S32_2026</v>
      </c>
      <c r="BK669" t="s">
        <v>137</v>
      </c>
      <c r="BL669" t="str">
        <f t="shared" si="138"/>
        <v>S32_2026</v>
      </c>
      <c r="BM669" t="s">
        <v>159</v>
      </c>
      <c r="BN669" s="11">
        <v>46242</v>
      </c>
      <c r="BO669" s="22" t="str">
        <f t="shared" si="134"/>
        <v>S32_2026</v>
      </c>
      <c r="BP669" t="s">
        <v>114</v>
      </c>
      <c r="BQ669" t="s">
        <v>971</v>
      </c>
      <c r="BR669" s="23" t="s">
        <v>451</v>
      </c>
      <c r="BS669" s="23" t="s">
        <v>132</v>
      </c>
      <c r="BT669" s="23" t="s">
        <v>132</v>
      </c>
      <c r="BU669" s="23" t="s">
        <v>132</v>
      </c>
      <c r="CI669" t="s">
        <v>119</v>
      </c>
      <c r="CK669" t="s">
        <v>138</v>
      </c>
      <c r="CP669" s="11">
        <v>46240</v>
      </c>
      <c r="CQ669" t="s">
        <v>132</v>
      </c>
      <c r="CW669" t="s">
        <v>132</v>
      </c>
      <c r="CX669" s="11">
        <v>46231</v>
      </c>
      <c r="CY669" t="str">
        <f t="shared" si="140"/>
        <v>S31_2026</v>
      </c>
      <c r="CZ669" t="s">
        <v>132</v>
      </c>
      <c r="DB669" t="s">
        <v>132</v>
      </c>
      <c r="DC669" t="s">
        <v>139</v>
      </c>
    </row>
    <row r="670" spans="1:107" x14ac:dyDescent="0.35">
      <c r="A670" s="44" t="s">
        <v>2459</v>
      </c>
      <c r="B670" s="23" t="str">
        <f>IFERROR("S"&amp;(IF(_xlfn.ISOWEEKNUM(D670)&gt;0,_xlfn.ISOWEEKNUM(D670),_xlfn.CONCAT("0",_xlfn.ISOWEEKNUM(D670))))&amp;"_"&amp;(YEAR(D670+26-(_xlfn.ISOWEEKNUM(D670)))),"")</f>
        <v>S32_2026</v>
      </c>
      <c r="C670" s="10" t="str">
        <f t="shared" si="141"/>
        <v>S32_2026</v>
      </c>
      <c r="D670" s="11">
        <v>46242</v>
      </c>
      <c r="E670" t="s">
        <v>106</v>
      </c>
      <c r="F670" s="24">
        <v>28</v>
      </c>
      <c r="G670" t="s">
        <v>2460</v>
      </c>
      <c r="H670" t="s">
        <v>835</v>
      </c>
      <c r="J670" t="s">
        <v>114</v>
      </c>
      <c r="K670" s="11">
        <v>46241</v>
      </c>
      <c r="L670" t="s">
        <v>126</v>
      </c>
      <c r="M670" t="s">
        <v>1625</v>
      </c>
      <c r="N670" t="s">
        <v>1616</v>
      </c>
      <c r="O670" t="s">
        <v>1823</v>
      </c>
      <c r="P670" t="s">
        <v>1553</v>
      </c>
      <c r="Q670" t="s">
        <v>853</v>
      </c>
      <c r="R670" s="11">
        <v>46239</v>
      </c>
      <c r="T670" s="11">
        <v>46239</v>
      </c>
      <c r="V670" t="s">
        <v>132</v>
      </c>
      <c r="W670" t="s">
        <v>132</v>
      </c>
      <c r="X670" t="s">
        <v>114</v>
      </c>
      <c r="Y670" t="s">
        <v>132</v>
      </c>
      <c r="Z670" t="s">
        <v>114</v>
      </c>
      <c r="AA670" t="s">
        <v>132</v>
      </c>
      <c r="AB670" t="s">
        <v>114</v>
      </c>
      <c r="AC670" t="s">
        <v>1238</v>
      </c>
      <c r="AE670" t="s">
        <v>132</v>
      </c>
      <c r="AF670" t="s">
        <v>132</v>
      </c>
      <c r="AG670" t="s">
        <v>132</v>
      </c>
      <c r="AH670" t="s">
        <v>132</v>
      </c>
      <c r="AI670" t="s">
        <v>132</v>
      </c>
      <c r="AJ670" t="s">
        <v>132</v>
      </c>
      <c r="AK670" t="s">
        <v>132</v>
      </c>
      <c r="AM670" t="s">
        <v>132</v>
      </c>
      <c r="AP670" t="s">
        <v>132</v>
      </c>
      <c r="AQ670" t="s">
        <v>132</v>
      </c>
      <c r="AS670" s="11">
        <v>46241</v>
      </c>
      <c r="AT670" s="11"/>
      <c r="AU670" s="11" t="s">
        <v>114</v>
      </c>
      <c r="AV670" t="s">
        <v>134</v>
      </c>
      <c r="AW670" s="11" t="s">
        <v>2237</v>
      </c>
      <c r="AX670" s="11"/>
      <c r="AY670" t="s">
        <v>135</v>
      </c>
      <c r="AZ670" s="11"/>
      <c r="BA670" s="11"/>
      <c r="BB670" s="11" t="s">
        <v>114</v>
      </c>
      <c r="BC670" s="11">
        <v>46241</v>
      </c>
      <c r="BD670" s="11" t="s">
        <v>661</v>
      </c>
      <c r="BF670" t="s">
        <v>1553</v>
      </c>
      <c r="BG670" s="11" t="s">
        <v>449</v>
      </c>
      <c r="BI670" s="11">
        <v>46242</v>
      </c>
      <c r="BJ670" t="str">
        <f t="shared" si="142"/>
        <v>S32_2026</v>
      </c>
      <c r="BK670" t="s">
        <v>137</v>
      </c>
      <c r="BL670" t="str">
        <f t="shared" si="138"/>
        <v>S32_2026</v>
      </c>
      <c r="BM670" t="s">
        <v>159</v>
      </c>
      <c r="BN670" s="11">
        <v>46242</v>
      </c>
      <c r="BO670" s="22" t="str">
        <f t="shared" si="134"/>
        <v>S32_2026</v>
      </c>
      <c r="BP670" t="s">
        <v>114</v>
      </c>
      <c r="BQ670" t="s">
        <v>971</v>
      </c>
      <c r="BR670" s="23" t="s">
        <v>451</v>
      </c>
      <c r="BS670" s="23" t="s">
        <v>132</v>
      </c>
      <c r="BT670" s="23" t="s">
        <v>132</v>
      </c>
      <c r="BU670" s="23" t="s">
        <v>132</v>
      </c>
      <c r="CI670" t="s">
        <v>119</v>
      </c>
      <c r="CK670" t="s">
        <v>138</v>
      </c>
      <c r="CP670" s="11">
        <v>46241</v>
      </c>
      <c r="CQ670" t="s">
        <v>132</v>
      </c>
      <c r="CW670" t="s">
        <v>132</v>
      </c>
      <c r="CX670" s="11">
        <v>46239</v>
      </c>
      <c r="CY670" t="str">
        <f t="shared" si="140"/>
        <v>S32_2026</v>
      </c>
      <c r="CZ670" t="s">
        <v>132</v>
      </c>
      <c r="DB670" t="s">
        <v>132</v>
      </c>
      <c r="DC670" t="s">
        <v>139</v>
      </c>
    </row>
    <row r="671" spans="1:107" x14ac:dyDescent="0.35">
      <c r="A671" s="22" t="s">
        <v>2461</v>
      </c>
      <c r="B671" s="23" t="str">
        <f t="shared" ref="B671:B680" si="143">IFERROR("S"&amp;(IF(_xlfn.ISOWEEKNUM(D671)&gt;0,_xlfn.ISOWEEKNUM(D671),_xlfn.CONCAT("0",_xlfn.ISOWEEKNUM(D671))))&amp;"_"&amp;(YEAR(D671+26-(_xlfn.ISOWEEKNUM(D671)))),"")</f>
        <v>S32_2026</v>
      </c>
      <c r="C671" s="10" t="str">
        <f t="shared" si="141"/>
        <v>S31_2026</v>
      </c>
      <c r="D671" s="11">
        <v>46243</v>
      </c>
      <c r="E671" s="23" t="s">
        <v>123</v>
      </c>
      <c r="F671" s="24">
        <v>45</v>
      </c>
      <c r="G671" s="23" t="s">
        <v>124</v>
      </c>
      <c r="H671" s="23" t="s">
        <v>108</v>
      </c>
      <c r="J671" s="23" t="s">
        <v>114</v>
      </c>
      <c r="K671" s="11">
        <v>46245</v>
      </c>
      <c r="L671" s="23" t="s">
        <v>248</v>
      </c>
      <c r="M671" s="23" t="s">
        <v>249</v>
      </c>
      <c r="N671" s="23" t="s">
        <v>2462</v>
      </c>
      <c r="O671" s="23" t="s">
        <v>2466</v>
      </c>
      <c r="P671" s="23" t="s">
        <v>2467</v>
      </c>
      <c r="Q671" s="23" t="s">
        <v>249</v>
      </c>
      <c r="R671" s="11">
        <v>46236</v>
      </c>
      <c r="S671" s="11">
        <v>46236</v>
      </c>
      <c r="T671" s="11">
        <v>46236</v>
      </c>
      <c r="V671" s="23" t="s">
        <v>114</v>
      </c>
      <c r="W671" s="23" t="s">
        <v>114</v>
      </c>
      <c r="X671" s="23" t="s">
        <v>114</v>
      </c>
      <c r="Y671" s="23" t="s">
        <v>114</v>
      </c>
      <c r="Z671" s="23" t="s">
        <v>114</v>
      </c>
      <c r="AA671" s="23" t="s">
        <v>114</v>
      </c>
      <c r="AB671" s="23" t="s">
        <v>114</v>
      </c>
      <c r="AC671" s="23" t="s">
        <v>1238</v>
      </c>
      <c r="AE671" s="23" t="s">
        <v>114</v>
      </c>
      <c r="AF671" s="23" t="s">
        <v>132</v>
      </c>
      <c r="AG671" s="23" t="s">
        <v>114</v>
      </c>
      <c r="AH671" s="23" t="s">
        <v>132</v>
      </c>
      <c r="AI671" s="23" t="s">
        <v>132</v>
      </c>
      <c r="AJ671" s="23" t="s">
        <v>132</v>
      </c>
      <c r="AK671" s="23" t="s">
        <v>114</v>
      </c>
      <c r="AL671" s="23" t="s">
        <v>2468</v>
      </c>
      <c r="AM671" s="23" t="s">
        <v>132</v>
      </c>
      <c r="AN671" s="23" t="s">
        <v>132</v>
      </c>
      <c r="AO671" s="23"/>
      <c r="AP671" s="23" t="s">
        <v>132</v>
      </c>
      <c r="AQ671" s="23" t="s">
        <v>132</v>
      </c>
      <c r="BB671" s="57" t="s">
        <v>114</v>
      </c>
      <c r="BC671" s="11">
        <v>46246</v>
      </c>
      <c r="BD671" t="s">
        <v>116</v>
      </c>
      <c r="BE671">
        <v>690493150</v>
      </c>
      <c r="BF671" s="23" t="s">
        <v>2462</v>
      </c>
      <c r="BJ671" t="str">
        <f t="shared" si="142"/>
        <v/>
      </c>
      <c r="BK671" s="23" t="s">
        <v>253</v>
      </c>
      <c r="BL671" t="str">
        <f t="shared" si="138"/>
        <v>S33_2026</v>
      </c>
      <c r="BM671" s="23" t="s">
        <v>159</v>
      </c>
      <c r="BO671" s="22" t="str">
        <f t="shared" si="134"/>
        <v/>
      </c>
      <c r="BR671" s="23" t="s">
        <v>451</v>
      </c>
      <c r="BS671" s="23" t="s">
        <v>132</v>
      </c>
      <c r="CI671" t="s">
        <v>119</v>
      </c>
      <c r="CP671" s="11">
        <v>46243</v>
      </c>
      <c r="CX671" s="11">
        <v>46236</v>
      </c>
      <c r="CY671" t="str">
        <f t="shared" si="140"/>
        <v>S31_2026</v>
      </c>
      <c r="DC671" t="s">
        <v>1293</v>
      </c>
    </row>
    <row r="672" spans="1:107" x14ac:dyDescent="0.35">
      <c r="A672" t="s">
        <v>2469</v>
      </c>
      <c r="B672" s="23" t="str">
        <f t="shared" si="143"/>
        <v>S33_2026</v>
      </c>
      <c r="C672" s="10" t="str">
        <f t="shared" si="141"/>
        <v>S31_2026</v>
      </c>
      <c r="D672" s="11">
        <v>46244</v>
      </c>
      <c r="E672" t="s">
        <v>123</v>
      </c>
      <c r="F672" s="24">
        <v>24</v>
      </c>
      <c r="G672" t="s">
        <v>2470</v>
      </c>
      <c r="H672" t="s">
        <v>835</v>
      </c>
      <c r="J672" t="s">
        <v>132</v>
      </c>
      <c r="L672" t="s">
        <v>126</v>
      </c>
      <c r="M672" t="s">
        <v>146</v>
      </c>
      <c r="N672" t="s">
        <v>1042</v>
      </c>
      <c r="O672" t="s">
        <v>1481</v>
      </c>
      <c r="P672" t="s">
        <v>2471</v>
      </c>
      <c r="Q672" t="s">
        <v>146</v>
      </c>
      <c r="R672" s="11">
        <v>46233</v>
      </c>
      <c r="T672" s="11">
        <v>46233</v>
      </c>
      <c r="V672" t="s">
        <v>132</v>
      </c>
      <c r="W672" t="s">
        <v>114</v>
      </c>
      <c r="X672" t="s">
        <v>132</v>
      </c>
      <c r="Y672" t="s">
        <v>132</v>
      </c>
      <c r="Z672" t="s">
        <v>114</v>
      </c>
      <c r="AA672" t="s">
        <v>114</v>
      </c>
      <c r="AB672" t="s">
        <v>114</v>
      </c>
      <c r="AC672" t="s">
        <v>935</v>
      </c>
      <c r="AE672" t="s">
        <v>132</v>
      </c>
      <c r="AF672" t="s">
        <v>132</v>
      </c>
      <c r="AG672" t="s">
        <v>132</v>
      </c>
      <c r="AH672" t="s">
        <v>132</v>
      </c>
      <c r="AI672" t="s">
        <v>132</v>
      </c>
      <c r="AJ672" t="s">
        <v>132</v>
      </c>
      <c r="AK672" t="s">
        <v>132</v>
      </c>
      <c r="AM672" t="s">
        <v>132</v>
      </c>
      <c r="AN672" t="s">
        <v>132</v>
      </c>
      <c r="AP672" t="s">
        <v>132</v>
      </c>
      <c r="AQ672" t="s">
        <v>132</v>
      </c>
      <c r="AS672" s="11">
        <v>46240</v>
      </c>
      <c r="AU672" t="s">
        <v>114</v>
      </c>
      <c r="AV672" t="s">
        <v>115</v>
      </c>
      <c r="BB672" t="s">
        <v>114</v>
      </c>
      <c r="BC672" s="11">
        <v>46240</v>
      </c>
      <c r="BD672" t="s">
        <v>178</v>
      </c>
      <c r="BF672" t="s">
        <v>1042</v>
      </c>
      <c r="BG672" t="s">
        <v>449</v>
      </c>
      <c r="BJ672" t="str">
        <f t="shared" si="142"/>
        <v/>
      </c>
      <c r="BK672" t="s">
        <v>137</v>
      </c>
      <c r="BL672" t="str">
        <f t="shared" si="138"/>
        <v>S32_2026</v>
      </c>
      <c r="BM672" t="s">
        <v>159</v>
      </c>
      <c r="BN672" s="11">
        <v>46242</v>
      </c>
      <c r="BO672" s="22" t="str">
        <f t="shared" si="134"/>
        <v>S32_2026</v>
      </c>
      <c r="BP672" t="s">
        <v>114</v>
      </c>
      <c r="BQ672" t="s">
        <v>971</v>
      </c>
      <c r="BR672" t="s">
        <v>451</v>
      </c>
      <c r="BS672" s="23" t="s">
        <v>132</v>
      </c>
      <c r="CI672" t="s">
        <v>119</v>
      </c>
      <c r="CK672" t="s">
        <v>138</v>
      </c>
      <c r="CP672" s="11">
        <v>46240</v>
      </c>
      <c r="CQ672" t="s">
        <v>132</v>
      </c>
      <c r="CW672" t="s">
        <v>132</v>
      </c>
      <c r="CX672" s="11">
        <v>46233</v>
      </c>
      <c r="CY672" t="str">
        <f t="shared" si="140"/>
        <v>S31_2026</v>
      </c>
      <c r="CZ672" t="s">
        <v>132</v>
      </c>
      <c r="DB672" t="s">
        <v>132</v>
      </c>
      <c r="DC672" t="s">
        <v>120</v>
      </c>
    </row>
    <row r="673" spans="1:107" x14ac:dyDescent="0.35">
      <c r="A673" t="s">
        <v>2472</v>
      </c>
      <c r="B673" s="23" t="str">
        <f t="shared" si="143"/>
        <v>S33_2026</v>
      </c>
      <c r="C673" s="10" t="str">
        <f t="shared" si="141"/>
        <v>S29_2026</v>
      </c>
      <c r="D673" s="11">
        <v>46244</v>
      </c>
      <c r="E673" s="11" t="s">
        <v>123</v>
      </c>
      <c r="F673" s="71">
        <v>26</v>
      </c>
      <c r="G673" s="11" t="s">
        <v>2141</v>
      </c>
      <c r="H673" t="s">
        <v>835</v>
      </c>
      <c r="I673" s="11"/>
      <c r="J673" s="11" t="s">
        <v>114</v>
      </c>
      <c r="K673" s="11">
        <v>46233</v>
      </c>
      <c r="L673" s="11" t="s">
        <v>137</v>
      </c>
      <c r="M673" s="11" t="s">
        <v>2473</v>
      </c>
      <c r="N673" s="11" t="s">
        <v>2474</v>
      </c>
      <c r="O673" s="11" t="s">
        <v>971</v>
      </c>
      <c r="P673" s="11" t="s">
        <v>2475</v>
      </c>
      <c r="Q673" s="11" t="s">
        <v>977</v>
      </c>
      <c r="R673" s="11">
        <v>46218</v>
      </c>
      <c r="S673" s="11">
        <v>46218</v>
      </c>
      <c r="T673" s="11">
        <v>46218</v>
      </c>
      <c r="U673" s="11"/>
      <c r="V673" s="11" t="s">
        <v>114</v>
      </c>
      <c r="W673" s="11" t="s">
        <v>114</v>
      </c>
      <c r="X673" s="11" t="s">
        <v>114</v>
      </c>
      <c r="Y673" s="11" t="s">
        <v>114</v>
      </c>
      <c r="Z673" s="11" t="s">
        <v>114</v>
      </c>
      <c r="AA673" s="11" t="s">
        <v>114</v>
      </c>
      <c r="AB673" s="11" t="s">
        <v>114</v>
      </c>
      <c r="AC673" s="11"/>
      <c r="AD673" s="11"/>
      <c r="AE673" s="11" t="s">
        <v>114</v>
      </c>
      <c r="AF673" s="11" t="s">
        <v>132</v>
      </c>
      <c r="AG673" s="11" t="s">
        <v>114</v>
      </c>
      <c r="AH673" s="11" t="s">
        <v>132</v>
      </c>
      <c r="AI673" s="11" t="s">
        <v>132</v>
      </c>
      <c r="AJ673" s="11" t="s">
        <v>132</v>
      </c>
      <c r="AK673" s="11" t="s">
        <v>132</v>
      </c>
      <c r="AL673" s="11"/>
      <c r="AM673" s="11" t="s">
        <v>132</v>
      </c>
      <c r="AN673" s="11" t="s">
        <v>132</v>
      </c>
      <c r="AO673" s="11"/>
      <c r="AP673" s="11" t="s">
        <v>132</v>
      </c>
      <c r="AQ673" s="11" t="s">
        <v>132</v>
      </c>
      <c r="AR673" s="11"/>
      <c r="AS673" s="11">
        <v>46233</v>
      </c>
      <c r="AT673" s="11"/>
      <c r="AU673" s="11" t="s">
        <v>114</v>
      </c>
      <c r="AV673" t="s">
        <v>134</v>
      </c>
      <c r="AW673" s="11" t="s">
        <v>2237</v>
      </c>
      <c r="AX673" s="11"/>
      <c r="AY673" t="s">
        <v>135</v>
      </c>
      <c r="AZ673" s="11"/>
      <c r="BA673" s="11"/>
      <c r="BB673" s="11" t="s">
        <v>114</v>
      </c>
      <c r="BC673" s="11">
        <v>46232</v>
      </c>
      <c r="BD673" s="11" t="s">
        <v>661</v>
      </c>
      <c r="BE673" s="11"/>
      <c r="BF673" s="11" t="s">
        <v>1009</v>
      </c>
      <c r="BG673" t="s">
        <v>449</v>
      </c>
      <c r="BH673" s="11"/>
      <c r="BI673" s="11">
        <v>46242</v>
      </c>
      <c r="BJ673" s="11" t="str">
        <f t="shared" si="142"/>
        <v>S32_2026</v>
      </c>
      <c r="BK673" t="s">
        <v>137</v>
      </c>
      <c r="BL673" t="str">
        <f t="shared" si="138"/>
        <v>S31_2026</v>
      </c>
      <c r="BM673" t="s">
        <v>159</v>
      </c>
      <c r="BN673" s="11">
        <v>46242</v>
      </c>
      <c r="BO673" s="22" t="str">
        <f t="shared" si="134"/>
        <v>S32_2026</v>
      </c>
      <c r="BP673" t="s">
        <v>114</v>
      </c>
      <c r="BQ673" t="s">
        <v>971</v>
      </c>
      <c r="BR673" s="11" t="s">
        <v>451</v>
      </c>
      <c r="BS673" s="23" t="s">
        <v>132</v>
      </c>
      <c r="CI673" t="s">
        <v>119</v>
      </c>
      <c r="CJ673" s="11"/>
      <c r="CK673" s="11" t="s">
        <v>138</v>
      </c>
      <c r="CL673" s="11"/>
      <c r="CM673" s="11"/>
      <c r="CN673" s="11"/>
      <c r="CO673" s="11"/>
      <c r="CP673" s="11">
        <v>46233</v>
      </c>
      <c r="CQ673" t="s">
        <v>132</v>
      </c>
      <c r="CR673" s="11"/>
      <c r="CS673" s="11"/>
      <c r="CT673" s="11"/>
      <c r="CU673" s="11"/>
      <c r="CV673" s="11"/>
      <c r="CW673" s="11" t="s">
        <v>132</v>
      </c>
      <c r="CX673" s="11">
        <v>46218</v>
      </c>
      <c r="CY673" t="str">
        <f t="shared" si="140"/>
        <v>S29_2026</v>
      </c>
      <c r="CZ673" s="11" t="s">
        <v>132</v>
      </c>
      <c r="DA673" s="11"/>
      <c r="DB673" s="11" t="s">
        <v>132</v>
      </c>
      <c r="DC673" s="11" t="s">
        <v>139</v>
      </c>
    </row>
    <row r="674" spans="1:107" x14ac:dyDescent="0.35">
      <c r="A674" s="54" t="s">
        <v>2476</v>
      </c>
      <c r="B674" s="23" t="str">
        <f t="shared" si="143"/>
        <v>S33_2026</v>
      </c>
      <c r="C674" s="10" t="str">
        <f t="shared" si="141"/>
        <v>S30_2026</v>
      </c>
      <c r="D674" s="11">
        <v>46244</v>
      </c>
      <c r="E674" s="11" t="s">
        <v>123</v>
      </c>
      <c r="F674" s="71">
        <v>40</v>
      </c>
      <c r="G674" s="11" t="s">
        <v>575</v>
      </c>
      <c r="H674" t="s">
        <v>835</v>
      </c>
      <c r="I674" s="11"/>
      <c r="J674" s="11" t="s">
        <v>114</v>
      </c>
      <c r="K674" s="11">
        <v>46238</v>
      </c>
      <c r="L674" s="11" t="s">
        <v>137</v>
      </c>
      <c r="M674" s="11" t="s">
        <v>2477</v>
      </c>
      <c r="N674" s="11" t="s">
        <v>2474</v>
      </c>
      <c r="O674" s="11" t="s">
        <v>971</v>
      </c>
      <c r="P674" s="11" t="s">
        <v>2478</v>
      </c>
      <c r="Q674" s="11" t="s">
        <v>1023</v>
      </c>
      <c r="R674" s="11">
        <v>46223</v>
      </c>
      <c r="S674" s="11">
        <v>46223</v>
      </c>
      <c r="T674" s="11">
        <v>46223</v>
      </c>
      <c r="U674" s="11"/>
      <c r="V674" s="11" t="s">
        <v>114</v>
      </c>
      <c r="W674" s="11" t="s">
        <v>114</v>
      </c>
      <c r="X674" s="11" t="s">
        <v>114</v>
      </c>
      <c r="Y674" s="11" t="s">
        <v>114</v>
      </c>
      <c r="Z674" s="11" t="s">
        <v>114</v>
      </c>
      <c r="AA674" s="11" t="s">
        <v>114</v>
      </c>
      <c r="AB674" s="11" t="s">
        <v>114</v>
      </c>
      <c r="AC674" s="11"/>
      <c r="AD674" s="11"/>
      <c r="AE674" s="11" t="s">
        <v>114</v>
      </c>
      <c r="AF674" s="11" t="s">
        <v>132</v>
      </c>
      <c r="AG674" s="11" t="s">
        <v>114</v>
      </c>
      <c r="AH674" s="11" t="s">
        <v>132</v>
      </c>
      <c r="AI674" s="11" t="s">
        <v>132</v>
      </c>
      <c r="AJ674" s="11" t="s">
        <v>132</v>
      </c>
      <c r="AK674" s="11" t="s">
        <v>114</v>
      </c>
      <c r="AL674" s="11"/>
      <c r="AM674" s="11" t="s">
        <v>132</v>
      </c>
      <c r="AN674" s="11" t="s">
        <v>114</v>
      </c>
      <c r="AO674" s="11"/>
      <c r="AP674" s="11" t="s">
        <v>132</v>
      </c>
      <c r="AQ674" s="11" t="s">
        <v>132</v>
      </c>
      <c r="AR674" s="11"/>
      <c r="AS674" s="11">
        <v>46239</v>
      </c>
      <c r="AT674" s="11"/>
      <c r="AU674" s="11" t="s">
        <v>114</v>
      </c>
      <c r="AV674" t="s">
        <v>134</v>
      </c>
      <c r="AW674" s="11" t="s">
        <v>2237</v>
      </c>
      <c r="AX674" s="11"/>
      <c r="AY674" t="s">
        <v>463</v>
      </c>
      <c r="AZ674" s="11"/>
      <c r="BA674" s="11"/>
      <c r="BB674" s="11" t="s">
        <v>114</v>
      </c>
      <c r="BC674" s="11">
        <v>46239</v>
      </c>
      <c r="BD674" s="11" t="s">
        <v>2479</v>
      </c>
      <c r="BE674" s="11"/>
      <c r="BF674" s="11" t="s">
        <v>2480</v>
      </c>
      <c r="BG674" t="s">
        <v>449</v>
      </c>
      <c r="BH674" s="11"/>
      <c r="BI674" s="11">
        <v>46242</v>
      </c>
      <c r="BJ674" s="11" t="str">
        <f t="shared" si="142"/>
        <v>S32_2026</v>
      </c>
      <c r="BK674" t="s">
        <v>137</v>
      </c>
      <c r="BL674" t="str">
        <f t="shared" si="138"/>
        <v>S32_2026</v>
      </c>
      <c r="BM674" t="s">
        <v>159</v>
      </c>
      <c r="BN674" s="11">
        <v>46242</v>
      </c>
      <c r="BO674" s="22" t="str">
        <f t="shared" si="134"/>
        <v>S32_2026</v>
      </c>
      <c r="BP674" t="s">
        <v>114</v>
      </c>
      <c r="BQ674" t="s">
        <v>971</v>
      </c>
      <c r="BR674" s="11" t="s">
        <v>451</v>
      </c>
      <c r="BS674" s="23" t="s">
        <v>132</v>
      </c>
      <c r="CI674" t="s">
        <v>119</v>
      </c>
      <c r="CJ674" s="11"/>
      <c r="CK674" s="11" t="s">
        <v>2481</v>
      </c>
      <c r="CL674" s="11"/>
      <c r="CM674" s="11"/>
      <c r="CN674" s="11"/>
      <c r="CO674" s="11"/>
      <c r="CP674" s="11">
        <v>46239</v>
      </c>
      <c r="CQ674" t="s">
        <v>132</v>
      </c>
      <c r="CR674" s="11"/>
      <c r="CS674" s="11"/>
      <c r="CT674" s="11"/>
      <c r="CU674" s="11"/>
      <c r="CV674" s="11"/>
      <c r="CW674" s="11" t="s">
        <v>132</v>
      </c>
      <c r="CX674" s="11">
        <v>46223</v>
      </c>
      <c r="CY674" t="str">
        <f t="shared" si="140"/>
        <v>S30_2026</v>
      </c>
      <c r="CZ674" s="11" t="s">
        <v>132</v>
      </c>
      <c r="DA674" s="11"/>
      <c r="DB674" s="11" t="s">
        <v>132</v>
      </c>
      <c r="DC674" s="11" t="s">
        <v>139</v>
      </c>
    </row>
    <row r="675" spans="1:107" x14ac:dyDescent="0.35">
      <c r="A675" t="s">
        <v>2482</v>
      </c>
      <c r="B675" s="23" t="str">
        <f t="shared" si="143"/>
        <v>S33_2026</v>
      </c>
      <c r="C675" s="10" t="str">
        <f t="shared" si="141"/>
        <v>S31_2026</v>
      </c>
      <c r="D675" s="11">
        <v>46244</v>
      </c>
      <c r="E675" s="11" t="s">
        <v>123</v>
      </c>
      <c r="F675" s="71">
        <v>21</v>
      </c>
      <c r="G675" s="11" t="s">
        <v>1197</v>
      </c>
      <c r="H675" t="s">
        <v>835</v>
      </c>
      <c r="I675" s="11"/>
      <c r="J675" s="11" t="s">
        <v>114</v>
      </c>
      <c r="K675" s="11">
        <v>46236</v>
      </c>
      <c r="L675" s="11" t="s">
        <v>137</v>
      </c>
      <c r="M675" s="11" t="s">
        <v>2477</v>
      </c>
      <c r="N675" s="11" t="s">
        <v>2474</v>
      </c>
      <c r="O675" s="11" t="s">
        <v>971</v>
      </c>
      <c r="P675" s="11" t="s">
        <v>2483</v>
      </c>
      <c r="Q675" s="11" t="s">
        <v>977</v>
      </c>
      <c r="R675" s="11">
        <v>46234</v>
      </c>
      <c r="S675" s="11">
        <v>46234</v>
      </c>
      <c r="T675" s="11">
        <v>46234</v>
      </c>
      <c r="U675" s="11"/>
      <c r="V675" s="11" t="s">
        <v>132</v>
      </c>
      <c r="W675" s="11" t="s">
        <v>132</v>
      </c>
      <c r="X675" s="11" t="s">
        <v>132</v>
      </c>
      <c r="Y675" s="11" t="s">
        <v>132</v>
      </c>
      <c r="Z675" s="11" t="s">
        <v>132</v>
      </c>
      <c r="AA675" s="11" t="s">
        <v>114</v>
      </c>
      <c r="AB675" s="11" t="s">
        <v>132</v>
      </c>
      <c r="AC675" s="11" t="s">
        <v>132</v>
      </c>
      <c r="AD675" s="11"/>
      <c r="AE675" s="11" t="s">
        <v>114</v>
      </c>
      <c r="AF675" s="11" t="s">
        <v>132</v>
      </c>
      <c r="AG675" s="11" t="s">
        <v>132</v>
      </c>
      <c r="AH675" s="11" t="s">
        <v>132</v>
      </c>
      <c r="AI675" s="11" t="s">
        <v>132</v>
      </c>
      <c r="AJ675" s="11" t="s">
        <v>132</v>
      </c>
      <c r="AK675" s="11" t="s">
        <v>114</v>
      </c>
      <c r="AL675" s="11"/>
      <c r="AM675" s="11" t="s">
        <v>132</v>
      </c>
      <c r="AN675" s="11" t="s">
        <v>132</v>
      </c>
      <c r="AO675" s="11"/>
      <c r="AP675" s="11" t="s">
        <v>132</v>
      </c>
      <c r="AQ675" s="11" t="s">
        <v>132</v>
      </c>
      <c r="AR675" s="11"/>
      <c r="AS675" s="11">
        <v>46239</v>
      </c>
      <c r="AT675" s="11"/>
      <c r="AU675" s="11" t="s">
        <v>114</v>
      </c>
      <c r="AV675" t="s">
        <v>134</v>
      </c>
      <c r="AW675" s="11" t="s">
        <v>2237</v>
      </c>
      <c r="AX675" s="11"/>
      <c r="AY675" t="s">
        <v>135</v>
      </c>
      <c r="AZ675" s="11"/>
      <c r="BA675" s="11"/>
      <c r="BB675" s="11" t="s">
        <v>114</v>
      </c>
      <c r="BC675" s="11">
        <v>46239</v>
      </c>
      <c r="BD675" s="11" t="s">
        <v>661</v>
      </c>
      <c r="BE675" s="11"/>
      <c r="BF675" s="11" t="s">
        <v>1009</v>
      </c>
      <c r="BG675" t="s">
        <v>449</v>
      </c>
      <c r="BH675" s="11"/>
      <c r="BI675" s="11">
        <v>46242</v>
      </c>
      <c r="BJ675" s="11" t="str">
        <f t="shared" si="142"/>
        <v>S32_2026</v>
      </c>
      <c r="BK675" t="s">
        <v>137</v>
      </c>
      <c r="BL675" t="str">
        <f t="shared" si="138"/>
        <v>S32_2026</v>
      </c>
      <c r="BM675" t="s">
        <v>159</v>
      </c>
      <c r="BN675" s="11">
        <v>46242</v>
      </c>
      <c r="BO675" s="22" t="str">
        <f t="shared" si="134"/>
        <v>S32_2026</v>
      </c>
      <c r="BP675" t="s">
        <v>114</v>
      </c>
      <c r="BQ675" t="s">
        <v>971</v>
      </c>
      <c r="BR675" s="11" t="s">
        <v>451</v>
      </c>
      <c r="BS675" s="23" t="s">
        <v>132</v>
      </c>
      <c r="CI675" t="s">
        <v>119</v>
      </c>
      <c r="CJ675" s="11"/>
      <c r="CK675" s="11" t="s">
        <v>138</v>
      </c>
      <c r="CL675" s="11"/>
      <c r="CM675" s="11"/>
      <c r="CN675" s="11"/>
      <c r="CO675" s="11"/>
      <c r="CP675" s="11">
        <v>46239</v>
      </c>
      <c r="CQ675" t="s">
        <v>132</v>
      </c>
      <c r="CR675" s="11"/>
      <c r="CS675" s="11"/>
      <c r="CT675" s="11"/>
      <c r="CU675" s="11"/>
      <c r="CV675" s="11"/>
      <c r="CW675" s="11" t="s">
        <v>132</v>
      </c>
      <c r="CX675" s="11">
        <v>46234</v>
      </c>
      <c r="CY675" t="str">
        <f t="shared" si="140"/>
        <v>S31_2026</v>
      </c>
      <c r="CZ675" s="11" t="s">
        <v>132</v>
      </c>
      <c r="DA675" s="11"/>
      <c r="DB675" s="11" t="s">
        <v>132</v>
      </c>
      <c r="DC675" s="11" t="s">
        <v>139</v>
      </c>
    </row>
    <row r="676" spans="1:107" x14ac:dyDescent="0.35">
      <c r="A676" s="22" t="s">
        <v>2484</v>
      </c>
      <c r="B676" s="23" t="str">
        <f t="shared" si="143"/>
        <v>S33_2026</v>
      </c>
      <c r="C676" s="10" t="str">
        <f t="shared" si="141"/>
        <v>S31_2026</v>
      </c>
      <c r="D676" s="11">
        <v>46244</v>
      </c>
      <c r="E676" s="11" t="s">
        <v>106</v>
      </c>
      <c r="F676" s="71">
        <v>19</v>
      </c>
      <c r="G676" s="11"/>
      <c r="H676" t="s">
        <v>835</v>
      </c>
      <c r="I676" s="11"/>
      <c r="J676" s="11"/>
      <c r="K676" s="11"/>
      <c r="L676" s="11" t="s">
        <v>321</v>
      </c>
      <c r="M676" s="11" t="s">
        <v>2485</v>
      </c>
      <c r="N676" s="11" t="s">
        <v>2486</v>
      </c>
      <c r="O676" s="11"/>
      <c r="P676" s="11" t="s">
        <v>2487</v>
      </c>
      <c r="Q676" s="11" t="s">
        <v>2485</v>
      </c>
      <c r="R676" s="11">
        <v>46230</v>
      </c>
      <c r="S676" s="11">
        <v>46230</v>
      </c>
      <c r="T676" s="11">
        <v>46230</v>
      </c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>
        <v>46237</v>
      </c>
      <c r="AT676" s="11"/>
      <c r="AU676" s="11" t="s">
        <v>114</v>
      </c>
      <c r="AV676" s="11" t="s">
        <v>2488</v>
      </c>
      <c r="AW676" s="11"/>
      <c r="AX676" s="11"/>
      <c r="AY676" s="11"/>
      <c r="AZ676" s="11"/>
      <c r="BA676" s="11"/>
      <c r="BB676" s="11" t="s">
        <v>114</v>
      </c>
      <c r="BC676" s="11">
        <v>46235</v>
      </c>
      <c r="BD676" s="11" t="s">
        <v>661</v>
      </c>
      <c r="BE676" s="11"/>
      <c r="BF676" s="11" t="s">
        <v>2487</v>
      </c>
      <c r="BG676" t="s">
        <v>449</v>
      </c>
      <c r="BH676" s="11"/>
      <c r="BI676" s="11"/>
      <c r="BJ676" s="11" t="str">
        <f t="shared" si="142"/>
        <v/>
      </c>
      <c r="BK676" t="s">
        <v>321</v>
      </c>
      <c r="BL676" t="str">
        <f t="shared" si="138"/>
        <v>S31_2026</v>
      </c>
      <c r="BM676" t="s">
        <v>159</v>
      </c>
      <c r="BN676" s="11">
        <v>46242</v>
      </c>
      <c r="BO676" s="22" t="str">
        <f t="shared" si="134"/>
        <v>S32_2026</v>
      </c>
      <c r="BP676" t="s">
        <v>114</v>
      </c>
      <c r="BQ676" t="s">
        <v>971</v>
      </c>
      <c r="BR676" s="11"/>
      <c r="BS676" s="23" t="s">
        <v>132</v>
      </c>
      <c r="CI676" t="s">
        <v>119</v>
      </c>
      <c r="CJ676" s="11"/>
      <c r="CK676" s="11"/>
      <c r="CL676" s="11"/>
      <c r="CM676" s="11"/>
      <c r="CN676" s="11"/>
      <c r="CO676" s="11"/>
      <c r="CP676" s="11">
        <v>46239</v>
      </c>
      <c r="CQ676" t="s">
        <v>132</v>
      </c>
      <c r="CR676" s="11"/>
      <c r="CS676" s="11"/>
      <c r="CT676" s="11"/>
      <c r="CU676" s="11"/>
      <c r="CV676" s="11"/>
      <c r="CW676" s="11"/>
      <c r="CX676" s="11">
        <v>46230</v>
      </c>
      <c r="CY676" t="str">
        <f t="shared" si="140"/>
        <v>S31_2026</v>
      </c>
      <c r="CZ676" s="11"/>
      <c r="DA676" s="11"/>
      <c r="DB676" s="11"/>
      <c r="DC676" s="11" t="s">
        <v>120</v>
      </c>
    </row>
    <row r="677" spans="1:107" x14ac:dyDescent="0.35">
      <c r="A677" s="22" t="s">
        <v>2489</v>
      </c>
      <c r="B677" s="23" t="str">
        <f t="shared" si="143"/>
        <v>S33_2026</v>
      </c>
      <c r="C677" s="10" t="str">
        <f t="shared" si="141"/>
        <v>S32_2026</v>
      </c>
      <c r="D677" s="11">
        <v>46244</v>
      </c>
      <c r="E677" s="11" t="s">
        <v>106</v>
      </c>
      <c r="F677" s="71">
        <v>12</v>
      </c>
      <c r="G677" s="11" t="s">
        <v>107</v>
      </c>
      <c r="H677" t="s">
        <v>835</v>
      </c>
      <c r="I677" s="11"/>
      <c r="J677" s="11" t="s">
        <v>114</v>
      </c>
      <c r="K677" s="11">
        <v>46240</v>
      </c>
      <c r="L677" s="11" t="s">
        <v>321</v>
      </c>
      <c r="M677" s="11" t="s">
        <v>2485</v>
      </c>
      <c r="N677" s="11" t="s">
        <v>2240</v>
      </c>
      <c r="O677" s="11" t="s">
        <v>2490</v>
      </c>
      <c r="P677" s="11" t="s">
        <v>2491</v>
      </c>
      <c r="Q677" s="11" t="s">
        <v>2485</v>
      </c>
      <c r="R677" s="11">
        <v>46237</v>
      </c>
      <c r="S677" s="11">
        <v>46237</v>
      </c>
      <c r="T677" s="11">
        <v>46237</v>
      </c>
      <c r="U677" s="11"/>
      <c r="V677" s="11" t="s">
        <v>114</v>
      </c>
      <c r="W677" s="11" t="s">
        <v>114</v>
      </c>
      <c r="X677" s="11" t="s">
        <v>114</v>
      </c>
      <c r="Y677" s="11" t="s">
        <v>114</v>
      </c>
      <c r="Z677" s="11" t="s">
        <v>114</v>
      </c>
      <c r="AA677" s="11" t="s">
        <v>114</v>
      </c>
      <c r="AB677" s="11" t="s">
        <v>114</v>
      </c>
      <c r="AC677" s="11"/>
      <c r="AD677" s="11"/>
      <c r="AE677" s="11" t="s">
        <v>114</v>
      </c>
      <c r="AF677" s="11" t="s">
        <v>132</v>
      </c>
      <c r="AG677" s="11" t="s">
        <v>114</v>
      </c>
      <c r="AH677" s="11" t="s">
        <v>132</v>
      </c>
      <c r="AI677" s="11" t="s">
        <v>132</v>
      </c>
      <c r="AJ677" s="11" t="s">
        <v>132</v>
      </c>
      <c r="AK677" s="11"/>
      <c r="AL677" s="11"/>
      <c r="AM677" s="11"/>
      <c r="AN677" s="11"/>
      <c r="AO677" s="11"/>
      <c r="AP677" s="11" t="s">
        <v>132</v>
      </c>
      <c r="AQ677" s="11" t="s">
        <v>132</v>
      </c>
      <c r="AR677" s="11"/>
      <c r="AS677" s="11">
        <v>46241</v>
      </c>
      <c r="AT677" s="11"/>
      <c r="AU677" s="11" t="s">
        <v>114</v>
      </c>
      <c r="AV677" t="s">
        <v>134</v>
      </c>
      <c r="AW677" s="11" t="s">
        <v>2237</v>
      </c>
      <c r="AX677" s="11"/>
      <c r="AY677" t="s">
        <v>135</v>
      </c>
      <c r="AZ677" s="11"/>
      <c r="BA677" s="11"/>
      <c r="BB677" s="11" t="s">
        <v>114</v>
      </c>
      <c r="BC677" s="11">
        <v>46240</v>
      </c>
      <c r="BD677" s="11" t="s">
        <v>2479</v>
      </c>
      <c r="BE677">
        <v>699903637</v>
      </c>
      <c r="BF677" t="s">
        <v>2243</v>
      </c>
      <c r="BG677" t="s">
        <v>449</v>
      </c>
      <c r="BH677" s="11"/>
      <c r="BI677" s="11">
        <v>46242</v>
      </c>
      <c r="BJ677" s="11" t="str">
        <f t="shared" si="142"/>
        <v>S32_2026</v>
      </c>
      <c r="BK677" s="11" t="s">
        <v>321</v>
      </c>
      <c r="BL677" t="str">
        <f t="shared" si="138"/>
        <v>S32_2026</v>
      </c>
      <c r="BM677" t="s">
        <v>159</v>
      </c>
      <c r="BN677" s="11">
        <v>46242</v>
      </c>
      <c r="BO677" s="22" t="str">
        <f t="shared" si="134"/>
        <v>S32_2026</v>
      </c>
      <c r="BP677" t="s">
        <v>114</v>
      </c>
      <c r="BQ677" t="s">
        <v>971</v>
      </c>
      <c r="BR677" s="11" t="s">
        <v>451</v>
      </c>
      <c r="BS677" s="23" t="s">
        <v>132</v>
      </c>
      <c r="CI677" t="s">
        <v>119</v>
      </c>
      <c r="CJ677" s="11"/>
      <c r="CK677" s="11" t="s">
        <v>138</v>
      </c>
      <c r="CL677" s="11"/>
      <c r="CM677" s="11"/>
      <c r="CN677" s="11"/>
      <c r="CO677" s="11"/>
      <c r="CP677" s="11">
        <v>46241</v>
      </c>
      <c r="CQ677" t="s">
        <v>132</v>
      </c>
      <c r="CR677" s="11"/>
      <c r="CS677" s="11"/>
      <c r="CT677" s="11"/>
      <c r="CU677" s="11"/>
      <c r="CV677" s="11"/>
      <c r="CW677" s="11" t="s">
        <v>132</v>
      </c>
      <c r="CX677" s="11">
        <v>46237</v>
      </c>
      <c r="CY677" t="str">
        <f t="shared" si="140"/>
        <v>S32_2026</v>
      </c>
      <c r="CZ677" s="11" t="s">
        <v>132</v>
      </c>
      <c r="DA677" s="11"/>
      <c r="DB677" s="11" t="s">
        <v>132</v>
      </c>
      <c r="DC677" s="11" t="s">
        <v>139</v>
      </c>
    </row>
    <row r="678" spans="1:107" x14ac:dyDescent="0.35">
      <c r="A678" s="22" t="s">
        <v>2492</v>
      </c>
      <c r="B678" s="23" t="str">
        <f t="shared" si="143"/>
        <v>S33_2026</v>
      </c>
      <c r="C678" s="10" t="str">
        <f t="shared" si="141"/>
        <v>S32_2026</v>
      </c>
      <c r="D678" s="11">
        <v>46244</v>
      </c>
      <c r="E678" s="11" t="s">
        <v>106</v>
      </c>
      <c r="F678" s="71">
        <v>17</v>
      </c>
      <c r="G678" s="11" t="s">
        <v>107</v>
      </c>
      <c r="H678" t="s">
        <v>835</v>
      </c>
      <c r="I678" s="11"/>
      <c r="J678" s="11" t="s">
        <v>114</v>
      </c>
      <c r="K678" s="11">
        <v>46240</v>
      </c>
      <c r="L678" s="11" t="s">
        <v>321</v>
      </c>
      <c r="M678" s="11" t="s">
        <v>2485</v>
      </c>
      <c r="N678" s="11" t="s">
        <v>2240</v>
      </c>
      <c r="O678" s="11" t="s">
        <v>2490</v>
      </c>
      <c r="P678" s="11" t="s">
        <v>2493</v>
      </c>
      <c r="Q678" s="11" t="s">
        <v>2485</v>
      </c>
      <c r="R678" s="11">
        <v>46239</v>
      </c>
      <c r="S678" s="11">
        <v>46239</v>
      </c>
      <c r="T678" s="11">
        <v>46239</v>
      </c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 t="s">
        <v>114</v>
      </c>
      <c r="AF678" s="11" t="s">
        <v>132</v>
      </c>
      <c r="AG678" s="11" t="s">
        <v>132</v>
      </c>
      <c r="AH678" s="11" t="s">
        <v>132</v>
      </c>
      <c r="AI678" s="11" t="s">
        <v>132</v>
      </c>
      <c r="AJ678" s="11" t="s">
        <v>132</v>
      </c>
      <c r="AK678" s="11"/>
      <c r="AL678" s="11"/>
      <c r="AM678" s="11"/>
      <c r="AN678" s="11"/>
      <c r="AO678" s="11"/>
      <c r="AP678" s="11" t="s">
        <v>132</v>
      </c>
      <c r="AQ678" s="11" t="s">
        <v>132</v>
      </c>
      <c r="AR678" s="11"/>
      <c r="AS678" s="11">
        <v>46241</v>
      </c>
      <c r="AT678" s="11"/>
      <c r="AU678" s="11" t="s">
        <v>114</v>
      </c>
      <c r="AV678" t="s">
        <v>134</v>
      </c>
      <c r="AW678" s="11" t="s">
        <v>2237</v>
      </c>
      <c r="AX678" s="11"/>
      <c r="AY678" t="s">
        <v>135</v>
      </c>
      <c r="AZ678" s="11"/>
      <c r="BA678" s="11"/>
      <c r="BB678" s="11" t="s">
        <v>114</v>
      </c>
      <c r="BC678" s="11">
        <v>46240</v>
      </c>
      <c r="BD678" s="11" t="s">
        <v>661</v>
      </c>
      <c r="BE678">
        <v>699689692</v>
      </c>
      <c r="BF678" t="s">
        <v>2243</v>
      </c>
      <c r="BG678" t="s">
        <v>449</v>
      </c>
      <c r="BH678" s="11"/>
      <c r="BI678" s="11">
        <v>46242</v>
      </c>
      <c r="BJ678" s="11" t="str">
        <f t="shared" si="142"/>
        <v>S32_2026</v>
      </c>
      <c r="BK678" s="11" t="s">
        <v>321</v>
      </c>
      <c r="BL678" t="str">
        <f t="shared" si="138"/>
        <v>S32_2026</v>
      </c>
      <c r="BM678" t="s">
        <v>159</v>
      </c>
      <c r="BN678" s="11">
        <v>46242</v>
      </c>
      <c r="BO678" s="22" t="str">
        <f t="shared" si="134"/>
        <v>S32_2026</v>
      </c>
      <c r="BP678" t="s">
        <v>114</v>
      </c>
      <c r="BQ678" t="s">
        <v>971</v>
      </c>
      <c r="BR678" s="11" t="s">
        <v>451</v>
      </c>
      <c r="BS678" s="23" t="s">
        <v>132</v>
      </c>
      <c r="CI678" t="s">
        <v>119</v>
      </c>
      <c r="CJ678" s="11"/>
      <c r="CK678" s="11" t="s">
        <v>138</v>
      </c>
      <c r="CL678" s="11"/>
      <c r="CM678" s="11"/>
      <c r="CN678" s="11"/>
      <c r="CO678" s="11"/>
      <c r="CP678" s="11">
        <v>46241</v>
      </c>
      <c r="CQ678" t="s">
        <v>132</v>
      </c>
      <c r="CR678" s="11"/>
      <c r="CS678" s="11"/>
      <c r="CT678" s="11"/>
      <c r="CU678" s="11"/>
      <c r="CV678" s="11"/>
      <c r="CW678" s="11" t="s">
        <v>132</v>
      </c>
      <c r="CX678" s="11">
        <v>46239</v>
      </c>
      <c r="CY678" t="str">
        <f t="shared" si="140"/>
        <v>S32_2026</v>
      </c>
      <c r="CZ678" s="11" t="s">
        <v>132</v>
      </c>
      <c r="DA678" s="11"/>
      <c r="DB678" s="11" t="s">
        <v>132</v>
      </c>
      <c r="DC678" s="11" t="s">
        <v>139</v>
      </c>
    </row>
    <row r="679" spans="1:107" x14ac:dyDescent="0.35">
      <c r="A679" s="36" t="s">
        <v>2494</v>
      </c>
      <c r="B679" s="23" t="str">
        <f t="shared" si="143"/>
        <v>S33_2026</v>
      </c>
      <c r="C679" s="10" t="str">
        <f t="shared" si="141"/>
        <v>S31_2026</v>
      </c>
      <c r="D679" s="11">
        <v>46246</v>
      </c>
      <c r="E679" s="11" t="s">
        <v>123</v>
      </c>
      <c r="F679" s="71">
        <v>13</v>
      </c>
      <c r="G679" t="s">
        <v>107</v>
      </c>
      <c r="H679" t="s">
        <v>108</v>
      </c>
      <c r="J679" t="s">
        <v>114</v>
      </c>
      <c r="K679" s="11">
        <v>46244</v>
      </c>
      <c r="L679" s="11" t="s">
        <v>163</v>
      </c>
      <c r="M679" s="11" t="s">
        <v>776</v>
      </c>
      <c r="N679" s="11" t="s">
        <v>1380</v>
      </c>
      <c r="O679" s="11" t="s">
        <v>1381</v>
      </c>
      <c r="P679" s="11" t="s">
        <v>2495</v>
      </c>
      <c r="Q679" s="11" t="s">
        <v>776</v>
      </c>
      <c r="R679" s="11">
        <v>46236</v>
      </c>
      <c r="S679" s="11">
        <v>46236</v>
      </c>
      <c r="T679" s="11">
        <v>46236</v>
      </c>
      <c r="V679" t="s">
        <v>132</v>
      </c>
      <c r="W679" t="s">
        <v>132</v>
      </c>
      <c r="X679" t="s">
        <v>114</v>
      </c>
      <c r="Y679" t="s">
        <v>132</v>
      </c>
      <c r="Z679" t="s">
        <v>132</v>
      </c>
      <c r="AA679" t="s">
        <v>132</v>
      </c>
      <c r="AB679" t="s">
        <v>132</v>
      </c>
      <c r="AC679" t="s">
        <v>1147</v>
      </c>
      <c r="AE679" t="s">
        <v>114</v>
      </c>
      <c r="AF679" t="s">
        <v>132</v>
      </c>
      <c r="AG679" t="s">
        <v>132</v>
      </c>
      <c r="AH679" t="s">
        <v>132</v>
      </c>
      <c r="AI679" t="s">
        <v>132</v>
      </c>
      <c r="AJ679" t="s">
        <v>132</v>
      </c>
      <c r="AK679" t="s">
        <v>132</v>
      </c>
      <c r="AM679" t="s">
        <v>132</v>
      </c>
      <c r="AN679" t="s">
        <v>114</v>
      </c>
      <c r="AP679" t="s">
        <v>132</v>
      </c>
      <c r="AQ679" t="s">
        <v>142</v>
      </c>
      <c r="AR679" t="s">
        <v>2496</v>
      </c>
      <c r="AS679" s="11">
        <v>46247</v>
      </c>
      <c r="AU679" s="11" t="s">
        <v>114</v>
      </c>
      <c r="AV679" s="11" t="s">
        <v>2488</v>
      </c>
      <c r="BB679" s="11" t="s">
        <v>114</v>
      </c>
      <c r="BC679" s="11">
        <v>46245</v>
      </c>
      <c r="BD679" s="11" t="s">
        <v>116</v>
      </c>
      <c r="BE679">
        <v>677997719</v>
      </c>
      <c r="BF679" s="11" t="s">
        <v>1380</v>
      </c>
      <c r="BG679" s="11" t="s">
        <v>449</v>
      </c>
      <c r="BJ679" s="11" t="str">
        <f t="shared" si="142"/>
        <v/>
      </c>
      <c r="BK679" t="s">
        <v>170</v>
      </c>
      <c r="BL679" t="str">
        <f t="shared" si="138"/>
        <v>S33_2026</v>
      </c>
      <c r="BM679" t="s">
        <v>159</v>
      </c>
      <c r="BN679" s="11">
        <v>46251</v>
      </c>
      <c r="BO679" s="22" t="str">
        <f t="shared" si="134"/>
        <v>S34_2026</v>
      </c>
      <c r="BP679" t="s">
        <v>114</v>
      </c>
      <c r="BQ679" t="s">
        <v>450</v>
      </c>
      <c r="BR679" t="s">
        <v>451</v>
      </c>
      <c r="BS679" s="23" t="s">
        <v>132</v>
      </c>
      <c r="CI679" t="s">
        <v>119</v>
      </c>
      <c r="CP679" s="11">
        <v>46244</v>
      </c>
      <c r="CQ679" t="s">
        <v>132</v>
      </c>
      <c r="CW679" s="11" t="s">
        <v>132</v>
      </c>
      <c r="CX679" s="11">
        <v>46236</v>
      </c>
      <c r="CY679" t="str">
        <f t="shared" si="140"/>
        <v>S31_2026</v>
      </c>
      <c r="CZ679" s="11" t="s">
        <v>132</v>
      </c>
      <c r="DB679" s="11" t="s">
        <v>132</v>
      </c>
      <c r="DC679" s="11" t="s">
        <v>120</v>
      </c>
    </row>
    <row r="680" spans="1:107" x14ac:dyDescent="0.35">
      <c r="A680" t="s">
        <v>2497</v>
      </c>
      <c r="B680" s="23" t="str">
        <f t="shared" si="143"/>
        <v>S33_2026</v>
      </c>
      <c r="C680" s="10" t="str">
        <f t="shared" si="141"/>
        <v>S32_2026</v>
      </c>
      <c r="D680" s="11">
        <v>46247</v>
      </c>
      <c r="E680" s="11" t="s">
        <v>106</v>
      </c>
      <c r="F680" s="71">
        <v>0.9</v>
      </c>
      <c r="G680" t="s">
        <v>141</v>
      </c>
      <c r="H680" t="s">
        <v>108</v>
      </c>
      <c r="J680" t="s">
        <v>114</v>
      </c>
      <c r="K680" s="11">
        <v>46242</v>
      </c>
      <c r="L680" s="11" t="s">
        <v>793</v>
      </c>
      <c r="M680" s="11" t="s">
        <v>1642</v>
      </c>
      <c r="N680" s="11" t="s">
        <v>2431</v>
      </c>
      <c r="O680" s="11" t="s">
        <v>2498</v>
      </c>
      <c r="P680" s="11" t="s">
        <v>2499</v>
      </c>
      <c r="Q680" s="11" t="s">
        <v>1642</v>
      </c>
      <c r="R680" s="11">
        <v>46239</v>
      </c>
      <c r="S680" s="11">
        <v>46239</v>
      </c>
      <c r="T680" s="11">
        <v>46239</v>
      </c>
      <c r="V680" t="s">
        <v>114</v>
      </c>
      <c r="W680" t="s">
        <v>114</v>
      </c>
      <c r="X680" t="s">
        <v>114</v>
      </c>
      <c r="Y680" t="s">
        <v>114</v>
      </c>
      <c r="Z680" t="s">
        <v>114</v>
      </c>
      <c r="AA680" t="s">
        <v>114</v>
      </c>
      <c r="AB680" t="s">
        <v>114</v>
      </c>
      <c r="AE680" t="s">
        <v>114</v>
      </c>
      <c r="AF680" t="s">
        <v>114</v>
      </c>
      <c r="AG680" t="s">
        <v>132</v>
      </c>
      <c r="AH680" t="s">
        <v>132</v>
      </c>
      <c r="AI680" t="s">
        <v>132</v>
      </c>
      <c r="AJ680" t="s">
        <v>132</v>
      </c>
      <c r="AK680" t="s">
        <v>132</v>
      </c>
      <c r="AM680" t="s">
        <v>114</v>
      </c>
      <c r="AN680" t="s">
        <v>114</v>
      </c>
      <c r="AP680" t="s">
        <v>132</v>
      </c>
      <c r="AQ680" t="s">
        <v>132</v>
      </c>
      <c r="BB680" s="11" t="s">
        <v>114</v>
      </c>
      <c r="BC680" s="11">
        <v>46245</v>
      </c>
      <c r="BD680" s="11" t="s">
        <v>455</v>
      </c>
      <c r="BE680">
        <v>671413338</v>
      </c>
      <c r="BF680" s="11" t="s">
        <v>2431</v>
      </c>
      <c r="BJ680" s="11" t="str">
        <f t="shared" si="142"/>
        <v/>
      </c>
      <c r="BK680" t="s">
        <v>793</v>
      </c>
      <c r="BL680" t="str">
        <f t="shared" si="138"/>
        <v>S33_2026</v>
      </c>
      <c r="BM680" t="s">
        <v>159</v>
      </c>
      <c r="BO680" s="22" t="str">
        <f t="shared" si="134"/>
        <v/>
      </c>
      <c r="BR680" t="s">
        <v>451</v>
      </c>
      <c r="BS680" s="23" t="s">
        <v>132</v>
      </c>
      <c r="CI680" t="s">
        <v>119</v>
      </c>
      <c r="CP680" s="11">
        <v>46245</v>
      </c>
      <c r="CX680" s="11">
        <v>46239</v>
      </c>
      <c r="CY680" t="str">
        <f t="shared" si="140"/>
        <v>S32_2026</v>
      </c>
      <c r="CZ680" t="s">
        <v>114</v>
      </c>
      <c r="DA680" t="s">
        <v>2500</v>
      </c>
      <c r="DC680" s="11" t="s">
        <v>1293</v>
      </c>
    </row>
    <row r="681" spans="1:107" x14ac:dyDescent="0.35">
      <c r="A681" s="22" t="s">
        <v>2501</v>
      </c>
      <c r="B681" s="23" t="str">
        <f t="shared" ref="B681:B699" si="144">IFERROR("S"&amp;(IF(_xlfn.ISOWEEKNUM(D681)&gt;0,_xlfn.ISOWEEKNUM(D681),_xlfn.CONCAT("0",_xlfn.ISOWEEKNUM(D681))))&amp;"_"&amp;(YEAR(D681+26-(_xlfn.ISOWEEKNUM(D681)))),"")</f>
        <v>S33_2026</v>
      </c>
      <c r="C681" s="10" t="str">
        <f t="shared" si="141"/>
        <v>S32_2026</v>
      </c>
      <c r="D681" s="11">
        <v>46248</v>
      </c>
      <c r="E681" t="s">
        <v>106</v>
      </c>
      <c r="F681" s="24">
        <v>6</v>
      </c>
      <c r="G681" t="s">
        <v>107</v>
      </c>
      <c r="H681" t="s">
        <v>835</v>
      </c>
      <c r="J681" t="s">
        <v>132</v>
      </c>
      <c r="L681" t="s">
        <v>126</v>
      </c>
      <c r="M681" t="s">
        <v>1519</v>
      </c>
      <c r="N681" t="s">
        <v>2502</v>
      </c>
      <c r="O681" t="s">
        <v>128</v>
      </c>
      <c r="P681" t="s">
        <v>2503</v>
      </c>
      <c r="Q681" t="s">
        <v>215</v>
      </c>
      <c r="R681" s="11">
        <v>46237</v>
      </c>
      <c r="S681" s="11">
        <v>46235</v>
      </c>
      <c r="T681" s="11">
        <v>46237</v>
      </c>
      <c r="V681" t="s">
        <v>114</v>
      </c>
      <c r="W681" t="s">
        <v>114</v>
      </c>
      <c r="X681" t="s">
        <v>132</v>
      </c>
      <c r="Y681" t="s">
        <v>132</v>
      </c>
      <c r="Z681" t="s">
        <v>114</v>
      </c>
      <c r="AA681" t="s">
        <v>114</v>
      </c>
      <c r="AB681" t="s">
        <v>114</v>
      </c>
      <c r="AC681" t="s">
        <v>132</v>
      </c>
      <c r="AE681" t="s">
        <v>114</v>
      </c>
      <c r="AF681" t="s">
        <v>132</v>
      </c>
      <c r="AG681" t="s">
        <v>132</v>
      </c>
      <c r="AH681" t="s">
        <v>132</v>
      </c>
      <c r="AI681" t="s">
        <v>132</v>
      </c>
      <c r="AJ681" t="s">
        <v>132</v>
      </c>
      <c r="AK681" t="s">
        <v>132</v>
      </c>
      <c r="AM681" t="s">
        <v>114</v>
      </c>
      <c r="AN681" t="s">
        <v>114</v>
      </c>
      <c r="AP681" t="s">
        <v>132</v>
      </c>
      <c r="AQ681" t="s">
        <v>132</v>
      </c>
      <c r="AS681" s="11">
        <v>46248</v>
      </c>
      <c r="AU681" s="11" t="s">
        <v>114</v>
      </c>
      <c r="AV681" t="s">
        <v>115</v>
      </c>
      <c r="BB681" t="s">
        <v>114</v>
      </c>
      <c r="BC681" s="11">
        <v>46247</v>
      </c>
      <c r="BD681" t="s">
        <v>2504</v>
      </c>
      <c r="BF681" t="s">
        <v>2502</v>
      </c>
      <c r="BG681" t="s">
        <v>449</v>
      </c>
      <c r="BJ681" s="11" t="str">
        <f t="shared" si="142"/>
        <v/>
      </c>
      <c r="BK681" t="s">
        <v>137</v>
      </c>
      <c r="BL681" t="str">
        <f t="shared" si="138"/>
        <v>S33_2026</v>
      </c>
      <c r="BM681" t="s">
        <v>159</v>
      </c>
      <c r="BN681" s="11">
        <v>46249</v>
      </c>
      <c r="BO681" s="22" t="str">
        <f t="shared" si="134"/>
        <v>S33_2026</v>
      </c>
      <c r="BP681" t="s">
        <v>114</v>
      </c>
      <c r="BQ681" t="s">
        <v>971</v>
      </c>
      <c r="BR681" t="s">
        <v>451</v>
      </c>
      <c r="BS681" s="23" t="s">
        <v>132</v>
      </c>
      <c r="CI681" t="s">
        <v>119</v>
      </c>
      <c r="CP681" s="11">
        <v>46247</v>
      </c>
      <c r="CQ681" t="s">
        <v>132</v>
      </c>
      <c r="CX681" s="11">
        <v>46237</v>
      </c>
      <c r="CY681" t="str">
        <f t="shared" si="140"/>
        <v>S32_2026</v>
      </c>
      <c r="CZ681" t="s">
        <v>132</v>
      </c>
      <c r="DA681" t="s">
        <v>2505</v>
      </c>
      <c r="DB681" t="s">
        <v>132</v>
      </c>
      <c r="DC681" s="11" t="s">
        <v>986</v>
      </c>
    </row>
    <row r="682" spans="1:107" x14ac:dyDescent="0.35">
      <c r="A682" s="22" t="s">
        <v>2506</v>
      </c>
      <c r="B682" s="23" t="str">
        <f t="shared" si="144"/>
        <v>S33_2026</v>
      </c>
      <c r="C682" s="10" t="str">
        <f t="shared" si="141"/>
        <v>S32_2026</v>
      </c>
      <c r="D682" s="11">
        <v>46248</v>
      </c>
      <c r="E682" t="s">
        <v>123</v>
      </c>
      <c r="F682" s="24">
        <v>5</v>
      </c>
      <c r="G682" t="s">
        <v>107</v>
      </c>
      <c r="H682" t="s">
        <v>835</v>
      </c>
      <c r="J682" t="s">
        <v>132</v>
      </c>
      <c r="L682" t="s">
        <v>126</v>
      </c>
      <c r="M682" t="s">
        <v>1519</v>
      </c>
      <c r="N682" t="s">
        <v>2502</v>
      </c>
      <c r="O682" t="s">
        <v>128</v>
      </c>
      <c r="P682" t="s">
        <v>2507</v>
      </c>
      <c r="Q682" t="s">
        <v>215</v>
      </c>
      <c r="R682" s="11">
        <v>46237</v>
      </c>
      <c r="S682" s="11">
        <v>46235</v>
      </c>
      <c r="T682" s="11">
        <v>46237</v>
      </c>
      <c r="V682" t="s">
        <v>114</v>
      </c>
      <c r="W682" t="s">
        <v>114</v>
      </c>
      <c r="X682" t="s">
        <v>114</v>
      </c>
      <c r="Y682" t="s">
        <v>114</v>
      </c>
      <c r="Z682" t="s">
        <v>114</v>
      </c>
      <c r="AA682" t="s">
        <v>114</v>
      </c>
      <c r="AB682" t="s">
        <v>114</v>
      </c>
      <c r="AC682" t="s">
        <v>114</v>
      </c>
      <c r="AE682" t="s">
        <v>114</v>
      </c>
      <c r="AF682" t="s">
        <v>114</v>
      </c>
      <c r="AG682" t="s">
        <v>132</v>
      </c>
      <c r="AH682" t="s">
        <v>132</v>
      </c>
      <c r="AI682" t="s">
        <v>132</v>
      </c>
      <c r="AJ682" t="s">
        <v>132</v>
      </c>
      <c r="AK682" t="s">
        <v>132</v>
      </c>
      <c r="AM682" t="s">
        <v>114</v>
      </c>
      <c r="AN682" t="s">
        <v>114</v>
      </c>
      <c r="AP682" t="s">
        <v>132</v>
      </c>
      <c r="AQ682" t="s">
        <v>132</v>
      </c>
      <c r="AS682" s="11">
        <v>46248</v>
      </c>
      <c r="AU682" s="11" t="s">
        <v>114</v>
      </c>
      <c r="AV682" t="s">
        <v>134</v>
      </c>
      <c r="AW682" t="s">
        <v>2237</v>
      </c>
      <c r="AY682" t="s">
        <v>135</v>
      </c>
      <c r="BB682" t="s">
        <v>114</v>
      </c>
      <c r="BC682" s="11">
        <v>46247</v>
      </c>
      <c r="BD682" t="s">
        <v>2508</v>
      </c>
      <c r="BF682" t="s">
        <v>2502</v>
      </c>
      <c r="BG682" t="s">
        <v>449</v>
      </c>
      <c r="BI682" s="11">
        <v>46249</v>
      </c>
      <c r="BJ682" s="11" t="str">
        <f t="shared" si="142"/>
        <v>S33_2026</v>
      </c>
      <c r="BK682" t="s">
        <v>137</v>
      </c>
      <c r="BL682" t="str">
        <f t="shared" si="138"/>
        <v>S33_2026</v>
      </c>
      <c r="BM682" t="s">
        <v>159</v>
      </c>
      <c r="BN682" s="11">
        <v>46249</v>
      </c>
      <c r="BO682" s="22" t="str">
        <f t="shared" si="134"/>
        <v>S33_2026</v>
      </c>
      <c r="BP682" t="s">
        <v>114</v>
      </c>
      <c r="BQ682" t="s">
        <v>971</v>
      </c>
      <c r="BR682" t="s">
        <v>451</v>
      </c>
      <c r="BS682" s="23" t="s">
        <v>132</v>
      </c>
      <c r="CI682" t="s">
        <v>119</v>
      </c>
      <c r="CK682" t="s">
        <v>138</v>
      </c>
      <c r="CP682" s="11">
        <v>46247</v>
      </c>
      <c r="CQ682" t="s">
        <v>132</v>
      </c>
      <c r="CW682" s="11" t="s">
        <v>132</v>
      </c>
      <c r="CX682" s="11">
        <v>46237</v>
      </c>
      <c r="CY682" t="str">
        <f t="shared" si="140"/>
        <v>S32_2026</v>
      </c>
      <c r="CZ682" t="s">
        <v>114</v>
      </c>
      <c r="DB682" t="s">
        <v>132</v>
      </c>
      <c r="DC682" s="11" t="s">
        <v>139</v>
      </c>
    </row>
    <row r="683" spans="1:107" x14ac:dyDescent="0.35">
      <c r="A683" s="36" t="s">
        <v>2509</v>
      </c>
      <c r="B683" s="23" t="str">
        <f t="shared" si="144"/>
        <v>S33_2026</v>
      </c>
      <c r="C683" s="10" t="str">
        <f t="shared" si="141"/>
        <v>S32_2026</v>
      </c>
      <c r="D683" s="11">
        <v>46248</v>
      </c>
      <c r="E683" s="11" t="s">
        <v>106</v>
      </c>
      <c r="F683" s="24">
        <v>38</v>
      </c>
      <c r="G683" t="s">
        <v>2510</v>
      </c>
      <c r="H683" t="s">
        <v>108</v>
      </c>
      <c r="J683" t="s">
        <v>114</v>
      </c>
      <c r="K683" s="11">
        <v>46242</v>
      </c>
      <c r="L683" s="11" t="s">
        <v>111</v>
      </c>
      <c r="M683" s="11" t="s">
        <v>312</v>
      </c>
      <c r="N683" s="11" t="s">
        <v>1154</v>
      </c>
      <c r="O683" s="11" t="s">
        <v>2511</v>
      </c>
      <c r="P683" s="11" t="s">
        <v>631</v>
      </c>
      <c r="Q683" s="11" t="s">
        <v>312</v>
      </c>
      <c r="R683" s="11">
        <v>46237</v>
      </c>
      <c r="S683" s="11">
        <v>46237</v>
      </c>
      <c r="T683" s="11">
        <v>46237</v>
      </c>
      <c r="V683" t="s">
        <v>132</v>
      </c>
      <c r="W683" t="s">
        <v>132</v>
      </c>
      <c r="X683" t="s">
        <v>132</v>
      </c>
      <c r="Y683" t="s">
        <v>132</v>
      </c>
      <c r="Z683" t="s">
        <v>132</v>
      </c>
      <c r="AA683" t="s">
        <v>132</v>
      </c>
      <c r="AB683" t="s">
        <v>132</v>
      </c>
      <c r="AC683" t="s">
        <v>1147</v>
      </c>
      <c r="AE683" t="s">
        <v>114</v>
      </c>
      <c r="AF683" t="s">
        <v>132</v>
      </c>
      <c r="AG683" t="s">
        <v>132</v>
      </c>
      <c r="AH683" t="s">
        <v>132</v>
      </c>
      <c r="AI683" t="s">
        <v>132</v>
      </c>
      <c r="AJ683" t="s">
        <v>132</v>
      </c>
      <c r="AK683" t="s">
        <v>114</v>
      </c>
      <c r="AM683" t="s">
        <v>132</v>
      </c>
      <c r="AN683" t="s">
        <v>114</v>
      </c>
      <c r="AP683" t="s">
        <v>132</v>
      </c>
      <c r="AQ683" t="s">
        <v>142</v>
      </c>
      <c r="AR683" t="s">
        <v>2512</v>
      </c>
      <c r="AS683" s="11">
        <v>46245</v>
      </c>
      <c r="AU683" s="11" t="s">
        <v>114</v>
      </c>
      <c r="AV683" t="s">
        <v>115</v>
      </c>
      <c r="BB683" s="11" t="s">
        <v>114</v>
      </c>
      <c r="BC683" s="11">
        <v>46244</v>
      </c>
      <c r="BD683" t="s">
        <v>512</v>
      </c>
      <c r="BE683">
        <v>697242166</v>
      </c>
      <c r="BF683" s="11" t="s">
        <v>631</v>
      </c>
      <c r="BG683" s="11" t="s">
        <v>449</v>
      </c>
      <c r="BJ683" s="11" t="str">
        <f t="shared" si="142"/>
        <v/>
      </c>
      <c r="BK683" t="s">
        <v>117</v>
      </c>
      <c r="BL683" t="str">
        <f t="shared" si="138"/>
        <v>S33_2026</v>
      </c>
      <c r="BM683" t="s">
        <v>159</v>
      </c>
      <c r="BN683" s="11">
        <v>46251</v>
      </c>
      <c r="BO683" s="22" t="str">
        <f t="shared" si="134"/>
        <v>S34_2026</v>
      </c>
      <c r="BP683" t="s">
        <v>114</v>
      </c>
      <c r="BQ683" t="s">
        <v>450</v>
      </c>
      <c r="BR683" t="s">
        <v>451</v>
      </c>
      <c r="BS683" s="23" t="s">
        <v>132</v>
      </c>
      <c r="CI683" t="s">
        <v>119</v>
      </c>
      <c r="CP683" s="11">
        <v>46244</v>
      </c>
      <c r="CQ683" t="s">
        <v>132</v>
      </c>
      <c r="CW683" t="s">
        <v>132</v>
      </c>
      <c r="CX683" s="11">
        <v>46237</v>
      </c>
      <c r="CY683" t="str">
        <f t="shared" si="140"/>
        <v>S32_2026</v>
      </c>
      <c r="CZ683" t="s">
        <v>132</v>
      </c>
      <c r="DB683" t="s">
        <v>132</v>
      </c>
      <c r="DC683" s="11" t="s">
        <v>120</v>
      </c>
    </row>
    <row r="684" spans="1:107" x14ac:dyDescent="0.35">
      <c r="A684" s="36" t="s">
        <v>2513</v>
      </c>
      <c r="B684" s="23" t="str">
        <f t="shared" si="144"/>
        <v>S33_2026</v>
      </c>
      <c r="C684" s="10" t="str">
        <f t="shared" si="141"/>
        <v>S30_2026</v>
      </c>
      <c r="D684" s="11">
        <v>46248</v>
      </c>
      <c r="E684" s="11" t="s">
        <v>106</v>
      </c>
      <c r="F684" s="24">
        <v>16</v>
      </c>
      <c r="G684" t="s">
        <v>1197</v>
      </c>
      <c r="H684" t="s">
        <v>835</v>
      </c>
      <c r="J684" t="s">
        <v>132</v>
      </c>
      <c r="L684" s="11" t="s">
        <v>163</v>
      </c>
      <c r="M684" s="11" t="s">
        <v>776</v>
      </c>
      <c r="N684" s="11" t="s">
        <v>1380</v>
      </c>
      <c r="O684" s="11" t="s">
        <v>1381</v>
      </c>
      <c r="P684" s="11" t="s">
        <v>2495</v>
      </c>
      <c r="Q684" s="11" t="s">
        <v>776</v>
      </c>
      <c r="R684" s="11">
        <v>46226</v>
      </c>
      <c r="S684" s="11"/>
      <c r="T684" s="11">
        <v>46226</v>
      </c>
      <c r="V684" t="s">
        <v>132</v>
      </c>
      <c r="W684" t="s">
        <v>132</v>
      </c>
      <c r="X684" t="s">
        <v>114</v>
      </c>
      <c r="Y684" t="s">
        <v>114</v>
      </c>
      <c r="Z684" t="s">
        <v>132</v>
      </c>
      <c r="AA684" t="s">
        <v>132</v>
      </c>
      <c r="AB684" t="s">
        <v>132</v>
      </c>
      <c r="AE684" t="s">
        <v>132</v>
      </c>
      <c r="AF684" t="s">
        <v>132</v>
      </c>
      <c r="AG684" t="s">
        <v>132</v>
      </c>
      <c r="AH684" t="s">
        <v>132</v>
      </c>
      <c r="AI684" t="s">
        <v>132</v>
      </c>
      <c r="AJ684" t="s">
        <v>132</v>
      </c>
      <c r="AP684" t="s">
        <v>132</v>
      </c>
      <c r="AQ684" t="s">
        <v>142</v>
      </c>
      <c r="AR684" t="s">
        <v>2514</v>
      </c>
      <c r="AS684" s="11">
        <v>46244</v>
      </c>
      <c r="AU684" s="11" t="s">
        <v>114</v>
      </c>
      <c r="AV684" t="s">
        <v>115</v>
      </c>
      <c r="BB684" s="11" t="s">
        <v>114</v>
      </c>
      <c r="BC684" s="11">
        <v>46240</v>
      </c>
      <c r="BD684" t="s">
        <v>2515</v>
      </c>
      <c r="BE684">
        <v>677787299</v>
      </c>
      <c r="BF684" s="11" t="s">
        <v>1380</v>
      </c>
      <c r="BG684" s="11" t="s">
        <v>449</v>
      </c>
      <c r="BJ684" s="11" t="str">
        <f t="shared" si="142"/>
        <v/>
      </c>
      <c r="BK684" t="s">
        <v>170</v>
      </c>
      <c r="BL684" t="str">
        <f t="shared" si="138"/>
        <v>S32_2026</v>
      </c>
      <c r="BM684" t="s">
        <v>159</v>
      </c>
      <c r="BN684" s="11">
        <v>46251</v>
      </c>
      <c r="BO684" s="22" t="str">
        <f t="shared" si="134"/>
        <v>S34_2026</v>
      </c>
      <c r="BP684" t="s">
        <v>114</v>
      </c>
      <c r="BQ684" t="s">
        <v>450</v>
      </c>
      <c r="BR684" t="s">
        <v>451</v>
      </c>
      <c r="BS684" s="23" t="s">
        <v>132</v>
      </c>
      <c r="CI684" t="s">
        <v>119</v>
      </c>
      <c r="CP684" s="11">
        <v>46240</v>
      </c>
      <c r="CQ684" t="s">
        <v>132</v>
      </c>
      <c r="CW684" t="s">
        <v>132</v>
      </c>
      <c r="CX684" s="11">
        <v>46226</v>
      </c>
      <c r="CY684" t="str">
        <f t="shared" si="140"/>
        <v>S30_2026</v>
      </c>
      <c r="CZ684" t="s">
        <v>132</v>
      </c>
      <c r="DB684" t="s">
        <v>132</v>
      </c>
      <c r="DC684" s="11" t="s">
        <v>120</v>
      </c>
    </row>
    <row r="685" spans="1:107" x14ac:dyDescent="0.35">
      <c r="A685" t="s">
        <v>2516</v>
      </c>
      <c r="B685" s="23" t="str">
        <f t="shared" si="144"/>
        <v>S33_2026</v>
      </c>
      <c r="C685" s="10" t="str">
        <f t="shared" si="141"/>
        <v>S31_2026</v>
      </c>
      <c r="D685" s="11">
        <v>46248</v>
      </c>
      <c r="E685" s="11" t="s">
        <v>123</v>
      </c>
      <c r="F685" s="24">
        <v>4</v>
      </c>
      <c r="G685" t="s">
        <v>107</v>
      </c>
      <c r="H685" t="s">
        <v>835</v>
      </c>
      <c r="J685" t="s">
        <v>114</v>
      </c>
      <c r="K685" s="11">
        <v>46238</v>
      </c>
      <c r="L685" s="11" t="s">
        <v>182</v>
      </c>
      <c r="M685" s="11" t="s">
        <v>2517</v>
      </c>
      <c r="N685" s="11" t="s">
        <v>2518</v>
      </c>
      <c r="O685" s="11" t="s">
        <v>2519</v>
      </c>
      <c r="P685" s="11" t="s">
        <v>2520</v>
      </c>
      <c r="Q685" s="11" t="s">
        <v>2517</v>
      </c>
      <c r="R685" s="11">
        <v>46231</v>
      </c>
      <c r="S685" s="11">
        <v>46231</v>
      </c>
      <c r="T685" s="11">
        <v>46231</v>
      </c>
      <c r="V685" t="s">
        <v>114</v>
      </c>
      <c r="W685" t="s">
        <v>114</v>
      </c>
      <c r="X685" t="s">
        <v>114</v>
      </c>
      <c r="Y685" t="s">
        <v>114</v>
      </c>
      <c r="Z685" t="s">
        <v>114</v>
      </c>
      <c r="AA685" t="s">
        <v>114</v>
      </c>
      <c r="AB685" t="s">
        <v>114</v>
      </c>
      <c r="AE685" t="s">
        <v>114</v>
      </c>
      <c r="AF685" t="s">
        <v>132</v>
      </c>
      <c r="AG685" t="s">
        <v>114</v>
      </c>
      <c r="AH685" t="s">
        <v>132</v>
      </c>
      <c r="AI685" t="s">
        <v>132</v>
      </c>
      <c r="AJ685" t="s">
        <v>132</v>
      </c>
      <c r="AK685" t="s">
        <v>132</v>
      </c>
      <c r="AM685" t="s">
        <v>132</v>
      </c>
      <c r="AN685" t="s">
        <v>114</v>
      </c>
      <c r="AP685" t="s">
        <v>132</v>
      </c>
      <c r="AQ685" t="s">
        <v>132</v>
      </c>
      <c r="BB685" s="11" t="s">
        <v>114</v>
      </c>
      <c r="BC685" s="11">
        <v>46238</v>
      </c>
      <c r="BD685" t="s">
        <v>169</v>
      </c>
      <c r="BE685">
        <v>681949517</v>
      </c>
      <c r="BF685" s="11" t="s">
        <v>2518</v>
      </c>
      <c r="BJ685" s="11" t="str">
        <f t="shared" si="142"/>
        <v/>
      </c>
      <c r="BK685" t="s">
        <v>187</v>
      </c>
      <c r="BL685" t="str">
        <f t="shared" si="138"/>
        <v>S32_2026</v>
      </c>
      <c r="BM685" t="s">
        <v>159</v>
      </c>
      <c r="BO685" s="22" t="str">
        <f t="shared" si="134"/>
        <v/>
      </c>
      <c r="BR685" t="s">
        <v>451</v>
      </c>
      <c r="BS685" s="23" t="s">
        <v>132</v>
      </c>
      <c r="CI685" t="s">
        <v>119</v>
      </c>
      <c r="CP685" s="11">
        <v>46238</v>
      </c>
      <c r="CX685" s="11">
        <v>46231</v>
      </c>
      <c r="CY685" t="str">
        <f t="shared" si="140"/>
        <v>S31_2026</v>
      </c>
      <c r="DC685" s="11" t="s">
        <v>1293</v>
      </c>
    </row>
    <row r="686" spans="1:107" x14ac:dyDescent="0.35">
      <c r="A686" t="s">
        <v>2521</v>
      </c>
      <c r="B686" s="23" t="str">
        <f t="shared" si="144"/>
        <v>S33_2026</v>
      </c>
      <c r="C686" s="10" t="str">
        <f t="shared" si="141"/>
        <v>S32_2026</v>
      </c>
      <c r="D686" s="11">
        <v>46248</v>
      </c>
      <c r="E686" s="11" t="s">
        <v>106</v>
      </c>
      <c r="F686" s="24">
        <v>6</v>
      </c>
      <c r="G686" t="s">
        <v>107</v>
      </c>
      <c r="H686" t="s">
        <v>835</v>
      </c>
      <c r="J686" t="s">
        <v>114</v>
      </c>
      <c r="K686" s="11">
        <v>46244</v>
      </c>
      <c r="L686" s="11" t="s">
        <v>793</v>
      </c>
      <c r="M686" s="11" t="s">
        <v>1663</v>
      </c>
      <c r="N686" s="11" t="s">
        <v>2522</v>
      </c>
      <c r="O686" s="11" t="s">
        <v>2523</v>
      </c>
      <c r="P686" s="11" t="s">
        <v>2524</v>
      </c>
      <c r="Q686" s="11" t="s">
        <v>1663</v>
      </c>
      <c r="R686" s="11">
        <v>46242</v>
      </c>
      <c r="S686" s="11">
        <v>46242</v>
      </c>
      <c r="T686" s="11">
        <v>46242</v>
      </c>
      <c r="V686" t="s">
        <v>114</v>
      </c>
      <c r="W686" t="s">
        <v>114</v>
      </c>
      <c r="X686" t="s">
        <v>114</v>
      </c>
      <c r="Y686" t="s">
        <v>114</v>
      </c>
      <c r="Z686" t="s">
        <v>114</v>
      </c>
      <c r="AA686" t="s">
        <v>114</v>
      </c>
      <c r="AB686" t="s">
        <v>114</v>
      </c>
      <c r="AE686" t="s">
        <v>114</v>
      </c>
      <c r="AF686" t="s">
        <v>132</v>
      </c>
      <c r="AG686" t="s">
        <v>132</v>
      </c>
      <c r="AH686" t="s">
        <v>132</v>
      </c>
      <c r="AI686" t="s">
        <v>132</v>
      </c>
      <c r="AJ686" t="s">
        <v>132</v>
      </c>
      <c r="AK686" t="s">
        <v>132</v>
      </c>
      <c r="AM686" t="s">
        <v>132</v>
      </c>
      <c r="AN686" t="s">
        <v>114</v>
      </c>
      <c r="AP686" t="s">
        <v>132</v>
      </c>
      <c r="AQ686" t="s">
        <v>132</v>
      </c>
      <c r="AR686" t="s">
        <v>2525</v>
      </c>
      <c r="AS686" s="11">
        <v>46246</v>
      </c>
      <c r="AU686" t="s">
        <v>114</v>
      </c>
      <c r="AV686" t="s">
        <v>115</v>
      </c>
      <c r="BB686" s="11" t="s">
        <v>114</v>
      </c>
      <c r="BC686" s="11">
        <v>46244</v>
      </c>
      <c r="BD686" t="s">
        <v>2515</v>
      </c>
      <c r="BE686">
        <v>651962870</v>
      </c>
      <c r="BF686" s="11" t="s">
        <v>2522</v>
      </c>
      <c r="BG686" s="11" t="s">
        <v>449</v>
      </c>
      <c r="BJ686" s="11" t="str">
        <f t="shared" si="142"/>
        <v/>
      </c>
      <c r="BK686" t="s">
        <v>793</v>
      </c>
      <c r="BL686" t="str">
        <f t="shared" si="138"/>
        <v>S33_2026</v>
      </c>
      <c r="BM686" t="s">
        <v>159</v>
      </c>
      <c r="BN686" s="11">
        <v>46251</v>
      </c>
      <c r="BO686" s="22" t="str">
        <f t="shared" si="134"/>
        <v>S34_2026</v>
      </c>
      <c r="BP686" t="s">
        <v>114</v>
      </c>
      <c r="BQ686" t="s">
        <v>450</v>
      </c>
      <c r="BR686" t="s">
        <v>451</v>
      </c>
      <c r="BS686" s="23" t="s">
        <v>132</v>
      </c>
      <c r="CI686" t="s">
        <v>119</v>
      </c>
      <c r="CP686" s="11">
        <v>46244</v>
      </c>
      <c r="CQ686" t="s">
        <v>132</v>
      </c>
      <c r="CW686" t="s">
        <v>132</v>
      </c>
      <c r="CX686" s="11">
        <v>46242</v>
      </c>
      <c r="CY686" t="str">
        <f t="shared" si="140"/>
        <v>S32_2026</v>
      </c>
      <c r="CZ686" t="s">
        <v>132</v>
      </c>
      <c r="DB686" t="s">
        <v>132</v>
      </c>
      <c r="DC686" s="11" t="s">
        <v>120</v>
      </c>
    </row>
    <row r="687" spans="1:107" x14ac:dyDescent="0.35">
      <c r="A687" t="s">
        <v>2526</v>
      </c>
      <c r="B687" s="23" t="str">
        <f t="shared" si="144"/>
        <v>S33_2026</v>
      </c>
      <c r="C687" s="10" t="str">
        <f t="shared" si="141"/>
        <v>S32_2026</v>
      </c>
      <c r="D687" s="11">
        <v>46248</v>
      </c>
      <c r="E687" s="11" t="s">
        <v>123</v>
      </c>
      <c r="F687" s="24">
        <v>20</v>
      </c>
      <c r="G687" t="s">
        <v>1485</v>
      </c>
      <c r="H687" t="s">
        <v>835</v>
      </c>
      <c r="J687" t="s">
        <v>132</v>
      </c>
      <c r="L687" s="11" t="s">
        <v>182</v>
      </c>
      <c r="M687" s="11" t="s">
        <v>1255</v>
      </c>
      <c r="N687" s="11" t="s">
        <v>1256</v>
      </c>
      <c r="O687" s="11" t="s">
        <v>2527</v>
      </c>
      <c r="P687" s="11" t="s">
        <v>2528</v>
      </c>
      <c r="Q687" s="11" t="s">
        <v>1255</v>
      </c>
      <c r="R687" s="11">
        <v>46237</v>
      </c>
      <c r="S687" s="11">
        <v>46237</v>
      </c>
      <c r="T687" s="11">
        <v>46237</v>
      </c>
      <c r="V687" t="s">
        <v>114</v>
      </c>
      <c r="W687" t="s">
        <v>114</v>
      </c>
      <c r="X687" t="s">
        <v>114</v>
      </c>
      <c r="Y687" t="s">
        <v>114</v>
      </c>
      <c r="Z687" t="s">
        <v>114</v>
      </c>
      <c r="AA687" t="s">
        <v>114</v>
      </c>
      <c r="AB687" t="s">
        <v>114</v>
      </c>
      <c r="AE687" t="s">
        <v>114</v>
      </c>
      <c r="AF687" t="s">
        <v>132</v>
      </c>
      <c r="AG687" t="s">
        <v>132</v>
      </c>
      <c r="AH687" t="s">
        <v>132</v>
      </c>
      <c r="AI687" t="s">
        <v>132</v>
      </c>
      <c r="AJ687" t="s">
        <v>132</v>
      </c>
      <c r="AK687" t="s">
        <v>132</v>
      </c>
      <c r="AM687" t="s">
        <v>132</v>
      </c>
      <c r="AN687" t="s">
        <v>114</v>
      </c>
      <c r="AP687" t="s">
        <v>132</v>
      </c>
      <c r="AQ687" t="s">
        <v>132</v>
      </c>
      <c r="BB687" s="11" t="s">
        <v>114</v>
      </c>
      <c r="BC687" s="11">
        <v>46244</v>
      </c>
      <c r="BD687" t="s">
        <v>169</v>
      </c>
      <c r="BE687">
        <v>654579495</v>
      </c>
      <c r="BF687" s="11" t="s">
        <v>1256</v>
      </c>
      <c r="BJ687" s="11" t="str">
        <f t="shared" si="142"/>
        <v/>
      </c>
      <c r="BK687" t="s">
        <v>187</v>
      </c>
      <c r="BL687" t="str">
        <f t="shared" si="138"/>
        <v>S33_2026</v>
      </c>
      <c r="BM687" t="s">
        <v>159</v>
      </c>
      <c r="BO687" s="22" t="str">
        <f t="shared" si="134"/>
        <v/>
      </c>
      <c r="BR687" t="s">
        <v>451</v>
      </c>
      <c r="BS687" s="23" t="s">
        <v>132</v>
      </c>
      <c r="CI687" t="s">
        <v>119</v>
      </c>
      <c r="CP687" s="11">
        <v>46244</v>
      </c>
      <c r="CX687" s="11">
        <v>46237</v>
      </c>
      <c r="CY687" t="str">
        <f t="shared" si="140"/>
        <v>S32_2026</v>
      </c>
      <c r="DC687" s="11" t="s">
        <v>1293</v>
      </c>
    </row>
    <row r="688" spans="1:107" x14ac:dyDescent="0.35">
      <c r="A688" t="s">
        <v>2529</v>
      </c>
      <c r="B688" s="23" t="str">
        <f t="shared" si="144"/>
        <v>S33_2026</v>
      </c>
      <c r="C688" s="10" t="str">
        <f t="shared" si="141"/>
        <v>S31_2026</v>
      </c>
      <c r="D688" s="11">
        <v>46248</v>
      </c>
      <c r="E688" s="11" t="s">
        <v>123</v>
      </c>
      <c r="F688" s="24">
        <v>40</v>
      </c>
      <c r="G688" t="s">
        <v>429</v>
      </c>
      <c r="H688" t="s">
        <v>835</v>
      </c>
      <c r="J688" t="s">
        <v>114</v>
      </c>
      <c r="K688" s="11">
        <v>46237</v>
      </c>
      <c r="L688" s="11" t="s">
        <v>182</v>
      </c>
      <c r="M688" s="11" t="s">
        <v>263</v>
      </c>
      <c r="N688" s="11" t="s">
        <v>2201</v>
      </c>
      <c r="O688" s="11" t="s">
        <v>2530</v>
      </c>
      <c r="P688" s="11" t="s">
        <v>2531</v>
      </c>
      <c r="Q688" s="11" t="s">
        <v>263</v>
      </c>
      <c r="R688" s="11">
        <v>46234</v>
      </c>
      <c r="S688" s="11">
        <v>46234</v>
      </c>
      <c r="T688" s="11">
        <v>46234</v>
      </c>
      <c r="V688" t="s">
        <v>132</v>
      </c>
      <c r="W688" t="s">
        <v>132</v>
      </c>
      <c r="X688" t="s">
        <v>132</v>
      </c>
      <c r="Y688" t="s">
        <v>132</v>
      </c>
      <c r="Z688" t="s">
        <v>132</v>
      </c>
      <c r="AA688" t="s">
        <v>132</v>
      </c>
      <c r="AB688" t="s">
        <v>132</v>
      </c>
      <c r="AC688" t="s">
        <v>1238</v>
      </c>
      <c r="AE688" t="s">
        <v>114</v>
      </c>
      <c r="AF688" t="s">
        <v>132</v>
      </c>
      <c r="AG688" t="s">
        <v>132</v>
      </c>
      <c r="AH688" t="s">
        <v>132</v>
      </c>
      <c r="AI688" t="s">
        <v>132</v>
      </c>
      <c r="AJ688" t="s">
        <v>132</v>
      </c>
      <c r="AK688" t="s">
        <v>114</v>
      </c>
      <c r="AM688" t="s">
        <v>142</v>
      </c>
      <c r="AN688" t="s">
        <v>142</v>
      </c>
      <c r="AP688" t="s">
        <v>132</v>
      </c>
      <c r="AQ688" t="s">
        <v>142</v>
      </c>
      <c r="AR688" t="s">
        <v>2532</v>
      </c>
      <c r="AS688" s="11">
        <v>46244</v>
      </c>
      <c r="AU688" t="s">
        <v>114</v>
      </c>
      <c r="AV688" t="s">
        <v>134</v>
      </c>
      <c r="AW688" t="s">
        <v>2237</v>
      </c>
      <c r="AY688" t="s">
        <v>135</v>
      </c>
      <c r="BB688" s="11" t="s">
        <v>114</v>
      </c>
      <c r="BC688" s="11">
        <v>46237</v>
      </c>
      <c r="BD688" t="s">
        <v>2515</v>
      </c>
      <c r="BE688">
        <v>657286579</v>
      </c>
      <c r="BF688" s="11" t="s">
        <v>2533</v>
      </c>
      <c r="BG688" s="11" t="s">
        <v>449</v>
      </c>
      <c r="BI688" s="11">
        <v>46251</v>
      </c>
      <c r="BJ688" s="11" t="str">
        <f t="shared" si="142"/>
        <v>S34_2026</v>
      </c>
      <c r="BK688" t="s">
        <v>187</v>
      </c>
      <c r="BL688" t="str">
        <f t="shared" si="138"/>
        <v>S32_2026</v>
      </c>
      <c r="BM688" t="s">
        <v>159</v>
      </c>
      <c r="BN688" s="11">
        <v>46251</v>
      </c>
      <c r="BO688" s="22" t="str">
        <f t="shared" si="134"/>
        <v>S34_2026</v>
      </c>
      <c r="BP688" t="s">
        <v>114</v>
      </c>
      <c r="BQ688" t="s">
        <v>450</v>
      </c>
      <c r="BR688" t="s">
        <v>451</v>
      </c>
      <c r="BS688" s="23" t="s">
        <v>132</v>
      </c>
      <c r="CI688" t="s">
        <v>119</v>
      </c>
      <c r="CK688" t="s">
        <v>138</v>
      </c>
      <c r="CP688" s="11">
        <v>46237</v>
      </c>
      <c r="CQ688" t="s">
        <v>132</v>
      </c>
      <c r="CW688" t="s">
        <v>132</v>
      </c>
      <c r="CX688" s="11">
        <v>46234</v>
      </c>
      <c r="CY688" t="str">
        <f t="shared" si="140"/>
        <v>S31_2026</v>
      </c>
      <c r="CZ688" t="s">
        <v>132</v>
      </c>
      <c r="DB688" t="s">
        <v>132</v>
      </c>
      <c r="DC688" s="11" t="s">
        <v>139</v>
      </c>
    </row>
    <row r="689" spans="1:107" x14ac:dyDescent="0.35">
      <c r="A689" t="s">
        <v>2534</v>
      </c>
      <c r="B689" s="23" t="str">
        <f t="shared" si="144"/>
        <v>S33_2026</v>
      </c>
      <c r="C689" s="10" t="str">
        <f t="shared" si="141"/>
        <v>S32_2026</v>
      </c>
      <c r="D689" s="11">
        <v>46248</v>
      </c>
      <c r="E689" s="11" t="s">
        <v>123</v>
      </c>
      <c r="F689" s="24">
        <v>21</v>
      </c>
      <c r="G689" t="s">
        <v>1197</v>
      </c>
      <c r="H689" t="s">
        <v>835</v>
      </c>
      <c r="J689" t="s">
        <v>132</v>
      </c>
      <c r="L689" s="11" t="s">
        <v>182</v>
      </c>
      <c r="M689" s="11" t="s">
        <v>1255</v>
      </c>
      <c r="N689" s="11" t="s">
        <v>1256</v>
      </c>
      <c r="O689" s="11" t="s">
        <v>2527</v>
      </c>
      <c r="P689" s="11" t="s">
        <v>2528</v>
      </c>
      <c r="Q689" s="11" t="s">
        <v>1255</v>
      </c>
      <c r="R689" s="11">
        <v>46242</v>
      </c>
      <c r="S689" s="11">
        <v>46242</v>
      </c>
      <c r="T689" s="11">
        <v>46242</v>
      </c>
      <c r="V689" t="s">
        <v>114</v>
      </c>
      <c r="W689" t="s">
        <v>114</v>
      </c>
      <c r="X689" t="s">
        <v>114</v>
      </c>
      <c r="Y689" t="s">
        <v>114</v>
      </c>
      <c r="Z689" t="s">
        <v>114</v>
      </c>
      <c r="AA689" t="s">
        <v>114</v>
      </c>
      <c r="AB689" t="s">
        <v>114</v>
      </c>
      <c r="AE689" t="s">
        <v>114</v>
      </c>
      <c r="AF689" t="s">
        <v>132</v>
      </c>
      <c r="AG689" t="s">
        <v>114</v>
      </c>
      <c r="AH689" t="s">
        <v>132</v>
      </c>
      <c r="AI689" t="s">
        <v>132</v>
      </c>
      <c r="AJ689" t="s">
        <v>132</v>
      </c>
      <c r="AK689" t="s">
        <v>114</v>
      </c>
      <c r="AM689" t="s">
        <v>132</v>
      </c>
      <c r="AN689" t="s">
        <v>114</v>
      </c>
      <c r="AP689" t="s">
        <v>132</v>
      </c>
      <c r="AQ689" t="s">
        <v>132</v>
      </c>
      <c r="AR689" t="s">
        <v>2535</v>
      </c>
      <c r="AS689" s="11">
        <v>46247</v>
      </c>
      <c r="AU689" t="s">
        <v>114</v>
      </c>
      <c r="AV689" t="s">
        <v>134</v>
      </c>
      <c r="AW689" t="s">
        <v>2237</v>
      </c>
      <c r="AY689" t="s">
        <v>135</v>
      </c>
      <c r="BB689" s="11" t="s">
        <v>114</v>
      </c>
      <c r="BC689" s="11">
        <v>46245</v>
      </c>
      <c r="BD689" t="s">
        <v>169</v>
      </c>
      <c r="BE689">
        <v>651704894</v>
      </c>
      <c r="BF689" s="11" t="s">
        <v>1256</v>
      </c>
      <c r="BG689" s="11" t="s">
        <v>449</v>
      </c>
      <c r="BI689" s="11">
        <v>46251</v>
      </c>
      <c r="BJ689" s="11" t="str">
        <f t="shared" si="142"/>
        <v>S34_2026</v>
      </c>
      <c r="BK689" t="s">
        <v>187</v>
      </c>
      <c r="BL689" t="str">
        <f t="shared" si="138"/>
        <v>S33_2026</v>
      </c>
      <c r="BM689" t="s">
        <v>159</v>
      </c>
      <c r="BN689" s="11">
        <v>46251</v>
      </c>
      <c r="BO689" s="22" t="str">
        <f t="shared" si="134"/>
        <v>S34_2026</v>
      </c>
      <c r="BP689" t="s">
        <v>114</v>
      </c>
      <c r="BQ689" t="s">
        <v>450</v>
      </c>
      <c r="BR689" t="s">
        <v>451</v>
      </c>
      <c r="BS689" s="23" t="s">
        <v>132</v>
      </c>
      <c r="CI689" t="s">
        <v>119</v>
      </c>
      <c r="CK689" t="s">
        <v>138</v>
      </c>
      <c r="CP689" s="11">
        <v>46245</v>
      </c>
      <c r="CQ689" t="s">
        <v>132</v>
      </c>
      <c r="CW689" t="s">
        <v>132</v>
      </c>
      <c r="CX689" s="11">
        <v>46242</v>
      </c>
      <c r="CY689" t="str">
        <f t="shared" si="140"/>
        <v>S32_2026</v>
      </c>
      <c r="CZ689" t="s">
        <v>132</v>
      </c>
      <c r="DB689" t="s">
        <v>132</v>
      </c>
      <c r="DC689" s="11" t="s">
        <v>139</v>
      </c>
    </row>
    <row r="690" spans="1:107" x14ac:dyDescent="0.35">
      <c r="A690" t="s">
        <v>2536</v>
      </c>
      <c r="B690" s="23" t="str">
        <f t="shared" si="144"/>
        <v>S33_2026</v>
      </c>
      <c r="C690" s="10" t="str">
        <f t="shared" si="141"/>
        <v>S31_2026</v>
      </c>
      <c r="D690" s="11">
        <v>46248</v>
      </c>
      <c r="E690" s="11" t="s">
        <v>123</v>
      </c>
      <c r="F690" s="24">
        <v>28</v>
      </c>
      <c r="G690" t="s">
        <v>852</v>
      </c>
      <c r="H690" t="s">
        <v>835</v>
      </c>
      <c r="J690" t="s">
        <v>114</v>
      </c>
      <c r="K690" s="11">
        <v>46240</v>
      </c>
      <c r="L690" s="11" t="s">
        <v>321</v>
      </c>
      <c r="M690" s="11" t="s">
        <v>2537</v>
      </c>
      <c r="N690" s="11" t="s">
        <v>2538</v>
      </c>
      <c r="O690" s="11" t="s">
        <v>2539</v>
      </c>
      <c r="P690" s="11" t="s">
        <v>2540</v>
      </c>
      <c r="Q690" s="11" t="s">
        <v>2537</v>
      </c>
      <c r="R690" s="11">
        <v>46230</v>
      </c>
      <c r="T690" s="11">
        <v>46230</v>
      </c>
      <c r="V690" t="s">
        <v>114</v>
      </c>
      <c r="W690" t="s">
        <v>114</v>
      </c>
      <c r="X690" t="s">
        <v>114</v>
      </c>
      <c r="Y690" t="s">
        <v>114</v>
      </c>
      <c r="Z690" t="s">
        <v>114</v>
      </c>
      <c r="AA690" t="s">
        <v>114</v>
      </c>
      <c r="AB690" t="s">
        <v>114</v>
      </c>
      <c r="AE690" t="s">
        <v>132</v>
      </c>
      <c r="AF690" t="s">
        <v>132</v>
      </c>
      <c r="AG690" t="s">
        <v>114</v>
      </c>
      <c r="AH690" t="s">
        <v>132</v>
      </c>
      <c r="AI690" t="s">
        <v>132</v>
      </c>
      <c r="AJ690" t="s">
        <v>132</v>
      </c>
      <c r="AK690" t="s">
        <v>114</v>
      </c>
      <c r="AM690" t="s">
        <v>114</v>
      </c>
      <c r="AN690" t="s">
        <v>114</v>
      </c>
      <c r="AP690" t="s">
        <v>132</v>
      </c>
      <c r="AQ690" t="s">
        <v>132</v>
      </c>
      <c r="AR690" t="s">
        <v>2541</v>
      </c>
      <c r="AS690" s="11">
        <v>46244</v>
      </c>
      <c r="AU690" t="s">
        <v>114</v>
      </c>
      <c r="AV690" t="s">
        <v>134</v>
      </c>
      <c r="AW690" t="s">
        <v>2237</v>
      </c>
      <c r="AY690" t="s">
        <v>135</v>
      </c>
      <c r="BB690" s="11" t="s">
        <v>114</v>
      </c>
      <c r="BC690" s="11">
        <v>46240</v>
      </c>
      <c r="BD690" t="s">
        <v>512</v>
      </c>
      <c r="BE690">
        <v>693771206</v>
      </c>
      <c r="BF690" s="11" t="s">
        <v>2538</v>
      </c>
      <c r="BG690" s="11" t="s">
        <v>449</v>
      </c>
      <c r="BI690" s="11">
        <v>46251</v>
      </c>
      <c r="BJ690" s="11" t="str">
        <f t="shared" si="142"/>
        <v>S34_2026</v>
      </c>
      <c r="BK690" t="s">
        <v>321</v>
      </c>
      <c r="BL690" t="str">
        <f t="shared" si="138"/>
        <v>S32_2026</v>
      </c>
      <c r="BM690" t="s">
        <v>159</v>
      </c>
      <c r="BN690" s="11">
        <v>46251</v>
      </c>
      <c r="BO690" s="22" t="str">
        <f t="shared" si="134"/>
        <v>S34_2026</v>
      </c>
      <c r="BP690" t="s">
        <v>114</v>
      </c>
      <c r="BQ690" t="s">
        <v>450</v>
      </c>
      <c r="BR690" t="s">
        <v>451</v>
      </c>
      <c r="BS690" s="23" t="s">
        <v>132</v>
      </c>
      <c r="CI690" t="s">
        <v>119</v>
      </c>
      <c r="CK690" t="s">
        <v>138</v>
      </c>
      <c r="CP690" s="11">
        <v>46240</v>
      </c>
      <c r="CQ690" t="s">
        <v>132</v>
      </c>
      <c r="CW690" t="s">
        <v>132</v>
      </c>
      <c r="CX690" s="11">
        <v>46230</v>
      </c>
      <c r="CY690" t="str">
        <f t="shared" si="140"/>
        <v>S31_2026</v>
      </c>
      <c r="CZ690" t="s">
        <v>132</v>
      </c>
      <c r="DB690" t="s">
        <v>132</v>
      </c>
      <c r="DC690" s="11" t="s">
        <v>139</v>
      </c>
    </row>
    <row r="691" spans="1:107" x14ac:dyDescent="0.35">
      <c r="A691" t="s">
        <v>2542</v>
      </c>
      <c r="B691" s="23" t="str">
        <f t="shared" si="144"/>
        <v>S33_2026</v>
      </c>
      <c r="C691" s="10" t="str">
        <f t="shared" si="141"/>
        <v>S32_2026</v>
      </c>
      <c r="D691" s="11">
        <v>46248</v>
      </c>
      <c r="E691" s="11" t="s">
        <v>123</v>
      </c>
      <c r="F691" s="24">
        <v>25</v>
      </c>
      <c r="G691" t="s">
        <v>2543</v>
      </c>
      <c r="H691" t="s">
        <v>835</v>
      </c>
      <c r="J691" t="s">
        <v>132</v>
      </c>
      <c r="L691" s="11" t="s">
        <v>321</v>
      </c>
      <c r="M691" s="11" t="s">
        <v>2266</v>
      </c>
      <c r="N691" s="11" t="s">
        <v>2544</v>
      </c>
      <c r="P691" s="11" t="s">
        <v>2545</v>
      </c>
      <c r="Q691" s="11" t="s">
        <v>319</v>
      </c>
      <c r="R691" s="11">
        <v>46238</v>
      </c>
      <c r="T691" s="11">
        <v>46238</v>
      </c>
      <c r="V691" t="s">
        <v>114</v>
      </c>
      <c r="W691" t="s">
        <v>114</v>
      </c>
      <c r="X691" t="s">
        <v>114</v>
      </c>
      <c r="Y691" t="s">
        <v>114</v>
      </c>
      <c r="Z691" t="s">
        <v>114</v>
      </c>
      <c r="AA691" t="s">
        <v>114</v>
      </c>
      <c r="AB691" t="s">
        <v>114</v>
      </c>
      <c r="AE691" t="s">
        <v>132</v>
      </c>
      <c r="AF691" t="s">
        <v>132</v>
      </c>
      <c r="AG691" t="s">
        <v>114</v>
      </c>
      <c r="AH691" t="s">
        <v>132</v>
      </c>
      <c r="AI691" t="s">
        <v>132</v>
      </c>
      <c r="AJ691" t="s">
        <v>2546</v>
      </c>
      <c r="AK691" t="s">
        <v>132</v>
      </c>
      <c r="AM691" t="s">
        <v>132</v>
      </c>
      <c r="AN691" t="s">
        <v>142</v>
      </c>
      <c r="AP691" t="s">
        <v>132</v>
      </c>
      <c r="AQ691" t="s">
        <v>132</v>
      </c>
      <c r="AR691" t="s">
        <v>2547</v>
      </c>
      <c r="AS691" s="11">
        <v>46244</v>
      </c>
      <c r="AU691" t="s">
        <v>114</v>
      </c>
      <c r="AV691" t="s">
        <v>115</v>
      </c>
      <c r="BB691" s="11" t="s">
        <v>114</v>
      </c>
      <c r="BC691" s="11">
        <v>46242</v>
      </c>
      <c r="BD691" t="s">
        <v>116</v>
      </c>
      <c r="BE691">
        <v>696145521</v>
      </c>
      <c r="BF691" s="11" t="s">
        <v>2544</v>
      </c>
      <c r="BG691" s="11" t="s">
        <v>449</v>
      </c>
      <c r="BJ691" s="11" t="str">
        <f t="shared" si="142"/>
        <v/>
      </c>
      <c r="BK691" t="s">
        <v>321</v>
      </c>
      <c r="BL691" t="str">
        <f t="shared" si="138"/>
        <v>S32_2026</v>
      </c>
      <c r="BM691" t="s">
        <v>159</v>
      </c>
      <c r="BN691" s="11">
        <v>46251</v>
      </c>
      <c r="BO691" s="22" t="str">
        <f t="shared" si="134"/>
        <v>S34_2026</v>
      </c>
      <c r="BP691" t="s">
        <v>114</v>
      </c>
      <c r="BQ691" t="s">
        <v>450</v>
      </c>
      <c r="BR691" t="s">
        <v>451</v>
      </c>
      <c r="BS691" s="23" t="s">
        <v>132</v>
      </c>
      <c r="CI691" t="s">
        <v>119</v>
      </c>
      <c r="CP691" s="11">
        <v>46242</v>
      </c>
      <c r="CQ691" t="s">
        <v>132</v>
      </c>
      <c r="CW691" t="s">
        <v>132</v>
      </c>
      <c r="CX691" s="11">
        <v>46238</v>
      </c>
      <c r="CY691" t="str">
        <f t="shared" si="140"/>
        <v>S32_2026</v>
      </c>
      <c r="CZ691" t="s">
        <v>132</v>
      </c>
      <c r="DB691" t="s">
        <v>132</v>
      </c>
      <c r="DC691" s="11" t="s">
        <v>120</v>
      </c>
    </row>
    <row r="692" spans="1:107" x14ac:dyDescent="0.35">
      <c r="A692" t="s">
        <v>2548</v>
      </c>
      <c r="B692" s="23" t="str">
        <f t="shared" si="144"/>
        <v>S33_2026</v>
      </c>
      <c r="C692" s="10" t="str">
        <f t="shared" si="141"/>
        <v>S31_2026</v>
      </c>
      <c r="D692" s="11">
        <v>46248</v>
      </c>
      <c r="E692" s="11" t="s">
        <v>123</v>
      </c>
      <c r="F692" s="24">
        <v>67</v>
      </c>
      <c r="G692" t="s">
        <v>1215</v>
      </c>
      <c r="H692" t="s">
        <v>835</v>
      </c>
      <c r="J692" t="s">
        <v>114</v>
      </c>
      <c r="K692" s="11">
        <v>46241</v>
      </c>
      <c r="L692" s="11" t="s">
        <v>321</v>
      </c>
      <c r="M692" s="11" t="s">
        <v>2443</v>
      </c>
      <c r="N692" s="11" t="s">
        <v>2549</v>
      </c>
      <c r="O692" s="11" t="s">
        <v>2550</v>
      </c>
      <c r="P692" s="11" t="s">
        <v>2551</v>
      </c>
      <c r="Q692" s="11" t="s">
        <v>2443</v>
      </c>
      <c r="R692" s="11">
        <v>46230</v>
      </c>
      <c r="S692" s="11">
        <v>46230</v>
      </c>
      <c r="T692" s="11">
        <v>46230</v>
      </c>
      <c r="V692" t="s">
        <v>132</v>
      </c>
      <c r="W692" t="s">
        <v>132</v>
      </c>
      <c r="X692" t="s">
        <v>132</v>
      </c>
      <c r="Y692" t="s">
        <v>114</v>
      </c>
      <c r="Z692" t="s">
        <v>132</v>
      </c>
      <c r="AA692" t="s">
        <v>114</v>
      </c>
      <c r="AB692" t="s">
        <v>114</v>
      </c>
      <c r="AC692" t="s">
        <v>1377</v>
      </c>
      <c r="AE692" t="s">
        <v>114</v>
      </c>
      <c r="AF692" t="s">
        <v>132</v>
      </c>
      <c r="AG692" t="s">
        <v>114</v>
      </c>
      <c r="AH692" t="s">
        <v>132</v>
      </c>
      <c r="AI692" t="s">
        <v>132</v>
      </c>
      <c r="AJ692" t="s">
        <v>2552</v>
      </c>
      <c r="AK692" t="s">
        <v>132</v>
      </c>
      <c r="AM692" t="s">
        <v>132</v>
      </c>
      <c r="AN692" t="s">
        <v>142</v>
      </c>
      <c r="AP692" t="s">
        <v>132</v>
      </c>
      <c r="AQ692" t="s">
        <v>132</v>
      </c>
      <c r="AR692" t="s">
        <v>2553</v>
      </c>
      <c r="AS692" s="11">
        <v>46244</v>
      </c>
      <c r="AU692" t="s">
        <v>114</v>
      </c>
      <c r="AV692" t="s">
        <v>115</v>
      </c>
      <c r="BB692" s="11" t="s">
        <v>114</v>
      </c>
      <c r="BC692" s="11">
        <v>46241</v>
      </c>
      <c r="BD692" t="s">
        <v>116</v>
      </c>
      <c r="BE692">
        <v>699779067</v>
      </c>
      <c r="BF692" s="11" t="s">
        <v>2549</v>
      </c>
      <c r="BG692" s="11" t="s">
        <v>449</v>
      </c>
      <c r="BJ692" s="11" t="str">
        <f t="shared" si="142"/>
        <v/>
      </c>
      <c r="BK692" t="s">
        <v>321</v>
      </c>
      <c r="BL692" t="str">
        <f t="shared" si="138"/>
        <v>S32_2026</v>
      </c>
      <c r="BM692" t="s">
        <v>159</v>
      </c>
      <c r="BN692" s="11">
        <v>46251</v>
      </c>
      <c r="BO692" s="22" t="str">
        <f t="shared" si="134"/>
        <v>S34_2026</v>
      </c>
      <c r="BP692" t="s">
        <v>114</v>
      </c>
      <c r="BQ692" t="s">
        <v>450</v>
      </c>
      <c r="BR692" t="s">
        <v>451</v>
      </c>
      <c r="BS692" s="23" t="s">
        <v>132</v>
      </c>
      <c r="CI692" t="s">
        <v>119</v>
      </c>
      <c r="CP692" s="11">
        <v>46241</v>
      </c>
      <c r="CQ692" t="s">
        <v>132</v>
      </c>
      <c r="CW692" t="s">
        <v>132</v>
      </c>
      <c r="CX692" s="11">
        <v>46230</v>
      </c>
      <c r="CY692" t="str">
        <f t="shared" si="140"/>
        <v>S31_2026</v>
      </c>
      <c r="CZ692" t="s">
        <v>132</v>
      </c>
      <c r="DB692" t="s">
        <v>132</v>
      </c>
      <c r="DC692" s="11" t="s">
        <v>120</v>
      </c>
    </row>
    <row r="693" spans="1:107" x14ac:dyDescent="0.35">
      <c r="A693" t="s">
        <v>2554</v>
      </c>
      <c r="B693" s="23" t="str">
        <f t="shared" si="144"/>
        <v>S33_2026</v>
      </c>
      <c r="C693" s="10" t="str">
        <f t="shared" si="141"/>
        <v>S32_2026</v>
      </c>
      <c r="D693" s="11">
        <v>46248</v>
      </c>
      <c r="E693" s="11" t="s">
        <v>123</v>
      </c>
      <c r="F693" s="24">
        <v>3</v>
      </c>
      <c r="G693" t="s">
        <v>141</v>
      </c>
      <c r="H693" t="s">
        <v>835</v>
      </c>
      <c r="J693" t="s">
        <v>132</v>
      </c>
      <c r="L693" s="11" t="s">
        <v>321</v>
      </c>
      <c r="M693" s="11" t="s">
        <v>2355</v>
      </c>
      <c r="N693" s="11" t="s">
        <v>2555</v>
      </c>
      <c r="O693" s="11" t="s">
        <v>2556</v>
      </c>
      <c r="P693" s="11" t="s">
        <v>2557</v>
      </c>
      <c r="Q693" s="11" t="s">
        <v>2355</v>
      </c>
      <c r="R693" s="11">
        <v>46239</v>
      </c>
      <c r="T693" s="11">
        <v>46239</v>
      </c>
      <c r="V693" t="s">
        <v>114</v>
      </c>
      <c r="W693" t="s">
        <v>114</v>
      </c>
      <c r="X693" t="s">
        <v>114</v>
      </c>
      <c r="Y693" t="s">
        <v>114</v>
      </c>
      <c r="Z693" t="s">
        <v>114</v>
      </c>
      <c r="AA693" t="s">
        <v>114</v>
      </c>
      <c r="AB693" t="s">
        <v>114</v>
      </c>
      <c r="AE693" t="s">
        <v>132</v>
      </c>
      <c r="AF693" t="s">
        <v>132</v>
      </c>
      <c r="AG693" t="s">
        <v>132</v>
      </c>
      <c r="AH693" t="s">
        <v>132</v>
      </c>
      <c r="AI693" t="s">
        <v>132</v>
      </c>
      <c r="AJ693" t="s">
        <v>132</v>
      </c>
      <c r="AK693" t="s">
        <v>132</v>
      </c>
      <c r="AM693" t="s">
        <v>114</v>
      </c>
      <c r="AN693" t="s">
        <v>132</v>
      </c>
      <c r="AP693" t="s">
        <v>132</v>
      </c>
      <c r="AQ693" t="s">
        <v>132</v>
      </c>
      <c r="AR693" t="s">
        <v>2558</v>
      </c>
      <c r="AS693" s="11">
        <v>46244</v>
      </c>
      <c r="AU693" t="s">
        <v>114</v>
      </c>
      <c r="AV693" t="s">
        <v>115</v>
      </c>
      <c r="BB693" s="11" t="s">
        <v>114</v>
      </c>
      <c r="BC693" s="11">
        <v>46241</v>
      </c>
      <c r="BD693" t="s">
        <v>512</v>
      </c>
      <c r="BE693">
        <v>699353325</v>
      </c>
      <c r="BF693" s="11" t="s">
        <v>2555</v>
      </c>
      <c r="BG693" s="11" t="s">
        <v>449</v>
      </c>
      <c r="BJ693" s="11" t="str">
        <f t="shared" si="142"/>
        <v/>
      </c>
      <c r="BK693" t="s">
        <v>321</v>
      </c>
      <c r="BL693" t="str">
        <f t="shared" si="138"/>
        <v>S32_2026</v>
      </c>
      <c r="BM693" t="s">
        <v>159</v>
      </c>
      <c r="BN693" s="11">
        <v>46251</v>
      </c>
      <c r="BO693" s="22" t="str">
        <f t="shared" si="134"/>
        <v>S34_2026</v>
      </c>
      <c r="BP693" t="s">
        <v>114</v>
      </c>
      <c r="BQ693" t="s">
        <v>450</v>
      </c>
      <c r="BR693" t="s">
        <v>451</v>
      </c>
      <c r="BS693" s="23" t="s">
        <v>132</v>
      </c>
      <c r="CI693" t="s">
        <v>119</v>
      </c>
      <c r="CP693" s="11">
        <v>46241</v>
      </c>
      <c r="CQ693" t="s">
        <v>132</v>
      </c>
      <c r="CW693" t="s">
        <v>132</v>
      </c>
      <c r="CX693" s="11">
        <v>46239</v>
      </c>
      <c r="CY693" t="str">
        <f t="shared" si="140"/>
        <v>S32_2026</v>
      </c>
      <c r="CZ693" t="s">
        <v>132</v>
      </c>
      <c r="DB693" t="s">
        <v>132</v>
      </c>
      <c r="DC693" s="11" t="s">
        <v>120</v>
      </c>
    </row>
    <row r="694" spans="1:107" x14ac:dyDescent="0.35">
      <c r="A694" t="s">
        <v>2559</v>
      </c>
      <c r="B694" s="23" t="str">
        <f t="shared" si="144"/>
        <v>S33_2026</v>
      </c>
      <c r="C694" s="10" t="str">
        <f t="shared" si="141"/>
        <v>S31_2026</v>
      </c>
      <c r="D694" s="11">
        <v>46248</v>
      </c>
      <c r="E694" s="11" t="s">
        <v>123</v>
      </c>
      <c r="F694" s="24">
        <v>19</v>
      </c>
      <c r="G694" t="s">
        <v>1197</v>
      </c>
      <c r="H694" t="s">
        <v>835</v>
      </c>
      <c r="J694" t="s">
        <v>132</v>
      </c>
      <c r="L694" s="11" t="s">
        <v>321</v>
      </c>
      <c r="M694" s="11" t="s">
        <v>2355</v>
      </c>
      <c r="N694" s="11" t="s">
        <v>2555</v>
      </c>
      <c r="O694" s="11" t="s">
        <v>2560</v>
      </c>
      <c r="P694" s="11" t="s">
        <v>2555</v>
      </c>
      <c r="Q694" s="11" t="s">
        <v>2355</v>
      </c>
      <c r="R694" s="11">
        <v>46236</v>
      </c>
      <c r="S694" s="11">
        <v>46236</v>
      </c>
      <c r="T694" s="11">
        <v>46236</v>
      </c>
      <c r="V694" t="s">
        <v>114</v>
      </c>
      <c r="W694" t="s">
        <v>114</v>
      </c>
      <c r="X694" t="s">
        <v>114</v>
      </c>
      <c r="Y694" t="s">
        <v>114</v>
      </c>
      <c r="Z694" t="s">
        <v>114</v>
      </c>
      <c r="AA694" t="s">
        <v>114</v>
      </c>
      <c r="AB694" t="s">
        <v>114</v>
      </c>
      <c r="AE694" t="s">
        <v>114</v>
      </c>
      <c r="AF694" t="s">
        <v>114</v>
      </c>
      <c r="AG694" t="s">
        <v>114</v>
      </c>
      <c r="AH694" t="s">
        <v>132</v>
      </c>
      <c r="AI694" t="s">
        <v>132</v>
      </c>
      <c r="AJ694" t="s">
        <v>132</v>
      </c>
      <c r="AK694" t="s">
        <v>114</v>
      </c>
      <c r="AM694" t="s">
        <v>132</v>
      </c>
      <c r="AN694" t="s">
        <v>132</v>
      </c>
      <c r="AP694" t="s">
        <v>132</v>
      </c>
      <c r="AQ694" t="s">
        <v>142</v>
      </c>
      <c r="AR694" t="s">
        <v>2561</v>
      </c>
      <c r="AS694" s="11">
        <v>46244</v>
      </c>
      <c r="AU694" t="s">
        <v>114</v>
      </c>
      <c r="AV694" t="s">
        <v>115</v>
      </c>
      <c r="BB694" s="11" t="s">
        <v>114</v>
      </c>
      <c r="BC694" s="11">
        <v>46241</v>
      </c>
      <c r="BD694" t="s">
        <v>116</v>
      </c>
      <c r="BE694">
        <v>695185220</v>
      </c>
      <c r="BF694" s="11" t="s">
        <v>2555</v>
      </c>
      <c r="BG694" s="11" t="s">
        <v>449</v>
      </c>
      <c r="BJ694" s="11" t="str">
        <f t="shared" si="142"/>
        <v/>
      </c>
      <c r="BK694" t="s">
        <v>321</v>
      </c>
      <c r="BL694" t="str">
        <f t="shared" si="138"/>
        <v>S32_2026</v>
      </c>
      <c r="BM694" t="s">
        <v>159</v>
      </c>
      <c r="BN694" s="11">
        <v>46251</v>
      </c>
      <c r="BO694" s="22" t="str">
        <f t="shared" si="134"/>
        <v>S34_2026</v>
      </c>
      <c r="BP694" t="s">
        <v>114</v>
      </c>
      <c r="BQ694" t="s">
        <v>450</v>
      </c>
      <c r="BR694" t="s">
        <v>451</v>
      </c>
      <c r="BS694" s="23" t="s">
        <v>132</v>
      </c>
      <c r="CI694" t="s">
        <v>119</v>
      </c>
      <c r="CP694" s="11">
        <v>46241</v>
      </c>
      <c r="CQ694" t="s">
        <v>132</v>
      </c>
      <c r="CW694" t="s">
        <v>132</v>
      </c>
      <c r="CX694" s="11">
        <v>46236</v>
      </c>
      <c r="CY694" t="str">
        <f t="shared" si="140"/>
        <v>S31_2026</v>
      </c>
      <c r="CZ694" t="s">
        <v>132</v>
      </c>
      <c r="DB694" t="s">
        <v>132</v>
      </c>
      <c r="DC694" s="11" t="s">
        <v>120</v>
      </c>
    </row>
    <row r="695" spans="1:107" x14ac:dyDescent="0.35">
      <c r="A695" t="s">
        <v>2562</v>
      </c>
      <c r="B695" s="23" t="str">
        <f t="shared" si="144"/>
        <v>S33_2026</v>
      </c>
      <c r="C695" s="10" t="str">
        <f t="shared" si="141"/>
        <v>S32_2026</v>
      </c>
      <c r="D695" s="11">
        <v>46248</v>
      </c>
      <c r="E695" s="11" t="s">
        <v>123</v>
      </c>
      <c r="F695" s="24">
        <v>16</v>
      </c>
      <c r="G695" t="s">
        <v>1485</v>
      </c>
      <c r="H695" t="s">
        <v>835</v>
      </c>
      <c r="J695" t="s">
        <v>132</v>
      </c>
      <c r="L695" s="11" t="s">
        <v>321</v>
      </c>
      <c r="M695" s="11" t="s">
        <v>2355</v>
      </c>
      <c r="N695" s="11" t="s">
        <v>2563</v>
      </c>
      <c r="P695" s="11" t="s">
        <v>2564</v>
      </c>
      <c r="Q695" s="11" t="s">
        <v>2355</v>
      </c>
      <c r="R695" s="11">
        <v>46237</v>
      </c>
      <c r="S695" s="11">
        <v>46237</v>
      </c>
      <c r="T695" s="11">
        <v>46237</v>
      </c>
      <c r="V695" t="s">
        <v>114</v>
      </c>
      <c r="W695" t="s">
        <v>114</v>
      </c>
      <c r="X695" t="s">
        <v>114</v>
      </c>
      <c r="Y695" t="s">
        <v>114</v>
      </c>
      <c r="Z695" t="s">
        <v>114</v>
      </c>
      <c r="AA695" t="s">
        <v>114</v>
      </c>
      <c r="AB695" t="s">
        <v>114</v>
      </c>
      <c r="AE695" t="s">
        <v>114</v>
      </c>
      <c r="AF695" t="s">
        <v>132</v>
      </c>
      <c r="AG695" t="s">
        <v>114</v>
      </c>
      <c r="AH695" t="s">
        <v>132</v>
      </c>
      <c r="AI695" t="s">
        <v>132</v>
      </c>
      <c r="AJ695" t="s">
        <v>132</v>
      </c>
      <c r="AK695" t="s">
        <v>132</v>
      </c>
      <c r="AM695" t="s">
        <v>132</v>
      </c>
      <c r="AN695" t="s">
        <v>132</v>
      </c>
      <c r="AP695" t="s">
        <v>132</v>
      </c>
      <c r="AQ695" t="s">
        <v>142</v>
      </c>
      <c r="BB695" s="11" t="s">
        <v>114</v>
      </c>
      <c r="BC695" s="11">
        <v>46241</v>
      </c>
      <c r="BD695" t="s">
        <v>116</v>
      </c>
      <c r="BE695">
        <v>674993283</v>
      </c>
      <c r="BF695" s="11" t="s">
        <v>2563</v>
      </c>
      <c r="BJ695" s="11" t="str">
        <f t="shared" si="142"/>
        <v/>
      </c>
      <c r="BK695" t="s">
        <v>321</v>
      </c>
      <c r="BL695" t="str">
        <f t="shared" si="138"/>
        <v>S32_2026</v>
      </c>
      <c r="BM695" t="s">
        <v>159</v>
      </c>
      <c r="BO695" s="22" t="str">
        <f t="shared" si="134"/>
        <v/>
      </c>
      <c r="BR695" t="s">
        <v>451</v>
      </c>
      <c r="BS695" s="23" t="s">
        <v>132</v>
      </c>
      <c r="CI695" t="s">
        <v>119</v>
      </c>
      <c r="CP695" s="11">
        <v>46240</v>
      </c>
      <c r="CX695" s="11">
        <v>46237</v>
      </c>
      <c r="CY695" t="str">
        <f t="shared" si="140"/>
        <v>S32_2026</v>
      </c>
      <c r="DC695" s="11" t="s">
        <v>1293</v>
      </c>
    </row>
    <row r="696" spans="1:107" x14ac:dyDescent="0.35">
      <c r="A696" t="s">
        <v>2565</v>
      </c>
      <c r="B696" s="23" t="str">
        <f t="shared" si="144"/>
        <v>S33_2026</v>
      </c>
      <c r="C696" s="10" t="str">
        <f t="shared" si="141"/>
        <v>S32_2026</v>
      </c>
      <c r="D696" s="11">
        <v>46248</v>
      </c>
      <c r="E696" s="11" t="s">
        <v>123</v>
      </c>
      <c r="F696" s="24">
        <v>45</v>
      </c>
      <c r="G696" t="s">
        <v>2566</v>
      </c>
      <c r="H696" t="s">
        <v>835</v>
      </c>
      <c r="J696" t="s">
        <v>132</v>
      </c>
      <c r="L696" s="11" t="s">
        <v>321</v>
      </c>
      <c r="M696" s="11" t="s">
        <v>2355</v>
      </c>
      <c r="N696" s="11" t="s">
        <v>2436</v>
      </c>
      <c r="O696" s="11" t="s">
        <v>2567</v>
      </c>
      <c r="P696" s="11" t="s">
        <v>2568</v>
      </c>
      <c r="Q696" s="11" t="s">
        <v>2355</v>
      </c>
      <c r="R696" s="11">
        <v>46239</v>
      </c>
      <c r="S696" s="11">
        <v>46239</v>
      </c>
      <c r="T696" s="11">
        <v>46239</v>
      </c>
      <c r="V696" t="s">
        <v>132</v>
      </c>
      <c r="W696" t="s">
        <v>132</v>
      </c>
      <c r="X696" t="s">
        <v>132</v>
      </c>
      <c r="Y696" t="s">
        <v>132</v>
      </c>
      <c r="Z696" t="s">
        <v>132</v>
      </c>
      <c r="AA696" t="s">
        <v>132</v>
      </c>
      <c r="AB696" t="s">
        <v>132</v>
      </c>
      <c r="AC696" t="s">
        <v>1147</v>
      </c>
      <c r="AE696" t="s">
        <v>114</v>
      </c>
      <c r="AF696" t="s">
        <v>132</v>
      </c>
      <c r="AG696" t="s">
        <v>114</v>
      </c>
      <c r="AH696" t="s">
        <v>132</v>
      </c>
      <c r="AI696" t="s">
        <v>132</v>
      </c>
      <c r="AJ696" t="s">
        <v>1288</v>
      </c>
      <c r="AK696" t="s">
        <v>132</v>
      </c>
      <c r="AM696" t="s">
        <v>132</v>
      </c>
      <c r="AN696" t="s">
        <v>132</v>
      </c>
      <c r="AP696" t="s">
        <v>132</v>
      </c>
      <c r="AQ696" t="s">
        <v>132</v>
      </c>
      <c r="AR696" t="s">
        <v>2569</v>
      </c>
      <c r="AS696" s="11">
        <v>46244</v>
      </c>
      <c r="AU696" t="s">
        <v>114</v>
      </c>
      <c r="AV696" t="s">
        <v>115</v>
      </c>
      <c r="BB696" s="11" t="s">
        <v>114</v>
      </c>
      <c r="BC696" s="11">
        <v>46241</v>
      </c>
      <c r="BD696" t="s">
        <v>116</v>
      </c>
      <c r="BE696">
        <v>651649629</v>
      </c>
      <c r="BF696" s="11" t="s">
        <v>2436</v>
      </c>
      <c r="BG696" s="11" t="s">
        <v>449</v>
      </c>
      <c r="BJ696" s="11" t="str">
        <f t="shared" si="142"/>
        <v/>
      </c>
      <c r="BK696" t="s">
        <v>321</v>
      </c>
      <c r="BL696" t="str">
        <f t="shared" si="138"/>
        <v>S32_2026</v>
      </c>
      <c r="BM696" t="s">
        <v>159</v>
      </c>
      <c r="BN696" s="11">
        <v>46251</v>
      </c>
      <c r="BO696" s="22" t="str">
        <f t="shared" si="134"/>
        <v>S34_2026</v>
      </c>
      <c r="BP696" t="s">
        <v>114</v>
      </c>
      <c r="BQ696" t="s">
        <v>450</v>
      </c>
      <c r="BR696" t="s">
        <v>451</v>
      </c>
      <c r="BS696" s="23" t="s">
        <v>132</v>
      </c>
      <c r="CI696" t="s">
        <v>119</v>
      </c>
      <c r="CP696" s="11">
        <v>46241</v>
      </c>
      <c r="CQ696" t="s">
        <v>132</v>
      </c>
      <c r="CW696" t="s">
        <v>132</v>
      </c>
      <c r="CX696" s="11">
        <v>46239</v>
      </c>
      <c r="CY696" t="str">
        <f t="shared" si="140"/>
        <v>S32_2026</v>
      </c>
      <c r="CZ696" t="s">
        <v>132</v>
      </c>
      <c r="DB696" t="s">
        <v>132</v>
      </c>
      <c r="DC696" s="11" t="s">
        <v>120</v>
      </c>
    </row>
    <row r="697" spans="1:107" x14ac:dyDescent="0.35">
      <c r="A697" t="s">
        <v>2570</v>
      </c>
      <c r="B697" s="23" t="str">
        <f t="shared" si="144"/>
        <v>S33_2026</v>
      </c>
      <c r="C697" s="10" t="str">
        <f t="shared" si="141"/>
        <v>S29_2026</v>
      </c>
      <c r="D697" s="11">
        <v>46248</v>
      </c>
      <c r="E697" s="11" t="s">
        <v>123</v>
      </c>
      <c r="F697" s="24">
        <v>2</v>
      </c>
      <c r="G697" t="s">
        <v>141</v>
      </c>
      <c r="H697" t="s">
        <v>835</v>
      </c>
      <c r="J697" t="s">
        <v>114</v>
      </c>
      <c r="K697" s="11">
        <v>46243</v>
      </c>
      <c r="L697" s="11" t="s">
        <v>321</v>
      </c>
      <c r="M697" s="11" t="s">
        <v>2355</v>
      </c>
      <c r="N697" s="11" t="s">
        <v>2563</v>
      </c>
      <c r="O697" s="11" t="s">
        <v>2571</v>
      </c>
      <c r="P697" s="11" t="s">
        <v>2572</v>
      </c>
      <c r="Q697" s="11" t="s">
        <v>2355</v>
      </c>
      <c r="R697" s="11">
        <v>46222</v>
      </c>
      <c r="T697" s="11">
        <v>46222</v>
      </c>
      <c r="V697" t="s">
        <v>132</v>
      </c>
      <c r="W697" t="s">
        <v>132</v>
      </c>
      <c r="X697" t="s">
        <v>132</v>
      </c>
      <c r="Y697" t="s">
        <v>132</v>
      </c>
      <c r="Z697" t="s">
        <v>132</v>
      </c>
      <c r="AA697" t="s">
        <v>114</v>
      </c>
      <c r="AB697" t="s">
        <v>132</v>
      </c>
      <c r="AC697" t="s">
        <v>935</v>
      </c>
      <c r="AE697" t="s">
        <v>132</v>
      </c>
      <c r="AF697" t="s">
        <v>114</v>
      </c>
      <c r="AG697" t="s">
        <v>132</v>
      </c>
      <c r="AH697" t="s">
        <v>132</v>
      </c>
      <c r="AI697" t="s">
        <v>132</v>
      </c>
      <c r="AJ697" t="s">
        <v>2573</v>
      </c>
      <c r="AK697" t="s">
        <v>132</v>
      </c>
      <c r="AM697" t="s">
        <v>132</v>
      </c>
      <c r="AN697" t="s">
        <v>132</v>
      </c>
      <c r="AP697" t="s">
        <v>132</v>
      </c>
      <c r="AQ697" t="s">
        <v>132</v>
      </c>
      <c r="AR697" t="s">
        <v>2574</v>
      </c>
      <c r="AS697" s="11">
        <v>46245</v>
      </c>
      <c r="AU697" t="s">
        <v>114</v>
      </c>
      <c r="AV697" t="s">
        <v>115</v>
      </c>
      <c r="BB697" s="11" t="s">
        <v>114</v>
      </c>
      <c r="BC697" s="11">
        <v>46243</v>
      </c>
      <c r="BD697" t="s">
        <v>116</v>
      </c>
      <c r="BE697">
        <v>676133111</v>
      </c>
      <c r="BF697" s="11" t="s">
        <v>2563</v>
      </c>
      <c r="BG697" s="11" t="s">
        <v>449</v>
      </c>
      <c r="BJ697" s="11" t="str">
        <f t="shared" si="142"/>
        <v/>
      </c>
      <c r="BK697" t="s">
        <v>321</v>
      </c>
      <c r="BL697" t="str">
        <f t="shared" si="138"/>
        <v>S32_2026</v>
      </c>
      <c r="BM697" t="s">
        <v>159</v>
      </c>
      <c r="BN697" s="11">
        <v>46251</v>
      </c>
      <c r="BO697" s="22" t="str">
        <f t="shared" si="134"/>
        <v>S34_2026</v>
      </c>
      <c r="BP697" t="s">
        <v>114</v>
      </c>
      <c r="BQ697" t="s">
        <v>450</v>
      </c>
      <c r="BR697" t="s">
        <v>451</v>
      </c>
      <c r="BS697" s="23" t="s">
        <v>132</v>
      </c>
      <c r="CI697" t="s">
        <v>119</v>
      </c>
      <c r="CP697" s="11">
        <v>46243</v>
      </c>
      <c r="CQ697" t="s">
        <v>132</v>
      </c>
      <c r="CW697" t="s">
        <v>132</v>
      </c>
      <c r="CX697" s="11">
        <v>46222</v>
      </c>
      <c r="CY697" t="str">
        <f t="shared" si="140"/>
        <v>S29_2026</v>
      </c>
      <c r="CZ697" t="s">
        <v>132</v>
      </c>
      <c r="DB697" t="s">
        <v>132</v>
      </c>
      <c r="DC697" s="11" t="s">
        <v>120</v>
      </c>
    </row>
    <row r="698" spans="1:107" x14ac:dyDescent="0.35">
      <c r="A698" t="s">
        <v>2575</v>
      </c>
      <c r="B698" s="23" t="str">
        <f t="shared" si="144"/>
        <v>S33_2026</v>
      </c>
      <c r="C698" s="10" t="str">
        <f t="shared" si="141"/>
        <v>S31_2026</v>
      </c>
      <c r="D698" s="11">
        <v>46248</v>
      </c>
      <c r="E698" s="11" t="s">
        <v>106</v>
      </c>
      <c r="F698" s="24">
        <v>1.5</v>
      </c>
      <c r="G698" t="s">
        <v>141</v>
      </c>
      <c r="H698" t="s">
        <v>835</v>
      </c>
      <c r="J698" t="s">
        <v>132</v>
      </c>
      <c r="L698" s="11" t="s">
        <v>321</v>
      </c>
      <c r="M698" s="11" t="s">
        <v>2355</v>
      </c>
      <c r="N698" s="11" t="s">
        <v>2436</v>
      </c>
      <c r="O698" s="11" t="s">
        <v>2437</v>
      </c>
      <c r="P698" s="11" t="s">
        <v>1862</v>
      </c>
      <c r="Q698" s="11" t="s">
        <v>2355</v>
      </c>
      <c r="R698" s="11">
        <v>46231</v>
      </c>
      <c r="T698" s="11">
        <v>46231</v>
      </c>
      <c r="V698" t="s">
        <v>114</v>
      </c>
      <c r="W698" t="s">
        <v>114</v>
      </c>
      <c r="X698" t="s">
        <v>114</v>
      </c>
      <c r="Y698" t="s">
        <v>114</v>
      </c>
      <c r="Z698" t="s">
        <v>114</v>
      </c>
      <c r="AA698" t="s">
        <v>114</v>
      </c>
      <c r="AB698" t="s">
        <v>114</v>
      </c>
      <c r="AE698" t="s">
        <v>132</v>
      </c>
      <c r="AF698" t="s">
        <v>132</v>
      </c>
      <c r="AG698" t="s">
        <v>132</v>
      </c>
      <c r="AH698" t="s">
        <v>132</v>
      </c>
      <c r="AI698" t="s">
        <v>132</v>
      </c>
      <c r="AJ698" t="s">
        <v>132</v>
      </c>
      <c r="AP698" t="s">
        <v>132</v>
      </c>
      <c r="AQ698" t="s">
        <v>132</v>
      </c>
      <c r="AR698" t="s">
        <v>2576</v>
      </c>
      <c r="AS698" s="11">
        <v>46246</v>
      </c>
      <c r="AU698" t="s">
        <v>114</v>
      </c>
      <c r="AV698" t="s">
        <v>115</v>
      </c>
      <c r="BB698" s="11" t="s">
        <v>114</v>
      </c>
      <c r="BC698" s="11">
        <v>46238</v>
      </c>
      <c r="BD698" t="s">
        <v>116</v>
      </c>
      <c r="BE698">
        <v>698950648</v>
      </c>
      <c r="BF698" s="11" t="s">
        <v>2436</v>
      </c>
      <c r="BG698" s="11" t="s">
        <v>449</v>
      </c>
      <c r="BJ698" s="11" t="str">
        <f t="shared" si="142"/>
        <v/>
      </c>
      <c r="BK698" t="s">
        <v>321</v>
      </c>
      <c r="BL698" t="str">
        <f t="shared" si="138"/>
        <v>S32_2026</v>
      </c>
      <c r="BM698" t="s">
        <v>159</v>
      </c>
      <c r="BN698" s="11">
        <v>46251</v>
      </c>
      <c r="BO698" s="22" t="str">
        <f t="shared" ref="BO698:BO706" si="145">IFERROR("S"&amp;(IF(_xlfn.ISOWEEKNUM(BN698)&gt;0,_xlfn.ISOWEEKNUM(BN698),_xlfn.CONCAT("0",_xlfn.ISOWEEKNUM(BN698))))&amp;"_"&amp;(YEAR(BN698+26-(_xlfn.ISOWEEKNUM(BN698)))),"")</f>
        <v>S34_2026</v>
      </c>
      <c r="BP698" t="s">
        <v>114</v>
      </c>
      <c r="BQ698" t="s">
        <v>450</v>
      </c>
      <c r="BR698" t="s">
        <v>451</v>
      </c>
      <c r="BS698" s="23" t="s">
        <v>132</v>
      </c>
      <c r="CI698" t="s">
        <v>119</v>
      </c>
      <c r="CP698" s="11">
        <v>46245</v>
      </c>
      <c r="CQ698" t="s">
        <v>132</v>
      </c>
      <c r="CW698" t="s">
        <v>132</v>
      </c>
      <c r="CX698" s="11">
        <v>46231</v>
      </c>
      <c r="CY698" t="str">
        <f t="shared" si="140"/>
        <v>S31_2026</v>
      </c>
      <c r="CZ698" t="s">
        <v>132</v>
      </c>
      <c r="DB698" t="s">
        <v>132</v>
      </c>
      <c r="DC698" s="11" t="s">
        <v>120</v>
      </c>
    </row>
    <row r="699" spans="1:107" x14ac:dyDescent="0.35">
      <c r="A699" t="s">
        <v>2577</v>
      </c>
      <c r="B699" s="23" t="str">
        <f t="shared" si="144"/>
        <v>S33_2026</v>
      </c>
      <c r="C699" s="10" t="str">
        <f t="shared" si="141"/>
        <v>S29_2026</v>
      </c>
      <c r="D699" s="11">
        <v>46248</v>
      </c>
      <c r="E699" s="11" t="s">
        <v>123</v>
      </c>
      <c r="F699" s="24">
        <v>8</v>
      </c>
      <c r="G699" t="s">
        <v>107</v>
      </c>
      <c r="H699" t="s">
        <v>835</v>
      </c>
      <c r="J699" t="s">
        <v>114</v>
      </c>
      <c r="K699" s="11">
        <v>46241</v>
      </c>
      <c r="L699" s="11" t="s">
        <v>321</v>
      </c>
      <c r="M699" s="11" t="s">
        <v>2355</v>
      </c>
      <c r="N699" s="11" t="s">
        <v>2563</v>
      </c>
      <c r="O699" s="11" t="s">
        <v>2571</v>
      </c>
      <c r="P699" s="11" t="s">
        <v>2578</v>
      </c>
      <c r="Q699" s="11" t="s">
        <v>2355</v>
      </c>
      <c r="R699" s="11">
        <v>46221</v>
      </c>
      <c r="T699" s="11">
        <v>46221</v>
      </c>
      <c r="V699" t="s">
        <v>132</v>
      </c>
      <c r="W699" t="s">
        <v>132</v>
      </c>
      <c r="X699" t="s">
        <v>132</v>
      </c>
      <c r="Y699" t="s">
        <v>132</v>
      </c>
      <c r="Z699" t="s">
        <v>132</v>
      </c>
      <c r="AA699" t="s">
        <v>132</v>
      </c>
      <c r="AB699" t="s">
        <v>114</v>
      </c>
      <c r="AC699" t="s">
        <v>2579</v>
      </c>
      <c r="AE699" t="s">
        <v>132</v>
      </c>
      <c r="AF699" t="s">
        <v>132</v>
      </c>
      <c r="AG699" t="s">
        <v>132</v>
      </c>
      <c r="AH699" t="s">
        <v>132</v>
      </c>
      <c r="AI699" t="s">
        <v>132</v>
      </c>
      <c r="AJ699" t="s">
        <v>132</v>
      </c>
      <c r="AK699" t="s">
        <v>132</v>
      </c>
      <c r="AM699" t="s">
        <v>114</v>
      </c>
      <c r="AN699" t="s">
        <v>132</v>
      </c>
      <c r="AP699" t="s">
        <v>132</v>
      </c>
      <c r="AQ699" t="s">
        <v>142</v>
      </c>
      <c r="AR699" t="s">
        <v>2580</v>
      </c>
      <c r="AS699" s="11">
        <v>46245</v>
      </c>
      <c r="AU699" t="s">
        <v>114</v>
      </c>
      <c r="AV699" t="s">
        <v>115</v>
      </c>
      <c r="BB699" s="11" t="s">
        <v>114</v>
      </c>
      <c r="BC699" s="11">
        <v>46243</v>
      </c>
      <c r="BD699" t="s">
        <v>116</v>
      </c>
      <c r="BE699">
        <v>691386358</v>
      </c>
      <c r="BF699" s="11" t="s">
        <v>2563</v>
      </c>
      <c r="BG699" s="11" t="s">
        <v>449</v>
      </c>
      <c r="BJ699" s="11" t="str">
        <f t="shared" si="142"/>
        <v/>
      </c>
      <c r="BK699" t="s">
        <v>321</v>
      </c>
      <c r="BL699" t="str">
        <f t="shared" si="138"/>
        <v>S32_2026</v>
      </c>
      <c r="BM699" t="s">
        <v>159</v>
      </c>
      <c r="BN699" s="11">
        <v>46251</v>
      </c>
      <c r="BO699" s="22" t="str">
        <f t="shared" si="145"/>
        <v>S34_2026</v>
      </c>
      <c r="BP699" t="s">
        <v>114</v>
      </c>
      <c r="BQ699" t="s">
        <v>450</v>
      </c>
      <c r="BR699" t="s">
        <v>451</v>
      </c>
      <c r="BS699" s="23" t="s">
        <v>132</v>
      </c>
      <c r="CI699" t="s">
        <v>119</v>
      </c>
      <c r="CP699" s="11">
        <v>46241</v>
      </c>
      <c r="CQ699" t="s">
        <v>132</v>
      </c>
      <c r="CW699" t="s">
        <v>132</v>
      </c>
      <c r="CX699" s="11">
        <v>46221</v>
      </c>
      <c r="CY699" t="str">
        <f t="shared" si="140"/>
        <v>S29_2026</v>
      </c>
      <c r="CZ699" t="s">
        <v>132</v>
      </c>
      <c r="DB699" t="s">
        <v>132</v>
      </c>
      <c r="DC699" s="11" t="s">
        <v>120</v>
      </c>
    </row>
    <row r="700" spans="1:107" x14ac:dyDescent="0.35">
      <c r="A700" s="22" t="s">
        <v>2581</v>
      </c>
      <c r="B700" s="23" t="str">
        <f t="shared" ref="B700:B707" si="146">IFERROR("S"&amp;(IF(_xlfn.ISOWEEKNUM(D700)&gt;0,_xlfn.ISOWEEKNUM(D700),_xlfn.CONCAT("0",_xlfn.ISOWEEKNUM(D700))))&amp;"_"&amp;(YEAR(D700+26-(_xlfn.ISOWEEKNUM(D700)))),"")</f>
        <v>S34_2026</v>
      </c>
      <c r="C700" s="10" t="str">
        <f t="shared" ref="C700:C707" si="147">IFERROR("S"&amp;(IF(_xlfn.ISOWEEKNUM(R700)&gt;0,_xlfn.ISOWEEKNUM(R700),_xlfn.CONCAT("0",_xlfn.ISOWEEKNUM(R700))))&amp;"_"&amp;(YEAR(R700+26-(_xlfn.ISOWEEKNUM(R700)))),"")</f>
        <v>S31_2026</v>
      </c>
      <c r="D700" s="11">
        <v>46251</v>
      </c>
      <c r="E700" s="11" t="s">
        <v>106</v>
      </c>
      <c r="F700" s="24">
        <v>24</v>
      </c>
      <c r="G700" s="11"/>
      <c r="H700" s="11"/>
      <c r="I700" s="11"/>
      <c r="J700" s="11"/>
      <c r="K700" s="11"/>
      <c r="L700" s="11" t="s">
        <v>321</v>
      </c>
      <c r="M700" s="11" t="s">
        <v>2485</v>
      </c>
      <c r="N700" s="11" t="s">
        <v>2582</v>
      </c>
      <c r="O700" s="11"/>
      <c r="P700" s="11" t="s">
        <v>2487</v>
      </c>
      <c r="Q700" s="11" t="s">
        <v>2485</v>
      </c>
      <c r="R700" s="11">
        <v>46235</v>
      </c>
      <c r="S700" s="11">
        <v>46235</v>
      </c>
      <c r="T700" s="11">
        <v>46235</v>
      </c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>
        <v>46246</v>
      </c>
      <c r="AT700" s="11"/>
      <c r="AU700" s="11" t="s">
        <v>114</v>
      </c>
      <c r="AV700" t="s">
        <v>134</v>
      </c>
      <c r="AW700" s="11" t="s">
        <v>2237</v>
      </c>
      <c r="AX700" s="11"/>
      <c r="AY700" t="s">
        <v>135</v>
      </c>
      <c r="AZ700" s="11"/>
      <c r="BA700" s="11"/>
      <c r="BB700" s="11" t="s">
        <v>114</v>
      </c>
      <c r="BC700" s="11">
        <v>46245</v>
      </c>
      <c r="BD700" s="11" t="s">
        <v>661</v>
      </c>
      <c r="BE700" s="11"/>
      <c r="BF700" s="11" t="s">
        <v>2487</v>
      </c>
      <c r="BG700" s="11" t="s">
        <v>449</v>
      </c>
      <c r="BH700" s="11"/>
      <c r="BI700" s="11">
        <v>46248</v>
      </c>
      <c r="BJ700" s="11"/>
      <c r="BK700" t="s">
        <v>321</v>
      </c>
      <c r="BL700" s="11" t="str">
        <f t="shared" si="138"/>
        <v>S33_2026</v>
      </c>
      <c r="BM700" t="s">
        <v>159</v>
      </c>
      <c r="BN700" s="11">
        <v>46248</v>
      </c>
      <c r="BO700" s="22" t="str">
        <f t="shared" si="145"/>
        <v>S33_2026</v>
      </c>
      <c r="BP700" t="s">
        <v>114</v>
      </c>
      <c r="BQ700" s="11" t="s">
        <v>971</v>
      </c>
      <c r="BR700" s="11"/>
      <c r="BS700" s="23" t="s">
        <v>132</v>
      </c>
      <c r="CI700" t="s">
        <v>119</v>
      </c>
      <c r="CJ700" s="11"/>
      <c r="CK700" s="11" t="s">
        <v>138</v>
      </c>
      <c r="CL700" s="11"/>
      <c r="CM700" s="11"/>
      <c r="CN700" s="11"/>
      <c r="CO700" s="11"/>
      <c r="CP700" s="11">
        <v>46246</v>
      </c>
      <c r="CQ700" t="s">
        <v>132</v>
      </c>
      <c r="CR700" s="11"/>
      <c r="CS700" s="11"/>
      <c r="CT700" s="11"/>
      <c r="CU700" s="11"/>
      <c r="CV700" s="11"/>
      <c r="CW700" s="11"/>
      <c r="CX700" s="11">
        <v>46235</v>
      </c>
      <c r="CY700" t="str">
        <f t="shared" si="140"/>
        <v>S31_2026</v>
      </c>
      <c r="CZ700" s="11"/>
      <c r="DA700" s="11"/>
      <c r="DB700" s="11"/>
      <c r="DC700" s="11" t="s">
        <v>139</v>
      </c>
    </row>
    <row r="701" spans="1:107" x14ac:dyDescent="0.35">
      <c r="A701" t="s">
        <v>2583</v>
      </c>
      <c r="B701" s="23" t="str">
        <f t="shared" si="146"/>
        <v>S34_2026</v>
      </c>
      <c r="C701" s="10" t="str">
        <f t="shared" si="147"/>
        <v>S29_2026</v>
      </c>
      <c r="D701" s="11">
        <v>46251</v>
      </c>
      <c r="E701" s="11" t="s">
        <v>106</v>
      </c>
      <c r="F701" s="24">
        <v>26</v>
      </c>
      <c r="G701" s="11"/>
      <c r="H701" s="11"/>
      <c r="I701" s="11"/>
      <c r="J701" s="11"/>
      <c r="K701" s="11"/>
      <c r="L701" s="11" t="s">
        <v>321</v>
      </c>
      <c r="M701" s="11" t="s">
        <v>2584</v>
      </c>
      <c r="N701" s="11" t="s">
        <v>2585</v>
      </c>
      <c r="O701" s="11"/>
      <c r="P701" s="11" t="s">
        <v>2585</v>
      </c>
      <c r="Q701" s="11" t="s">
        <v>2584</v>
      </c>
      <c r="R701" s="11">
        <v>46218</v>
      </c>
      <c r="S701" s="11">
        <v>46218</v>
      </c>
      <c r="T701" s="11">
        <v>46218</v>
      </c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>
        <v>46246</v>
      </c>
      <c r="AT701" s="11"/>
      <c r="AU701" s="11" t="s">
        <v>114</v>
      </c>
      <c r="AV701" s="11" t="s">
        <v>2586</v>
      </c>
      <c r="AW701" s="11"/>
      <c r="AX701" s="11"/>
      <c r="AY701" s="11"/>
      <c r="AZ701" s="11"/>
      <c r="BA701" s="11"/>
      <c r="BB701" s="11" t="s">
        <v>114</v>
      </c>
      <c r="BC701" s="11">
        <v>46244</v>
      </c>
      <c r="BD701" s="11" t="s">
        <v>661</v>
      </c>
      <c r="BE701" s="11"/>
      <c r="BF701" s="11" t="s">
        <v>2585</v>
      </c>
      <c r="BG701" s="11" t="s">
        <v>449</v>
      </c>
      <c r="BH701" s="11"/>
      <c r="BI701" s="11"/>
      <c r="BJ701" s="11"/>
      <c r="BK701" t="s">
        <v>321</v>
      </c>
      <c r="BL701" s="11" t="str">
        <f t="shared" si="138"/>
        <v>S33_2026</v>
      </c>
      <c r="BM701" t="s">
        <v>159</v>
      </c>
      <c r="BN701" s="11">
        <v>46248</v>
      </c>
      <c r="BO701" s="22" t="str">
        <f t="shared" si="145"/>
        <v>S33_2026</v>
      </c>
      <c r="BP701" t="s">
        <v>114</v>
      </c>
      <c r="BQ701" s="11" t="s">
        <v>971</v>
      </c>
      <c r="BR701" s="11"/>
      <c r="BS701" s="23" t="s">
        <v>132</v>
      </c>
      <c r="CI701" t="s">
        <v>119</v>
      </c>
      <c r="CJ701" s="11"/>
      <c r="CK701" s="11"/>
      <c r="CL701" s="11"/>
      <c r="CM701" s="11"/>
      <c r="CN701" s="11"/>
      <c r="CO701" s="11"/>
      <c r="CP701" s="11">
        <v>46246</v>
      </c>
      <c r="CQ701" t="s">
        <v>132</v>
      </c>
      <c r="CR701" s="11"/>
      <c r="CS701" s="11"/>
      <c r="CT701" s="11"/>
      <c r="CU701" s="11"/>
      <c r="CV701" s="11"/>
      <c r="CW701" s="11"/>
      <c r="CX701" s="11">
        <v>46218</v>
      </c>
      <c r="CY701" t="str">
        <f t="shared" si="140"/>
        <v>S29_2026</v>
      </c>
      <c r="CZ701" s="11"/>
      <c r="DA701" s="11"/>
      <c r="DB701" s="11"/>
      <c r="DC701" s="11" t="s">
        <v>120</v>
      </c>
    </row>
    <row r="702" spans="1:107" x14ac:dyDescent="0.35">
      <c r="A702" s="22" t="s">
        <v>2587</v>
      </c>
      <c r="B702" s="23" t="str">
        <f t="shared" si="146"/>
        <v>S34_2026</v>
      </c>
      <c r="C702" s="10" t="str">
        <f t="shared" si="147"/>
        <v>S31_2026</v>
      </c>
      <c r="D702" s="11">
        <v>46251</v>
      </c>
      <c r="E702" s="11" t="s">
        <v>123</v>
      </c>
      <c r="F702" s="24">
        <v>36</v>
      </c>
      <c r="G702" s="11"/>
      <c r="H702" s="11"/>
      <c r="I702" s="11"/>
      <c r="J702" s="11"/>
      <c r="K702" s="11"/>
      <c r="L702" s="11" t="s">
        <v>321</v>
      </c>
      <c r="M702" s="11" t="s">
        <v>2485</v>
      </c>
      <c r="N702" s="11" t="s">
        <v>2588</v>
      </c>
      <c r="O702" s="11"/>
      <c r="P702" s="11" t="s">
        <v>2487</v>
      </c>
      <c r="Q702" s="11" t="s">
        <v>2485</v>
      </c>
      <c r="R702" s="11">
        <v>46232</v>
      </c>
      <c r="S702" s="11">
        <v>46232</v>
      </c>
      <c r="T702" s="11">
        <v>46232</v>
      </c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>
        <v>46246</v>
      </c>
      <c r="AT702" s="11"/>
      <c r="AU702" s="11" t="s">
        <v>114</v>
      </c>
      <c r="AV702" s="11" t="s">
        <v>2586</v>
      </c>
      <c r="AW702" s="11"/>
      <c r="AX702" s="11"/>
      <c r="AY702" s="11"/>
      <c r="AZ702" s="11"/>
      <c r="BA702" s="11"/>
      <c r="BB702" s="11" t="s">
        <v>114</v>
      </c>
      <c r="BC702" s="11">
        <v>46241</v>
      </c>
      <c r="BD702" s="11" t="s">
        <v>661</v>
      </c>
      <c r="BE702" s="11"/>
      <c r="BF702" s="11" t="s">
        <v>2487</v>
      </c>
      <c r="BG702" s="11" t="s">
        <v>449</v>
      </c>
      <c r="BH702" s="11"/>
      <c r="BI702" s="11"/>
      <c r="BJ702" s="11"/>
      <c r="BK702" t="s">
        <v>321</v>
      </c>
      <c r="BL702" s="11" t="str">
        <f t="shared" si="138"/>
        <v>S32_2026</v>
      </c>
      <c r="BM702" t="s">
        <v>159</v>
      </c>
      <c r="BN702" s="11">
        <v>46248</v>
      </c>
      <c r="BO702" s="22" t="str">
        <f t="shared" si="145"/>
        <v>S33_2026</v>
      </c>
      <c r="BP702" t="s">
        <v>114</v>
      </c>
      <c r="BQ702" s="11" t="s">
        <v>971</v>
      </c>
      <c r="BR702" s="11"/>
      <c r="BS702" s="23" t="s">
        <v>132</v>
      </c>
      <c r="CI702" t="s">
        <v>119</v>
      </c>
      <c r="CJ702" s="11"/>
      <c r="CK702" s="11"/>
      <c r="CL702" s="11"/>
      <c r="CM702" s="11"/>
      <c r="CN702" s="11"/>
      <c r="CO702" s="11"/>
      <c r="CP702" s="11">
        <v>46246</v>
      </c>
      <c r="CQ702" t="s">
        <v>132</v>
      </c>
      <c r="CR702" s="11"/>
      <c r="CS702" s="11"/>
      <c r="CT702" s="11"/>
      <c r="CU702" s="11"/>
      <c r="CV702" s="11"/>
      <c r="CW702" s="11"/>
      <c r="CX702" s="11">
        <v>46232</v>
      </c>
      <c r="CY702" t="str">
        <f t="shared" si="140"/>
        <v>S31_2026</v>
      </c>
      <c r="CZ702" s="11"/>
      <c r="DA702" s="11"/>
      <c r="DB702" s="11"/>
      <c r="DC702" s="11" t="s">
        <v>120</v>
      </c>
    </row>
    <row r="703" spans="1:107" x14ac:dyDescent="0.35">
      <c r="A703" s="44" t="s">
        <v>2589</v>
      </c>
      <c r="B703" s="23" t="str">
        <f t="shared" si="146"/>
        <v>S34_2026</v>
      </c>
      <c r="C703" s="10" t="str">
        <f t="shared" si="147"/>
        <v>S32_2026</v>
      </c>
      <c r="D703" s="11">
        <v>46251</v>
      </c>
      <c r="E703" s="11" t="s">
        <v>123</v>
      </c>
      <c r="F703" s="24">
        <v>31</v>
      </c>
      <c r="G703" s="11" t="s">
        <v>2590</v>
      </c>
      <c r="H703" s="11" t="s">
        <v>835</v>
      </c>
      <c r="I703" s="11"/>
      <c r="J703" s="11" t="s">
        <v>114</v>
      </c>
      <c r="K703" s="11">
        <v>46247</v>
      </c>
      <c r="L703" s="11" t="s">
        <v>137</v>
      </c>
      <c r="M703" s="11" t="s">
        <v>2591</v>
      </c>
      <c r="N703" s="11" t="s">
        <v>2592</v>
      </c>
      <c r="O703" s="11" t="s">
        <v>2593</v>
      </c>
      <c r="P703" s="11" t="s">
        <v>2594</v>
      </c>
      <c r="Q703" s="11" t="s">
        <v>853</v>
      </c>
      <c r="R703" s="11">
        <v>46241</v>
      </c>
      <c r="S703" s="11">
        <v>46241</v>
      </c>
      <c r="T703" s="11">
        <v>46241</v>
      </c>
      <c r="U703" s="11"/>
      <c r="V703" s="11" t="s">
        <v>132</v>
      </c>
      <c r="W703" s="11" t="s">
        <v>132</v>
      </c>
      <c r="X703" s="11" t="s">
        <v>114</v>
      </c>
      <c r="Y703" s="11" t="s">
        <v>132</v>
      </c>
      <c r="Z703" s="11" t="s">
        <v>132</v>
      </c>
      <c r="AA703" s="11" t="s">
        <v>114</v>
      </c>
      <c r="AB703" s="11" t="s">
        <v>114</v>
      </c>
      <c r="AC703" s="11"/>
      <c r="AD703" s="11"/>
      <c r="AE703" s="11" t="s">
        <v>114</v>
      </c>
      <c r="AF703" s="11" t="s">
        <v>132</v>
      </c>
      <c r="AG703" s="11" t="s">
        <v>114</v>
      </c>
      <c r="AH703" s="11" t="s">
        <v>132</v>
      </c>
      <c r="AI703" s="11" t="s">
        <v>132</v>
      </c>
      <c r="AJ703" s="11" t="s">
        <v>132</v>
      </c>
      <c r="AK703" s="11" t="s">
        <v>114</v>
      </c>
      <c r="AL703" s="11"/>
      <c r="AM703" s="11" t="s">
        <v>132</v>
      </c>
      <c r="AN703" s="11" t="s">
        <v>132</v>
      </c>
      <c r="AO703" s="11"/>
      <c r="AP703" s="11" t="s">
        <v>132</v>
      </c>
      <c r="AQ703" s="11" t="s">
        <v>132</v>
      </c>
      <c r="AR703" s="11"/>
      <c r="AS703" s="11">
        <v>46248</v>
      </c>
      <c r="AT703" s="11"/>
      <c r="AU703" s="11" t="s">
        <v>114</v>
      </c>
      <c r="AV703" t="s">
        <v>134</v>
      </c>
      <c r="AW703" s="11" t="s">
        <v>2237</v>
      </c>
      <c r="AX703" s="11"/>
      <c r="AY703" t="s">
        <v>135</v>
      </c>
      <c r="AZ703" s="11"/>
      <c r="BA703" s="11"/>
      <c r="BB703" s="11" t="s">
        <v>114</v>
      </c>
      <c r="BC703" s="11">
        <v>46241</v>
      </c>
      <c r="BD703" s="11" t="s">
        <v>2595</v>
      </c>
      <c r="BE703" s="11"/>
      <c r="BF703" s="11" t="s">
        <v>1797</v>
      </c>
      <c r="BG703" s="11" t="s">
        <v>449</v>
      </c>
      <c r="BH703" s="11"/>
      <c r="BI703" s="11">
        <v>46249</v>
      </c>
      <c r="BJ703" s="11"/>
      <c r="BK703" s="11" t="s">
        <v>137</v>
      </c>
      <c r="BL703" s="11" t="str">
        <f t="shared" si="138"/>
        <v>S32_2026</v>
      </c>
      <c r="BM703" t="s">
        <v>159</v>
      </c>
      <c r="BN703" s="11">
        <v>46249</v>
      </c>
      <c r="BO703" s="22" t="str">
        <f t="shared" si="145"/>
        <v>S33_2026</v>
      </c>
      <c r="BP703" t="s">
        <v>114</v>
      </c>
      <c r="BQ703" s="11" t="s">
        <v>971</v>
      </c>
      <c r="BR703" s="11" t="s">
        <v>451</v>
      </c>
      <c r="BS703" s="23" t="s">
        <v>132</v>
      </c>
      <c r="CI703" t="s">
        <v>119</v>
      </c>
      <c r="CJ703" s="11"/>
      <c r="CK703" s="11" t="s">
        <v>138</v>
      </c>
      <c r="CL703" s="11"/>
      <c r="CM703" s="11"/>
      <c r="CN703" s="11"/>
      <c r="CO703" s="11"/>
      <c r="CP703" s="11">
        <v>46248</v>
      </c>
      <c r="CQ703" t="s">
        <v>132</v>
      </c>
      <c r="CR703" s="11"/>
      <c r="CS703" s="11"/>
      <c r="CT703" s="11"/>
      <c r="CU703" s="11"/>
      <c r="CV703" s="11"/>
      <c r="CW703" s="11" t="s">
        <v>132</v>
      </c>
      <c r="CX703" s="11">
        <v>46241</v>
      </c>
      <c r="CY703" t="str">
        <f t="shared" si="140"/>
        <v>S32_2026</v>
      </c>
      <c r="CZ703" s="11" t="s">
        <v>132</v>
      </c>
      <c r="DA703" s="11"/>
      <c r="DB703" s="11" t="s">
        <v>132</v>
      </c>
      <c r="DC703" s="11" t="s">
        <v>139</v>
      </c>
    </row>
    <row r="704" spans="1:107" x14ac:dyDescent="0.35">
      <c r="A704" t="s">
        <v>2455</v>
      </c>
      <c r="B704" s="23" t="str">
        <f t="shared" si="146"/>
        <v>S34_2026</v>
      </c>
      <c r="C704" s="10" t="str">
        <f t="shared" si="147"/>
        <v>S33_2026</v>
      </c>
      <c r="D704" s="11">
        <v>46251</v>
      </c>
      <c r="E704" s="11" t="s">
        <v>106</v>
      </c>
      <c r="F704" s="24">
        <v>15</v>
      </c>
      <c r="G704" s="11" t="s">
        <v>107</v>
      </c>
      <c r="H704" s="11" t="s">
        <v>835</v>
      </c>
      <c r="I704" s="11"/>
      <c r="J704" s="11" t="s">
        <v>132</v>
      </c>
      <c r="K704" s="11"/>
      <c r="L704" s="11" t="s">
        <v>126</v>
      </c>
      <c r="M704" s="11" t="s">
        <v>2596</v>
      </c>
      <c r="N704" s="11" t="s">
        <v>2597</v>
      </c>
      <c r="O704" s="11" t="s">
        <v>2236</v>
      </c>
      <c r="P704" s="11" t="s">
        <v>2598</v>
      </c>
      <c r="Q704" s="11" t="s">
        <v>853</v>
      </c>
      <c r="R704" s="11">
        <v>46244</v>
      </c>
      <c r="S704" s="11">
        <v>46244</v>
      </c>
      <c r="T704" s="11">
        <v>46244</v>
      </c>
      <c r="U704" s="11"/>
      <c r="V704" s="11" t="s">
        <v>132</v>
      </c>
      <c r="W704" s="11" t="s">
        <v>114</v>
      </c>
      <c r="X704" s="11" t="s">
        <v>114</v>
      </c>
      <c r="Y704" s="11" t="s">
        <v>114</v>
      </c>
      <c r="Z704" s="11" t="s">
        <v>114</v>
      </c>
      <c r="AA704" s="11" t="s">
        <v>132</v>
      </c>
      <c r="AB704" s="11" t="s">
        <v>114</v>
      </c>
      <c r="AC704" s="11" t="s">
        <v>2599</v>
      </c>
      <c r="AD704" s="11"/>
      <c r="AE704" s="11" t="s">
        <v>114</v>
      </c>
      <c r="AF704" s="11" t="s">
        <v>114</v>
      </c>
      <c r="AG704" s="11" t="s">
        <v>114</v>
      </c>
      <c r="AH704" s="11" t="s">
        <v>132</v>
      </c>
      <c r="AI704" s="11" t="s">
        <v>132</v>
      </c>
      <c r="AJ704" s="11" t="s">
        <v>132</v>
      </c>
      <c r="AK704" s="11" t="s">
        <v>132</v>
      </c>
      <c r="AL704" s="11"/>
      <c r="AM704" s="11" t="s">
        <v>132</v>
      </c>
      <c r="AN704" s="11" t="s">
        <v>132</v>
      </c>
      <c r="AO704" s="11"/>
      <c r="AP704" s="11" t="s">
        <v>132</v>
      </c>
      <c r="AQ704" s="11" t="s">
        <v>132</v>
      </c>
      <c r="AR704" s="11"/>
      <c r="AS704" s="11">
        <v>46248</v>
      </c>
      <c r="AT704" s="11"/>
      <c r="AU704" s="11" t="s">
        <v>114</v>
      </c>
      <c r="AV704" t="s">
        <v>134</v>
      </c>
      <c r="AW704" s="11" t="s">
        <v>2237</v>
      </c>
      <c r="AX704" s="11"/>
      <c r="AY704" t="s">
        <v>135</v>
      </c>
      <c r="AZ704" s="11"/>
      <c r="BA704" s="11"/>
      <c r="BB704" s="11" t="s">
        <v>114</v>
      </c>
      <c r="BC704" s="11">
        <v>46247</v>
      </c>
      <c r="BD704" s="11"/>
      <c r="BE704" s="11"/>
      <c r="BF704" s="11" t="s">
        <v>854</v>
      </c>
      <c r="BG704" s="11" t="s">
        <v>449</v>
      </c>
      <c r="BH704" s="11"/>
      <c r="BI704" s="11">
        <v>46249</v>
      </c>
      <c r="BJ704" s="11"/>
      <c r="BK704" s="11" t="s">
        <v>137</v>
      </c>
      <c r="BL704" s="11" t="str">
        <f t="shared" si="138"/>
        <v>S33_2026</v>
      </c>
      <c r="BM704" t="s">
        <v>159</v>
      </c>
      <c r="BN704" s="11">
        <v>46249</v>
      </c>
      <c r="BO704" s="22" t="str">
        <f t="shared" si="145"/>
        <v>S33_2026</v>
      </c>
      <c r="BP704" t="s">
        <v>114</v>
      </c>
      <c r="BQ704" s="11" t="s">
        <v>971</v>
      </c>
      <c r="BR704" s="11" t="s">
        <v>451</v>
      </c>
      <c r="BS704" s="23" t="s">
        <v>132</v>
      </c>
      <c r="CI704" t="s">
        <v>119</v>
      </c>
      <c r="CJ704" s="11"/>
      <c r="CK704" s="11" t="s">
        <v>138</v>
      </c>
      <c r="CL704" s="11"/>
      <c r="CM704" s="11"/>
      <c r="CN704" s="11"/>
      <c r="CO704" s="11"/>
      <c r="CP704" s="11">
        <v>46248</v>
      </c>
      <c r="CQ704" t="s">
        <v>132</v>
      </c>
      <c r="CR704" s="11"/>
      <c r="CS704" s="11"/>
      <c r="CT704" s="11"/>
      <c r="CU704" s="11"/>
      <c r="CV704" s="11"/>
      <c r="CW704" s="11" t="s">
        <v>132</v>
      </c>
      <c r="CX704" s="11">
        <v>46244</v>
      </c>
      <c r="CY704" t="str">
        <f t="shared" si="140"/>
        <v>S33_2026</v>
      </c>
      <c r="CZ704" s="11" t="s">
        <v>132</v>
      </c>
      <c r="DA704" s="11"/>
      <c r="DB704" s="11" t="s">
        <v>132</v>
      </c>
      <c r="DC704" s="11" t="s">
        <v>139</v>
      </c>
    </row>
    <row r="705" spans="1:107" x14ac:dyDescent="0.35">
      <c r="A705" s="22" t="s">
        <v>2600</v>
      </c>
      <c r="B705" s="23" t="str">
        <f t="shared" si="146"/>
        <v>S34_2026</v>
      </c>
      <c r="C705" s="10" t="str">
        <f t="shared" si="147"/>
        <v>S33_2026</v>
      </c>
      <c r="D705" s="11">
        <v>46251</v>
      </c>
      <c r="E705" s="11" t="s">
        <v>123</v>
      </c>
      <c r="F705" s="24">
        <v>27</v>
      </c>
      <c r="G705" s="11"/>
      <c r="H705" s="11"/>
      <c r="I705" s="11"/>
      <c r="J705" s="11"/>
      <c r="K705" s="11"/>
      <c r="L705" s="11" t="s">
        <v>321</v>
      </c>
      <c r="M705" s="11" t="s">
        <v>2601</v>
      </c>
      <c r="N705" s="11" t="s">
        <v>2602</v>
      </c>
      <c r="O705" s="11"/>
      <c r="P705" s="11" t="s">
        <v>2603</v>
      </c>
      <c r="Q705" s="11" t="s">
        <v>2485</v>
      </c>
      <c r="R705" s="11">
        <v>46245</v>
      </c>
      <c r="S705" s="11">
        <v>46245</v>
      </c>
      <c r="T705" s="11">
        <v>46245</v>
      </c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>
        <v>46249</v>
      </c>
      <c r="AT705" s="11"/>
      <c r="AU705" s="11" t="s">
        <v>114</v>
      </c>
      <c r="AV705" s="11" t="s">
        <v>2586</v>
      </c>
      <c r="AW705" s="11"/>
      <c r="AX705" s="11"/>
      <c r="AY705" s="11"/>
      <c r="AZ705" s="11"/>
      <c r="BA705" s="11"/>
      <c r="BB705" s="11" t="s">
        <v>114</v>
      </c>
      <c r="BC705" s="11">
        <v>46248</v>
      </c>
      <c r="BD705" s="11" t="s">
        <v>661</v>
      </c>
      <c r="BE705" s="11"/>
      <c r="BF705" t="s">
        <v>2243</v>
      </c>
      <c r="BG705" s="11" t="s">
        <v>449</v>
      </c>
      <c r="BH705" s="11"/>
      <c r="BI705" s="11"/>
      <c r="BJ705" s="11"/>
      <c r="BK705" t="s">
        <v>321</v>
      </c>
      <c r="BL705" s="11" t="str">
        <f t="shared" si="138"/>
        <v>S33_2026</v>
      </c>
      <c r="BM705" t="s">
        <v>159</v>
      </c>
      <c r="BN705" s="11">
        <v>46250</v>
      </c>
      <c r="BO705" s="22" t="str">
        <f t="shared" si="145"/>
        <v>S33_2026</v>
      </c>
      <c r="BP705" t="s">
        <v>114</v>
      </c>
      <c r="BQ705" s="11" t="s">
        <v>971</v>
      </c>
      <c r="BR705" s="11"/>
      <c r="BS705" s="23" t="s">
        <v>132</v>
      </c>
      <c r="CI705" t="s">
        <v>119</v>
      </c>
      <c r="CJ705" s="11"/>
      <c r="CK705" s="11"/>
      <c r="CL705" s="11"/>
      <c r="CM705" s="11"/>
      <c r="CN705" s="11"/>
      <c r="CO705" s="11"/>
      <c r="CP705" s="11">
        <v>46249</v>
      </c>
      <c r="CQ705" t="s">
        <v>132</v>
      </c>
      <c r="CR705" s="11"/>
      <c r="CS705" s="11"/>
      <c r="CT705" s="11"/>
      <c r="CU705" s="11"/>
      <c r="CV705" s="11"/>
      <c r="CW705" s="11"/>
      <c r="CX705" s="11">
        <v>46245</v>
      </c>
      <c r="CY705" t="str">
        <f t="shared" si="140"/>
        <v>S33_2026</v>
      </c>
      <c r="CZ705" s="11"/>
      <c r="DA705" s="11"/>
      <c r="DB705" s="11"/>
      <c r="DC705" s="11" t="s">
        <v>120</v>
      </c>
    </row>
    <row r="706" spans="1:107" x14ac:dyDescent="0.35">
      <c r="A706" s="22" t="s">
        <v>2604</v>
      </c>
      <c r="B706" s="23" t="str">
        <f t="shared" si="146"/>
        <v>S34_2026</v>
      </c>
      <c r="C706" s="10" t="str">
        <f t="shared" si="147"/>
        <v>S32_2026</v>
      </c>
      <c r="D706" s="11">
        <v>46251</v>
      </c>
      <c r="E706" s="11" t="s">
        <v>123</v>
      </c>
      <c r="F706" s="24">
        <v>13</v>
      </c>
      <c r="G706" s="11"/>
      <c r="H706" s="11"/>
      <c r="I706" s="11"/>
      <c r="J706" s="11"/>
      <c r="K706" s="11"/>
      <c r="L706" s="11" t="s">
        <v>321</v>
      </c>
      <c r="M706" s="11" t="s">
        <v>2605</v>
      </c>
      <c r="N706" s="11" t="s">
        <v>2606</v>
      </c>
      <c r="O706" s="11"/>
      <c r="P706" s="11"/>
      <c r="Q706" s="11" t="s">
        <v>2373</v>
      </c>
      <c r="R706" s="11">
        <v>46241</v>
      </c>
      <c r="S706" s="11">
        <v>46241</v>
      </c>
      <c r="T706" s="11">
        <v>46241</v>
      </c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>
        <v>46249</v>
      </c>
      <c r="AT706" s="11"/>
      <c r="AU706" s="11" t="s">
        <v>114</v>
      </c>
      <c r="AV706" s="11" t="s">
        <v>2586</v>
      </c>
      <c r="AW706" s="11"/>
      <c r="AX706" s="11"/>
      <c r="AY706" s="11"/>
      <c r="AZ706" s="11"/>
      <c r="BA706" s="11"/>
      <c r="BB706" s="11" t="s">
        <v>114</v>
      </c>
      <c r="BC706" s="11">
        <v>46246</v>
      </c>
      <c r="BD706" s="11" t="s">
        <v>661</v>
      </c>
      <c r="BE706" s="11"/>
      <c r="BF706" s="11" t="s">
        <v>2374</v>
      </c>
      <c r="BG706" s="11" t="s">
        <v>449</v>
      </c>
      <c r="BH706" s="11"/>
      <c r="BI706" s="11"/>
      <c r="BJ706" s="11"/>
      <c r="BK706" t="s">
        <v>321</v>
      </c>
      <c r="BL706" s="11" t="str">
        <f t="shared" si="138"/>
        <v>S33_2026</v>
      </c>
      <c r="BM706" t="s">
        <v>159</v>
      </c>
      <c r="BN706" s="11">
        <v>46250</v>
      </c>
      <c r="BO706" s="22" t="str">
        <f t="shared" si="145"/>
        <v>S33_2026</v>
      </c>
      <c r="BP706" t="s">
        <v>114</v>
      </c>
      <c r="BQ706" s="11" t="s">
        <v>971</v>
      </c>
      <c r="BR706" s="11"/>
      <c r="BS706" s="23" t="s">
        <v>132</v>
      </c>
      <c r="CI706" t="s">
        <v>119</v>
      </c>
      <c r="CJ706" s="11"/>
      <c r="CK706" s="11"/>
      <c r="CL706" s="11"/>
      <c r="CM706" s="11"/>
      <c r="CN706" s="11"/>
      <c r="CO706" s="11"/>
      <c r="CP706" s="11">
        <v>46249</v>
      </c>
      <c r="CQ706" t="s">
        <v>132</v>
      </c>
      <c r="CR706" s="11"/>
      <c r="CS706" s="11"/>
      <c r="CT706" s="11"/>
      <c r="CU706" s="11"/>
      <c r="CV706" s="11"/>
      <c r="CW706" s="11"/>
      <c r="CX706" s="11">
        <v>46241</v>
      </c>
      <c r="CY706" t="str">
        <f t="shared" si="140"/>
        <v>S32_2026</v>
      </c>
      <c r="CZ706" s="11"/>
      <c r="DA706" s="11"/>
      <c r="DB706" s="11"/>
      <c r="DC706" s="11" t="s">
        <v>120</v>
      </c>
    </row>
    <row r="707" spans="1:107" x14ac:dyDescent="0.35">
      <c r="A707" s="22" t="s">
        <v>2607</v>
      </c>
      <c r="B707" s="23" t="str">
        <f t="shared" si="146"/>
        <v>S34_2026</v>
      </c>
      <c r="C707" s="10" t="str">
        <f t="shared" si="147"/>
        <v>S30_2026</v>
      </c>
      <c r="D707" s="11">
        <v>46251</v>
      </c>
      <c r="E707" s="11" t="s">
        <v>106</v>
      </c>
      <c r="F707" s="24">
        <v>19</v>
      </c>
      <c r="G707" t="s">
        <v>1197</v>
      </c>
      <c r="H707" s="11" t="s">
        <v>108</v>
      </c>
      <c r="J707" t="s">
        <v>132</v>
      </c>
      <c r="L707" s="11" t="s">
        <v>248</v>
      </c>
      <c r="M707" s="11" t="s">
        <v>249</v>
      </c>
      <c r="N707" s="11" t="s">
        <v>1810</v>
      </c>
      <c r="P707" s="11" t="s">
        <v>1809</v>
      </c>
      <c r="Q707" s="11" t="s">
        <v>249</v>
      </c>
      <c r="R707" s="11">
        <v>46225</v>
      </c>
      <c r="T707" s="11">
        <v>46225</v>
      </c>
      <c r="V707" t="s">
        <v>132</v>
      </c>
      <c r="W707" t="s">
        <v>132</v>
      </c>
      <c r="X707" t="s">
        <v>114</v>
      </c>
      <c r="Y707" t="s">
        <v>114</v>
      </c>
      <c r="Z707" t="s">
        <v>132</v>
      </c>
      <c r="AA707" t="s">
        <v>132</v>
      </c>
      <c r="AB707" t="s">
        <v>114</v>
      </c>
      <c r="AC707" t="s">
        <v>1377</v>
      </c>
      <c r="AE707" t="s">
        <v>132</v>
      </c>
      <c r="AF707" t="s">
        <v>132</v>
      </c>
      <c r="AG707" t="s">
        <v>132</v>
      </c>
      <c r="AH707" t="s">
        <v>132</v>
      </c>
      <c r="AI707" t="s">
        <v>132</v>
      </c>
      <c r="AJ707" t="s">
        <v>132</v>
      </c>
      <c r="AK707" t="s">
        <v>132</v>
      </c>
      <c r="AM707" t="s">
        <v>132</v>
      </c>
      <c r="AN707" t="s">
        <v>114</v>
      </c>
      <c r="AO707" t="s">
        <v>2608</v>
      </c>
      <c r="AP707" t="s">
        <v>132</v>
      </c>
      <c r="AQ707" t="s">
        <v>132</v>
      </c>
      <c r="BB707" s="11" t="s">
        <v>114</v>
      </c>
      <c r="BC707" s="11">
        <v>46237</v>
      </c>
      <c r="BD707" t="s">
        <v>116</v>
      </c>
      <c r="BE707">
        <v>697313103</v>
      </c>
      <c r="BF707" s="11" t="s">
        <v>1810</v>
      </c>
      <c r="BK707" t="s">
        <v>253</v>
      </c>
      <c r="BL707" s="11" t="str">
        <f t="shared" si="138"/>
        <v>S32_2026</v>
      </c>
      <c r="BM707" t="s">
        <v>159</v>
      </c>
      <c r="BR707" t="s">
        <v>451</v>
      </c>
      <c r="BS707" s="23" t="s">
        <v>132</v>
      </c>
      <c r="CI707" t="s">
        <v>119</v>
      </c>
      <c r="CP707" s="11">
        <v>46251</v>
      </c>
      <c r="CX707" s="11">
        <v>46225</v>
      </c>
      <c r="CY707" t="str">
        <f t="shared" si="140"/>
        <v>S30_2026</v>
      </c>
      <c r="DC707" s="11" t="s">
        <v>1293</v>
      </c>
    </row>
  </sheetData>
  <conditionalFormatting sqref="F679:F1048576 F563:F568 F1 F571:F665 F669:F672">
    <cfRule type="duplicateValues" dxfId="3834" priority="4176"/>
  </conditionalFormatting>
  <conditionalFormatting sqref="F679:F1048576 F563:F568 F571:F665 F669:F672">
    <cfRule type="duplicateValues" dxfId="3833" priority="4172"/>
  </conditionalFormatting>
  <conditionalFormatting sqref="BT1:CG1">
    <cfRule type="duplicateValues" dxfId="3832" priority="4171"/>
  </conditionalFormatting>
  <conditionalFormatting sqref="BT1:CG1">
    <cfRule type="duplicateValues" dxfId="3831" priority="4169"/>
    <cfRule type="duplicateValues" dxfId="3830" priority="4170"/>
  </conditionalFormatting>
  <conditionalFormatting sqref="CH1">
    <cfRule type="duplicateValues" dxfId="3829" priority="4168"/>
  </conditionalFormatting>
  <conditionalFormatting sqref="CH1">
    <cfRule type="duplicateValues" dxfId="3828" priority="4166"/>
    <cfRule type="duplicateValues" dxfId="3827" priority="4167"/>
  </conditionalFormatting>
  <conditionalFormatting sqref="CI1">
    <cfRule type="duplicateValues" dxfId="3826" priority="4165"/>
  </conditionalFormatting>
  <conditionalFormatting sqref="CI1">
    <cfRule type="duplicateValues" dxfId="3825" priority="4162"/>
    <cfRule type="duplicateValues" dxfId="3824" priority="4163"/>
  </conditionalFormatting>
  <conditionalFormatting sqref="CI1">
    <cfRule type="duplicateValues" dxfId="3823" priority="4164"/>
  </conditionalFormatting>
  <conditionalFormatting sqref="CI1">
    <cfRule type="duplicateValues" dxfId="3822" priority="4161"/>
  </conditionalFormatting>
  <conditionalFormatting sqref="CI1">
    <cfRule type="duplicateValues" dxfId="3821" priority="4160"/>
  </conditionalFormatting>
  <conditionalFormatting sqref="CK1:CM1">
    <cfRule type="duplicateValues" dxfId="3820" priority="4159"/>
  </conditionalFormatting>
  <conditionalFormatting sqref="CK1:CM1">
    <cfRule type="duplicateValues" dxfId="3819" priority="4156"/>
    <cfRule type="duplicateValues" dxfId="3818" priority="4157"/>
  </conditionalFormatting>
  <conditionalFormatting sqref="CK1:CM1">
    <cfRule type="duplicateValues" dxfId="3817" priority="4158"/>
  </conditionalFormatting>
  <conditionalFormatting sqref="CK1:CM1">
    <cfRule type="duplicateValues" dxfId="3816" priority="4155"/>
  </conditionalFormatting>
  <conditionalFormatting sqref="CK1:CM1">
    <cfRule type="duplicateValues" dxfId="3815" priority="4154"/>
  </conditionalFormatting>
  <conditionalFormatting sqref="CQ1">
    <cfRule type="duplicateValues" dxfId="3814" priority="4153"/>
  </conditionalFormatting>
  <conditionalFormatting sqref="CQ1">
    <cfRule type="duplicateValues" dxfId="3813" priority="4150"/>
    <cfRule type="duplicateValues" dxfId="3812" priority="4151"/>
  </conditionalFormatting>
  <conditionalFormatting sqref="CQ1">
    <cfRule type="duplicateValues" dxfId="3811" priority="4152"/>
  </conditionalFormatting>
  <conditionalFormatting sqref="CQ1">
    <cfRule type="duplicateValues" dxfId="3810" priority="4149"/>
  </conditionalFormatting>
  <conditionalFormatting sqref="CQ1">
    <cfRule type="duplicateValues" dxfId="3809" priority="4148"/>
  </conditionalFormatting>
  <conditionalFormatting sqref="CR1">
    <cfRule type="duplicateValues" dxfId="3808" priority="4147"/>
  </conditionalFormatting>
  <conditionalFormatting sqref="CR1">
    <cfRule type="duplicateValues" dxfId="3807" priority="4144"/>
    <cfRule type="duplicateValues" dxfId="3806" priority="4145"/>
  </conditionalFormatting>
  <conditionalFormatting sqref="CR1">
    <cfRule type="duplicateValues" dxfId="3805" priority="4146"/>
  </conditionalFormatting>
  <conditionalFormatting sqref="CR1">
    <cfRule type="duplicateValues" dxfId="3804" priority="4143"/>
  </conditionalFormatting>
  <conditionalFormatting sqref="CR1">
    <cfRule type="duplicateValues" dxfId="3803" priority="4142"/>
  </conditionalFormatting>
  <conditionalFormatting sqref="CS1:CV1">
    <cfRule type="duplicateValues" dxfId="3802" priority="4141"/>
  </conditionalFormatting>
  <conditionalFormatting sqref="CS1:CV1">
    <cfRule type="duplicateValues" dxfId="3801" priority="4138"/>
    <cfRule type="duplicateValues" dxfId="3800" priority="4139"/>
  </conditionalFormatting>
  <conditionalFormatting sqref="CS1:CV1">
    <cfRule type="duplicateValues" dxfId="3799" priority="4140"/>
  </conditionalFormatting>
  <conditionalFormatting sqref="CS1:CV1">
    <cfRule type="duplicateValues" dxfId="3798" priority="4137"/>
  </conditionalFormatting>
  <conditionalFormatting sqref="CS1:CV1">
    <cfRule type="duplicateValues" dxfId="3797" priority="4136"/>
  </conditionalFormatting>
  <conditionalFormatting sqref="CW1">
    <cfRule type="duplicateValues" dxfId="3796" priority="4135"/>
  </conditionalFormatting>
  <conditionalFormatting sqref="CW1">
    <cfRule type="duplicateValues" dxfId="3795" priority="4132"/>
    <cfRule type="duplicateValues" dxfId="3794" priority="4133"/>
  </conditionalFormatting>
  <conditionalFormatting sqref="CW1">
    <cfRule type="duplicateValues" dxfId="3793" priority="4134"/>
  </conditionalFormatting>
  <conditionalFormatting sqref="CW1">
    <cfRule type="duplicateValues" dxfId="3792" priority="4131"/>
  </conditionalFormatting>
  <conditionalFormatting sqref="CW1">
    <cfRule type="duplicateValues" dxfId="3791" priority="4130"/>
  </conditionalFormatting>
  <conditionalFormatting sqref="A1 A563:A568 A571:A602 A604:A686 A688:A1048576">
    <cfRule type="duplicateValues" dxfId="3790" priority="4129"/>
  </conditionalFormatting>
  <conditionalFormatting sqref="A563:A568 A571:A602 A604:A686 A688:A1048576">
    <cfRule type="duplicateValues" dxfId="3789" priority="4128"/>
  </conditionalFormatting>
  <conditionalFormatting sqref="A2:DC1048576">
    <cfRule type="expression" dxfId="3788" priority="2834">
      <formula>$AV2="POSITIF"</formula>
    </cfRule>
  </conditionalFormatting>
  <conditionalFormatting sqref="A559">
    <cfRule type="expression" dxfId="3787" priority="2831">
      <formula>$AV559="POSITIF"</formula>
    </cfRule>
  </conditionalFormatting>
  <conditionalFormatting sqref="A560">
    <cfRule type="expression" dxfId="3786" priority="2802">
      <formula>$AV560="POSITIF"</formula>
    </cfRule>
  </conditionalFormatting>
  <conditionalFormatting sqref="A560">
    <cfRule type="expression" dxfId="3785" priority="2800">
      <formula>$AV560="POSITIF"</formula>
    </cfRule>
  </conditionalFormatting>
  <conditionalFormatting sqref="F559:F562">
    <cfRule type="duplicateValues" dxfId="3784" priority="4124"/>
  </conditionalFormatting>
  <conditionalFormatting sqref="F559:F562">
    <cfRule type="duplicateValues" dxfId="3783" priority="4119"/>
  </conditionalFormatting>
  <conditionalFormatting sqref="A560:A562">
    <cfRule type="duplicateValues" dxfId="3782" priority="4118"/>
  </conditionalFormatting>
  <conditionalFormatting sqref="A560:A562">
    <cfRule type="duplicateValues" dxfId="3781" priority="4116"/>
  </conditionalFormatting>
  <conditionalFormatting sqref="A560:A562">
    <cfRule type="duplicateValues" dxfId="3780" priority="4115"/>
  </conditionalFormatting>
  <conditionalFormatting sqref="F559:F562">
    <cfRule type="duplicateValues" dxfId="3779" priority="4114"/>
  </conditionalFormatting>
  <conditionalFormatting sqref="A560:A562">
    <cfRule type="duplicateValues" dxfId="3778" priority="4113"/>
  </conditionalFormatting>
  <conditionalFormatting sqref="F559:F562">
    <cfRule type="duplicateValues" dxfId="3777" priority="4112"/>
  </conditionalFormatting>
  <conditionalFormatting sqref="F559:F562">
    <cfRule type="duplicateValues" dxfId="3776" priority="4110"/>
  </conditionalFormatting>
  <conditionalFormatting sqref="A560:A562">
    <cfRule type="duplicateValues" dxfId="3775" priority="4109"/>
  </conditionalFormatting>
  <conditionalFormatting sqref="F559:F562">
    <cfRule type="duplicateValues" dxfId="3774" priority="4108"/>
  </conditionalFormatting>
  <conditionalFormatting sqref="A560:A562">
    <cfRule type="duplicateValues" dxfId="3773" priority="4107"/>
  </conditionalFormatting>
  <conditionalFormatting sqref="F559:F562">
    <cfRule type="duplicateValues" dxfId="3772" priority="4106"/>
  </conditionalFormatting>
  <conditionalFormatting sqref="F559:F562">
    <cfRule type="duplicateValues" dxfId="3771" priority="4105"/>
  </conditionalFormatting>
  <conditionalFormatting sqref="A560:A562">
    <cfRule type="duplicateValues" dxfId="3770" priority="4103"/>
  </conditionalFormatting>
  <conditionalFormatting sqref="A560:A562">
    <cfRule type="duplicateValues" dxfId="3769" priority="4102"/>
  </conditionalFormatting>
  <conditionalFormatting sqref="F559:F562">
    <cfRule type="duplicateValues" dxfId="3768" priority="4101"/>
  </conditionalFormatting>
  <conditionalFormatting sqref="A560:A562">
    <cfRule type="duplicateValues" dxfId="3767" priority="4099"/>
  </conditionalFormatting>
  <conditionalFormatting sqref="F559:F562">
    <cfRule type="duplicateValues" dxfId="3766" priority="4097"/>
  </conditionalFormatting>
  <conditionalFormatting sqref="A560:A562">
    <cfRule type="duplicateValues" dxfId="3765" priority="4096"/>
  </conditionalFormatting>
  <conditionalFormatting sqref="F559:F562">
    <cfRule type="duplicateValues" dxfId="3764" priority="4095"/>
  </conditionalFormatting>
  <conditionalFormatting sqref="A560:A562">
    <cfRule type="duplicateValues" dxfId="3763" priority="4093"/>
  </conditionalFormatting>
  <conditionalFormatting sqref="F559:F562">
    <cfRule type="duplicateValues" dxfId="3762" priority="4091"/>
  </conditionalFormatting>
  <conditionalFormatting sqref="A560:A562">
    <cfRule type="duplicateValues" dxfId="3761" priority="4090"/>
  </conditionalFormatting>
  <conditionalFormatting sqref="A560:A562">
    <cfRule type="duplicateValues" dxfId="3760" priority="4088"/>
  </conditionalFormatting>
  <conditionalFormatting sqref="A560:A562">
    <cfRule type="duplicateValues" dxfId="3759" priority="4086"/>
  </conditionalFormatting>
  <conditionalFormatting sqref="F559:F562">
    <cfRule type="duplicateValues" dxfId="3758" priority="4085"/>
  </conditionalFormatting>
  <conditionalFormatting sqref="A560:A562">
    <cfRule type="duplicateValues" dxfId="3757" priority="4083"/>
  </conditionalFormatting>
  <conditionalFormatting sqref="A560:A562">
    <cfRule type="duplicateValues" dxfId="3756" priority="4082"/>
  </conditionalFormatting>
  <conditionalFormatting sqref="F559:F562">
    <cfRule type="duplicateValues" dxfId="3755" priority="4080"/>
  </conditionalFormatting>
  <conditionalFormatting sqref="A560:A562">
    <cfRule type="duplicateValues" dxfId="3754" priority="4077"/>
  </conditionalFormatting>
  <conditionalFormatting sqref="F559:F562">
    <cfRule type="duplicateValues" dxfId="3753" priority="4076"/>
  </conditionalFormatting>
  <conditionalFormatting sqref="A560:A562">
    <cfRule type="duplicateValues" dxfId="3752" priority="4075"/>
  </conditionalFormatting>
  <conditionalFormatting sqref="A560:A562">
    <cfRule type="duplicateValues" dxfId="3751" priority="4073"/>
  </conditionalFormatting>
  <conditionalFormatting sqref="A560:A562">
    <cfRule type="duplicateValues" dxfId="3750" priority="4071"/>
  </conditionalFormatting>
  <conditionalFormatting sqref="A560:A562">
    <cfRule type="duplicateValues" dxfId="3749" priority="4069"/>
  </conditionalFormatting>
  <conditionalFormatting sqref="A560:A562">
    <cfRule type="duplicateValues" dxfId="3748" priority="4068"/>
  </conditionalFormatting>
  <conditionalFormatting sqref="A560:A562">
    <cfRule type="duplicateValues" dxfId="3747" priority="4066"/>
  </conditionalFormatting>
  <conditionalFormatting sqref="A560:A562">
    <cfRule type="duplicateValues" dxfId="3746" priority="4064"/>
  </conditionalFormatting>
  <conditionalFormatting sqref="A560:A562">
    <cfRule type="duplicateValues" dxfId="3745" priority="4062"/>
  </conditionalFormatting>
  <conditionalFormatting sqref="A560:A562">
    <cfRule type="duplicateValues" dxfId="3744" priority="4060"/>
  </conditionalFormatting>
  <conditionalFormatting sqref="A560:A562">
    <cfRule type="duplicateValues" dxfId="3743" priority="4058"/>
  </conditionalFormatting>
  <conditionalFormatting sqref="A560:A562">
    <cfRule type="duplicateValues" dxfId="3742" priority="4056"/>
  </conditionalFormatting>
  <conditionalFormatting sqref="F554:F558">
    <cfRule type="duplicateValues" dxfId="3741" priority="4054"/>
  </conditionalFormatting>
  <conditionalFormatting sqref="F554:F558">
    <cfRule type="duplicateValues" dxfId="3740" priority="4049"/>
  </conditionalFormatting>
  <conditionalFormatting sqref="A558">
    <cfRule type="duplicateValues" dxfId="3739" priority="4048"/>
  </conditionalFormatting>
  <conditionalFormatting sqref="A558">
    <cfRule type="duplicateValues" dxfId="3738" priority="4046"/>
  </conditionalFormatting>
  <conditionalFormatting sqref="A558">
    <cfRule type="duplicateValues" dxfId="3737" priority="4045"/>
  </conditionalFormatting>
  <conditionalFormatting sqref="F554:F558">
    <cfRule type="duplicateValues" dxfId="3736" priority="4044"/>
  </conditionalFormatting>
  <conditionalFormatting sqref="A558">
    <cfRule type="duplicateValues" dxfId="3735" priority="4043"/>
  </conditionalFormatting>
  <conditionalFormatting sqref="F554:F558">
    <cfRule type="duplicateValues" dxfId="3734" priority="4042"/>
  </conditionalFormatting>
  <conditionalFormatting sqref="F554:F558">
    <cfRule type="duplicateValues" dxfId="3733" priority="4040"/>
  </conditionalFormatting>
  <conditionalFormatting sqref="A558">
    <cfRule type="duplicateValues" dxfId="3732" priority="4039"/>
  </conditionalFormatting>
  <conditionalFormatting sqref="F554:F558">
    <cfRule type="duplicateValues" dxfId="3731" priority="4038"/>
  </conditionalFormatting>
  <conditionalFormatting sqref="A558">
    <cfRule type="duplicateValues" dxfId="3730" priority="4037"/>
  </conditionalFormatting>
  <conditionalFormatting sqref="F554:F558">
    <cfRule type="duplicateValues" dxfId="3729" priority="4036"/>
  </conditionalFormatting>
  <conditionalFormatting sqref="F554:F558">
    <cfRule type="duplicateValues" dxfId="3728" priority="4035"/>
  </conditionalFormatting>
  <conditionalFormatting sqref="A558">
    <cfRule type="duplicateValues" dxfId="3727" priority="4033"/>
  </conditionalFormatting>
  <conditionalFormatting sqref="A558">
    <cfRule type="duplicateValues" dxfId="3726" priority="4032"/>
  </conditionalFormatting>
  <conditionalFormatting sqref="F554:F558">
    <cfRule type="duplicateValues" dxfId="3725" priority="4031"/>
  </conditionalFormatting>
  <conditionalFormatting sqref="A558">
    <cfRule type="duplicateValues" dxfId="3724" priority="4029"/>
  </conditionalFormatting>
  <conditionalFormatting sqref="F554:F558">
    <cfRule type="duplicateValues" dxfId="3723" priority="4027"/>
  </conditionalFormatting>
  <conditionalFormatting sqref="A558">
    <cfRule type="duplicateValues" dxfId="3722" priority="4026"/>
  </conditionalFormatting>
  <conditionalFormatting sqref="F554:F558">
    <cfRule type="duplicateValues" dxfId="3721" priority="4025"/>
  </conditionalFormatting>
  <conditionalFormatting sqref="A558">
    <cfRule type="duplicateValues" dxfId="3720" priority="4023"/>
  </conditionalFormatting>
  <conditionalFormatting sqref="F554:F558">
    <cfRule type="duplicateValues" dxfId="3719" priority="4021"/>
  </conditionalFormatting>
  <conditionalFormatting sqref="A558">
    <cfRule type="duplicateValues" dxfId="3718" priority="4020"/>
  </conditionalFormatting>
  <conditionalFormatting sqref="A558">
    <cfRule type="duplicateValues" dxfId="3717" priority="4018"/>
  </conditionalFormatting>
  <conditionalFormatting sqref="A558">
    <cfRule type="duplicateValues" dxfId="3716" priority="4016"/>
  </conditionalFormatting>
  <conditionalFormatting sqref="F554:F558">
    <cfRule type="duplicateValues" dxfId="3715" priority="4015"/>
  </conditionalFormatting>
  <conditionalFormatting sqref="A558">
    <cfRule type="duplicateValues" dxfId="3714" priority="4013"/>
  </conditionalFormatting>
  <conditionalFormatting sqref="A558">
    <cfRule type="duplicateValues" dxfId="3713" priority="4012"/>
  </conditionalFormatting>
  <conditionalFormatting sqref="F554:F558">
    <cfRule type="duplicateValues" dxfId="3712" priority="4010"/>
  </conditionalFormatting>
  <conditionalFormatting sqref="A558">
    <cfRule type="duplicateValues" dxfId="3711" priority="4007"/>
  </conditionalFormatting>
  <conditionalFormatting sqref="F554:F558">
    <cfRule type="duplicateValues" dxfId="3710" priority="4006"/>
  </conditionalFormatting>
  <conditionalFormatting sqref="A558">
    <cfRule type="duplicateValues" dxfId="3709" priority="4005"/>
  </conditionalFormatting>
  <conditionalFormatting sqref="A558">
    <cfRule type="duplicateValues" dxfId="3708" priority="4003"/>
  </conditionalFormatting>
  <conditionalFormatting sqref="A558">
    <cfRule type="duplicateValues" dxfId="3707" priority="4001"/>
  </conditionalFormatting>
  <conditionalFormatting sqref="A558">
    <cfRule type="duplicateValues" dxfId="3706" priority="3999"/>
  </conditionalFormatting>
  <conditionalFormatting sqref="A558">
    <cfRule type="duplicateValues" dxfId="3705" priority="3998"/>
  </conditionalFormatting>
  <conditionalFormatting sqref="A558">
    <cfRule type="duplicateValues" dxfId="3704" priority="3996"/>
  </conditionalFormatting>
  <conditionalFormatting sqref="A558">
    <cfRule type="duplicateValues" dxfId="3703" priority="3994"/>
  </conditionalFormatting>
  <conditionalFormatting sqref="A558">
    <cfRule type="duplicateValues" dxfId="3702" priority="3992"/>
  </conditionalFormatting>
  <conditionalFormatting sqref="A558">
    <cfRule type="duplicateValues" dxfId="3701" priority="3990"/>
  </conditionalFormatting>
  <conditionalFormatting sqref="A558">
    <cfRule type="duplicateValues" dxfId="3700" priority="3988"/>
  </conditionalFormatting>
  <conditionalFormatting sqref="A558">
    <cfRule type="duplicateValues" dxfId="3699" priority="3986"/>
  </conditionalFormatting>
  <conditionalFormatting sqref="F553">
    <cfRule type="duplicateValues" dxfId="3698" priority="3984"/>
  </conditionalFormatting>
  <conditionalFormatting sqref="F553">
    <cfRule type="duplicateValues" dxfId="3697" priority="3979"/>
  </conditionalFormatting>
  <conditionalFormatting sqref="A553">
    <cfRule type="duplicateValues" dxfId="3696" priority="3978"/>
  </conditionalFormatting>
  <conditionalFormatting sqref="A553">
    <cfRule type="duplicateValues" dxfId="3695" priority="3976"/>
  </conditionalFormatting>
  <conditionalFormatting sqref="A553">
    <cfRule type="duplicateValues" dxfId="3694" priority="3975"/>
  </conditionalFormatting>
  <conditionalFormatting sqref="F553">
    <cfRule type="duplicateValues" dxfId="3693" priority="3974"/>
  </conditionalFormatting>
  <conditionalFormatting sqref="A553">
    <cfRule type="duplicateValues" dxfId="3692" priority="3973"/>
  </conditionalFormatting>
  <conditionalFormatting sqref="F553">
    <cfRule type="duplicateValues" dxfId="3691" priority="3972"/>
  </conditionalFormatting>
  <conditionalFormatting sqref="F553">
    <cfRule type="duplicateValues" dxfId="3690" priority="3970"/>
  </conditionalFormatting>
  <conditionalFormatting sqref="A553">
    <cfRule type="duplicateValues" dxfId="3689" priority="3969"/>
  </conditionalFormatting>
  <conditionalFormatting sqref="F553">
    <cfRule type="duplicateValues" dxfId="3688" priority="3968"/>
  </conditionalFormatting>
  <conditionalFormatting sqref="A553">
    <cfRule type="duplicateValues" dxfId="3687" priority="3967"/>
  </conditionalFormatting>
  <conditionalFormatting sqref="F553">
    <cfRule type="duplicateValues" dxfId="3686" priority="3966"/>
  </conditionalFormatting>
  <conditionalFormatting sqref="F553">
    <cfRule type="duplicateValues" dxfId="3685" priority="3965"/>
  </conditionalFormatting>
  <conditionalFormatting sqref="A553">
    <cfRule type="duplicateValues" dxfId="3684" priority="3963"/>
  </conditionalFormatting>
  <conditionalFormatting sqref="A553">
    <cfRule type="duplicateValues" dxfId="3683" priority="3962"/>
  </conditionalFormatting>
  <conditionalFormatting sqref="F553">
    <cfRule type="duplicateValues" dxfId="3682" priority="3961"/>
  </conditionalFormatting>
  <conditionalFormatting sqref="A553">
    <cfRule type="duplicateValues" dxfId="3681" priority="3959"/>
  </conditionalFormatting>
  <conditionalFormatting sqref="F553">
    <cfRule type="duplicateValues" dxfId="3680" priority="3957"/>
  </conditionalFormatting>
  <conditionalFormatting sqref="A553">
    <cfRule type="duplicateValues" dxfId="3679" priority="3956"/>
  </conditionalFormatting>
  <conditionalFormatting sqref="F553">
    <cfRule type="duplicateValues" dxfId="3678" priority="3955"/>
  </conditionalFormatting>
  <conditionalFormatting sqref="A553">
    <cfRule type="duplicateValues" dxfId="3677" priority="3953"/>
  </conditionalFormatting>
  <conditionalFormatting sqref="F553">
    <cfRule type="duplicateValues" dxfId="3676" priority="3951"/>
  </conditionalFormatting>
  <conditionalFormatting sqref="A553">
    <cfRule type="duplicateValues" dxfId="3675" priority="3950"/>
  </conditionalFormatting>
  <conditionalFormatting sqref="A553">
    <cfRule type="duplicateValues" dxfId="3674" priority="3948"/>
  </conditionalFormatting>
  <conditionalFormatting sqref="A553">
    <cfRule type="duplicateValues" dxfId="3673" priority="3946"/>
  </conditionalFormatting>
  <conditionalFormatting sqref="F553">
    <cfRule type="duplicateValues" dxfId="3672" priority="3945"/>
  </conditionalFormatting>
  <conditionalFormatting sqref="A553">
    <cfRule type="duplicateValues" dxfId="3671" priority="3943"/>
  </conditionalFormatting>
  <conditionalFormatting sqref="A553">
    <cfRule type="duplicateValues" dxfId="3670" priority="3942"/>
  </conditionalFormatting>
  <conditionalFormatting sqref="F553">
    <cfRule type="duplicateValues" dxfId="3669" priority="3940"/>
  </conditionalFormatting>
  <conditionalFormatting sqref="A553">
    <cfRule type="duplicateValues" dxfId="3668" priority="3937"/>
  </conditionalFormatting>
  <conditionalFormatting sqref="F553">
    <cfRule type="duplicateValues" dxfId="3667" priority="3936"/>
  </conditionalFormatting>
  <conditionalFormatting sqref="A553">
    <cfRule type="duplicateValues" dxfId="3666" priority="3935"/>
  </conditionalFormatting>
  <conditionalFormatting sqref="A553">
    <cfRule type="duplicateValues" dxfId="3665" priority="3933"/>
  </conditionalFormatting>
  <conditionalFormatting sqref="A553">
    <cfRule type="duplicateValues" dxfId="3664" priority="3931"/>
  </conditionalFormatting>
  <conditionalFormatting sqref="A553">
    <cfRule type="duplicateValues" dxfId="3663" priority="3929"/>
  </conditionalFormatting>
  <conditionalFormatting sqref="A553">
    <cfRule type="duplicateValues" dxfId="3662" priority="3928"/>
  </conditionalFormatting>
  <conditionalFormatting sqref="A553">
    <cfRule type="duplicateValues" dxfId="3661" priority="3926"/>
  </conditionalFormatting>
  <conditionalFormatting sqref="A553">
    <cfRule type="duplicateValues" dxfId="3660" priority="3924"/>
  </conditionalFormatting>
  <conditionalFormatting sqref="A553">
    <cfRule type="duplicateValues" dxfId="3659" priority="3922"/>
  </conditionalFormatting>
  <conditionalFormatting sqref="A553">
    <cfRule type="duplicateValues" dxfId="3658" priority="3920"/>
  </conditionalFormatting>
  <conditionalFormatting sqref="A553">
    <cfRule type="duplicateValues" dxfId="3657" priority="3918"/>
  </conditionalFormatting>
  <conditionalFormatting sqref="A553">
    <cfRule type="duplicateValues" dxfId="3656" priority="3916"/>
  </conditionalFormatting>
  <conditionalFormatting sqref="F548:F552">
    <cfRule type="duplicateValues" dxfId="3655" priority="3913"/>
  </conditionalFormatting>
  <conditionalFormatting sqref="F548:F552">
    <cfRule type="duplicateValues" dxfId="3654" priority="3908"/>
  </conditionalFormatting>
  <conditionalFormatting sqref="A548:A552">
    <cfRule type="duplicateValues" dxfId="3653" priority="3907"/>
  </conditionalFormatting>
  <conditionalFormatting sqref="A548:A552">
    <cfRule type="duplicateValues" dxfId="3652" priority="3905"/>
  </conditionalFormatting>
  <conditionalFormatting sqref="A548:A552">
    <cfRule type="duplicateValues" dxfId="3651" priority="3904"/>
  </conditionalFormatting>
  <conditionalFormatting sqref="F548:F552">
    <cfRule type="duplicateValues" dxfId="3650" priority="3903"/>
  </conditionalFormatting>
  <conditionalFormatting sqref="A548:A552">
    <cfRule type="duplicateValues" dxfId="3649" priority="3902"/>
  </conditionalFormatting>
  <conditionalFormatting sqref="F548:F552">
    <cfRule type="duplicateValues" dxfId="3648" priority="3901"/>
  </conditionalFormatting>
  <conditionalFormatting sqref="F548:F552">
    <cfRule type="duplicateValues" dxfId="3647" priority="3899"/>
  </conditionalFormatting>
  <conditionalFormatting sqref="A548:A552">
    <cfRule type="duplicateValues" dxfId="3646" priority="3898"/>
  </conditionalFormatting>
  <conditionalFormatting sqref="F548:F552">
    <cfRule type="duplicateValues" dxfId="3645" priority="3897"/>
  </conditionalFormatting>
  <conditionalFormatting sqref="A548:A552">
    <cfRule type="duplicateValues" dxfId="3644" priority="3896"/>
  </conditionalFormatting>
  <conditionalFormatting sqref="F548:F552">
    <cfRule type="duplicateValues" dxfId="3643" priority="3895"/>
  </conditionalFormatting>
  <conditionalFormatting sqref="F548:F552">
    <cfRule type="duplicateValues" dxfId="3642" priority="3894"/>
  </conditionalFormatting>
  <conditionalFormatting sqref="A548:A552">
    <cfRule type="duplicateValues" dxfId="3641" priority="3892"/>
  </conditionalFormatting>
  <conditionalFormatting sqref="A548:A552">
    <cfRule type="duplicateValues" dxfId="3640" priority="3891"/>
  </conditionalFormatting>
  <conditionalFormatting sqref="F548:F552">
    <cfRule type="duplicateValues" dxfId="3639" priority="3890"/>
  </conditionalFormatting>
  <conditionalFormatting sqref="A548:A552">
    <cfRule type="duplicateValues" dxfId="3638" priority="3888"/>
  </conditionalFormatting>
  <conditionalFormatting sqref="F548:F552">
    <cfRule type="duplicateValues" dxfId="3637" priority="3886"/>
  </conditionalFormatting>
  <conditionalFormatting sqref="A548:A552">
    <cfRule type="duplicateValues" dxfId="3636" priority="3885"/>
  </conditionalFormatting>
  <conditionalFormatting sqref="F548:F552">
    <cfRule type="duplicateValues" dxfId="3635" priority="3884"/>
  </conditionalFormatting>
  <conditionalFormatting sqref="A548:A552">
    <cfRule type="duplicateValues" dxfId="3634" priority="3882"/>
  </conditionalFormatting>
  <conditionalFormatting sqref="F548:F552">
    <cfRule type="duplicateValues" dxfId="3633" priority="3880"/>
  </conditionalFormatting>
  <conditionalFormatting sqref="A548:A552">
    <cfRule type="duplicateValues" dxfId="3632" priority="3879"/>
  </conditionalFormatting>
  <conditionalFormatting sqref="A548:A552">
    <cfRule type="duplicateValues" dxfId="3631" priority="3877"/>
  </conditionalFormatting>
  <conditionalFormatting sqref="A548:A552">
    <cfRule type="duplicateValues" dxfId="3630" priority="3875"/>
  </conditionalFormatting>
  <conditionalFormatting sqref="F548:F552">
    <cfRule type="duplicateValues" dxfId="3629" priority="3874"/>
  </conditionalFormatting>
  <conditionalFormatting sqref="A548:A552">
    <cfRule type="duplicateValues" dxfId="3628" priority="3872"/>
  </conditionalFormatting>
  <conditionalFormatting sqref="A548:A552">
    <cfRule type="duplicateValues" dxfId="3627" priority="3871"/>
  </conditionalFormatting>
  <conditionalFormatting sqref="F548:F552">
    <cfRule type="duplicateValues" dxfId="3626" priority="3869"/>
  </conditionalFormatting>
  <conditionalFormatting sqref="A548:A552">
    <cfRule type="duplicateValues" dxfId="3625" priority="3866"/>
  </conditionalFormatting>
  <conditionalFormatting sqref="F548:F552">
    <cfRule type="duplicateValues" dxfId="3624" priority="3865"/>
  </conditionalFormatting>
  <conditionalFormatting sqref="A548:A552">
    <cfRule type="duplicateValues" dxfId="3623" priority="3864"/>
  </conditionalFormatting>
  <conditionalFormatting sqref="A548:A552">
    <cfRule type="duplicateValues" dxfId="3622" priority="3862"/>
  </conditionalFormatting>
  <conditionalFormatting sqref="A548:A552">
    <cfRule type="duplicateValues" dxfId="3621" priority="3860"/>
  </conditionalFormatting>
  <conditionalFormatting sqref="A548:A552">
    <cfRule type="duplicateValues" dxfId="3620" priority="3858"/>
  </conditionalFormatting>
  <conditionalFormatting sqref="A548:A552">
    <cfRule type="duplicateValues" dxfId="3619" priority="3857"/>
  </conditionalFormatting>
  <conditionalFormatting sqref="A548:A552">
    <cfRule type="duplicateValues" dxfId="3618" priority="3855"/>
  </conditionalFormatting>
  <conditionalFormatting sqref="A548:A552">
    <cfRule type="duplicateValues" dxfId="3617" priority="3853"/>
  </conditionalFormatting>
  <conditionalFormatting sqref="A548:A552">
    <cfRule type="duplicateValues" dxfId="3616" priority="3851"/>
  </conditionalFormatting>
  <conditionalFormatting sqref="A548:A552">
    <cfRule type="duplicateValues" dxfId="3615" priority="3849"/>
  </conditionalFormatting>
  <conditionalFormatting sqref="A548:A552">
    <cfRule type="duplicateValues" dxfId="3614" priority="3847"/>
  </conditionalFormatting>
  <conditionalFormatting sqref="A548:A552">
    <cfRule type="duplicateValues" dxfId="3613" priority="3845"/>
  </conditionalFormatting>
  <conditionalFormatting sqref="F541 F498:F501 F487:F488 F379:F380 F117:F224 F2:F80 F82:F113 F226:F236 F255:F300 F302:F310 F312:F335 F338:F341 F343:F344 F346 F367:F377 F383:F389 F393:F394 F401:F406 F410:F414 F422:F432 F434:F436 F442:F444 F447:F451 F455:F485 F505 F507 F510:F515">
    <cfRule type="duplicateValues" dxfId="3612" priority="3843"/>
  </conditionalFormatting>
  <conditionalFormatting sqref="F225">
    <cfRule type="duplicateValues" dxfId="3611" priority="3839"/>
  </conditionalFormatting>
  <conditionalFormatting sqref="F541 F498:F501 F487:F488 F379:F380 F2:F300 F302:F310 F312:F335 F338:F341 F343:F344 F346 F367:F377 F383:F389 F393:F394 F401:F406 F410:F414 F422:F432 F434:F436 F442:F444 F447:F451 F455:F485 F505 F507 F510:F515">
    <cfRule type="duplicateValues" dxfId="3610" priority="3832"/>
  </conditionalFormatting>
  <conditionalFormatting sqref="F347">
    <cfRule type="duplicateValues" dxfId="3609" priority="3817"/>
  </conditionalFormatting>
  <conditionalFormatting sqref="F347">
    <cfRule type="duplicateValues" dxfId="3608" priority="3822"/>
  </conditionalFormatting>
  <conditionalFormatting sqref="F348:F363 F365">
    <cfRule type="duplicateValues" dxfId="3607" priority="3810"/>
  </conditionalFormatting>
  <conditionalFormatting sqref="F348:F363">
    <cfRule type="duplicateValues" dxfId="3606" priority="3815"/>
  </conditionalFormatting>
  <conditionalFormatting sqref="F366">
    <cfRule type="duplicateValues" dxfId="3605" priority="3803"/>
  </conditionalFormatting>
  <conditionalFormatting sqref="F366">
    <cfRule type="duplicateValues" dxfId="3604" priority="3808"/>
  </conditionalFormatting>
  <conditionalFormatting sqref="A541 A2:A377 A379:A380 A383:A389 A393:A394 A400:A406 A410:A414 A422:A432 A434:A436 A442:A444 A447:A451 A455:A485 A487:A488 A505 A498:A501 A507 A510:A515">
    <cfRule type="duplicateValues" dxfId="3603" priority="3802"/>
  </conditionalFormatting>
  <conditionalFormatting sqref="A378">
    <cfRule type="duplicateValues" dxfId="3602" priority="3800"/>
  </conditionalFormatting>
  <conditionalFormatting sqref="A541 A2:A380 A383:A389 A393:A394 A400:A406 A410:A414 A422:A432 A434:A436 A442:A444 A447:A451 A455:A485 A487:A488 A505 A498:A501 A507 A510:A515">
    <cfRule type="duplicateValues" dxfId="3601" priority="3799"/>
  </conditionalFormatting>
  <conditionalFormatting sqref="F381:F382">
    <cfRule type="duplicateValues" dxfId="3600" priority="3797"/>
  </conditionalFormatting>
  <conditionalFormatting sqref="F381:F382">
    <cfRule type="duplicateValues" dxfId="3599" priority="3792"/>
  </conditionalFormatting>
  <conditionalFormatting sqref="A381:A382">
    <cfRule type="duplicateValues" dxfId="3598" priority="3791"/>
  </conditionalFormatting>
  <conditionalFormatting sqref="A381:A382">
    <cfRule type="duplicateValues" dxfId="3597" priority="3789"/>
  </conditionalFormatting>
  <conditionalFormatting sqref="A390:A392">
    <cfRule type="duplicateValues" dxfId="3596" priority="3788"/>
  </conditionalFormatting>
  <conditionalFormatting sqref="A390:A392">
    <cfRule type="duplicateValues" dxfId="3595" priority="3787"/>
  </conditionalFormatting>
  <conditionalFormatting sqref="A541 A2:A394 A400:A406 A410:A414 A422:A432 A434:A436 A442:A444 A447:A451 A455:A485 A487:A488 A505 A498:A501 A507 A510:A515">
    <cfRule type="duplicateValues" dxfId="3594" priority="3786"/>
  </conditionalFormatting>
  <conditionalFormatting sqref="F541 F498:F501 F487:F488 F2:F394 F401:F406 F410:F414 F422:F432 F434:F436 F442:F444 F447:F451 F455:F485 F505 F507 F510:F515">
    <cfRule type="duplicateValues" dxfId="3593" priority="3785"/>
  </conditionalFormatting>
  <conditionalFormatting sqref="A395">
    <cfRule type="duplicateValues" dxfId="3592" priority="3784"/>
  </conditionalFormatting>
  <conditionalFormatting sqref="A395">
    <cfRule type="duplicateValues" dxfId="3591" priority="3783"/>
  </conditionalFormatting>
  <conditionalFormatting sqref="A395">
    <cfRule type="duplicateValues" dxfId="3590" priority="3782"/>
  </conditionalFormatting>
  <conditionalFormatting sqref="A541 A2:A395 A400:A406 A410:A414 A422:A432 A434:A436 A442:A444 A447:A451 A455:A485 A487:A488 A505 A498:A501 A507 A510:A515">
    <cfRule type="duplicateValues" dxfId="3589" priority="3781"/>
  </conditionalFormatting>
  <conditionalFormatting sqref="F541 F498:F501 F487:F488 F2:F395 F401:F406 F410:F414 F422:F432 F434:F436 F442:F444 F447:F451 F455:F485 F505 F507 F510:F515">
    <cfRule type="duplicateValues" dxfId="3588" priority="3780"/>
  </conditionalFormatting>
  <conditionalFormatting sqref="F541 F498:F501 F487:F488 F2:F398 F401:F406 F410:F414 F422:F432 F434:F436 F442:F444 F447:F451 F455:F485 F505 F507 F510:F515">
    <cfRule type="duplicateValues" dxfId="3587" priority="3778"/>
  </conditionalFormatting>
  <conditionalFormatting sqref="A396">
    <cfRule type="duplicateValues" dxfId="3586" priority="3777"/>
  </conditionalFormatting>
  <conditionalFormatting sqref="A396">
    <cfRule type="duplicateValues" dxfId="3585" priority="3776"/>
  </conditionalFormatting>
  <conditionalFormatting sqref="A396">
    <cfRule type="duplicateValues" dxfId="3584" priority="3775"/>
  </conditionalFormatting>
  <conditionalFormatting sqref="A396">
    <cfRule type="duplicateValues" dxfId="3583" priority="3774"/>
  </conditionalFormatting>
  <conditionalFormatting sqref="A541 A2:A398 A400:A406 A410:A414 A422:A432 A434:A436 A442:A444 A447:A451 A455:A485 A487:A488 A505 A498:A501 A507 A510:A515">
    <cfRule type="duplicateValues" dxfId="3582" priority="3773"/>
  </conditionalFormatting>
  <conditionalFormatting sqref="A397">
    <cfRule type="duplicateValues" dxfId="3581" priority="3772"/>
  </conditionalFormatting>
  <conditionalFormatting sqref="A397">
    <cfRule type="duplicateValues" dxfId="3580" priority="3771"/>
  </conditionalFormatting>
  <conditionalFormatting sqref="A397">
    <cfRule type="duplicateValues" dxfId="3579" priority="3770"/>
  </conditionalFormatting>
  <conditionalFormatting sqref="A397">
    <cfRule type="duplicateValues" dxfId="3578" priority="3769"/>
  </conditionalFormatting>
  <conditionalFormatting sqref="A398">
    <cfRule type="duplicateValues" dxfId="3577" priority="3768"/>
  </conditionalFormatting>
  <conditionalFormatting sqref="A398">
    <cfRule type="duplicateValues" dxfId="3576" priority="3767"/>
  </conditionalFormatting>
  <conditionalFormatting sqref="A398">
    <cfRule type="duplicateValues" dxfId="3575" priority="3766"/>
  </conditionalFormatting>
  <conditionalFormatting sqref="A398">
    <cfRule type="duplicateValues" dxfId="3574" priority="3765"/>
  </conditionalFormatting>
  <conditionalFormatting sqref="F541 F498:F501 F487:F488 F2:F399 F401:F406 F410:F414 F422:F432 F434:F436 F442:F444 F447:F451 F455:F485 F505 F507 F510:F515">
    <cfRule type="duplicateValues" dxfId="3573" priority="3764"/>
  </conditionalFormatting>
  <conditionalFormatting sqref="A399">
    <cfRule type="duplicateValues" dxfId="3572" priority="3763"/>
  </conditionalFormatting>
  <conditionalFormatting sqref="A399">
    <cfRule type="duplicateValues" dxfId="3571" priority="3762"/>
  </conditionalFormatting>
  <conditionalFormatting sqref="A399">
    <cfRule type="duplicateValues" dxfId="3570" priority="3761"/>
  </conditionalFormatting>
  <conditionalFormatting sqref="A399">
    <cfRule type="duplicateValues" dxfId="3569" priority="3760"/>
  </conditionalFormatting>
  <conditionalFormatting sqref="A399">
    <cfRule type="duplicateValues" dxfId="3568" priority="3759"/>
  </conditionalFormatting>
  <conditionalFormatting sqref="A541 A2:A406 A410:A414 A422:A432 A434:A436 A442:A444 A447:A451 A455:A485 A487:A488 A505 A498:A501 A507 A510:A515">
    <cfRule type="duplicateValues" dxfId="3567" priority="3758"/>
  </conditionalFormatting>
  <conditionalFormatting sqref="A400">
    <cfRule type="duplicateValues" dxfId="3566" priority="3757"/>
  </conditionalFormatting>
  <conditionalFormatting sqref="A400">
    <cfRule type="duplicateValues" dxfId="3565" priority="3756"/>
  </conditionalFormatting>
  <conditionalFormatting sqref="A400">
    <cfRule type="duplicateValues" dxfId="3564" priority="3755"/>
  </conditionalFormatting>
  <conditionalFormatting sqref="A400">
    <cfRule type="duplicateValues" dxfId="3563" priority="3754"/>
  </conditionalFormatting>
  <conditionalFormatting sqref="A400">
    <cfRule type="duplicateValues" dxfId="3562" priority="3753"/>
  </conditionalFormatting>
  <conditionalFormatting sqref="F541 F498:F501 F487:F488 F2:F406 F410:F414 F422:F432 F434:F436 F442:F444 F447:F451 F455:F485 F505 F507 F510:F515">
    <cfRule type="duplicateValues" dxfId="3561" priority="3752"/>
  </conditionalFormatting>
  <conditionalFormatting sqref="F541 F498:F501 F487:F488 F2:F414 F422:F432 F434:F436 F442:F444 F447:F451 F455:F485 F505 F507 F510:F515">
    <cfRule type="duplicateValues" dxfId="3560" priority="3751"/>
  </conditionalFormatting>
  <conditionalFormatting sqref="A407">
    <cfRule type="duplicateValues" dxfId="3559" priority="3749"/>
  </conditionalFormatting>
  <conditionalFormatting sqref="A407">
    <cfRule type="duplicateValues" dxfId="3558" priority="3748"/>
  </conditionalFormatting>
  <conditionalFormatting sqref="A407">
    <cfRule type="duplicateValues" dxfId="3557" priority="3747"/>
  </conditionalFormatting>
  <conditionalFormatting sqref="A407">
    <cfRule type="duplicateValues" dxfId="3556" priority="3746"/>
  </conditionalFormatting>
  <conditionalFormatting sqref="A407">
    <cfRule type="duplicateValues" dxfId="3555" priority="3745"/>
  </conditionalFormatting>
  <conditionalFormatting sqref="A407">
    <cfRule type="duplicateValues" dxfId="3554" priority="3744"/>
  </conditionalFormatting>
  <conditionalFormatting sqref="A541 A2:A414 A422:A432 A434:A436 A442:A444 A447:A451 A455:A485 A487:A488 A505 A498:A501 A507 A510:A515">
    <cfRule type="duplicateValues" dxfId="3553" priority="3743"/>
  </conditionalFormatting>
  <conditionalFormatting sqref="A408">
    <cfRule type="duplicateValues" dxfId="3552" priority="3742"/>
  </conditionalFormatting>
  <conditionalFormatting sqref="A408">
    <cfRule type="duplicateValues" dxfId="3551" priority="3741"/>
  </conditionalFormatting>
  <conditionalFormatting sqref="A408">
    <cfRule type="duplicateValues" dxfId="3550" priority="3740"/>
  </conditionalFormatting>
  <conditionalFormatting sqref="A408">
    <cfRule type="duplicateValues" dxfId="3549" priority="3739"/>
  </conditionalFormatting>
  <conditionalFormatting sqref="A408">
    <cfRule type="duplicateValues" dxfId="3548" priority="3738"/>
  </conditionalFormatting>
  <conditionalFormatting sqref="A408">
    <cfRule type="duplicateValues" dxfId="3547" priority="3737"/>
  </conditionalFormatting>
  <conditionalFormatting sqref="A409">
    <cfRule type="duplicateValues" dxfId="3546" priority="3736"/>
  </conditionalFormatting>
  <conditionalFormatting sqref="A409">
    <cfRule type="duplicateValues" dxfId="3545" priority="3735"/>
  </conditionalFormatting>
  <conditionalFormatting sqref="A409">
    <cfRule type="duplicateValues" dxfId="3544" priority="3734"/>
  </conditionalFormatting>
  <conditionalFormatting sqref="A409">
    <cfRule type="duplicateValues" dxfId="3543" priority="3733"/>
  </conditionalFormatting>
  <conditionalFormatting sqref="A409">
    <cfRule type="duplicateValues" dxfId="3542" priority="3732"/>
  </conditionalFormatting>
  <conditionalFormatting sqref="A409">
    <cfRule type="duplicateValues" dxfId="3541" priority="3731"/>
  </conditionalFormatting>
  <conditionalFormatting sqref="A541 A2:A417 A422:A432 A434:A436 A442:A444 A447:A451 A455:A485 A487:A488 A505 A498:A501 A507 A510:A515">
    <cfRule type="duplicateValues" dxfId="3540" priority="3730"/>
  </conditionalFormatting>
  <conditionalFormatting sqref="F541 F498:F501 F487:F488 F2:F417 F422:F432 F434:F436 F442:F444 F447:F451 F455:F485 F505 F507 F510:F515">
    <cfRule type="duplicateValues" dxfId="3539" priority="3729"/>
  </conditionalFormatting>
  <conditionalFormatting sqref="A415">
    <cfRule type="duplicateValues" dxfId="3538" priority="3727"/>
  </conditionalFormatting>
  <conditionalFormatting sqref="A415">
    <cfRule type="duplicateValues" dxfId="3537" priority="3726"/>
  </conditionalFormatting>
  <conditionalFormatting sqref="A415">
    <cfRule type="duplicateValues" dxfId="3536" priority="3725"/>
  </conditionalFormatting>
  <conditionalFormatting sqref="A415">
    <cfRule type="duplicateValues" dxfId="3535" priority="3724"/>
  </conditionalFormatting>
  <conditionalFormatting sqref="A415">
    <cfRule type="duplicateValues" dxfId="3534" priority="3723"/>
  </conditionalFormatting>
  <conditionalFormatting sqref="A415">
    <cfRule type="duplicateValues" dxfId="3533" priority="3722"/>
  </conditionalFormatting>
  <conditionalFormatting sqref="A415">
    <cfRule type="duplicateValues" dxfId="3532" priority="3721"/>
  </conditionalFormatting>
  <conditionalFormatting sqref="A416">
    <cfRule type="duplicateValues" dxfId="3531" priority="3720"/>
  </conditionalFormatting>
  <conditionalFormatting sqref="A416">
    <cfRule type="duplicateValues" dxfId="3530" priority="3719"/>
  </conditionalFormatting>
  <conditionalFormatting sqref="A416">
    <cfRule type="duplicateValues" dxfId="3529" priority="3718"/>
  </conditionalFormatting>
  <conditionalFormatting sqref="A416">
    <cfRule type="duplicateValues" dxfId="3528" priority="3717"/>
  </conditionalFormatting>
  <conditionalFormatting sqref="A416">
    <cfRule type="duplicateValues" dxfId="3527" priority="3716"/>
  </conditionalFormatting>
  <conditionalFormatting sqref="A416">
    <cfRule type="duplicateValues" dxfId="3526" priority="3715"/>
  </conditionalFormatting>
  <conditionalFormatting sqref="A416">
    <cfRule type="duplicateValues" dxfId="3525" priority="3714"/>
  </conditionalFormatting>
  <conditionalFormatting sqref="A417">
    <cfRule type="duplicateValues" dxfId="3524" priority="3713"/>
  </conditionalFormatting>
  <conditionalFormatting sqref="A417">
    <cfRule type="duplicateValues" dxfId="3523" priority="3712"/>
  </conditionalFormatting>
  <conditionalFormatting sqref="A417">
    <cfRule type="duplicateValues" dxfId="3522" priority="3711"/>
  </conditionalFormatting>
  <conditionalFormatting sqref="A417">
    <cfRule type="duplicateValues" dxfId="3521" priority="3710"/>
  </conditionalFormatting>
  <conditionalFormatting sqref="A417">
    <cfRule type="duplicateValues" dxfId="3520" priority="3709"/>
  </conditionalFormatting>
  <conditionalFormatting sqref="A417">
    <cfRule type="duplicateValues" dxfId="3519" priority="3708"/>
  </conditionalFormatting>
  <conditionalFormatting sqref="A417">
    <cfRule type="duplicateValues" dxfId="3518" priority="3707"/>
  </conditionalFormatting>
  <conditionalFormatting sqref="A541 A434:A436 A442:A444 A447:A451 A2:A432 A455:A485 A487:A488 A505 A498:A501 A507 A510:A515">
    <cfRule type="duplicateValues" dxfId="3517" priority="3706"/>
  </conditionalFormatting>
  <conditionalFormatting sqref="F541 F498:F501 F487:F488 F2:F432 F434:F436 F442:F444 F447:F451 F455:F485 F505 F507 F510:F515">
    <cfRule type="duplicateValues" dxfId="3516" priority="3704"/>
  </conditionalFormatting>
  <conditionalFormatting sqref="A418:A421">
    <cfRule type="duplicateValues" dxfId="3515" priority="3703"/>
  </conditionalFormatting>
  <conditionalFormatting sqref="A418:A421">
    <cfRule type="duplicateValues" dxfId="3514" priority="3702"/>
  </conditionalFormatting>
  <conditionalFormatting sqref="A418:A421">
    <cfRule type="duplicateValues" dxfId="3513" priority="3701"/>
  </conditionalFormatting>
  <conditionalFormatting sqref="A418:A421">
    <cfRule type="duplicateValues" dxfId="3512" priority="3700"/>
  </conditionalFormatting>
  <conditionalFormatting sqref="A418:A421">
    <cfRule type="duplicateValues" dxfId="3511" priority="3699"/>
  </conditionalFormatting>
  <conditionalFormatting sqref="A418:A421">
    <cfRule type="duplicateValues" dxfId="3510" priority="3698"/>
  </conditionalFormatting>
  <conditionalFormatting sqref="A418:A421">
    <cfRule type="duplicateValues" dxfId="3509" priority="3697"/>
  </conditionalFormatting>
  <conditionalFormatting sqref="A418:A421">
    <cfRule type="duplicateValues" dxfId="3508" priority="3696"/>
  </conditionalFormatting>
  <conditionalFormatting sqref="A541 A442:A444 A447:A451 A2:A436 A455:A485 A487:A488 A505 A498:A501 A507 A510:A515">
    <cfRule type="duplicateValues" dxfId="3507" priority="3695"/>
  </conditionalFormatting>
  <conditionalFormatting sqref="F541 F498:F501 F487:F488 F2:F436 F442:F444 F447:F451 F455:F485 F505 F507 F510:F515">
    <cfRule type="duplicateValues" dxfId="3506" priority="3694"/>
  </conditionalFormatting>
  <conditionalFormatting sqref="A433">
    <cfRule type="duplicateValues" dxfId="3505" priority="3693"/>
  </conditionalFormatting>
  <conditionalFormatting sqref="A433">
    <cfRule type="duplicateValues" dxfId="3504" priority="3692"/>
  </conditionalFormatting>
  <conditionalFormatting sqref="A433">
    <cfRule type="duplicateValues" dxfId="3503" priority="3691"/>
  </conditionalFormatting>
  <conditionalFormatting sqref="A433">
    <cfRule type="duplicateValues" dxfId="3502" priority="3690"/>
  </conditionalFormatting>
  <conditionalFormatting sqref="A433">
    <cfRule type="duplicateValues" dxfId="3501" priority="3689"/>
  </conditionalFormatting>
  <conditionalFormatting sqref="A433">
    <cfRule type="duplicateValues" dxfId="3500" priority="3688"/>
  </conditionalFormatting>
  <conditionalFormatting sqref="A433">
    <cfRule type="duplicateValues" dxfId="3499" priority="3687"/>
  </conditionalFormatting>
  <conditionalFormatting sqref="A433">
    <cfRule type="duplicateValues" dxfId="3498" priority="3686"/>
  </conditionalFormatting>
  <conditionalFormatting sqref="A433">
    <cfRule type="duplicateValues" dxfId="3497" priority="3685"/>
  </conditionalFormatting>
  <conditionalFormatting sqref="A541 A447:A451 A2:A444 A455:A485 A487:A488 A505 A498:A501 A507 A510:A515">
    <cfRule type="duplicateValues" dxfId="3496" priority="3683"/>
  </conditionalFormatting>
  <conditionalFormatting sqref="A437">
    <cfRule type="duplicateValues" dxfId="3495" priority="3681"/>
  </conditionalFormatting>
  <conditionalFormatting sqref="A437">
    <cfRule type="duplicateValues" dxfId="3494" priority="3680"/>
  </conditionalFormatting>
  <conditionalFormatting sqref="A437">
    <cfRule type="duplicateValues" dxfId="3493" priority="3679"/>
  </conditionalFormatting>
  <conditionalFormatting sqref="A437">
    <cfRule type="duplicateValues" dxfId="3492" priority="3678"/>
  </conditionalFormatting>
  <conditionalFormatting sqref="A437">
    <cfRule type="duplicateValues" dxfId="3491" priority="3677"/>
  </conditionalFormatting>
  <conditionalFormatting sqref="A437">
    <cfRule type="duplicateValues" dxfId="3490" priority="3676"/>
  </conditionalFormatting>
  <conditionalFormatting sqref="A437">
    <cfRule type="duplicateValues" dxfId="3489" priority="3675"/>
  </conditionalFormatting>
  <conditionalFormatting sqref="A437">
    <cfRule type="duplicateValues" dxfId="3488" priority="3674"/>
  </conditionalFormatting>
  <conditionalFormatting sqref="A437">
    <cfRule type="duplicateValues" dxfId="3487" priority="3673"/>
  </conditionalFormatting>
  <conditionalFormatting sqref="A437">
    <cfRule type="duplicateValues" dxfId="3486" priority="3672"/>
  </conditionalFormatting>
  <conditionalFormatting sqref="A438">
    <cfRule type="duplicateValues" dxfId="3485" priority="3671"/>
  </conditionalFormatting>
  <conditionalFormatting sqref="A438">
    <cfRule type="duplicateValues" dxfId="3484" priority="3670"/>
  </conditionalFormatting>
  <conditionalFormatting sqref="A438">
    <cfRule type="duplicateValues" dxfId="3483" priority="3669"/>
  </conditionalFormatting>
  <conditionalFormatting sqref="A438">
    <cfRule type="duplicateValues" dxfId="3482" priority="3668"/>
  </conditionalFormatting>
  <conditionalFormatting sqref="A438">
    <cfRule type="duplicateValues" dxfId="3481" priority="3667"/>
  </conditionalFormatting>
  <conditionalFormatting sqref="A438">
    <cfRule type="duplicateValues" dxfId="3480" priority="3666"/>
  </conditionalFormatting>
  <conditionalFormatting sqref="A438">
    <cfRule type="duplicateValues" dxfId="3479" priority="3665"/>
  </conditionalFormatting>
  <conditionalFormatting sqref="A438">
    <cfRule type="duplicateValues" dxfId="3478" priority="3664"/>
  </conditionalFormatting>
  <conditionalFormatting sqref="A438">
    <cfRule type="duplicateValues" dxfId="3477" priority="3663"/>
  </conditionalFormatting>
  <conditionalFormatting sqref="A438">
    <cfRule type="duplicateValues" dxfId="3476" priority="3662"/>
  </conditionalFormatting>
  <conditionalFormatting sqref="A439">
    <cfRule type="duplicateValues" dxfId="3475" priority="3661"/>
  </conditionalFormatting>
  <conditionalFormatting sqref="A439">
    <cfRule type="duplicateValues" dxfId="3474" priority="3660"/>
  </conditionalFormatting>
  <conditionalFormatting sqref="A439">
    <cfRule type="duplicateValues" dxfId="3473" priority="3659"/>
  </conditionalFormatting>
  <conditionalFormatting sqref="A439">
    <cfRule type="duplicateValues" dxfId="3472" priority="3658"/>
  </conditionalFormatting>
  <conditionalFormatting sqref="A439">
    <cfRule type="duplicateValues" dxfId="3471" priority="3657"/>
  </conditionalFormatting>
  <conditionalFormatting sqref="A439">
    <cfRule type="duplicateValues" dxfId="3470" priority="3656"/>
  </conditionalFormatting>
  <conditionalFormatting sqref="A439">
    <cfRule type="duplicateValues" dxfId="3469" priority="3655"/>
  </conditionalFormatting>
  <conditionalFormatting sqref="A439">
    <cfRule type="duplicateValues" dxfId="3468" priority="3654"/>
  </conditionalFormatting>
  <conditionalFormatting sqref="A439">
    <cfRule type="duplicateValues" dxfId="3467" priority="3653"/>
  </conditionalFormatting>
  <conditionalFormatting sqref="A439">
    <cfRule type="duplicateValues" dxfId="3466" priority="3652"/>
  </conditionalFormatting>
  <conditionalFormatting sqref="A440">
    <cfRule type="duplicateValues" dxfId="3465" priority="3651"/>
  </conditionalFormatting>
  <conditionalFormatting sqref="A440">
    <cfRule type="duplicateValues" dxfId="3464" priority="3650"/>
  </conditionalFormatting>
  <conditionalFormatting sqref="A440">
    <cfRule type="duplicateValues" dxfId="3463" priority="3649"/>
  </conditionalFormatting>
  <conditionalFormatting sqref="A440">
    <cfRule type="duplicateValues" dxfId="3462" priority="3648"/>
  </conditionalFormatting>
  <conditionalFormatting sqref="A440">
    <cfRule type="duplicateValues" dxfId="3461" priority="3647"/>
  </conditionalFormatting>
  <conditionalFormatting sqref="A440">
    <cfRule type="duplicateValues" dxfId="3460" priority="3646"/>
  </conditionalFormatting>
  <conditionalFormatting sqref="A440">
    <cfRule type="duplicateValues" dxfId="3459" priority="3645"/>
  </conditionalFormatting>
  <conditionalFormatting sqref="A440">
    <cfRule type="duplicateValues" dxfId="3458" priority="3644"/>
  </conditionalFormatting>
  <conditionalFormatting sqref="A440">
    <cfRule type="duplicateValues" dxfId="3457" priority="3643"/>
  </conditionalFormatting>
  <conditionalFormatting sqref="A440">
    <cfRule type="duplicateValues" dxfId="3456" priority="3642"/>
  </conditionalFormatting>
  <conditionalFormatting sqref="A441">
    <cfRule type="duplicateValues" dxfId="3455" priority="3641"/>
  </conditionalFormatting>
  <conditionalFormatting sqref="A441">
    <cfRule type="duplicateValues" dxfId="3454" priority="3640"/>
  </conditionalFormatting>
  <conditionalFormatting sqref="A441">
    <cfRule type="duplicateValues" dxfId="3453" priority="3639"/>
  </conditionalFormatting>
  <conditionalFormatting sqref="A441">
    <cfRule type="duplicateValues" dxfId="3452" priority="3638"/>
  </conditionalFormatting>
  <conditionalFormatting sqref="A441">
    <cfRule type="duplicateValues" dxfId="3451" priority="3637"/>
  </conditionalFormatting>
  <conditionalFormatting sqref="A441">
    <cfRule type="duplicateValues" dxfId="3450" priority="3636"/>
  </conditionalFormatting>
  <conditionalFormatting sqref="A441">
    <cfRule type="duplicateValues" dxfId="3449" priority="3635"/>
  </conditionalFormatting>
  <conditionalFormatting sqref="A441">
    <cfRule type="duplicateValues" dxfId="3448" priority="3634"/>
  </conditionalFormatting>
  <conditionalFormatting sqref="A441">
    <cfRule type="duplicateValues" dxfId="3447" priority="3633"/>
  </conditionalFormatting>
  <conditionalFormatting sqref="A441">
    <cfRule type="duplicateValues" dxfId="3446" priority="3632"/>
  </conditionalFormatting>
  <conditionalFormatting sqref="F541 F498:F501 F487:F488 F2:F444 F447:F451 F455:F485 F505 F507 F510:F515">
    <cfRule type="duplicateValues" dxfId="3445" priority="3631"/>
  </conditionalFormatting>
  <conditionalFormatting sqref="F445:F446">
    <cfRule type="duplicateValues" dxfId="3444" priority="3629"/>
  </conditionalFormatting>
  <conditionalFormatting sqref="F445:F446">
    <cfRule type="duplicateValues" dxfId="3443" priority="3624"/>
  </conditionalFormatting>
  <conditionalFormatting sqref="A445:A446">
    <cfRule type="duplicateValues" dxfId="3442" priority="3623"/>
  </conditionalFormatting>
  <conditionalFormatting sqref="A445:A446">
    <cfRule type="duplicateValues" dxfId="3441" priority="3621"/>
  </conditionalFormatting>
  <conditionalFormatting sqref="A445:A446">
    <cfRule type="duplicateValues" dxfId="3440" priority="3620"/>
  </conditionalFormatting>
  <conditionalFormatting sqref="F445:F446">
    <cfRule type="duplicateValues" dxfId="3439" priority="3619"/>
  </conditionalFormatting>
  <conditionalFormatting sqref="A445:A446">
    <cfRule type="duplicateValues" dxfId="3438" priority="3618"/>
  </conditionalFormatting>
  <conditionalFormatting sqref="F445:F446">
    <cfRule type="duplicateValues" dxfId="3437" priority="3617"/>
  </conditionalFormatting>
  <conditionalFormatting sqref="F445:F446">
    <cfRule type="duplicateValues" dxfId="3436" priority="3615"/>
  </conditionalFormatting>
  <conditionalFormatting sqref="A445:A446">
    <cfRule type="duplicateValues" dxfId="3435" priority="3614"/>
  </conditionalFormatting>
  <conditionalFormatting sqref="F445:F446">
    <cfRule type="duplicateValues" dxfId="3434" priority="3613"/>
  </conditionalFormatting>
  <conditionalFormatting sqref="A445:A446">
    <cfRule type="duplicateValues" dxfId="3433" priority="3612"/>
  </conditionalFormatting>
  <conditionalFormatting sqref="F445:F446">
    <cfRule type="duplicateValues" dxfId="3432" priority="3611"/>
  </conditionalFormatting>
  <conditionalFormatting sqref="F445:F446">
    <cfRule type="duplicateValues" dxfId="3431" priority="3610"/>
  </conditionalFormatting>
  <conditionalFormatting sqref="A445:A446">
    <cfRule type="duplicateValues" dxfId="3430" priority="3608"/>
  </conditionalFormatting>
  <conditionalFormatting sqref="A445:A446">
    <cfRule type="duplicateValues" dxfId="3429" priority="3607"/>
  </conditionalFormatting>
  <conditionalFormatting sqref="F445:F446">
    <cfRule type="duplicateValues" dxfId="3428" priority="3606"/>
  </conditionalFormatting>
  <conditionalFormatting sqref="A445:A446">
    <cfRule type="duplicateValues" dxfId="3427" priority="3604"/>
  </conditionalFormatting>
  <conditionalFormatting sqref="F445:F446">
    <cfRule type="duplicateValues" dxfId="3426" priority="3602"/>
  </conditionalFormatting>
  <conditionalFormatting sqref="A445:A446">
    <cfRule type="duplicateValues" dxfId="3425" priority="3601"/>
  </conditionalFormatting>
  <conditionalFormatting sqref="F445:F446">
    <cfRule type="duplicateValues" dxfId="3424" priority="3600"/>
  </conditionalFormatting>
  <conditionalFormatting sqref="A445:A446">
    <cfRule type="duplicateValues" dxfId="3423" priority="3598"/>
  </conditionalFormatting>
  <conditionalFormatting sqref="F445:F446">
    <cfRule type="duplicateValues" dxfId="3422" priority="3596"/>
  </conditionalFormatting>
  <conditionalFormatting sqref="A541 A2:A451 A455:A485 A487:A488 A505 A498:A501 A507 A510:A515">
    <cfRule type="duplicateValues" dxfId="3421" priority="3595"/>
  </conditionalFormatting>
  <conditionalFormatting sqref="A452">
    <cfRule type="duplicateValues" dxfId="3420" priority="3593"/>
  </conditionalFormatting>
  <conditionalFormatting sqref="A452">
    <cfRule type="duplicateValues" dxfId="3419" priority="3592"/>
  </conditionalFormatting>
  <conditionalFormatting sqref="A452">
    <cfRule type="duplicateValues" dxfId="3418" priority="3591"/>
  </conditionalFormatting>
  <conditionalFormatting sqref="A452">
    <cfRule type="duplicateValues" dxfId="3417" priority="3590"/>
  </conditionalFormatting>
  <conditionalFormatting sqref="A452">
    <cfRule type="duplicateValues" dxfId="3416" priority="3589"/>
  </conditionalFormatting>
  <conditionalFormatting sqref="A452">
    <cfRule type="duplicateValues" dxfId="3415" priority="3588"/>
  </conditionalFormatting>
  <conditionalFormatting sqref="A452">
    <cfRule type="duplicateValues" dxfId="3414" priority="3587"/>
  </conditionalFormatting>
  <conditionalFormatting sqref="A452">
    <cfRule type="duplicateValues" dxfId="3413" priority="3586"/>
  </conditionalFormatting>
  <conditionalFormatting sqref="A452">
    <cfRule type="duplicateValues" dxfId="3412" priority="3585"/>
  </conditionalFormatting>
  <conditionalFormatting sqref="A452">
    <cfRule type="duplicateValues" dxfId="3411" priority="3584"/>
  </conditionalFormatting>
  <conditionalFormatting sqref="A452">
    <cfRule type="duplicateValues" dxfId="3410" priority="3583"/>
  </conditionalFormatting>
  <conditionalFormatting sqref="A452">
    <cfRule type="duplicateValues" dxfId="3409" priority="3582"/>
  </conditionalFormatting>
  <conditionalFormatting sqref="A453">
    <cfRule type="duplicateValues" dxfId="3408" priority="3581"/>
  </conditionalFormatting>
  <conditionalFormatting sqref="A453">
    <cfRule type="duplicateValues" dxfId="3407" priority="3580"/>
  </conditionalFormatting>
  <conditionalFormatting sqref="A453">
    <cfRule type="duplicateValues" dxfId="3406" priority="3579"/>
  </conditionalFormatting>
  <conditionalFormatting sqref="A453">
    <cfRule type="duplicateValues" dxfId="3405" priority="3578"/>
  </conditionalFormatting>
  <conditionalFormatting sqref="A453">
    <cfRule type="duplicateValues" dxfId="3404" priority="3577"/>
  </conditionalFormatting>
  <conditionalFormatting sqref="A453">
    <cfRule type="duplicateValues" dxfId="3403" priority="3576"/>
  </conditionalFormatting>
  <conditionalFormatting sqref="A453">
    <cfRule type="duplicateValues" dxfId="3402" priority="3575"/>
  </conditionalFormatting>
  <conditionalFormatting sqref="A453">
    <cfRule type="duplicateValues" dxfId="3401" priority="3574"/>
  </conditionalFormatting>
  <conditionalFormatting sqref="A453">
    <cfRule type="duplicateValues" dxfId="3400" priority="3573"/>
  </conditionalFormatting>
  <conditionalFormatting sqref="A453">
    <cfRule type="duplicateValues" dxfId="3399" priority="3572"/>
  </conditionalFormatting>
  <conditionalFormatting sqref="A453">
    <cfRule type="duplicateValues" dxfId="3398" priority="3571"/>
  </conditionalFormatting>
  <conditionalFormatting sqref="A453">
    <cfRule type="duplicateValues" dxfId="3397" priority="3570"/>
  </conditionalFormatting>
  <conditionalFormatting sqref="A541 A2:A453 A455:A485 A487:A488 A505 A498:A501 A507 A510:A515">
    <cfRule type="duplicateValues" dxfId="3396" priority="3569"/>
  </conditionalFormatting>
  <conditionalFormatting sqref="A454">
    <cfRule type="duplicateValues" dxfId="3395" priority="3567"/>
  </conditionalFormatting>
  <conditionalFormatting sqref="A454">
    <cfRule type="duplicateValues" dxfId="3394" priority="3566"/>
  </conditionalFormatting>
  <conditionalFormatting sqref="A454">
    <cfRule type="duplicateValues" dxfId="3393" priority="3565"/>
  </conditionalFormatting>
  <conditionalFormatting sqref="A454">
    <cfRule type="duplicateValues" dxfId="3392" priority="3564"/>
  </conditionalFormatting>
  <conditionalFormatting sqref="A454">
    <cfRule type="duplicateValues" dxfId="3391" priority="3563"/>
  </conditionalFormatting>
  <conditionalFormatting sqref="A454">
    <cfRule type="duplicateValues" dxfId="3390" priority="3562"/>
  </conditionalFormatting>
  <conditionalFormatting sqref="A454">
    <cfRule type="duplicateValues" dxfId="3389" priority="3561"/>
  </conditionalFormatting>
  <conditionalFormatting sqref="A454">
    <cfRule type="duplicateValues" dxfId="3388" priority="3560"/>
  </conditionalFormatting>
  <conditionalFormatting sqref="A454">
    <cfRule type="duplicateValues" dxfId="3387" priority="3559"/>
  </conditionalFormatting>
  <conditionalFormatting sqref="A454">
    <cfRule type="duplicateValues" dxfId="3386" priority="3558"/>
  </conditionalFormatting>
  <conditionalFormatting sqref="A454">
    <cfRule type="duplicateValues" dxfId="3385" priority="3557"/>
  </conditionalFormatting>
  <conditionalFormatting sqref="A454">
    <cfRule type="duplicateValues" dxfId="3384" priority="3556"/>
  </conditionalFormatting>
  <conditionalFormatting sqref="A454">
    <cfRule type="duplicateValues" dxfId="3383" priority="3555"/>
  </conditionalFormatting>
  <conditionalFormatting sqref="A541 A2:A485 A487:A488 A505 A498:A501 A507 A510:A515">
    <cfRule type="duplicateValues" dxfId="3382" priority="3554"/>
  </conditionalFormatting>
  <conditionalFormatting sqref="F541 F498:F501 F487:F488 F2:F485 F505 F507 F510:F515">
    <cfRule type="duplicateValues" dxfId="3381" priority="3553"/>
  </conditionalFormatting>
  <conditionalFormatting sqref="A456:A459">
    <cfRule type="duplicateValues" dxfId="3380" priority="3552"/>
  </conditionalFormatting>
  <conditionalFormatting sqref="A456:A459">
    <cfRule type="duplicateValues" dxfId="3379" priority="3551"/>
  </conditionalFormatting>
  <conditionalFormatting sqref="A456:A459">
    <cfRule type="duplicateValues" dxfId="3378" priority="3550"/>
  </conditionalFormatting>
  <conditionalFormatting sqref="A456:A459">
    <cfRule type="duplicateValues" dxfId="3377" priority="3549"/>
  </conditionalFormatting>
  <conditionalFormatting sqref="A456:A459">
    <cfRule type="duplicateValues" dxfId="3376" priority="3548"/>
  </conditionalFormatting>
  <conditionalFormatting sqref="A456:A459">
    <cfRule type="duplicateValues" dxfId="3375" priority="3547"/>
  </conditionalFormatting>
  <conditionalFormatting sqref="A456:A459">
    <cfRule type="duplicateValues" dxfId="3374" priority="3546"/>
  </conditionalFormatting>
  <conditionalFormatting sqref="A456:A459">
    <cfRule type="duplicateValues" dxfId="3373" priority="3545"/>
  </conditionalFormatting>
  <conditionalFormatting sqref="A456:A459">
    <cfRule type="duplicateValues" dxfId="3372" priority="3544"/>
  </conditionalFormatting>
  <conditionalFormatting sqref="A456:A459">
    <cfRule type="duplicateValues" dxfId="3371" priority="3543"/>
  </conditionalFormatting>
  <conditionalFormatting sqref="A456:A459">
    <cfRule type="duplicateValues" dxfId="3370" priority="3542"/>
  </conditionalFormatting>
  <conditionalFormatting sqref="A456:A459">
    <cfRule type="duplicateValues" dxfId="3369" priority="3541"/>
  </conditionalFormatting>
  <conditionalFormatting sqref="A421">
    <cfRule type="duplicateValues" dxfId="3368" priority="3539"/>
  </conditionalFormatting>
  <conditionalFormatting sqref="A421">
    <cfRule type="duplicateValues" dxfId="3367" priority="3538"/>
  </conditionalFormatting>
  <conditionalFormatting sqref="A421">
    <cfRule type="duplicateValues" dxfId="3366" priority="3537"/>
  </conditionalFormatting>
  <conditionalFormatting sqref="A421">
    <cfRule type="duplicateValues" dxfId="3365" priority="3536"/>
  </conditionalFormatting>
  <conditionalFormatting sqref="A421">
    <cfRule type="duplicateValues" dxfId="3364" priority="3535"/>
  </conditionalFormatting>
  <conditionalFormatting sqref="A421">
    <cfRule type="duplicateValues" dxfId="3363" priority="3534"/>
  </conditionalFormatting>
  <conditionalFormatting sqref="A421">
    <cfRule type="duplicateValues" dxfId="3362" priority="3533"/>
  </conditionalFormatting>
  <conditionalFormatting sqref="A421">
    <cfRule type="duplicateValues" dxfId="3361" priority="3532"/>
  </conditionalFormatting>
  <conditionalFormatting sqref="A465">
    <cfRule type="duplicateValues" dxfId="3360" priority="3531"/>
  </conditionalFormatting>
  <conditionalFormatting sqref="A465">
    <cfRule type="duplicateValues" dxfId="3359" priority="3530"/>
  </conditionalFormatting>
  <conditionalFormatting sqref="A465">
    <cfRule type="duplicateValues" dxfId="3358" priority="3529"/>
  </conditionalFormatting>
  <conditionalFormatting sqref="A465">
    <cfRule type="duplicateValues" dxfId="3357" priority="3528"/>
  </conditionalFormatting>
  <conditionalFormatting sqref="A465">
    <cfRule type="duplicateValues" dxfId="3356" priority="3527"/>
  </conditionalFormatting>
  <conditionalFormatting sqref="A465">
    <cfRule type="duplicateValues" dxfId="3355" priority="3526"/>
  </conditionalFormatting>
  <conditionalFormatting sqref="A465">
    <cfRule type="duplicateValues" dxfId="3354" priority="3525"/>
  </conditionalFormatting>
  <conditionalFormatting sqref="A465">
    <cfRule type="duplicateValues" dxfId="3353" priority="3524"/>
  </conditionalFormatting>
  <conditionalFormatting sqref="A465">
    <cfRule type="duplicateValues" dxfId="3352" priority="3523"/>
  </conditionalFormatting>
  <conditionalFormatting sqref="A465">
    <cfRule type="duplicateValues" dxfId="3351" priority="3522"/>
  </conditionalFormatting>
  <conditionalFormatting sqref="A465">
    <cfRule type="duplicateValues" dxfId="3350" priority="3521"/>
  </conditionalFormatting>
  <conditionalFormatting sqref="A465">
    <cfRule type="duplicateValues" dxfId="3349" priority="3520"/>
  </conditionalFormatting>
  <conditionalFormatting sqref="A465">
    <cfRule type="duplicateValues" dxfId="3348" priority="3519"/>
  </conditionalFormatting>
  <conditionalFormatting sqref="A465">
    <cfRule type="duplicateValues" dxfId="3347" priority="3518"/>
  </conditionalFormatting>
  <conditionalFormatting sqref="A465">
    <cfRule type="duplicateValues" dxfId="3346" priority="3517"/>
  </conditionalFormatting>
  <conditionalFormatting sqref="A465">
    <cfRule type="duplicateValues" dxfId="3345" priority="3516"/>
  </conditionalFormatting>
  <conditionalFormatting sqref="A541 A2:A488 A505 A498:A501 A507 A510:A515">
    <cfRule type="duplicateValues" dxfId="3344" priority="3515"/>
  </conditionalFormatting>
  <conditionalFormatting sqref="A483">
    <cfRule type="duplicateValues" dxfId="3343" priority="3514"/>
  </conditionalFormatting>
  <conditionalFormatting sqref="A483">
    <cfRule type="duplicateValues" dxfId="3342" priority="3513"/>
  </conditionalFormatting>
  <conditionalFormatting sqref="A483">
    <cfRule type="duplicateValues" dxfId="3341" priority="3512"/>
  </conditionalFormatting>
  <conditionalFormatting sqref="A483">
    <cfRule type="duplicateValues" dxfId="3340" priority="3511"/>
  </conditionalFormatting>
  <conditionalFormatting sqref="A483">
    <cfRule type="duplicateValues" dxfId="3339" priority="3510"/>
  </conditionalFormatting>
  <conditionalFormatting sqref="A483">
    <cfRule type="duplicateValues" dxfId="3338" priority="3509"/>
  </conditionalFormatting>
  <conditionalFormatting sqref="A485">
    <cfRule type="duplicateValues" dxfId="3337" priority="3508"/>
  </conditionalFormatting>
  <conditionalFormatting sqref="A485">
    <cfRule type="duplicateValues" dxfId="3336" priority="3507"/>
  </conditionalFormatting>
  <conditionalFormatting sqref="A485">
    <cfRule type="duplicateValues" dxfId="3335" priority="3506"/>
  </conditionalFormatting>
  <conditionalFormatting sqref="A485">
    <cfRule type="duplicateValues" dxfId="3334" priority="3505"/>
  </conditionalFormatting>
  <conditionalFormatting sqref="A485">
    <cfRule type="duplicateValues" dxfId="3333" priority="3504"/>
  </conditionalFormatting>
  <conditionalFormatting sqref="A485">
    <cfRule type="duplicateValues" dxfId="3332" priority="3503"/>
  </conditionalFormatting>
  <conditionalFormatting sqref="A486">
    <cfRule type="duplicateValues" dxfId="3331" priority="3502"/>
  </conditionalFormatting>
  <conditionalFormatting sqref="A486">
    <cfRule type="duplicateValues" dxfId="3330" priority="3501"/>
  </conditionalFormatting>
  <conditionalFormatting sqref="A486">
    <cfRule type="duplicateValues" dxfId="3329" priority="3500"/>
  </conditionalFormatting>
  <conditionalFormatting sqref="A486">
    <cfRule type="duplicateValues" dxfId="3328" priority="3499"/>
  </conditionalFormatting>
  <conditionalFormatting sqref="A486">
    <cfRule type="duplicateValues" dxfId="3327" priority="3498"/>
  </conditionalFormatting>
  <conditionalFormatting sqref="A486">
    <cfRule type="duplicateValues" dxfId="3326" priority="3497"/>
  </conditionalFormatting>
  <conditionalFormatting sqref="A486">
    <cfRule type="duplicateValues" dxfId="3325" priority="3496"/>
  </conditionalFormatting>
  <conditionalFormatting sqref="A486">
    <cfRule type="duplicateValues" dxfId="3324" priority="3495"/>
  </conditionalFormatting>
  <conditionalFormatting sqref="A486">
    <cfRule type="duplicateValues" dxfId="3323" priority="3494"/>
  </conditionalFormatting>
  <conditionalFormatting sqref="A486">
    <cfRule type="duplicateValues" dxfId="3322" priority="3493"/>
  </conditionalFormatting>
  <conditionalFormatting sqref="A486">
    <cfRule type="duplicateValues" dxfId="3321" priority="3492"/>
  </conditionalFormatting>
  <conditionalFormatting sqref="A486">
    <cfRule type="duplicateValues" dxfId="3320" priority="3491"/>
  </conditionalFormatting>
  <conditionalFormatting sqref="A486">
    <cfRule type="duplicateValues" dxfId="3319" priority="3490"/>
  </conditionalFormatting>
  <conditionalFormatting sqref="A486">
    <cfRule type="duplicateValues" dxfId="3318" priority="3489"/>
  </conditionalFormatting>
  <conditionalFormatting sqref="A486">
    <cfRule type="duplicateValues" dxfId="3317" priority="3488"/>
  </conditionalFormatting>
  <conditionalFormatting sqref="A486">
    <cfRule type="duplicateValues" dxfId="3316" priority="3487"/>
  </conditionalFormatting>
  <conditionalFormatting sqref="A486">
    <cfRule type="duplicateValues" dxfId="3315" priority="3486"/>
  </conditionalFormatting>
  <conditionalFormatting sqref="A486">
    <cfRule type="duplicateValues" dxfId="3314" priority="3485"/>
  </conditionalFormatting>
  <conditionalFormatting sqref="A486">
    <cfRule type="duplicateValues" dxfId="3313" priority="3484"/>
  </conditionalFormatting>
  <conditionalFormatting sqref="A486">
    <cfRule type="duplicateValues" dxfId="3312" priority="3483"/>
  </conditionalFormatting>
  <conditionalFormatting sqref="A486">
    <cfRule type="duplicateValues" dxfId="3311" priority="3482"/>
  </conditionalFormatting>
  <conditionalFormatting sqref="A486">
    <cfRule type="duplicateValues" dxfId="3310" priority="3481"/>
  </conditionalFormatting>
  <conditionalFormatting sqref="A486">
    <cfRule type="duplicateValues" dxfId="3309" priority="3480"/>
  </conditionalFormatting>
  <conditionalFormatting sqref="A486">
    <cfRule type="duplicateValues" dxfId="3308" priority="3479"/>
  </conditionalFormatting>
  <conditionalFormatting sqref="A486">
    <cfRule type="duplicateValues" dxfId="3307" priority="3478"/>
  </conditionalFormatting>
  <conditionalFormatting sqref="A486">
    <cfRule type="duplicateValues" dxfId="3306" priority="3477"/>
  </conditionalFormatting>
  <conditionalFormatting sqref="A486">
    <cfRule type="duplicateValues" dxfId="3305" priority="3476"/>
  </conditionalFormatting>
  <conditionalFormatting sqref="A486">
    <cfRule type="duplicateValues" dxfId="3304" priority="3475"/>
  </conditionalFormatting>
  <conditionalFormatting sqref="A486">
    <cfRule type="duplicateValues" dxfId="3303" priority="3474"/>
  </conditionalFormatting>
  <conditionalFormatting sqref="A486">
    <cfRule type="duplicateValues" dxfId="3302" priority="3473"/>
  </conditionalFormatting>
  <conditionalFormatting sqref="A541 A2:A490 A505 A498:A501 A507 A510:A515">
    <cfRule type="duplicateValues" dxfId="3301" priority="3472"/>
  </conditionalFormatting>
  <conditionalFormatting sqref="A489">
    <cfRule type="duplicateValues" dxfId="3300" priority="3470"/>
  </conditionalFormatting>
  <conditionalFormatting sqref="A489">
    <cfRule type="duplicateValues" dxfId="3299" priority="3469"/>
  </conditionalFormatting>
  <conditionalFormatting sqref="A489">
    <cfRule type="duplicateValues" dxfId="3298" priority="3468"/>
  </conditionalFormatting>
  <conditionalFormatting sqref="A489">
    <cfRule type="duplicateValues" dxfId="3297" priority="3467"/>
  </conditionalFormatting>
  <conditionalFormatting sqref="A489">
    <cfRule type="duplicateValues" dxfId="3296" priority="3466"/>
  </conditionalFormatting>
  <conditionalFormatting sqref="A489">
    <cfRule type="duplicateValues" dxfId="3295" priority="3465"/>
  </conditionalFormatting>
  <conditionalFormatting sqref="A489">
    <cfRule type="duplicateValues" dxfId="3294" priority="3464"/>
  </conditionalFormatting>
  <conditionalFormatting sqref="A489">
    <cfRule type="duplicateValues" dxfId="3293" priority="3463"/>
  </conditionalFormatting>
  <conditionalFormatting sqref="A489">
    <cfRule type="duplicateValues" dxfId="3292" priority="3462"/>
  </conditionalFormatting>
  <conditionalFormatting sqref="A489">
    <cfRule type="duplicateValues" dxfId="3291" priority="3461"/>
  </conditionalFormatting>
  <conditionalFormatting sqref="A489">
    <cfRule type="duplicateValues" dxfId="3290" priority="3460"/>
  </conditionalFormatting>
  <conditionalFormatting sqref="A489">
    <cfRule type="duplicateValues" dxfId="3289" priority="3459"/>
  </conditionalFormatting>
  <conditionalFormatting sqref="A489">
    <cfRule type="duplicateValues" dxfId="3288" priority="3458"/>
  </conditionalFormatting>
  <conditionalFormatting sqref="A489">
    <cfRule type="duplicateValues" dxfId="3287" priority="3457"/>
  </conditionalFormatting>
  <conditionalFormatting sqref="A489">
    <cfRule type="duplicateValues" dxfId="3286" priority="3456"/>
  </conditionalFormatting>
  <conditionalFormatting sqref="A490">
    <cfRule type="duplicateValues" dxfId="3285" priority="3455"/>
  </conditionalFormatting>
  <conditionalFormatting sqref="A490">
    <cfRule type="duplicateValues" dxfId="3284" priority="3454"/>
  </conditionalFormatting>
  <conditionalFormatting sqref="A490">
    <cfRule type="duplicateValues" dxfId="3283" priority="3453"/>
  </conditionalFormatting>
  <conditionalFormatting sqref="A490">
    <cfRule type="duplicateValues" dxfId="3282" priority="3452"/>
  </conditionalFormatting>
  <conditionalFormatting sqref="A490">
    <cfRule type="duplicateValues" dxfId="3281" priority="3451"/>
  </conditionalFormatting>
  <conditionalFormatting sqref="A490">
    <cfRule type="duplicateValues" dxfId="3280" priority="3450"/>
  </conditionalFormatting>
  <conditionalFormatting sqref="A490">
    <cfRule type="duplicateValues" dxfId="3279" priority="3449"/>
  </conditionalFormatting>
  <conditionalFormatting sqref="A490">
    <cfRule type="duplicateValues" dxfId="3278" priority="3448"/>
  </conditionalFormatting>
  <conditionalFormatting sqref="A490">
    <cfRule type="duplicateValues" dxfId="3277" priority="3447"/>
  </conditionalFormatting>
  <conditionalFormatting sqref="A490">
    <cfRule type="duplicateValues" dxfId="3276" priority="3446"/>
  </conditionalFormatting>
  <conditionalFormatting sqref="A490">
    <cfRule type="duplicateValues" dxfId="3275" priority="3445"/>
  </conditionalFormatting>
  <conditionalFormatting sqref="A490">
    <cfRule type="duplicateValues" dxfId="3274" priority="3444"/>
  </conditionalFormatting>
  <conditionalFormatting sqref="A490">
    <cfRule type="duplicateValues" dxfId="3273" priority="3443"/>
  </conditionalFormatting>
  <conditionalFormatting sqref="A490">
    <cfRule type="duplicateValues" dxfId="3272" priority="3442"/>
  </conditionalFormatting>
  <conditionalFormatting sqref="A490">
    <cfRule type="duplicateValues" dxfId="3271" priority="3441"/>
  </conditionalFormatting>
  <conditionalFormatting sqref="F541 F2:F490 F498:F501 F505 F507 F510:F515">
    <cfRule type="duplicateValues" dxfId="3270" priority="3440"/>
  </conditionalFormatting>
  <conditionalFormatting sqref="A541 A2:A493 A505 A498:A501 A507 A510:A515">
    <cfRule type="duplicateValues" dxfId="3269" priority="3437"/>
  </conditionalFormatting>
  <conditionalFormatting sqref="A493">
    <cfRule type="duplicateValues" dxfId="3268" priority="3436"/>
  </conditionalFormatting>
  <conditionalFormatting sqref="A493">
    <cfRule type="duplicateValues" dxfId="3267" priority="3435"/>
  </conditionalFormatting>
  <conditionalFormatting sqref="A493">
    <cfRule type="duplicateValues" dxfId="3266" priority="3434"/>
  </conditionalFormatting>
  <conditionalFormatting sqref="A493">
    <cfRule type="duplicateValues" dxfId="3265" priority="3433"/>
  </conditionalFormatting>
  <conditionalFormatting sqref="A493">
    <cfRule type="duplicateValues" dxfId="3264" priority="3432"/>
  </conditionalFormatting>
  <conditionalFormatting sqref="A493">
    <cfRule type="duplicateValues" dxfId="3263" priority="3431"/>
  </conditionalFormatting>
  <conditionalFormatting sqref="A493">
    <cfRule type="duplicateValues" dxfId="3262" priority="3430"/>
  </conditionalFormatting>
  <conditionalFormatting sqref="A493">
    <cfRule type="duplicateValues" dxfId="3261" priority="3429"/>
  </conditionalFormatting>
  <conditionalFormatting sqref="A493">
    <cfRule type="duplicateValues" dxfId="3260" priority="3428"/>
  </conditionalFormatting>
  <conditionalFormatting sqref="A493">
    <cfRule type="duplicateValues" dxfId="3259" priority="3427"/>
  </conditionalFormatting>
  <conditionalFormatting sqref="A493">
    <cfRule type="duplicateValues" dxfId="3258" priority="3426"/>
  </conditionalFormatting>
  <conditionalFormatting sqref="A493">
    <cfRule type="duplicateValues" dxfId="3257" priority="3425"/>
  </conditionalFormatting>
  <conditionalFormatting sqref="A493">
    <cfRule type="duplicateValues" dxfId="3256" priority="3424"/>
  </conditionalFormatting>
  <conditionalFormatting sqref="A493">
    <cfRule type="duplicateValues" dxfId="3255" priority="3423"/>
  </conditionalFormatting>
  <conditionalFormatting sqref="A493">
    <cfRule type="duplicateValues" dxfId="3254" priority="3422"/>
  </conditionalFormatting>
  <conditionalFormatting sqref="A493">
    <cfRule type="duplicateValues" dxfId="3253" priority="3421"/>
  </conditionalFormatting>
  <conditionalFormatting sqref="A493">
    <cfRule type="duplicateValues" dxfId="3252" priority="3420"/>
  </conditionalFormatting>
  <conditionalFormatting sqref="A493">
    <cfRule type="duplicateValues" dxfId="3251" priority="3419"/>
  </conditionalFormatting>
  <conditionalFormatting sqref="A493">
    <cfRule type="duplicateValues" dxfId="3250" priority="3418"/>
  </conditionalFormatting>
  <conditionalFormatting sqref="A493">
    <cfRule type="duplicateValues" dxfId="3249" priority="3417"/>
  </conditionalFormatting>
  <conditionalFormatting sqref="A493">
    <cfRule type="duplicateValues" dxfId="3248" priority="3416"/>
  </conditionalFormatting>
  <conditionalFormatting sqref="A493">
    <cfRule type="duplicateValues" dxfId="3247" priority="3415"/>
  </conditionalFormatting>
  <conditionalFormatting sqref="A493">
    <cfRule type="duplicateValues" dxfId="3246" priority="3414"/>
  </conditionalFormatting>
  <conditionalFormatting sqref="A493">
    <cfRule type="duplicateValues" dxfId="3245" priority="3413"/>
  </conditionalFormatting>
  <conditionalFormatting sqref="A493">
    <cfRule type="duplicateValues" dxfId="3244" priority="3412"/>
  </conditionalFormatting>
  <conditionalFormatting sqref="A493">
    <cfRule type="duplicateValues" dxfId="3243" priority="3411"/>
  </conditionalFormatting>
  <conditionalFormatting sqref="A493">
    <cfRule type="duplicateValues" dxfId="3242" priority="3410"/>
  </conditionalFormatting>
  <conditionalFormatting sqref="A493">
    <cfRule type="duplicateValues" dxfId="3241" priority="3409"/>
  </conditionalFormatting>
  <conditionalFormatting sqref="A493">
    <cfRule type="duplicateValues" dxfId="3240" priority="3408"/>
  </conditionalFormatting>
  <conditionalFormatting sqref="A493">
    <cfRule type="duplicateValues" dxfId="3239" priority="3407"/>
  </conditionalFormatting>
  <conditionalFormatting sqref="A493">
    <cfRule type="duplicateValues" dxfId="3238" priority="3406"/>
  </conditionalFormatting>
  <conditionalFormatting sqref="A493">
    <cfRule type="duplicateValues" dxfId="3237" priority="3405"/>
  </conditionalFormatting>
  <conditionalFormatting sqref="F541 F2:F493 F498:F501 F505 F507 F510:F515">
    <cfRule type="duplicateValues" dxfId="3236" priority="3404"/>
  </conditionalFormatting>
  <conditionalFormatting sqref="A496">
    <cfRule type="duplicateValues" dxfId="3235" priority="3403"/>
  </conditionalFormatting>
  <conditionalFormatting sqref="A496">
    <cfRule type="duplicateValues" dxfId="3234" priority="3402"/>
  </conditionalFormatting>
  <conditionalFormatting sqref="A496">
    <cfRule type="duplicateValues" dxfId="3233" priority="3401"/>
  </conditionalFormatting>
  <conditionalFormatting sqref="A496">
    <cfRule type="duplicateValues" dxfId="3232" priority="3400"/>
  </conditionalFormatting>
  <conditionalFormatting sqref="A496">
    <cfRule type="duplicateValues" dxfId="3231" priority="3399"/>
  </conditionalFormatting>
  <conditionalFormatting sqref="A496">
    <cfRule type="duplicateValues" dxfId="3230" priority="3398"/>
  </conditionalFormatting>
  <conditionalFormatting sqref="A496">
    <cfRule type="duplicateValues" dxfId="3229" priority="3397"/>
  </conditionalFormatting>
  <conditionalFormatting sqref="A496">
    <cfRule type="duplicateValues" dxfId="3228" priority="3396"/>
  </conditionalFormatting>
  <conditionalFormatting sqref="A496">
    <cfRule type="duplicateValues" dxfId="3227" priority="3395"/>
  </conditionalFormatting>
  <conditionalFormatting sqref="A496">
    <cfRule type="duplicateValues" dxfId="3226" priority="3394"/>
  </conditionalFormatting>
  <conditionalFormatting sqref="A496">
    <cfRule type="duplicateValues" dxfId="3225" priority="3393"/>
  </conditionalFormatting>
  <conditionalFormatting sqref="A496">
    <cfRule type="duplicateValues" dxfId="3224" priority="3392"/>
  </conditionalFormatting>
  <conditionalFormatting sqref="A496">
    <cfRule type="duplicateValues" dxfId="3223" priority="3391"/>
  </conditionalFormatting>
  <conditionalFormatting sqref="A496">
    <cfRule type="duplicateValues" dxfId="3222" priority="3390"/>
  </conditionalFormatting>
  <conditionalFormatting sqref="A496">
    <cfRule type="duplicateValues" dxfId="3221" priority="3389"/>
  </conditionalFormatting>
  <conditionalFormatting sqref="A496">
    <cfRule type="duplicateValues" dxfId="3220" priority="3388"/>
  </conditionalFormatting>
  <conditionalFormatting sqref="A496">
    <cfRule type="duplicateValues" dxfId="3219" priority="3387"/>
  </conditionalFormatting>
  <conditionalFormatting sqref="A496">
    <cfRule type="duplicateValues" dxfId="3218" priority="3386"/>
  </conditionalFormatting>
  <conditionalFormatting sqref="A496">
    <cfRule type="duplicateValues" dxfId="3217" priority="3385"/>
  </conditionalFormatting>
  <conditionalFormatting sqref="A496">
    <cfRule type="duplicateValues" dxfId="3216" priority="3384"/>
  </conditionalFormatting>
  <conditionalFormatting sqref="A496">
    <cfRule type="duplicateValues" dxfId="3215" priority="3383"/>
  </conditionalFormatting>
  <conditionalFormatting sqref="A496">
    <cfRule type="duplicateValues" dxfId="3214" priority="3382"/>
  </conditionalFormatting>
  <conditionalFormatting sqref="A496">
    <cfRule type="duplicateValues" dxfId="3213" priority="3381"/>
  </conditionalFormatting>
  <conditionalFormatting sqref="A496">
    <cfRule type="duplicateValues" dxfId="3212" priority="3380"/>
  </conditionalFormatting>
  <conditionalFormatting sqref="A496">
    <cfRule type="duplicateValues" dxfId="3211" priority="3379"/>
  </conditionalFormatting>
  <conditionalFormatting sqref="A496">
    <cfRule type="duplicateValues" dxfId="3210" priority="3378"/>
  </conditionalFormatting>
  <conditionalFormatting sqref="A496">
    <cfRule type="duplicateValues" dxfId="3209" priority="3377"/>
  </conditionalFormatting>
  <conditionalFormatting sqref="A496">
    <cfRule type="duplicateValues" dxfId="3208" priority="3376"/>
  </conditionalFormatting>
  <conditionalFormatting sqref="A496">
    <cfRule type="duplicateValues" dxfId="3207" priority="3375"/>
  </conditionalFormatting>
  <conditionalFormatting sqref="A496">
    <cfRule type="duplicateValues" dxfId="3206" priority="3374"/>
  </conditionalFormatting>
  <conditionalFormatting sqref="A496">
    <cfRule type="duplicateValues" dxfId="3205" priority="3373"/>
  </conditionalFormatting>
  <conditionalFormatting sqref="A496">
    <cfRule type="duplicateValues" dxfId="3204" priority="3372"/>
  </conditionalFormatting>
  <conditionalFormatting sqref="A496">
    <cfRule type="duplicateValues" dxfId="3203" priority="3371"/>
  </conditionalFormatting>
  <conditionalFormatting sqref="A495">
    <cfRule type="duplicateValues" dxfId="3202" priority="3370"/>
  </conditionalFormatting>
  <conditionalFormatting sqref="A495">
    <cfRule type="duplicateValues" dxfId="3201" priority="3369"/>
  </conditionalFormatting>
  <conditionalFormatting sqref="A495">
    <cfRule type="duplicateValues" dxfId="3200" priority="3368"/>
  </conditionalFormatting>
  <conditionalFormatting sqref="A495">
    <cfRule type="duplicateValues" dxfId="3199" priority="3367"/>
  </conditionalFormatting>
  <conditionalFormatting sqref="A495">
    <cfRule type="duplicateValues" dxfId="3198" priority="3366"/>
  </conditionalFormatting>
  <conditionalFormatting sqref="A495">
    <cfRule type="duplicateValues" dxfId="3197" priority="3365"/>
  </conditionalFormatting>
  <conditionalFormatting sqref="A495">
    <cfRule type="duplicateValues" dxfId="3196" priority="3364"/>
  </conditionalFormatting>
  <conditionalFormatting sqref="A495">
    <cfRule type="duplicateValues" dxfId="3195" priority="3363"/>
  </conditionalFormatting>
  <conditionalFormatting sqref="A495">
    <cfRule type="duplicateValues" dxfId="3194" priority="3362"/>
  </conditionalFormatting>
  <conditionalFormatting sqref="A495">
    <cfRule type="duplicateValues" dxfId="3193" priority="3361"/>
  </conditionalFormatting>
  <conditionalFormatting sqref="A495">
    <cfRule type="duplicateValues" dxfId="3192" priority="3360"/>
  </conditionalFormatting>
  <conditionalFormatting sqref="A495">
    <cfRule type="duplicateValues" dxfId="3191" priority="3359"/>
  </conditionalFormatting>
  <conditionalFormatting sqref="A495">
    <cfRule type="duplicateValues" dxfId="3190" priority="3358"/>
  </conditionalFormatting>
  <conditionalFormatting sqref="A495">
    <cfRule type="duplicateValues" dxfId="3189" priority="3357"/>
  </conditionalFormatting>
  <conditionalFormatting sqref="A495">
    <cfRule type="duplicateValues" dxfId="3188" priority="3356"/>
  </conditionalFormatting>
  <conditionalFormatting sqref="A495">
    <cfRule type="duplicateValues" dxfId="3187" priority="3355"/>
  </conditionalFormatting>
  <conditionalFormatting sqref="A495">
    <cfRule type="duplicateValues" dxfId="3186" priority="3354"/>
  </conditionalFormatting>
  <conditionalFormatting sqref="A541 A505 A2:A501 A507 A510:A515">
    <cfRule type="duplicateValues" dxfId="3185" priority="3353"/>
  </conditionalFormatting>
  <conditionalFormatting sqref="A497">
    <cfRule type="duplicateValues" dxfId="3184" priority="3352"/>
  </conditionalFormatting>
  <conditionalFormatting sqref="A497">
    <cfRule type="duplicateValues" dxfId="3183" priority="3351"/>
  </conditionalFormatting>
  <conditionalFormatting sqref="A497">
    <cfRule type="duplicateValues" dxfId="3182" priority="3350"/>
  </conditionalFormatting>
  <conditionalFormatting sqref="A497">
    <cfRule type="duplicateValues" dxfId="3181" priority="3349"/>
  </conditionalFormatting>
  <conditionalFormatting sqref="A497">
    <cfRule type="duplicateValues" dxfId="3180" priority="3348"/>
  </conditionalFormatting>
  <conditionalFormatting sqref="A497">
    <cfRule type="duplicateValues" dxfId="3179" priority="3347"/>
  </conditionalFormatting>
  <conditionalFormatting sqref="A497">
    <cfRule type="duplicateValues" dxfId="3178" priority="3346"/>
  </conditionalFormatting>
  <conditionalFormatting sqref="A497">
    <cfRule type="duplicateValues" dxfId="3177" priority="3345"/>
  </conditionalFormatting>
  <conditionalFormatting sqref="A497">
    <cfRule type="duplicateValues" dxfId="3176" priority="3344"/>
  </conditionalFormatting>
  <conditionalFormatting sqref="A497">
    <cfRule type="duplicateValues" dxfId="3175" priority="3343"/>
  </conditionalFormatting>
  <conditionalFormatting sqref="A497">
    <cfRule type="duplicateValues" dxfId="3174" priority="3342"/>
  </conditionalFormatting>
  <conditionalFormatting sqref="A497">
    <cfRule type="duplicateValues" dxfId="3173" priority="3341"/>
  </conditionalFormatting>
  <conditionalFormatting sqref="A497">
    <cfRule type="duplicateValues" dxfId="3172" priority="3340"/>
  </conditionalFormatting>
  <conditionalFormatting sqref="A497">
    <cfRule type="duplicateValues" dxfId="3171" priority="3339"/>
  </conditionalFormatting>
  <conditionalFormatting sqref="A497">
    <cfRule type="duplicateValues" dxfId="3170" priority="3338"/>
  </conditionalFormatting>
  <conditionalFormatting sqref="A497">
    <cfRule type="duplicateValues" dxfId="3169" priority="3337"/>
  </conditionalFormatting>
  <conditionalFormatting sqref="A497">
    <cfRule type="duplicateValues" dxfId="3168" priority="3336"/>
  </conditionalFormatting>
  <conditionalFormatting sqref="A541 A2:A502 A505 A507 A510:A515">
    <cfRule type="duplicateValues" dxfId="3167" priority="3334"/>
  </conditionalFormatting>
  <conditionalFormatting sqref="A541 A2:A505 A507 A510:A515">
    <cfRule type="duplicateValues" dxfId="3166" priority="3332"/>
  </conditionalFormatting>
  <conditionalFormatting sqref="A506">
    <cfRule type="duplicateValues" dxfId="3165" priority="3330"/>
  </conditionalFormatting>
  <conditionalFormatting sqref="A541 A2:A507 A510:A515">
    <cfRule type="duplicateValues" dxfId="3164" priority="3329"/>
  </conditionalFormatting>
  <conditionalFormatting sqref="A508">
    <cfRule type="duplicateValues" dxfId="3163" priority="3328"/>
  </conditionalFormatting>
  <conditionalFormatting sqref="A508">
    <cfRule type="duplicateValues" dxfId="3162" priority="3327"/>
  </conditionalFormatting>
  <conditionalFormatting sqref="A508">
    <cfRule type="duplicateValues" dxfId="3161" priority="3326"/>
  </conditionalFormatting>
  <conditionalFormatting sqref="A508">
    <cfRule type="duplicateValues" dxfId="3160" priority="3325"/>
  </conditionalFormatting>
  <conditionalFormatting sqref="A508">
    <cfRule type="duplicateValues" dxfId="3159" priority="3324"/>
  </conditionalFormatting>
  <conditionalFormatting sqref="A508">
    <cfRule type="duplicateValues" dxfId="3158" priority="3323"/>
  </conditionalFormatting>
  <conditionalFormatting sqref="A508">
    <cfRule type="duplicateValues" dxfId="3157" priority="3322"/>
  </conditionalFormatting>
  <conditionalFormatting sqref="A508">
    <cfRule type="duplicateValues" dxfId="3156" priority="3321"/>
  </conditionalFormatting>
  <conditionalFormatting sqref="A508">
    <cfRule type="duplicateValues" dxfId="3155" priority="3320"/>
  </conditionalFormatting>
  <conditionalFormatting sqref="A508">
    <cfRule type="duplicateValues" dxfId="3154" priority="3319"/>
  </conditionalFormatting>
  <conditionalFormatting sqref="A508">
    <cfRule type="duplicateValues" dxfId="3153" priority="3318"/>
  </conditionalFormatting>
  <conditionalFormatting sqref="A508">
    <cfRule type="duplicateValues" dxfId="3152" priority="3317"/>
  </conditionalFormatting>
  <conditionalFormatting sqref="A508">
    <cfRule type="duplicateValues" dxfId="3151" priority="3316"/>
  </conditionalFormatting>
  <conditionalFormatting sqref="A508">
    <cfRule type="duplicateValues" dxfId="3150" priority="3315"/>
  </conditionalFormatting>
  <conditionalFormatting sqref="A508">
    <cfRule type="duplicateValues" dxfId="3149" priority="3314"/>
  </conditionalFormatting>
  <conditionalFormatting sqref="A508">
    <cfRule type="duplicateValues" dxfId="3148" priority="3313"/>
  </conditionalFormatting>
  <conditionalFormatting sqref="A508">
    <cfRule type="duplicateValues" dxfId="3147" priority="3312"/>
  </conditionalFormatting>
  <conditionalFormatting sqref="A508">
    <cfRule type="duplicateValues" dxfId="3146" priority="3311"/>
  </conditionalFormatting>
  <conditionalFormatting sqref="A508">
    <cfRule type="duplicateValues" dxfId="3145" priority="3310"/>
  </conditionalFormatting>
  <conditionalFormatting sqref="A508">
    <cfRule type="duplicateValues" dxfId="3144" priority="3309"/>
  </conditionalFormatting>
  <conditionalFormatting sqref="A508">
    <cfRule type="duplicateValues" dxfId="3143" priority="3308"/>
  </conditionalFormatting>
  <conditionalFormatting sqref="A508">
    <cfRule type="duplicateValues" dxfId="3142" priority="3307"/>
  </conditionalFormatting>
  <conditionalFormatting sqref="A508">
    <cfRule type="duplicateValues" dxfId="3141" priority="3306"/>
  </conditionalFormatting>
  <conditionalFormatting sqref="A508">
    <cfRule type="duplicateValues" dxfId="3140" priority="3305"/>
  </conditionalFormatting>
  <conditionalFormatting sqref="A508">
    <cfRule type="duplicateValues" dxfId="3139" priority="3304"/>
  </conditionalFormatting>
  <conditionalFormatting sqref="A508">
    <cfRule type="duplicateValues" dxfId="3138" priority="3303"/>
  </conditionalFormatting>
  <conditionalFormatting sqref="A508">
    <cfRule type="duplicateValues" dxfId="3137" priority="3302"/>
  </conditionalFormatting>
  <conditionalFormatting sqref="A541 A2:A508 A510:A515">
    <cfRule type="duplicateValues" dxfId="3136" priority="3301"/>
  </conditionalFormatting>
  <conditionalFormatting sqref="A509">
    <cfRule type="duplicateValues" dxfId="3135" priority="3299"/>
  </conditionalFormatting>
  <conditionalFormatting sqref="A509">
    <cfRule type="duplicateValues" dxfId="3134" priority="3298"/>
  </conditionalFormatting>
  <conditionalFormatting sqref="A509">
    <cfRule type="duplicateValues" dxfId="3133" priority="3297"/>
  </conditionalFormatting>
  <conditionalFormatting sqref="A509">
    <cfRule type="duplicateValues" dxfId="3132" priority="3296"/>
  </conditionalFormatting>
  <conditionalFormatting sqref="A509">
    <cfRule type="duplicateValues" dxfId="3131" priority="3295"/>
  </conditionalFormatting>
  <conditionalFormatting sqref="A509">
    <cfRule type="duplicateValues" dxfId="3130" priority="3294"/>
  </conditionalFormatting>
  <conditionalFormatting sqref="A509">
    <cfRule type="duplicateValues" dxfId="3129" priority="3293"/>
  </conditionalFormatting>
  <conditionalFormatting sqref="A509">
    <cfRule type="duplicateValues" dxfId="3128" priority="3292"/>
  </conditionalFormatting>
  <conditionalFormatting sqref="A509">
    <cfRule type="duplicateValues" dxfId="3127" priority="3291"/>
  </conditionalFormatting>
  <conditionalFormatting sqref="A509">
    <cfRule type="duplicateValues" dxfId="3126" priority="3290"/>
  </conditionalFormatting>
  <conditionalFormatting sqref="A509">
    <cfRule type="duplicateValues" dxfId="3125" priority="3289"/>
  </conditionalFormatting>
  <conditionalFormatting sqref="A509">
    <cfRule type="duplicateValues" dxfId="3124" priority="3288"/>
  </conditionalFormatting>
  <conditionalFormatting sqref="A509">
    <cfRule type="duplicateValues" dxfId="3123" priority="3287"/>
  </conditionalFormatting>
  <conditionalFormatting sqref="A509">
    <cfRule type="duplicateValues" dxfId="3122" priority="3286"/>
  </conditionalFormatting>
  <conditionalFormatting sqref="A509">
    <cfRule type="duplicateValues" dxfId="3121" priority="3285"/>
  </conditionalFormatting>
  <conditionalFormatting sqref="A509">
    <cfRule type="duplicateValues" dxfId="3120" priority="3284"/>
  </conditionalFormatting>
  <conditionalFormatting sqref="A509">
    <cfRule type="duplicateValues" dxfId="3119" priority="3283"/>
  </conditionalFormatting>
  <conditionalFormatting sqref="A509">
    <cfRule type="duplicateValues" dxfId="3118" priority="3282"/>
  </conditionalFormatting>
  <conditionalFormatting sqref="A509">
    <cfRule type="duplicateValues" dxfId="3117" priority="3281"/>
  </conditionalFormatting>
  <conditionalFormatting sqref="A509">
    <cfRule type="duplicateValues" dxfId="3116" priority="3280"/>
  </conditionalFormatting>
  <conditionalFormatting sqref="A509">
    <cfRule type="duplicateValues" dxfId="3115" priority="3279"/>
  </conditionalFormatting>
  <conditionalFormatting sqref="A509">
    <cfRule type="duplicateValues" dxfId="3114" priority="3278"/>
  </conditionalFormatting>
  <conditionalFormatting sqref="A541 A2:A515">
    <cfRule type="duplicateValues" dxfId="3113" priority="3277"/>
  </conditionalFormatting>
  <conditionalFormatting sqref="A516:A518">
    <cfRule type="duplicateValues" dxfId="3112" priority="3275"/>
  </conditionalFormatting>
  <conditionalFormatting sqref="A516:A518">
    <cfRule type="duplicateValues" dxfId="3111" priority="3274"/>
  </conditionalFormatting>
  <conditionalFormatting sqref="A516:A518">
    <cfRule type="duplicateValues" dxfId="3110" priority="3273"/>
  </conditionalFormatting>
  <conditionalFormatting sqref="A516:A518">
    <cfRule type="duplicateValues" dxfId="3109" priority="3272"/>
  </conditionalFormatting>
  <conditionalFormatting sqref="A516:A518">
    <cfRule type="duplicateValues" dxfId="3108" priority="3271"/>
  </conditionalFormatting>
  <conditionalFormatting sqref="A516:A518">
    <cfRule type="duplicateValues" dxfId="3107" priority="3270"/>
  </conditionalFormatting>
  <conditionalFormatting sqref="A516:A518">
    <cfRule type="duplicateValues" dxfId="3106" priority="3269"/>
  </conditionalFormatting>
  <conditionalFormatting sqref="A516:A518">
    <cfRule type="duplicateValues" dxfId="3105" priority="3268"/>
  </conditionalFormatting>
  <conditionalFormatting sqref="A516:A518">
    <cfRule type="duplicateValues" dxfId="3104" priority="3267"/>
  </conditionalFormatting>
  <conditionalFormatting sqref="A516:A518">
    <cfRule type="duplicateValues" dxfId="3103" priority="3266"/>
  </conditionalFormatting>
  <conditionalFormatting sqref="A516:A518">
    <cfRule type="duplicateValues" dxfId="3102" priority="3265"/>
  </conditionalFormatting>
  <conditionalFormatting sqref="A516:A518">
    <cfRule type="duplicateValues" dxfId="3101" priority="3264"/>
  </conditionalFormatting>
  <conditionalFormatting sqref="A516:A518">
    <cfRule type="duplicateValues" dxfId="3100" priority="3263"/>
  </conditionalFormatting>
  <conditionalFormatting sqref="A516:A518">
    <cfRule type="duplicateValues" dxfId="3099" priority="3262"/>
  </conditionalFormatting>
  <conditionalFormatting sqref="A516:A518">
    <cfRule type="duplicateValues" dxfId="3098" priority="3261"/>
  </conditionalFormatting>
  <conditionalFormatting sqref="A516:A518">
    <cfRule type="duplicateValues" dxfId="3097" priority="3260"/>
  </conditionalFormatting>
  <conditionalFormatting sqref="A516:A518">
    <cfRule type="duplicateValues" dxfId="3096" priority="3259"/>
  </conditionalFormatting>
  <conditionalFormatting sqref="A516:A518">
    <cfRule type="duplicateValues" dxfId="3095" priority="3258"/>
  </conditionalFormatting>
  <conditionalFormatting sqref="A516:A518">
    <cfRule type="duplicateValues" dxfId="3094" priority="3257"/>
  </conditionalFormatting>
  <conditionalFormatting sqref="A516:A518">
    <cfRule type="duplicateValues" dxfId="3093" priority="3256"/>
  </conditionalFormatting>
  <conditionalFormatting sqref="A516:A518">
    <cfRule type="duplicateValues" dxfId="3092" priority="3255"/>
  </conditionalFormatting>
  <conditionalFormatting sqref="A516:A518">
    <cfRule type="duplicateValues" dxfId="3091" priority="3254"/>
  </conditionalFormatting>
  <conditionalFormatting sqref="A516:A518">
    <cfRule type="duplicateValues" dxfId="3090" priority="3253"/>
  </conditionalFormatting>
  <conditionalFormatting sqref="A541 A2:A519">
    <cfRule type="duplicateValues" dxfId="3089" priority="3252"/>
  </conditionalFormatting>
  <conditionalFormatting sqref="A519">
    <cfRule type="duplicateValues" dxfId="3088" priority="3250"/>
  </conditionalFormatting>
  <conditionalFormatting sqref="A519">
    <cfRule type="duplicateValues" dxfId="3087" priority="3249"/>
  </conditionalFormatting>
  <conditionalFormatting sqref="A519">
    <cfRule type="duplicateValues" dxfId="3086" priority="3248"/>
  </conditionalFormatting>
  <conditionalFormatting sqref="A519">
    <cfRule type="duplicateValues" dxfId="3085" priority="3247"/>
  </conditionalFormatting>
  <conditionalFormatting sqref="A519">
    <cfRule type="duplicateValues" dxfId="3084" priority="3246"/>
  </conditionalFormatting>
  <conditionalFormatting sqref="A519">
    <cfRule type="duplicateValues" dxfId="3083" priority="3245"/>
  </conditionalFormatting>
  <conditionalFormatting sqref="A519">
    <cfRule type="duplicateValues" dxfId="3082" priority="3244"/>
  </conditionalFormatting>
  <conditionalFormatting sqref="A519">
    <cfRule type="duplicateValues" dxfId="3081" priority="3243"/>
  </conditionalFormatting>
  <conditionalFormatting sqref="A519">
    <cfRule type="duplicateValues" dxfId="3080" priority="3242"/>
  </conditionalFormatting>
  <conditionalFormatting sqref="A519">
    <cfRule type="duplicateValues" dxfId="3079" priority="3241"/>
  </conditionalFormatting>
  <conditionalFormatting sqref="A519">
    <cfRule type="duplicateValues" dxfId="3078" priority="3240"/>
  </conditionalFormatting>
  <conditionalFormatting sqref="A519">
    <cfRule type="duplicateValues" dxfId="3077" priority="3239"/>
  </conditionalFormatting>
  <conditionalFormatting sqref="A519">
    <cfRule type="duplicateValues" dxfId="3076" priority="3238"/>
  </conditionalFormatting>
  <conditionalFormatting sqref="A519">
    <cfRule type="duplicateValues" dxfId="3075" priority="3237"/>
  </conditionalFormatting>
  <conditionalFormatting sqref="A519">
    <cfRule type="duplicateValues" dxfId="3074" priority="3236"/>
  </conditionalFormatting>
  <conditionalFormatting sqref="A519">
    <cfRule type="duplicateValues" dxfId="3073" priority="3235"/>
  </conditionalFormatting>
  <conditionalFormatting sqref="A519">
    <cfRule type="duplicateValues" dxfId="3072" priority="3234"/>
  </conditionalFormatting>
  <conditionalFormatting sqref="A519">
    <cfRule type="duplicateValues" dxfId="3071" priority="3233"/>
  </conditionalFormatting>
  <conditionalFormatting sqref="A519">
    <cfRule type="duplicateValues" dxfId="3070" priority="3232"/>
  </conditionalFormatting>
  <conditionalFormatting sqref="A519">
    <cfRule type="duplicateValues" dxfId="3069" priority="3231"/>
  </conditionalFormatting>
  <conditionalFormatting sqref="A519">
    <cfRule type="duplicateValues" dxfId="3068" priority="3230"/>
  </conditionalFormatting>
  <conditionalFormatting sqref="A519">
    <cfRule type="duplicateValues" dxfId="3067" priority="3229"/>
  </conditionalFormatting>
  <conditionalFormatting sqref="A519">
    <cfRule type="duplicateValues" dxfId="3066" priority="3228"/>
  </conditionalFormatting>
  <conditionalFormatting sqref="F521:F524">
    <cfRule type="duplicateValues" dxfId="3065" priority="3221"/>
  </conditionalFormatting>
  <conditionalFormatting sqref="F521:F524">
    <cfRule type="duplicateValues" dxfId="3064" priority="3216"/>
  </conditionalFormatting>
  <conditionalFormatting sqref="A521:A524">
    <cfRule type="duplicateValues" dxfId="3063" priority="3215"/>
  </conditionalFormatting>
  <conditionalFormatting sqref="A521:A524">
    <cfRule type="duplicateValues" dxfId="3062" priority="3213"/>
  </conditionalFormatting>
  <conditionalFormatting sqref="A521:A524">
    <cfRule type="duplicateValues" dxfId="3061" priority="3212"/>
  </conditionalFormatting>
  <conditionalFormatting sqref="F521:F524">
    <cfRule type="duplicateValues" dxfId="3060" priority="3211"/>
  </conditionalFormatting>
  <conditionalFormatting sqref="A521:A524">
    <cfRule type="duplicateValues" dxfId="3059" priority="3210"/>
  </conditionalFormatting>
  <conditionalFormatting sqref="F521:F524">
    <cfRule type="duplicateValues" dxfId="3058" priority="3209"/>
  </conditionalFormatting>
  <conditionalFormatting sqref="F521:F524">
    <cfRule type="duplicateValues" dxfId="3057" priority="3207"/>
  </conditionalFormatting>
  <conditionalFormatting sqref="A521:A524">
    <cfRule type="duplicateValues" dxfId="3056" priority="3206"/>
  </conditionalFormatting>
  <conditionalFormatting sqref="F521:F524">
    <cfRule type="duplicateValues" dxfId="3055" priority="3205"/>
  </conditionalFormatting>
  <conditionalFormatting sqref="A521:A524">
    <cfRule type="duplicateValues" dxfId="3054" priority="3204"/>
  </conditionalFormatting>
  <conditionalFormatting sqref="F521:F524">
    <cfRule type="duplicateValues" dxfId="3053" priority="3203"/>
  </conditionalFormatting>
  <conditionalFormatting sqref="F521:F524">
    <cfRule type="duplicateValues" dxfId="3052" priority="3202"/>
  </conditionalFormatting>
  <conditionalFormatting sqref="A521:A524">
    <cfRule type="duplicateValues" dxfId="3051" priority="3200"/>
  </conditionalFormatting>
  <conditionalFormatting sqref="A521:A524">
    <cfRule type="duplicateValues" dxfId="3050" priority="3199"/>
  </conditionalFormatting>
  <conditionalFormatting sqref="F521:F524">
    <cfRule type="duplicateValues" dxfId="3049" priority="3198"/>
  </conditionalFormatting>
  <conditionalFormatting sqref="A521:A524">
    <cfRule type="duplicateValues" dxfId="3048" priority="3196"/>
  </conditionalFormatting>
  <conditionalFormatting sqref="F521:F524">
    <cfRule type="duplicateValues" dxfId="3047" priority="3194"/>
  </conditionalFormatting>
  <conditionalFormatting sqref="A521:A524">
    <cfRule type="duplicateValues" dxfId="3046" priority="3193"/>
  </conditionalFormatting>
  <conditionalFormatting sqref="F521:F524">
    <cfRule type="duplicateValues" dxfId="3045" priority="3192"/>
  </conditionalFormatting>
  <conditionalFormatting sqref="A521:A524">
    <cfRule type="duplicateValues" dxfId="3044" priority="3190"/>
  </conditionalFormatting>
  <conditionalFormatting sqref="F521:F524">
    <cfRule type="duplicateValues" dxfId="3043" priority="3188"/>
  </conditionalFormatting>
  <conditionalFormatting sqref="A521:A524">
    <cfRule type="duplicateValues" dxfId="3042" priority="3187"/>
  </conditionalFormatting>
  <conditionalFormatting sqref="A521:A524">
    <cfRule type="duplicateValues" dxfId="3041" priority="3185"/>
  </conditionalFormatting>
  <conditionalFormatting sqref="A521:A524">
    <cfRule type="duplicateValues" dxfId="3040" priority="3183"/>
  </conditionalFormatting>
  <conditionalFormatting sqref="F521:F524">
    <cfRule type="duplicateValues" dxfId="3039" priority="3182"/>
  </conditionalFormatting>
  <conditionalFormatting sqref="A521:A524">
    <cfRule type="duplicateValues" dxfId="3038" priority="3180"/>
  </conditionalFormatting>
  <conditionalFormatting sqref="A521:A524">
    <cfRule type="duplicateValues" dxfId="3037" priority="3179"/>
  </conditionalFormatting>
  <conditionalFormatting sqref="F521:F524">
    <cfRule type="duplicateValues" dxfId="3036" priority="3177"/>
  </conditionalFormatting>
  <conditionalFormatting sqref="A521:A524">
    <cfRule type="duplicateValues" dxfId="3035" priority="3174"/>
  </conditionalFormatting>
  <conditionalFormatting sqref="F521:F524">
    <cfRule type="duplicateValues" dxfId="3034" priority="3173"/>
  </conditionalFormatting>
  <conditionalFormatting sqref="A521:A524">
    <cfRule type="duplicateValues" dxfId="3033" priority="3172"/>
  </conditionalFormatting>
  <conditionalFormatting sqref="A521:A524">
    <cfRule type="duplicateValues" dxfId="3032" priority="3170"/>
  </conditionalFormatting>
  <conditionalFormatting sqref="A521:A524">
    <cfRule type="duplicateValues" dxfId="3031" priority="3168"/>
  </conditionalFormatting>
  <conditionalFormatting sqref="A521:A524">
    <cfRule type="duplicateValues" dxfId="3030" priority="3166"/>
  </conditionalFormatting>
  <conditionalFormatting sqref="A521:A524">
    <cfRule type="duplicateValues" dxfId="3029" priority="3165"/>
  </conditionalFormatting>
  <conditionalFormatting sqref="A521:A524">
    <cfRule type="duplicateValues" dxfId="3028" priority="3163"/>
  </conditionalFormatting>
  <conditionalFormatting sqref="A521:A524">
    <cfRule type="duplicateValues" dxfId="3027" priority="3161"/>
  </conditionalFormatting>
  <conditionalFormatting sqref="F520">
    <cfRule type="duplicateValues" dxfId="3026" priority="3226"/>
  </conditionalFormatting>
  <conditionalFormatting sqref="A520">
    <cfRule type="duplicateValues" dxfId="3025" priority="3227"/>
  </conditionalFormatting>
  <conditionalFormatting sqref="A541 A2:A524">
    <cfRule type="duplicateValues" dxfId="3024" priority="3159"/>
  </conditionalFormatting>
  <conditionalFormatting sqref="F526">
    <cfRule type="duplicateValues" dxfId="3023" priority="3156"/>
  </conditionalFormatting>
  <conditionalFormatting sqref="A526">
    <cfRule type="duplicateValues" dxfId="3022" priority="3157"/>
  </conditionalFormatting>
  <conditionalFormatting sqref="A526">
    <cfRule type="duplicateValues" dxfId="3021" priority="3152"/>
  </conditionalFormatting>
  <conditionalFormatting sqref="A541 A2:A526">
    <cfRule type="duplicateValues" dxfId="3020" priority="3150"/>
  </conditionalFormatting>
  <conditionalFormatting sqref="F534:F536">
    <cfRule type="duplicateValues" dxfId="3019" priority="3147"/>
  </conditionalFormatting>
  <conditionalFormatting sqref="F534:F536">
    <cfRule type="duplicateValues" dxfId="3018" priority="3142"/>
  </conditionalFormatting>
  <conditionalFormatting sqref="A534:A536">
    <cfRule type="duplicateValues" dxfId="3017" priority="3141"/>
  </conditionalFormatting>
  <conditionalFormatting sqref="A534:A536">
    <cfRule type="duplicateValues" dxfId="3016" priority="3139"/>
  </conditionalFormatting>
  <conditionalFormatting sqref="A534:A536">
    <cfRule type="duplicateValues" dxfId="3015" priority="3138"/>
  </conditionalFormatting>
  <conditionalFormatting sqref="F534:F536">
    <cfRule type="duplicateValues" dxfId="3014" priority="3137"/>
  </conditionalFormatting>
  <conditionalFormatting sqref="A534:A536">
    <cfRule type="duplicateValues" dxfId="3013" priority="3136"/>
  </conditionalFormatting>
  <conditionalFormatting sqref="F534:F536">
    <cfRule type="duplicateValues" dxfId="3012" priority="3135"/>
  </conditionalFormatting>
  <conditionalFormatting sqref="F534:F536">
    <cfRule type="duplicateValues" dxfId="3011" priority="3133"/>
  </conditionalFormatting>
  <conditionalFormatting sqref="A534:A536">
    <cfRule type="duplicateValues" dxfId="3010" priority="3132"/>
  </conditionalFormatting>
  <conditionalFormatting sqref="F534:F536">
    <cfRule type="duplicateValues" dxfId="3009" priority="3131"/>
  </conditionalFormatting>
  <conditionalFormatting sqref="A534:A536">
    <cfRule type="duplicateValues" dxfId="3008" priority="3130"/>
  </conditionalFormatting>
  <conditionalFormatting sqref="F534:F536">
    <cfRule type="duplicateValues" dxfId="3007" priority="3129"/>
  </conditionalFormatting>
  <conditionalFormatting sqref="F534:F536">
    <cfRule type="duplicateValues" dxfId="3006" priority="3128"/>
  </conditionalFormatting>
  <conditionalFormatting sqref="A534:A536">
    <cfRule type="duplicateValues" dxfId="3005" priority="3126"/>
  </conditionalFormatting>
  <conditionalFormatting sqref="A534:A536">
    <cfRule type="duplicateValues" dxfId="3004" priority="3125"/>
  </conditionalFormatting>
  <conditionalFormatting sqref="F534:F536">
    <cfRule type="duplicateValues" dxfId="3003" priority="3124"/>
  </conditionalFormatting>
  <conditionalFormatting sqref="A534:A536">
    <cfRule type="duplicateValues" dxfId="3002" priority="3122"/>
  </conditionalFormatting>
  <conditionalFormatting sqref="F534:F536">
    <cfRule type="duplicateValues" dxfId="3001" priority="3120"/>
  </conditionalFormatting>
  <conditionalFormatting sqref="A534:A536">
    <cfRule type="duplicateValues" dxfId="3000" priority="3119"/>
  </conditionalFormatting>
  <conditionalFormatting sqref="F534:F536">
    <cfRule type="duplicateValues" dxfId="2999" priority="3118"/>
  </conditionalFormatting>
  <conditionalFormatting sqref="A534:A536">
    <cfRule type="duplicateValues" dxfId="2998" priority="3116"/>
  </conditionalFormatting>
  <conditionalFormatting sqref="F534:F536">
    <cfRule type="duplicateValues" dxfId="2997" priority="3114"/>
  </conditionalFormatting>
  <conditionalFormatting sqref="A534:A536">
    <cfRule type="duplicateValues" dxfId="2996" priority="3113"/>
  </conditionalFormatting>
  <conditionalFormatting sqref="A534:A536">
    <cfRule type="duplicateValues" dxfId="2995" priority="3111"/>
  </conditionalFormatting>
  <conditionalFormatting sqref="A534:A536">
    <cfRule type="duplicateValues" dxfId="2994" priority="3109"/>
  </conditionalFormatting>
  <conditionalFormatting sqref="F534:F536">
    <cfRule type="duplicateValues" dxfId="2993" priority="3108"/>
  </conditionalFormatting>
  <conditionalFormatting sqref="A534:A536">
    <cfRule type="duplicateValues" dxfId="2992" priority="3106"/>
  </conditionalFormatting>
  <conditionalFormatting sqref="A534:A536">
    <cfRule type="duplicateValues" dxfId="2991" priority="3105"/>
  </conditionalFormatting>
  <conditionalFormatting sqref="F534:F536">
    <cfRule type="duplicateValues" dxfId="2990" priority="3103"/>
  </conditionalFormatting>
  <conditionalFormatting sqref="A534:A536">
    <cfRule type="duplicateValues" dxfId="2989" priority="3100"/>
  </conditionalFormatting>
  <conditionalFormatting sqref="F534:F536">
    <cfRule type="duplicateValues" dxfId="2988" priority="3099"/>
  </conditionalFormatting>
  <conditionalFormatting sqref="A534:A536">
    <cfRule type="duplicateValues" dxfId="2987" priority="3098"/>
  </conditionalFormatting>
  <conditionalFormatting sqref="A534:A536">
    <cfRule type="duplicateValues" dxfId="2986" priority="3096"/>
  </conditionalFormatting>
  <conditionalFormatting sqref="A534:A536">
    <cfRule type="duplicateValues" dxfId="2985" priority="3094"/>
  </conditionalFormatting>
  <conditionalFormatting sqref="A534:A536">
    <cfRule type="duplicateValues" dxfId="2984" priority="3092"/>
  </conditionalFormatting>
  <conditionalFormatting sqref="A534:A536">
    <cfRule type="duplicateValues" dxfId="2983" priority="3091"/>
  </conditionalFormatting>
  <conditionalFormatting sqref="A534:A536">
    <cfRule type="duplicateValues" dxfId="2982" priority="3089"/>
  </conditionalFormatting>
  <conditionalFormatting sqref="A534:A536">
    <cfRule type="duplicateValues" dxfId="2981" priority="3087"/>
  </conditionalFormatting>
  <conditionalFormatting sqref="A534:A536">
    <cfRule type="duplicateValues" dxfId="2980" priority="3085"/>
  </conditionalFormatting>
  <conditionalFormatting sqref="A534:A536">
    <cfRule type="duplicateValues" dxfId="2979" priority="3083"/>
  </conditionalFormatting>
  <conditionalFormatting sqref="A531">
    <cfRule type="duplicateValues" dxfId="2978" priority="3081"/>
  </conditionalFormatting>
  <conditionalFormatting sqref="A531">
    <cfRule type="duplicateValues" dxfId="2977" priority="3080"/>
  </conditionalFormatting>
  <conditionalFormatting sqref="A531">
    <cfRule type="duplicateValues" dxfId="2976" priority="3079"/>
  </conditionalFormatting>
  <conditionalFormatting sqref="A531">
    <cfRule type="duplicateValues" dxfId="2975" priority="3078"/>
  </conditionalFormatting>
  <conditionalFormatting sqref="A531">
    <cfRule type="duplicateValues" dxfId="2974" priority="3077"/>
  </conditionalFormatting>
  <conditionalFormatting sqref="A531">
    <cfRule type="duplicateValues" dxfId="2973" priority="3076"/>
  </conditionalFormatting>
  <conditionalFormatting sqref="A531">
    <cfRule type="duplicateValues" dxfId="2972" priority="3075"/>
  </conditionalFormatting>
  <conditionalFormatting sqref="A531">
    <cfRule type="duplicateValues" dxfId="2971" priority="3074"/>
  </conditionalFormatting>
  <conditionalFormatting sqref="A531">
    <cfRule type="duplicateValues" dxfId="2970" priority="3073"/>
  </conditionalFormatting>
  <conditionalFormatting sqref="A531">
    <cfRule type="duplicateValues" dxfId="2969" priority="3072"/>
  </conditionalFormatting>
  <conditionalFormatting sqref="A531">
    <cfRule type="duplicateValues" dxfId="2968" priority="3071"/>
  </conditionalFormatting>
  <conditionalFormatting sqref="A531">
    <cfRule type="duplicateValues" dxfId="2967" priority="3070"/>
  </conditionalFormatting>
  <conditionalFormatting sqref="A531">
    <cfRule type="duplicateValues" dxfId="2966" priority="3069"/>
  </conditionalFormatting>
  <conditionalFormatting sqref="A531">
    <cfRule type="duplicateValues" dxfId="2965" priority="3068"/>
  </conditionalFormatting>
  <conditionalFormatting sqref="A531">
    <cfRule type="duplicateValues" dxfId="2964" priority="3067"/>
  </conditionalFormatting>
  <conditionalFormatting sqref="A531">
    <cfRule type="duplicateValues" dxfId="2963" priority="3066"/>
  </conditionalFormatting>
  <conditionalFormatting sqref="A531">
    <cfRule type="duplicateValues" dxfId="2962" priority="3065"/>
  </conditionalFormatting>
  <conditionalFormatting sqref="A531">
    <cfRule type="duplicateValues" dxfId="2961" priority="3064"/>
  </conditionalFormatting>
  <conditionalFormatting sqref="A531">
    <cfRule type="duplicateValues" dxfId="2960" priority="3063"/>
  </conditionalFormatting>
  <conditionalFormatting sqref="A531">
    <cfRule type="duplicateValues" dxfId="2959" priority="3062"/>
  </conditionalFormatting>
  <conditionalFormatting sqref="A531">
    <cfRule type="duplicateValues" dxfId="2958" priority="3061"/>
  </conditionalFormatting>
  <conditionalFormatting sqref="A531">
    <cfRule type="duplicateValues" dxfId="2957" priority="3060"/>
  </conditionalFormatting>
  <conditionalFormatting sqref="A531">
    <cfRule type="duplicateValues" dxfId="2956" priority="3059"/>
  </conditionalFormatting>
  <conditionalFormatting sqref="A531">
    <cfRule type="duplicateValues" dxfId="2955" priority="3058"/>
  </conditionalFormatting>
  <conditionalFormatting sqref="A531">
    <cfRule type="duplicateValues" dxfId="2954" priority="3057"/>
  </conditionalFormatting>
  <conditionalFormatting sqref="A531">
    <cfRule type="duplicateValues" dxfId="2953" priority="3056"/>
  </conditionalFormatting>
  <conditionalFormatting sqref="A530">
    <cfRule type="duplicateValues" dxfId="2952" priority="3055"/>
  </conditionalFormatting>
  <conditionalFormatting sqref="A532">
    <cfRule type="duplicateValues" dxfId="2951" priority="3054"/>
  </conditionalFormatting>
  <conditionalFormatting sqref="A537">
    <cfRule type="duplicateValues" dxfId="2950" priority="3052"/>
  </conditionalFormatting>
  <conditionalFormatting sqref="A537">
    <cfRule type="duplicateValues" dxfId="2949" priority="3051"/>
  </conditionalFormatting>
  <conditionalFormatting sqref="A537">
    <cfRule type="duplicateValues" dxfId="2948" priority="3050"/>
  </conditionalFormatting>
  <conditionalFormatting sqref="A537">
    <cfRule type="duplicateValues" dxfId="2947" priority="3053"/>
  </conditionalFormatting>
  <conditionalFormatting sqref="A541 A2:A537">
    <cfRule type="duplicateValues" dxfId="2946" priority="3049"/>
  </conditionalFormatting>
  <conditionalFormatting sqref="F538:F539">
    <cfRule type="duplicateValues" dxfId="2945" priority="3046"/>
  </conditionalFormatting>
  <conditionalFormatting sqref="F538:F539">
    <cfRule type="duplicateValues" dxfId="2944" priority="3041"/>
  </conditionalFormatting>
  <conditionalFormatting sqref="A538:A539">
    <cfRule type="duplicateValues" dxfId="2943" priority="3040"/>
  </conditionalFormatting>
  <conditionalFormatting sqref="A538:A539">
    <cfRule type="duplicateValues" dxfId="2942" priority="3038"/>
  </conditionalFormatting>
  <conditionalFormatting sqref="A538:A539">
    <cfRule type="duplicateValues" dxfId="2941" priority="3037"/>
  </conditionalFormatting>
  <conditionalFormatting sqref="F538:F539">
    <cfRule type="duplicateValues" dxfId="2940" priority="3036"/>
  </conditionalFormatting>
  <conditionalFormatting sqref="A538:A539">
    <cfRule type="duplicateValues" dxfId="2939" priority="3035"/>
  </conditionalFormatting>
  <conditionalFormatting sqref="F538:F539">
    <cfRule type="duplicateValues" dxfId="2938" priority="3034"/>
  </conditionalFormatting>
  <conditionalFormatting sqref="F538:F539">
    <cfRule type="duplicateValues" dxfId="2937" priority="3032"/>
  </conditionalFormatting>
  <conditionalFormatting sqref="A538:A539">
    <cfRule type="duplicateValues" dxfId="2936" priority="3031"/>
  </conditionalFormatting>
  <conditionalFormatting sqref="F538:F539">
    <cfRule type="duplicateValues" dxfId="2935" priority="3030"/>
  </conditionalFormatting>
  <conditionalFormatting sqref="A538:A539">
    <cfRule type="duplicateValues" dxfId="2934" priority="3029"/>
  </conditionalFormatting>
  <conditionalFormatting sqref="F538:F539">
    <cfRule type="duplicateValues" dxfId="2933" priority="3028"/>
  </conditionalFormatting>
  <conditionalFormatting sqref="F538:F539">
    <cfRule type="duplicateValues" dxfId="2932" priority="3027"/>
  </conditionalFormatting>
  <conditionalFormatting sqref="A538:A539">
    <cfRule type="duplicateValues" dxfId="2931" priority="3025"/>
  </conditionalFormatting>
  <conditionalFormatting sqref="A538:A539">
    <cfRule type="duplicateValues" dxfId="2930" priority="3024"/>
  </conditionalFormatting>
  <conditionalFormatting sqref="F538:F539">
    <cfRule type="duplicateValues" dxfId="2929" priority="3023"/>
  </conditionalFormatting>
  <conditionalFormatting sqref="A538:A539">
    <cfRule type="duplicateValues" dxfId="2928" priority="3021"/>
  </conditionalFormatting>
  <conditionalFormatting sqref="F538:F539">
    <cfRule type="duplicateValues" dxfId="2927" priority="3019"/>
  </conditionalFormatting>
  <conditionalFormatting sqref="A538:A539">
    <cfRule type="duplicateValues" dxfId="2926" priority="3018"/>
  </conditionalFormatting>
  <conditionalFormatting sqref="F538:F539">
    <cfRule type="duplicateValues" dxfId="2925" priority="3017"/>
  </conditionalFormatting>
  <conditionalFormatting sqref="A538:A539">
    <cfRule type="duplicateValues" dxfId="2924" priority="3015"/>
  </conditionalFormatting>
  <conditionalFormatting sqref="F538:F539">
    <cfRule type="duplicateValues" dxfId="2923" priority="3013"/>
  </conditionalFormatting>
  <conditionalFormatting sqref="A538:A539">
    <cfRule type="duplicateValues" dxfId="2922" priority="3012"/>
  </conditionalFormatting>
  <conditionalFormatting sqref="A538:A539">
    <cfRule type="duplicateValues" dxfId="2921" priority="3010"/>
  </conditionalFormatting>
  <conditionalFormatting sqref="A538:A539">
    <cfRule type="duplicateValues" dxfId="2920" priority="3008"/>
  </conditionalFormatting>
  <conditionalFormatting sqref="F538:F539">
    <cfRule type="duplicateValues" dxfId="2919" priority="3007"/>
  </conditionalFormatting>
  <conditionalFormatting sqref="A538:A539">
    <cfRule type="duplicateValues" dxfId="2918" priority="3005"/>
  </conditionalFormatting>
  <conditionalFormatting sqref="A538:A539">
    <cfRule type="duplicateValues" dxfId="2917" priority="3004"/>
  </conditionalFormatting>
  <conditionalFormatting sqref="F538:F539">
    <cfRule type="duplicateValues" dxfId="2916" priority="3002"/>
  </conditionalFormatting>
  <conditionalFormatting sqref="A538:A539">
    <cfRule type="duplicateValues" dxfId="2915" priority="2999"/>
  </conditionalFormatting>
  <conditionalFormatting sqref="F538:F539">
    <cfRule type="duplicateValues" dxfId="2914" priority="2998"/>
  </conditionalFormatting>
  <conditionalFormatting sqref="A538:A539">
    <cfRule type="duplicateValues" dxfId="2913" priority="2997"/>
  </conditionalFormatting>
  <conditionalFormatting sqref="A538:A539">
    <cfRule type="duplicateValues" dxfId="2912" priority="2995"/>
  </conditionalFormatting>
  <conditionalFormatting sqref="A538:A539">
    <cfRule type="duplicateValues" dxfId="2911" priority="2993"/>
  </conditionalFormatting>
  <conditionalFormatting sqref="A538:A539">
    <cfRule type="duplicateValues" dxfId="2910" priority="2991"/>
  </conditionalFormatting>
  <conditionalFormatting sqref="A538:A539">
    <cfRule type="duplicateValues" dxfId="2909" priority="2990"/>
  </conditionalFormatting>
  <conditionalFormatting sqref="A538:A539">
    <cfRule type="duplicateValues" dxfId="2908" priority="2988"/>
  </conditionalFormatting>
  <conditionalFormatting sqref="A538:A539">
    <cfRule type="duplicateValues" dxfId="2907" priority="2986"/>
  </conditionalFormatting>
  <conditionalFormatting sqref="A538:A539">
    <cfRule type="duplicateValues" dxfId="2906" priority="2984"/>
  </conditionalFormatting>
  <conditionalFormatting sqref="A538:A539">
    <cfRule type="duplicateValues" dxfId="2905" priority="2982"/>
  </conditionalFormatting>
  <conditionalFormatting sqref="F540">
    <cfRule type="duplicateValues" dxfId="2904" priority="2979"/>
  </conditionalFormatting>
  <conditionalFormatting sqref="F540">
    <cfRule type="duplicateValues" dxfId="2903" priority="2974"/>
  </conditionalFormatting>
  <conditionalFormatting sqref="A540">
    <cfRule type="duplicateValues" dxfId="2902" priority="2973"/>
  </conditionalFormatting>
  <conditionalFormatting sqref="A540">
    <cfRule type="duplicateValues" dxfId="2901" priority="2971"/>
  </conditionalFormatting>
  <conditionalFormatting sqref="A540">
    <cfRule type="duplicateValues" dxfId="2900" priority="2970"/>
  </conditionalFormatting>
  <conditionalFormatting sqref="F540">
    <cfRule type="duplicateValues" dxfId="2899" priority="2969"/>
  </conditionalFormatting>
  <conditionalFormatting sqref="A540">
    <cfRule type="duplicateValues" dxfId="2898" priority="2968"/>
  </conditionalFormatting>
  <conditionalFormatting sqref="F540">
    <cfRule type="duplicateValues" dxfId="2897" priority="2967"/>
  </conditionalFormatting>
  <conditionalFormatting sqref="F540">
    <cfRule type="duplicateValues" dxfId="2896" priority="2965"/>
  </conditionalFormatting>
  <conditionalFormatting sqref="A540">
    <cfRule type="duplicateValues" dxfId="2895" priority="2964"/>
  </conditionalFormatting>
  <conditionalFormatting sqref="F540">
    <cfRule type="duplicateValues" dxfId="2894" priority="2963"/>
  </conditionalFormatting>
  <conditionalFormatting sqref="A540">
    <cfRule type="duplicateValues" dxfId="2893" priority="2962"/>
  </conditionalFormatting>
  <conditionalFormatting sqref="F540">
    <cfRule type="duplicateValues" dxfId="2892" priority="2961"/>
  </conditionalFormatting>
  <conditionalFormatting sqref="F540">
    <cfRule type="duplicateValues" dxfId="2891" priority="2960"/>
  </conditionalFormatting>
  <conditionalFormatting sqref="A540">
    <cfRule type="duplicateValues" dxfId="2890" priority="2958"/>
  </conditionalFormatting>
  <conditionalFormatting sqref="A540">
    <cfRule type="duplicateValues" dxfId="2889" priority="2957"/>
  </conditionalFormatting>
  <conditionalFormatting sqref="F540">
    <cfRule type="duplicateValues" dxfId="2888" priority="2956"/>
  </conditionalFormatting>
  <conditionalFormatting sqref="A540">
    <cfRule type="duplicateValues" dxfId="2887" priority="2954"/>
  </conditionalFormatting>
  <conditionalFormatting sqref="F540">
    <cfRule type="duplicateValues" dxfId="2886" priority="2952"/>
  </conditionalFormatting>
  <conditionalFormatting sqref="A540">
    <cfRule type="duplicateValues" dxfId="2885" priority="2951"/>
  </conditionalFormatting>
  <conditionalFormatting sqref="F540">
    <cfRule type="duplicateValues" dxfId="2884" priority="2950"/>
  </conditionalFormatting>
  <conditionalFormatting sqref="A540">
    <cfRule type="duplicateValues" dxfId="2883" priority="2948"/>
  </conditionalFormatting>
  <conditionalFormatting sqref="F540">
    <cfRule type="duplicateValues" dxfId="2882" priority="2946"/>
  </conditionalFormatting>
  <conditionalFormatting sqref="A540">
    <cfRule type="duplicateValues" dxfId="2881" priority="2945"/>
  </conditionalFormatting>
  <conditionalFormatting sqref="A540">
    <cfRule type="duplicateValues" dxfId="2880" priority="2943"/>
  </conditionalFormatting>
  <conditionalFormatting sqref="A540">
    <cfRule type="duplicateValues" dxfId="2879" priority="2941"/>
  </conditionalFormatting>
  <conditionalFormatting sqref="F540">
    <cfRule type="duplicateValues" dxfId="2878" priority="2940"/>
  </conditionalFormatting>
  <conditionalFormatting sqref="A540">
    <cfRule type="duplicateValues" dxfId="2877" priority="2938"/>
  </conditionalFormatting>
  <conditionalFormatting sqref="A540">
    <cfRule type="duplicateValues" dxfId="2876" priority="2937"/>
  </conditionalFormatting>
  <conditionalFormatting sqref="F540">
    <cfRule type="duplicateValues" dxfId="2875" priority="2935"/>
  </conditionalFormatting>
  <conditionalFormatting sqref="A540">
    <cfRule type="duplicateValues" dxfId="2874" priority="2932"/>
  </conditionalFormatting>
  <conditionalFormatting sqref="F540">
    <cfRule type="duplicateValues" dxfId="2873" priority="2931"/>
  </conditionalFormatting>
  <conditionalFormatting sqref="A540">
    <cfRule type="duplicateValues" dxfId="2872" priority="2930"/>
  </conditionalFormatting>
  <conditionalFormatting sqref="A540">
    <cfRule type="duplicateValues" dxfId="2871" priority="2928"/>
  </conditionalFormatting>
  <conditionalFormatting sqref="A540">
    <cfRule type="duplicateValues" dxfId="2870" priority="2926"/>
  </conditionalFormatting>
  <conditionalFormatting sqref="A540">
    <cfRule type="duplicateValues" dxfId="2869" priority="2924"/>
  </conditionalFormatting>
  <conditionalFormatting sqref="A540">
    <cfRule type="duplicateValues" dxfId="2868" priority="2923"/>
  </conditionalFormatting>
  <conditionalFormatting sqref="A540">
    <cfRule type="duplicateValues" dxfId="2867" priority="2921"/>
  </conditionalFormatting>
  <conditionalFormatting sqref="A540">
    <cfRule type="duplicateValues" dxfId="2866" priority="2919"/>
  </conditionalFormatting>
  <conditionalFormatting sqref="A540">
    <cfRule type="duplicateValues" dxfId="2865" priority="2917"/>
  </conditionalFormatting>
  <conditionalFormatting sqref="A540">
    <cfRule type="duplicateValues" dxfId="2864" priority="2915"/>
  </conditionalFormatting>
  <conditionalFormatting sqref="A542:A543">
    <cfRule type="duplicateValues" dxfId="2863" priority="2913"/>
  </conditionalFormatting>
  <conditionalFormatting sqref="BS543:DC546">
    <cfRule type="expression" dxfId="2862" priority="2912">
      <formula>$AV543="POSITIF"</formula>
    </cfRule>
  </conditionalFormatting>
  <conditionalFormatting sqref="DC547">
    <cfRule type="expression" dxfId="2861" priority="2911">
      <formula>$AV547="POSITIF"</formula>
    </cfRule>
  </conditionalFormatting>
  <conditionalFormatting sqref="A547">
    <cfRule type="duplicateValues" dxfId="2860" priority="2910"/>
  </conditionalFormatting>
  <conditionalFormatting sqref="A547">
    <cfRule type="duplicateValues" dxfId="2859" priority="2909"/>
  </conditionalFormatting>
  <conditionalFormatting sqref="A547">
    <cfRule type="expression" dxfId="2858" priority="2908">
      <formula>$AV547="POSITIF"</formula>
    </cfRule>
  </conditionalFormatting>
  <conditionalFormatting sqref="B548 B596:B706">
    <cfRule type="expression" dxfId="2857" priority="3915">
      <formula>#REF!="POSITIF"</formula>
    </cfRule>
  </conditionalFormatting>
  <conditionalFormatting sqref="A2:A553">
    <cfRule type="duplicateValues" dxfId="2856" priority="2907"/>
  </conditionalFormatting>
  <conditionalFormatting sqref="G550:G551">
    <cfRule type="expression" dxfId="2855" priority="2905">
      <formula>$AV550="POSITIF"</formula>
    </cfRule>
  </conditionalFormatting>
  <conditionalFormatting sqref="W553">
    <cfRule type="expression" dxfId="2854" priority="2904">
      <formula>$AV553="POSITIF"</formula>
    </cfRule>
  </conditionalFormatting>
  <conditionalFormatting sqref="X553">
    <cfRule type="expression" dxfId="2853" priority="2903">
      <formula>$AV553="POSITIF"</formula>
    </cfRule>
  </conditionalFormatting>
  <conditionalFormatting sqref="Y553">
    <cfRule type="expression" dxfId="2852" priority="2902">
      <formula>$AV553="POSITIF"</formula>
    </cfRule>
  </conditionalFormatting>
  <conditionalFormatting sqref="Z553">
    <cfRule type="expression" dxfId="2851" priority="2901">
      <formula>$AV553="POSITIF"</formula>
    </cfRule>
  </conditionalFormatting>
  <conditionalFormatting sqref="AA553">
    <cfRule type="expression" dxfId="2850" priority="2900">
      <formula>$AV553="POSITIF"</formula>
    </cfRule>
  </conditionalFormatting>
  <conditionalFormatting sqref="AB553">
    <cfRule type="expression" dxfId="2849" priority="2899">
      <formula>$AV553="POSITIF"</formula>
    </cfRule>
  </conditionalFormatting>
  <conditionalFormatting sqref="A554:A557">
    <cfRule type="duplicateValues" dxfId="2848" priority="2898"/>
  </conditionalFormatting>
  <conditionalFormatting sqref="A554:A557">
    <cfRule type="duplicateValues" dxfId="2847" priority="2897"/>
  </conditionalFormatting>
  <conditionalFormatting sqref="A554:A557">
    <cfRule type="duplicateValues" dxfId="2846" priority="2896"/>
  </conditionalFormatting>
  <conditionalFormatting sqref="A554:A557">
    <cfRule type="duplicateValues" dxfId="2845" priority="2895"/>
  </conditionalFormatting>
  <conditionalFormatting sqref="A554:A557">
    <cfRule type="duplicateValues" dxfId="2844" priority="2894"/>
  </conditionalFormatting>
  <conditionalFormatting sqref="A554:A557">
    <cfRule type="duplicateValues" dxfId="2843" priority="2893"/>
  </conditionalFormatting>
  <conditionalFormatting sqref="A554:A557">
    <cfRule type="duplicateValues" dxfId="2842" priority="2892"/>
  </conditionalFormatting>
  <conditionalFormatting sqref="A554:A557">
    <cfRule type="duplicateValues" dxfId="2841" priority="2891"/>
  </conditionalFormatting>
  <conditionalFormatting sqref="A554:A557">
    <cfRule type="duplicateValues" dxfId="2840" priority="2890"/>
  </conditionalFormatting>
  <conditionalFormatting sqref="A554:A557">
    <cfRule type="duplicateValues" dxfId="2839" priority="2889"/>
  </conditionalFormatting>
  <conditionalFormatting sqref="A554:A557">
    <cfRule type="duplicateValues" dxfId="2838" priority="2888"/>
  </conditionalFormatting>
  <conditionalFormatting sqref="A554:A557">
    <cfRule type="duplicateValues" dxfId="2837" priority="2887"/>
  </conditionalFormatting>
  <conditionalFormatting sqref="A554:A557">
    <cfRule type="duplicateValues" dxfId="2836" priority="2886"/>
  </conditionalFormatting>
  <conditionalFormatting sqref="A554:A557">
    <cfRule type="duplicateValues" dxfId="2835" priority="2885"/>
  </conditionalFormatting>
  <conditionalFormatting sqref="A554:A557">
    <cfRule type="duplicateValues" dxfId="2834" priority="2884"/>
  </conditionalFormatting>
  <conditionalFormatting sqref="A554:A557">
    <cfRule type="duplicateValues" dxfId="2833" priority="2883"/>
  </conditionalFormatting>
  <conditionalFormatting sqref="A554:A557">
    <cfRule type="duplicateValues" dxfId="2832" priority="2882"/>
  </conditionalFormatting>
  <conditionalFormatting sqref="A554:A557">
    <cfRule type="duplicateValues" dxfId="2831" priority="2881"/>
  </conditionalFormatting>
  <conditionalFormatting sqref="A554:A557">
    <cfRule type="duplicateValues" dxfId="2830" priority="2880"/>
  </conditionalFormatting>
  <conditionalFormatting sqref="A554:A557">
    <cfRule type="duplicateValues" dxfId="2829" priority="2879"/>
  </conditionalFormatting>
  <conditionalFormatting sqref="A554:A557">
    <cfRule type="duplicateValues" dxfId="2828" priority="2878"/>
  </conditionalFormatting>
  <conditionalFormatting sqref="A554:A557">
    <cfRule type="duplicateValues" dxfId="2827" priority="2877"/>
  </conditionalFormatting>
  <conditionalFormatting sqref="A554:A557">
    <cfRule type="duplicateValues" dxfId="2826" priority="2876"/>
  </conditionalFormatting>
  <conditionalFormatting sqref="A554:A557">
    <cfRule type="duplicateValues" dxfId="2825" priority="2875"/>
  </conditionalFormatting>
  <conditionalFormatting sqref="A554:A557">
    <cfRule type="duplicateValues" dxfId="2824" priority="2874"/>
  </conditionalFormatting>
  <conditionalFormatting sqref="A554:A557">
    <cfRule type="duplicateValues" dxfId="2823" priority="2873"/>
  </conditionalFormatting>
  <conditionalFormatting sqref="A554:A557">
    <cfRule type="duplicateValues" dxfId="2822" priority="2872"/>
  </conditionalFormatting>
  <conditionalFormatting sqref="A554:A557">
    <cfRule type="duplicateValues" dxfId="2821" priority="2871"/>
  </conditionalFormatting>
  <conditionalFormatting sqref="A554:A557">
    <cfRule type="expression" dxfId="2820" priority="2870">
      <formula>$AV554="POSITIF"</formula>
    </cfRule>
  </conditionalFormatting>
  <conditionalFormatting sqref="A554:A557">
    <cfRule type="duplicateValues" dxfId="2819" priority="2869"/>
  </conditionalFormatting>
  <conditionalFormatting sqref="A554:A557">
    <cfRule type="expression" dxfId="2818" priority="2868">
      <formula>$AV554="POSITIF"</formula>
    </cfRule>
  </conditionalFormatting>
  <conditionalFormatting sqref="A554:A557">
    <cfRule type="duplicateValues" dxfId="2817" priority="2867"/>
  </conditionalFormatting>
  <conditionalFormatting sqref="L556">
    <cfRule type="expression" dxfId="2816" priority="2866">
      <formula>$AV556="POSITIF"</formula>
    </cfRule>
  </conditionalFormatting>
  <conditionalFormatting sqref="G559:H560">
    <cfRule type="expression" dxfId="2815" priority="2865">
      <formula>$AV559="POSITIF"</formula>
    </cfRule>
  </conditionalFormatting>
  <conditionalFormatting sqref="A559">
    <cfRule type="duplicateValues" dxfId="2814" priority="2864"/>
  </conditionalFormatting>
  <conditionalFormatting sqref="A559">
    <cfRule type="duplicateValues" dxfId="2813" priority="2863"/>
  </conditionalFormatting>
  <conditionalFormatting sqref="A559">
    <cfRule type="duplicateValues" dxfId="2812" priority="2862"/>
  </conditionalFormatting>
  <conditionalFormatting sqref="A559">
    <cfRule type="duplicateValues" dxfId="2811" priority="2861"/>
  </conditionalFormatting>
  <conditionalFormatting sqref="A559">
    <cfRule type="duplicateValues" dxfId="2810" priority="2860"/>
  </conditionalFormatting>
  <conditionalFormatting sqref="A559">
    <cfRule type="duplicateValues" dxfId="2809" priority="2859"/>
  </conditionalFormatting>
  <conditionalFormatting sqref="A559">
    <cfRule type="duplicateValues" dxfId="2808" priority="2858"/>
  </conditionalFormatting>
  <conditionalFormatting sqref="A559">
    <cfRule type="duplicateValues" dxfId="2807" priority="2857"/>
  </conditionalFormatting>
  <conditionalFormatting sqref="A559">
    <cfRule type="duplicateValues" dxfId="2806" priority="2856"/>
  </conditionalFormatting>
  <conditionalFormatting sqref="A559">
    <cfRule type="duplicateValues" dxfId="2805" priority="2855"/>
  </conditionalFormatting>
  <conditionalFormatting sqref="A559">
    <cfRule type="duplicateValues" dxfId="2804" priority="2854"/>
  </conditionalFormatting>
  <conditionalFormatting sqref="A559">
    <cfRule type="duplicateValues" dxfId="2803" priority="2853"/>
  </conditionalFormatting>
  <conditionalFormatting sqref="A559">
    <cfRule type="duplicateValues" dxfId="2802" priority="2852"/>
  </conditionalFormatting>
  <conditionalFormatting sqref="A559">
    <cfRule type="duplicateValues" dxfId="2801" priority="2851"/>
  </conditionalFormatting>
  <conditionalFormatting sqref="A559">
    <cfRule type="duplicateValues" dxfId="2800" priority="2850"/>
  </conditionalFormatting>
  <conditionalFormatting sqref="A559">
    <cfRule type="duplicateValues" dxfId="2799" priority="2849"/>
  </conditionalFormatting>
  <conditionalFormatting sqref="A559">
    <cfRule type="duplicateValues" dxfId="2798" priority="2848"/>
  </conditionalFormatting>
  <conditionalFormatting sqref="A559">
    <cfRule type="duplicateValues" dxfId="2797" priority="2847"/>
  </conditionalFormatting>
  <conditionalFormatting sqref="A559">
    <cfRule type="duplicateValues" dxfId="2796" priority="2846"/>
  </conditionalFormatting>
  <conditionalFormatting sqref="A559">
    <cfRule type="duplicateValues" dxfId="2795" priority="4179"/>
  </conditionalFormatting>
  <conditionalFormatting sqref="A559">
    <cfRule type="duplicateValues" dxfId="2794" priority="2844"/>
  </conditionalFormatting>
  <conditionalFormatting sqref="A559">
    <cfRule type="duplicateValues" dxfId="2793" priority="2843"/>
  </conditionalFormatting>
  <conditionalFormatting sqref="A559">
    <cfRule type="duplicateValues" dxfId="2792" priority="2842"/>
  </conditionalFormatting>
  <conditionalFormatting sqref="A559">
    <cfRule type="duplicateValues" dxfId="2791" priority="2841"/>
  </conditionalFormatting>
  <conditionalFormatting sqref="A559">
    <cfRule type="duplicateValues" dxfId="2790" priority="2840"/>
  </conditionalFormatting>
  <conditionalFormatting sqref="A559">
    <cfRule type="duplicateValues" dxfId="2789" priority="2839"/>
  </conditionalFormatting>
  <conditionalFormatting sqref="A559">
    <cfRule type="duplicateValues" dxfId="2788" priority="2838"/>
  </conditionalFormatting>
  <conditionalFormatting sqref="A559">
    <cfRule type="duplicateValues" dxfId="2787" priority="2837"/>
  </conditionalFormatting>
  <conditionalFormatting sqref="A559">
    <cfRule type="expression" dxfId="2786" priority="2836">
      <formula>$AV559="POSITIF"</formula>
    </cfRule>
  </conditionalFormatting>
  <conditionalFormatting sqref="A559">
    <cfRule type="duplicateValues" dxfId="2785" priority="2835"/>
  </conditionalFormatting>
  <conditionalFormatting sqref="A559">
    <cfRule type="duplicateValues" dxfId="2784" priority="2833"/>
  </conditionalFormatting>
  <conditionalFormatting sqref="A559">
    <cfRule type="duplicateValues" dxfId="2783" priority="2832"/>
  </conditionalFormatting>
  <conditionalFormatting sqref="A560">
    <cfRule type="duplicateValues" dxfId="2782" priority="2830"/>
  </conditionalFormatting>
  <conditionalFormatting sqref="A560">
    <cfRule type="duplicateValues" dxfId="2781" priority="2829"/>
  </conditionalFormatting>
  <conditionalFormatting sqref="A560">
    <cfRule type="duplicateValues" dxfId="2780" priority="2828"/>
  </conditionalFormatting>
  <conditionalFormatting sqref="A560">
    <cfRule type="duplicateValues" dxfId="2779" priority="2827"/>
  </conditionalFormatting>
  <conditionalFormatting sqref="A560">
    <cfRule type="duplicateValues" dxfId="2778" priority="2826"/>
  </conditionalFormatting>
  <conditionalFormatting sqref="A560">
    <cfRule type="duplicateValues" dxfId="2777" priority="2825"/>
  </conditionalFormatting>
  <conditionalFormatting sqref="A560">
    <cfRule type="duplicateValues" dxfId="2776" priority="2824"/>
  </conditionalFormatting>
  <conditionalFormatting sqref="A560">
    <cfRule type="duplicateValues" dxfId="2775" priority="2823"/>
  </conditionalFormatting>
  <conditionalFormatting sqref="A560">
    <cfRule type="duplicateValues" dxfId="2774" priority="2822"/>
  </conditionalFormatting>
  <conditionalFormatting sqref="A560">
    <cfRule type="duplicateValues" dxfId="2773" priority="2821"/>
  </conditionalFormatting>
  <conditionalFormatting sqref="A560">
    <cfRule type="duplicateValues" dxfId="2772" priority="2820"/>
  </conditionalFormatting>
  <conditionalFormatting sqref="A560">
    <cfRule type="duplicateValues" dxfId="2771" priority="2819"/>
  </conditionalFormatting>
  <conditionalFormatting sqref="A560">
    <cfRule type="duplicateValues" dxfId="2770" priority="2818"/>
  </conditionalFormatting>
  <conditionalFormatting sqref="A560">
    <cfRule type="duplicateValues" dxfId="2769" priority="2817"/>
  </conditionalFormatting>
  <conditionalFormatting sqref="A560">
    <cfRule type="duplicateValues" dxfId="2768" priority="2816"/>
  </conditionalFormatting>
  <conditionalFormatting sqref="A560">
    <cfRule type="duplicateValues" dxfId="2767" priority="2815"/>
  </conditionalFormatting>
  <conditionalFormatting sqref="A560">
    <cfRule type="duplicateValues" dxfId="2766" priority="2814"/>
  </conditionalFormatting>
  <conditionalFormatting sqref="A560">
    <cfRule type="duplicateValues" dxfId="2765" priority="2813"/>
  </conditionalFormatting>
  <conditionalFormatting sqref="A560">
    <cfRule type="duplicateValues" dxfId="2764" priority="2812"/>
  </conditionalFormatting>
  <conditionalFormatting sqref="A560">
    <cfRule type="duplicateValues" dxfId="2763" priority="2811"/>
  </conditionalFormatting>
  <conditionalFormatting sqref="A560">
    <cfRule type="duplicateValues" dxfId="2762" priority="2810"/>
  </conditionalFormatting>
  <conditionalFormatting sqref="A560">
    <cfRule type="duplicateValues" dxfId="2761" priority="2809"/>
  </conditionalFormatting>
  <conditionalFormatting sqref="A560">
    <cfRule type="duplicateValues" dxfId="2760" priority="2808"/>
  </conditionalFormatting>
  <conditionalFormatting sqref="A560">
    <cfRule type="duplicateValues" dxfId="2759" priority="2807"/>
  </conditionalFormatting>
  <conditionalFormatting sqref="A560">
    <cfRule type="duplicateValues" dxfId="2758" priority="2806"/>
  </conditionalFormatting>
  <conditionalFormatting sqref="A560">
    <cfRule type="duplicateValues" dxfId="2757" priority="2805"/>
  </conditionalFormatting>
  <conditionalFormatting sqref="A560">
    <cfRule type="duplicateValues" dxfId="2756" priority="2804"/>
  </conditionalFormatting>
  <conditionalFormatting sqref="A560">
    <cfRule type="duplicateValues" dxfId="2755" priority="2803"/>
  </conditionalFormatting>
  <conditionalFormatting sqref="A560">
    <cfRule type="duplicateValues" dxfId="2754" priority="2801"/>
  </conditionalFormatting>
  <conditionalFormatting sqref="A560">
    <cfRule type="duplicateValues" dxfId="2753" priority="2799"/>
  </conditionalFormatting>
  <conditionalFormatting sqref="A560">
    <cfRule type="duplicateValues" dxfId="2752" priority="2798"/>
  </conditionalFormatting>
  <conditionalFormatting sqref="A560">
    <cfRule type="expression" dxfId="2751" priority="2797">
      <formula>$AV560="POSITIF"</formula>
    </cfRule>
  </conditionalFormatting>
  <conditionalFormatting sqref="A2:A546">
    <cfRule type="duplicateValues" dxfId="2750" priority="4180"/>
  </conditionalFormatting>
  <conditionalFormatting sqref="A2:A552">
    <cfRule type="duplicateValues" dxfId="2749" priority="4181"/>
  </conditionalFormatting>
  <conditionalFormatting sqref="A2:A558">
    <cfRule type="duplicateValues" dxfId="2748" priority="4183"/>
  </conditionalFormatting>
  <conditionalFormatting sqref="A2:A562">
    <cfRule type="duplicateValues" dxfId="2747" priority="4185"/>
  </conditionalFormatting>
  <conditionalFormatting sqref="A1:A568 A571:A602 A604:A686 A688:A1048576">
    <cfRule type="duplicateValues" dxfId="2746" priority="2796"/>
  </conditionalFormatting>
  <conditionalFormatting sqref="L564">
    <cfRule type="expression" dxfId="2745" priority="2794">
      <formula>$AV564="POSITIF"</formula>
    </cfRule>
  </conditionalFormatting>
  <conditionalFormatting sqref="L564">
    <cfRule type="expression" dxfId="2744" priority="2793">
      <formula>$AV564="POSITIF"</formula>
    </cfRule>
  </conditionalFormatting>
  <conditionalFormatting sqref="L565">
    <cfRule type="expression" dxfId="2743" priority="2792">
      <formula>$AV565="POSITIF"</formula>
    </cfRule>
  </conditionalFormatting>
  <conditionalFormatting sqref="L565">
    <cfRule type="expression" dxfId="2742" priority="2791">
      <formula>$AV565="POSITIF"</formula>
    </cfRule>
  </conditionalFormatting>
  <conditionalFormatting sqref="BK564">
    <cfRule type="expression" dxfId="2741" priority="2790">
      <formula>$AV564="POSITIF"</formula>
    </cfRule>
  </conditionalFormatting>
  <conditionalFormatting sqref="BK564">
    <cfRule type="expression" dxfId="2740" priority="2789">
      <formula>$AV564="POSITIF"</formula>
    </cfRule>
  </conditionalFormatting>
  <conditionalFormatting sqref="BK564">
    <cfRule type="expression" dxfId="2739" priority="2788">
      <formula>$AV564="POSITIF"</formula>
    </cfRule>
  </conditionalFormatting>
  <conditionalFormatting sqref="BK565">
    <cfRule type="expression" dxfId="2738" priority="2787">
      <formula>$AV565="POSITIF"</formula>
    </cfRule>
  </conditionalFormatting>
  <conditionalFormatting sqref="BK565">
    <cfRule type="expression" dxfId="2737" priority="2786">
      <formula>$AV565="POSITIF"</formula>
    </cfRule>
  </conditionalFormatting>
  <conditionalFormatting sqref="BK565">
    <cfRule type="expression" dxfId="2736" priority="2785">
      <formula>$AV565="POSITIF"</formula>
    </cfRule>
  </conditionalFormatting>
  <conditionalFormatting sqref="BK566">
    <cfRule type="expression" dxfId="2735" priority="2784">
      <formula>$AV566="POSITIF"</formula>
    </cfRule>
  </conditionalFormatting>
  <conditionalFormatting sqref="BK566">
    <cfRule type="expression" dxfId="2734" priority="2783">
      <formula>$AV566="POSITIF"</formula>
    </cfRule>
  </conditionalFormatting>
  <conditionalFormatting sqref="BK566">
    <cfRule type="expression" dxfId="2733" priority="2782">
      <formula>$AV566="POSITIF"</formula>
    </cfRule>
  </conditionalFormatting>
  <conditionalFormatting sqref="BD565">
    <cfRule type="expression" dxfId="2732" priority="2781">
      <formula>$AV565="POSITIF"</formula>
    </cfRule>
  </conditionalFormatting>
  <conditionalFormatting sqref="BD566">
    <cfRule type="expression" dxfId="2731" priority="2780">
      <formula>$AV566="POSITIF"</formula>
    </cfRule>
  </conditionalFormatting>
  <conditionalFormatting sqref="BD564">
    <cfRule type="expression" dxfId="2730" priority="2779">
      <formula>$AV564="POSITIF"</formula>
    </cfRule>
  </conditionalFormatting>
  <conditionalFormatting sqref="A1:A602 A604:A686 A688:A1048576">
    <cfRule type="duplicateValues" dxfId="2729" priority="2389"/>
    <cfRule type="duplicateValues" dxfId="2728" priority="2596"/>
    <cfRule type="duplicateValues" dxfId="2727" priority="2697"/>
    <cfRule type="duplicateValues" dxfId="2726" priority="2778"/>
  </conditionalFormatting>
  <conditionalFormatting sqref="E571">
    <cfRule type="expression" dxfId="2725" priority="2777">
      <formula>$AV571="POSITIF"</formula>
    </cfRule>
  </conditionalFormatting>
  <conditionalFormatting sqref="DA569">
    <cfRule type="expression" dxfId="2724" priority="2776">
      <formula>$AV569="POSITIF"</formula>
    </cfRule>
  </conditionalFormatting>
  <conditionalFormatting sqref="A573:A574">
    <cfRule type="expression" dxfId="2723" priority="2768">
      <formula>$AV573="POSITIF"</formula>
    </cfRule>
  </conditionalFormatting>
  <conditionalFormatting sqref="A573:A574">
    <cfRule type="duplicateValues" dxfId="2722" priority="2772"/>
  </conditionalFormatting>
  <conditionalFormatting sqref="A573:A574">
    <cfRule type="duplicateValues" dxfId="2721" priority="2771"/>
  </conditionalFormatting>
  <conditionalFormatting sqref="A573:A574">
    <cfRule type="expression" dxfId="2720" priority="2770">
      <formula>$AV573="POSITIF"</formula>
    </cfRule>
  </conditionalFormatting>
  <conditionalFormatting sqref="A573:A574">
    <cfRule type="duplicateValues" dxfId="2719" priority="2769"/>
  </conditionalFormatting>
  <conditionalFormatting sqref="A573:A574">
    <cfRule type="duplicateValues" dxfId="2718" priority="2773"/>
  </conditionalFormatting>
  <conditionalFormatting sqref="A573:A574">
    <cfRule type="duplicateValues" dxfId="2717" priority="2774"/>
  </conditionalFormatting>
  <conditionalFormatting sqref="A573:A574">
    <cfRule type="duplicateValues" dxfId="2716" priority="2775"/>
  </conditionalFormatting>
  <conditionalFormatting sqref="A573:A574">
    <cfRule type="expression" dxfId="2715" priority="2767">
      <formula>$AV573="POSITIF"</formula>
    </cfRule>
  </conditionalFormatting>
  <conditionalFormatting sqref="A575">
    <cfRule type="expression" dxfId="2714" priority="2734">
      <formula>$AV575="POSITIF"</formula>
    </cfRule>
  </conditionalFormatting>
  <conditionalFormatting sqref="A575">
    <cfRule type="duplicateValues" dxfId="2713" priority="2761"/>
  </conditionalFormatting>
  <conditionalFormatting sqref="A575">
    <cfRule type="duplicateValues" dxfId="2712" priority="2760"/>
  </conditionalFormatting>
  <conditionalFormatting sqref="A575">
    <cfRule type="duplicateValues" dxfId="2711" priority="2759"/>
  </conditionalFormatting>
  <conditionalFormatting sqref="A575">
    <cfRule type="duplicateValues" dxfId="2710" priority="2758"/>
  </conditionalFormatting>
  <conditionalFormatting sqref="A575">
    <cfRule type="duplicateValues" dxfId="2709" priority="2757"/>
  </conditionalFormatting>
  <conditionalFormatting sqref="A575">
    <cfRule type="duplicateValues" dxfId="2708" priority="2756"/>
  </conditionalFormatting>
  <conditionalFormatting sqref="A575">
    <cfRule type="duplicateValues" dxfId="2707" priority="2755"/>
  </conditionalFormatting>
  <conditionalFormatting sqref="A575">
    <cfRule type="duplicateValues" dxfId="2706" priority="2754"/>
  </conditionalFormatting>
  <conditionalFormatting sqref="A575">
    <cfRule type="duplicateValues" dxfId="2705" priority="2753"/>
  </conditionalFormatting>
  <conditionalFormatting sqref="A575">
    <cfRule type="duplicateValues" dxfId="2704" priority="2752"/>
  </conditionalFormatting>
  <conditionalFormatting sqref="A575">
    <cfRule type="duplicateValues" dxfId="2703" priority="2751"/>
  </conditionalFormatting>
  <conditionalFormatting sqref="A575">
    <cfRule type="duplicateValues" dxfId="2702" priority="2750"/>
  </conditionalFormatting>
  <conditionalFormatting sqref="A575">
    <cfRule type="duplicateValues" dxfId="2701" priority="2749"/>
  </conditionalFormatting>
  <conditionalFormatting sqref="A575">
    <cfRule type="duplicateValues" dxfId="2700" priority="2748"/>
  </conditionalFormatting>
  <conditionalFormatting sqref="A575">
    <cfRule type="duplicateValues" dxfId="2699" priority="2747"/>
  </conditionalFormatting>
  <conditionalFormatting sqref="A575">
    <cfRule type="duplicateValues" dxfId="2698" priority="2746"/>
  </conditionalFormatting>
  <conditionalFormatting sqref="A575">
    <cfRule type="duplicateValues" dxfId="2697" priority="2745"/>
  </conditionalFormatting>
  <conditionalFormatting sqref="A575">
    <cfRule type="duplicateValues" dxfId="2696" priority="2744"/>
  </conditionalFormatting>
  <conditionalFormatting sqref="A575">
    <cfRule type="duplicateValues" dxfId="2695" priority="2743"/>
  </conditionalFormatting>
  <conditionalFormatting sqref="A575">
    <cfRule type="duplicateValues" dxfId="2694" priority="2742"/>
  </conditionalFormatting>
  <conditionalFormatting sqref="A575">
    <cfRule type="duplicateValues" dxfId="2693" priority="2741"/>
  </conditionalFormatting>
  <conditionalFormatting sqref="A575">
    <cfRule type="duplicateValues" dxfId="2692" priority="2740"/>
  </conditionalFormatting>
  <conditionalFormatting sqref="A575">
    <cfRule type="duplicateValues" dxfId="2691" priority="2739"/>
  </conditionalFormatting>
  <conditionalFormatting sqref="A575">
    <cfRule type="duplicateValues" dxfId="2690" priority="2738"/>
  </conditionalFormatting>
  <conditionalFormatting sqref="A575">
    <cfRule type="duplicateValues" dxfId="2689" priority="2737"/>
  </conditionalFormatting>
  <conditionalFormatting sqref="A575">
    <cfRule type="duplicateValues" dxfId="2688" priority="2736"/>
  </conditionalFormatting>
  <conditionalFormatting sqref="A575">
    <cfRule type="duplicateValues" dxfId="2687" priority="2735"/>
  </conditionalFormatting>
  <conditionalFormatting sqref="A575">
    <cfRule type="duplicateValues" dxfId="2686" priority="2762"/>
  </conditionalFormatting>
  <conditionalFormatting sqref="A575">
    <cfRule type="duplicateValues" dxfId="2685" priority="2763"/>
  </conditionalFormatting>
  <conditionalFormatting sqref="A575">
    <cfRule type="duplicateValues" dxfId="2684" priority="2764"/>
  </conditionalFormatting>
  <conditionalFormatting sqref="A575">
    <cfRule type="duplicateValues" dxfId="2683" priority="2765"/>
  </conditionalFormatting>
  <conditionalFormatting sqref="A575">
    <cfRule type="expression" dxfId="2682" priority="2733">
      <formula>$AV575="POSITIF"</formula>
    </cfRule>
  </conditionalFormatting>
  <conditionalFormatting sqref="O579:Q579">
    <cfRule type="expression" dxfId="2681" priority="2731">
      <formula>$AV579="POSITIF"</formula>
    </cfRule>
  </conditionalFormatting>
  <conditionalFormatting sqref="A575">
    <cfRule type="expression" dxfId="2680" priority="2699">
      <formula>$AV575="POSITIF"</formula>
    </cfRule>
  </conditionalFormatting>
  <conditionalFormatting sqref="A575">
    <cfRule type="duplicateValues" dxfId="2679" priority="2726"/>
  </conditionalFormatting>
  <conditionalFormatting sqref="A575">
    <cfRule type="duplicateValues" dxfId="2678" priority="2725"/>
  </conditionalFormatting>
  <conditionalFormatting sqref="A575">
    <cfRule type="duplicateValues" dxfId="2677" priority="2724"/>
  </conditionalFormatting>
  <conditionalFormatting sqref="A575">
    <cfRule type="duplicateValues" dxfId="2676" priority="2723"/>
  </conditionalFormatting>
  <conditionalFormatting sqref="A575">
    <cfRule type="duplicateValues" dxfId="2675" priority="2722"/>
  </conditionalFormatting>
  <conditionalFormatting sqref="A575">
    <cfRule type="duplicateValues" dxfId="2674" priority="2721"/>
  </conditionalFormatting>
  <conditionalFormatting sqref="A575">
    <cfRule type="duplicateValues" dxfId="2673" priority="2720"/>
  </conditionalFormatting>
  <conditionalFormatting sqref="A575">
    <cfRule type="duplicateValues" dxfId="2672" priority="2719"/>
  </conditionalFormatting>
  <conditionalFormatting sqref="A575">
    <cfRule type="duplicateValues" dxfId="2671" priority="2718"/>
  </conditionalFormatting>
  <conditionalFormatting sqref="A575">
    <cfRule type="duplicateValues" dxfId="2670" priority="2717"/>
  </conditionalFormatting>
  <conditionalFormatting sqref="A575">
    <cfRule type="duplicateValues" dxfId="2669" priority="2716"/>
  </conditionalFormatting>
  <conditionalFormatting sqref="A575">
    <cfRule type="duplicateValues" dxfId="2668" priority="2715"/>
  </conditionalFormatting>
  <conditionalFormatting sqref="A575">
    <cfRule type="duplicateValues" dxfId="2667" priority="2714"/>
  </conditionalFormatting>
  <conditionalFormatting sqref="A575">
    <cfRule type="duplicateValues" dxfId="2666" priority="2713"/>
  </conditionalFormatting>
  <conditionalFormatting sqref="A575">
    <cfRule type="duplicateValues" dxfId="2665" priority="2712"/>
  </conditionalFormatting>
  <conditionalFormatting sqref="A575">
    <cfRule type="duplicateValues" dxfId="2664" priority="2711"/>
  </conditionalFormatting>
  <conditionalFormatting sqref="A575">
    <cfRule type="duplicateValues" dxfId="2663" priority="2710"/>
  </conditionalFormatting>
  <conditionalFormatting sqref="A575">
    <cfRule type="duplicateValues" dxfId="2662" priority="2709"/>
  </conditionalFormatting>
  <conditionalFormatting sqref="A575">
    <cfRule type="duplicateValues" dxfId="2661" priority="2708"/>
  </conditionalFormatting>
  <conditionalFormatting sqref="A575">
    <cfRule type="duplicateValues" dxfId="2660" priority="2707"/>
  </conditionalFormatting>
  <conditionalFormatting sqref="A575">
    <cfRule type="duplicateValues" dxfId="2659" priority="2706"/>
  </conditionalFormatting>
  <conditionalFormatting sqref="A575">
    <cfRule type="duplicateValues" dxfId="2658" priority="2705"/>
  </conditionalFormatting>
  <conditionalFormatting sqref="A575">
    <cfRule type="duplicateValues" dxfId="2657" priority="2704"/>
  </conditionalFormatting>
  <conditionalFormatting sqref="A575">
    <cfRule type="duplicateValues" dxfId="2656" priority="2703"/>
  </conditionalFormatting>
  <conditionalFormatting sqref="A575">
    <cfRule type="duplicateValues" dxfId="2655" priority="2702"/>
  </conditionalFormatting>
  <conditionalFormatting sqref="A575">
    <cfRule type="duplicateValues" dxfId="2654" priority="2701"/>
  </conditionalFormatting>
  <conditionalFormatting sqref="A575">
    <cfRule type="duplicateValues" dxfId="2653" priority="2700"/>
  </conditionalFormatting>
  <conditionalFormatting sqref="A575">
    <cfRule type="duplicateValues" dxfId="2652" priority="2727"/>
  </conditionalFormatting>
  <conditionalFormatting sqref="A575">
    <cfRule type="duplicateValues" dxfId="2651" priority="2728"/>
  </conditionalFormatting>
  <conditionalFormatting sqref="A575">
    <cfRule type="duplicateValues" dxfId="2650" priority="2729"/>
  </conditionalFormatting>
  <conditionalFormatting sqref="A575">
    <cfRule type="duplicateValues" dxfId="2649" priority="2730"/>
  </conditionalFormatting>
  <conditionalFormatting sqref="A575">
    <cfRule type="expression" dxfId="2648" priority="2698">
      <formula>$AV575="POSITIF"</formula>
    </cfRule>
  </conditionalFormatting>
  <conditionalFormatting sqref="A577">
    <cfRule type="expression" dxfId="2647" priority="2665">
      <formula>$AV577="POSITIF"</formula>
    </cfRule>
  </conditionalFormatting>
  <conditionalFormatting sqref="A577">
    <cfRule type="duplicateValues" dxfId="2646" priority="2692"/>
  </conditionalFormatting>
  <conditionalFormatting sqref="A577">
    <cfRule type="duplicateValues" dxfId="2645" priority="2691"/>
  </conditionalFormatting>
  <conditionalFormatting sqref="A577">
    <cfRule type="duplicateValues" dxfId="2644" priority="2690"/>
  </conditionalFormatting>
  <conditionalFormatting sqref="A577">
    <cfRule type="duplicateValues" dxfId="2643" priority="2689"/>
  </conditionalFormatting>
  <conditionalFormatting sqref="A577">
    <cfRule type="duplicateValues" dxfId="2642" priority="2688"/>
  </conditionalFormatting>
  <conditionalFormatting sqref="A577">
    <cfRule type="duplicateValues" dxfId="2641" priority="2687"/>
  </conditionalFormatting>
  <conditionalFormatting sqref="A577">
    <cfRule type="duplicateValues" dxfId="2640" priority="2686"/>
  </conditionalFormatting>
  <conditionalFormatting sqref="A577">
    <cfRule type="duplicateValues" dxfId="2639" priority="2685"/>
  </conditionalFormatting>
  <conditionalFormatting sqref="A577">
    <cfRule type="duplicateValues" dxfId="2638" priority="2684"/>
  </conditionalFormatting>
  <conditionalFormatting sqref="A577">
    <cfRule type="duplicateValues" dxfId="2637" priority="2683"/>
  </conditionalFormatting>
  <conditionalFormatting sqref="A577">
    <cfRule type="duplicateValues" dxfId="2636" priority="2682"/>
  </conditionalFormatting>
  <conditionalFormatting sqref="A577">
    <cfRule type="duplicateValues" dxfId="2635" priority="2681"/>
  </conditionalFormatting>
  <conditionalFormatting sqref="A577">
    <cfRule type="duplicateValues" dxfId="2634" priority="2680"/>
  </conditionalFormatting>
  <conditionalFormatting sqref="A577">
    <cfRule type="duplicateValues" dxfId="2633" priority="2679"/>
  </conditionalFormatting>
  <conditionalFormatting sqref="A577">
    <cfRule type="duplicateValues" dxfId="2632" priority="2678"/>
  </conditionalFormatting>
  <conditionalFormatting sqref="A577">
    <cfRule type="duplicateValues" dxfId="2631" priority="2677"/>
  </conditionalFormatting>
  <conditionalFormatting sqref="A577">
    <cfRule type="duplicateValues" dxfId="2630" priority="2676"/>
  </conditionalFormatting>
  <conditionalFormatting sqref="A577">
    <cfRule type="duplicateValues" dxfId="2629" priority="2675"/>
  </conditionalFormatting>
  <conditionalFormatting sqref="A577">
    <cfRule type="duplicateValues" dxfId="2628" priority="2674"/>
  </conditionalFormatting>
  <conditionalFormatting sqref="A577">
    <cfRule type="duplicateValues" dxfId="2627" priority="2673"/>
  </conditionalFormatting>
  <conditionalFormatting sqref="A577">
    <cfRule type="duplicateValues" dxfId="2626" priority="2672"/>
  </conditionalFormatting>
  <conditionalFormatting sqref="A577">
    <cfRule type="duplicateValues" dxfId="2625" priority="2671"/>
  </conditionalFormatting>
  <conditionalFormatting sqref="A577">
    <cfRule type="duplicateValues" dxfId="2624" priority="2670"/>
  </conditionalFormatting>
  <conditionalFormatting sqref="A577">
    <cfRule type="duplicateValues" dxfId="2623" priority="2669"/>
  </conditionalFormatting>
  <conditionalFormatting sqref="A577">
    <cfRule type="duplicateValues" dxfId="2622" priority="2668"/>
  </conditionalFormatting>
  <conditionalFormatting sqref="A577">
    <cfRule type="duplicateValues" dxfId="2621" priority="2667"/>
  </conditionalFormatting>
  <conditionalFormatting sqref="A577">
    <cfRule type="duplicateValues" dxfId="2620" priority="2666"/>
  </conditionalFormatting>
  <conditionalFormatting sqref="A577">
    <cfRule type="duplicateValues" dxfId="2619" priority="2693"/>
  </conditionalFormatting>
  <conditionalFormatting sqref="A577">
    <cfRule type="duplicateValues" dxfId="2618" priority="2694"/>
  </conditionalFormatting>
  <conditionalFormatting sqref="A577">
    <cfRule type="duplicateValues" dxfId="2617" priority="2695"/>
  </conditionalFormatting>
  <conditionalFormatting sqref="A577">
    <cfRule type="duplicateValues" dxfId="2616" priority="2696"/>
  </conditionalFormatting>
  <conditionalFormatting sqref="A577">
    <cfRule type="expression" dxfId="2615" priority="2664">
      <formula>$AV577="POSITIF"</formula>
    </cfRule>
  </conditionalFormatting>
  <conditionalFormatting sqref="A577">
    <cfRule type="expression" dxfId="2614" priority="2632">
      <formula>$AV577="POSITIF"</formula>
    </cfRule>
  </conditionalFormatting>
  <conditionalFormatting sqref="A577">
    <cfRule type="duplicateValues" dxfId="2613" priority="2659"/>
  </conditionalFormatting>
  <conditionalFormatting sqref="A577">
    <cfRule type="duplicateValues" dxfId="2612" priority="2658"/>
  </conditionalFormatting>
  <conditionalFormatting sqref="A577">
    <cfRule type="duplicateValues" dxfId="2611" priority="2657"/>
  </conditionalFormatting>
  <conditionalFormatting sqref="A577">
    <cfRule type="duplicateValues" dxfId="2610" priority="2656"/>
  </conditionalFormatting>
  <conditionalFormatting sqref="A577">
    <cfRule type="duplicateValues" dxfId="2609" priority="2655"/>
  </conditionalFormatting>
  <conditionalFormatting sqref="A577">
    <cfRule type="duplicateValues" dxfId="2608" priority="2654"/>
  </conditionalFormatting>
  <conditionalFormatting sqref="A577">
    <cfRule type="duplicateValues" dxfId="2607" priority="2653"/>
  </conditionalFormatting>
  <conditionalFormatting sqref="A577">
    <cfRule type="duplicateValues" dxfId="2606" priority="2652"/>
  </conditionalFormatting>
  <conditionalFormatting sqref="A577">
    <cfRule type="duplicateValues" dxfId="2605" priority="2651"/>
  </conditionalFormatting>
  <conditionalFormatting sqref="A577">
    <cfRule type="duplicateValues" dxfId="2604" priority="2650"/>
  </conditionalFormatting>
  <conditionalFormatting sqref="A577">
    <cfRule type="duplicateValues" dxfId="2603" priority="2649"/>
  </conditionalFormatting>
  <conditionalFormatting sqref="A577">
    <cfRule type="duplicateValues" dxfId="2602" priority="2648"/>
  </conditionalFormatting>
  <conditionalFormatting sqref="A577">
    <cfRule type="duplicateValues" dxfId="2601" priority="2647"/>
  </conditionalFormatting>
  <conditionalFormatting sqref="A577">
    <cfRule type="duplicateValues" dxfId="2600" priority="2646"/>
  </conditionalFormatting>
  <conditionalFormatting sqref="A577">
    <cfRule type="duplicateValues" dxfId="2599" priority="2645"/>
  </conditionalFormatting>
  <conditionalFormatting sqref="A577">
    <cfRule type="duplicateValues" dxfId="2598" priority="2644"/>
  </conditionalFormatting>
  <conditionalFormatting sqref="A577">
    <cfRule type="duplicateValues" dxfId="2597" priority="2643"/>
  </conditionalFormatting>
  <conditionalFormatting sqref="A577">
    <cfRule type="duplicateValues" dxfId="2596" priority="2642"/>
  </conditionalFormatting>
  <conditionalFormatting sqref="A577">
    <cfRule type="duplicateValues" dxfId="2595" priority="2641"/>
  </conditionalFormatting>
  <conditionalFormatting sqref="A577">
    <cfRule type="duplicateValues" dxfId="2594" priority="2640"/>
  </conditionalFormatting>
  <conditionalFormatting sqref="A577">
    <cfRule type="duplicateValues" dxfId="2593" priority="2639"/>
  </conditionalFormatting>
  <conditionalFormatting sqref="A577">
    <cfRule type="duplicateValues" dxfId="2592" priority="2638"/>
  </conditionalFormatting>
  <conditionalFormatting sqref="A577">
    <cfRule type="duplicateValues" dxfId="2591" priority="2637"/>
  </conditionalFormatting>
  <conditionalFormatting sqref="A577">
    <cfRule type="duplicateValues" dxfId="2590" priority="2636"/>
  </conditionalFormatting>
  <conditionalFormatting sqref="A577">
    <cfRule type="duplicateValues" dxfId="2589" priority="2635"/>
  </conditionalFormatting>
  <conditionalFormatting sqref="A577">
    <cfRule type="duplicateValues" dxfId="2588" priority="2634"/>
  </conditionalFormatting>
  <conditionalFormatting sqref="A577">
    <cfRule type="duplicateValues" dxfId="2587" priority="2633"/>
  </conditionalFormatting>
  <conditionalFormatting sqref="A577">
    <cfRule type="duplicateValues" dxfId="2586" priority="2660"/>
  </conditionalFormatting>
  <conditionalFormatting sqref="A577">
    <cfRule type="duplicateValues" dxfId="2585" priority="2661"/>
  </conditionalFormatting>
  <conditionalFormatting sqref="A577">
    <cfRule type="duplicateValues" dxfId="2584" priority="2662"/>
  </conditionalFormatting>
  <conditionalFormatting sqref="A577">
    <cfRule type="duplicateValues" dxfId="2583" priority="2663"/>
  </conditionalFormatting>
  <conditionalFormatting sqref="A577">
    <cfRule type="expression" dxfId="2582" priority="2631">
      <formula>$AV577="POSITIF"</formula>
    </cfRule>
  </conditionalFormatting>
  <conditionalFormatting sqref="A576">
    <cfRule type="expression" dxfId="2581" priority="2598">
      <formula>$AV576="POSITIF"</formula>
    </cfRule>
  </conditionalFormatting>
  <conditionalFormatting sqref="A576">
    <cfRule type="duplicateValues" dxfId="2580" priority="2626"/>
  </conditionalFormatting>
  <conditionalFormatting sqref="A576">
    <cfRule type="duplicateValues" dxfId="2579" priority="2625"/>
  </conditionalFormatting>
  <conditionalFormatting sqref="A576">
    <cfRule type="duplicateValues" dxfId="2578" priority="2624"/>
  </conditionalFormatting>
  <conditionalFormatting sqref="A576">
    <cfRule type="duplicateValues" dxfId="2577" priority="2623"/>
  </conditionalFormatting>
  <conditionalFormatting sqref="A576">
    <cfRule type="duplicateValues" dxfId="2576" priority="2622"/>
  </conditionalFormatting>
  <conditionalFormatting sqref="A576">
    <cfRule type="duplicateValues" dxfId="2575" priority="2621"/>
  </conditionalFormatting>
  <conditionalFormatting sqref="A576">
    <cfRule type="duplicateValues" dxfId="2574" priority="2620"/>
  </conditionalFormatting>
  <conditionalFormatting sqref="A576">
    <cfRule type="duplicateValues" dxfId="2573" priority="2619"/>
  </conditionalFormatting>
  <conditionalFormatting sqref="A576">
    <cfRule type="duplicateValues" dxfId="2572" priority="2618"/>
  </conditionalFormatting>
  <conditionalFormatting sqref="A576">
    <cfRule type="duplicateValues" dxfId="2571" priority="2617"/>
  </conditionalFormatting>
  <conditionalFormatting sqref="A576">
    <cfRule type="duplicateValues" dxfId="2570" priority="2616"/>
  </conditionalFormatting>
  <conditionalFormatting sqref="A576">
    <cfRule type="duplicateValues" dxfId="2569" priority="2615"/>
  </conditionalFormatting>
  <conditionalFormatting sqref="A576">
    <cfRule type="duplicateValues" dxfId="2568" priority="2614"/>
  </conditionalFormatting>
  <conditionalFormatting sqref="A576">
    <cfRule type="duplicateValues" dxfId="2567" priority="2613"/>
  </conditionalFormatting>
  <conditionalFormatting sqref="A576">
    <cfRule type="duplicateValues" dxfId="2566" priority="2612"/>
  </conditionalFormatting>
  <conditionalFormatting sqref="A576">
    <cfRule type="duplicateValues" dxfId="2565" priority="2611"/>
  </conditionalFormatting>
  <conditionalFormatting sqref="A576">
    <cfRule type="duplicateValues" dxfId="2564" priority="2610"/>
  </conditionalFormatting>
  <conditionalFormatting sqref="A576">
    <cfRule type="duplicateValues" dxfId="2563" priority="2609"/>
  </conditionalFormatting>
  <conditionalFormatting sqref="A576">
    <cfRule type="duplicateValues" dxfId="2562" priority="2608"/>
  </conditionalFormatting>
  <conditionalFormatting sqref="A576">
    <cfRule type="duplicateValues" dxfId="2561" priority="2607"/>
  </conditionalFormatting>
  <conditionalFormatting sqref="A576">
    <cfRule type="duplicateValues" dxfId="2560" priority="2606"/>
  </conditionalFormatting>
  <conditionalFormatting sqref="A576">
    <cfRule type="duplicateValues" dxfId="2559" priority="2605"/>
  </conditionalFormatting>
  <conditionalFormatting sqref="A576">
    <cfRule type="duplicateValues" dxfId="2558" priority="2604"/>
  </conditionalFormatting>
  <conditionalFormatting sqref="A576">
    <cfRule type="duplicateValues" dxfId="2557" priority="2603"/>
  </conditionalFormatting>
  <conditionalFormatting sqref="A576">
    <cfRule type="duplicateValues" dxfId="2556" priority="2602"/>
  </conditionalFormatting>
  <conditionalFormatting sqref="A576">
    <cfRule type="duplicateValues" dxfId="2555" priority="2601"/>
  </conditionalFormatting>
  <conditionalFormatting sqref="A576">
    <cfRule type="duplicateValues" dxfId="2554" priority="2600"/>
  </conditionalFormatting>
  <conditionalFormatting sqref="A576">
    <cfRule type="duplicateValues" dxfId="2553" priority="2599"/>
  </conditionalFormatting>
  <conditionalFormatting sqref="A576">
    <cfRule type="duplicateValues" dxfId="2552" priority="2627"/>
  </conditionalFormatting>
  <conditionalFormatting sqref="A576">
    <cfRule type="duplicateValues" dxfId="2551" priority="2628"/>
  </conditionalFormatting>
  <conditionalFormatting sqref="A576">
    <cfRule type="duplicateValues" dxfId="2550" priority="2629"/>
  </conditionalFormatting>
  <conditionalFormatting sqref="A576">
    <cfRule type="duplicateValues" dxfId="2549" priority="2630"/>
  </conditionalFormatting>
  <conditionalFormatting sqref="A576">
    <cfRule type="expression" dxfId="2548" priority="2597">
      <formula>$AV576="POSITIF"</formula>
    </cfRule>
  </conditionalFormatting>
  <conditionalFormatting sqref="A578:A579">
    <cfRule type="expression" dxfId="2547" priority="2589">
      <formula>$AV578="POSITIF"</formula>
    </cfRule>
  </conditionalFormatting>
  <conditionalFormatting sqref="A578:A579">
    <cfRule type="expression" dxfId="2546" priority="2591">
      <formula>$AV578="POSITIF"</formula>
    </cfRule>
  </conditionalFormatting>
  <conditionalFormatting sqref="A578:A579">
    <cfRule type="duplicateValues" dxfId="2545" priority="2590"/>
  </conditionalFormatting>
  <conditionalFormatting sqref="A578:A579">
    <cfRule type="duplicateValues" dxfId="2544" priority="2592"/>
  </conditionalFormatting>
  <conditionalFormatting sqref="A578:A579">
    <cfRule type="duplicateValues" dxfId="2543" priority="2593"/>
  </conditionalFormatting>
  <conditionalFormatting sqref="A578:A579">
    <cfRule type="duplicateValues" dxfId="2542" priority="2594"/>
  </conditionalFormatting>
  <conditionalFormatting sqref="A578:A579">
    <cfRule type="duplicateValues" dxfId="2541" priority="2595"/>
  </conditionalFormatting>
  <conditionalFormatting sqref="A578:A579">
    <cfRule type="expression" dxfId="2540" priority="2588">
      <formula>$AV578="POSITIF"</formula>
    </cfRule>
  </conditionalFormatting>
  <conditionalFormatting sqref="L581">
    <cfRule type="expression" dxfId="2539" priority="2587">
      <formula>$AV581="POSITIF"</formula>
    </cfRule>
  </conditionalFormatting>
  <conditionalFormatting sqref="Q581">
    <cfRule type="expression" dxfId="2538" priority="2586">
      <formula>$AV581="POSITIF"</formula>
    </cfRule>
  </conditionalFormatting>
  <conditionalFormatting sqref="BK581">
    <cfRule type="expression" dxfId="2537" priority="2585">
      <formula>$AV581="POSITIF"</formula>
    </cfRule>
  </conditionalFormatting>
  <conditionalFormatting sqref="A580:A581">
    <cfRule type="expression" dxfId="2536" priority="2584">
      <formula>$AV580="POSITIF"</formula>
    </cfRule>
  </conditionalFormatting>
  <conditionalFormatting sqref="A580:A581">
    <cfRule type="expression" dxfId="2535" priority="2583">
      <formula>$AV580="POSITIF"</formula>
    </cfRule>
  </conditionalFormatting>
  <conditionalFormatting sqref="P580">
    <cfRule type="expression" dxfId="2534" priority="2582">
      <formula>$AV580="POSITIF"</formula>
    </cfRule>
  </conditionalFormatting>
  <conditionalFormatting sqref="BF580">
    <cfRule type="expression" dxfId="2533" priority="2581">
      <formula>$AV580="POSITIF"</formula>
    </cfRule>
  </conditionalFormatting>
  <conditionalFormatting sqref="AR579">
    <cfRule type="expression" dxfId="2532" priority="2580">
      <formula>$AV579="POSITIF"</formula>
    </cfRule>
  </conditionalFormatting>
  <conditionalFormatting sqref="A582">
    <cfRule type="expression" dxfId="2531" priority="2547">
      <formula>$AV582="POSITIF"</formula>
    </cfRule>
  </conditionalFormatting>
  <conditionalFormatting sqref="A582">
    <cfRule type="duplicateValues" dxfId="2530" priority="2575"/>
  </conditionalFormatting>
  <conditionalFormatting sqref="A582">
    <cfRule type="duplicateValues" dxfId="2529" priority="2574"/>
  </conditionalFormatting>
  <conditionalFormatting sqref="A582">
    <cfRule type="duplicateValues" dxfId="2528" priority="2573"/>
  </conditionalFormatting>
  <conditionalFormatting sqref="A582">
    <cfRule type="duplicateValues" dxfId="2527" priority="2572"/>
  </conditionalFormatting>
  <conditionalFormatting sqref="A582">
    <cfRule type="duplicateValues" dxfId="2526" priority="2571"/>
  </conditionalFormatting>
  <conditionalFormatting sqref="A582">
    <cfRule type="duplicateValues" dxfId="2525" priority="2570"/>
  </conditionalFormatting>
  <conditionalFormatting sqref="A582">
    <cfRule type="duplicateValues" dxfId="2524" priority="2569"/>
  </conditionalFormatting>
  <conditionalFormatting sqref="A582">
    <cfRule type="duplicateValues" dxfId="2523" priority="2568"/>
  </conditionalFormatting>
  <conditionalFormatting sqref="A582">
    <cfRule type="duplicateValues" dxfId="2522" priority="2567"/>
  </conditionalFormatting>
  <conditionalFormatting sqref="A582">
    <cfRule type="duplicateValues" dxfId="2521" priority="2566"/>
  </conditionalFormatting>
  <conditionalFormatting sqref="A582">
    <cfRule type="duplicateValues" dxfId="2520" priority="2565"/>
  </conditionalFormatting>
  <conditionalFormatting sqref="A582">
    <cfRule type="duplicateValues" dxfId="2519" priority="2564"/>
  </conditionalFormatting>
  <conditionalFormatting sqref="A582">
    <cfRule type="duplicateValues" dxfId="2518" priority="2563"/>
  </conditionalFormatting>
  <conditionalFormatting sqref="A582">
    <cfRule type="duplicateValues" dxfId="2517" priority="2562"/>
  </conditionalFormatting>
  <conditionalFormatting sqref="A582">
    <cfRule type="duplicateValues" dxfId="2516" priority="2561"/>
  </conditionalFormatting>
  <conditionalFormatting sqref="A582">
    <cfRule type="duplicateValues" dxfId="2515" priority="2560"/>
  </conditionalFormatting>
  <conditionalFormatting sqref="A582">
    <cfRule type="duplicateValues" dxfId="2514" priority="2559"/>
  </conditionalFormatting>
  <conditionalFormatting sqref="A582">
    <cfRule type="duplicateValues" dxfId="2513" priority="2558"/>
  </conditionalFormatting>
  <conditionalFormatting sqref="A582">
    <cfRule type="duplicateValues" dxfId="2512" priority="2557"/>
  </conditionalFormatting>
  <conditionalFormatting sqref="A582">
    <cfRule type="duplicateValues" dxfId="2511" priority="2556"/>
  </conditionalFormatting>
  <conditionalFormatting sqref="A582">
    <cfRule type="duplicateValues" dxfId="2510" priority="2555"/>
  </conditionalFormatting>
  <conditionalFormatting sqref="A582">
    <cfRule type="duplicateValues" dxfId="2509" priority="2554"/>
  </conditionalFormatting>
  <conditionalFormatting sqref="A582">
    <cfRule type="duplicateValues" dxfId="2508" priority="2553"/>
  </conditionalFormatting>
  <conditionalFormatting sqref="A582">
    <cfRule type="duplicateValues" dxfId="2507" priority="2552"/>
  </conditionalFormatting>
  <conditionalFormatting sqref="A582">
    <cfRule type="duplicateValues" dxfId="2506" priority="2551"/>
  </conditionalFormatting>
  <conditionalFormatting sqref="A582">
    <cfRule type="duplicateValues" dxfId="2505" priority="2550"/>
  </conditionalFormatting>
  <conditionalFormatting sqref="A582">
    <cfRule type="duplicateValues" dxfId="2504" priority="2549"/>
  </conditionalFormatting>
  <conditionalFormatting sqref="A582">
    <cfRule type="duplicateValues" dxfId="2503" priority="2548"/>
  </conditionalFormatting>
  <conditionalFormatting sqref="A582">
    <cfRule type="duplicateValues" dxfId="2502" priority="2576"/>
  </conditionalFormatting>
  <conditionalFormatting sqref="A582">
    <cfRule type="duplicateValues" dxfId="2501" priority="2577"/>
  </conditionalFormatting>
  <conditionalFormatting sqref="A582">
    <cfRule type="duplicateValues" dxfId="2500" priority="2578"/>
  </conditionalFormatting>
  <conditionalFormatting sqref="A582">
    <cfRule type="duplicateValues" dxfId="2499" priority="2579"/>
  </conditionalFormatting>
  <conditionalFormatting sqref="A582">
    <cfRule type="expression" dxfId="2498" priority="2546">
      <formula>$AV582="POSITIF"</formula>
    </cfRule>
  </conditionalFormatting>
  <conditionalFormatting sqref="A582">
    <cfRule type="expression" dxfId="2497" priority="2545">
      <formula>$AV582="POSITIF"</formula>
    </cfRule>
  </conditionalFormatting>
  <conditionalFormatting sqref="A583">
    <cfRule type="expression" dxfId="2496" priority="2512">
      <formula>$AV583="POSITIF"</formula>
    </cfRule>
  </conditionalFormatting>
  <conditionalFormatting sqref="A583">
    <cfRule type="duplicateValues" dxfId="2495" priority="2540"/>
  </conditionalFormatting>
  <conditionalFormatting sqref="A583">
    <cfRule type="duplicateValues" dxfId="2494" priority="2539"/>
  </conditionalFormatting>
  <conditionalFormatting sqref="A583">
    <cfRule type="duplicateValues" dxfId="2493" priority="2538"/>
  </conditionalFormatting>
  <conditionalFormatting sqref="A583">
    <cfRule type="duplicateValues" dxfId="2492" priority="2537"/>
  </conditionalFormatting>
  <conditionalFormatting sqref="A583">
    <cfRule type="duplicateValues" dxfId="2491" priority="2536"/>
  </conditionalFormatting>
  <conditionalFormatting sqref="A583">
    <cfRule type="duplicateValues" dxfId="2490" priority="2535"/>
  </conditionalFormatting>
  <conditionalFormatting sqref="A583">
    <cfRule type="duplicateValues" dxfId="2489" priority="2534"/>
  </conditionalFormatting>
  <conditionalFormatting sqref="A583">
    <cfRule type="duplicateValues" dxfId="2488" priority="2533"/>
  </conditionalFormatting>
  <conditionalFormatting sqref="A583">
    <cfRule type="duplicateValues" dxfId="2487" priority="2532"/>
  </conditionalFormatting>
  <conditionalFormatting sqref="A583">
    <cfRule type="duplicateValues" dxfId="2486" priority="2531"/>
  </conditionalFormatting>
  <conditionalFormatting sqref="A583">
    <cfRule type="duplicateValues" dxfId="2485" priority="2530"/>
  </conditionalFormatting>
  <conditionalFormatting sqref="A583">
    <cfRule type="duplicateValues" dxfId="2484" priority="2529"/>
  </conditionalFormatting>
  <conditionalFormatting sqref="A583">
    <cfRule type="duplicateValues" dxfId="2483" priority="2528"/>
  </conditionalFormatting>
  <conditionalFormatting sqref="A583">
    <cfRule type="duplicateValues" dxfId="2482" priority="2527"/>
  </conditionalFormatting>
  <conditionalFormatting sqref="A583">
    <cfRule type="duplicateValues" dxfId="2481" priority="2526"/>
  </conditionalFormatting>
  <conditionalFormatting sqref="A583">
    <cfRule type="duplicateValues" dxfId="2480" priority="2525"/>
  </conditionalFormatting>
  <conditionalFormatting sqref="A583">
    <cfRule type="duplicateValues" dxfId="2479" priority="2524"/>
  </conditionalFormatting>
  <conditionalFormatting sqref="A583">
    <cfRule type="duplicateValues" dxfId="2478" priority="2523"/>
  </conditionalFormatting>
  <conditionalFormatting sqref="A583">
    <cfRule type="duplicateValues" dxfId="2477" priority="2522"/>
  </conditionalFormatting>
  <conditionalFormatting sqref="A583">
    <cfRule type="duplicateValues" dxfId="2476" priority="2521"/>
  </conditionalFormatting>
  <conditionalFormatting sqref="A583">
    <cfRule type="duplicateValues" dxfId="2475" priority="2520"/>
  </conditionalFormatting>
  <conditionalFormatting sqref="A583">
    <cfRule type="duplicateValues" dxfId="2474" priority="2519"/>
  </conditionalFormatting>
  <conditionalFormatting sqref="A583">
    <cfRule type="duplicateValues" dxfId="2473" priority="2518"/>
  </conditionalFormatting>
  <conditionalFormatting sqref="A583">
    <cfRule type="duplicateValues" dxfId="2472" priority="2517"/>
  </conditionalFormatting>
  <conditionalFormatting sqref="A583">
    <cfRule type="duplicateValues" dxfId="2471" priority="2516"/>
  </conditionalFormatting>
  <conditionalFormatting sqref="A583">
    <cfRule type="duplicateValues" dxfId="2470" priority="2515"/>
  </conditionalFormatting>
  <conditionalFormatting sqref="A583">
    <cfRule type="duplicateValues" dxfId="2469" priority="2514"/>
  </conditionalFormatting>
  <conditionalFormatting sqref="A583">
    <cfRule type="duplicateValues" dxfId="2468" priority="2513"/>
  </conditionalFormatting>
  <conditionalFormatting sqref="A583">
    <cfRule type="duplicateValues" dxfId="2467" priority="2541"/>
  </conditionalFormatting>
  <conditionalFormatting sqref="A583">
    <cfRule type="duplicateValues" dxfId="2466" priority="2542"/>
  </conditionalFormatting>
  <conditionalFormatting sqref="A583">
    <cfRule type="duplicateValues" dxfId="2465" priority="2543"/>
  </conditionalFormatting>
  <conditionalFormatting sqref="A583">
    <cfRule type="duplicateValues" dxfId="2464" priority="2544"/>
  </conditionalFormatting>
  <conditionalFormatting sqref="A583">
    <cfRule type="expression" dxfId="2463" priority="2511">
      <formula>$AV583="POSITIF"</formula>
    </cfRule>
  </conditionalFormatting>
  <conditionalFormatting sqref="A583">
    <cfRule type="expression" dxfId="2462" priority="2510">
      <formula>$AV583="POSITIF"</formula>
    </cfRule>
  </conditionalFormatting>
  <conditionalFormatting sqref="BF584">
    <cfRule type="expression" dxfId="2461" priority="2509">
      <formula>$AV584="POSITIF"</formula>
    </cfRule>
  </conditionalFormatting>
  <conditionalFormatting sqref="A585">
    <cfRule type="expression" dxfId="2460" priority="2502">
      <formula>$AV585="POSITIF"</formula>
    </cfRule>
  </conditionalFormatting>
  <conditionalFormatting sqref="A585">
    <cfRule type="expression" dxfId="2459" priority="2504">
      <formula>$AV585="POSITIF"</formula>
    </cfRule>
  </conditionalFormatting>
  <conditionalFormatting sqref="A585">
    <cfRule type="duplicateValues" dxfId="2458" priority="2503"/>
  </conditionalFormatting>
  <conditionalFormatting sqref="A585">
    <cfRule type="duplicateValues" dxfId="2457" priority="2505"/>
  </conditionalFormatting>
  <conditionalFormatting sqref="A585">
    <cfRule type="duplicateValues" dxfId="2456" priority="2506"/>
  </conditionalFormatting>
  <conditionalFormatting sqref="A585">
    <cfRule type="duplicateValues" dxfId="2455" priority="2507"/>
  </conditionalFormatting>
  <conditionalFormatting sqref="A585">
    <cfRule type="duplicateValues" dxfId="2454" priority="2508"/>
  </conditionalFormatting>
  <conditionalFormatting sqref="A585">
    <cfRule type="expression" dxfId="2453" priority="2501">
      <formula>$AV585="POSITIF"</formula>
    </cfRule>
  </conditionalFormatting>
  <conditionalFormatting sqref="A585">
    <cfRule type="expression" dxfId="2452" priority="2500">
      <formula>$AV585="POSITIF"</formula>
    </cfRule>
  </conditionalFormatting>
  <conditionalFormatting sqref="AV586:AV589">
    <cfRule type="expression" dxfId="2451" priority="2499">
      <formula>$AV586="POSITIF"</formula>
    </cfRule>
  </conditionalFormatting>
  <conditionalFormatting sqref="CZ586:CZ589">
    <cfRule type="expression" dxfId="2450" priority="2498">
      <formula>$AV586="POSITIF"</formula>
    </cfRule>
  </conditionalFormatting>
  <conditionalFormatting sqref="BG586:BG589">
    <cfRule type="expression" dxfId="2449" priority="2497">
      <formula>$AV586="POSITIF"</formula>
    </cfRule>
  </conditionalFormatting>
  <conditionalFormatting sqref="A586">
    <cfRule type="expression" dxfId="2448" priority="2464">
      <formula>$AV586="POSITIF"</formula>
    </cfRule>
  </conditionalFormatting>
  <conditionalFormatting sqref="A586">
    <cfRule type="duplicateValues" dxfId="2447" priority="2492"/>
  </conditionalFormatting>
  <conditionalFormatting sqref="A586">
    <cfRule type="duplicateValues" dxfId="2446" priority="2491"/>
  </conditionalFormatting>
  <conditionalFormatting sqref="A586">
    <cfRule type="duplicateValues" dxfId="2445" priority="2490"/>
  </conditionalFormatting>
  <conditionalFormatting sqref="A586">
    <cfRule type="duplicateValues" dxfId="2444" priority="2489"/>
  </conditionalFormatting>
  <conditionalFormatting sqref="A586">
    <cfRule type="duplicateValues" dxfId="2443" priority="2488"/>
  </conditionalFormatting>
  <conditionalFormatting sqref="A586">
    <cfRule type="duplicateValues" dxfId="2442" priority="2487"/>
  </conditionalFormatting>
  <conditionalFormatting sqref="A586">
    <cfRule type="duplicateValues" dxfId="2441" priority="2486"/>
  </conditionalFormatting>
  <conditionalFormatting sqref="A586">
    <cfRule type="duplicateValues" dxfId="2440" priority="2485"/>
  </conditionalFormatting>
  <conditionalFormatting sqref="A586">
    <cfRule type="duplicateValues" dxfId="2439" priority="2484"/>
  </conditionalFormatting>
  <conditionalFormatting sqref="A586">
    <cfRule type="duplicateValues" dxfId="2438" priority="2483"/>
  </conditionalFormatting>
  <conditionalFormatting sqref="A586">
    <cfRule type="duplicateValues" dxfId="2437" priority="2482"/>
  </conditionalFormatting>
  <conditionalFormatting sqref="A586">
    <cfRule type="duplicateValues" dxfId="2436" priority="2481"/>
  </conditionalFormatting>
  <conditionalFormatting sqref="A586">
    <cfRule type="duplicateValues" dxfId="2435" priority="2480"/>
  </conditionalFormatting>
  <conditionalFormatting sqref="A586">
    <cfRule type="duplicateValues" dxfId="2434" priority="2479"/>
  </conditionalFormatting>
  <conditionalFormatting sqref="A586">
    <cfRule type="duplicateValues" dxfId="2433" priority="2478"/>
  </conditionalFormatting>
  <conditionalFormatting sqref="A586">
    <cfRule type="duplicateValues" dxfId="2432" priority="2477"/>
  </conditionalFormatting>
  <conditionalFormatting sqref="A586">
    <cfRule type="duplicateValues" dxfId="2431" priority="2476"/>
  </conditionalFormatting>
  <conditionalFormatting sqref="A586">
    <cfRule type="duplicateValues" dxfId="2430" priority="2475"/>
  </conditionalFormatting>
  <conditionalFormatting sqref="A586">
    <cfRule type="duplicateValues" dxfId="2429" priority="2474"/>
  </conditionalFormatting>
  <conditionalFormatting sqref="A586">
    <cfRule type="duplicateValues" dxfId="2428" priority="2473"/>
  </conditionalFormatting>
  <conditionalFormatting sqref="A586">
    <cfRule type="duplicateValues" dxfId="2427" priority="2472"/>
  </conditionalFormatting>
  <conditionalFormatting sqref="A586">
    <cfRule type="duplicateValues" dxfId="2426" priority="2471"/>
  </conditionalFormatting>
  <conditionalFormatting sqref="A586">
    <cfRule type="duplicateValues" dxfId="2425" priority="2470"/>
  </conditionalFormatting>
  <conditionalFormatting sqref="A586">
    <cfRule type="duplicateValues" dxfId="2424" priority="2469"/>
  </conditionalFormatting>
  <conditionalFormatting sqref="A586">
    <cfRule type="duplicateValues" dxfId="2423" priority="2468"/>
  </conditionalFormatting>
  <conditionalFormatting sqref="A586">
    <cfRule type="duplicateValues" dxfId="2422" priority="2467"/>
  </conditionalFormatting>
  <conditionalFormatting sqref="A586">
    <cfRule type="duplicateValues" dxfId="2421" priority="2466"/>
  </conditionalFormatting>
  <conditionalFormatting sqref="A586">
    <cfRule type="duplicateValues" dxfId="2420" priority="2465"/>
  </conditionalFormatting>
  <conditionalFormatting sqref="A586">
    <cfRule type="duplicateValues" dxfId="2419" priority="2493"/>
  </conditionalFormatting>
  <conditionalFormatting sqref="A586">
    <cfRule type="duplicateValues" dxfId="2418" priority="2494"/>
  </conditionalFormatting>
  <conditionalFormatting sqref="A586">
    <cfRule type="duplicateValues" dxfId="2417" priority="2495"/>
  </conditionalFormatting>
  <conditionalFormatting sqref="A586">
    <cfRule type="duplicateValues" dxfId="2416" priority="2496"/>
  </conditionalFormatting>
  <conditionalFormatting sqref="A586">
    <cfRule type="expression" dxfId="2415" priority="2463">
      <formula>$AV586="POSITIF"</formula>
    </cfRule>
  </conditionalFormatting>
  <conditionalFormatting sqref="A586">
    <cfRule type="expression" dxfId="2414" priority="2462">
      <formula>$AV586="POSITIF"</formula>
    </cfRule>
  </conditionalFormatting>
  <conditionalFormatting sqref="A587">
    <cfRule type="expression" dxfId="2413" priority="2446">
      <formula>$AV587="POSITIF"</formula>
    </cfRule>
  </conditionalFormatting>
  <conditionalFormatting sqref="A587">
    <cfRule type="duplicateValues" dxfId="2412" priority="2457"/>
  </conditionalFormatting>
  <conditionalFormatting sqref="A587">
    <cfRule type="duplicateValues" dxfId="2411" priority="2456"/>
  </conditionalFormatting>
  <conditionalFormatting sqref="A587">
    <cfRule type="duplicateValues" dxfId="2410" priority="2455"/>
  </conditionalFormatting>
  <conditionalFormatting sqref="A587">
    <cfRule type="duplicateValues" dxfId="2409" priority="2454"/>
  </conditionalFormatting>
  <conditionalFormatting sqref="A587">
    <cfRule type="duplicateValues" dxfId="2408" priority="2453"/>
  </conditionalFormatting>
  <conditionalFormatting sqref="A587">
    <cfRule type="duplicateValues" dxfId="2407" priority="2452"/>
  </conditionalFormatting>
  <conditionalFormatting sqref="A587">
    <cfRule type="duplicateValues" dxfId="2406" priority="2451"/>
  </conditionalFormatting>
  <conditionalFormatting sqref="A587">
    <cfRule type="duplicateValues" dxfId="2405" priority="2450"/>
  </conditionalFormatting>
  <conditionalFormatting sqref="A587">
    <cfRule type="duplicateValues" dxfId="2404" priority="2449"/>
  </conditionalFormatting>
  <conditionalFormatting sqref="A587">
    <cfRule type="duplicateValues" dxfId="2403" priority="2448"/>
  </conditionalFormatting>
  <conditionalFormatting sqref="A587">
    <cfRule type="duplicateValues" dxfId="2402" priority="2447"/>
  </conditionalFormatting>
  <conditionalFormatting sqref="A587">
    <cfRule type="duplicateValues" dxfId="2401" priority="2458"/>
  </conditionalFormatting>
  <conditionalFormatting sqref="A587">
    <cfRule type="duplicateValues" dxfId="2400" priority="2459"/>
  </conditionalFormatting>
  <conditionalFormatting sqref="A587">
    <cfRule type="duplicateValues" dxfId="2399" priority="2460"/>
  </conditionalFormatting>
  <conditionalFormatting sqref="A587">
    <cfRule type="duplicateValues" dxfId="2398" priority="2461"/>
  </conditionalFormatting>
  <conditionalFormatting sqref="A587">
    <cfRule type="expression" dxfId="2397" priority="2445">
      <formula>$AV587="POSITIF"</formula>
    </cfRule>
  </conditionalFormatting>
  <conditionalFormatting sqref="A587">
    <cfRule type="expression" dxfId="2396" priority="2444">
      <formula>$AV587="POSITIF"</formula>
    </cfRule>
  </conditionalFormatting>
  <conditionalFormatting sqref="A589">
    <cfRule type="expression" dxfId="2395" priority="2443">
      <formula>$AV589="POSITIF"</formula>
    </cfRule>
  </conditionalFormatting>
  <conditionalFormatting sqref="A589">
    <cfRule type="expression" dxfId="2394" priority="2442">
      <formula>$AV589="POSITIF"</formula>
    </cfRule>
  </conditionalFormatting>
  <conditionalFormatting sqref="BM585:BN591">
    <cfRule type="expression" dxfId="2393" priority="2441">
      <formula>$AV585="POSITIF"</formula>
    </cfRule>
  </conditionalFormatting>
  <conditionalFormatting sqref="A592:A593">
    <cfRule type="expression" dxfId="2392" priority="2432">
      <formula>$AV592="POSITIF"</formula>
    </cfRule>
  </conditionalFormatting>
  <conditionalFormatting sqref="A592:A593">
    <cfRule type="duplicateValues" dxfId="2391" priority="2436"/>
  </conditionalFormatting>
  <conditionalFormatting sqref="A592:A593">
    <cfRule type="duplicateValues" dxfId="2390" priority="2435"/>
  </conditionalFormatting>
  <conditionalFormatting sqref="A592:A593">
    <cfRule type="expression" dxfId="2389" priority="2434">
      <formula>$AV592="POSITIF"</formula>
    </cfRule>
  </conditionalFormatting>
  <conditionalFormatting sqref="A592:A593">
    <cfRule type="duplicateValues" dxfId="2388" priority="2433"/>
  </conditionalFormatting>
  <conditionalFormatting sqref="A592:A593">
    <cfRule type="duplicateValues" dxfId="2387" priority="2437"/>
  </conditionalFormatting>
  <conditionalFormatting sqref="A592:A593">
    <cfRule type="duplicateValues" dxfId="2386" priority="2438"/>
  </conditionalFormatting>
  <conditionalFormatting sqref="A592:A593">
    <cfRule type="duplicateValues" dxfId="2385" priority="2439"/>
  </conditionalFormatting>
  <conditionalFormatting sqref="A592:A593">
    <cfRule type="expression" dxfId="2384" priority="2431">
      <formula>$AV592="POSITIF"</formula>
    </cfRule>
  </conditionalFormatting>
  <conditionalFormatting sqref="A592:A593">
    <cfRule type="expression" dxfId="2383" priority="2430">
      <formula>$AV592="POSITIF"</formula>
    </cfRule>
  </conditionalFormatting>
  <conditionalFormatting sqref="A592:A593">
    <cfRule type="expression" dxfId="2382" priority="2429">
      <formula>$AV592="POSITIF"</formula>
    </cfRule>
  </conditionalFormatting>
  <conditionalFormatting sqref="A594">
    <cfRule type="expression" dxfId="2381" priority="2428">
      <formula>$AV594="POSITIF"</formula>
    </cfRule>
  </conditionalFormatting>
  <conditionalFormatting sqref="A594">
    <cfRule type="expression" dxfId="2380" priority="2427">
      <formula>$AV594="POSITIF"</formula>
    </cfRule>
  </conditionalFormatting>
  <conditionalFormatting sqref="A594">
    <cfRule type="expression" dxfId="2379" priority="2426">
      <formula>$AV594="POSITIF"</formula>
    </cfRule>
  </conditionalFormatting>
  <conditionalFormatting sqref="A593">
    <cfRule type="expression" dxfId="2378" priority="2425">
      <formula>$AV593="POSITIF"</formula>
    </cfRule>
  </conditionalFormatting>
  <conditionalFormatting sqref="A593">
    <cfRule type="expression" dxfId="2377" priority="2392">
      <formula>$AV593="POSITIF"</formula>
    </cfRule>
  </conditionalFormatting>
  <conditionalFormatting sqref="A593">
    <cfRule type="duplicateValues" dxfId="2376" priority="2420"/>
  </conditionalFormatting>
  <conditionalFormatting sqref="A593">
    <cfRule type="duplicateValues" dxfId="2375" priority="2419"/>
  </conditionalFormatting>
  <conditionalFormatting sqref="A593">
    <cfRule type="duplicateValues" dxfId="2374" priority="2418"/>
  </conditionalFormatting>
  <conditionalFormatting sqref="A593">
    <cfRule type="duplicateValues" dxfId="2373" priority="2417"/>
  </conditionalFormatting>
  <conditionalFormatting sqref="A593">
    <cfRule type="duplicateValues" dxfId="2372" priority="2416"/>
  </conditionalFormatting>
  <conditionalFormatting sqref="A593">
    <cfRule type="duplicateValues" dxfId="2371" priority="2415"/>
  </conditionalFormatting>
  <conditionalFormatting sqref="A593">
    <cfRule type="duplicateValues" dxfId="2370" priority="2414"/>
  </conditionalFormatting>
  <conditionalFormatting sqref="A593">
    <cfRule type="duplicateValues" dxfId="2369" priority="2413"/>
  </conditionalFormatting>
  <conditionalFormatting sqref="A593">
    <cfRule type="duplicateValues" dxfId="2368" priority="2412"/>
  </conditionalFormatting>
  <conditionalFormatting sqref="A593">
    <cfRule type="duplicateValues" dxfId="2367" priority="2411"/>
  </conditionalFormatting>
  <conditionalFormatting sqref="A593">
    <cfRule type="duplicateValues" dxfId="2366" priority="2410"/>
  </conditionalFormatting>
  <conditionalFormatting sqref="A593">
    <cfRule type="duplicateValues" dxfId="2365" priority="2409"/>
  </conditionalFormatting>
  <conditionalFormatting sqref="A593">
    <cfRule type="duplicateValues" dxfId="2364" priority="2408"/>
  </conditionalFormatting>
  <conditionalFormatting sqref="A593">
    <cfRule type="duplicateValues" dxfId="2363" priority="2407"/>
  </conditionalFormatting>
  <conditionalFormatting sqref="A593">
    <cfRule type="duplicateValues" dxfId="2362" priority="2406"/>
  </conditionalFormatting>
  <conditionalFormatting sqref="A593">
    <cfRule type="duplicateValues" dxfId="2361" priority="2405"/>
  </conditionalFormatting>
  <conditionalFormatting sqref="A593">
    <cfRule type="duplicateValues" dxfId="2360" priority="2404"/>
  </conditionalFormatting>
  <conditionalFormatting sqref="A593">
    <cfRule type="duplicateValues" dxfId="2359" priority="2403"/>
  </conditionalFormatting>
  <conditionalFormatting sqref="A593">
    <cfRule type="duplicateValues" dxfId="2358" priority="2402"/>
  </conditionalFormatting>
  <conditionalFormatting sqref="A593">
    <cfRule type="duplicateValues" dxfId="2357" priority="2401"/>
  </conditionalFormatting>
  <conditionalFormatting sqref="A593">
    <cfRule type="duplicateValues" dxfId="2356" priority="2400"/>
  </conditionalFormatting>
  <conditionalFormatting sqref="A593">
    <cfRule type="duplicateValues" dxfId="2355" priority="2399"/>
  </conditionalFormatting>
  <conditionalFormatting sqref="A593">
    <cfRule type="duplicateValues" dxfId="2354" priority="2398"/>
  </conditionalFormatting>
  <conditionalFormatting sqref="A593">
    <cfRule type="duplicateValues" dxfId="2353" priority="2397"/>
  </conditionalFormatting>
  <conditionalFormatting sqref="A593">
    <cfRule type="duplicateValues" dxfId="2352" priority="2396"/>
  </conditionalFormatting>
  <conditionalFormatting sqref="A593">
    <cfRule type="duplicateValues" dxfId="2351" priority="2395"/>
  </conditionalFormatting>
  <conditionalFormatting sqref="A593">
    <cfRule type="duplicateValues" dxfId="2350" priority="2394"/>
  </conditionalFormatting>
  <conditionalFormatting sqref="A593">
    <cfRule type="duplicateValues" dxfId="2349" priority="2393"/>
  </conditionalFormatting>
  <conditionalFormatting sqref="A593">
    <cfRule type="duplicateValues" dxfId="2348" priority="2421"/>
  </conditionalFormatting>
  <conditionalFormatting sqref="A593">
    <cfRule type="duplicateValues" dxfId="2347" priority="2422"/>
  </conditionalFormatting>
  <conditionalFormatting sqref="A593">
    <cfRule type="duplicateValues" dxfId="2346" priority="2423"/>
  </conditionalFormatting>
  <conditionalFormatting sqref="A593">
    <cfRule type="duplicateValues" dxfId="2345" priority="2424"/>
  </conditionalFormatting>
  <conditionalFormatting sqref="A593">
    <cfRule type="expression" dxfId="2344" priority="2391">
      <formula>$AV593="POSITIF"</formula>
    </cfRule>
  </conditionalFormatting>
  <conditionalFormatting sqref="A593">
    <cfRule type="expression" dxfId="2343" priority="2390">
      <formula>$AV593="POSITIF"</formula>
    </cfRule>
  </conditionalFormatting>
  <conditionalFormatting sqref="CX596">
    <cfRule type="expression" dxfId="2342" priority="2388">
      <formula>$AV596="POSITIF"</formula>
    </cfRule>
  </conditionalFormatting>
  <conditionalFormatting sqref="CX597">
    <cfRule type="expression" dxfId="2341" priority="2387">
      <formula>$AV597="POSITIF"</formula>
    </cfRule>
  </conditionalFormatting>
  <conditionalFormatting sqref="A596">
    <cfRule type="expression" dxfId="2340" priority="2386">
      <formula>$AV596="POSITIF"</formula>
    </cfRule>
  </conditionalFormatting>
  <conditionalFormatting sqref="A596">
    <cfRule type="expression" dxfId="2339" priority="2378">
      <formula>$AV596="POSITIF"</formula>
    </cfRule>
  </conditionalFormatting>
  <conditionalFormatting sqref="A596">
    <cfRule type="duplicateValues" dxfId="2338" priority="2382"/>
  </conditionalFormatting>
  <conditionalFormatting sqref="A596">
    <cfRule type="duplicateValues" dxfId="2337" priority="2381"/>
  </conditionalFormatting>
  <conditionalFormatting sqref="A596">
    <cfRule type="expression" dxfId="2336" priority="2380">
      <formula>$AV596="POSITIF"</formula>
    </cfRule>
  </conditionalFormatting>
  <conditionalFormatting sqref="A596">
    <cfRule type="duplicateValues" dxfId="2335" priority="2379"/>
  </conditionalFormatting>
  <conditionalFormatting sqref="A596">
    <cfRule type="duplicateValues" dxfId="2334" priority="2383"/>
  </conditionalFormatting>
  <conditionalFormatting sqref="A596">
    <cfRule type="duplicateValues" dxfId="2333" priority="2384"/>
  </conditionalFormatting>
  <conditionalFormatting sqref="A596">
    <cfRule type="duplicateValues" dxfId="2332" priority="2385"/>
  </conditionalFormatting>
  <conditionalFormatting sqref="A596">
    <cfRule type="expression" dxfId="2331" priority="2377">
      <formula>$AV596="POSITIF"</formula>
    </cfRule>
  </conditionalFormatting>
  <conditionalFormatting sqref="A596">
    <cfRule type="expression" dxfId="2330" priority="2376">
      <formula>$AV596="POSITIF"</formula>
    </cfRule>
  </conditionalFormatting>
  <conditionalFormatting sqref="A596">
    <cfRule type="expression" dxfId="2329" priority="2375">
      <formula>$AV596="POSITIF"</formula>
    </cfRule>
  </conditionalFormatting>
  <conditionalFormatting sqref="A596">
    <cfRule type="expression" dxfId="2328" priority="2374">
      <formula>$AV596="POSITIF"</formula>
    </cfRule>
  </conditionalFormatting>
  <conditionalFormatting sqref="A596">
    <cfRule type="expression" dxfId="2327" priority="2341">
      <formula>$AV596="POSITIF"</formula>
    </cfRule>
  </conditionalFormatting>
  <conditionalFormatting sqref="A596">
    <cfRule type="duplicateValues" dxfId="2326" priority="2369"/>
  </conditionalFormatting>
  <conditionalFormatting sqref="A596">
    <cfRule type="duplicateValues" dxfId="2325" priority="2368"/>
  </conditionalFormatting>
  <conditionalFormatting sqref="A596">
    <cfRule type="duplicateValues" dxfId="2324" priority="2367"/>
  </conditionalFormatting>
  <conditionalFormatting sqref="A596">
    <cfRule type="duplicateValues" dxfId="2323" priority="2366"/>
  </conditionalFormatting>
  <conditionalFormatting sqref="A596">
    <cfRule type="duplicateValues" dxfId="2322" priority="2365"/>
  </conditionalFormatting>
  <conditionalFormatting sqref="A596">
    <cfRule type="duplicateValues" dxfId="2321" priority="2364"/>
  </conditionalFormatting>
  <conditionalFormatting sqref="A596">
    <cfRule type="duplicateValues" dxfId="2320" priority="2363"/>
  </conditionalFormatting>
  <conditionalFormatting sqref="A596">
    <cfRule type="duplicateValues" dxfId="2319" priority="2362"/>
  </conditionalFormatting>
  <conditionalFormatting sqref="A596">
    <cfRule type="duplicateValues" dxfId="2318" priority="2361"/>
  </conditionalFormatting>
  <conditionalFormatting sqref="A596">
    <cfRule type="duplicateValues" dxfId="2317" priority="2360"/>
  </conditionalFormatting>
  <conditionalFormatting sqref="A596">
    <cfRule type="duplicateValues" dxfId="2316" priority="2359"/>
  </conditionalFormatting>
  <conditionalFormatting sqref="A596">
    <cfRule type="duplicateValues" dxfId="2315" priority="2358"/>
  </conditionalFormatting>
  <conditionalFormatting sqref="A596">
    <cfRule type="duplicateValues" dxfId="2314" priority="2357"/>
  </conditionalFormatting>
  <conditionalFormatting sqref="A596">
    <cfRule type="duplicateValues" dxfId="2313" priority="2356"/>
  </conditionalFormatting>
  <conditionalFormatting sqref="A596">
    <cfRule type="duplicateValues" dxfId="2312" priority="2355"/>
  </conditionalFormatting>
  <conditionalFormatting sqref="A596">
    <cfRule type="duplicateValues" dxfId="2311" priority="2354"/>
  </conditionalFormatting>
  <conditionalFormatting sqref="A596">
    <cfRule type="duplicateValues" dxfId="2310" priority="2353"/>
  </conditionalFormatting>
  <conditionalFormatting sqref="A596">
    <cfRule type="duplicateValues" dxfId="2309" priority="2352"/>
  </conditionalFormatting>
  <conditionalFormatting sqref="A596">
    <cfRule type="duplicateValues" dxfId="2308" priority="2351"/>
  </conditionalFormatting>
  <conditionalFormatting sqref="A596">
    <cfRule type="duplicateValues" dxfId="2307" priority="2350"/>
  </conditionalFormatting>
  <conditionalFormatting sqref="A596">
    <cfRule type="duplicateValues" dxfId="2306" priority="2349"/>
  </conditionalFormatting>
  <conditionalFormatting sqref="A596">
    <cfRule type="duplicateValues" dxfId="2305" priority="2348"/>
  </conditionalFormatting>
  <conditionalFormatting sqref="A596">
    <cfRule type="duplicateValues" dxfId="2304" priority="2347"/>
  </conditionalFormatting>
  <conditionalFormatting sqref="A596">
    <cfRule type="duplicateValues" dxfId="2303" priority="2346"/>
  </conditionalFormatting>
  <conditionalFormatting sqref="A596">
    <cfRule type="duplicateValues" dxfId="2302" priority="2345"/>
  </conditionalFormatting>
  <conditionalFormatting sqref="A596">
    <cfRule type="duplicateValues" dxfId="2301" priority="2344"/>
  </conditionalFormatting>
  <conditionalFormatting sqref="A596">
    <cfRule type="duplicateValues" dxfId="2300" priority="2343"/>
  </conditionalFormatting>
  <conditionalFormatting sqref="A596">
    <cfRule type="duplicateValues" dxfId="2299" priority="2342"/>
  </conditionalFormatting>
  <conditionalFormatting sqref="A596">
    <cfRule type="duplicateValues" dxfId="2298" priority="2370"/>
  </conditionalFormatting>
  <conditionalFormatting sqref="A596">
    <cfRule type="duplicateValues" dxfId="2297" priority="2371"/>
  </conditionalFormatting>
  <conditionalFormatting sqref="A596">
    <cfRule type="duplicateValues" dxfId="2296" priority="2372"/>
  </conditionalFormatting>
  <conditionalFormatting sqref="A596">
    <cfRule type="duplicateValues" dxfId="2295" priority="2373"/>
  </conditionalFormatting>
  <conditionalFormatting sqref="A596">
    <cfRule type="expression" dxfId="2294" priority="2340">
      <formula>$AV596="POSITIF"</formula>
    </cfRule>
  </conditionalFormatting>
  <conditionalFormatting sqref="A596">
    <cfRule type="expression" dxfId="2293" priority="2339">
      <formula>$AV596="POSITIF"</formula>
    </cfRule>
  </conditionalFormatting>
  <conditionalFormatting sqref="A597">
    <cfRule type="expression" dxfId="2292" priority="2338">
      <formula>$AV597="POSITIF"</formula>
    </cfRule>
  </conditionalFormatting>
  <conditionalFormatting sqref="A597">
    <cfRule type="expression" dxfId="2291" priority="2337">
      <formula>$AV597="POSITIF"</formula>
    </cfRule>
  </conditionalFormatting>
  <conditionalFormatting sqref="A597">
    <cfRule type="expression" dxfId="2290" priority="2305">
      <formula>$AV597="POSITIF"</formula>
    </cfRule>
  </conditionalFormatting>
  <conditionalFormatting sqref="A597">
    <cfRule type="duplicateValues" dxfId="2289" priority="2332"/>
  </conditionalFormatting>
  <conditionalFormatting sqref="A597">
    <cfRule type="duplicateValues" dxfId="2288" priority="2331"/>
  </conditionalFormatting>
  <conditionalFormatting sqref="A597">
    <cfRule type="duplicateValues" dxfId="2287" priority="2330"/>
  </conditionalFormatting>
  <conditionalFormatting sqref="A597">
    <cfRule type="duplicateValues" dxfId="2286" priority="2329"/>
  </conditionalFormatting>
  <conditionalFormatting sqref="A597">
    <cfRule type="duplicateValues" dxfId="2285" priority="2328"/>
  </conditionalFormatting>
  <conditionalFormatting sqref="A597">
    <cfRule type="duplicateValues" dxfId="2284" priority="2327"/>
  </conditionalFormatting>
  <conditionalFormatting sqref="A597">
    <cfRule type="duplicateValues" dxfId="2283" priority="2326"/>
  </conditionalFormatting>
  <conditionalFormatting sqref="A597">
    <cfRule type="duplicateValues" dxfId="2282" priority="2325"/>
  </conditionalFormatting>
  <conditionalFormatting sqref="A597">
    <cfRule type="duplicateValues" dxfId="2281" priority="2324"/>
  </conditionalFormatting>
  <conditionalFormatting sqref="A597">
    <cfRule type="duplicateValues" dxfId="2280" priority="2323"/>
  </conditionalFormatting>
  <conditionalFormatting sqref="A597">
    <cfRule type="duplicateValues" dxfId="2279" priority="2322"/>
  </conditionalFormatting>
  <conditionalFormatting sqref="A597">
    <cfRule type="duplicateValues" dxfId="2278" priority="2321"/>
  </conditionalFormatting>
  <conditionalFormatting sqref="A597">
    <cfRule type="duplicateValues" dxfId="2277" priority="2320"/>
  </conditionalFormatting>
  <conditionalFormatting sqref="A597">
    <cfRule type="duplicateValues" dxfId="2276" priority="2319"/>
  </conditionalFormatting>
  <conditionalFormatting sqref="A597">
    <cfRule type="duplicateValues" dxfId="2275" priority="2318"/>
  </conditionalFormatting>
  <conditionalFormatting sqref="A597">
    <cfRule type="duplicateValues" dxfId="2274" priority="2317"/>
  </conditionalFormatting>
  <conditionalFormatting sqref="A597">
    <cfRule type="duplicateValues" dxfId="2273" priority="2316"/>
  </conditionalFormatting>
  <conditionalFormatting sqref="A597">
    <cfRule type="duplicateValues" dxfId="2272" priority="2315"/>
  </conditionalFormatting>
  <conditionalFormatting sqref="A597">
    <cfRule type="duplicateValues" dxfId="2271" priority="2314"/>
  </conditionalFormatting>
  <conditionalFormatting sqref="A597">
    <cfRule type="duplicateValues" dxfId="2270" priority="2313"/>
  </conditionalFormatting>
  <conditionalFormatting sqref="A597">
    <cfRule type="duplicateValues" dxfId="2269" priority="2312"/>
  </conditionalFormatting>
  <conditionalFormatting sqref="A597">
    <cfRule type="duplicateValues" dxfId="2268" priority="2311"/>
  </conditionalFormatting>
  <conditionalFormatting sqref="A597">
    <cfRule type="duplicateValues" dxfId="2267" priority="2310"/>
  </conditionalFormatting>
  <conditionalFormatting sqref="A597">
    <cfRule type="duplicateValues" dxfId="2266" priority="2309"/>
  </conditionalFormatting>
  <conditionalFormatting sqref="A597">
    <cfRule type="duplicateValues" dxfId="2265" priority="2308"/>
  </conditionalFormatting>
  <conditionalFormatting sqref="A597">
    <cfRule type="duplicateValues" dxfId="2264" priority="2307"/>
  </conditionalFormatting>
  <conditionalFormatting sqref="A597">
    <cfRule type="duplicateValues" dxfId="2263" priority="2306"/>
  </conditionalFormatting>
  <conditionalFormatting sqref="A597">
    <cfRule type="duplicateValues" dxfId="2262" priority="2333"/>
  </conditionalFormatting>
  <conditionalFormatting sqref="A597">
    <cfRule type="duplicateValues" dxfId="2261" priority="2334"/>
  </conditionalFormatting>
  <conditionalFormatting sqref="A597">
    <cfRule type="duplicateValues" dxfId="2260" priority="2335"/>
  </conditionalFormatting>
  <conditionalFormatting sqref="A597">
    <cfRule type="duplicateValues" dxfId="2259" priority="2336"/>
  </conditionalFormatting>
  <conditionalFormatting sqref="A597">
    <cfRule type="expression" dxfId="2258" priority="2304">
      <formula>$AV597="POSITIF"</formula>
    </cfRule>
  </conditionalFormatting>
  <conditionalFormatting sqref="A597">
    <cfRule type="expression" dxfId="2257" priority="2272">
      <formula>$AV597="POSITIF"</formula>
    </cfRule>
  </conditionalFormatting>
  <conditionalFormatting sqref="A597">
    <cfRule type="duplicateValues" dxfId="2256" priority="2299"/>
  </conditionalFormatting>
  <conditionalFormatting sqref="A597">
    <cfRule type="duplicateValues" dxfId="2255" priority="2298"/>
  </conditionalFormatting>
  <conditionalFormatting sqref="A597">
    <cfRule type="duplicateValues" dxfId="2254" priority="2297"/>
  </conditionalFormatting>
  <conditionalFormatting sqref="A597">
    <cfRule type="duplicateValues" dxfId="2253" priority="2296"/>
  </conditionalFormatting>
  <conditionalFormatting sqref="A597">
    <cfRule type="duplicateValues" dxfId="2252" priority="2295"/>
  </conditionalFormatting>
  <conditionalFormatting sqref="A597">
    <cfRule type="duplicateValues" dxfId="2251" priority="2294"/>
  </conditionalFormatting>
  <conditionalFormatting sqref="A597">
    <cfRule type="duplicateValues" dxfId="2250" priority="2293"/>
  </conditionalFormatting>
  <conditionalFormatting sqref="A597">
    <cfRule type="duplicateValues" dxfId="2249" priority="2292"/>
  </conditionalFormatting>
  <conditionalFormatting sqref="A597">
    <cfRule type="duplicateValues" dxfId="2248" priority="2291"/>
  </conditionalFormatting>
  <conditionalFormatting sqref="A597">
    <cfRule type="duplicateValues" dxfId="2247" priority="2290"/>
  </conditionalFormatting>
  <conditionalFormatting sqref="A597">
    <cfRule type="duplicateValues" dxfId="2246" priority="2289"/>
  </conditionalFormatting>
  <conditionalFormatting sqref="A597">
    <cfRule type="duplicateValues" dxfId="2245" priority="2288"/>
  </conditionalFormatting>
  <conditionalFormatting sqref="A597">
    <cfRule type="duplicateValues" dxfId="2244" priority="2287"/>
  </conditionalFormatting>
  <conditionalFormatting sqref="A597">
    <cfRule type="duplicateValues" dxfId="2243" priority="2286"/>
  </conditionalFormatting>
  <conditionalFormatting sqref="A597">
    <cfRule type="duplicateValues" dxfId="2242" priority="2285"/>
  </conditionalFormatting>
  <conditionalFormatting sqref="A597">
    <cfRule type="duplicateValues" dxfId="2241" priority="2284"/>
  </conditionalFormatting>
  <conditionalFormatting sqref="A597">
    <cfRule type="duplicateValues" dxfId="2240" priority="2283"/>
  </conditionalFormatting>
  <conditionalFormatting sqref="A597">
    <cfRule type="duplicateValues" dxfId="2239" priority="2282"/>
  </conditionalFormatting>
  <conditionalFormatting sqref="A597">
    <cfRule type="duplicateValues" dxfId="2238" priority="2281"/>
  </conditionalFormatting>
  <conditionalFormatting sqref="A597">
    <cfRule type="duplicateValues" dxfId="2237" priority="2280"/>
  </conditionalFormatting>
  <conditionalFormatting sqref="A597">
    <cfRule type="duplicateValues" dxfId="2236" priority="2279"/>
  </conditionalFormatting>
  <conditionalFormatting sqref="A597">
    <cfRule type="duplicateValues" dxfId="2235" priority="2278"/>
  </conditionalFormatting>
  <conditionalFormatting sqref="A597">
    <cfRule type="duplicateValues" dxfId="2234" priority="2277"/>
  </conditionalFormatting>
  <conditionalFormatting sqref="A597">
    <cfRule type="duplicateValues" dxfId="2233" priority="2276"/>
  </conditionalFormatting>
  <conditionalFormatting sqref="A597">
    <cfRule type="duplicateValues" dxfId="2232" priority="2275"/>
  </conditionalFormatting>
  <conditionalFormatting sqref="A597">
    <cfRule type="duplicateValues" dxfId="2231" priority="2274"/>
  </conditionalFormatting>
  <conditionalFormatting sqref="A597">
    <cfRule type="duplicateValues" dxfId="2230" priority="2273"/>
  </conditionalFormatting>
  <conditionalFormatting sqref="A597">
    <cfRule type="duplicateValues" dxfId="2229" priority="2300"/>
  </conditionalFormatting>
  <conditionalFormatting sqref="A597">
    <cfRule type="duplicateValues" dxfId="2228" priority="2301"/>
  </conditionalFormatting>
  <conditionalFormatting sqref="A597">
    <cfRule type="duplicateValues" dxfId="2227" priority="2302"/>
  </conditionalFormatting>
  <conditionalFormatting sqref="A597">
    <cfRule type="duplicateValues" dxfId="2226" priority="2303"/>
  </conditionalFormatting>
  <conditionalFormatting sqref="A597">
    <cfRule type="expression" dxfId="2225" priority="2271">
      <formula>$AV597="POSITIF"</formula>
    </cfRule>
  </conditionalFormatting>
  <conditionalFormatting sqref="A597">
    <cfRule type="expression" dxfId="2224" priority="2270">
      <formula>$AV597="POSITIF"</formula>
    </cfRule>
  </conditionalFormatting>
  <conditionalFormatting sqref="E598">
    <cfRule type="expression" dxfId="2223" priority="2269">
      <formula>$AV598="POSITIF"</formula>
    </cfRule>
  </conditionalFormatting>
  <conditionalFormatting sqref="A598">
    <cfRule type="expression" dxfId="2222" priority="2268">
      <formula>$AV598="POSITIF"</formula>
    </cfRule>
  </conditionalFormatting>
  <conditionalFormatting sqref="A598">
    <cfRule type="expression" dxfId="2221" priority="2235">
      <formula>$AV598="POSITIF"</formula>
    </cfRule>
  </conditionalFormatting>
  <conditionalFormatting sqref="A598">
    <cfRule type="duplicateValues" dxfId="2220" priority="2263"/>
  </conditionalFormatting>
  <conditionalFormatting sqref="A598">
    <cfRule type="duplicateValues" dxfId="2219" priority="2262"/>
  </conditionalFormatting>
  <conditionalFormatting sqref="A598">
    <cfRule type="duplicateValues" dxfId="2218" priority="2261"/>
  </conditionalFormatting>
  <conditionalFormatting sqref="A598">
    <cfRule type="duplicateValues" dxfId="2217" priority="2260"/>
  </conditionalFormatting>
  <conditionalFormatting sqref="A598">
    <cfRule type="duplicateValues" dxfId="2216" priority="2259"/>
  </conditionalFormatting>
  <conditionalFormatting sqref="A598">
    <cfRule type="duplicateValues" dxfId="2215" priority="2258"/>
  </conditionalFormatting>
  <conditionalFormatting sqref="A598">
    <cfRule type="duplicateValues" dxfId="2214" priority="2257"/>
  </conditionalFormatting>
  <conditionalFormatting sqref="A598">
    <cfRule type="duplicateValues" dxfId="2213" priority="2256"/>
  </conditionalFormatting>
  <conditionalFormatting sqref="A598">
    <cfRule type="duplicateValues" dxfId="2212" priority="2255"/>
  </conditionalFormatting>
  <conditionalFormatting sqref="A598">
    <cfRule type="duplicateValues" dxfId="2211" priority="2254"/>
  </conditionalFormatting>
  <conditionalFormatting sqref="A598">
    <cfRule type="duplicateValues" dxfId="2210" priority="2253"/>
  </conditionalFormatting>
  <conditionalFormatting sqref="A598">
    <cfRule type="duplicateValues" dxfId="2209" priority="2252"/>
  </conditionalFormatting>
  <conditionalFormatting sqref="A598">
    <cfRule type="duplicateValues" dxfId="2208" priority="2251"/>
  </conditionalFormatting>
  <conditionalFormatting sqref="A598">
    <cfRule type="duplicateValues" dxfId="2207" priority="2250"/>
  </conditionalFormatting>
  <conditionalFormatting sqref="A598">
    <cfRule type="duplicateValues" dxfId="2206" priority="2249"/>
  </conditionalFormatting>
  <conditionalFormatting sqref="A598">
    <cfRule type="duplicateValues" dxfId="2205" priority="2248"/>
  </conditionalFormatting>
  <conditionalFormatting sqref="A598">
    <cfRule type="duplicateValues" dxfId="2204" priority="2247"/>
  </conditionalFormatting>
  <conditionalFormatting sqref="A598">
    <cfRule type="duplicateValues" dxfId="2203" priority="2246"/>
  </conditionalFormatting>
  <conditionalFormatting sqref="A598">
    <cfRule type="duplicateValues" dxfId="2202" priority="2245"/>
  </conditionalFormatting>
  <conditionalFormatting sqref="A598">
    <cfRule type="duplicateValues" dxfId="2201" priority="2244"/>
  </conditionalFormatting>
  <conditionalFormatting sqref="A598">
    <cfRule type="duplicateValues" dxfId="2200" priority="2243"/>
  </conditionalFormatting>
  <conditionalFormatting sqref="A598">
    <cfRule type="duplicateValues" dxfId="2199" priority="2242"/>
  </conditionalFormatting>
  <conditionalFormatting sqref="A598">
    <cfRule type="duplicateValues" dxfId="2198" priority="2241"/>
  </conditionalFormatting>
  <conditionalFormatting sqref="A598">
    <cfRule type="duplicateValues" dxfId="2197" priority="2240"/>
  </conditionalFormatting>
  <conditionalFormatting sqref="A598">
    <cfRule type="duplicateValues" dxfId="2196" priority="2239"/>
  </conditionalFormatting>
  <conditionalFormatting sqref="A598">
    <cfRule type="duplicateValues" dxfId="2195" priority="2238"/>
  </conditionalFormatting>
  <conditionalFormatting sqref="A598">
    <cfRule type="duplicateValues" dxfId="2194" priority="2237"/>
  </conditionalFormatting>
  <conditionalFormatting sqref="A598">
    <cfRule type="duplicateValues" dxfId="2193" priority="2236"/>
  </conditionalFormatting>
  <conditionalFormatting sqref="A598">
    <cfRule type="duplicateValues" dxfId="2192" priority="2264"/>
  </conditionalFormatting>
  <conditionalFormatting sqref="A598">
    <cfRule type="duplicateValues" dxfId="2191" priority="2265"/>
  </conditionalFormatting>
  <conditionalFormatting sqref="A598">
    <cfRule type="duplicateValues" dxfId="2190" priority="2266"/>
  </conditionalFormatting>
  <conditionalFormatting sqref="A598">
    <cfRule type="duplicateValues" dxfId="2189" priority="2267"/>
  </conditionalFormatting>
  <conditionalFormatting sqref="A598">
    <cfRule type="expression" dxfId="2188" priority="2234">
      <formula>$AV598="POSITIF"</formula>
    </cfRule>
  </conditionalFormatting>
  <conditionalFormatting sqref="A598">
    <cfRule type="expression" dxfId="2187" priority="2233">
      <formula>$AV598="POSITIF"</formula>
    </cfRule>
  </conditionalFormatting>
  <conditionalFormatting sqref="A598">
    <cfRule type="expression" dxfId="2186" priority="2232">
      <formula>$AV598="POSITIF"</formula>
    </cfRule>
  </conditionalFormatting>
  <conditionalFormatting sqref="A599">
    <cfRule type="expression" dxfId="2185" priority="2231">
      <formula>$AV599="POSITIF"</formula>
    </cfRule>
  </conditionalFormatting>
  <conditionalFormatting sqref="A599">
    <cfRule type="expression" dxfId="2184" priority="2223">
      <formula>$AV599="POSITIF"</formula>
    </cfRule>
  </conditionalFormatting>
  <conditionalFormatting sqref="A599">
    <cfRule type="duplicateValues" dxfId="2183" priority="2227"/>
  </conditionalFormatting>
  <conditionalFormatting sqref="A599">
    <cfRule type="duplicateValues" dxfId="2182" priority="2226"/>
  </conditionalFormatting>
  <conditionalFormatting sqref="A599">
    <cfRule type="expression" dxfId="2181" priority="2225">
      <formula>$AV599="POSITIF"</formula>
    </cfRule>
  </conditionalFormatting>
  <conditionalFormatting sqref="A599">
    <cfRule type="duplicateValues" dxfId="2180" priority="2224"/>
  </conditionalFormatting>
  <conditionalFormatting sqref="A599">
    <cfRule type="duplicateValues" dxfId="2179" priority="2228"/>
  </conditionalFormatting>
  <conditionalFormatting sqref="A599">
    <cfRule type="duplicateValues" dxfId="2178" priority="2229"/>
  </conditionalFormatting>
  <conditionalFormatting sqref="A599">
    <cfRule type="duplicateValues" dxfId="2177" priority="2230"/>
  </conditionalFormatting>
  <conditionalFormatting sqref="A599">
    <cfRule type="expression" dxfId="2176" priority="2222">
      <formula>$AV599="POSITIF"</formula>
    </cfRule>
  </conditionalFormatting>
  <conditionalFormatting sqref="A599">
    <cfRule type="expression" dxfId="2175" priority="2221">
      <formula>$AV599="POSITIF"</formula>
    </cfRule>
  </conditionalFormatting>
  <conditionalFormatting sqref="A599">
    <cfRule type="expression" dxfId="2174" priority="2220">
      <formula>$AV599="POSITIF"</formula>
    </cfRule>
  </conditionalFormatting>
  <conditionalFormatting sqref="A599">
    <cfRule type="expression" dxfId="2173" priority="2219">
      <formula>$AV599="POSITIF"</formula>
    </cfRule>
  </conditionalFormatting>
  <conditionalFormatting sqref="A599">
    <cfRule type="expression" dxfId="2172" priority="2186">
      <formula>$AV599="POSITIF"</formula>
    </cfRule>
  </conditionalFormatting>
  <conditionalFormatting sqref="A599">
    <cfRule type="duplicateValues" dxfId="2171" priority="2214"/>
  </conditionalFormatting>
  <conditionalFormatting sqref="A599">
    <cfRule type="duplicateValues" dxfId="2170" priority="2213"/>
  </conditionalFormatting>
  <conditionalFormatting sqref="A599">
    <cfRule type="duplicateValues" dxfId="2169" priority="2212"/>
  </conditionalFormatting>
  <conditionalFormatting sqref="A599">
    <cfRule type="duplicateValues" dxfId="2168" priority="2211"/>
  </conditionalFormatting>
  <conditionalFormatting sqref="A599">
    <cfRule type="duplicateValues" dxfId="2167" priority="2210"/>
  </conditionalFormatting>
  <conditionalFormatting sqref="A599">
    <cfRule type="duplicateValues" dxfId="2166" priority="2209"/>
  </conditionalFormatting>
  <conditionalFormatting sqref="A599">
    <cfRule type="duplicateValues" dxfId="2165" priority="2208"/>
  </conditionalFormatting>
  <conditionalFormatting sqref="A599">
    <cfRule type="duplicateValues" dxfId="2164" priority="2207"/>
  </conditionalFormatting>
  <conditionalFormatting sqref="A599">
    <cfRule type="duplicateValues" dxfId="2163" priority="2206"/>
  </conditionalFormatting>
  <conditionalFormatting sqref="A599">
    <cfRule type="duplicateValues" dxfId="2162" priority="2205"/>
  </conditionalFormatting>
  <conditionalFormatting sqref="A599">
    <cfRule type="duplicateValues" dxfId="2161" priority="2204"/>
  </conditionalFormatting>
  <conditionalFormatting sqref="A599">
    <cfRule type="duplicateValues" dxfId="2160" priority="2203"/>
  </conditionalFormatting>
  <conditionalFormatting sqref="A599">
    <cfRule type="duplicateValues" dxfId="2159" priority="2202"/>
  </conditionalFormatting>
  <conditionalFormatting sqref="A599">
    <cfRule type="duplicateValues" dxfId="2158" priority="2201"/>
  </conditionalFormatting>
  <conditionalFormatting sqref="A599">
    <cfRule type="duplicateValues" dxfId="2157" priority="2200"/>
  </conditionalFormatting>
  <conditionalFormatting sqref="A599">
    <cfRule type="duplicateValues" dxfId="2156" priority="2199"/>
  </conditionalFormatting>
  <conditionalFormatting sqref="A599">
    <cfRule type="duplicateValues" dxfId="2155" priority="2198"/>
  </conditionalFormatting>
  <conditionalFormatting sqref="A599">
    <cfRule type="duplicateValues" dxfId="2154" priority="2197"/>
  </conditionalFormatting>
  <conditionalFormatting sqref="A599">
    <cfRule type="duplicateValues" dxfId="2153" priority="2196"/>
  </conditionalFormatting>
  <conditionalFormatting sqref="A599">
    <cfRule type="duplicateValues" dxfId="2152" priority="2195"/>
  </conditionalFormatting>
  <conditionalFormatting sqref="A599">
    <cfRule type="duplicateValues" dxfId="2151" priority="2194"/>
  </conditionalFormatting>
  <conditionalFormatting sqref="A599">
    <cfRule type="duplicateValues" dxfId="2150" priority="2193"/>
  </conditionalFormatting>
  <conditionalFormatting sqref="A599">
    <cfRule type="duplicateValues" dxfId="2149" priority="2192"/>
  </conditionalFormatting>
  <conditionalFormatting sqref="A599">
    <cfRule type="duplicateValues" dxfId="2148" priority="2191"/>
  </conditionalFormatting>
  <conditionalFormatting sqref="A599">
    <cfRule type="duplicateValues" dxfId="2147" priority="2190"/>
  </conditionalFormatting>
  <conditionalFormatting sqref="A599">
    <cfRule type="duplicateValues" dxfId="2146" priority="2189"/>
  </conditionalFormatting>
  <conditionalFormatting sqref="A599">
    <cfRule type="duplicateValues" dxfId="2145" priority="2188"/>
  </conditionalFormatting>
  <conditionalFormatting sqref="A599">
    <cfRule type="duplicateValues" dxfId="2144" priority="2187"/>
  </conditionalFormatting>
  <conditionalFormatting sqref="A599">
    <cfRule type="duplicateValues" dxfId="2143" priority="2215"/>
  </conditionalFormatting>
  <conditionalFormatting sqref="A599">
    <cfRule type="duplicateValues" dxfId="2142" priority="2216"/>
  </conditionalFormatting>
  <conditionalFormatting sqref="A599">
    <cfRule type="duplicateValues" dxfId="2141" priority="2217"/>
  </conditionalFormatting>
  <conditionalFormatting sqref="A599">
    <cfRule type="duplicateValues" dxfId="2140" priority="2218"/>
  </conditionalFormatting>
  <conditionalFormatting sqref="A599">
    <cfRule type="expression" dxfId="2139" priority="2185">
      <formula>$AV599="POSITIF"</formula>
    </cfRule>
  </conditionalFormatting>
  <conditionalFormatting sqref="A599">
    <cfRule type="expression" dxfId="2138" priority="2184">
      <formula>$AV599="POSITIF"</formula>
    </cfRule>
  </conditionalFormatting>
  <conditionalFormatting sqref="A599">
    <cfRule type="expression" dxfId="2137" priority="2183">
      <formula>$AV599="POSITIF"</formula>
    </cfRule>
  </conditionalFormatting>
  <conditionalFormatting sqref="A600:A601">
    <cfRule type="expression" dxfId="2136" priority="2149">
      <formula>$AV600="POSITIF"</formula>
    </cfRule>
  </conditionalFormatting>
  <conditionalFormatting sqref="A600:A601">
    <cfRule type="duplicateValues" dxfId="2135" priority="2177"/>
  </conditionalFormatting>
  <conditionalFormatting sqref="A600:A601">
    <cfRule type="duplicateValues" dxfId="2134" priority="2176"/>
  </conditionalFormatting>
  <conditionalFormatting sqref="A600:A601">
    <cfRule type="duplicateValues" dxfId="2133" priority="2175"/>
  </conditionalFormatting>
  <conditionalFormatting sqref="A600:A601">
    <cfRule type="duplicateValues" dxfId="2132" priority="2174"/>
  </conditionalFormatting>
  <conditionalFormatting sqref="A600:A601">
    <cfRule type="duplicateValues" dxfId="2131" priority="2173"/>
  </conditionalFormatting>
  <conditionalFormatting sqref="A600:A601">
    <cfRule type="duplicateValues" dxfId="2130" priority="2172"/>
  </conditionalFormatting>
  <conditionalFormatting sqref="A600:A601">
    <cfRule type="duplicateValues" dxfId="2129" priority="2171"/>
  </conditionalFormatting>
  <conditionalFormatting sqref="A600:A601">
    <cfRule type="duplicateValues" dxfId="2128" priority="2170"/>
  </conditionalFormatting>
  <conditionalFormatting sqref="A600:A601">
    <cfRule type="duplicateValues" dxfId="2127" priority="2169"/>
  </conditionalFormatting>
  <conditionalFormatting sqref="A600:A601">
    <cfRule type="duplicateValues" dxfId="2126" priority="2168"/>
  </conditionalFormatting>
  <conditionalFormatting sqref="A600:A601">
    <cfRule type="duplicateValues" dxfId="2125" priority="2167"/>
  </conditionalFormatting>
  <conditionalFormatting sqref="A600:A601">
    <cfRule type="duplicateValues" dxfId="2124" priority="2166"/>
  </conditionalFormatting>
  <conditionalFormatting sqref="A600:A601">
    <cfRule type="duplicateValues" dxfId="2123" priority="2165"/>
  </conditionalFormatting>
  <conditionalFormatting sqref="A600:A601">
    <cfRule type="duplicateValues" dxfId="2122" priority="2164"/>
  </conditionalFormatting>
  <conditionalFormatting sqref="A600:A601">
    <cfRule type="duplicateValues" dxfId="2121" priority="2163"/>
  </conditionalFormatting>
  <conditionalFormatting sqref="A600:A601">
    <cfRule type="duplicateValues" dxfId="2120" priority="2162"/>
  </conditionalFormatting>
  <conditionalFormatting sqref="A600:A601">
    <cfRule type="duplicateValues" dxfId="2119" priority="2161"/>
  </conditionalFormatting>
  <conditionalFormatting sqref="A600:A601">
    <cfRule type="duplicateValues" dxfId="2118" priority="2160"/>
  </conditionalFormatting>
  <conditionalFormatting sqref="A600:A601">
    <cfRule type="duplicateValues" dxfId="2117" priority="2159"/>
  </conditionalFormatting>
  <conditionalFormatting sqref="A600:A601">
    <cfRule type="duplicateValues" dxfId="2116" priority="2158"/>
  </conditionalFormatting>
  <conditionalFormatting sqref="A600:A601">
    <cfRule type="duplicateValues" dxfId="2115" priority="2157"/>
  </conditionalFormatting>
  <conditionalFormatting sqref="A600:A601">
    <cfRule type="duplicateValues" dxfId="2114" priority="2156"/>
  </conditionalFormatting>
  <conditionalFormatting sqref="A600:A601">
    <cfRule type="duplicateValues" dxfId="2113" priority="2155"/>
  </conditionalFormatting>
  <conditionalFormatting sqref="A600:A601">
    <cfRule type="duplicateValues" dxfId="2112" priority="2154"/>
  </conditionalFormatting>
  <conditionalFormatting sqref="A600:A601">
    <cfRule type="duplicateValues" dxfId="2111" priority="2153"/>
  </conditionalFormatting>
  <conditionalFormatting sqref="A600:A601">
    <cfRule type="duplicateValues" dxfId="2110" priority="2152"/>
  </conditionalFormatting>
  <conditionalFormatting sqref="A600:A601">
    <cfRule type="duplicateValues" dxfId="2109" priority="2151"/>
  </conditionalFormatting>
  <conditionalFormatting sqref="A600:A601">
    <cfRule type="duplicateValues" dxfId="2108" priority="2150"/>
  </conditionalFormatting>
  <conditionalFormatting sqref="A600:A601">
    <cfRule type="duplicateValues" dxfId="2107" priority="2178"/>
  </conditionalFormatting>
  <conditionalFormatting sqref="A600:A601">
    <cfRule type="duplicateValues" dxfId="2106" priority="2179"/>
  </conditionalFormatting>
  <conditionalFormatting sqref="A600:A601">
    <cfRule type="duplicateValues" dxfId="2105" priority="2180"/>
  </conditionalFormatting>
  <conditionalFormatting sqref="A600:A601">
    <cfRule type="duplicateValues" dxfId="2104" priority="2181"/>
  </conditionalFormatting>
  <conditionalFormatting sqref="A600:A601">
    <cfRule type="expression" dxfId="2103" priority="2148">
      <formula>$AV600="POSITIF"</formula>
    </cfRule>
  </conditionalFormatting>
  <conditionalFormatting sqref="A600:A601">
    <cfRule type="expression" dxfId="2102" priority="2147">
      <formula>$AV600="POSITIF"</formula>
    </cfRule>
  </conditionalFormatting>
  <conditionalFormatting sqref="A600:A601">
    <cfRule type="expression" dxfId="2101" priority="2146">
      <formula>$AV600="POSITIF"</formula>
    </cfRule>
  </conditionalFormatting>
  <conditionalFormatting sqref="A600:A601">
    <cfRule type="expression" dxfId="2100" priority="2145">
      <formula>$AV600="POSITIF"</formula>
    </cfRule>
  </conditionalFormatting>
  <conditionalFormatting sqref="A602">
    <cfRule type="expression" dxfId="2099" priority="2096">
      <formula>$AV603="POSITIF"</formula>
    </cfRule>
  </conditionalFormatting>
  <conditionalFormatting sqref="A602">
    <cfRule type="duplicateValues" dxfId="2098" priority="2140"/>
  </conditionalFormatting>
  <conditionalFormatting sqref="A602">
    <cfRule type="duplicateValues" dxfId="2097" priority="2139"/>
  </conditionalFormatting>
  <conditionalFormatting sqref="A602">
    <cfRule type="duplicateValues" dxfId="2096" priority="2138"/>
  </conditionalFormatting>
  <conditionalFormatting sqref="A602">
    <cfRule type="duplicateValues" dxfId="2095" priority="2137"/>
  </conditionalFormatting>
  <conditionalFormatting sqref="A602">
    <cfRule type="duplicateValues" dxfId="2094" priority="2136"/>
  </conditionalFormatting>
  <conditionalFormatting sqref="A602">
    <cfRule type="duplicateValues" dxfId="2093" priority="2135"/>
  </conditionalFormatting>
  <conditionalFormatting sqref="A602">
    <cfRule type="duplicateValues" dxfId="2092" priority="2134"/>
  </conditionalFormatting>
  <conditionalFormatting sqref="A602">
    <cfRule type="duplicateValues" dxfId="2091" priority="2133"/>
  </conditionalFormatting>
  <conditionalFormatting sqref="A602">
    <cfRule type="duplicateValues" dxfId="2090" priority="2132"/>
  </conditionalFormatting>
  <conditionalFormatting sqref="A602">
    <cfRule type="duplicateValues" dxfId="2089" priority="2131"/>
  </conditionalFormatting>
  <conditionalFormatting sqref="A602">
    <cfRule type="duplicateValues" dxfId="2088" priority="2130"/>
  </conditionalFormatting>
  <conditionalFormatting sqref="A602">
    <cfRule type="duplicateValues" dxfId="2087" priority="2129"/>
  </conditionalFormatting>
  <conditionalFormatting sqref="A602">
    <cfRule type="duplicateValues" dxfId="2086" priority="2128"/>
  </conditionalFormatting>
  <conditionalFormatting sqref="A602">
    <cfRule type="duplicateValues" dxfId="2085" priority="2127"/>
  </conditionalFormatting>
  <conditionalFormatting sqref="A602">
    <cfRule type="duplicateValues" dxfId="2084" priority="2126"/>
  </conditionalFormatting>
  <conditionalFormatting sqref="A602">
    <cfRule type="duplicateValues" dxfId="2083" priority="2125"/>
  </conditionalFormatting>
  <conditionalFormatting sqref="A602">
    <cfRule type="duplicateValues" dxfId="2082" priority="2124"/>
  </conditionalFormatting>
  <conditionalFormatting sqref="A602">
    <cfRule type="duplicateValues" dxfId="2081" priority="2123"/>
  </conditionalFormatting>
  <conditionalFormatting sqref="A602">
    <cfRule type="duplicateValues" dxfId="2080" priority="2122"/>
  </conditionalFormatting>
  <conditionalFormatting sqref="A602">
    <cfRule type="duplicateValues" dxfId="2079" priority="2121"/>
  </conditionalFormatting>
  <conditionalFormatting sqref="A602">
    <cfRule type="duplicateValues" dxfId="2078" priority="2120"/>
  </conditionalFormatting>
  <conditionalFormatting sqref="A602">
    <cfRule type="duplicateValues" dxfId="2077" priority="2119"/>
  </conditionalFormatting>
  <conditionalFormatting sqref="A602">
    <cfRule type="duplicateValues" dxfId="2076" priority="2118"/>
  </conditionalFormatting>
  <conditionalFormatting sqref="A602">
    <cfRule type="duplicateValues" dxfId="2075" priority="2117"/>
  </conditionalFormatting>
  <conditionalFormatting sqref="A602">
    <cfRule type="duplicateValues" dxfId="2074" priority="2116"/>
  </conditionalFormatting>
  <conditionalFormatting sqref="A602">
    <cfRule type="duplicateValues" dxfId="2073" priority="2115"/>
  </conditionalFormatting>
  <conditionalFormatting sqref="A602">
    <cfRule type="duplicateValues" dxfId="2072" priority="2114"/>
  </conditionalFormatting>
  <conditionalFormatting sqref="A602">
    <cfRule type="duplicateValues" dxfId="2071" priority="2113"/>
  </conditionalFormatting>
  <conditionalFormatting sqref="A602">
    <cfRule type="duplicateValues" dxfId="2070" priority="2112"/>
  </conditionalFormatting>
  <conditionalFormatting sqref="A602">
    <cfRule type="duplicateValues" dxfId="2069" priority="2111"/>
  </conditionalFormatting>
  <conditionalFormatting sqref="A602">
    <cfRule type="duplicateValues" dxfId="2068" priority="2110"/>
  </conditionalFormatting>
  <conditionalFormatting sqref="A602">
    <cfRule type="duplicateValues" dxfId="2067" priority="2109"/>
  </conditionalFormatting>
  <conditionalFormatting sqref="A602">
    <cfRule type="duplicateValues" dxfId="2066" priority="2108"/>
  </conditionalFormatting>
  <conditionalFormatting sqref="A602">
    <cfRule type="duplicateValues" dxfId="2065" priority="2107"/>
  </conditionalFormatting>
  <conditionalFormatting sqref="A602">
    <cfRule type="duplicateValues" dxfId="2064" priority="2106"/>
  </conditionalFormatting>
  <conditionalFormatting sqref="A602">
    <cfRule type="duplicateValues" dxfId="2063" priority="2105"/>
  </conditionalFormatting>
  <conditionalFormatting sqref="A602">
    <cfRule type="duplicateValues" dxfId="2062" priority="2104"/>
  </conditionalFormatting>
  <conditionalFormatting sqref="A602">
    <cfRule type="duplicateValues" dxfId="2061" priority="2103"/>
  </conditionalFormatting>
  <conditionalFormatting sqref="A602">
    <cfRule type="duplicateValues" dxfId="2060" priority="2102"/>
  </conditionalFormatting>
  <conditionalFormatting sqref="A602">
    <cfRule type="duplicateValues" dxfId="2059" priority="2101"/>
  </conditionalFormatting>
  <conditionalFormatting sqref="A602">
    <cfRule type="duplicateValues" dxfId="2058" priority="2100"/>
  </conditionalFormatting>
  <conditionalFormatting sqref="A602">
    <cfRule type="duplicateValues" dxfId="2057" priority="2099"/>
  </conditionalFormatting>
  <conditionalFormatting sqref="A602">
    <cfRule type="duplicateValues" dxfId="2056" priority="2098"/>
  </conditionalFormatting>
  <conditionalFormatting sqref="A602">
    <cfRule type="duplicateValues" dxfId="2055" priority="2097"/>
  </conditionalFormatting>
  <conditionalFormatting sqref="A602">
    <cfRule type="duplicateValues" dxfId="2054" priority="2141"/>
  </conditionalFormatting>
  <conditionalFormatting sqref="A602">
    <cfRule type="duplicateValues" dxfId="2053" priority="2142"/>
  </conditionalFormatting>
  <conditionalFormatting sqref="A602">
    <cfRule type="duplicateValues" dxfId="2052" priority="2143"/>
  </conditionalFormatting>
  <conditionalFormatting sqref="A602">
    <cfRule type="duplicateValues" dxfId="2051" priority="2144"/>
  </conditionalFormatting>
  <conditionalFormatting sqref="A602">
    <cfRule type="expression" dxfId="2050" priority="2095">
      <formula>$AV603="POSITIF"</formula>
    </cfRule>
  </conditionalFormatting>
  <conditionalFormatting sqref="A602">
    <cfRule type="expression" dxfId="2049" priority="2094">
      <formula>$AV603="POSITIF"</formula>
    </cfRule>
  </conditionalFormatting>
  <conditionalFormatting sqref="A602">
    <cfRule type="expression" dxfId="2048" priority="2093">
      <formula>$AV603="POSITIF"</formula>
    </cfRule>
  </conditionalFormatting>
  <conditionalFormatting sqref="A602">
    <cfRule type="expression" dxfId="2047" priority="2092">
      <formula>$AV603="POSITIF"</formula>
    </cfRule>
  </conditionalFormatting>
  <conditionalFormatting sqref="A603">
    <cfRule type="expression" dxfId="2046" priority="2059">
      <formula>$AV603="POSITIF"</formula>
    </cfRule>
  </conditionalFormatting>
  <conditionalFormatting sqref="A603">
    <cfRule type="duplicateValues" dxfId="2045" priority="2088"/>
  </conditionalFormatting>
  <conditionalFormatting sqref="A603">
    <cfRule type="duplicateValues" dxfId="2044" priority="2087"/>
  </conditionalFormatting>
  <conditionalFormatting sqref="A603">
    <cfRule type="duplicateValues" dxfId="2043" priority="2086"/>
  </conditionalFormatting>
  <conditionalFormatting sqref="A603">
    <cfRule type="duplicateValues" dxfId="2042" priority="2085"/>
  </conditionalFormatting>
  <conditionalFormatting sqref="A603">
    <cfRule type="duplicateValues" dxfId="2041" priority="2084"/>
  </conditionalFormatting>
  <conditionalFormatting sqref="A603">
    <cfRule type="duplicateValues" dxfId="2040" priority="2083"/>
  </conditionalFormatting>
  <conditionalFormatting sqref="A603">
    <cfRule type="duplicateValues" dxfId="2039" priority="2082"/>
  </conditionalFormatting>
  <conditionalFormatting sqref="A603">
    <cfRule type="duplicateValues" dxfId="2038" priority="2081"/>
  </conditionalFormatting>
  <conditionalFormatting sqref="A603">
    <cfRule type="duplicateValues" dxfId="2037" priority="2080"/>
  </conditionalFormatting>
  <conditionalFormatting sqref="A603">
    <cfRule type="duplicateValues" dxfId="2036" priority="2079"/>
  </conditionalFormatting>
  <conditionalFormatting sqref="A603">
    <cfRule type="duplicateValues" dxfId="2035" priority="2078"/>
  </conditionalFormatting>
  <conditionalFormatting sqref="A603">
    <cfRule type="duplicateValues" dxfId="2034" priority="2077"/>
  </conditionalFormatting>
  <conditionalFormatting sqref="A603">
    <cfRule type="duplicateValues" dxfId="2033" priority="2076"/>
  </conditionalFormatting>
  <conditionalFormatting sqref="A603">
    <cfRule type="duplicateValues" dxfId="2032" priority="2075"/>
  </conditionalFormatting>
  <conditionalFormatting sqref="A603">
    <cfRule type="duplicateValues" dxfId="2031" priority="2074"/>
  </conditionalFormatting>
  <conditionalFormatting sqref="A603">
    <cfRule type="duplicateValues" dxfId="2030" priority="2073"/>
  </conditionalFormatting>
  <conditionalFormatting sqref="A603">
    <cfRule type="duplicateValues" dxfId="2029" priority="2072"/>
  </conditionalFormatting>
  <conditionalFormatting sqref="A603">
    <cfRule type="duplicateValues" dxfId="2028" priority="2071"/>
  </conditionalFormatting>
  <conditionalFormatting sqref="A603">
    <cfRule type="duplicateValues" dxfId="2027" priority="2070"/>
  </conditionalFormatting>
  <conditionalFormatting sqref="A603">
    <cfRule type="duplicateValues" dxfId="2026" priority="2069"/>
  </conditionalFormatting>
  <conditionalFormatting sqref="A603">
    <cfRule type="duplicateValues" dxfId="2025" priority="2068"/>
  </conditionalFormatting>
  <conditionalFormatting sqref="A603">
    <cfRule type="duplicateValues" dxfId="2024" priority="2067"/>
  </conditionalFormatting>
  <conditionalFormatting sqref="A603">
    <cfRule type="duplicateValues" dxfId="2023" priority="2066"/>
  </conditionalFormatting>
  <conditionalFormatting sqref="A603">
    <cfRule type="duplicateValues" dxfId="2022" priority="2065"/>
  </conditionalFormatting>
  <conditionalFormatting sqref="A603">
    <cfRule type="duplicateValues" dxfId="2021" priority="2064"/>
  </conditionalFormatting>
  <conditionalFormatting sqref="A603">
    <cfRule type="duplicateValues" dxfId="2020" priority="2063"/>
  </conditionalFormatting>
  <conditionalFormatting sqref="A603">
    <cfRule type="duplicateValues" dxfId="2019" priority="2062"/>
  </conditionalFormatting>
  <conditionalFormatting sqref="A603">
    <cfRule type="duplicateValues" dxfId="2018" priority="2061"/>
  </conditionalFormatting>
  <conditionalFormatting sqref="A603">
    <cfRule type="duplicateValues" dxfId="2017" priority="2060"/>
  </conditionalFormatting>
  <conditionalFormatting sqref="A603">
    <cfRule type="duplicateValues" dxfId="2016" priority="2089"/>
  </conditionalFormatting>
  <conditionalFormatting sqref="A603">
    <cfRule type="duplicateValues" dxfId="2015" priority="2090"/>
  </conditionalFormatting>
  <conditionalFormatting sqref="A603">
    <cfRule type="duplicateValues" dxfId="2014" priority="2091"/>
  </conditionalFormatting>
  <conditionalFormatting sqref="A603">
    <cfRule type="duplicateValues" dxfId="2013" priority="2058"/>
  </conditionalFormatting>
  <conditionalFormatting sqref="A603">
    <cfRule type="duplicateValues" dxfId="2012" priority="2051"/>
    <cfRule type="duplicateValues" dxfId="2011" priority="2053"/>
    <cfRule type="duplicateValues" dxfId="2010" priority="2054"/>
    <cfRule type="duplicateValues" dxfId="2009" priority="2057"/>
  </conditionalFormatting>
  <conditionalFormatting sqref="A603">
    <cfRule type="expression" dxfId="2008" priority="2056">
      <formula>$AV603="POSITIF"</formula>
    </cfRule>
  </conditionalFormatting>
  <conditionalFormatting sqref="A603">
    <cfRule type="expression" dxfId="2007" priority="2055">
      <formula>$AV603="POSITIF"</formula>
    </cfRule>
  </conditionalFormatting>
  <conditionalFormatting sqref="A603">
    <cfRule type="expression" dxfId="2006" priority="2052">
      <formula>$AV603="POSITIF"</formula>
    </cfRule>
  </conditionalFormatting>
  <conditionalFormatting sqref="A603">
    <cfRule type="expression" dxfId="2005" priority="2050">
      <formula>$AV603="POSITIF"</formula>
    </cfRule>
  </conditionalFormatting>
  <conditionalFormatting sqref="A1:A686 A688:A1048576">
    <cfRule type="duplicateValues" dxfId="2004" priority="1285"/>
    <cfRule type="duplicateValues" dxfId="2003" priority="1352"/>
    <cfRule type="duplicateValues" dxfId="2002" priority="1656"/>
    <cfRule type="duplicateValues" dxfId="2001" priority="1663"/>
    <cfRule type="duplicateValues" dxfId="2000" priority="2049"/>
  </conditionalFormatting>
  <conditionalFormatting sqref="A605">
    <cfRule type="expression" dxfId="1999" priority="2016">
      <formula>$AV605="POSITIF"</formula>
    </cfRule>
  </conditionalFormatting>
  <conditionalFormatting sqref="A605">
    <cfRule type="duplicateValues" dxfId="1998" priority="2044"/>
  </conditionalFormatting>
  <conditionalFormatting sqref="A605">
    <cfRule type="duplicateValues" dxfId="1997" priority="2043"/>
  </conditionalFormatting>
  <conditionalFormatting sqref="A605">
    <cfRule type="duplicateValues" dxfId="1996" priority="2042"/>
  </conditionalFormatting>
  <conditionalFormatting sqref="A605">
    <cfRule type="duplicateValues" dxfId="1995" priority="2041"/>
  </conditionalFormatting>
  <conditionalFormatting sqref="A605">
    <cfRule type="duplicateValues" dxfId="1994" priority="2040"/>
  </conditionalFormatting>
  <conditionalFormatting sqref="A605">
    <cfRule type="duplicateValues" dxfId="1993" priority="2039"/>
  </conditionalFormatting>
  <conditionalFormatting sqref="A605">
    <cfRule type="duplicateValues" dxfId="1992" priority="2038"/>
  </conditionalFormatting>
  <conditionalFormatting sqref="A605">
    <cfRule type="duplicateValues" dxfId="1991" priority="2037"/>
  </conditionalFormatting>
  <conditionalFormatting sqref="A605">
    <cfRule type="duplicateValues" dxfId="1990" priority="2036"/>
  </conditionalFormatting>
  <conditionalFormatting sqref="A605">
    <cfRule type="duplicateValues" dxfId="1989" priority="2035"/>
  </conditionalFormatting>
  <conditionalFormatting sqref="A605">
    <cfRule type="duplicateValues" dxfId="1988" priority="2034"/>
  </conditionalFormatting>
  <conditionalFormatting sqref="A605">
    <cfRule type="duplicateValues" dxfId="1987" priority="2033"/>
  </conditionalFormatting>
  <conditionalFormatting sqref="A605">
    <cfRule type="duplicateValues" dxfId="1986" priority="2032"/>
  </conditionalFormatting>
  <conditionalFormatting sqref="A605">
    <cfRule type="duplicateValues" dxfId="1985" priority="2031"/>
  </conditionalFormatting>
  <conditionalFormatting sqref="A605">
    <cfRule type="duplicateValues" dxfId="1984" priority="2030"/>
  </conditionalFormatting>
  <conditionalFormatting sqref="A605">
    <cfRule type="duplicateValues" dxfId="1983" priority="2029"/>
  </conditionalFormatting>
  <conditionalFormatting sqref="A605">
    <cfRule type="duplicateValues" dxfId="1982" priority="2028"/>
  </conditionalFormatting>
  <conditionalFormatting sqref="A605">
    <cfRule type="duplicateValues" dxfId="1981" priority="2027"/>
  </conditionalFormatting>
  <conditionalFormatting sqref="A605">
    <cfRule type="duplicateValues" dxfId="1980" priority="2026"/>
  </conditionalFormatting>
  <conditionalFormatting sqref="A605">
    <cfRule type="duplicateValues" dxfId="1979" priority="2025"/>
  </conditionalFormatting>
  <conditionalFormatting sqref="A605">
    <cfRule type="duplicateValues" dxfId="1978" priority="2024"/>
  </conditionalFormatting>
  <conditionalFormatting sqref="A605">
    <cfRule type="duplicateValues" dxfId="1977" priority="2023"/>
  </conditionalFormatting>
  <conditionalFormatting sqref="A605">
    <cfRule type="duplicateValues" dxfId="1976" priority="2022"/>
  </conditionalFormatting>
  <conditionalFormatting sqref="A605">
    <cfRule type="duplicateValues" dxfId="1975" priority="2021"/>
  </conditionalFormatting>
  <conditionalFormatting sqref="A605">
    <cfRule type="duplicateValues" dxfId="1974" priority="2020"/>
  </conditionalFormatting>
  <conditionalFormatting sqref="A605">
    <cfRule type="duplicateValues" dxfId="1973" priority="2019"/>
  </conditionalFormatting>
  <conditionalFormatting sqref="A605">
    <cfRule type="duplicateValues" dxfId="1972" priority="2018"/>
  </conditionalFormatting>
  <conditionalFormatting sqref="A605">
    <cfRule type="duplicateValues" dxfId="1971" priority="2017"/>
  </conditionalFormatting>
  <conditionalFormatting sqref="A605">
    <cfRule type="duplicateValues" dxfId="1970" priority="2045"/>
  </conditionalFormatting>
  <conditionalFormatting sqref="A605">
    <cfRule type="duplicateValues" dxfId="1969" priority="2046"/>
  </conditionalFormatting>
  <conditionalFormatting sqref="A605">
    <cfRule type="duplicateValues" dxfId="1968" priority="2047"/>
  </conditionalFormatting>
  <conditionalFormatting sqref="A605">
    <cfRule type="duplicateValues" dxfId="1967" priority="2048"/>
  </conditionalFormatting>
  <conditionalFormatting sqref="A605">
    <cfRule type="expression" dxfId="1966" priority="2015">
      <formula>$AV605="POSITIF"</formula>
    </cfRule>
  </conditionalFormatting>
  <conditionalFormatting sqref="A605">
    <cfRule type="expression" dxfId="1965" priority="2014">
      <formula>$AV605="POSITIF"</formula>
    </cfRule>
  </conditionalFormatting>
  <conditionalFormatting sqref="A605">
    <cfRule type="expression" dxfId="1964" priority="2013">
      <formula>$AV605="POSITIF"</formula>
    </cfRule>
  </conditionalFormatting>
  <conditionalFormatting sqref="A605">
    <cfRule type="expression" dxfId="1963" priority="2012">
      <formula>$AV605="POSITIF"</formula>
    </cfRule>
  </conditionalFormatting>
  <conditionalFormatting sqref="A606">
    <cfRule type="expression" dxfId="1962" priority="2011">
      <formula>$AV606="POSITIF"</formula>
    </cfRule>
  </conditionalFormatting>
  <conditionalFormatting sqref="A606">
    <cfRule type="expression" dxfId="1961" priority="2010">
      <formula>$AV606="POSITIF"</formula>
    </cfRule>
  </conditionalFormatting>
  <conditionalFormatting sqref="A606">
    <cfRule type="expression" dxfId="1960" priority="2009">
      <formula>$AV606="POSITIF"</formula>
    </cfRule>
  </conditionalFormatting>
  <conditionalFormatting sqref="A606">
    <cfRule type="expression" dxfId="1959" priority="2008">
      <formula>$AV606="POSITIF"</formula>
    </cfRule>
  </conditionalFormatting>
  <conditionalFormatting sqref="A608">
    <cfRule type="expression" dxfId="1958" priority="2007">
      <formula>$AV608="POSITIF"</formula>
    </cfRule>
  </conditionalFormatting>
  <conditionalFormatting sqref="A608">
    <cfRule type="expression" dxfId="1957" priority="2006">
      <formula>$AV608="POSITIF"</formula>
    </cfRule>
  </conditionalFormatting>
  <conditionalFormatting sqref="A608">
    <cfRule type="expression" dxfId="1956" priority="1974">
      <formula>$AV608="POSITIF"</formula>
    </cfRule>
  </conditionalFormatting>
  <conditionalFormatting sqref="A608">
    <cfRule type="duplicateValues" dxfId="1955" priority="2001"/>
  </conditionalFormatting>
  <conditionalFormatting sqref="A608">
    <cfRule type="duplicateValues" dxfId="1954" priority="2000"/>
  </conditionalFormatting>
  <conditionalFormatting sqref="A608">
    <cfRule type="duplicateValues" dxfId="1953" priority="1999"/>
  </conditionalFormatting>
  <conditionalFormatting sqref="A608">
    <cfRule type="duplicateValues" dxfId="1952" priority="1998"/>
  </conditionalFormatting>
  <conditionalFormatting sqref="A608">
    <cfRule type="duplicateValues" dxfId="1951" priority="1997"/>
  </conditionalFormatting>
  <conditionalFormatting sqref="A608">
    <cfRule type="duplicateValues" dxfId="1950" priority="1996"/>
  </conditionalFormatting>
  <conditionalFormatting sqref="A608">
    <cfRule type="duplicateValues" dxfId="1949" priority="1995"/>
  </conditionalFormatting>
  <conditionalFormatting sqref="A608">
    <cfRule type="duplicateValues" dxfId="1948" priority="1994"/>
  </conditionalFormatting>
  <conditionalFormatting sqref="A608">
    <cfRule type="duplicateValues" dxfId="1947" priority="1993"/>
  </conditionalFormatting>
  <conditionalFormatting sqref="A608">
    <cfRule type="duplicateValues" dxfId="1946" priority="1992"/>
  </conditionalFormatting>
  <conditionalFormatting sqref="A608">
    <cfRule type="duplicateValues" dxfId="1945" priority="1991"/>
  </conditionalFormatting>
  <conditionalFormatting sqref="A608">
    <cfRule type="duplicateValues" dxfId="1944" priority="1990"/>
  </conditionalFormatting>
  <conditionalFormatting sqref="A608">
    <cfRule type="duplicateValues" dxfId="1943" priority="1989"/>
  </conditionalFormatting>
  <conditionalFormatting sqref="A608">
    <cfRule type="duplicateValues" dxfId="1942" priority="1988"/>
  </conditionalFormatting>
  <conditionalFormatting sqref="A608">
    <cfRule type="duplicateValues" dxfId="1941" priority="1987"/>
  </conditionalFormatting>
  <conditionalFormatting sqref="A608">
    <cfRule type="duplicateValues" dxfId="1940" priority="1986"/>
  </conditionalFormatting>
  <conditionalFormatting sqref="A608">
    <cfRule type="duplicateValues" dxfId="1939" priority="1985"/>
  </conditionalFormatting>
  <conditionalFormatting sqref="A608">
    <cfRule type="duplicateValues" dxfId="1938" priority="1984"/>
  </conditionalFormatting>
  <conditionalFormatting sqref="A608">
    <cfRule type="duplicateValues" dxfId="1937" priority="1983"/>
  </conditionalFormatting>
  <conditionalFormatting sqref="A608">
    <cfRule type="duplicateValues" dxfId="1936" priority="1982"/>
  </conditionalFormatting>
  <conditionalFormatting sqref="A608">
    <cfRule type="duplicateValues" dxfId="1935" priority="1981"/>
  </conditionalFormatting>
  <conditionalFormatting sqref="A608">
    <cfRule type="duplicateValues" dxfId="1934" priority="1980"/>
  </conditionalFormatting>
  <conditionalFormatting sqref="A608">
    <cfRule type="duplicateValues" dxfId="1933" priority="1979"/>
  </conditionalFormatting>
  <conditionalFormatting sqref="A608">
    <cfRule type="duplicateValues" dxfId="1932" priority="1978"/>
  </conditionalFormatting>
  <conditionalFormatting sqref="A608">
    <cfRule type="duplicateValues" dxfId="1931" priority="1977"/>
  </conditionalFormatting>
  <conditionalFormatting sqref="A608">
    <cfRule type="duplicateValues" dxfId="1930" priority="1976"/>
  </conditionalFormatting>
  <conditionalFormatting sqref="A608">
    <cfRule type="duplicateValues" dxfId="1929" priority="1975"/>
  </conditionalFormatting>
  <conditionalFormatting sqref="A608">
    <cfRule type="duplicateValues" dxfId="1928" priority="2002"/>
  </conditionalFormatting>
  <conditionalFormatting sqref="A608">
    <cfRule type="duplicateValues" dxfId="1927" priority="2003"/>
  </conditionalFormatting>
  <conditionalFormatting sqref="A608">
    <cfRule type="duplicateValues" dxfId="1926" priority="2004"/>
  </conditionalFormatting>
  <conditionalFormatting sqref="A608">
    <cfRule type="duplicateValues" dxfId="1925" priority="2005"/>
  </conditionalFormatting>
  <conditionalFormatting sqref="A608">
    <cfRule type="expression" dxfId="1924" priority="1973">
      <formula>$AV608="POSITIF"</formula>
    </cfRule>
  </conditionalFormatting>
  <conditionalFormatting sqref="A608">
    <cfRule type="expression" dxfId="1923" priority="1941">
      <formula>$AV608="POSITIF"</formula>
    </cfRule>
  </conditionalFormatting>
  <conditionalFormatting sqref="A608">
    <cfRule type="duplicateValues" dxfId="1922" priority="1968"/>
  </conditionalFormatting>
  <conditionalFormatting sqref="A608">
    <cfRule type="duplicateValues" dxfId="1921" priority="1967"/>
  </conditionalFormatting>
  <conditionalFormatting sqref="A608">
    <cfRule type="duplicateValues" dxfId="1920" priority="1966"/>
  </conditionalFormatting>
  <conditionalFormatting sqref="A608">
    <cfRule type="duplicateValues" dxfId="1919" priority="1965"/>
  </conditionalFormatting>
  <conditionalFormatting sqref="A608">
    <cfRule type="duplicateValues" dxfId="1918" priority="1964"/>
  </conditionalFormatting>
  <conditionalFormatting sqref="A608">
    <cfRule type="duplicateValues" dxfId="1917" priority="1963"/>
  </conditionalFormatting>
  <conditionalFormatting sqref="A608">
    <cfRule type="duplicateValues" dxfId="1916" priority="1962"/>
  </conditionalFormatting>
  <conditionalFormatting sqref="A608">
    <cfRule type="duplicateValues" dxfId="1915" priority="1961"/>
  </conditionalFormatting>
  <conditionalFormatting sqref="A608">
    <cfRule type="duplicateValues" dxfId="1914" priority="1960"/>
  </conditionalFormatting>
  <conditionalFormatting sqref="A608">
    <cfRule type="duplicateValues" dxfId="1913" priority="1959"/>
  </conditionalFormatting>
  <conditionalFormatting sqref="A608">
    <cfRule type="duplicateValues" dxfId="1912" priority="1958"/>
  </conditionalFormatting>
  <conditionalFormatting sqref="A608">
    <cfRule type="duplicateValues" dxfId="1911" priority="1957"/>
  </conditionalFormatting>
  <conditionalFormatting sqref="A608">
    <cfRule type="duplicateValues" dxfId="1910" priority="1956"/>
  </conditionalFormatting>
  <conditionalFormatting sqref="A608">
    <cfRule type="duplicateValues" dxfId="1909" priority="1955"/>
  </conditionalFormatting>
  <conditionalFormatting sqref="A608">
    <cfRule type="duplicateValues" dxfId="1908" priority="1954"/>
  </conditionalFormatting>
  <conditionalFormatting sqref="A608">
    <cfRule type="duplicateValues" dxfId="1907" priority="1953"/>
  </conditionalFormatting>
  <conditionalFormatting sqref="A608">
    <cfRule type="duplicateValues" dxfId="1906" priority="1952"/>
  </conditionalFormatting>
  <conditionalFormatting sqref="A608">
    <cfRule type="duplicateValues" dxfId="1905" priority="1951"/>
  </conditionalFormatting>
  <conditionalFormatting sqref="A608">
    <cfRule type="duplicateValues" dxfId="1904" priority="1950"/>
  </conditionalFormatting>
  <conditionalFormatting sqref="A608">
    <cfRule type="duplicateValues" dxfId="1903" priority="1949"/>
  </conditionalFormatting>
  <conditionalFormatting sqref="A608">
    <cfRule type="duplicateValues" dxfId="1902" priority="1948"/>
  </conditionalFormatting>
  <conditionalFormatting sqref="A608">
    <cfRule type="duplicateValues" dxfId="1901" priority="1947"/>
  </conditionalFormatting>
  <conditionalFormatting sqref="A608">
    <cfRule type="duplicateValues" dxfId="1900" priority="1946"/>
  </conditionalFormatting>
  <conditionalFormatting sqref="A608">
    <cfRule type="duplicateValues" dxfId="1899" priority="1945"/>
  </conditionalFormatting>
  <conditionalFormatting sqref="A608">
    <cfRule type="duplicateValues" dxfId="1898" priority="1944"/>
  </conditionalFormatting>
  <conditionalFormatting sqref="A608">
    <cfRule type="duplicateValues" dxfId="1897" priority="1943"/>
  </conditionalFormatting>
  <conditionalFormatting sqref="A608">
    <cfRule type="duplicateValues" dxfId="1896" priority="1942"/>
  </conditionalFormatting>
  <conditionalFormatting sqref="A608">
    <cfRule type="duplicateValues" dxfId="1895" priority="1969"/>
  </conditionalFormatting>
  <conditionalFormatting sqref="A608">
    <cfRule type="duplicateValues" dxfId="1894" priority="1970"/>
  </conditionalFormatting>
  <conditionalFormatting sqref="A608">
    <cfRule type="duplicateValues" dxfId="1893" priority="1971"/>
  </conditionalFormatting>
  <conditionalFormatting sqref="A608">
    <cfRule type="duplicateValues" dxfId="1892" priority="1972"/>
  </conditionalFormatting>
  <conditionalFormatting sqref="A608">
    <cfRule type="expression" dxfId="1891" priority="1940">
      <formula>$AV608="POSITIF"</formula>
    </cfRule>
  </conditionalFormatting>
  <conditionalFormatting sqref="A608">
    <cfRule type="expression" dxfId="1890" priority="1939">
      <formula>$AV608="POSITIF"</formula>
    </cfRule>
  </conditionalFormatting>
  <conditionalFormatting sqref="A608">
    <cfRule type="expression" dxfId="1889" priority="1938">
      <formula>$AV608="POSITIF"</formula>
    </cfRule>
  </conditionalFormatting>
  <conditionalFormatting sqref="A610">
    <cfRule type="expression" dxfId="1888" priority="1903">
      <formula>$AV610="POSITIF"</formula>
    </cfRule>
  </conditionalFormatting>
  <conditionalFormatting sqref="A610">
    <cfRule type="duplicateValues" dxfId="1887" priority="1935"/>
  </conditionalFormatting>
  <conditionalFormatting sqref="A610">
    <cfRule type="duplicateValues" dxfId="1886" priority="1934"/>
  </conditionalFormatting>
  <conditionalFormatting sqref="A610">
    <cfRule type="duplicateValues" dxfId="1885" priority="1933"/>
  </conditionalFormatting>
  <conditionalFormatting sqref="A610">
    <cfRule type="duplicateValues" dxfId="1884" priority="1932"/>
  </conditionalFormatting>
  <conditionalFormatting sqref="A610">
    <cfRule type="duplicateValues" dxfId="1883" priority="1931"/>
  </conditionalFormatting>
  <conditionalFormatting sqref="A610">
    <cfRule type="duplicateValues" dxfId="1882" priority="1930"/>
  </conditionalFormatting>
  <conditionalFormatting sqref="A610">
    <cfRule type="duplicateValues" dxfId="1881" priority="1929"/>
  </conditionalFormatting>
  <conditionalFormatting sqref="A610">
    <cfRule type="duplicateValues" dxfId="1880" priority="1928"/>
  </conditionalFormatting>
  <conditionalFormatting sqref="A610">
    <cfRule type="duplicateValues" dxfId="1879" priority="1927"/>
  </conditionalFormatting>
  <conditionalFormatting sqref="A610">
    <cfRule type="duplicateValues" dxfId="1878" priority="1926"/>
  </conditionalFormatting>
  <conditionalFormatting sqref="A610">
    <cfRule type="duplicateValues" dxfId="1877" priority="1925"/>
  </conditionalFormatting>
  <conditionalFormatting sqref="A610">
    <cfRule type="duplicateValues" dxfId="1876" priority="1924"/>
  </conditionalFormatting>
  <conditionalFormatting sqref="A610">
    <cfRule type="duplicateValues" dxfId="1875" priority="1923"/>
  </conditionalFormatting>
  <conditionalFormatting sqref="A610">
    <cfRule type="duplicateValues" dxfId="1874" priority="1922"/>
  </conditionalFormatting>
  <conditionalFormatting sqref="A610">
    <cfRule type="duplicateValues" dxfId="1873" priority="1921"/>
  </conditionalFormatting>
  <conditionalFormatting sqref="A610">
    <cfRule type="duplicateValues" dxfId="1872" priority="1920"/>
  </conditionalFormatting>
  <conditionalFormatting sqref="A610">
    <cfRule type="duplicateValues" dxfId="1871" priority="1919"/>
  </conditionalFormatting>
  <conditionalFormatting sqref="A610">
    <cfRule type="duplicateValues" dxfId="1870" priority="1918"/>
  </conditionalFormatting>
  <conditionalFormatting sqref="A610">
    <cfRule type="duplicateValues" dxfId="1869" priority="1917"/>
  </conditionalFormatting>
  <conditionalFormatting sqref="A610">
    <cfRule type="duplicateValues" dxfId="1868" priority="1916"/>
  </conditionalFormatting>
  <conditionalFormatting sqref="A610">
    <cfRule type="duplicateValues" dxfId="1867" priority="1915"/>
  </conditionalFormatting>
  <conditionalFormatting sqref="A610">
    <cfRule type="duplicateValues" dxfId="1866" priority="1914"/>
  </conditionalFormatting>
  <conditionalFormatting sqref="A610">
    <cfRule type="duplicateValues" dxfId="1865" priority="1913"/>
  </conditionalFormatting>
  <conditionalFormatting sqref="A610">
    <cfRule type="duplicateValues" dxfId="1864" priority="1912"/>
  </conditionalFormatting>
  <conditionalFormatting sqref="A610">
    <cfRule type="duplicateValues" dxfId="1863" priority="1911"/>
  </conditionalFormatting>
  <conditionalFormatting sqref="A610">
    <cfRule type="duplicateValues" dxfId="1862" priority="1910"/>
  </conditionalFormatting>
  <conditionalFormatting sqref="A610">
    <cfRule type="duplicateValues" dxfId="1861" priority="1909"/>
  </conditionalFormatting>
  <conditionalFormatting sqref="A610">
    <cfRule type="duplicateValues" dxfId="1860" priority="1908"/>
  </conditionalFormatting>
  <conditionalFormatting sqref="A610">
    <cfRule type="expression" dxfId="1859" priority="1907">
      <formula>$AV610="POSITIF"</formula>
    </cfRule>
  </conditionalFormatting>
  <conditionalFormatting sqref="A610">
    <cfRule type="duplicateValues" dxfId="1858" priority="1906"/>
  </conditionalFormatting>
  <conditionalFormatting sqref="A610">
    <cfRule type="expression" dxfId="1857" priority="1905">
      <formula>$AV610="POSITIF"</formula>
    </cfRule>
  </conditionalFormatting>
  <conditionalFormatting sqref="A610">
    <cfRule type="duplicateValues" dxfId="1856" priority="1904"/>
  </conditionalFormatting>
  <conditionalFormatting sqref="A610">
    <cfRule type="duplicateValues" dxfId="1855" priority="1936"/>
  </conditionalFormatting>
  <conditionalFormatting sqref="A610">
    <cfRule type="duplicateValues" dxfId="1854" priority="1937"/>
  </conditionalFormatting>
  <conditionalFormatting sqref="A610">
    <cfRule type="expression" dxfId="1853" priority="1902">
      <formula>$AV610="POSITIF"</formula>
    </cfRule>
  </conditionalFormatting>
  <conditionalFormatting sqref="A610">
    <cfRule type="expression" dxfId="1852" priority="1901">
      <formula>$AV610="POSITIF"</formula>
    </cfRule>
  </conditionalFormatting>
  <conditionalFormatting sqref="A610">
    <cfRule type="expression" dxfId="1851" priority="1900">
      <formula>$AV610="POSITIF"</formula>
    </cfRule>
  </conditionalFormatting>
  <conditionalFormatting sqref="A610">
    <cfRule type="expression" dxfId="1850" priority="1899">
      <formula>$AV610="POSITIF"</formula>
    </cfRule>
  </conditionalFormatting>
  <conditionalFormatting sqref="A612">
    <cfRule type="expression" dxfId="1849" priority="1869">
      <formula>$AV612="POSITIF"</formula>
    </cfRule>
  </conditionalFormatting>
  <conditionalFormatting sqref="A612">
    <cfRule type="duplicateValues" dxfId="1848" priority="1897"/>
  </conditionalFormatting>
  <conditionalFormatting sqref="A612">
    <cfRule type="duplicateValues" dxfId="1847" priority="1896"/>
  </conditionalFormatting>
  <conditionalFormatting sqref="A612">
    <cfRule type="duplicateValues" dxfId="1846" priority="1895"/>
  </conditionalFormatting>
  <conditionalFormatting sqref="A612">
    <cfRule type="duplicateValues" dxfId="1845" priority="1894"/>
  </conditionalFormatting>
  <conditionalFormatting sqref="A612">
    <cfRule type="duplicateValues" dxfId="1844" priority="1893"/>
  </conditionalFormatting>
  <conditionalFormatting sqref="A612">
    <cfRule type="duplicateValues" dxfId="1843" priority="1892"/>
  </conditionalFormatting>
  <conditionalFormatting sqref="A612">
    <cfRule type="duplicateValues" dxfId="1842" priority="1891"/>
  </conditionalFormatting>
  <conditionalFormatting sqref="A612">
    <cfRule type="duplicateValues" dxfId="1841" priority="1890"/>
  </conditionalFormatting>
  <conditionalFormatting sqref="A612">
    <cfRule type="duplicateValues" dxfId="1840" priority="1889"/>
  </conditionalFormatting>
  <conditionalFormatting sqref="A612">
    <cfRule type="duplicateValues" dxfId="1839" priority="1888"/>
  </conditionalFormatting>
  <conditionalFormatting sqref="A612">
    <cfRule type="duplicateValues" dxfId="1838" priority="1887"/>
  </conditionalFormatting>
  <conditionalFormatting sqref="A612">
    <cfRule type="duplicateValues" dxfId="1837" priority="1886"/>
  </conditionalFormatting>
  <conditionalFormatting sqref="A612">
    <cfRule type="duplicateValues" dxfId="1836" priority="1885"/>
  </conditionalFormatting>
  <conditionalFormatting sqref="A612">
    <cfRule type="duplicateValues" dxfId="1835" priority="1884"/>
  </conditionalFormatting>
  <conditionalFormatting sqref="A612">
    <cfRule type="duplicateValues" dxfId="1834" priority="1883"/>
  </conditionalFormatting>
  <conditionalFormatting sqref="A612">
    <cfRule type="duplicateValues" dxfId="1833" priority="1882"/>
  </conditionalFormatting>
  <conditionalFormatting sqref="A612">
    <cfRule type="duplicateValues" dxfId="1832" priority="1881"/>
  </conditionalFormatting>
  <conditionalFormatting sqref="A612">
    <cfRule type="duplicateValues" dxfId="1831" priority="1880"/>
  </conditionalFormatting>
  <conditionalFormatting sqref="A612">
    <cfRule type="duplicateValues" dxfId="1830" priority="1879"/>
  </conditionalFormatting>
  <conditionalFormatting sqref="A612">
    <cfRule type="duplicateValues" dxfId="1829" priority="1878"/>
  </conditionalFormatting>
  <conditionalFormatting sqref="A612">
    <cfRule type="duplicateValues" dxfId="1828" priority="1877"/>
  </conditionalFormatting>
  <conditionalFormatting sqref="A612">
    <cfRule type="duplicateValues" dxfId="1827" priority="1876"/>
  </conditionalFormatting>
  <conditionalFormatting sqref="A612">
    <cfRule type="duplicateValues" dxfId="1826" priority="1875"/>
  </conditionalFormatting>
  <conditionalFormatting sqref="A612">
    <cfRule type="duplicateValues" dxfId="1825" priority="1874"/>
  </conditionalFormatting>
  <conditionalFormatting sqref="A612">
    <cfRule type="duplicateValues" dxfId="1824" priority="1873"/>
  </conditionalFormatting>
  <conditionalFormatting sqref="A612">
    <cfRule type="duplicateValues" dxfId="1823" priority="1872"/>
  </conditionalFormatting>
  <conditionalFormatting sqref="A612">
    <cfRule type="duplicateValues" dxfId="1822" priority="1871"/>
  </conditionalFormatting>
  <conditionalFormatting sqref="A612">
    <cfRule type="duplicateValues" dxfId="1821" priority="1870"/>
  </conditionalFormatting>
  <conditionalFormatting sqref="A612">
    <cfRule type="duplicateValues" dxfId="1820" priority="1898"/>
  </conditionalFormatting>
  <conditionalFormatting sqref="A612">
    <cfRule type="expression" dxfId="1819" priority="1868">
      <formula>$AV612="POSITIF"</formula>
    </cfRule>
  </conditionalFormatting>
  <conditionalFormatting sqref="A612">
    <cfRule type="expression" dxfId="1818" priority="1867">
      <formula>$AV612="POSITIF"</formula>
    </cfRule>
  </conditionalFormatting>
  <conditionalFormatting sqref="A612">
    <cfRule type="expression" dxfId="1817" priority="1866">
      <formula>$AV612="POSITIF"</formula>
    </cfRule>
  </conditionalFormatting>
  <conditionalFormatting sqref="A612">
    <cfRule type="expression" dxfId="1816" priority="1865">
      <formula>$AV612="POSITIF"</formula>
    </cfRule>
  </conditionalFormatting>
  <conditionalFormatting sqref="A609">
    <cfRule type="expression" dxfId="1815" priority="1832">
      <formula>$AV609="POSITIF"</formula>
    </cfRule>
  </conditionalFormatting>
  <conditionalFormatting sqref="A609">
    <cfRule type="duplicateValues" dxfId="1814" priority="1860"/>
  </conditionalFormatting>
  <conditionalFormatting sqref="A609">
    <cfRule type="duplicateValues" dxfId="1813" priority="1859"/>
  </conditionalFormatting>
  <conditionalFormatting sqref="A609">
    <cfRule type="duplicateValues" dxfId="1812" priority="1858"/>
  </conditionalFormatting>
  <conditionalFormatting sqref="A609">
    <cfRule type="duplicateValues" dxfId="1811" priority="1857"/>
  </conditionalFormatting>
  <conditionalFormatting sqref="A609">
    <cfRule type="duplicateValues" dxfId="1810" priority="1856"/>
  </conditionalFormatting>
  <conditionalFormatting sqref="A609">
    <cfRule type="duplicateValues" dxfId="1809" priority="1855"/>
  </conditionalFormatting>
  <conditionalFormatting sqref="A609">
    <cfRule type="duplicateValues" dxfId="1808" priority="1854"/>
  </conditionalFormatting>
  <conditionalFormatting sqref="A609">
    <cfRule type="duplicateValues" dxfId="1807" priority="1853"/>
  </conditionalFormatting>
  <conditionalFormatting sqref="A609">
    <cfRule type="duplicateValues" dxfId="1806" priority="1852"/>
  </conditionalFormatting>
  <conditionalFormatting sqref="A609">
    <cfRule type="duplicateValues" dxfId="1805" priority="1851"/>
  </conditionalFormatting>
  <conditionalFormatting sqref="A609">
    <cfRule type="duplicateValues" dxfId="1804" priority="1850"/>
  </conditionalFormatting>
  <conditionalFormatting sqref="A609">
    <cfRule type="duplicateValues" dxfId="1803" priority="1849"/>
  </conditionalFormatting>
  <conditionalFormatting sqref="A609">
    <cfRule type="duplicateValues" dxfId="1802" priority="1848"/>
  </conditionalFormatting>
  <conditionalFormatting sqref="A609">
    <cfRule type="duplicateValues" dxfId="1801" priority="1847"/>
  </conditionalFormatting>
  <conditionalFormatting sqref="A609">
    <cfRule type="duplicateValues" dxfId="1800" priority="1846"/>
  </conditionalFormatting>
  <conditionalFormatting sqref="A609">
    <cfRule type="duplicateValues" dxfId="1799" priority="1845"/>
  </conditionalFormatting>
  <conditionalFormatting sqref="A609">
    <cfRule type="duplicateValues" dxfId="1798" priority="1844"/>
  </conditionalFormatting>
  <conditionalFormatting sqref="A609">
    <cfRule type="duplicateValues" dxfId="1797" priority="1843"/>
  </conditionalFormatting>
  <conditionalFormatting sqref="A609">
    <cfRule type="duplicateValues" dxfId="1796" priority="1842"/>
  </conditionalFormatting>
  <conditionalFormatting sqref="A609">
    <cfRule type="duplicateValues" dxfId="1795" priority="1841"/>
  </conditionalFormatting>
  <conditionalFormatting sqref="A609">
    <cfRule type="duplicateValues" dxfId="1794" priority="1840"/>
  </conditionalFormatting>
  <conditionalFormatting sqref="A609">
    <cfRule type="duplicateValues" dxfId="1793" priority="1839"/>
  </conditionalFormatting>
  <conditionalFormatting sqref="A609">
    <cfRule type="duplicateValues" dxfId="1792" priority="1838"/>
  </conditionalFormatting>
  <conditionalFormatting sqref="A609">
    <cfRule type="duplicateValues" dxfId="1791" priority="1837"/>
  </conditionalFormatting>
  <conditionalFormatting sqref="A609">
    <cfRule type="duplicateValues" dxfId="1790" priority="1836"/>
  </conditionalFormatting>
  <conditionalFormatting sqref="A609">
    <cfRule type="duplicateValues" dxfId="1789" priority="1835"/>
  </conditionalFormatting>
  <conditionalFormatting sqref="A609">
    <cfRule type="duplicateValues" dxfId="1788" priority="1834"/>
  </conditionalFormatting>
  <conditionalFormatting sqref="A609">
    <cfRule type="duplicateValues" dxfId="1787" priority="1833"/>
  </conditionalFormatting>
  <conditionalFormatting sqref="A609">
    <cfRule type="duplicateValues" dxfId="1786" priority="1861"/>
  </conditionalFormatting>
  <conditionalFormatting sqref="A609">
    <cfRule type="duplicateValues" dxfId="1785" priority="1862"/>
  </conditionalFormatting>
  <conditionalFormatting sqref="A609">
    <cfRule type="duplicateValues" dxfId="1784" priority="1863"/>
  </conditionalFormatting>
  <conditionalFormatting sqref="A609">
    <cfRule type="duplicateValues" dxfId="1783" priority="1864"/>
  </conditionalFormatting>
  <conditionalFormatting sqref="A609">
    <cfRule type="expression" dxfId="1782" priority="1831">
      <formula>$AV609="POSITIF"</formula>
    </cfRule>
  </conditionalFormatting>
  <conditionalFormatting sqref="A609">
    <cfRule type="expression" dxfId="1781" priority="1830">
      <formula>$AV609="POSITIF"</formula>
    </cfRule>
  </conditionalFormatting>
  <conditionalFormatting sqref="A609">
    <cfRule type="expression" dxfId="1780" priority="1829">
      <formula>$AV609="POSITIF"</formula>
    </cfRule>
  </conditionalFormatting>
  <conditionalFormatting sqref="A609">
    <cfRule type="expression" dxfId="1779" priority="1828">
      <formula>$AV609="POSITIF"</formula>
    </cfRule>
  </conditionalFormatting>
  <conditionalFormatting sqref="A613">
    <cfRule type="expression" dxfId="1778" priority="1795">
      <formula>$AV613="POSITIF"</formula>
    </cfRule>
  </conditionalFormatting>
  <conditionalFormatting sqref="A613">
    <cfRule type="duplicateValues" dxfId="1777" priority="1823"/>
  </conditionalFormatting>
  <conditionalFormatting sqref="A613">
    <cfRule type="duplicateValues" dxfId="1776" priority="1822"/>
  </conditionalFormatting>
  <conditionalFormatting sqref="A613">
    <cfRule type="duplicateValues" dxfId="1775" priority="1821"/>
  </conditionalFormatting>
  <conditionalFormatting sqref="A613">
    <cfRule type="duplicateValues" dxfId="1774" priority="1820"/>
  </conditionalFormatting>
  <conditionalFormatting sqref="A613">
    <cfRule type="duplicateValues" dxfId="1773" priority="1819"/>
  </conditionalFormatting>
  <conditionalFormatting sqref="A613">
    <cfRule type="duplicateValues" dxfId="1772" priority="1818"/>
  </conditionalFormatting>
  <conditionalFormatting sqref="A613">
    <cfRule type="duplicateValues" dxfId="1771" priority="1817"/>
  </conditionalFormatting>
  <conditionalFormatting sqref="A613">
    <cfRule type="duplicateValues" dxfId="1770" priority="1816"/>
  </conditionalFormatting>
  <conditionalFormatting sqref="A613">
    <cfRule type="duplicateValues" dxfId="1769" priority="1815"/>
  </conditionalFormatting>
  <conditionalFormatting sqref="A613">
    <cfRule type="duplicateValues" dxfId="1768" priority="1814"/>
  </conditionalFormatting>
  <conditionalFormatting sqref="A613">
    <cfRule type="duplicateValues" dxfId="1767" priority="1813"/>
  </conditionalFormatting>
  <conditionalFormatting sqref="A613">
    <cfRule type="duplicateValues" dxfId="1766" priority="1812"/>
  </conditionalFormatting>
  <conditionalFormatting sqref="A613">
    <cfRule type="duplicateValues" dxfId="1765" priority="1811"/>
  </conditionalFormatting>
  <conditionalFormatting sqref="A613">
    <cfRule type="duplicateValues" dxfId="1764" priority="1810"/>
  </conditionalFormatting>
  <conditionalFormatting sqref="A613">
    <cfRule type="duplicateValues" dxfId="1763" priority="1809"/>
  </conditionalFormatting>
  <conditionalFormatting sqref="A613">
    <cfRule type="duplicateValues" dxfId="1762" priority="1808"/>
  </conditionalFormatting>
  <conditionalFormatting sqref="A613">
    <cfRule type="duplicateValues" dxfId="1761" priority="1807"/>
  </conditionalFormatting>
  <conditionalFormatting sqref="A613">
    <cfRule type="duplicateValues" dxfId="1760" priority="1806"/>
  </conditionalFormatting>
  <conditionalFormatting sqref="A613">
    <cfRule type="duplicateValues" dxfId="1759" priority="1805"/>
  </conditionalFormatting>
  <conditionalFormatting sqref="A613">
    <cfRule type="duplicateValues" dxfId="1758" priority="1804"/>
  </conditionalFormatting>
  <conditionalFormatting sqref="A613">
    <cfRule type="duplicateValues" dxfId="1757" priority="1803"/>
  </conditionalFormatting>
  <conditionalFormatting sqref="A613">
    <cfRule type="duplicateValues" dxfId="1756" priority="1802"/>
  </conditionalFormatting>
  <conditionalFormatting sqref="A613">
    <cfRule type="duplicateValues" dxfId="1755" priority="1801"/>
  </conditionalFormatting>
  <conditionalFormatting sqref="A613">
    <cfRule type="duplicateValues" dxfId="1754" priority="1800"/>
  </conditionalFormatting>
  <conditionalFormatting sqref="A613">
    <cfRule type="duplicateValues" dxfId="1753" priority="1799"/>
  </conditionalFormatting>
  <conditionalFormatting sqref="A613">
    <cfRule type="duplicateValues" dxfId="1752" priority="1798"/>
  </conditionalFormatting>
  <conditionalFormatting sqref="A613">
    <cfRule type="duplicateValues" dxfId="1751" priority="1797"/>
  </conditionalFormatting>
  <conditionalFormatting sqref="A613">
    <cfRule type="duplicateValues" dxfId="1750" priority="1796"/>
  </conditionalFormatting>
  <conditionalFormatting sqref="A613">
    <cfRule type="duplicateValues" dxfId="1749" priority="1824"/>
  </conditionalFormatting>
  <conditionalFormatting sqref="A613">
    <cfRule type="duplicateValues" dxfId="1748" priority="1825"/>
  </conditionalFormatting>
  <conditionalFormatting sqref="A613">
    <cfRule type="duplicateValues" dxfId="1747" priority="1826"/>
  </conditionalFormatting>
  <conditionalFormatting sqref="A613">
    <cfRule type="duplicateValues" dxfId="1746" priority="1827"/>
  </conditionalFormatting>
  <conditionalFormatting sqref="A613">
    <cfRule type="expression" dxfId="1745" priority="1794">
      <formula>$AV613="POSITIF"</formula>
    </cfRule>
  </conditionalFormatting>
  <conditionalFormatting sqref="A613">
    <cfRule type="expression" dxfId="1744" priority="1793">
      <formula>$AV613="POSITIF"</formula>
    </cfRule>
  </conditionalFormatting>
  <conditionalFormatting sqref="A613">
    <cfRule type="expression" dxfId="1743" priority="1792">
      <formula>$AV613="POSITIF"</formula>
    </cfRule>
  </conditionalFormatting>
  <conditionalFormatting sqref="A613">
    <cfRule type="expression" dxfId="1742" priority="1791">
      <formula>$AV613="POSITIF"</formula>
    </cfRule>
  </conditionalFormatting>
  <conditionalFormatting sqref="A614">
    <cfRule type="expression" dxfId="1741" priority="1742">
      <formula>$AV615="POSITIF"</formula>
    </cfRule>
  </conditionalFormatting>
  <conditionalFormatting sqref="A614">
    <cfRule type="duplicateValues" dxfId="1740" priority="1786"/>
  </conditionalFormatting>
  <conditionalFormatting sqref="A614">
    <cfRule type="duplicateValues" dxfId="1739" priority="1785"/>
  </conditionalFormatting>
  <conditionalFormatting sqref="A614">
    <cfRule type="duplicateValues" dxfId="1738" priority="1784"/>
  </conditionalFormatting>
  <conditionalFormatting sqref="A614">
    <cfRule type="duplicateValues" dxfId="1737" priority="1783"/>
  </conditionalFormatting>
  <conditionalFormatting sqref="A614">
    <cfRule type="duplicateValues" dxfId="1736" priority="1782"/>
  </conditionalFormatting>
  <conditionalFormatting sqref="A614">
    <cfRule type="duplicateValues" dxfId="1735" priority="1781"/>
  </conditionalFormatting>
  <conditionalFormatting sqref="A614">
    <cfRule type="duplicateValues" dxfId="1734" priority="1780"/>
  </conditionalFormatting>
  <conditionalFormatting sqref="A614">
    <cfRule type="duplicateValues" dxfId="1733" priority="1779"/>
  </conditionalFormatting>
  <conditionalFormatting sqref="A614">
    <cfRule type="duplicateValues" dxfId="1732" priority="1778"/>
  </conditionalFormatting>
  <conditionalFormatting sqref="A614">
    <cfRule type="duplicateValues" dxfId="1731" priority="1777"/>
  </conditionalFormatting>
  <conditionalFormatting sqref="A614">
    <cfRule type="duplicateValues" dxfId="1730" priority="1776"/>
  </conditionalFormatting>
  <conditionalFormatting sqref="A614">
    <cfRule type="duplicateValues" dxfId="1729" priority="1775"/>
  </conditionalFormatting>
  <conditionalFormatting sqref="A614">
    <cfRule type="duplicateValues" dxfId="1728" priority="1774"/>
  </conditionalFormatting>
  <conditionalFormatting sqref="A614">
    <cfRule type="duplicateValues" dxfId="1727" priority="1773"/>
  </conditionalFormatting>
  <conditionalFormatting sqref="A614">
    <cfRule type="duplicateValues" dxfId="1726" priority="1772"/>
  </conditionalFormatting>
  <conditionalFormatting sqref="A614">
    <cfRule type="duplicateValues" dxfId="1725" priority="1771"/>
  </conditionalFormatting>
  <conditionalFormatting sqref="A614">
    <cfRule type="duplicateValues" dxfId="1724" priority="1770"/>
  </conditionalFormatting>
  <conditionalFormatting sqref="A614">
    <cfRule type="duplicateValues" dxfId="1723" priority="1769"/>
  </conditionalFormatting>
  <conditionalFormatting sqref="A614">
    <cfRule type="duplicateValues" dxfId="1722" priority="1768"/>
  </conditionalFormatting>
  <conditionalFormatting sqref="A614">
    <cfRule type="duplicateValues" dxfId="1721" priority="1767"/>
  </conditionalFormatting>
  <conditionalFormatting sqref="A614">
    <cfRule type="duplicateValues" dxfId="1720" priority="1766"/>
  </conditionalFormatting>
  <conditionalFormatting sqref="A614">
    <cfRule type="duplicateValues" dxfId="1719" priority="1765"/>
  </conditionalFormatting>
  <conditionalFormatting sqref="A614">
    <cfRule type="duplicateValues" dxfId="1718" priority="1764"/>
  </conditionalFormatting>
  <conditionalFormatting sqref="A614">
    <cfRule type="duplicateValues" dxfId="1717" priority="1763"/>
  </conditionalFormatting>
  <conditionalFormatting sqref="A614">
    <cfRule type="duplicateValues" dxfId="1716" priority="1762"/>
  </conditionalFormatting>
  <conditionalFormatting sqref="A614">
    <cfRule type="duplicateValues" dxfId="1715" priority="1761"/>
  </conditionalFormatting>
  <conditionalFormatting sqref="A614">
    <cfRule type="duplicateValues" dxfId="1714" priority="1760"/>
  </conditionalFormatting>
  <conditionalFormatting sqref="A614">
    <cfRule type="duplicateValues" dxfId="1713" priority="1759"/>
  </conditionalFormatting>
  <conditionalFormatting sqref="A614">
    <cfRule type="duplicateValues" dxfId="1712" priority="1758"/>
  </conditionalFormatting>
  <conditionalFormatting sqref="A614">
    <cfRule type="duplicateValues" dxfId="1711" priority="1757"/>
  </conditionalFormatting>
  <conditionalFormatting sqref="A614">
    <cfRule type="duplicateValues" dxfId="1710" priority="1756"/>
  </conditionalFormatting>
  <conditionalFormatting sqref="A614">
    <cfRule type="duplicateValues" dxfId="1709" priority="1755"/>
  </conditionalFormatting>
  <conditionalFormatting sqref="A614">
    <cfRule type="duplicateValues" dxfId="1708" priority="1754"/>
  </conditionalFormatting>
  <conditionalFormatting sqref="A614">
    <cfRule type="duplicateValues" dxfId="1707" priority="1753"/>
  </conditionalFormatting>
  <conditionalFormatting sqref="A614">
    <cfRule type="duplicateValues" dxfId="1706" priority="1752"/>
  </conditionalFormatting>
  <conditionalFormatting sqref="A614">
    <cfRule type="duplicateValues" dxfId="1705" priority="1751"/>
  </conditionalFormatting>
  <conditionalFormatting sqref="A614">
    <cfRule type="duplicateValues" dxfId="1704" priority="1750"/>
  </conditionalFormatting>
  <conditionalFormatting sqref="A614">
    <cfRule type="duplicateValues" dxfId="1703" priority="1749"/>
  </conditionalFormatting>
  <conditionalFormatting sqref="A614">
    <cfRule type="duplicateValues" dxfId="1702" priority="1748"/>
  </conditionalFormatting>
  <conditionalFormatting sqref="A614">
    <cfRule type="duplicateValues" dxfId="1701" priority="1747"/>
  </conditionalFormatting>
  <conditionalFormatting sqref="A614">
    <cfRule type="duplicateValues" dxfId="1700" priority="1746"/>
  </conditionalFormatting>
  <conditionalFormatting sqref="A614">
    <cfRule type="duplicateValues" dxfId="1699" priority="1745"/>
  </conditionalFormatting>
  <conditionalFormatting sqref="A614">
    <cfRule type="duplicateValues" dxfId="1698" priority="1744"/>
  </conditionalFormatting>
  <conditionalFormatting sqref="A614">
    <cfRule type="duplicateValues" dxfId="1697" priority="1743"/>
  </conditionalFormatting>
  <conditionalFormatting sqref="A614">
    <cfRule type="duplicateValues" dxfId="1696" priority="1787"/>
  </conditionalFormatting>
  <conditionalFormatting sqref="A614">
    <cfRule type="duplicateValues" dxfId="1695" priority="1788"/>
  </conditionalFormatting>
  <conditionalFormatting sqref="A614">
    <cfRule type="duplicateValues" dxfId="1694" priority="1789"/>
  </conditionalFormatting>
  <conditionalFormatting sqref="A614">
    <cfRule type="duplicateValues" dxfId="1693" priority="1790"/>
  </conditionalFormatting>
  <conditionalFormatting sqref="A614">
    <cfRule type="expression" dxfId="1692" priority="1741">
      <formula>$AV615="POSITIF"</formula>
    </cfRule>
  </conditionalFormatting>
  <conditionalFormatting sqref="A614">
    <cfRule type="expression" dxfId="1691" priority="1740">
      <formula>$AV615="POSITIF"</formula>
    </cfRule>
  </conditionalFormatting>
  <conditionalFormatting sqref="A614">
    <cfRule type="expression" dxfId="1690" priority="1739">
      <formula>$AV615="POSITIF"</formula>
    </cfRule>
  </conditionalFormatting>
  <conditionalFormatting sqref="A614">
    <cfRule type="expression" dxfId="1689" priority="1738">
      <formula>$AV615="POSITIF"</formula>
    </cfRule>
  </conditionalFormatting>
  <conditionalFormatting sqref="A615">
    <cfRule type="expression" dxfId="1688" priority="1705">
      <formula>$AV615="POSITIF"</formula>
    </cfRule>
  </conditionalFormatting>
  <conditionalFormatting sqref="A615">
    <cfRule type="duplicateValues" dxfId="1687" priority="1733"/>
  </conditionalFormatting>
  <conditionalFormatting sqref="A615">
    <cfRule type="duplicateValues" dxfId="1686" priority="1732"/>
  </conditionalFormatting>
  <conditionalFormatting sqref="A615">
    <cfRule type="duplicateValues" dxfId="1685" priority="1731"/>
  </conditionalFormatting>
  <conditionalFormatting sqref="A615">
    <cfRule type="duplicateValues" dxfId="1684" priority="1730"/>
  </conditionalFormatting>
  <conditionalFormatting sqref="A615">
    <cfRule type="duplicateValues" dxfId="1683" priority="1729"/>
  </conditionalFormatting>
  <conditionalFormatting sqref="A615">
    <cfRule type="duplicateValues" dxfId="1682" priority="1728"/>
  </conditionalFormatting>
  <conditionalFormatting sqref="A615">
    <cfRule type="duplicateValues" dxfId="1681" priority="1727"/>
  </conditionalFormatting>
  <conditionalFormatting sqref="A615">
    <cfRule type="duplicateValues" dxfId="1680" priority="1726"/>
  </conditionalFormatting>
  <conditionalFormatting sqref="A615">
    <cfRule type="duplicateValues" dxfId="1679" priority="1725"/>
  </conditionalFormatting>
  <conditionalFormatting sqref="A615">
    <cfRule type="duplicateValues" dxfId="1678" priority="1724"/>
  </conditionalFormatting>
  <conditionalFormatting sqref="A615">
    <cfRule type="duplicateValues" dxfId="1677" priority="1723"/>
  </conditionalFormatting>
  <conditionalFormatting sqref="A615">
    <cfRule type="duplicateValues" dxfId="1676" priority="1722"/>
  </conditionalFormatting>
  <conditionalFormatting sqref="A615">
    <cfRule type="duplicateValues" dxfId="1675" priority="1721"/>
  </conditionalFormatting>
  <conditionalFormatting sqref="A615">
    <cfRule type="duplicateValues" dxfId="1674" priority="1720"/>
  </conditionalFormatting>
  <conditionalFormatting sqref="A615">
    <cfRule type="duplicateValues" dxfId="1673" priority="1719"/>
  </conditionalFormatting>
  <conditionalFormatting sqref="A615">
    <cfRule type="duplicateValues" dxfId="1672" priority="1718"/>
  </conditionalFormatting>
  <conditionalFormatting sqref="A615">
    <cfRule type="duplicateValues" dxfId="1671" priority="1717"/>
  </conditionalFormatting>
  <conditionalFormatting sqref="A615">
    <cfRule type="duplicateValues" dxfId="1670" priority="1716"/>
  </conditionalFormatting>
  <conditionalFormatting sqref="A615">
    <cfRule type="duplicateValues" dxfId="1669" priority="1715"/>
  </conditionalFormatting>
  <conditionalFormatting sqref="A615">
    <cfRule type="duplicateValues" dxfId="1668" priority="1714"/>
  </conditionalFormatting>
  <conditionalFormatting sqref="A615">
    <cfRule type="duplicateValues" dxfId="1667" priority="1713"/>
  </conditionalFormatting>
  <conditionalFormatting sqref="A615">
    <cfRule type="duplicateValues" dxfId="1666" priority="1712"/>
  </conditionalFormatting>
  <conditionalFormatting sqref="A615">
    <cfRule type="duplicateValues" dxfId="1665" priority="1711"/>
  </conditionalFormatting>
  <conditionalFormatting sqref="A615">
    <cfRule type="duplicateValues" dxfId="1664" priority="1710"/>
  </conditionalFormatting>
  <conditionalFormatting sqref="A615">
    <cfRule type="duplicateValues" dxfId="1663" priority="1709"/>
  </conditionalFormatting>
  <conditionalFormatting sqref="A615">
    <cfRule type="duplicateValues" dxfId="1662" priority="1708"/>
  </conditionalFormatting>
  <conditionalFormatting sqref="A615">
    <cfRule type="duplicateValues" dxfId="1661" priority="1707"/>
  </conditionalFormatting>
  <conditionalFormatting sqref="A615">
    <cfRule type="duplicateValues" dxfId="1660" priority="1706"/>
  </conditionalFormatting>
  <conditionalFormatting sqref="A615">
    <cfRule type="duplicateValues" dxfId="1659" priority="1734"/>
  </conditionalFormatting>
  <conditionalFormatting sqref="A615">
    <cfRule type="duplicateValues" dxfId="1658" priority="1735"/>
  </conditionalFormatting>
  <conditionalFormatting sqref="A615">
    <cfRule type="duplicateValues" dxfId="1657" priority="1736"/>
  </conditionalFormatting>
  <conditionalFormatting sqref="A615">
    <cfRule type="duplicateValues" dxfId="1656" priority="1737"/>
  </conditionalFormatting>
  <conditionalFormatting sqref="A615">
    <cfRule type="expression" dxfId="1655" priority="1704">
      <formula>$AV615="POSITIF"</formula>
    </cfRule>
  </conditionalFormatting>
  <conditionalFormatting sqref="A615">
    <cfRule type="expression" dxfId="1654" priority="1703">
      <formula>$AV615="POSITIF"</formula>
    </cfRule>
  </conditionalFormatting>
  <conditionalFormatting sqref="A615">
    <cfRule type="expression" dxfId="1653" priority="1702">
      <formula>$AV615="POSITIF"</formula>
    </cfRule>
  </conditionalFormatting>
  <conditionalFormatting sqref="A615">
    <cfRule type="expression" dxfId="1652" priority="1701">
      <formula>$AV615="POSITIF"</formula>
    </cfRule>
  </conditionalFormatting>
  <conditionalFormatting sqref="A616">
    <cfRule type="expression" dxfId="1651" priority="1668">
      <formula>$AV616="POSITIF"</formula>
    </cfRule>
  </conditionalFormatting>
  <conditionalFormatting sqref="A616">
    <cfRule type="duplicateValues" dxfId="1650" priority="1697"/>
  </conditionalFormatting>
  <conditionalFormatting sqref="A616">
    <cfRule type="duplicateValues" dxfId="1649" priority="1696"/>
  </conditionalFormatting>
  <conditionalFormatting sqref="A616">
    <cfRule type="duplicateValues" dxfId="1648" priority="1695"/>
  </conditionalFormatting>
  <conditionalFormatting sqref="A616">
    <cfRule type="duplicateValues" dxfId="1647" priority="1694"/>
  </conditionalFormatting>
  <conditionalFormatting sqref="A616">
    <cfRule type="duplicateValues" dxfId="1646" priority="1693"/>
  </conditionalFormatting>
  <conditionalFormatting sqref="A616">
    <cfRule type="duplicateValues" dxfId="1645" priority="1692"/>
  </conditionalFormatting>
  <conditionalFormatting sqref="A616">
    <cfRule type="duplicateValues" dxfId="1644" priority="1691"/>
  </conditionalFormatting>
  <conditionalFormatting sqref="A616">
    <cfRule type="duplicateValues" dxfId="1643" priority="1690"/>
  </conditionalFormatting>
  <conditionalFormatting sqref="A616">
    <cfRule type="duplicateValues" dxfId="1642" priority="1689"/>
  </conditionalFormatting>
  <conditionalFormatting sqref="A616">
    <cfRule type="duplicateValues" dxfId="1641" priority="1688"/>
  </conditionalFormatting>
  <conditionalFormatting sqref="A616">
    <cfRule type="duplicateValues" dxfId="1640" priority="1687"/>
  </conditionalFormatting>
  <conditionalFormatting sqref="A616">
    <cfRule type="duplicateValues" dxfId="1639" priority="1686"/>
  </conditionalFormatting>
  <conditionalFormatting sqref="A616">
    <cfRule type="duplicateValues" dxfId="1638" priority="1685"/>
  </conditionalFormatting>
  <conditionalFormatting sqref="A616">
    <cfRule type="duplicateValues" dxfId="1637" priority="1684"/>
  </conditionalFormatting>
  <conditionalFormatting sqref="A616">
    <cfRule type="duplicateValues" dxfId="1636" priority="1683"/>
  </conditionalFormatting>
  <conditionalFormatting sqref="A616">
    <cfRule type="duplicateValues" dxfId="1635" priority="1682"/>
  </conditionalFormatting>
  <conditionalFormatting sqref="A616">
    <cfRule type="duplicateValues" dxfId="1634" priority="1681"/>
  </conditionalFormatting>
  <conditionalFormatting sqref="A616">
    <cfRule type="duplicateValues" dxfId="1633" priority="1680"/>
  </conditionalFormatting>
  <conditionalFormatting sqref="A616">
    <cfRule type="duplicateValues" dxfId="1632" priority="1679"/>
  </conditionalFormatting>
  <conditionalFormatting sqref="A616">
    <cfRule type="duplicateValues" dxfId="1631" priority="1678"/>
  </conditionalFormatting>
  <conditionalFormatting sqref="A616">
    <cfRule type="duplicateValues" dxfId="1630" priority="1677"/>
  </conditionalFormatting>
  <conditionalFormatting sqref="A616">
    <cfRule type="duplicateValues" dxfId="1629" priority="1676"/>
  </conditionalFormatting>
  <conditionalFormatting sqref="A616">
    <cfRule type="duplicateValues" dxfId="1628" priority="1675"/>
  </conditionalFormatting>
  <conditionalFormatting sqref="A616">
    <cfRule type="duplicateValues" dxfId="1627" priority="1674"/>
  </conditionalFormatting>
  <conditionalFormatting sqref="A616">
    <cfRule type="duplicateValues" dxfId="1626" priority="1673"/>
  </conditionalFormatting>
  <conditionalFormatting sqref="A616">
    <cfRule type="duplicateValues" dxfId="1625" priority="1672"/>
  </conditionalFormatting>
  <conditionalFormatting sqref="A616">
    <cfRule type="duplicateValues" dxfId="1624" priority="1671"/>
  </conditionalFormatting>
  <conditionalFormatting sqref="A616">
    <cfRule type="duplicateValues" dxfId="1623" priority="1670"/>
  </conditionalFormatting>
  <conditionalFormatting sqref="A616">
    <cfRule type="duplicateValues" dxfId="1622" priority="1669"/>
  </conditionalFormatting>
  <conditionalFormatting sqref="A616">
    <cfRule type="duplicateValues" dxfId="1621" priority="1698"/>
  </conditionalFormatting>
  <conditionalFormatting sqref="A616">
    <cfRule type="duplicateValues" dxfId="1620" priority="1699"/>
  </conditionalFormatting>
  <conditionalFormatting sqref="A616">
    <cfRule type="duplicateValues" dxfId="1619" priority="1700"/>
  </conditionalFormatting>
  <conditionalFormatting sqref="A616">
    <cfRule type="expression" dxfId="1618" priority="1667">
      <formula>$AV616="POSITIF"</formula>
    </cfRule>
  </conditionalFormatting>
  <conditionalFormatting sqref="A616">
    <cfRule type="expression" dxfId="1617" priority="1666">
      <formula>$AV616="POSITIF"</formula>
    </cfRule>
  </conditionalFormatting>
  <conditionalFormatting sqref="A616">
    <cfRule type="expression" dxfId="1616" priority="1665">
      <formula>$AV616="POSITIF"</formula>
    </cfRule>
  </conditionalFormatting>
  <conditionalFormatting sqref="A616">
    <cfRule type="expression" dxfId="1615" priority="1664">
      <formula>$AV616="POSITIF"</formula>
    </cfRule>
  </conditionalFormatting>
  <conditionalFormatting sqref="BD617">
    <cfRule type="expression" dxfId="1614" priority="1662">
      <formula>$AV617="POSITIF"</formula>
    </cfRule>
  </conditionalFormatting>
  <conditionalFormatting sqref="BD618">
    <cfRule type="expression" dxfId="1613" priority="1661">
      <formula>$AV618="POSITIF"</formula>
    </cfRule>
  </conditionalFormatting>
  <conditionalFormatting sqref="BD619">
    <cfRule type="expression" dxfId="1612" priority="1660">
      <formula>$AV619="POSITIF"</formula>
    </cfRule>
  </conditionalFormatting>
  <conditionalFormatting sqref="BD621">
    <cfRule type="expression" dxfId="1611" priority="1659">
      <formula>$AV621="POSITIF"</formula>
    </cfRule>
  </conditionalFormatting>
  <conditionalFormatting sqref="BD622">
    <cfRule type="expression" dxfId="1610" priority="1658">
      <formula>$AV622="POSITIF"</formula>
    </cfRule>
  </conditionalFormatting>
  <conditionalFormatting sqref="BD623">
    <cfRule type="expression" dxfId="1609" priority="1657">
      <formula>$AV623="POSITIF"</formula>
    </cfRule>
  </conditionalFormatting>
  <conditionalFormatting sqref="A617">
    <cfRule type="expression" dxfId="1608" priority="1654">
      <formula>$AV617="POSITIF"</formula>
    </cfRule>
  </conditionalFormatting>
  <conditionalFormatting sqref="A618">
    <cfRule type="expression" dxfId="1607" priority="1653">
      <formula>$AV618="POSITIF"</formula>
    </cfRule>
  </conditionalFormatting>
  <conditionalFormatting sqref="A618">
    <cfRule type="expression" dxfId="1606" priority="1652">
      <formula>$AV618="POSITIF"</formula>
    </cfRule>
  </conditionalFormatting>
  <conditionalFormatting sqref="A618">
    <cfRule type="expression" dxfId="1605" priority="1651">
      <formula>$AV618="POSITIF"</formula>
    </cfRule>
  </conditionalFormatting>
  <conditionalFormatting sqref="A619:A623">
    <cfRule type="expression" dxfId="1604" priority="1618">
      <formula>$AV619="POSITIF"</formula>
    </cfRule>
  </conditionalFormatting>
  <conditionalFormatting sqref="A619:A623">
    <cfRule type="duplicateValues" dxfId="1603" priority="1646"/>
  </conditionalFormatting>
  <conditionalFormatting sqref="A619:A623">
    <cfRule type="duplicateValues" dxfId="1602" priority="1645"/>
  </conditionalFormatting>
  <conditionalFormatting sqref="A619:A623">
    <cfRule type="duplicateValues" dxfId="1601" priority="1644"/>
  </conditionalFormatting>
  <conditionalFormatting sqref="A619:A623">
    <cfRule type="duplicateValues" dxfId="1600" priority="1643"/>
  </conditionalFormatting>
  <conditionalFormatting sqref="A619:A623">
    <cfRule type="duplicateValues" dxfId="1599" priority="1642"/>
  </conditionalFormatting>
  <conditionalFormatting sqref="A619:A623">
    <cfRule type="duplicateValues" dxfId="1598" priority="1641"/>
  </conditionalFormatting>
  <conditionalFormatting sqref="A619:A623">
    <cfRule type="duplicateValues" dxfId="1597" priority="1640"/>
  </conditionalFormatting>
  <conditionalFormatting sqref="A619:A623">
    <cfRule type="duplicateValues" dxfId="1596" priority="1639"/>
  </conditionalFormatting>
  <conditionalFormatting sqref="A619:A623">
    <cfRule type="duplicateValues" dxfId="1595" priority="1638"/>
  </conditionalFormatting>
  <conditionalFormatting sqref="A619:A623">
    <cfRule type="duplicateValues" dxfId="1594" priority="1637"/>
  </conditionalFormatting>
  <conditionalFormatting sqref="A619:A623">
    <cfRule type="duplicateValues" dxfId="1593" priority="1636"/>
  </conditionalFormatting>
  <conditionalFormatting sqref="A619:A623">
    <cfRule type="duplicateValues" dxfId="1592" priority="1635"/>
  </conditionalFormatting>
  <conditionalFormatting sqref="A619:A623">
    <cfRule type="duplicateValues" dxfId="1591" priority="1634"/>
  </conditionalFormatting>
  <conditionalFormatting sqref="A619:A623">
    <cfRule type="duplicateValues" dxfId="1590" priority="1633"/>
  </conditionalFormatting>
  <conditionalFormatting sqref="A619:A623">
    <cfRule type="duplicateValues" dxfId="1589" priority="1632"/>
  </conditionalFormatting>
  <conditionalFormatting sqref="A619:A623">
    <cfRule type="duplicateValues" dxfId="1588" priority="1631"/>
  </conditionalFormatting>
  <conditionalFormatting sqref="A619:A623">
    <cfRule type="duplicateValues" dxfId="1587" priority="1630"/>
  </conditionalFormatting>
  <conditionalFormatting sqref="A619:A623">
    <cfRule type="duplicateValues" dxfId="1586" priority="1629"/>
  </conditionalFormatting>
  <conditionalFormatting sqref="A619:A623">
    <cfRule type="duplicateValues" dxfId="1585" priority="1628"/>
  </conditionalFormatting>
  <conditionalFormatting sqref="A619:A623">
    <cfRule type="duplicateValues" dxfId="1584" priority="1627"/>
  </conditionalFormatting>
  <conditionalFormatting sqref="A619:A623">
    <cfRule type="duplicateValues" dxfId="1583" priority="1626"/>
  </conditionalFormatting>
  <conditionalFormatting sqref="A619:A623">
    <cfRule type="duplicateValues" dxfId="1582" priority="1625"/>
  </conditionalFormatting>
  <conditionalFormatting sqref="A619:A623">
    <cfRule type="duplicateValues" dxfId="1581" priority="1624"/>
  </conditionalFormatting>
  <conditionalFormatting sqref="A619:A623">
    <cfRule type="duplicateValues" dxfId="1580" priority="1623"/>
  </conditionalFormatting>
  <conditionalFormatting sqref="A619:A623">
    <cfRule type="duplicateValues" dxfId="1579" priority="1622"/>
  </conditionalFormatting>
  <conditionalFormatting sqref="A619:A623">
    <cfRule type="duplicateValues" dxfId="1578" priority="1621"/>
  </conditionalFormatting>
  <conditionalFormatting sqref="A619:A623">
    <cfRule type="duplicateValues" dxfId="1577" priority="1620"/>
  </conditionalFormatting>
  <conditionalFormatting sqref="A619:A623">
    <cfRule type="duplicateValues" dxfId="1576" priority="1619"/>
  </conditionalFormatting>
  <conditionalFormatting sqref="A619:A623">
    <cfRule type="duplicateValues" dxfId="1575" priority="1647"/>
  </conditionalFormatting>
  <conditionalFormatting sqref="A619:A623">
    <cfRule type="duplicateValues" dxfId="1574" priority="1648"/>
  </conditionalFormatting>
  <conditionalFormatting sqref="A619:A623">
    <cfRule type="duplicateValues" dxfId="1573" priority="1649"/>
  </conditionalFormatting>
  <conditionalFormatting sqref="A619:A623">
    <cfRule type="duplicateValues" dxfId="1572" priority="1650"/>
  </conditionalFormatting>
  <conditionalFormatting sqref="A619:A623">
    <cfRule type="expression" dxfId="1571" priority="1617">
      <formula>$AV619="POSITIF"</formula>
    </cfRule>
  </conditionalFormatting>
  <conditionalFormatting sqref="A619:A623">
    <cfRule type="expression" dxfId="1570" priority="1616">
      <formula>$AV619="POSITIF"</formula>
    </cfRule>
  </conditionalFormatting>
  <conditionalFormatting sqref="A619:A623">
    <cfRule type="expression" dxfId="1569" priority="1615">
      <formula>$AV619="POSITIF"</formula>
    </cfRule>
  </conditionalFormatting>
  <conditionalFormatting sqref="A619:A623">
    <cfRule type="expression" dxfId="1568" priority="1614">
      <formula>$AV619="POSITIF"</formula>
    </cfRule>
  </conditionalFormatting>
  <conditionalFormatting sqref="A619:A623">
    <cfRule type="expression" dxfId="1567" priority="1613">
      <formula>$AV619="POSITIF"</formula>
    </cfRule>
  </conditionalFormatting>
  <conditionalFormatting sqref="A625">
    <cfRule type="expression" dxfId="1566" priority="1612">
      <formula>$AV625="POSITIF"</formula>
    </cfRule>
  </conditionalFormatting>
  <conditionalFormatting sqref="A625">
    <cfRule type="expression" dxfId="1565" priority="1611">
      <formula>$AV625="POSITIF"</formula>
    </cfRule>
  </conditionalFormatting>
  <conditionalFormatting sqref="A625">
    <cfRule type="expression" dxfId="1564" priority="1579">
      <formula>$AV625="POSITIF"</formula>
    </cfRule>
  </conditionalFormatting>
  <conditionalFormatting sqref="A625">
    <cfRule type="duplicateValues" dxfId="1563" priority="1606"/>
  </conditionalFormatting>
  <conditionalFormatting sqref="A625">
    <cfRule type="duplicateValues" dxfId="1562" priority="1605"/>
  </conditionalFormatting>
  <conditionalFormatting sqref="A625">
    <cfRule type="duplicateValues" dxfId="1561" priority="1604"/>
  </conditionalFormatting>
  <conditionalFormatting sqref="A625">
    <cfRule type="duplicateValues" dxfId="1560" priority="1603"/>
  </conditionalFormatting>
  <conditionalFormatting sqref="A625">
    <cfRule type="duplicateValues" dxfId="1559" priority="1602"/>
  </conditionalFormatting>
  <conditionalFormatting sqref="A625">
    <cfRule type="duplicateValues" dxfId="1558" priority="1601"/>
  </conditionalFormatting>
  <conditionalFormatting sqref="A625">
    <cfRule type="duplicateValues" dxfId="1557" priority="1600"/>
  </conditionalFormatting>
  <conditionalFormatting sqref="A625">
    <cfRule type="duplicateValues" dxfId="1556" priority="1599"/>
  </conditionalFormatting>
  <conditionalFormatting sqref="A625">
    <cfRule type="duplicateValues" dxfId="1555" priority="1598"/>
  </conditionalFormatting>
  <conditionalFormatting sqref="A625">
    <cfRule type="duplicateValues" dxfId="1554" priority="1597"/>
  </conditionalFormatting>
  <conditionalFormatting sqref="A625">
    <cfRule type="duplicateValues" dxfId="1553" priority="1596"/>
  </conditionalFormatting>
  <conditionalFormatting sqref="A625">
    <cfRule type="duplicateValues" dxfId="1552" priority="1595"/>
  </conditionalFormatting>
  <conditionalFormatting sqref="A625">
    <cfRule type="duplicateValues" dxfId="1551" priority="1594"/>
  </conditionalFormatting>
  <conditionalFormatting sqref="A625">
    <cfRule type="duplicateValues" dxfId="1550" priority="1593"/>
  </conditionalFormatting>
  <conditionalFormatting sqref="A625">
    <cfRule type="duplicateValues" dxfId="1549" priority="1592"/>
  </conditionalFormatting>
  <conditionalFormatting sqref="A625">
    <cfRule type="duplicateValues" dxfId="1548" priority="1591"/>
  </conditionalFormatting>
  <conditionalFormatting sqref="A625">
    <cfRule type="duplicateValues" dxfId="1547" priority="1590"/>
  </conditionalFormatting>
  <conditionalFormatting sqref="A625">
    <cfRule type="duplicateValues" dxfId="1546" priority="1589"/>
  </conditionalFormatting>
  <conditionalFormatting sqref="A625">
    <cfRule type="duplicateValues" dxfId="1545" priority="1588"/>
  </conditionalFormatting>
  <conditionalFormatting sqref="A625">
    <cfRule type="duplicateValues" dxfId="1544" priority="1587"/>
  </conditionalFormatting>
  <conditionalFormatting sqref="A625">
    <cfRule type="duplicateValues" dxfId="1543" priority="1586"/>
  </conditionalFormatting>
  <conditionalFormatting sqref="A625">
    <cfRule type="duplicateValues" dxfId="1542" priority="1585"/>
  </conditionalFormatting>
  <conditionalFormatting sqref="A625">
    <cfRule type="duplicateValues" dxfId="1541" priority="1584"/>
  </conditionalFormatting>
  <conditionalFormatting sqref="A625">
    <cfRule type="duplicateValues" dxfId="1540" priority="1583"/>
  </conditionalFormatting>
  <conditionalFormatting sqref="A625">
    <cfRule type="duplicateValues" dxfId="1539" priority="1582"/>
  </conditionalFormatting>
  <conditionalFormatting sqref="A625">
    <cfRule type="duplicateValues" dxfId="1538" priority="1581"/>
  </conditionalFormatting>
  <conditionalFormatting sqref="A625">
    <cfRule type="duplicateValues" dxfId="1537" priority="1580"/>
  </conditionalFormatting>
  <conditionalFormatting sqref="A625">
    <cfRule type="duplicateValues" dxfId="1536" priority="1607"/>
  </conditionalFormatting>
  <conditionalFormatting sqref="A625">
    <cfRule type="duplicateValues" dxfId="1535" priority="1608"/>
  </conditionalFormatting>
  <conditionalFormatting sqref="A625">
    <cfRule type="duplicateValues" dxfId="1534" priority="1609"/>
  </conditionalFormatting>
  <conditionalFormatting sqref="A625">
    <cfRule type="duplicateValues" dxfId="1533" priority="1610"/>
  </conditionalFormatting>
  <conditionalFormatting sqref="A625">
    <cfRule type="expression" dxfId="1532" priority="1578">
      <formula>$AV625="POSITIF"</formula>
    </cfRule>
  </conditionalFormatting>
  <conditionalFormatting sqref="A625">
    <cfRule type="expression" dxfId="1531" priority="1546">
      <formula>$AV625="POSITIF"</formula>
    </cfRule>
  </conditionalFormatting>
  <conditionalFormatting sqref="A625">
    <cfRule type="duplicateValues" dxfId="1530" priority="1573"/>
  </conditionalFormatting>
  <conditionalFormatting sqref="A625">
    <cfRule type="duplicateValues" dxfId="1529" priority="1572"/>
  </conditionalFormatting>
  <conditionalFormatting sqref="A625">
    <cfRule type="duplicateValues" dxfId="1528" priority="1571"/>
  </conditionalFormatting>
  <conditionalFormatting sqref="A625">
    <cfRule type="duplicateValues" dxfId="1527" priority="1570"/>
  </conditionalFormatting>
  <conditionalFormatting sqref="A625">
    <cfRule type="duplicateValues" dxfId="1526" priority="1569"/>
  </conditionalFormatting>
  <conditionalFormatting sqref="A625">
    <cfRule type="duplicateValues" dxfId="1525" priority="1568"/>
  </conditionalFormatting>
  <conditionalFormatting sqref="A625">
    <cfRule type="duplicateValues" dxfId="1524" priority="1567"/>
  </conditionalFormatting>
  <conditionalFormatting sqref="A625">
    <cfRule type="duplicateValues" dxfId="1523" priority="1566"/>
  </conditionalFormatting>
  <conditionalFormatting sqref="A625">
    <cfRule type="duplicateValues" dxfId="1522" priority="1565"/>
  </conditionalFormatting>
  <conditionalFormatting sqref="A625">
    <cfRule type="duplicateValues" dxfId="1521" priority="1564"/>
  </conditionalFormatting>
  <conditionalFormatting sqref="A625">
    <cfRule type="duplicateValues" dxfId="1520" priority="1563"/>
  </conditionalFormatting>
  <conditionalFormatting sqref="A625">
    <cfRule type="duplicateValues" dxfId="1519" priority="1562"/>
  </conditionalFormatting>
  <conditionalFormatting sqref="A625">
    <cfRule type="duplicateValues" dxfId="1518" priority="1561"/>
  </conditionalFormatting>
  <conditionalFormatting sqref="A625">
    <cfRule type="duplicateValues" dxfId="1517" priority="1560"/>
  </conditionalFormatting>
  <conditionalFormatting sqref="A625">
    <cfRule type="duplicateValues" dxfId="1516" priority="1559"/>
  </conditionalFormatting>
  <conditionalFormatting sqref="A625">
    <cfRule type="duplicateValues" dxfId="1515" priority="1558"/>
  </conditionalFormatting>
  <conditionalFormatting sqref="A625">
    <cfRule type="duplicateValues" dxfId="1514" priority="1557"/>
  </conditionalFormatting>
  <conditionalFormatting sqref="A625">
    <cfRule type="duplicateValues" dxfId="1513" priority="1556"/>
  </conditionalFormatting>
  <conditionalFormatting sqref="A625">
    <cfRule type="duplicateValues" dxfId="1512" priority="1555"/>
  </conditionalFormatting>
  <conditionalFormatting sqref="A625">
    <cfRule type="duplicateValues" dxfId="1511" priority="1554"/>
  </conditionalFormatting>
  <conditionalFormatting sqref="A625">
    <cfRule type="duplicateValues" dxfId="1510" priority="1553"/>
  </conditionalFormatting>
  <conditionalFormatting sqref="A625">
    <cfRule type="duplicateValues" dxfId="1509" priority="1552"/>
  </conditionalFormatting>
  <conditionalFormatting sqref="A625">
    <cfRule type="duplicateValues" dxfId="1508" priority="1551"/>
  </conditionalFormatting>
  <conditionalFormatting sqref="A625">
    <cfRule type="duplicateValues" dxfId="1507" priority="1550"/>
  </conditionalFormatting>
  <conditionalFormatting sqref="A625">
    <cfRule type="duplicateValues" dxfId="1506" priority="1549"/>
  </conditionalFormatting>
  <conditionalFormatting sqref="A625">
    <cfRule type="duplicateValues" dxfId="1505" priority="1548"/>
  </conditionalFormatting>
  <conditionalFormatting sqref="A625">
    <cfRule type="duplicateValues" dxfId="1504" priority="1547"/>
  </conditionalFormatting>
  <conditionalFormatting sqref="A625">
    <cfRule type="duplicateValues" dxfId="1503" priority="1574"/>
  </conditionalFormatting>
  <conditionalFormatting sqref="A625">
    <cfRule type="duplicateValues" dxfId="1502" priority="1575"/>
  </conditionalFormatting>
  <conditionalFormatting sqref="A625">
    <cfRule type="duplicateValues" dxfId="1501" priority="1576"/>
  </conditionalFormatting>
  <conditionalFormatting sqref="A625">
    <cfRule type="duplicateValues" dxfId="1500" priority="1577"/>
  </conditionalFormatting>
  <conditionalFormatting sqref="A625">
    <cfRule type="expression" dxfId="1499" priority="1545">
      <formula>$AV625="POSITIF"</formula>
    </cfRule>
  </conditionalFormatting>
  <conditionalFormatting sqref="A625">
    <cfRule type="expression" dxfId="1498" priority="1544">
      <formula>$AV625="POSITIF"</formula>
    </cfRule>
  </conditionalFormatting>
  <conditionalFormatting sqref="A625">
    <cfRule type="expression" dxfId="1497" priority="1543">
      <formula>$AV625="POSITIF"</formula>
    </cfRule>
  </conditionalFormatting>
  <conditionalFormatting sqref="A625">
    <cfRule type="expression" dxfId="1496" priority="1542">
      <formula>$AV625="POSITIF"</formula>
    </cfRule>
  </conditionalFormatting>
  <conditionalFormatting sqref="A626">
    <cfRule type="expression" dxfId="1495" priority="1509">
      <formula>$AV626="POSITIF"</formula>
    </cfRule>
  </conditionalFormatting>
  <conditionalFormatting sqref="A626">
    <cfRule type="duplicateValues" dxfId="1494" priority="1537"/>
  </conditionalFormatting>
  <conditionalFormatting sqref="A626">
    <cfRule type="duplicateValues" dxfId="1493" priority="1536"/>
  </conditionalFormatting>
  <conditionalFormatting sqref="A626">
    <cfRule type="duplicateValues" dxfId="1492" priority="1535"/>
  </conditionalFormatting>
  <conditionalFormatting sqref="A626">
    <cfRule type="duplicateValues" dxfId="1491" priority="1534"/>
  </conditionalFormatting>
  <conditionalFormatting sqref="A626">
    <cfRule type="duplicateValues" dxfId="1490" priority="1533"/>
  </conditionalFormatting>
  <conditionalFormatting sqref="A626">
    <cfRule type="duplicateValues" dxfId="1489" priority="1532"/>
  </conditionalFormatting>
  <conditionalFormatting sqref="A626">
    <cfRule type="duplicateValues" dxfId="1488" priority="1531"/>
  </conditionalFormatting>
  <conditionalFormatting sqref="A626">
    <cfRule type="duplicateValues" dxfId="1487" priority="1530"/>
  </conditionalFormatting>
  <conditionalFormatting sqref="A626">
    <cfRule type="duplicateValues" dxfId="1486" priority="1529"/>
  </conditionalFormatting>
  <conditionalFormatting sqref="A626">
    <cfRule type="duplicateValues" dxfId="1485" priority="1528"/>
  </conditionalFormatting>
  <conditionalFormatting sqref="A626">
    <cfRule type="duplicateValues" dxfId="1484" priority="1527"/>
  </conditionalFormatting>
  <conditionalFormatting sqref="A626">
    <cfRule type="duplicateValues" dxfId="1483" priority="1526"/>
  </conditionalFormatting>
  <conditionalFormatting sqref="A626">
    <cfRule type="duplicateValues" dxfId="1482" priority="1525"/>
  </conditionalFormatting>
  <conditionalFormatting sqref="A626">
    <cfRule type="duplicateValues" dxfId="1481" priority="1524"/>
  </conditionalFormatting>
  <conditionalFormatting sqref="A626">
    <cfRule type="duplicateValues" dxfId="1480" priority="1523"/>
  </conditionalFormatting>
  <conditionalFormatting sqref="A626">
    <cfRule type="duplicateValues" dxfId="1479" priority="1522"/>
  </conditionalFormatting>
  <conditionalFormatting sqref="A626">
    <cfRule type="duplicateValues" dxfId="1478" priority="1521"/>
  </conditionalFormatting>
  <conditionalFormatting sqref="A626">
    <cfRule type="duplicateValues" dxfId="1477" priority="1520"/>
  </conditionalFormatting>
  <conditionalFormatting sqref="A626">
    <cfRule type="duplicateValues" dxfId="1476" priority="1519"/>
  </conditionalFormatting>
  <conditionalFormatting sqref="A626">
    <cfRule type="duplicateValues" dxfId="1475" priority="1518"/>
  </conditionalFormatting>
  <conditionalFormatting sqref="A626">
    <cfRule type="duplicateValues" dxfId="1474" priority="1517"/>
  </conditionalFormatting>
  <conditionalFormatting sqref="A626">
    <cfRule type="duplicateValues" dxfId="1473" priority="1516"/>
  </conditionalFormatting>
  <conditionalFormatting sqref="A626">
    <cfRule type="duplicateValues" dxfId="1472" priority="1515"/>
  </conditionalFormatting>
  <conditionalFormatting sqref="A626">
    <cfRule type="duplicateValues" dxfId="1471" priority="1514"/>
  </conditionalFormatting>
  <conditionalFormatting sqref="A626">
    <cfRule type="duplicateValues" dxfId="1470" priority="1513"/>
  </conditionalFormatting>
  <conditionalFormatting sqref="A626">
    <cfRule type="duplicateValues" dxfId="1469" priority="1512"/>
  </conditionalFormatting>
  <conditionalFormatting sqref="A626">
    <cfRule type="duplicateValues" dxfId="1468" priority="1511"/>
  </conditionalFormatting>
  <conditionalFormatting sqref="A626">
    <cfRule type="duplicateValues" dxfId="1467" priority="1510"/>
  </conditionalFormatting>
  <conditionalFormatting sqref="A626">
    <cfRule type="duplicateValues" dxfId="1466" priority="1538"/>
  </conditionalFormatting>
  <conditionalFormatting sqref="A626">
    <cfRule type="duplicateValues" dxfId="1465" priority="1539"/>
  </conditionalFormatting>
  <conditionalFormatting sqref="A626">
    <cfRule type="duplicateValues" dxfId="1464" priority="1540"/>
  </conditionalFormatting>
  <conditionalFormatting sqref="A626">
    <cfRule type="duplicateValues" dxfId="1463" priority="1541"/>
  </conditionalFormatting>
  <conditionalFormatting sqref="A626">
    <cfRule type="expression" dxfId="1462" priority="1508">
      <formula>$AV626="POSITIF"</formula>
    </cfRule>
  </conditionalFormatting>
  <conditionalFormatting sqref="A626">
    <cfRule type="expression" dxfId="1461" priority="1507">
      <formula>$AV626="POSITIF"</formula>
    </cfRule>
  </conditionalFormatting>
  <conditionalFormatting sqref="A626">
    <cfRule type="expression" dxfId="1460" priority="1506">
      <formula>$AV626="POSITIF"</formula>
    </cfRule>
  </conditionalFormatting>
  <conditionalFormatting sqref="A626">
    <cfRule type="expression" dxfId="1459" priority="1505">
      <formula>$AV626="POSITIF"</formula>
    </cfRule>
  </conditionalFormatting>
  <conditionalFormatting sqref="A626">
    <cfRule type="expression" dxfId="1458" priority="1504">
      <formula>$AV626="POSITIF"</formula>
    </cfRule>
  </conditionalFormatting>
  <conditionalFormatting sqref="A627">
    <cfRule type="expression" dxfId="1457" priority="1471">
      <formula>$AV627="POSITIF"</formula>
    </cfRule>
  </conditionalFormatting>
  <conditionalFormatting sqref="A627">
    <cfRule type="duplicateValues" dxfId="1456" priority="1500"/>
  </conditionalFormatting>
  <conditionalFormatting sqref="A627">
    <cfRule type="duplicateValues" dxfId="1455" priority="1499"/>
  </conditionalFormatting>
  <conditionalFormatting sqref="A627">
    <cfRule type="duplicateValues" dxfId="1454" priority="1498"/>
  </conditionalFormatting>
  <conditionalFormatting sqref="A627">
    <cfRule type="duplicateValues" dxfId="1453" priority="1497"/>
  </conditionalFormatting>
  <conditionalFormatting sqref="A627">
    <cfRule type="duplicateValues" dxfId="1452" priority="1496"/>
  </conditionalFormatting>
  <conditionalFormatting sqref="A627">
    <cfRule type="duplicateValues" dxfId="1451" priority="1495"/>
  </conditionalFormatting>
  <conditionalFormatting sqref="A627">
    <cfRule type="duplicateValues" dxfId="1450" priority="1494"/>
  </conditionalFormatting>
  <conditionalFormatting sqref="A627">
    <cfRule type="duplicateValues" dxfId="1449" priority="1493"/>
  </conditionalFormatting>
  <conditionalFormatting sqref="A627">
    <cfRule type="duplicateValues" dxfId="1448" priority="1492"/>
  </conditionalFormatting>
  <conditionalFormatting sqref="A627">
    <cfRule type="duplicateValues" dxfId="1447" priority="1491"/>
  </conditionalFormatting>
  <conditionalFormatting sqref="A627">
    <cfRule type="duplicateValues" dxfId="1446" priority="1490"/>
  </conditionalFormatting>
  <conditionalFormatting sqref="A627">
    <cfRule type="duplicateValues" dxfId="1445" priority="1489"/>
  </conditionalFormatting>
  <conditionalFormatting sqref="A627">
    <cfRule type="duplicateValues" dxfId="1444" priority="1488"/>
  </conditionalFormatting>
  <conditionalFormatting sqref="A627">
    <cfRule type="duplicateValues" dxfId="1443" priority="1487"/>
  </conditionalFormatting>
  <conditionalFormatting sqref="A627">
    <cfRule type="duplicateValues" dxfId="1442" priority="1486"/>
  </conditionalFormatting>
  <conditionalFormatting sqref="A627">
    <cfRule type="duplicateValues" dxfId="1441" priority="1485"/>
  </conditionalFormatting>
  <conditionalFormatting sqref="A627">
    <cfRule type="duplicateValues" dxfId="1440" priority="1484"/>
  </conditionalFormatting>
  <conditionalFormatting sqref="A627">
    <cfRule type="duplicateValues" dxfId="1439" priority="1483"/>
  </conditionalFormatting>
  <conditionalFormatting sqref="A627">
    <cfRule type="duplicateValues" dxfId="1438" priority="1482"/>
  </conditionalFormatting>
  <conditionalFormatting sqref="A627">
    <cfRule type="duplicateValues" dxfId="1437" priority="1481"/>
  </conditionalFormatting>
  <conditionalFormatting sqref="A627">
    <cfRule type="duplicateValues" dxfId="1436" priority="1480"/>
  </conditionalFormatting>
  <conditionalFormatting sqref="A627">
    <cfRule type="duplicateValues" dxfId="1435" priority="1479"/>
  </conditionalFormatting>
  <conditionalFormatting sqref="A627">
    <cfRule type="duplicateValues" dxfId="1434" priority="1478"/>
  </conditionalFormatting>
  <conditionalFormatting sqref="A627">
    <cfRule type="duplicateValues" dxfId="1433" priority="1477"/>
  </conditionalFormatting>
  <conditionalFormatting sqref="A627">
    <cfRule type="duplicateValues" dxfId="1432" priority="1476"/>
  </conditionalFormatting>
  <conditionalFormatting sqref="A627">
    <cfRule type="duplicateValues" dxfId="1431" priority="1475"/>
  </conditionalFormatting>
  <conditionalFormatting sqref="A627">
    <cfRule type="duplicateValues" dxfId="1430" priority="1474"/>
  </conditionalFormatting>
  <conditionalFormatting sqref="A627">
    <cfRule type="duplicateValues" dxfId="1429" priority="1473"/>
  </conditionalFormatting>
  <conditionalFormatting sqref="A627">
    <cfRule type="duplicateValues" dxfId="1428" priority="1472"/>
  </conditionalFormatting>
  <conditionalFormatting sqref="A627">
    <cfRule type="duplicateValues" dxfId="1427" priority="1501"/>
  </conditionalFormatting>
  <conditionalFormatting sqref="A627">
    <cfRule type="duplicateValues" dxfId="1426" priority="1502"/>
  </conditionalFormatting>
  <conditionalFormatting sqref="A627">
    <cfRule type="duplicateValues" dxfId="1425" priority="1503"/>
  </conditionalFormatting>
  <conditionalFormatting sqref="A627">
    <cfRule type="expression" dxfId="1424" priority="1470">
      <formula>$AV627="POSITIF"</formula>
    </cfRule>
  </conditionalFormatting>
  <conditionalFormatting sqref="A627">
    <cfRule type="expression" dxfId="1423" priority="1469">
      <formula>$AV627="POSITIF"</formula>
    </cfRule>
  </conditionalFormatting>
  <conditionalFormatting sqref="A627">
    <cfRule type="expression" dxfId="1422" priority="1468">
      <formula>$AV627="POSITIF"</formula>
    </cfRule>
  </conditionalFormatting>
  <conditionalFormatting sqref="A627">
    <cfRule type="expression" dxfId="1421" priority="1467">
      <formula>$AV627="POSITIF"</formula>
    </cfRule>
  </conditionalFormatting>
  <conditionalFormatting sqref="A627">
    <cfRule type="expression" dxfId="1420" priority="1466">
      <formula>$AV627="POSITIF"</formula>
    </cfRule>
  </conditionalFormatting>
  <conditionalFormatting sqref="A628">
    <cfRule type="expression" dxfId="1419" priority="1417">
      <formula>$AV629="POSITIF"</formula>
    </cfRule>
  </conditionalFormatting>
  <conditionalFormatting sqref="A628">
    <cfRule type="duplicateValues" dxfId="1418" priority="1461"/>
  </conditionalFormatting>
  <conditionalFormatting sqref="A628">
    <cfRule type="duplicateValues" dxfId="1417" priority="1460"/>
  </conditionalFormatting>
  <conditionalFormatting sqref="A628">
    <cfRule type="duplicateValues" dxfId="1416" priority="1459"/>
  </conditionalFormatting>
  <conditionalFormatting sqref="A628">
    <cfRule type="duplicateValues" dxfId="1415" priority="1458"/>
  </conditionalFormatting>
  <conditionalFormatting sqref="A628">
    <cfRule type="duplicateValues" dxfId="1414" priority="1457"/>
  </conditionalFormatting>
  <conditionalFormatting sqref="A628">
    <cfRule type="duplicateValues" dxfId="1413" priority="1456"/>
  </conditionalFormatting>
  <conditionalFormatting sqref="A628">
    <cfRule type="duplicateValues" dxfId="1412" priority="1455"/>
  </conditionalFormatting>
  <conditionalFormatting sqref="A628">
    <cfRule type="duplicateValues" dxfId="1411" priority="1454"/>
  </conditionalFormatting>
  <conditionalFormatting sqref="A628">
    <cfRule type="duplicateValues" dxfId="1410" priority="1453"/>
  </conditionalFormatting>
  <conditionalFormatting sqref="A628">
    <cfRule type="duplicateValues" dxfId="1409" priority="1452"/>
  </conditionalFormatting>
  <conditionalFormatting sqref="A628">
    <cfRule type="duplicateValues" dxfId="1408" priority="1451"/>
  </conditionalFormatting>
  <conditionalFormatting sqref="A628">
    <cfRule type="duplicateValues" dxfId="1407" priority="1450"/>
  </conditionalFormatting>
  <conditionalFormatting sqref="A628">
    <cfRule type="duplicateValues" dxfId="1406" priority="1449"/>
  </conditionalFormatting>
  <conditionalFormatting sqref="A628">
    <cfRule type="duplicateValues" dxfId="1405" priority="1448"/>
  </conditionalFormatting>
  <conditionalFormatting sqref="A628">
    <cfRule type="duplicateValues" dxfId="1404" priority="1447"/>
  </conditionalFormatting>
  <conditionalFormatting sqref="A628">
    <cfRule type="duplicateValues" dxfId="1403" priority="1446"/>
  </conditionalFormatting>
  <conditionalFormatting sqref="A628">
    <cfRule type="duplicateValues" dxfId="1402" priority="1445"/>
  </conditionalFormatting>
  <conditionalFormatting sqref="A628">
    <cfRule type="duplicateValues" dxfId="1401" priority="1444"/>
  </conditionalFormatting>
  <conditionalFormatting sqref="A628">
    <cfRule type="duplicateValues" dxfId="1400" priority="1443"/>
  </conditionalFormatting>
  <conditionalFormatting sqref="A628">
    <cfRule type="duplicateValues" dxfId="1399" priority="1442"/>
  </conditionalFormatting>
  <conditionalFormatting sqref="A628">
    <cfRule type="duplicateValues" dxfId="1398" priority="1441"/>
  </conditionalFormatting>
  <conditionalFormatting sqref="A628">
    <cfRule type="duplicateValues" dxfId="1397" priority="1440"/>
  </conditionalFormatting>
  <conditionalFormatting sqref="A628">
    <cfRule type="duplicateValues" dxfId="1396" priority="1439"/>
  </conditionalFormatting>
  <conditionalFormatting sqref="A628">
    <cfRule type="duplicateValues" dxfId="1395" priority="1438"/>
  </conditionalFormatting>
  <conditionalFormatting sqref="A628">
    <cfRule type="duplicateValues" dxfId="1394" priority="1437"/>
  </conditionalFormatting>
  <conditionalFormatting sqref="A628">
    <cfRule type="duplicateValues" dxfId="1393" priority="1436"/>
  </conditionalFormatting>
  <conditionalFormatting sqref="A628">
    <cfRule type="duplicateValues" dxfId="1392" priority="1435"/>
  </conditionalFormatting>
  <conditionalFormatting sqref="A628">
    <cfRule type="duplicateValues" dxfId="1391" priority="1434"/>
  </conditionalFormatting>
  <conditionalFormatting sqref="A628">
    <cfRule type="duplicateValues" dxfId="1390" priority="1433"/>
  </conditionalFormatting>
  <conditionalFormatting sqref="A628">
    <cfRule type="duplicateValues" dxfId="1389" priority="1432"/>
  </conditionalFormatting>
  <conditionalFormatting sqref="A628">
    <cfRule type="duplicateValues" dxfId="1388" priority="1431"/>
  </conditionalFormatting>
  <conditionalFormatting sqref="A628">
    <cfRule type="duplicateValues" dxfId="1387" priority="1430"/>
  </conditionalFormatting>
  <conditionalFormatting sqref="A628">
    <cfRule type="duplicateValues" dxfId="1386" priority="1429"/>
  </conditionalFormatting>
  <conditionalFormatting sqref="A628">
    <cfRule type="duplicateValues" dxfId="1385" priority="1428"/>
  </conditionalFormatting>
  <conditionalFormatting sqref="A628">
    <cfRule type="duplicateValues" dxfId="1384" priority="1427"/>
  </conditionalFormatting>
  <conditionalFormatting sqref="A628">
    <cfRule type="duplicateValues" dxfId="1383" priority="1426"/>
  </conditionalFormatting>
  <conditionalFormatting sqref="A628">
    <cfRule type="duplicateValues" dxfId="1382" priority="1425"/>
  </conditionalFormatting>
  <conditionalFormatting sqref="A628">
    <cfRule type="duplicateValues" dxfId="1381" priority="1424"/>
  </conditionalFormatting>
  <conditionalFormatting sqref="A628">
    <cfRule type="duplicateValues" dxfId="1380" priority="1423"/>
  </conditionalFormatting>
  <conditionalFormatting sqref="A628">
    <cfRule type="duplicateValues" dxfId="1379" priority="1422"/>
  </conditionalFormatting>
  <conditionalFormatting sqref="A628">
    <cfRule type="duplicateValues" dxfId="1378" priority="1421"/>
  </conditionalFormatting>
  <conditionalFormatting sqref="A628">
    <cfRule type="duplicateValues" dxfId="1377" priority="1420"/>
  </conditionalFormatting>
  <conditionalFormatting sqref="A628">
    <cfRule type="duplicateValues" dxfId="1376" priority="1419"/>
  </conditionalFormatting>
  <conditionalFormatting sqref="A628">
    <cfRule type="duplicateValues" dxfId="1375" priority="1418"/>
  </conditionalFormatting>
  <conditionalFormatting sqref="A628">
    <cfRule type="duplicateValues" dxfId="1374" priority="1462"/>
  </conditionalFormatting>
  <conditionalFormatting sqref="A628">
    <cfRule type="duplicateValues" dxfId="1373" priority="1463"/>
  </conditionalFormatting>
  <conditionalFormatting sqref="A628">
    <cfRule type="duplicateValues" dxfId="1372" priority="1464"/>
  </conditionalFormatting>
  <conditionalFormatting sqref="A628">
    <cfRule type="duplicateValues" dxfId="1371" priority="1465"/>
  </conditionalFormatting>
  <conditionalFormatting sqref="A628">
    <cfRule type="expression" dxfId="1370" priority="1416">
      <formula>$AV629="POSITIF"</formula>
    </cfRule>
  </conditionalFormatting>
  <conditionalFormatting sqref="A628">
    <cfRule type="expression" dxfId="1369" priority="1415">
      <formula>$AV629="POSITIF"</formula>
    </cfRule>
  </conditionalFormatting>
  <conditionalFormatting sqref="A628">
    <cfRule type="expression" dxfId="1368" priority="1414">
      <formula>$AV629="POSITIF"</formula>
    </cfRule>
  </conditionalFormatting>
  <conditionalFormatting sqref="A628">
    <cfRule type="expression" dxfId="1367" priority="1413">
      <formula>$AV629="POSITIF"</formula>
    </cfRule>
  </conditionalFormatting>
  <conditionalFormatting sqref="A628">
    <cfRule type="expression" dxfId="1366" priority="1412">
      <formula>$AV628="POSITIF"</formula>
    </cfRule>
  </conditionalFormatting>
  <conditionalFormatting sqref="A629">
    <cfRule type="expression" dxfId="1365" priority="1379">
      <formula>$AV629="POSITIF"</formula>
    </cfRule>
  </conditionalFormatting>
  <conditionalFormatting sqref="A629">
    <cfRule type="duplicateValues" dxfId="1364" priority="1407"/>
  </conditionalFormatting>
  <conditionalFormatting sqref="A629">
    <cfRule type="duplicateValues" dxfId="1363" priority="1406"/>
  </conditionalFormatting>
  <conditionalFormatting sqref="A629">
    <cfRule type="duplicateValues" dxfId="1362" priority="1405"/>
  </conditionalFormatting>
  <conditionalFormatting sqref="A629">
    <cfRule type="duplicateValues" dxfId="1361" priority="1404"/>
  </conditionalFormatting>
  <conditionalFormatting sqref="A629">
    <cfRule type="duplicateValues" dxfId="1360" priority="1403"/>
  </conditionalFormatting>
  <conditionalFormatting sqref="A629">
    <cfRule type="duplicateValues" dxfId="1359" priority="1402"/>
  </conditionalFormatting>
  <conditionalFormatting sqref="A629">
    <cfRule type="duplicateValues" dxfId="1358" priority="1401"/>
  </conditionalFormatting>
  <conditionalFormatting sqref="A629">
    <cfRule type="duplicateValues" dxfId="1357" priority="1400"/>
  </conditionalFormatting>
  <conditionalFormatting sqref="A629">
    <cfRule type="duplicateValues" dxfId="1356" priority="1399"/>
  </conditionalFormatting>
  <conditionalFormatting sqref="A629">
    <cfRule type="duplicateValues" dxfId="1355" priority="1398"/>
  </conditionalFormatting>
  <conditionalFormatting sqref="A629">
    <cfRule type="duplicateValues" dxfId="1354" priority="1397"/>
  </conditionalFormatting>
  <conditionalFormatting sqref="A629">
    <cfRule type="duplicateValues" dxfId="1353" priority="1396"/>
  </conditionalFormatting>
  <conditionalFormatting sqref="A629">
    <cfRule type="duplicateValues" dxfId="1352" priority="1395"/>
  </conditionalFormatting>
  <conditionalFormatting sqref="A629">
    <cfRule type="duplicateValues" dxfId="1351" priority="1394"/>
  </conditionalFormatting>
  <conditionalFormatting sqref="A629">
    <cfRule type="duplicateValues" dxfId="1350" priority="1393"/>
  </conditionalFormatting>
  <conditionalFormatting sqref="A629">
    <cfRule type="duplicateValues" dxfId="1349" priority="1392"/>
  </conditionalFormatting>
  <conditionalFormatting sqref="A629">
    <cfRule type="duplicateValues" dxfId="1348" priority="1391"/>
  </conditionalFormatting>
  <conditionalFormatting sqref="A629">
    <cfRule type="duplicateValues" dxfId="1347" priority="1390"/>
  </conditionalFormatting>
  <conditionalFormatting sqref="A629">
    <cfRule type="duplicateValues" dxfId="1346" priority="1389"/>
  </conditionalFormatting>
  <conditionalFormatting sqref="A629">
    <cfRule type="duplicateValues" dxfId="1345" priority="1388"/>
  </conditionalFormatting>
  <conditionalFormatting sqref="A629">
    <cfRule type="duplicateValues" dxfId="1344" priority="1387"/>
  </conditionalFormatting>
  <conditionalFormatting sqref="A629">
    <cfRule type="duplicateValues" dxfId="1343" priority="1386"/>
  </conditionalFormatting>
  <conditionalFormatting sqref="A629">
    <cfRule type="duplicateValues" dxfId="1342" priority="1385"/>
  </conditionalFormatting>
  <conditionalFormatting sqref="A629">
    <cfRule type="duplicateValues" dxfId="1341" priority="1384"/>
  </conditionalFormatting>
  <conditionalFormatting sqref="A629">
    <cfRule type="duplicateValues" dxfId="1340" priority="1383"/>
  </conditionalFormatting>
  <conditionalFormatting sqref="A629">
    <cfRule type="duplicateValues" dxfId="1339" priority="1382"/>
  </conditionalFormatting>
  <conditionalFormatting sqref="A629">
    <cfRule type="duplicateValues" dxfId="1338" priority="1381"/>
  </conditionalFormatting>
  <conditionalFormatting sqref="A629">
    <cfRule type="duplicateValues" dxfId="1337" priority="1380"/>
  </conditionalFormatting>
  <conditionalFormatting sqref="A629">
    <cfRule type="duplicateValues" dxfId="1336" priority="1408"/>
  </conditionalFormatting>
  <conditionalFormatting sqref="A629">
    <cfRule type="duplicateValues" dxfId="1335" priority="1409"/>
  </conditionalFormatting>
  <conditionalFormatting sqref="A629">
    <cfRule type="duplicateValues" dxfId="1334" priority="1410"/>
  </conditionalFormatting>
  <conditionalFormatting sqref="A629">
    <cfRule type="duplicateValues" dxfId="1333" priority="1411"/>
  </conditionalFormatting>
  <conditionalFormatting sqref="A629">
    <cfRule type="expression" dxfId="1332" priority="1378">
      <formula>$AV629="POSITIF"</formula>
    </cfRule>
  </conditionalFormatting>
  <conditionalFormatting sqref="A629">
    <cfRule type="expression" dxfId="1331" priority="1377">
      <formula>$AV629="POSITIF"</formula>
    </cfRule>
  </conditionalFormatting>
  <conditionalFormatting sqref="A629">
    <cfRule type="expression" dxfId="1330" priority="1376">
      <formula>$AV629="POSITIF"</formula>
    </cfRule>
  </conditionalFormatting>
  <conditionalFormatting sqref="A629">
    <cfRule type="expression" dxfId="1329" priority="1375">
      <formula>$AV629="POSITIF"</formula>
    </cfRule>
  </conditionalFormatting>
  <conditionalFormatting sqref="A629">
    <cfRule type="expression" dxfId="1328" priority="1374">
      <formula>$AV629="POSITIF"</formula>
    </cfRule>
  </conditionalFormatting>
  <conditionalFormatting sqref="A630:A631">
    <cfRule type="duplicateValues" dxfId="1327" priority="4187"/>
  </conditionalFormatting>
  <conditionalFormatting sqref="A630:A631">
    <cfRule type="duplicateValues" dxfId="1326" priority="4188"/>
    <cfRule type="duplicateValues" dxfId="1325" priority="4189"/>
    <cfRule type="duplicateValues" dxfId="1324" priority="4190"/>
    <cfRule type="duplicateValues" dxfId="1323" priority="4191"/>
  </conditionalFormatting>
  <conditionalFormatting sqref="W632">
    <cfRule type="expression" dxfId="1322" priority="1373">
      <formula>$AV632="POSITIF"</formula>
    </cfRule>
  </conditionalFormatting>
  <conditionalFormatting sqref="X632">
    <cfRule type="expression" dxfId="1321" priority="1372">
      <formula>$AV632="POSITIF"</formula>
    </cfRule>
  </conditionalFormatting>
  <conditionalFormatting sqref="Y632">
    <cfRule type="expression" dxfId="1320" priority="1371">
      <formula>$AV632="POSITIF"</formula>
    </cfRule>
  </conditionalFormatting>
  <conditionalFormatting sqref="Z632">
    <cfRule type="expression" dxfId="1319" priority="1370">
      <formula>$AV632="POSITIF"</formula>
    </cfRule>
  </conditionalFormatting>
  <conditionalFormatting sqref="AA632">
    <cfRule type="expression" dxfId="1318" priority="1369">
      <formula>$AV632="POSITIF"</formula>
    </cfRule>
  </conditionalFormatting>
  <conditionalFormatting sqref="AB632">
    <cfRule type="expression" dxfId="1317" priority="1368">
      <formula>$AV632="POSITIF"</formula>
    </cfRule>
  </conditionalFormatting>
  <conditionalFormatting sqref="A632">
    <cfRule type="expression" dxfId="1316" priority="1358">
      <formula>$AV632="POSITIF"</formula>
    </cfRule>
  </conditionalFormatting>
  <conditionalFormatting sqref="A632">
    <cfRule type="duplicateValues" dxfId="1315" priority="1363"/>
  </conditionalFormatting>
  <conditionalFormatting sqref="A632">
    <cfRule type="duplicateValues" dxfId="1314" priority="1362"/>
  </conditionalFormatting>
  <conditionalFormatting sqref="A632">
    <cfRule type="duplicateValues" dxfId="1313" priority="1361"/>
  </conditionalFormatting>
  <conditionalFormatting sqref="A632">
    <cfRule type="duplicateValues" dxfId="1312" priority="1360"/>
  </conditionalFormatting>
  <conditionalFormatting sqref="A632">
    <cfRule type="duplicateValues" dxfId="1311" priority="1359"/>
  </conditionalFormatting>
  <conditionalFormatting sqref="A632">
    <cfRule type="duplicateValues" dxfId="1310" priority="1364"/>
  </conditionalFormatting>
  <conditionalFormatting sqref="A632">
    <cfRule type="duplicateValues" dxfId="1309" priority="1365"/>
  </conditionalFormatting>
  <conditionalFormatting sqref="A632">
    <cfRule type="duplicateValues" dxfId="1308" priority="1366"/>
  </conditionalFormatting>
  <conditionalFormatting sqref="A632">
    <cfRule type="duplicateValues" dxfId="1307" priority="1367"/>
  </conditionalFormatting>
  <conditionalFormatting sqref="A632">
    <cfRule type="expression" dxfId="1306" priority="1357">
      <formula>$AV632="POSITIF"</formula>
    </cfRule>
  </conditionalFormatting>
  <conditionalFormatting sqref="A632">
    <cfRule type="expression" dxfId="1305" priority="1356">
      <formula>$AV632="POSITIF"</formula>
    </cfRule>
  </conditionalFormatting>
  <conditionalFormatting sqref="A632">
    <cfRule type="expression" dxfId="1304" priority="1355">
      <formula>$AV632="POSITIF"</formula>
    </cfRule>
  </conditionalFormatting>
  <conditionalFormatting sqref="A632">
    <cfRule type="expression" dxfId="1303" priority="1354">
      <formula>$AV632="POSITIF"</formula>
    </cfRule>
  </conditionalFormatting>
  <conditionalFormatting sqref="A632">
    <cfRule type="expression" dxfId="1302" priority="1353">
      <formula>$AV632="POSITIF"</formula>
    </cfRule>
  </conditionalFormatting>
  <conditionalFormatting sqref="A633">
    <cfRule type="expression" dxfId="1301" priority="1350">
      <formula>$AV633="POSITIF"</formula>
    </cfRule>
  </conditionalFormatting>
  <conditionalFormatting sqref="A633">
    <cfRule type="expression" dxfId="1300" priority="1349">
      <formula>$AV633="POSITIF"</formula>
    </cfRule>
  </conditionalFormatting>
  <conditionalFormatting sqref="A633">
    <cfRule type="expression" dxfId="1299" priority="1348">
      <formula>$AV633="POSITIF"</formula>
    </cfRule>
  </conditionalFormatting>
  <conditionalFormatting sqref="A633">
    <cfRule type="expression" dxfId="1298" priority="1347">
      <formula>$AV633="POSITIF"</formula>
    </cfRule>
  </conditionalFormatting>
  <conditionalFormatting sqref="A633">
    <cfRule type="expression" dxfId="1297" priority="1346">
      <formula>$AV633="POSITIF"</formula>
    </cfRule>
  </conditionalFormatting>
  <conditionalFormatting sqref="A633">
    <cfRule type="expression" dxfId="1296" priority="1345">
      <formula>$AV633="POSITIF"</formula>
    </cfRule>
  </conditionalFormatting>
  <conditionalFormatting sqref="A634">
    <cfRule type="expression" dxfId="1295" priority="1344">
      <formula>$AV634="POSITIF"</formula>
    </cfRule>
  </conditionalFormatting>
  <conditionalFormatting sqref="A634">
    <cfRule type="expression" dxfId="1294" priority="1343">
      <formula>$AV634="POSITIF"</formula>
    </cfRule>
  </conditionalFormatting>
  <conditionalFormatting sqref="A634">
    <cfRule type="expression" dxfId="1293" priority="1335">
      <formula>$AV634="POSITIF"</formula>
    </cfRule>
  </conditionalFormatting>
  <conditionalFormatting sqref="A634">
    <cfRule type="duplicateValues" dxfId="1292" priority="1339"/>
  </conditionalFormatting>
  <conditionalFormatting sqref="A634">
    <cfRule type="duplicateValues" dxfId="1291" priority="1338"/>
  </conditionalFormatting>
  <conditionalFormatting sqref="A634">
    <cfRule type="expression" dxfId="1290" priority="1337">
      <formula>$AV634="POSITIF"</formula>
    </cfRule>
  </conditionalFormatting>
  <conditionalFormatting sqref="A634">
    <cfRule type="duplicateValues" dxfId="1289" priority="1336"/>
  </conditionalFormatting>
  <conditionalFormatting sqref="A634">
    <cfRule type="duplicateValues" dxfId="1288" priority="1340"/>
  </conditionalFormatting>
  <conditionalFormatting sqref="A634">
    <cfRule type="duplicateValues" dxfId="1287" priority="1341"/>
  </conditionalFormatting>
  <conditionalFormatting sqref="A634">
    <cfRule type="duplicateValues" dxfId="1286" priority="1342"/>
  </conditionalFormatting>
  <conditionalFormatting sqref="A634">
    <cfRule type="expression" dxfId="1285" priority="1334">
      <formula>$AV634="POSITIF"</formula>
    </cfRule>
  </conditionalFormatting>
  <conditionalFormatting sqref="A634">
    <cfRule type="expression" dxfId="1284" priority="1333">
      <formula>$AV634="POSITIF"</formula>
    </cfRule>
  </conditionalFormatting>
  <conditionalFormatting sqref="A634">
    <cfRule type="expression" dxfId="1283" priority="1332">
      <formula>$AV634="POSITIF"</formula>
    </cfRule>
  </conditionalFormatting>
  <conditionalFormatting sqref="A634">
    <cfRule type="expression" dxfId="1282" priority="1331">
      <formula>$AV634="POSITIF"</formula>
    </cfRule>
  </conditionalFormatting>
  <conditionalFormatting sqref="A634">
    <cfRule type="expression" dxfId="1281" priority="1298">
      <formula>$AV634="POSITIF"</formula>
    </cfRule>
  </conditionalFormatting>
  <conditionalFormatting sqref="A634">
    <cfRule type="duplicateValues" dxfId="1280" priority="1326"/>
  </conditionalFormatting>
  <conditionalFormatting sqref="A634">
    <cfRule type="duplicateValues" dxfId="1279" priority="1325"/>
  </conditionalFormatting>
  <conditionalFormatting sqref="A634">
    <cfRule type="duplicateValues" dxfId="1278" priority="1324"/>
  </conditionalFormatting>
  <conditionalFormatting sqref="A634">
    <cfRule type="duplicateValues" dxfId="1277" priority="1323"/>
  </conditionalFormatting>
  <conditionalFormatting sqref="A634">
    <cfRule type="duplicateValues" dxfId="1276" priority="1322"/>
  </conditionalFormatting>
  <conditionalFormatting sqref="A634">
    <cfRule type="duplicateValues" dxfId="1275" priority="1321"/>
  </conditionalFormatting>
  <conditionalFormatting sqref="A634">
    <cfRule type="duplicateValues" dxfId="1274" priority="1320"/>
  </conditionalFormatting>
  <conditionalFormatting sqref="A634">
    <cfRule type="duplicateValues" dxfId="1273" priority="1319"/>
  </conditionalFormatting>
  <conditionalFormatting sqref="A634">
    <cfRule type="duplicateValues" dxfId="1272" priority="1318"/>
  </conditionalFormatting>
  <conditionalFormatting sqref="A634">
    <cfRule type="duplicateValues" dxfId="1271" priority="1317"/>
  </conditionalFormatting>
  <conditionalFormatting sqref="A634">
    <cfRule type="duplicateValues" dxfId="1270" priority="1316"/>
  </conditionalFormatting>
  <conditionalFormatting sqref="A634">
    <cfRule type="duplicateValues" dxfId="1269" priority="1315"/>
  </conditionalFormatting>
  <conditionalFormatting sqref="A634">
    <cfRule type="duplicateValues" dxfId="1268" priority="1314"/>
  </conditionalFormatting>
  <conditionalFormatting sqref="A634">
    <cfRule type="duplicateValues" dxfId="1267" priority="1313"/>
  </conditionalFormatting>
  <conditionalFormatting sqref="A634">
    <cfRule type="duplicateValues" dxfId="1266" priority="1312"/>
  </conditionalFormatting>
  <conditionalFormatting sqref="A634">
    <cfRule type="duplicateValues" dxfId="1265" priority="1311"/>
  </conditionalFormatting>
  <conditionalFormatting sqref="A634">
    <cfRule type="duplicateValues" dxfId="1264" priority="1310"/>
  </conditionalFormatting>
  <conditionalFormatting sqref="A634">
    <cfRule type="duplicateValues" dxfId="1263" priority="1309"/>
  </conditionalFormatting>
  <conditionalFormatting sqref="A634">
    <cfRule type="duplicateValues" dxfId="1262" priority="1308"/>
  </conditionalFormatting>
  <conditionalFormatting sqref="A634">
    <cfRule type="duplicateValues" dxfId="1261" priority="1307"/>
  </conditionalFormatting>
  <conditionalFormatting sqref="A634">
    <cfRule type="duplicateValues" dxfId="1260" priority="1306"/>
  </conditionalFormatting>
  <conditionalFormatting sqref="A634">
    <cfRule type="duplicateValues" dxfId="1259" priority="1305"/>
  </conditionalFormatting>
  <conditionalFormatting sqref="A634">
    <cfRule type="duplicateValues" dxfId="1258" priority="1304"/>
  </conditionalFormatting>
  <conditionalFormatting sqref="A634">
    <cfRule type="duplicateValues" dxfId="1257" priority="1303"/>
  </conditionalFormatting>
  <conditionalFormatting sqref="A634">
    <cfRule type="duplicateValues" dxfId="1256" priority="1302"/>
  </conditionalFormatting>
  <conditionalFormatting sqref="A634">
    <cfRule type="duplicateValues" dxfId="1255" priority="1301"/>
  </conditionalFormatting>
  <conditionalFormatting sqref="A634">
    <cfRule type="duplicateValues" dxfId="1254" priority="1300"/>
  </conditionalFormatting>
  <conditionalFormatting sqref="A634">
    <cfRule type="duplicateValues" dxfId="1253" priority="1299"/>
  </conditionalFormatting>
  <conditionalFormatting sqref="A634">
    <cfRule type="duplicateValues" dxfId="1252" priority="1327"/>
  </conditionalFormatting>
  <conditionalFormatting sqref="A634">
    <cfRule type="duplicateValues" dxfId="1251" priority="1328"/>
  </conditionalFormatting>
  <conditionalFormatting sqref="A634">
    <cfRule type="duplicateValues" dxfId="1250" priority="1329"/>
  </conditionalFormatting>
  <conditionalFormatting sqref="A634">
    <cfRule type="duplicateValues" dxfId="1249" priority="1330"/>
  </conditionalFormatting>
  <conditionalFormatting sqref="A634">
    <cfRule type="expression" dxfId="1248" priority="1297">
      <formula>$AV634="POSITIF"</formula>
    </cfRule>
  </conditionalFormatting>
  <conditionalFormatting sqref="A634">
    <cfRule type="expression" dxfId="1247" priority="1296">
      <formula>$AV634="POSITIF"</formula>
    </cfRule>
  </conditionalFormatting>
  <conditionalFormatting sqref="A634">
    <cfRule type="expression" dxfId="1246" priority="1295">
      <formula>$AV634="POSITIF"</formula>
    </cfRule>
  </conditionalFormatting>
  <conditionalFormatting sqref="A634">
    <cfRule type="expression" dxfId="1245" priority="1294">
      <formula>$AV634="POSITIF"</formula>
    </cfRule>
  </conditionalFormatting>
  <conditionalFormatting sqref="E636">
    <cfRule type="expression" dxfId="1244" priority="1293">
      <formula>$AV636="POSITIF"</formula>
    </cfRule>
  </conditionalFormatting>
  <conditionalFormatting sqref="A637">
    <cfRule type="expression" dxfId="1243" priority="1292">
      <formula>$AV637="POSITIF"</formula>
    </cfRule>
  </conditionalFormatting>
  <conditionalFormatting sqref="A637">
    <cfRule type="expression" dxfId="1242" priority="1291">
      <formula>$AV637="POSITIF"</formula>
    </cfRule>
  </conditionalFormatting>
  <conditionalFormatting sqref="A637">
    <cfRule type="expression" dxfId="1241" priority="1290">
      <formula>$AV637="POSITIF"</formula>
    </cfRule>
  </conditionalFormatting>
  <conditionalFormatting sqref="A637">
    <cfRule type="expression" dxfId="1240" priority="1289">
      <formula>$AV637="POSITIF"</formula>
    </cfRule>
  </conditionalFormatting>
  <conditionalFormatting sqref="A637">
    <cfRule type="expression" dxfId="1239" priority="1288">
      <formula>$AV637="POSITIF"</formula>
    </cfRule>
  </conditionalFormatting>
  <conditionalFormatting sqref="A637">
    <cfRule type="expression" dxfId="1238" priority="1287">
      <formula>$AV637="POSITIF"</formula>
    </cfRule>
  </conditionalFormatting>
  <conditionalFormatting sqref="A637">
    <cfRule type="expression" dxfId="1237" priority="1286">
      <formula>$AV637="POSITIF"</formula>
    </cfRule>
  </conditionalFormatting>
  <conditionalFormatting sqref="BD639">
    <cfRule type="expression" dxfId="1236" priority="1282">
      <formula>$AV639="POSITIF"</formula>
    </cfRule>
  </conditionalFormatting>
  <conditionalFormatting sqref="BD639">
    <cfRule type="expression" dxfId="1235" priority="1281">
      <formula>$AV639="POSITIF"</formula>
    </cfRule>
  </conditionalFormatting>
  <conditionalFormatting sqref="A639">
    <cfRule type="expression" dxfId="1234" priority="1280">
      <formula>$AV639="POSITIF"</formula>
    </cfRule>
  </conditionalFormatting>
  <conditionalFormatting sqref="A639">
    <cfRule type="expression" dxfId="1233" priority="1279">
      <formula>$AV639="POSITIF"</formula>
    </cfRule>
  </conditionalFormatting>
  <conditionalFormatting sqref="A639">
    <cfRule type="expression" dxfId="1232" priority="1278">
      <formula>$AV639="POSITIF"</formula>
    </cfRule>
  </conditionalFormatting>
  <conditionalFormatting sqref="A639">
    <cfRule type="expression" dxfId="1231" priority="1277">
      <formula>$AV639="POSITIF"</formula>
    </cfRule>
  </conditionalFormatting>
  <conditionalFormatting sqref="A639">
    <cfRule type="expression" dxfId="1230" priority="1276">
      <formula>$AV639="POSITIF"</formula>
    </cfRule>
  </conditionalFormatting>
  <conditionalFormatting sqref="L640">
    <cfRule type="expression" dxfId="1229" priority="1275">
      <formula>$AV640="POSITIF"</formula>
    </cfRule>
  </conditionalFormatting>
  <conditionalFormatting sqref="N647:N648">
    <cfRule type="expression" dxfId="1228" priority="1273">
      <formula>$AV647="POSITIF"</formula>
    </cfRule>
  </conditionalFormatting>
  <conditionalFormatting sqref="BB640:BB651">
    <cfRule type="expression" dxfId="1227" priority="1272">
      <formula>$AV640="POSITIF"</formula>
    </cfRule>
  </conditionalFormatting>
  <conditionalFormatting sqref="BB640:BB651">
    <cfRule type="expression" dxfId="1226" priority="1271">
      <formula>$AV640="POSITIF"</formula>
    </cfRule>
  </conditionalFormatting>
  <conditionalFormatting sqref="BK641">
    <cfRule type="expression" dxfId="1225" priority="1270">
      <formula>$AV641="POSITIF"</formula>
    </cfRule>
  </conditionalFormatting>
  <conditionalFormatting sqref="BK641">
    <cfRule type="expression" dxfId="1224" priority="1269">
      <formula>$AV641="POSITIF"</formula>
    </cfRule>
  </conditionalFormatting>
  <conditionalFormatting sqref="BK641">
    <cfRule type="expression" dxfId="1223" priority="1268">
      <formula>$AV641="POSITIF"</formula>
    </cfRule>
  </conditionalFormatting>
  <conditionalFormatting sqref="BK642">
    <cfRule type="expression" dxfId="1222" priority="1267">
      <formula>$AV642="POSITIF"</formula>
    </cfRule>
  </conditionalFormatting>
  <conditionalFormatting sqref="BK642">
    <cfRule type="expression" dxfId="1221" priority="1266">
      <formula>$AV642="POSITIF"</formula>
    </cfRule>
  </conditionalFormatting>
  <conditionalFormatting sqref="BK642">
    <cfRule type="expression" dxfId="1220" priority="1265">
      <formula>$AV642="POSITIF"</formula>
    </cfRule>
  </conditionalFormatting>
  <conditionalFormatting sqref="BK643">
    <cfRule type="expression" dxfId="1219" priority="1264">
      <formula>$AV643="POSITIF"</formula>
    </cfRule>
  </conditionalFormatting>
  <conditionalFormatting sqref="BK643">
    <cfRule type="expression" dxfId="1218" priority="1263">
      <formula>$AV643="POSITIF"</formula>
    </cfRule>
  </conditionalFormatting>
  <conditionalFormatting sqref="BK643">
    <cfRule type="expression" dxfId="1217" priority="1262">
      <formula>$AV643="POSITIF"</formula>
    </cfRule>
  </conditionalFormatting>
  <conditionalFormatting sqref="BK644">
    <cfRule type="expression" dxfId="1216" priority="1261">
      <formula>$AV644="POSITIF"</formula>
    </cfRule>
  </conditionalFormatting>
  <conditionalFormatting sqref="BK644">
    <cfRule type="expression" dxfId="1215" priority="1260">
      <formula>$AV644="POSITIF"</formula>
    </cfRule>
  </conditionalFormatting>
  <conditionalFormatting sqref="BK644">
    <cfRule type="expression" dxfId="1214" priority="1259">
      <formula>$AV644="POSITIF"</formula>
    </cfRule>
  </conditionalFormatting>
  <conditionalFormatting sqref="BK645">
    <cfRule type="expression" dxfId="1213" priority="1258">
      <formula>$AV645="POSITIF"</formula>
    </cfRule>
  </conditionalFormatting>
  <conditionalFormatting sqref="BK645">
    <cfRule type="expression" dxfId="1212" priority="1257">
      <formula>$AV645="POSITIF"</formula>
    </cfRule>
  </conditionalFormatting>
  <conditionalFormatting sqref="BK645">
    <cfRule type="expression" dxfId="1211" priority="1256">
      <formula>$AV645="POSITIF"</formula>
    </cfRule>
  </conditionalFormatting>
  <conditionalFormatting sqref="BK646">
    <cfRule type="expression" dxfId="1210" priority="1255">
      <formula>$AV646="POSITIF"</formula>
    </cfRule>
  </conditionalFormatting>
  <conditionalFormatting sqref="BK646">
    <cfRule type="expression" dxfId="1209" priority="1254">
      <formula>$AV646="POSITIF"</formula>
    </cfRule>
  </conditionalFormatting>
  <conditionalFormatting sqref="BK646">
    <cfRule type="expression" dxfId="1208" priority="1253">
      <formula>$AV646="POSITIF"</formula>
    </cfRule>
  </conditionalFormatting>
  <conditionalFormatting sqref="AU640:AU649">
    <cfRule type="expression" dxfId="1207" priority="1252">
      <formula>$AV640="POSITIF"</formula>
    </cfRule>
  </conditionalFormatting>
  <conditionalFormatting sqref="AU640:AU649">
    <cfRule type="expression" dxfId="1206" priority="1251">
      <formula>$AV640="POSITIF"</formula>
    </cfRule>
  </conditionalFormatting>
  <conditionalFormatting sqref="AV640:AV649">
    <cfRule type="expression" dxfId="1205" priority="1250">
      <formula>$AV640="POSITIF"</formula>
    </cfRule>
  </conditionalFormatting>
  <conditionalFormatting sqref="AY649">
    <cfRule type="expression" dxfId="1204" priority="1249">
      <formula>$AV649="POSITIF"</formula>
    </cfRule>
  </conditionalFormatting>
  <conditionalFormatting sqref="BG640:BG649">
    <cfRule type="expression" dxfId="1203" priority="1248">
      <formula>$AV640="POSITIF"</formula>
    </cfRule>
  </conditionalFormatting>
  <conditionalFormatting sqref="BG640:BG649">
    <cfRule type="expression" dxfId="1202" priority="1247">
      <formula>$AV640="POSITIF"</formula>
    </cfRule>
  </conditionalFormatting>
  <conditionalFormatting sqref="CQ640:CQ649">
    <cfRule type="expression" dxfId="1201" priority="1246">
      <formula>$AV640="POSITIF"</formula>
    </cfRule>
  </conditionalFormatting>
  <conditionalFormatting sqref="CQ640:CQ649">
    <cfRule type="expression" dxfId="1200" priority="1245">
      <formula>$AV640="POSITIF"</formula>
    </cfRule>
  </conditionalFormatting>
  <conditionalFormatting sqref="CW640:CW649">
    <cfRule type="expression" dxfId="1199" priority="1244">
      <formula>$AV640="POSITIF"</formula>
    </cfRule>
  </conditionalFormatting>
  <conditionalFormatting sqref="CW640:CW649">
    <cfRule type="expression" dxfId="1198" priority="1243">
      <formula>$AV640="POSITIF"</formula>
    </cfRule>
  </conditionalFormatting>
  <conditionalFormatting sqref="A640">
    <cfRule type="expression" dxfId="1197" priority="1237">
      <formula>$AV640="POSITIF"</formula>
    </cfRule>
  </conditionalFormatting>
  <conditionalFormatting sqref="A640">
    <cfRule type="duplicateValues" dxfId="1196" priority="1238"/>
  </conditionalFormatting>
  <conditionalFormatting sqref="A640">
    <cfRule type="duplicateValues" dxfId="1195" priority="1239"/>
    <cfRule type="duplicateValues" dxfId="1194" priority="1240"/>
    <cfRule type="duplicateValues" dxfId="1193" priority="1241"/>
    <cfRule type="duplicateValues" dxfId="1192" priority="1242"/>
  </conditionalFormatting>
  <conditionalFormatting sqref="A640">
    <cfRule type="expression" dxfId="1191" priority="1236">
      <formula>$AV640="POSITIF"</formula>
    </cfRule>
  </conditionalFormatting>
  <conditionalFormatting sqref="A640">
    <cfRule type="expression" dxfId="1190" priority="1235">
      <formula>$AV640="POSITIF"</formula>
    </cfRule>
  </conditionalFormatting>
  <conditionalFormatting sqref="A643:A646">
    <cfRule type="expression" dxfId="1189" priority="1229">
      <formula>$AV643="POSITIF"</formula>
    </cfRule>
  </conditionalFormatting>
  <conditionalFormatting sqref="A643:A646">
    <cfRule type="duplicateValues" dxfId="1188" priority="1230"/>
  </conditionalFormatting>
  <conditionalFormatting sqref="A643:A646">
    <cfRule type="duplicateValues" dxfId="1187" priority="1231"/>
    <cfRule type="duplicateValues" dxfId="1186" priority="1232"/>
    <cfRule type="duplicateValues" dxfId="1185" priority="1233"/>
    <cfRule type="duplicateValues" dxfId="1184" priority="1234"/>
  </conditionalFormatting>
  <conditionalFormatting sqref="A643:A646">
    <cfRule type="expression" dxfId="1183" priority="1228">
      <formula>$AV643="POSITIF"</formula>
    </cfRule>
  </conditionalFormatting>
  <conditionalFormatting sqref="A643:A646">
    <cfRule type="expression" dxfId="1182" priority="1227">
      <formula>$AV643="POSITIF"</formula>
    </cfRule>
  </conditionalFormatting>
  <conditionalFormatting sqref="P647:Q647 BF647:BG647 G648:H649 J647:J649 L647:N649 O648:Q649 V649 H650 CK649 E647:E651 L650:M651 Q650:Q651 BB647:BB651 BD650:BD651 BK646:DC646 BK648:BK651 BM647:BM651 BO647:BO651 AE648:AR649 BD648:BG649 AU647:AV648 AW647 BD647 BP647:BQ649 CK647 CZ647:CZ649 DB647:DB649 E653 M653 Q653 BD653 A587:BE587 BG587:DC587 A601:BE601 BG601:DC601 A499:BE499 BG499:DC499 A646:BI646 BR647:BS656 BG651:BG654 BR659 BS657:BS665 DC647:DC672 BJ646:BJ672 B647:C680 C681:C706 CI647:CI706 BF677:BF678 BF705 AY647 AY649 AY651:AY652 AY669:AY670 AY673:AY675 AY677:AY678 AY682 AY689 AY700 AY703:AY704 A2:DC498 A500:DC586 A588:DC600 A602:DC645 AU649:AW649 AV651:AV652 AV654 AV660 AV669:AV670 AV673:AV675 AV677:AV678 AV682 AV689 AV700 AV703:AV704">
    <cfRule type="expression" dxfId="1181" priority="1225">
      <formula>$AV2="POSITIF"</formula>
    </cfRule>
    <cfRule type="expression" dxfId="1180" priority="1226">
      <formula>"$AU2=""POSITIF"""</formula>
    </cfRule>
  </conditionalFormatting>
  <conditionalFormatting sqref="W649">
    <cfRule type="expression" dxfId="1179" priority="1223">
      <formula>$AV649="POSITIF"</formula>
    </cfRule>
    <cfRule type="expression" dxfId="1178" priority="1224">
      <formula>"$AU2=""POSITIF"""</formula>
    </cfRule>
  </conditionalFormatting>
  <conditionalFormatting sqref="X649">
    <cfRule type="expression" dxfId="1177" priority="1221">
      <formula>$AV649="POSITIF"</formula>
    </cfRule>
    <cfRule type="expression" dxfId="1176" priority="1222">
      <formula>"$AU2=""POSITIF"""</formula>
    </cfRule>
  </conditionalFormatting>
  <conditionalFormatting sqref="Y649">
    <cfRule type="expression" dxfId="1175" priority="1219">
      <formula>$AV649="POSITIF"</formula>
    </cfRule>
    <cfRule type="expression" dxfId="1174" priority="1220">
      <formula>"$AU2=""POSITIF"""</formula>
    </cfRule>
  </conditionalFormatting>
  <conditionalFormatting sqref="Z649">
    <cfRule type="expression" dxfId="1173" priority="1217">
      <formula>$AV649="POSITIF"</formula>
    </cfRule>
    <cfRule type="expression" dxfId="1172" priority="1218">
      <formula>"$AU2=""POSITIF"""</formula>
    </cfRule>
  </conditionalFormatting>
  <conditionalFormatting sqref="AA649">
    <cfRule type="expression" dxfId="1171" priority="1215">
      <formula>$AV649="POSITIF"</formula>
    </cfRule>
    <cfRule type="expression" dxfId="1170" priority="1216">
      <formula>"$AU2=""POSITIF"""</formula>
    </cfRule>
  </conditionalFormatting>
  <conditionalFormatting sqref="AB649">
    <cfRule type="expression" dxfId="1169" priority="1213">
      <formula>$AV649="POSITIF"</formula>
    </cfRule>
    <cfRule type="expression" dxfId="1168" priority="1214">
      <formula>"$AU2=""POSITIF"""</formula>
    </cfRule>
  </conditionalFormatting>
  <conditionalFormatting sqref="A647:A648">
    <cfRule type="expression" dxfId="1167" priority="1212">
      <formula>$AV647="POSITIF"</formula>
    </cfRule>
  </conditionalFormatting>
  <conditionalFormatting sqref="A647:A648">
    <cfRule type="expression" dxfId="1166" priority="1210">
      <formula>$AV647="POSITIF"</formula>
    </cfRule>
    <cfRule type="expression" dxfId="1165" priority="1211">
      <formula>"$AU2=""POSITIF"""</formula>
    </cfRule>
  </conditionalFormatting>
  <conditionalFormatting sqref="A651">
    <cfRule type="expression" dxfId="1164" priority="1209">
      <formula>$AV651="POSITIF"</formula>
    </cfRule>
  </conditionalFormatting>
  <conditionalFormatting sqref="A651">
    <cfRule type="expression" dxfId="1163" priority="1208">
      <formula>$AV651="POSITIF"</formula>
    </cfRule>
  </conditionalFormatting>
  <conditionalFormatting sqref="A651">
    <cfRule type="expression" dxfId="1162" priority="1206">
      <formula>$AV651="POSITIF"</formula>
    </cfRule>
    <cfRule type="expression" dxfId="1161" priority="1207">
      <formula>"$AU2=""POSITIF"""</formula>
    </cfRule>
  </conditionalFormatting>
  <conditionalFormatting sqref="A652">
    <cfRule type="expression" dxfId="1160" priority="1205">
      <formula>$AV652="POSITIF"</formula>
    </cfRule>
  </conditionalFormatting>
  <conditionalFormatting sqref="A652">
    <cfRule type="expression" dxfId="1159" priority="1204">
      <formula>$AV652="POSITIF"</formula>
    </cfRule>
  </conditionalFormatting>
  <conditionalFormatting sqref="A652">
    <cfRule type="expression" dxfId="1158" priority="1203">
      <formula>$AV652="POSITIF"</formula>
    </cfRule>
  </conditionalFormatting>
  <conditionalFormatting sqref="A652">
    <cfRule type="expression" dxfId="1157" priority="1171">
      <formula>$AV652="POSITIF"</formula>
    </cfRule>
  </conditionalFormatting>
  <conditionalFormatting sqref="A652">
    <cfRule type="duplicateValues" dxfId="1156" priority="1198"/>
  </conditionalFormatting>
  <conditionalFormatting sqref="A652">
    <cfRule type="duplicateValues" dxfId="1155" priority="1197"/>
  </conditionalFormatting>
  <conditionalFormatting sqref="A652">
    <cfRule type="duplicateValues" dxfId="1154" priority="1196"/>
  </conditionalFormatting>
  <conditionalFormatting sqref="A652">
    <cfRule type="duplicateValues" dxfId="1153" priority="1195"/>
  </conditionalFormatting>
  <conditionalFormatting sqref="A652">
    <cfRule type="duplicateValues" dxfId="1152" priority="1194"/>
  </conditionalFormatting>
  <conditionalFormatting sqref="A652">
    <cfRule type="duplicateValues" dxfId="1151" priority="1193"/>
  </conditionalFormatting>
  <conditionalFormatting sqref="A652">
    <cfRule type="duplicateValues" dxfId="1150" priority="1192"/>
  </conditionalFormatting>
  <conditionalFormatting sqref="A652">
    <cfRule type="duplicateValues" dxfId="1149" priority="1191"/>
  </conditionalFormatting>
  <conditionalFormatting sqref="A652">
    <cfRule type="duplicateValues" dxfId="1148" priority="1190"/>
  </conditionalFormatting>
  <conditionalFormatting sqref="A652">
    <cfRule type="duplicateValues" dxfId="1147" priority="1189"/>
  </conditionalFormatting>
  <conditionalFormatting sqref="A652">
    <cfRule type="duplicateValues" dxfId="1146" priority="1188"/>
  </conditionalFormatting>
  <conditionalFormatting sqref="A652">
    <cfRule type="duplicateValues" dxfId="1145" priority="1187"/>
  </conditionalFormatting>
  <conditionalFormatting sqref="A652">
    <cfRule type="duplicateValues" dxfId="1144" priority="1186"/>
  </conditionalFormatting>
  <conditionalFormatting sqref="A652">
    <cfRule type="duplicateValues" dxfId="1143" priority="1185"/>
  </conditionalFormatting>
  <conditionalFormatting sqref="A652">
    <cfRule type="duplicateValues" dxfId="1142" priority="1184"/>
  </conditionalFormatting>
  <conditionalFormatting sqref="A652">
    <cfRule type="duplicateValues" dxfId="1141" priority="1183"/>
  </conditionalFormatting>
  <conditionalFormatting sqref="A652">
    <cfRule type="duplicateValues" dxfId="1140" priority="1182"/>
  </conditionalFormatting>
  <conditionalFormatting sqref="A652">
    <cfRule type="duplicateValues" dxfId="1139" priority="1181"/>
  </conditionalFormatting>
  <conditionalFormatting sqref="A652">
    <cfRule type="duplicateValues" dxfId="1138" priority="1180"/>
  </conditionalFormatting>
  <conditionalFormatting sqref="A652">
    <cfRule type="duplicateValues" dxfId="1137" priority="1179"/>
  </conditionalFormatting>
  <conditionalFormatting sqref="A652">
    <cfRule type="duplicateValues" dxfId="1136" priority="1178"/>
  </conditionalFormatting>
  <conditionalFormatting sqref="A652">
    <cfRule type="duplicateValues" dxfId="1135" priority="1177"/>
  </conditionalFormatting>
  <conditionalFormatting sqref="A652">
    <cfRule type="duplicateValues" dxfId="1134" priority="1176"/>
  </conditionalFormatting>
  <conditionalFormatting sqref="A652">
    <cfRule type="duplicateValues" dxfId="1133" priority="1175"/>
  </conditionalFormatting>
  <conditionalFormatting sqref="A652">
    <cfRule type="duplicateValues" dxfId="1132" priority="1174"/>
  </conditionalFormatting>
  <conditionalFormatting sqref="A652">
    <cfRule type="duplicateValues" dxfId="1131" priority="1173"/>
  </conditionalFormatting>
  <conditionalFormatting sqref="A652">
    <cfRule type="duplicateValues" dxfId="1130" priority="1172"/>
  </conditionalFormatting>
  <conditionalFormatting sqref="A652">
    <cfRule type="duplicateValues" dxfId="1129" priority="1199"/>
  </conditionalFormatting>
  <conditionalFormatting sqref="A652">
    <cfRule type="duplicateValues" dxfId="1128" priority="1200"/>
  </conditionalFormatting>
  <conditionalFormatting sqref="A652">
    <cfRule type="duplicateValues" dxfId="1127" priority="1201"/>
  </conditionalFormatting>
  <conditionalFormatting sqref="A652">
    <cfRule type="duplicateValues" dxfId="1126" priority="1202"/>
  </conditionalFormatting>
  <conditionalFormatting sqref="A652">
    <cfRule type="expression" dxfId="1125" priority="1170">
      <formula>$AV652="POSITIF"</formula>
    </cfRule>
  </conditionalFormatting>
  <conditionalFormatting sqref="A652">
    <cfRule type="expression" dxfId="1124" priority="1138">
      <formula>$AV652="POSITIF"</formula>
    </cfRule>
  </conditionalFormatting>
  <conditionalFormatting sqref="A652">
    <cfRule type="duplicateValues" dxfId="1123" priority="1165"/>
  </conditionalFormatting>
  <conditionalFormatting sqref="A652">
    <cfRule type="duplicateValues" dxfId="1122" priority="1164"/>
  </conditionalFormatting>
  <conditionalFormatting sqref="A652">
    <cfRule type="duplicateValues" dxfId="1121" priority="1163"/>
  </conditionalFormatting>
  <conditionalFormatting sqref="A652">
    <cfRule type="duplicateValues" dxfId="1120" priority="1162"/>
  </conditionalFormatting>
  <conditionalFormatting sqref="A652">
    <cfRule type="duplicateValues" dxfId="1119" priority="1161"/>
  </conditionalFormatting>
  <conditionalFormatting sqref="A652">
    <cfRule type="duplicateValues" dxfId="1118" priority="1160"/>
  </conditionalFormatting>
  <conditionalFormatting sqref="A652">
    <cfRule type="duplicateValues" dxfId="1117" priority="1159"/>
  </conditionalFormatting>
  <conditionalFormatting sqref="A652">
    <cfRule type="duplicateValues" dxfId="1116" priority="1158"/>
  </conditionalFormatting>
  <conditionalFormatting sqref="A652">
    <cfRule type="duplicateValues" dxfId="1115" priority="1157"/>
  </conditionalFormatting>
  <conditionalFormatting sqref="A652">
    <cfRule type="duplicateValues" dxfId="1114" priority="1156"/>
  </conditionalFormatting>
  <conditionalFormatting sqref="A652">
    <cfRule type="duplicateValues" dxfId="1113" priority="1155"/>
  </conditionalFormatting>
  <conditionalFormatting sqref="A652">
    <cfRule type="duplicateValues" dxfId="1112" priority="1154"/>
  </conditionalFormatting>
  <conditionalFormatting sqref="A652">
    <cfRule type="duplicateValues" dxfId="1111" priority="1153"/>
  </conditionalFormatting>
  <conditionalFormatting sqref="A652">
    <cfRule type="duplicateValues" dxfId="1110" priority="1152"/>
  </conditionalFormatting>
  <conditionalFormatting sqref="A652">
    <cfRule type="duplicateValues" dxfId="1109" priority="1151"/>
  </conditionalFormatting>
  <conditionalFormatting sqref="A652">
    <cfRule type="duplicateValues" dxfId="1108" priority="1150"/>
  </conditionalFormatting>
  <conditionalFormatting sqref="A652">
    <cfRule type="duplicateValues" dxfId="1107" priority="1149"/>
  </conditionalFormatting>
  <conditionalFormatting sqref="A652">
    <cfRule type="duplicateValues" dxfId="1106" priority="1148"/>
  </conditionalFormatting>
  <conditionalFormatting sqref="A652">
    <cfRule type="duplicateValues" dxfId="1105" priority="1147"/>
  </conditionalFormatting>
  <conditionalFormatting sqref="A652">
    <cfRule type="duplicateValues" dxfId="1104" priority="1146"/>
  </conditionalFormatting>
  <conditionalFormatting sqref="A652">
    <cfRule type="duplicateValues" dxfId="1103" priority="1145"/>
  </conditionalFormatting>
  <conditionalFormatting sqref="A652">
    <cfRule type="duplicateValues" dxfId="1102" priority="1144"/>
  </conditionalFormatting>
  <conditionalFormatting sqref="A652">
    <cfRule type="duplicateValues" dxfId="1101" priority="1143"/>
  </conditionalFormatting>
  <conditionalFormatting sqref="A652">
    <cfRule type="duplicateValues" dxfId="1100" priority="1142"/>
  </conditionalFormatting>
  <conditionalFormatting sqref="A652">
    <cfRule type="duplicateValues" dxfId="1099" priority="1141"/>
  </conditionalFormatting>
  <conditionalFormatting sqref="A652">
    <cfRule type="duplicateValues" dxfId="1098" priority="1140"/>
  </conditionalFormatting>
  <conditionalFormatting sqref="A652">
    <cfRule type="duplicateValues" dxfId="1097" priority="1139"/>
  </conditionalFormatting>
  <conditionalFormatting sqref="A652">
    <cfRule type="duplicateValues" dxfId="1096" priority="1166"/>
  </conditionalFormatting>
  <conditionalFormatting sqref="A652">
    <cfRule type="duplicateValues" dxfId="1095" priority="1167"/>
  </conditionalFormatting>
  <conditionalFormatting sqref="A652">
    <cfRule type="duplicateValues" dxfId="1094" priority="1168"/>
  </conditionalFormatting>
  <conditionalFormatting sqref="A652">
    <cfRule type="duplicateValues" dxfId="1093" priority="1169"/>
  </conditionalFormatting>
  <conditionalFormatting sqref="A652">
    <cfRule type="expression" dxfId="1092" priority="1137">
      <formula>$AV652="POSITIF"</formula>
    </cfRule>
  </conditionalFormatting>
  <conditionalFormatting sqref="A652">
    <cfRule type="expression" dxfId="1091" priority="1136">
      <formula>$AV652="POSITIF"</formula>
    </cfRule>
  </conditionalFormatting>
  <conditionalFormatting sqref="A652">
    <cfRule type="expression" dxfId="1090" priority="1135">
      <formula>$AV652="POSITIF"</formula>
    </cfRule>
  </conditionalFormatting>
  <conditionalFormatting sqref="A652">
    <cfRule type="expression" dxfId="1089" priority="1134">
      <formula>$AV652="POSITIF"</formula>
    </cfRule>
  </conditionalFormatting>
  <conditionalFormatting sqref="A652">
    <cfRule type="expression" dxfId="1088" priority="1133">
      <formula>$AV652="POSITIF"</formula>
    </cfRule>
  </conditionalFormatting>
  <conditionalFormatting sqref="A652">
    <cfRule type="expression" dxfId="1087" priority="1132">
      <formula>$AV652="POSITIF"</formula>
    </cfRule>
  </conditionalFormatting>
  <conditionalFormatting sqref="A652">
    <cfRule type="expression" dxfId="1086" priority="1130">
      <formula>$AV652="POSITIF"</formula>
    </cfRule>
    <cfRule type="expression" dxfId="1085" priority="1131">
      <formula>"$AU2=""POSITIF"""</formula>
    </cfRule>
  </conditionalFormatting>
  <conditionalFormatting sqref="E653">
    <cfRule type="expression" dxfId="1084" priority="1129">
      <formula>$AV653="POSITIF"</formula>
    </cfRule>
  </conditionalFormatting>
  <conditionalFormatting sqref="Q640">
    <cfRule type="expression" dxfId="1083" priority="1128">
      <formula>$AV640="POSITIF"</formula>
    </cfRule>
  </conditionalFormatting>
  <conditionalFormatting sqref="Q640">
    <cfRule type="expression" dxfId="1082" priority="1127">
      <formula>$AV640="POSITIF"</formula>
    </cfRule>
  </conditionalFormatting>
  <conditionalFormatting sqref="Q640">
    <cfRule type="expression" dxfId="1081" priority="1126">
      <formula>$AV640="POSITIF"</formula>
    </cfRule>
  </conditionalFormatting>
  <conditionalFormatting sqref="A653">
    <cfRule type="expression" dxfId="1080" priority="1125">
      <formula>$AV653="POSITIF"</formula>
    </cfRule>
  </conditionalFormatting>
  <conditionalFormatting sqref="A653">
    <cfRule type="expression" dxfId="1079" priority="1124">
      <formula>$AV653="POSITIF"</formula>
    </cfRule>
  </conditionalFormatting>
  <conditionalFormatting sqref="A653">
    <cfRule type="expression" dxfId="1078" priority="1123">
      <formula>$AV653="POSITIF"</formula>
    </cfRule>
  </conditionalFormatting>
  <conditionalFormatting sqref="A653">
    <cfRule type="expression" dxfId="1077" priority="1122">
      <formula>$AV653="POSITIF"</formula>
    </cfRule>
  </conditionalFormatting>
  <conditionalFormatting sqref="A653">
    <cfRule type="expression" dxfId="1076" priority="1121">
      <formula>$AV653="POSITIF"</formula>
    </cfRule>
  </conditionalFormatting>
  <conditionalFormatting sqref="A653">
    <cfRule type="expression" dxfId="1075" priority="1120">
      <formula>$AV653="POSITIF"</formula>
    </cfRule>
  </conditionalFormatting>
  <conditionalFormatting sqref="A653">
    <cfRule type="expression" dxfId="1074" priority="1119">
      <formula>$AV653="POSITIF"</formula>
    </cfRule>
  </conditionalFormatting>
  <conditionalFormatting sqref="A653">
    <cfRule type="expression" dxfId="1073" priority="1118">
      <formula>$AV653="POSITIF"</formula>
    </cfRule>
  </conditionalFormatting>
  <conditionalFormatting sqref="A653">
    <cfRule type="expression" dxfId="1072" priority="1116">
      <formula>$AV653="POSITIF"</formula>
    </cfRule>
    <cfRule type="expression" dxfId="1071" priority="1117">
      <formula>"$AU2=""POSITIF"""</formula>
    </cfRule>
  </conditionalFormatting>
  <conditionalFormatting sqref="A653">
    <cfRule type="expression" dxfId="1070" priority="1115">
      <formula>$AV653="POSITIF"</formula>
    </cfRule>
  </conditionalFormatting>
  <conditionalFormatting sqref="BF587">
    <cfRule type="expression" dxfId="1069" priority="1114">
      <formula>$AV587="POSITIF"</formula>
    </cfRule>
  </conditionalFormatting>
  <conditionalFormatting sqref="BF587">
    <cfRule type="expression" dxfId="1068" priority="1113">
      <formula>$AV587="POSITIF"</formula>
    </cfRule>
  </conditionalFormatting>
  <conditionalFormatting sqref="BF587">
    <cfRule type="expression" dxfId="1067" priority="1112">
      <formula>$AV587="POSITIF"</formula>
    </cfRule>
  </conditionalFormatting>
  <conditionalFormatting sqref="BF587">
    <cfRule type="expression" dxfId="1066" priority="1111">
      <formula>$AV587="POSITIF"</formula>
    </cfRule>
  </conditionalFormatting>
  <conditionalFormatting sqref="BF587">
    <cfRule type="expression" dxfId="1065" priority="1110">
      <formula>$AV587="POSITIF"</formula>
    </cfRule>
  </conditionalFormatting>
  <conditionalFormatting sqref="BF587">
    <cfRule type="expression" dxfId="1064" priority="1109">
      <formula>$AV587="POSITIF"</formula>
    </cfRule>
  </conditionalFormatting>
  <conditionalFormatting sqref="BF587">
    <cfRule type="expression" dxfId="1063" priority="1108">
      <formula>$AV587="POSITIF"</formula>
    </cfRule>
  </conditionalFormatting>
  <conditionalFormatting sqref="BF587">
    <cfRule type="expression" dxfId="1062" priority="1107">
      <formula>$AV587="POSITIF"</formula>
    </cfRule>
  </conditionalFormatting>
  <conditionalFormatting sqref="BF587">
    <cfRule type="expression" dxfId="1061" priority="1105">
      <formula>$AV587="POSITIF"</formula>
    </cfRule>
    <cfRule type="expression" dxfId="1060" priority="1106">
      <formula>"$AU2=""POSITIF"""</formula>
    </cfRule>
  </conditionalFormatting>
  <conditionalFormatting sqref="BF587">
    <cfRule type="expression" dxfId="1059" priority="1104">
      <formula>$AV587="POSITIF"</formula>
    </cfRule>
  </conditionalFormatting>
  <conditionalFormatting sqref="BF499">
    <cfRule type="expression" dxfId="1058" priority="1103">
      <formula>$AV499="POSITIF"</formula>
    </cfRule>
  </conditionalFormatting>
  <conditionalFormatting sqref="BF499">
    <cfRule type="expression" dxfId="1057" priority="1102">
      <formula>$AV499="POSITIF"</formula>
    </cfRule>
  </conditionalFormatting>
  <conditionalFormatting sqref="BF499">
    <cfRule type="expression" dxfId="1056" priority="1101">
      <formula>$AV499="POSITIF"</formula>
    </cfRule>
  </conditionalFormatting>
  <conditionalFormatting sqref="BF499">
    <cfRule type="expression" dxfId="1055" priority="1100">
      <formula>$AV499="POSITIF"</formula>
    </cfRule>
  </conditionalFormatting>
  <conditionalFormatting sqref="BF499">
    <cfRule type="expression" dxfId="1054" priority="1099">
      <formula>$AV499="POSITIF"</formula>
    </cfRule>
  </conditionalFormatting>
  <conditionalFormatting sqref="BF499">
    <cfRule type="expression" dxfId="1053" priority="1098">
      <formula>$AV499="POSITIF"</formula>
    </cfRule>
  </conditionalFormatting>
  <conditionalFormatting sqref="BF499">
    <cfRule type="expression" dxfId="1052" priority="1097">
      <formula>$AV499="POSITIF"</formula>
    </cfRule>
  </conditionalFormatting>
  <conditionalFormatting sqref="BF499">
    <cfRule type="expression" dxfId="1051" priority="1096">
      <formula>$AV499="POSITIF"</formula>
    </cfRule>
  </conditionalFormatting>
  <conditionalFormatting sqref="BF499">
    <cfRule type="expression" dxfId="1050" priority="1094">
      <formula>$AV499="POSITIF"</formula>
    </cfRule>
    <cfRule type="expression" dxfId="1049" priority="1095">
      <formula>"$AU2=""POSITIF"""</formula>
    </cfRule>
  </conditionalFormatting>
  <conditionalFormatting sqref="BF499">
    <cfRule type="expression" dxfId="1048" priority="1093">
      <formula>$AV499="POSITIF"</formula>
    </cfRule>
  </conditionalFormatting>
  <conditionalFormatting sqref="BF646">
    <cfRule type="expression" dxfId="1047" priority="1092">
      <formula>$AV646="POSITIF"</formula>
    </cfRule>
  </conditionalFormatting>
  <conditionalFormatting sqref="BF646">
    <cfRule type="expression" dxfId="1046" priority="1091">
      <formula>$AV646="POSITIF"</formula>
    </cfRule>
  </conditionalFormatting>
  <conditionalFormatting sqref="BF646">
    <cfRule type="expression" dxfId="1045" priority="1090">
      <formula>$AV646="POSITIF"</formula>
    </cfRule>
  </conditionalFormatting>
  <conditionalFormatting sqref="BF646">
    <cfRule type="expression" dxfId="1044" priority="1089">
      <formula>$AV646="POSITIF"</formula>
    </cfRule>
  </conditionalFormatting>
  <conditionalFormatting sqref="BF203">
    <cfRule type="expression" dxfId="1043" priority="1088">
      <formula>$AV203="POSITIF"</formula>
    </cfRule>
  </conditionalFormatting>
  <conditionalFormatting sqref="A654">
    <cfRule type="expression" dxfId="1042" priority="1087">
      <formula>$AV654="POSITIF"</formula>
    </cfRule>
  </conditionalFormatting>
  <conditionalFormatting sqref="A654">
    <cfRule type="expression" dxfId="1041" priority="1086">
      <formula>$AV654="POSITIF"</formula>
    </cfRule>
  </conditionalFormatting>
  <conditionalFormatting sqref="A654">
    <cfRule type="expression" dxfId="1040" priority="1079">
      <formula>$AV654="POSITIF"</formula>
    </cfRule>
  </conditionalFormatting>
  <conditionalFormatting sqref="A654">
    <cfRule type="expression" dxfId="1039" priority="1081">
      <formula>$AV654="POSITIF"</formula>
    </cfRule>
  </conditionalFormatting>
  <conditionalFormatting sqref="A654">
    <cfRule type="duplicateValues" dxfId="1038" priority="1080"/>
  </conditionalFormatting>
  <conditionalFormatting sqref="A654">
    <cfRule type="duplicateValues" dxfId="1037" priority="1082"/>
  </conditionalFormatting>
  <conditionalFormatting sqref="A654">
    <cfRule type="duplicateValues" dxfId="1036" priority="1083"/>
  </conditionalFormatting>
  <conditionalFormatting sqref="A654">
    <cfRule type="duplicateValues" dxfId="1035" priority="1084"/>
  </conditionalFormatting>
  <conditionalFormatting sqref="A654">
    <cfRule type="duplicateValues" dxfId="1034" priority="1085"/>
  </conditionalFormatting>
  <conditionalFormatting sqref="A654">
    <cfRule type="expression" dxfId="1033" priority="1078">
      <formula>$AV654="POSITIF"</formula>
    </cfRule>
  </conditionalFormatting>
  <conditionalFormatting sqref="A654">
    <cfRule type="expression" dxfId="1032" priority="1077">
      <formula>$AV654="POSITIF"</formula>
    </cfRule>
  </conditionalFormatting>
  <conditionalFormatting sqref="A654">
    <cfRule type="expression" dxfId="1031" priority="1076">
      <formula>$AV654="POSITIF"</formula>
    </cfRule>
  </conditionalFormatting>
  <conditionalFormatting sqref="A654">
    <cfRule type="expression" dxfId="1030" priority="1075">
      <formula>$AV654="POSITIF"</formula>
    </cfRule>
  </conditionalFormatting>
  <conditionalFormatting sqref="A654">
    <cfRule type="expression" dxfId="1029" priority="1074">
      <formula>$AV654="POSITIF"</formula>
    </cfRule>
  </conditionalFormatting>
  <conditionalFormatting sqref="A654">
    <cfRule type="expression" dxfId="1028" priority="1072">
      <formula>$AV654="POSITIF"</formula>
    </cfRule>
    <cfRule type="expression" dxfId="1027" priority="1073">
      <formula>"$AU2=""POSITIF"""</formula>
    </cfRule>
  </conditionalFormatting>
  <conditionalFormatting sqref="A654">
    <cfRule type="expression" dxfId="1026" priority="1071">
      <formula>$AV654="POSITIF"</formula>
    </cfRule>
  </conditionalFormatting>
  <conditionalFormatting sqref="A655">
    <cfRule type="expression" dxfId="1025" priority="1070">
      <formula>$AV655="POSITIF"</formula>
    </cfRule>
  </conditionalFormatting>
  <conditionalFormatting sqref="A655">
    <cfRule type="expression" dxfId="1024" priority="1021">
      <formula>$AV656="POSITIF"</formula>
    </cfRule>
  </conditionalFormatting>
  <conditionalFormatting sqref="A655">
    <cfRule type="duplicateValues" dxfId="1023" priority="1065"/>
  </conditionalFormatting>
  <conditionalFormatting sqref="A655">
    <cfRule type="duplicateValues" dxfId="1022" priority="1064"/>
  </conditionalFormatting>
  <conditionalFormatting sqref="A655">
    <cfRule type="duplicateValues" dxfId="1021" priority="1063"/>
  </conditionalFormatting>
  <conditionalFormatting sqref="A655">
    <cfRule type="duplicateValues" dxfId="1020" priority="1062"/>
  </conditionalFormatting>
  <conditionalFormatting sqref="A655">
    <cfRule type="duplicateValues" dxfId="1019" priority="1061"/>
  </conditionalFormatting>
  <conditionalFormatting sqref="A655">
    <cfRule type="duplicateValues" dxfId="1018" priority="1060"/>
  </conditionalFormatting>
  <conditionalFormatting sqref="A655">
    <cfRule type="duplicateValues" dxfId="1017" priority="1059"/>
  </conditionalFormatting>
  <conditionalFormatting sqref="A655">
    <cfRule type="duplicateValues" dxfId="1016" priority="1058"/>
  </conditionalFormatting>
  <conditionalFormatting sqref="A655">
    <cfRule type="duplicateValues" dxfId="1015" priority="1057"/>
  </conditionalFormatting>
  <conditionalFormatting sqref="A655">
    <cfRule type="duplicateValues" dxfId="1014" priority="1056"/>
  </conditionalFormatting>
  <conditionalFormatting sqref="A655">
    <cfRule type="duplicateValues" dxfId="1013" priority="1055"/>
  </conditionalFormatting>
  <conditionalFormatting sqref="A655">
    <cfRule type="duplicateValues" dxfId="1012" priority="1054"/>
  </conditionalFormatting>
  <conditionalFormatting sqref="A655">
    <cfRule type="duplicateValues" dxfId="1011" priority="1053"/>
  </conditionalFormatting>
  <conditionalFormatting sqref="A655">
    <cfRule type="duplicateValues" dxfId="1010" priority="1052"/>
  </conditionalFormatting>
  <conditionalFormatting sqref="A655">
    <cfRule type="duplicateValues" dxfId="1009" priority="1051"/>
  </conditionalFormatting>
  <conditionalFormatting sqref="A655">
    <cfRule type="duplicateValues" dxfId="1008" priority="1050"/>
  </conditionalFormatting>
  <conditionalFormatting sqref="A655">
    <cfRule type="duplicateValues" dxfId="1007" priority="1049"/>
  </conditionalFormatting>
  <conditionalFormatting sqref="A655">
    <cfRule type="duplicateValues" dxfId="1006" priority="1048"/>
  </conditionalFormatting>
  <conditionalFormatting sqref="A655">
    <cfRule type="duplicateValues" dxfId="1005" priority="1047"/>
  </conditionalFormatting>
  <conditionalFormatting sqref="A655">
    <cfRule type="duplicateValues" dxfId="1004" priority="1046"/>
  </conditionalFormatting>
  <conditionalFormatting sqref="A655">
    <cfRule type="duplicateValues" dxfId="1003" priority="1045"/>
  </conditionalFormatting>
  <conditionalFormatting sqref="A655">
    <cfRule type="duplicateValues" dxfId="1002" priority="1044"/>
  </conditionalFormatting>
  <conditionalFormatting sqref="A655">
    <cfRule type="duplicateValues" dxfId="1001" priority="1043"/>
  </conditionalFormatting>
  <conditionalFormatting sqref="A655">
    <cfRule type="duplicateValues" dxfId="1000" priority="1042"/>
  </conditionalFormatting>
  <conditionalFormatting sqref="A655">
    <cfRule type="duplicateValues" dxfId="999" priority="1041"/>
  </conditionalFormatting>
  <conditionalFormatting sqref="A655">
    <cfRule type="duplicateValues" dxfId="998" priority="1040"/>
  </conditionalFormatting>
  <conditionalFormatting sqref="A655">
    <cfRule type="duplicateValues" dxfId="997" priority="1039"/>
  </conditionalFormatting>
  <conditionalFormatting sqref="A655">
    <cfRule type="duplicateValues" dxfId="996" priority="1038"/>
  </conditionalFormatting>
  <conditionalFormatting sqref="A655">
    <cfRule type="duplicateValues" dxfId="995" priority="1037"/>
  </conditionalFormatting>
  <conditionalFormatting sqref="A655">
    <cfRule type="duplicateValues" dxfId="994" priority="1036"/>
  </conditionalFormatting>
  <conditionalFormatting sqref="A655">
    <cfRule type="duplicateValues" dxfId="993" priority="1035"/>
  </conditionalFormatting>
  <conditionalFormatting sqref="A655">
    <cfRule type="duplicateValues" dxfId="992" priority="1034"/>
  </conditionalFormatting>
  <conditionalFormatting sqref="A655">
    <cfRule type="duplicateValues" dxfId="991" priority="1033"/>
  </conditionalFormatting>
  <conditionalFormatting sqref="A655">
    <cfRule type="duplicateValues" dxfId="990" priority="1032"/>
  </conditionalFormatting>
  <conditionalFormatting sqref="A655">
    <cfRule type="duplicateValues" dxfId="989" priority="1031"/>
  </conditionalFormatting>
  <conditionalFormatting sqref="A655">
    <cfRule type="duplicateValues" dxfId="988" priority="1030"/>
  </conditionalFormatting>
  <conditionalFormatting sqref="A655">
    <cfRule type="duplicateValues" dxfId="987" priority="1029"/>
  </conditionalFormatting>
  <conditionalFormatting sqref="A655">
    <cfRule type="duplicateValues" dxfId="986" priority="1028"/>
  </conditionalFormatting>
  <conditionalFormatting sqref="A655">
    <cfRule type="duplicateValues" dxfId="985" priority="1027"/>
  </conditionalFormatting>
  <conditionalFormatting sqref="A655">
    <cfRule type="duplicateValues" dxfId="984" priority="1026"/>
  </conditionalFormatting>
  <conditionalFormatting sqref="A655">
    <cfRule type="duplicateValues" dxfId="983" priority="1025"/>
  </conditionalFormatting>
  <conditionalFormatting sqref="A655">
    <cfRule type="duplicateValues" dxfId="982" priority="1024"/>
  </conditionalFormatting>
  <conditionalFormatting sqref="A655">
    <cfRule type="duplicateValues" dxfId="981" priority="1023"/>
  </conditionalFormatting>
  <conditionalFormatting sqref="A655">
    <cfRule type="duplicateValues" dxfId="980" priority="1022"/>
  </conditionalFormatting>
  <conditionalFormatting sqref="A655">
    <cfRule type="duplicateValues" dxfId="979" priority="1066"/>
  </conditionalFormatting>
  <conditionalFormatting sqref="A655">
    <cfRule type="duplicateValues" dxfId="978" priority="1067"/>
  </conditionalFormatting>
  <conditionalFormatting sqref="A655">
    <cfRule type="duplicateValues" dxfId="977" priority="1068"/>
  </conditionalFormatting>
  <conditionalFormatting sqref="A655">
    <cfRule type="duplicateValues" dxfId="976" priority="1069"/>
  </conditionalFormatting>
  <conditionalFormatting sqref="A655">
    <cfRule type="expression" dxfId="975" priority="1020">
      <formula>$AV656="POSITIF"</formula>
    </cfRule>
  </conditionalFormatting>
  <conditionalFormatting sqref="A655">
    <cfRule type="expression" dxfId="974" priority="1019">
      <formula>$AV656="POSITIF"</formula>
    </cfRule>
  </conditionalFormatting>
  <conditionalFormatting sqref="A655">
    <cfRule type="expression" dxfId="973" priority="1018">
      <formula>$AV656="POSITIF"</formula>
    </cfRule>
  </conditionalFormatting>
  <conditionalFormatting sqref="A655">
    <cfRule type="expression" dxfId="972" priority="1017">
      <formula>$AV656="POSITIF"</formula>
    </cfRule>
  </conditionalFormatting>
  <conditionalFormatting sqref="A655">
    <cfRule type="expression" dxfId="971" priority="1016">
      <formula>$AV655="POSITIF"</formula>
    </cfRule>
  </conditionalFormatting>
  <conditionalFormatting sqref="A655">
    <cfRule type="expression" dxfId="970" priority="1015">
      <formula>$AV655="POSITIF"</formula>
    </cfRule>
  </conditionalFormatting>
  <conditionalFormatting sqref="A655">
    <cfRule type="expression" dxfId="969" priority="1014">
      <formula>$AV655="POSITIF"</formula>
    </cfRule>
  </conditionalFormatting>
  <conditionalFormatting sqref="A655">
    <cfRule type="expression" dxfId="968" priority="1012">
      <formula>$AV655="POSITIF"</formula>
    </cfRule>
    <cfRule type="expression" dxfId="967" priority="1013">
      <formula>"$AU2=""POSITIF"""</formula>
    </cfRule>
  </conditionalFormatting>
  <conditionalFormatting sqref="A655">
    <cfRule type="expression" dxfId="966" priority="1011">
      <formula>$AV655="POSITIF"</formula>
    </cfRule>
  </conditionalFormatting>
  <conditionalFormatting sqref="A657:A659">
    <cfRule type="expression" dxfId="965" priority="1009">
      <formula>$AV657="POSITIF"</formula>
    </cfRule>
  </conditionalFormatting>
  <conditionalFormatting sqref="A657:A659">
    <cfRule type="expression" dxfId="964" priority="1007">
      <formula>$AV657="POSITIF"</formula>
    </cfRule>
    <cfRule type="expression" dxfId="963" priority="1008">
      <formula>"$AU2=""POSITIF"""</formula>
    </cfRule>
  </conditionalFormatting>
  <conditionalFormatting sqref="A657:A659">
    <cfRule type="expression" dxfId="962" priority="1006">
      <formula>$AV657="POSITIF"</formula>
    </cfRule>
  </conditionalFormatting>
  <conditionalFormatting sqref="A660">
    <cfRule type="expression" dxfId="961" priority="1005">
      <formula>$AV660="POSITIF"</formula>
    </cfRule>
  </conditionalFormatting>
  <conditionalFormatting sqref="A660">
    <cfRule type="expression" dxfId="960" priority="1004">
      <formula>$AV660="POSITIF"</formula>
    </cfRule>
  </conditionalFormatting>
  <conditionalFormatting sqref="A660">
    <cfRule type="expression" dxfId="959" priority="971">
      <formula>$AV660="POSITIF"</formula>
    </cfRule>
  </conditionalFormatting>
  <conditionalFormatting sqref="A660">
    <cfRule type="duplicateValues" dxfId="958" priority="999"/>
  </conditionalFormatting>
  <conditionalFormatting sqref="A660">
    <cfRule type="duplicateValues" dxfId="957" priority="998"/>
  </conditionalFormatting>
  <conditionalFormatting sqref="A660">
    <cfRule type="duplicateValues" dxfId="956" priority="997"/>
  </conditionalFormatting>
  <conditionalFormatting sqref="A660">
    <cfRule type="duplicateValues" dxfId="955" priority="996"/>
  </conditionalFormatting>
  <conditionalFormatting sqref="A660">
    <cfRule type="duplicateValues" dxfId="954" priority="995"/>
  </conditionalFormatting>
  <conditionalFormatting sqref="A660">
    <cfRule type="duplicateValues" dxfId="953" priority="994"/>
  </conditionalFormatting>
  <conditionalFormatting sqref="A660">
    <cfRule type="duplicateValues" dxfId="952" priority="993"/>
  </conditionalFormatting>
  <conditionalFormatting sqref="A660">
    <cfRule type="duplicateValues" dxfId="951" priority="992"/>
  </conditionalFormatting>
  <conditionalFormatting sqref="A660">
    <cfRule type="duplicateValues" dxfId="950" priority="991"/>
  </conditionalFormatting>
  <conditionalFormatting sqref="A660">
    <cfRule type="duplicateValues" dxfId="949" priority="990"/>
  </conditionalFormatting>
  <conditionalFormatting sqref="A660">
    <cfRule type="duplicateValues" dxfId="948" priority="989"/>
  </conditionalFormatting>
  <conditionalFormatting sqref="A660">
    <cfRule type="duplicateValues" dxfId="947" priority="988"/>
  </conditionalFormatting>
  <conditionalFormatting sqref="A660">
    <cfRule type="duplicateValues" dxfId="946" priority="987"/>
  </conditionalFormatting>
  <conditionalFormatting sqref="A660">
    <cfRule type="duplicateValues" dxfId="945" priority="986"/>
  </conditionalFormatting>
  <conditionalFormatting sqref="A660">
    <cfRule type="duplicateValues" dxfId="944" priority="985"/>
  </conditionalFormatting>
  <conditionalFormatting sqref="A660">
    <cfRule type="duplicateValues" dxfId="943" priority="984"/>
  </conditionalFormatting>
  <conditionalFormatting sqref="A660">
    <cfRule type="duplicateValues" dxfId="942" priority="983"/>
  </conditionalFormatting>
  <conditionalFormatting sqref="A660">
    <cfRule type="duplicateValues" dxfId="941" priority="982"/>
  </conditionalFormatting>
  <conditionalFormatting sqref="A660">
    <cfRule type="duplicateValues" dxfId="940" priority="981"/>
  </conditionalFormatting>
  <conditionalFormatting sqref="A660">
    <cfRule type="duplicateValues" dxfId="939" priority="980"/>
  </conditionalFormatting>
  <conditionalFormatting sqref="A660">
    <cfRule type="duplicateValues" dxfId="938" priority="979"/>
  </conditionalFormatting>
  <conditionalFormatting sqref="A660">
    <cfRule type="duplicateValues" dxfId="937" priority="978"/>
  </conditionalFormatting>
  <conditionalFormatting sqref="A660">
    <cfRule type="duplicateValues" dxfId="936" priority="977"/>
  </conditionalFormatting>
  <conditionalFormatting sqref="A660">
    <cfRule type="duplicateValues" dxfId="935" priority="976"/>
  </conditionalFormatting>
  <conditionalFormatting sqref="A660">
    <cfRule type="duplicateValues" dxfId="934" priority="975"/>
  </conditionalFormatting>
  <conditionalFormatting sqref="A660">
    <cfRule type="duplicateValues" dxfId="933" priority="974"/>
  </conditionalFormatting>
  <conditionalFormatting sqref="A660">
    <cfRule type="duplicateValues" dxfId="932" priority="973"/>
  </conditionalFormatting>
  <conditionalFormatting sqref="A660">
    <cfRule type="duplicateValues" dxfId="931" priority="972"/>
  </conditionalFormatting>
  <conditionalFormatting sqref="A660">
    <cfRule type="duplicateValues" dxfId="930" priority="1000"/>
  </conditionalFormatting>
  <conditionalFormatting sqref="A660">
    <cfRule type="duplicateValues" dxfId="929" priority="1001"/>
  </conditionalFormatting>
  <conditionalFormatting sqref="A660">
    <cfRule type="duplicateValues" dxfId="928" priority="1002"/>
  </conditionalFormatting>
  <conditionalFormatting sqref="A660">
    <cfRule type="duplicateValues" dxfId="927" priority="1003"/>
  </conditionalFormatting>
  <conditionalFormatting sqref="A660">
    <cfRule type="expression" dxfId="926" priority="970">
      <formula>$AV660="POSITIF"</formula>
    </cfRule>
  </conditionalFormatting>
  <conditionalFormatting sqref="A660">
    <cfRule type="expression" dxfId="925" priority="969">
      <formula>$AV660="POSITIF"</formula>
    </cfRule>
  </conditionalFormatting>
  <conditionalFormatting sqref="A660">
    <cfRule type="expression" dxfId="924" priority="968">
      <formula>$AV660="POSITIF"</formula>
    </cfRule>
  </conditionalFormatting>
  <conditionalFormatting sqref="A660">
    <cfRule type="expression" dxfId="923" priority="967">
      <formula>$AV660="POSITIF"</formula>
    </cfRule>
  </conditionalFormatting>
  <conditionalFormatting sqref="A660">
    <cfRule type="expression" dxfId="922" priority="966">
      <formula>$AV660="POSITIF"</formula>
    </cfRule>
  </conditionalFormatting>
  <conditionalFormatting sqref="A660">
    <cfRule type="expression" dxfId="921" priority="965">
      <formula>$AV660="POSITIF"</formula>
    </cfRule>
  </conditionalFormatting>
  <conditionalFormatting sqref="A660">
    <cfRule type="expression" dxfId="920" priority="963">
      <formula>$AV660="POSITIF"</formula>
    </cfRule>
    <cfRule type="expression" dxfId="919" priority="964">
      <formula>"$AU2=""POSITIF"""</formula>
    </cfRule>
  </conditionalFormatting>
  <conditionalFormatting sqref="A660">
    <cfRule type="expression" dxfId="918" priority="962">
      <formula>$AV660="POSITIF"</formula>
    </cfRule>
  </conditionalFormatting>
  <conditionalFormatting sqref="D666:BI668">
    <cfRule type="expression" dxfId="917" priority="903">
      <formula>"$AU2=""POSITIF"""</formula>
    </cfRule>
  </conditionalFormatting>
  <conditionalFormatting sqref="BM666:BN668 BR669:BU670 E671 H671 L671:N671 Q671 AC671 BB671 BF671 BK671 BM671 BK666:BK668 BP666:BU668 BS671:BS706 D666:BI668">
    <cfRule type="expression" dxfId="916" priority="902">
      <formula>$AV666="POSITIF"</formula>
    </cfRule>
  </conditionalFormatting>
  <conditionalFormatting sqref="BM666:BN668 BR669:BU670 E671 H671 L671:N671 Q671 AC671 BB671 BF671 BK671 BM671 BK666:BK668 BP666:BU668 BS671:BS706">
    <cfRule type="expression" dxfId="915" priority="905">
      <formula>"$AU2=""POSITIF"""</formula>
    </cfRule>
  </conditionalFormatting>
  <conditionalFormatting sqref="F666:F668">
    <cfRule type="duplicateValues" dxfId="914" priority="916"/>
    <cfRule type="duplicateValues" dxfId="913" priority="919"/>
    <cfRule type="duplicateValues" dxfId="912" priority="922"/>
    <cfRule type="duplicateValues" dxfId="911" priority="925"/>
    <cfRule type="duplicateValues" dxfId="910" priority="928"/>
    <cfRule type="duplicateValues" dxfId="909" priority="929"/>
    <cfRule type="duplicateValues" dxfId="908" priority="932"/>
    <cfRule type="duplicateValues" dxfId="907" priority="934"/>
    <cfRule type="duplicateValues" dxfId="906" priority="935"/>
    <cfRule type="duplicateValues" dxfId="905" priority="936"/>
    <cfRule type="duplicateValues" dxfId="904" priority="937"/>
    <cfRule type="duplicateValues" dxfId="903" priority="939"/>
    <cfRule type="duplicateValues" dxfId="902" priority="940"/>
    <cfRule type="duplicateValues" dxfId="901" priority="942"/>
    <cfRule type="duplicateValues" dxfId="900" priority="947"/>
  </conditionalFormatting>
  <conditionalFormatting sqref="CP666:CP668">
    <cfRule type="expression" dxfId="899" priority="901">
      <formula>"$AU2=""POSITIF"""</formula>
    </cfRule>
  </conditionalFormatting>
  <conditionalFormatting sqref="CP666:CP668">
    <cfRule type="expression" dxfId="898" priority="900">
      <formula>$AV666="POSITIF"</formula>
    </cfRule>
  </conditionalFormatting>
  <conditionalFormatting sqref="CX666:CX668">
    <cfRule type="expression" dxfId="897" priority="899">
      <formula>"$AU2=""POSITIF"""</formula>
    </cfRule>
  </conditionalFormatting>
  <conditionalFormatting sqref="CX666:CX668">
    <cfRule type="expression" dxfId="896" priority="898">
      <formula>$AV666="POSITIF"</formula>
    </cfRule>
  </conditionalFormatting>
  <conditionalFormatting sqref="A661">
    <cfRule type="expression" dxfId="895" priority="897">
      <formula>$AV661="POSITIF"</formula>
    </cfRule>
  </conditionalFormatting>
  <conditionalFormatting sqref="A661">
    <cfRule type="expression" dxfId="894" priority="895">
      <formula>$AV661="POSITIF"</formula>
    </cfRule>
    <cfRule type="expression" dxfId="893" priority="896">
      <formula>"$AU2=""POSITIF"""</formula>
    </cfRule>
  </conditionalFormatting>
  <conditionalFormatting sqref="A661">
    <cfRule type="expression" dxfId="892" priority="894">
      <formula>$AV661="POSITIF"</formula>
    </cfRule>
  </conditionalFormatting>
  <conditionalFormatting sqref="A664">
    <cfRule type="expression" dxfId="891" priority="861">
      <formula>$AV664="POSITIF"</formula>
    </cfRule>
  </conditionalFormatting>
  <conditionalFormatting sqref="A664">
    <cfRule type="duplicateValues" dxfId="890" priority="889"/>
  </conditionalFormatting>
  <conditionalFormatting sqref="A664">
    <cfRule type="duplicateValues" dxfId="889" priority="888"/>
  </conditionalFormatting>
  <conditionalFormatting sqref="A664">
    <cfRule type="duplicateValues" dxfId="888" priority="887"/>
  </conditionalFormatting>
  <conditionalFormatting sqref="A664">
    <cfRule type="duplicateValues" dxfId="887" priority="886"/>
  </conditionalFormatting>
  <conditionalFormatting sqref="A664">
    <cfRule type="duplicateValues" dxfId="886" priority="885"/>
  </conditionalFormatting>
  <conditionalFormatting sqref="A664">
    <cfRule type="duplicateValues" dxfId="885" priority="884"/>
  </conditionalFormatting>
  <conditionalFormatting sqref="A664">
    <cfRule type="duplicateValues" dxfId="884" priority="883"/>
  </conditionalFormatting>
  <conditionalFormatting sqref="A664">
    <cfRule type="duplicateValues" dxfId="883" priority="882"/>
  </conditionalFormatting>
  <conditionalFormatting sqref="A664">
    <cfRule type="duplicateValues" dxfId="882" priority="881"/>
  </conditionalFormatting>
  <conditionalFormatting sqref="A664">
    <cfRule type="duplicateValues" dxfId="881" priority="880"/>
  </conditionalFormatting>
  <conditionalFormatting sqref="A664">
    <cfRule type="duplicateValues" dxfId="880" priority="879"/>
  </conditionalFormatting>
  <conditionalFormatting sqref="A664">
    <cfRule type="duplicateValues" dxfId="879" priority="878"/>
  </conditionalFormatting>
  <conditionalFormatting sqref="A664">
    <cfRule type="duplicateValues" dxfId="878" priority="877"/>
  </conditionalFormatting>
  <conditionalFormatting sqref="A664">
    <cfRule type="duplicateValues" dxfId="877" priority="876"/>
  </conditionalFormatting>
  <conditionalFormatting sqref="A664">
    <cfRule type="duplicateValues" dxfId="876" priority="875"/>
  </conditionalFormatting>
  <conditionalFormatting sqref="A664">
    <cfRule type="duplicateValues" dxfId="875" priority="874"/>
  </conditionalFormatting>
  <conditionalFormatting sqref="A664">
    <cfRule type="duplicateValues" dxfId="874" priority="873"/>
  </conditionalFormatting>
  <conditionalFormatting sqref="A664">
    <cfRule type="duplicateValues" dxfId="873" priority="872"/>
  </conditionalFormatting>
  <conditionalFormatting sqref="A664">
    <cfRule type="duplicateValues" dxfId="872" priority="871"/>
  </conditionalFormatting>
  <conditionalFormatting sqref="A664">
    <cfRule type="duplicateValues" dxfId="871" priority="870"/>
  </conditionalFormatting>
  <conditionalFormatting sqref="A664">
    <cfRule type="duplicateValues" dxfId="870" priority="869"/>
  </conditionalFormatting>
  <conditionalFormatting sqref="A664">
    <cfRule type="duplicateValues" dxfId="869" priority="868"/>
  </conditionalFormatting>
  <conditionalFormatting sqref="A664">
    <cfRule type="duplicateValues" dxfId="868" priority="867"/>
  </conditionalFormatting>
  <conditionalFormatting sqref="A664">
    <cfRule type="duplicateValues" dxfId="867" priority="866"/>
  </conditionalFormatting>
  <conditionalFormatting sqref="A664">
    <cfRule type="duplicateValues" dxfId="866" priority="865"/>
  </conditionalFormatting>
  <conditionalFormatting sqref="A664">
    <cfRule type="duplicateValues" dxfId="865" priority="864"/>
  </conditionalFormatting>
  <conditionalFormatting sqref="A664">
    <cfRule type="duplicateValues" dxfId="864" priority="863"/>
  </conditionalFormatting>
  <conditionalFormatting sqref="A664">
    <cfRule type="duplicateValues" dxfId="863" priority="862"/>
  </conditionalFormatting>
  <conditionalFormatting sqref="A664">
    <cfRule type="duplicateValues" dxfId="862" priority="890"/>
  </conditionalFormatting>
  <conditionalFormatting sqref="A664">
    <cfRule type="duplicateValues" dxfId="861" priority="891"/>
  </conditionalFormatting>
  <conditionalFormatting sqref="A664">
    <cfRule type="duplicateValues" dxfId="860" priority="892"/>
  </conditionalFormatting>
  <conditionalFormatting sqref="A664">
    <cfRule type="duplicateValues" dxfId="859" priority="893"/>
  </conditionalFormatting>
  <conditionalFormatting sqref="A664">
    <cfRule type="expression" dxfId="858" priority="860">
      <formula>$AV664="POSITIF"</formula>
    </cfRule>
  </conditionalFormatting>
  <conditionalFormatting sqref="A664">
    <cfRule type="expression" dxfId="857" priority="859">
      <formula>$AV664="POSITIF"</formula>
    </cfRule>
  </conditionalFormatting>
  <conditionalFormatting sqref="A664">
    <cfRule type="expression" dxfId="856" priority="858">
      <formula>$AV664="POSITIF"</formula>
    </cfRule>
  </conditionalFormatting>
  <conditionalFormatting sqref="A664">
    <cfRule type="expression" dxfId="855" priority="857">
      <formula>$AV664="POSITIF"</formula>
    </cfRule>
  </conditionalFormatting>
  <conditionalFormatting sqref="A664">
    <cfRule type="expression" dxfId="854" priority="856">
      <formula>$AV664="POSITIF"</formula>
    </cfRule>
  </conditionalFormatting>
  <conditionalFormatting sqref="A664">
    <cfRule type="expression" dxfId="853" priority="855">
      <formula>$AV664="POSITIF"</formula>
    </cfRule>
  </conditionalFormatting>
  <conditionalFormatting sqref="A664">
    <cfRule type="expression" dxfId="852" priority="854">
      <formula>$AV664="POSITIF"</formula>
    </cfRule>
  </conditionalFormatting>
  <conditionalFormatting sqref="A664">
    <cfRule type="expression" dxfId="851" priority="852">
      <formula>$AV664="POSITIF"</formula>
    </cfRule>
    <cfRule type="expression" dxfId="850" priority="853">
      <formula>"$AU2=""POSITIF"""</formula>
    </cfRule>
  </conditionalFormatting>
  <conditionalFormatting sqref="A664">
    <cfRule type="expression" dxfId="849" priority="851">
      <formula>$AV664="POSITIF"</formula>
    </cfRule>
  </conditionalFormatting>
  <conditionalFormatting sqref="A666:A668">
    <cfRule type="expression" dxfId="848" priority="850">
      <formula>$AV666="POSITIF"</formula>
    </cfRule>
  </conditionalFormatting>
  <conditionalFormatting sqref="BR669:CI670">
    <cfRule type="expression" dxfId="847" priority="849">
      <formula>$AV669="POSITIF"</formula>
    </cfRule>
  </conditionalFormatting>
  <conditionalFormatting sqref="A669">
    <cfRule type="expression" dxfId="846" priority="847">
      <formula>$AV669="POSITIF"</formula>
    </cfRule>
  </conditionalFormatting>
  <conditionalFormatting sqref="A669">
    <cfRule type="expression" dxfId="845" priority="798">
      <formula>$AV670="POSITIF"</formula>
    </cfRule>
  </conditionalFormatting>
  <conditionalFormatting sqref="A669">
    <cfRule type="duplicateValues" dxfId="844" priority="842"/>
  </conditionalFormatting>
  <conditionalFormatting sqref="A669">
    <cfRule type="duplicateValues" dxfId="843" priority="841"/>
  </conditionalFormatting>
  <conditionalFormatting sqref="A669">
    <cfRule type="duplicateValues" dxfId="842" priority="840"/>
  </conditionalFormatting>
  <conditionalFormatting sqref="A669">
    <cfRule type="duplicateValues" dxfId="841" priority="839"/>
  </conditionalFormatting>
  <conditionalFormatting sqref="A669">
    <cfRule type="duplicateValues" dxfId="840" priority="838"/>
  </conditionalFormatting>
  <conditionalFormatting sqref="A669">
    <cfRule type="duplicateValues" dxfId="839" priority="837"/>
  </conditionalFormatting>
  <conditionalFormatting sqref="A669">
    <cfRule type="duplicateValues" dxfId="838" priority="836"/>
  </conditionalFormatting>
  <conditionalFormatting sqref="A669">
    <cfRule type="duplicateValues" dxfId="837" priority="835"/>
  </conditionalFormatting>
  <conditionalFormatting sqref="A669">
    <cfRule type="duplicateValues" dxfId="836" priority="834"/>
  </conditionalFormatting>
  <conditionalFormatting sqref="A669">
    <cfRule type="duplicateValues" dxfId="835" priority="833"/>
  </conditionalFormatting>
  <conditionalFormatting sqref="A669">
    <cfRule type="duplicateValues" dxfId="834" priority="832"/>
  </conditionalFormatting>
  <conditionalFormatting sqref="A669">
    <cfRule type="duplicateValues" dxfId="833" priority="831"/>
  </conditionalFormatting>
  <conditionalFormatting sqref="A669">
    <cfRule type="duplicateValues" dxfId="832" priority="830"/>
  </conditionalFormatting>
  <conditionalFormatting sqref="A669">
    <cfRule type="duplicateValues" dxfId="831" priority="829"/>
  </conditionalFormatting>
  <conditionalFormatting sqref="A669">
    <cfRule type="duplicateValues" dxfId="830" priority="828"/>
  </conditionalFormatting>
  <conditionalFormatting sqref="A669">
    <cfRule type="duplicateValues" dxfId="829" priority="827"/>
  </conditionalFormatting>
  <conditionalFormatting sqref="A669">
    <cfRule type="duplicateValues" dxfId="828" priority="826"/>
  </conditionalFormatting>
  <conditionalFormatting sqref="A669">
    <cfRule type="duplicateValues" dxfId="827" priority="825"/>
  </conditionalFormatting>
  <conditionalFormatting sqref="A669">
    <cfRule type="duplicateValues" dxfId="826" priority="824"/>
  </conditionalFormatting>
  <conditionalFormatting sqref="A669">
    <cfRule type="duplicateValues" dxfId="825" priority="823"/>
  </conditionalFormatting>
  <conditionalFormatting sqref="A669">
    <cfRule type="duplicateValues" dxfId="824" priority="822"/>
  </conditionalFormatting>
  <conditionalFormatting sqref="A669">
    <cfRule type="duplicateValues" dxfId="823" priority="821"/>
  </conditionalFormatting>
  <conditionalFormatting sqref="A669">
    <cfRule type="duplicateValues" dxfId="822" priority="820"/>
  </conditionalFormatting>
  <conditionalFormatting sqref="A669">
    <cfRule type="duplicateValues" dxfId="821" priority="819"/>
  </conditionalFormatting>
  <conditionalFormatting sqref="A669">
    <cfRule type="duplicateValues" dxfId="820" priority="818"/>
  </conditionalFormatting>
  <conditionalFormatting sqref="A669">
    <cfRule type="duplicateValues" dxfId="819" priority="817"/>
  </conditionalFormatting>
  <conditionalFormatting sqref="A669">
    <cfRule type="duplicateValues" dxfId="818" priority="816"/>
  </conditionalFormatting>
  <conditionalFormatting sqref="A669">
    <cfRule type="duplicateValues" dxfId="817" priority="815"/>
  </conditionalFormatting>
  <conditionalFormatting sqref="A669">
    <cfRule type="duplicateValues" dxfId="816" priority="814"/>
  </conditionalFormatting>
  <conditionalFormatting sqref="A669">
    <cfRule type="duplicateValues" dxfId="815" priority="813"/>
  </conditionalFormatting>
  <conditionalFormatting sqref="A669">
    <cfRule type="duplicateValues" dxfId="814" priority="812"/>
  </conditionalFormatting>
  <conditionalFormatting sqref="A669">
    <cfRule type="duplicateValues" dxfId="813" priority="811"/>
  </conditionalFormatting>
  <conditionalFormatting sqref="A669">
    <cfRule type="duplicateValues" dxfId="812" priority="810"/>
  </conditionalFormatting>
  <conditionalFormatting sqref="A669">
    <cfRule type="duplicateValues" dxfId="811" priority="809"/>
  </conditionalFormatting>
  <conditionalFormatting sqref="A669">
    <cfRule type="duplicateValues" dxfId="810" priority="808"/>
  </conditionalFormatting>
  <conditionalFormatting sqref="A669">
    <cfRule type="duplicateValues" dxfId="809" priority="807"/>
  </conditionalFormatting>
  <conditionalFormatting sqref="A669">
    <cfRule type="duplicateValues" dxfId="808" priority="806"/>
  </conditionalFormatting>
  <conditionalFormatting sqref="A669">
    <cfRule type="duplicateValues" dxfId="807" priority="805"/>
  </conditionalFormatting>
  <conditionalFormatting sqref="A669">
    <cfRule type="duplicateValues" dxfId="806" priority="804"/>
  </conditionalFormatting>
  <conditionalFormatting sqref="A669">
    <cfRule type="duplicateValues" dxfId="805" priority="803"/>
  </conditionalFormatting>
  <conditionalFormatting sqref="A669">
    <cfRule type="duplicateValues" dxfId="804" priority="802"/>
  </conditionalFormatting>
  <conditionalFormatting sqref="A669">
    <cfRule type="duplicateValues" dxfId="803" priority="801"/>
  </conditionalFormatting>
  <conditionalFormatting sqref="A669">
    <cfRule type="duplicateValues" dxfId="802" priority="800"/>
  </conditionalFormatting>
  <conditionalFormatting sqref="A669">
    <cfRule type="duplicateValues" dxfId="801" priority="799"/>
  </conditionalFormatting>
  <conditionalFormatting sqref="A669">
    <cfRule type="duplicateValues" dxfId="800" priority="843"/>
  </conditionalFormatting>
  <conditionalFormatting sqref="A669">
    <cfRule type="duplicateValues" dxfId="799" priority="844"/>
  </conditionalFormatting>
  <conditionalFormatting sqref="A669">
    <cfRule type="duplicateValues" dxfId="798" priority="845"/>
  </conditionalFormatting>
  <conditionalFormatting sqref="A669">
    <cfRule type="duplicateValues" dxfId="797" priority="846"/>
  </conditionalFormatting>
  <conditionalFormatting sqref="A669">
    <cfRule type="expression" dxfId="796" priority="797">
      <formula>$AV670="POSITIF"</formula>
    </cfRule>
  </conditionalFormatting>
  <conditionalFormatting sqref="A669">
    <cfRule type="expression" dxfId="795" priority="796">
      <formula>$AV670="POSITIF"</formula>
    </cfRule>
  </conditionalFormatting>
  <conditionalFormatting sqref="A669">
    <cfRule type="expression" dxfId="794" priority="795">
      <formula>$AV670="POSITIF"</formula>
    </cfRule>
  </conditionalFormatting>
  <conditionalFormatting sqref="A669">
    <cfRule type="expression" dxfId="793" priority="794">
      <formula>$AV670="POSITIF"</formula>
    </cfRule>
  </conditionalFormatting>
  <conditionalFormatting sqref="A669">
    <cfRule type="expression" dxfId="792" priority="793">
      <formula>$AV669="POSITIF"</formula>
    </cfRule>
  </conditionalFormatting>
  <conditionalFormatting sqref="A669">
    <cfRule type="expression" dxfId="791" priority="792">
      <formula>$AV669="POSITIF"</formula>
    </cfRule>
  </conditionalFormatting>
  <conditionalFormatting sqref="A669">
    <cfRule type="expression" dxfId="790" priority="791">
      <formula>$AV669="POSITIF"</formula>
    </cfRule>
  </conditionalFormatting>
  <conditionalFormatting sqref="A669">
    <cfRule type="expression" dxfId="789" priority="789">
      <formula>$AV669="POSITIF"</formula>
    </cfRule>
    <cfRule type="expression" dxfId="788" priority="790">
      <formula>"$AU2=""POSITIF"""</formula>
    </cfRule>
  </conditionalFormatting>
  <conditionalFormatting sqref="A669">
    <cfRule type="expression" dxfId="787" priority="788">
      <formula>$AV669="POSITIF"</formula>
    </cfRule>
  </conditionalFormatting>
  <conditionalFormatting sqref="A669">
    <cfRule type="expression" dxfId="786" priority="787">
      <formula>$AV669="POSITIF"</formula>
    </cfRule>
  </conditionalFormatting>
  <conditionalFormatting sqref="A615">
    <cfRule type="expression" dxfId="785" priority="779">
      <formula>$AV615="POSITIF"</formula>
    </cfRule>
  </conditionalFormatting>
  <conditionalFormatting sqref="A615">
    <cfRule type="duplicateValues" dxfId="784" priority="783"/>
  </conditionalFormatting>
  <conditionalFormatting sqref="A615">
    <cfRule type="duplicateValues" dxfId="783" priority="782"/>
  </conditionalFormatting>
  <conditionalFormatting sqref="A615">
    <cfRule type="expression" dxfId="782" priority="781">
      <formula>$AV615="POSITIF"</formula>
    </cfRule>
  </conditionalFormatting>
  <conditionalFormatting sqref="A615">
    <cfRule type="duplicateValues" dxfId="781" priority="780"/>
  </conditionalFormatting>
  <conditionalFormatting sqref="A615">
    <cfRule type="duplicateValues" dxfId="780" priority="784"/>
  </conditionalFormatting>
  <conditionalFormatting sqref="A615">
    <cfRule type="duplicateValues" dxfId="779" priority="785"/>
  </conditionalFormatting>
  <conditionalFormatting sqref="A615">
    <cfRule type="duplicateValues" dxfId="778" priority="786"/>
  </conditionalFormatting>
  <conditionalFormatting sqref="A615">
    <cfRule type="expression" dxfId="777" priority="778">
      <formula>$AV615="POSITIF"</formula>
    </cfRule>
  </conditionalFormatting>
  <conditionalFormatting sqref="A615">
    <cfRule type="expression" dxfId="776" priority="777">
      <formula>$AV615="POSITIF"</formula>
    </cfRule>
  </conditionalFormatting>
  <conditionalFormatting sqref="A615">
    <cfRule type="expression" dxfId="775" priority="776">
      <formula>$AV615="POSITIF"</formula>
    </cfRule>
  </conditionalFormatting>
  <conditionalFormatting sqref="A615">
    <cfRule type="expression" dxfId="774" priority="775">
      <formula>$AV615="POSITIF"</formula>
    </cfRule>
  </conditionalFormatting>
  <conditionalFormatting sqref="A670">
    <cfRule type="expression" dxfId="773" priority="774">
      <formula>$AV670="POSITIF"</formula>
    </cfRule>
  </conditionalFormatting>
  <conditionalFormatting sqref="A670">
    <cfRule type="expression" dxfId="772" priority="741">
      <formula>$AV670="POSITIF"</formula>
    </cfRule>
  </conditionalFormatting>
  <conditionalFormatting sqref="A670">
    <cfRule type="duplicateValues" dxfId="771" priority="769"/>
  </conditionalFormatting>
  <conditionalFormatting sqref="A670">
    <cfRule type="duplicateValues" dxfId="770" priority="768"/>
  </conditionalFormatting>
  <conditionalFormatting sqref="A670">
    <cfRule type="duplicateValues" dxfId="769" priority="767"/>
  </conditionalFormatting>
  <conditionalFormatting sqref="A670">
    <cfRule type="duplicateValues" dxfId="768" priority="766"/>
  </conditionalFormatting>
  <conditionalFormatting sqref="A670">
    <cfRule type="duplicateValues" dxfId="767" priority="765"/>
  </conditionalFormatting>
  <conditionalFormatting sqref="A670">
    <cfRule type="duplicateValues" dxfId="766" priority="764"/>
  </conditionalFormatting>
  <conditionalFormatting sqref="A670">
    <cfRule type="duplicateValues" dxfId="765" priority="763"/>
  </conditionalFormatting>
  <conditionalFormatting sqref="A670">
    <cfRule type="duplicateValues" dxfId="764" priority="762"/>
  </conditionalFormatting>
  <conditionalFormatting sqref="A670">
    <cfRule type="duplicateValues" dxfId="763" priority="761"/>
  </conditionalFormatting>
  <conditionalFormatting sqref="A670">
    <cfRule type="duplicateValues" dxfId="762" priority="760"/>
  </conditionalFormatting>
  <conditionalFormatting sqref="A670">
    <cfRule type="duplicateValues" dxfId="761" priority="759"/>
  </conditionalFormatting>
  <conditionalFormatting sqref="A670">
    <cfRule type="duplicateValues" dxfId="760" priority="758"/>
  </conditionalFormatting>
  <conditionalFormatting sqref="A670">
    <cfRule type="duplicateValues" dxfId="759" priority="757"/>
  </conditionalFormatting>
  <conditionalFormatting sqref="A670">
    <cfRule type="duplicateValues" dxfId="758" priority="756"/>
  </conditionalFormatting>
  <conditionalFormatting sqref="A670">
    <cfRule type="duplicateValues" dxfId="757" priority="755"/>
  </conditionalFormatting>
  <conditionalFormatting sqref="A670">
    <cfRule type="duplicateValues" dxfId="756" priority="754"/>
  </conditionalFormatting>
  <conditionalFormatting sqref="A670">
    <cfRule type="duplicateValues" dxfId="755" priority="753"/>
  </conditionalFormatting>
  <conditionalFormatting sqref="A670">
    <cfRule type="duplicateValues" dxfId="754" priority="752"/>
  </conditionalFormatting>
  <conditionalFormatting sqref="A670">
    <cfRule type="duplicateValues" dxfId="753" priority="751"/>
  </conditionalFormatting>
  <conditionalFormatting sqref="A670">
    <cfRule type="duplicateValues" dxfId="752" priority="750"/>
  </conditionalFormatting>
  <conditionalFormatting sqref="A670">
    <cfRule type="duplicateValues" dxfId="751" priority="749"/>
  </conditionalFormatting>
  <conditionalFormatting sqref="A670">
    <cfRule type="duplicateValues" dxfId="750" priority="748"/>
  </conditionalFormatting>
  <conditionalFormatting sqref="A670">
    <cfRule type="duplicateValues" dxfId="749" priority="747"/>
  </conditionalFormatting>
  <conditionalFormatting sqref="A670">
    <cfRule type="duplicateValues" dxfId="748" priority="746"/>
  </conditionalFormatting>
  <conditionalFormatting sqref="A670">
    <cfRule type="duplicateValues" dxfId="747" priority="745"/>
  </conditionalFormatting>
  <conditionalFormatting sqref="A670">
    <cfRule type="duplicateValues" dxfId="746" priority="744"/>
  </conditionalFormatting>
  <conditionalFormatting sqref="A670">
    <cfRule type="duplicateValues" dxfId="745" priority="743"/>
  </conditionalFormatting>
  <conditionalFormatting sqref="A670">
    <cfRule type="duplicateValues" dxfId="744" priority="742"/>
  </conditionalFormatting>
  <conditionalFormatting sqref="A670">
    <cfRule type="duplicateValues" dxfId="743" priority="770"/>
  </conditionalFormatting>
  <conditionalFormatting sqref="A670">
    <cfRule type="duplicateValues" dxfId="742" priority="771"/>
  </conditionalFormatting>
  <conditionalFormatting sqref="A670">
    <cfRule type="duplicateValues" dxfId="741" priority="772"/>
  </conditionalFormatting>
  <conditionalFormatting sqref="A670">
    <cfRule type="duplicateValues" dxfId="740" priority="773"/>
  </conditionalFormatting>
  <conditionalFormatting sqref="A670">
    <cfRule type="expression" dxfId="739" priority="740">
      <formula>$AV670="POSITIF"</formula>
    </cfRule>
  </conditionalFormatting>
  <conditionalFormatting sqref="A670">
    <cfRule type="expression" dxfId="738" priority="739">
      <formula>$AV670="POSITIF"</formula>
    </cfRule>
  </conditionalFormatting>
  <conditionalFormatting sqref="A670">
    <cfRule type="expression" dxfId="737" priority="738">
      <formula>$AV670="POSITIF"</formula>
    </cfRule>
  </conditionalFormatting>
  <conditionalFormatting sqref="A670">
    <cfRule type="expression" dxfId="736" priority="737">
      <formula>$AV670="POSITIF"</formula>
    </cfRule>
  </conditionalFormatting>
  <conditionalFormatting sqref="A670">
    <cfRule type="expression" dxfId="735" priority="736">
      <formula>$AV670="POSITIF"</formula>
    </cfRule>
  </conditionalFormatting>
  <conditionalFormatting sqref="A670">
    <cfRule type="expression" dxfId="734" priority="735">
      <formula>$AV670="POSITIF"</formula>
    </cfRule>
  </conditionalFormatting>
  <conditionalFormatting sqref="A670">
    <cfRule type="expression" dxfId="733" priority="734">
      <formula>$AV670="POSITIF"</formula>
    </cfRule>
  </conditionalFormatting>
  <conditionalFormatting sqref="A670">
    <cfRule type="expression" dxfId="732" priority="732">
      <formula>$AV670="POSITIF"</formula>
    </cfRule>
    <cfRule type="expression" dxfId="731" priority="733">
      <formula>"$AU2=""POSITIF"""</formula>
    </cfRule>
  </conditionalFormatting>
  <conditionalFormatting sqref="A670">
    <cfRule type="expression" dxfId="730" priority="731">
      <formula>$AV670="POSITIF"</formula>
    </cfRule>
  </conditionalFormatting>
  <conditionalFormatting sqref="A670">
    <cfRule type="expression" dxfId="729" priority="730">
      <formula>$AV670="POSITIF"</formula>
    </cfRule>
  </conditionalFormatting>
  <conditionalFormatting sqref="A670">
    <cfRule type="expression" dxfId="728" priority="722">
      <formula>$AV670="POSITIF"</formula>
    </cfRule>
  </conditionalFormatting>
  <conditionalFormatting sqref="A670">
    <cfRule type="duplicateValues" dxfId="727" priority="726"/>
  </conditionalFormatting>
  <conditionalFormatting sqref="A670">
    <cfRule type="duplicateValues" dxfId="726" priority="725"/>
  </conditionalFormatting>
  <conditionalFormatting sqref="A670">
    <cfRule type="expression" dxfId="725" priority="724">
      <formula>$AV670="POSITIF"</formula>
    </cfRule>
  </conditionalFormatting>
  <conditionalFormatting sqref="A670">
    <cfRule type="duplicateValues" dxfId="724" priority="723"/>
  </conditionalFormatting>
  <conditionalFormatting sqref="A670">
    <cfRule type="duplicateValues" dxfId="723" priority="727"/>
  </conditionalFormatting>
  <conditionalFormatting sqref="A670">
    <cfRule type="duplicateValues" dxfId="722" priority="728"/>
  </conditionalFormatting>
  <conditionalFormatting sqref="A670">
    <cfRule type="duplicateValues" dxfId="721" priority="729"/>
  </conditionalFormatting>
  <conditionalFormatting sqref="A670">
    <cfRule type="expression" dxfId="720" priority="721">
      <formula>$AV670="POSITIF"</formula>
    </cfRule>
  </conditionalFormatting>
  <conditionalFormatting sqref="A670">
    <cfRule type="expression" dxfId="719" priority="720">
      <formula>$AV670="POSITIF"</formula>
    </cfRule>
  </conditionalFormatting>
  <conditionalFormatting sqref="A670">
    <cfRule type="expression" dxfId="718" priority="719">
      <formula>$AV670="POSITIF"</formula>
    </cfRule>
  </conditionalFormatting>
  <conditionalFormatting sqref="A670">
    <cfRule type="expression" dxfId="717" priority="718">
      <formula>$AV670="POSITIF"</formula>
    </cfRule>
  </conditionalFormatting>
  <conditionalFormatting sqref="A671">
    <cfRule type="expression" dxfId="716" priority="717">
      <formula>$AV671="POSITIF"</formula>
    </cfRule>
  </conditionalFormatting>
  <conditionalFormatting sqref="A671">
    <cfRule type="expression" dxfId="715" priority="716">
      <formula>$AV671="POSITIF"</formula>
    </cfRule>
  </conditionalFormatting>
  <conditionalFormatting sqref="A672">
    <cfRule type="expression" dxfId="714" priority="715">
      <formula>$AV672="POSITIF"</formula>
    </cfRule>
  </conditionalFormatting>
  <conditionalFormatting sqref="A672">
    <cfRule type="expression" dxfId="713" priority="714">
      <formula>$AV672="POSITIF"</formula>
    </cfRule>
  </conditionalFormatting>
  <conditionalFormatting sqref="A672">
    <cfRule type="expression" dxfId="712" priority="713">
      <formula>$AV672="POSITIF"</formula>
    </cfRule>
  </conditionalFormatting>
  <conditionalFormatting sqref="A672">
    <cfRule type="expression" dxfId="711" priority="681">
      <formula>$AV672="POSITIF"</formula>
    </cfRule>
  </conditionalFormatting>
  <conditionalFormatting sqref="A672">
    <cfRule type="duplicateValues" dxfId="710" priority="708"/>
  </conditionalFormatting>
  <conditionalFormatting sqref="A672">
    <cfRule type="duplicateValues" dxfId="709" priority="707"/>
  </conditionalFormatting>
  <conditionalFormatting sqref="A672">
    <cfRule type="duplicateValues" dxfId="708" priority="706"/>
  </conditionalFormatting>
  <conditionalFormatting sqref="A672">
    <cfRule type="duplicateValues" dxfId="707" priority="705"/>
  </conditionalFormatting>
  <conditionalFormatting sqref="A672">
    <cfRule type="duplicateValues" dxfId="706" priority="704"/>
  </conditionalFormatting>
  <conditionalFormatting sqref="A672">
    <cfRule type="duplicateValues" dxfId="705" priority="703"/>
  </conditionalFormatting>
  <conditionalFormatting sqref="A672">
    <cfRule type="duplicateValues" dxfId="704" priority="702"/>
  </conditionalFormatting>
  <conditionalFormatting sqref="A672">
    <cfRule type="duplicateValues" dxfId="703" priority="701"/>
  </conditionalFormatting>
  <conditionalFormatting sqref="A672">
    <cfRule type="duplicateValues" dxfId="702" priority="700"/>
  </conditionalFormatting>
  <conditionalFormatting sqref="A672">
    <cfRule type="duplicateValues" dxfId="701" priority="699"/>
  </conditionalFormatting>
  <conditionalFormatting sqref="A672">
    <cfRule type="duplicateValues" dxfId="700" priority="698"/>
  </conditionalFormatting>
  <conditionalFormatting sqref="A672">
    <cfRule type="duplicateValues" dxfId="699" priority="697"/>
  </conditionalFormatting>
  <conditionalFormatting sqref="A672">
    <cfRule type="duplicateValues" dxfId="698" priority="696"/>
  </conditionalFormatting>
  <conditionalFormatting sqref="A672">
    <cfRule type="duplicateValues" dxfId="697" priority="695"/>
  </conditionalFormatting>
  <conditionalFormatting sqref="A672">
    <cfRule type="duplicateValues" dxfId="696" priority="694"/>
  </conditionalFormatting>
  <conditionalFormatting sqref="A672">
    <cfRule type="duplicateValues" dxfId="695" priority="693"/>
  </conditionalFormatting>
  <conditionalFormatting sqref="A672">
    <cfRule type="duplicateValues" dxfId="694" priority="692"/>
  </conditionalFormatting>
  <conditionalFormatting sqref="A672">
    <cfRule type="duplicateValues" dxfId="693" priority="691"/>
  </conditionalFormatting>
  <conditionalFormatting sqref="A672">
    <cfRule type="duplicateValues" dxfId="692" priority="690"/>
  </conditionalFormatting>
  <conditionalFormatting sqref="A672">
    <cfRule type="duplicateValues" dxfId="691" priority="689"/>
  </conditionalFormatting>
  <conditionalFormatting sqref="A672">
    <cfRule type="duplicateValues" dxfId="690" priority="688"/>
  </conditionalFormatting>
  <conditionalFormatting sqref="A672">
    <cfRule type="duplicateValues" dxfId="689" priority="687"/>
  </conditionalFormatting>
  <conditionalFormatting sqref="A672">
    <cfRule type="duplicateValues" dxfId="688" priority="686"/>
  </conditionalFormatting>
  <conditionalFormatting sqref="A672">
    <cfRule type="duplicateValues" dxfId="687" priority="685"/>
  </conditionalFormatting>
  <conditionalFormatting sqref="A672">
    <cfRule type="duplicateValues" dxfId="686" priority="684"/>
  </conditionalFormatting>
  <conditionalFormatting sqref="A672">
    <cfRule type="duplicateValues" dxfId="685" priority="683"/>
  </conditionalFormatting>
  <conditionalFormatting sqref="A672">
    <cfRule type="duplicateValues" dxfId="684" priority="682"/>
  </conditionalFormatting>
  <conditionalFormatting sqref="A672">
    <cfRule type="duplicateValues" dxfId="683" priority="709"/>
  </conditionalFormatting>
  <conditionalFormatting sqref="A672">
    <cfRule type="duplicateValues" dxfId="682" priority="710"/>
  </conditionalFormatting>
  <conditionalFormatting sqref="A672">
    <cfRule type="duplicateValues" dxfId="681" priority="711"/>
  </conditionalFormatting>
  <conditionalFormatting sqref="A672">
    <cfRule type="duplicateValues" dxfId="680" priority="712"/>
  </conditionalFormatting>
  <conditionalFormatting sqref="A672">
    <cfRule type="expression" dxfId="679" priority="680">
      <formula>$AV672="POSITIF"</formula>
    </cfRule>
  </conditionalFormatting>
  <conditionalFormatting sqref="A672">
    <cfRule type="expression" dxfId="678" priority="648">
      <formula>$AV672="POSITIF"</formula>
    </cfRule>
  </conditionalFormatting>
  <conditionalFormatting sqref="A672">
    <cfRule type="duplicateValues" dxfId="677" priority="675"/>
  </conditionalFormatting>
  <conditionalFormatting sqref="A672">
    <cfRule type="duplicateValues" dxfId="676" priority="674"/>
  </conditionalFormatting>
  <conditionalFormatting sqref="A672">
    <cfRule type="duplicateValues" dxfId="675" priority="673"/>
  </conditionalFormatting>
  <conditionalFormatting sqref="A672">
    <cfRule type="duplicateValues" dxfId="674" priority="672"/>
  </conditionalFormatting>
  <conditionalFormatting sqref="A672">
    <cfRule type="duplicateValues" dxfId="673" priority="671"/>
  </conditionalFormatting>
  <conditionalFormatting sqref="A672">
    <cfRule type="duplicateValues" dxfId="672" priority="670"/>
  </conditionalFormatting>
  <conditionalFormatting sqref="A672">
    <cfRule type="duplicateValues" dxfId="671" priority="669"/>
  </conditionalFormatting>
  <conditionalFormatting sqref="A672">
    <cfRule type="duplicateValues" dxfId="670" priority="668"/>
  </conditionalFormatting>
  <conditionalFormatting sqref="A672">
    <cfRule type="duplicateValues" dxfId="669" priority="667"/>
  </conditionalFormatting>
  <conditionalFormatting sqref="A672">
    <cfRule type="duplicateValues" dxfId="668" priority="666"/>
  </conditionalFormatting>
  <conditionalFormatting sqref="A672">
    <cfRule type="duplicateValues" dxfId="667" priority="665"/>
  </conditionalFormatting>
  <conditionalFormatting sqref="A672">
    <cfRule type="duplicateValues" dxfId="666" priority="664"/>
  </conditionalFormatting>
  <conditionalFormatting sqref="A672">
    <cfRule type="duplicateValues" dxfId="665" priority="663"/>
  </conditionalFormatting>
  <conditionalFormatting sqref="A672">
    <cfRule type="duplicateValues" dxfId="664" priority="662"/>
  </conditionalFormatting>
  <conditionalFormatting sqref="A672">
    <cfRule type="duplicateValues" dxfId="663" priority="661"/>
  </conditionalFormatting>
  <conditionalFormatting sqref="A672">
    <cfRule type="duplicateValues" dxfId="662" priority="660"/>
  </conditionalFormatting>
  <conditionalFormatting sqref="A672">
    <cfRule type="duplicateValues" dxfId="661" priority="659"/>
  </conditionalFormatting>
  <conditionalFormatting sqref="A672">
    <cfRule type="duplicateValues" dxfId="660" priority="658"/>
  </conditionalFormatting>
  <conditionalFormatting sqref="A672">
    <cfRule type="duplicateValues" dxfId="659" priority="657"/>
  </conditionalFormatting>
  <conditionalFormatting sqref="A672">
    <cfRule type="duplicateValues" dxfId="658" priority="656"/>
  </conditionalFormatting>
  <conditionalFormatting sqref="A672">
    <cfRule type="duplicateValues" dxfId="657" priority="655"/>
  </conditionalFormatting>
  <conditionalFormatting sqref="A672">
    <cfRule type="duplicateValues" dxfId="656" priority="654"/>
  </conditionalFormatting>
  <conditionalFormatting sqref="A672">
    <cfRule type="duplicateValues" dxfId="655" priority="653"/>
  </conditionalFormatting>
  <conditionalFormatting sqref="A672">
    <cfRule type="duplicateValues" dxfId="654" priority="652"/>
  </conditionalFormatting>
  <conditionalFormatting sqref="A672">
    <cfRule type="duplicateValues" dxfId="653" priority="651"/>
  </conditionalFormatting>
  <conditionalFormatting sqref="A672">
    <cfRule type="duplicateValues" dxfId="652" priority="650"/>
  </conditionalFormatting>
  <conditionalFormatting sqref="A672">
    <cfRule type="duplicateValues" dxfId="651" priority="649"/>
  </conditionalFormatting>
  <conditionalFormatting sqref="A672">
    <cfRule type="duplicateValues" dxfId="650" priority="676"/>
  </conditionalFormatting>
  <conditionalFormatting sqref="A672">
    <cfRule type="duplicateValues" dxfId="649" priority="677"/>
  </conditionalFormatting>
  <conditionalFormatting sqref="A672">
    <cfRule type="duplicateValues" dxfId="648" priority="678"/>
  </conditionalFormatting>
  <conditionalFormatting sqref="A672">
    <cfRule type="duplicateValues" dxfId="647" priority="679"/>
  </conditionalFormatting>
  <conditionalFormatting sqref="A672">
    <cfRule type="expression" dxfId="646" priority="647">
      <formula>$AV672="POSITIF"</formula>
    </cfRule>
  </conditionalFormatting>
  <conditionalFormatting sqref="A672">
    <cfRule type="expression" dxfId="645" priority="646">
      <formula>$AV672="POSITIF"</formula>
    </cfRule>
  </conditionalFormatting>
  <conditionalFormatting sqref="A672">
    <cfRule type="expression" dxfId="644" priority="645">
      <formula>$AV672="POSITIF"</formula>
    </cfRule>
  </conditionalFormatting>
  <conditionalFormatting sqref="A672">
    <cfRule type="expression" dxfId="643" priority="644">
      <formula>$AV672="POSITIF"</formula>
    </cfRule>
  </conditionalFormatting>
  <conditionalFormatting sqref="A672">
    <cfRule type="expression" dxfId="642" priority="643">
      <formula>$AV672="POSITIF"</formula>
    </cfRule>
  </conditionalFormatting>
  <conditionalFormatting sqref="A672">
    <cfRule type="expression" dxfId="641" priority="642">
      <formula>$AV672="POSITIF"</formula>
    </cfRule>
  </conditionalFormatting>
  <conditionalFormatting sqref="A672">
    <cfRule type="expression" dxfId="640" priority="640">
      <formula>$AV672="POSITIF"</formula>
    </cfRule>
    <cfRule type="expression" dxfId="639" priority="641">
      <formula>"$AU2=""POSITIF"""</formula>
    </cfRule>
  </conditionalFormatting>
  <conditionalFormatting sqref="A672">
    <cfRule type="expression" dxfId="638" priority="639">
      <formula>$AV672="POSITIF"</formula>
    </cfRule>
  </conditionalFormatting>
  <conditionalFormatting sqref="A672">
    <cfRule type="expression" dxfId="637" priority="638">
      <formula>$AV672="POSITIF"</formula>
    </cfRule>
  </conditionalFormatting>
  <conditionalFormatting sqref="BF499">
    <cfRule type="expression" dxfId="636" priority="637">
      <formula>$AV499="POSITIF"</formula>
    </cfRule>
  </conditionalFormatting>
  <conditionalFormatting sqref="BF499">
    <cfRule type="expression" dxfId="635" priority="636">
      <formula>$AV499="POSITIF"</formula>
    </cfRule>
  </conditionalFormatting>
  <conditionalFormatting sqref="BF499">
    <cfRule type="expression" dxfId="634" priority="635">
      <formula>$AV499="POSITIF"</formula>
    </cfRule>
  </conditionalFormatting>
  <conditionalFormatting sqref="BF499">
    <cfRule type="expression" dxfId="633" priority="634">
      <formula>$AV499="POSITIF"</formula>
    </cfRule>
  </conditionalFormatting>
  <conditionalFormatting sqref="BF499">
    <cfRule type="expression" dxfId="632" priority="633">
      <formula>$AV499="POSITIF"</formula>
    </cfRule>
  </conditionalFormatting>
  <conditionalFormatting sqref="BF499">
    <cfRule type="expression" dxfId="631" priority="632">
      <formula>$AV499="POSITIF"</formula>
    </cfRule>
  </conditionalFormatting>
  <conditionalFormatting sqref="BF499">
    <cfRule type="expression" dxfId="630" priority="631">
      <formula>$AV499="POSITIF"</formula>
    </cfRule>
  </conditionalFormatting>
  <conditionalFormatting sqref="BF499">
    <cfRule type="expression" dxfId="629" priority="630">
      <formula>$AV499="POSITIF"</formula>
    </cfRule>
  </conditionalFormatting>
  <conditionalFormatting sqref="BF499">
    <cfRule type="expression" dxfId="628" priority="628">
      <formula>$AV499="POSITIF"</formula>
    </cfRule>
    <cfRule type="expression" dxfId="627" priority="629">
      <formula>"$AU2=""POSITIF"""</formula>
    </cfRule>
  </conditionalFormatting>
  <conditionalFormatting sqref="BF499">
    <cfRule type="expression" dxfId="626" priority="627">
      <formula>$AV499="POSITIF"</formula>
    </cfRule>
  </conditionalFormatting>
  <conditionalFormatting sqref="BK676">
    <cfRule type="expression" dxfId="625" priority="626">
      <formula>$AV676="POSITIF"</formula>
    </cfRule>
  </conditionalFormatting>
  <conditionalFormatting sqref="BK676">
    <cfRule type="expression" dxfId="624" priority="625">
      <formula>$AV676="POSITIF"</formula>
    </cfRule>
  </conditionalFormatting>
  <conditionalFormatting sqref="AV672">
    <cfRule type="expression" dxfId="623" priority="624">
      <formula>$AV672="POSITIF"</formula>
    </cfRule>
  </conditionalFormatting>
  <conditionalFormatting sqref="BK679">
    <cfRule type="expression" dxfId="622" priority="623">
      <formula>$AV679="POSITIF"</formula>
    </cfRule>
  </conditionalFormatting>
  <conditionalFormatting sqref="A673">
    <cfRule type="expression" dxfId="621" priority="622">
      <formula>$AV673="POSITIF"</formula>
    </cfRule>
  </conditionalFormatting>
  <conditionalFormatting sqref="A673">
    <cfRule type="expression" dxfId="620" priority="589">
      <formula>$AV673="POSITIF"</formula>
    </cfRule>
  </conditionalFormatting>
  <conditionalFormatting sqref="A673">
    <cfRule type="duplicateValues" dxfId="619" priority="617"/>
  </conditionalFormatting>
  <conditionalFormatting sqref="A673">
    <cfRule type="duplicateValues" dxfId="618" priority="616"/>
  </conditionalFormatting>
  <conditionalFormatting sqref="A673">
    <cfRule type="duplicateValues" dxfId="617" priority="615"/>
  </conditionalFormatting>
  <conditionalFormatting sqref="A673">
    <cfRule type="duplicateValues" dxfId="616" priority="614"/>
  </conditionalFormatting>
  <conditionalFormatting sqref="A673">
    <cfRule type="duplicateValues" dxfId="615" priority="613"/>
  </conditionalFormatting>
  <conditionalFormatting sqref="A673">
    <cfRule type="duplicateValues" dxfId="614" priority="612"/>
  </conditionalFormatting>
  <conditionalFormatting sqref="A673">
    <cfRule type="duplicateValues" dxfId="613" priority="611"/>
  </conditionalFormatting>
  <conditionalFormatting sqref="A673">
    <cfRule type="duplicateValues" dxfId="612" priority="610"/>
  </conditionalFormatting>
  <conditionalFormatting sqref="A673">
    <cfRule type="duplicateValues" dxfId="611" priority="609"/>
  </conditionalFormatting>
  <conditionalFormatting sqref="A673">
    <cfRule type="duplicateValues" dxfId="610" priority="608"/>
  </conditionalFormatting>
  <conditionalFormatting sqref="A673">
    <cfRule type="duplicateValues" dxfId="609" priority="607"/>
  </conditionalFormatting>
  <conditionalFormatting sqref="A673">
    <cfRule type="duplicateValues" dxfId="608" priority="606"/>
  </conditionalFormatting>
  <conditionalFormatting sqref="A673">
    <cfRule type="duplicateValues" dxfId="607" priority="605"/>
  </conditionalFormatting>
  <conditionalFormatting sqref="A673">
    <cfRule type="duplicateValues" dxfId="606" priority="604"/>
  </conditionalFormatting>
  <conditionalFormatting sqref="A673">
    <cfRule type="duplicateValues" dxfId="605" priority="603"/>
  </conditionalFormatting>
  <conditionalFormatting sqref="A673">
    <cfRule type="duplicateValues" dxfId="604" priority="602"/>
  </conditionalFormatting>
  <conditionalFormatting sqref="A673">
    <cfRule type="duplicateValues" dxfId="603" priority="601"/>
  </conditionalFormatting>
  <conditionalFormatting sqref="A673">
    <cfRule type="duplicateValues" dxfId="602" priority="600"/>
  </conditionalFormatting>
  <conditionalFormatting sqref="A673">
    <cfRule type="duplicateValues" dxfId="601" priority="599"/>
  </conditionalFormatting>
  <conditionalFormatting sqref="A673">
    <cfRule type="duplicateValues" dxfId="600" priority="598"/>
  </conditionalFormatting>
  <conditionalFormatting sqref="A673">
    <cfRule type="duplicateValues" dxfId="599" priority="597"/>
  </conditionalFormatting>
  <conditionalFormatting sqref="A673">
    <cfRule type="duplicateValues" dxfId="598" priority="596"/>
  </conditionalFormatting>
  <conditionalFormatting sqref="A673">
    <cfRule type="duplicateValues" dxfId="597" priority="595"/>
  </conditionalFormatting>
  <conditionalFormatting sqref="A673">
    <cfRule type="duplicateValues" dxfId="596" priority="594"/>
  </conditionalFormatting>
  <conditionalFormatting sqref="A673">
    <cfRule type="duplicateValues" dxfId="595" priority="593"/>
  </conditionalFormatting>
  <conditionalFormatting sqref="A673">
    <cfRule type="duplicateValues" dxfId="594" priority="592"/>
  </conditionalFormatting>
  <conditionalFormatting sqref="A673">
    <cfRule type="duplicateValues" dxfId="593" priority="591"/>
  </conditionalFormatting>
  <conditionalFormatting sqref="A673">
    <cfRule type="duplicateValues" dxfId="592" priority="590"/>
  </conditionalFormatting>
  <conditionalFormatting sqref="A673">
    <cfRule type="duplicateValues" dxfId="591" priority="618"/>
  </conditionalFormatting>
  <conditionalFormatting sqref="A673">
    <cfRule type="duplicateValues" dxfId="590" priority="619"/>
  </conditionalFormatting>
  <conditionalFormatting sqref="A673">
    <cfRule type="duplicateValues" dxfId="589" priority="620"/>
  </conditionalFormatting>
  <conditionalFormatting sqref="A673">
    <cfRule type="duplicateValues" dxfId="588" priority="621"/>
  </conditionalFormatting>
  <conditionalFormatting sqref="A673">
    <cfRule type="expression" dxfId="587" priority="588">
      <formula>$AV673="POSITIF"</formula>
    </cfRule>
  </conditionalFormatting>
  <conditionalFormatting sqref="A673">
    <cfRule type="expression" dxfId="586" priority="587">
      <formula>$AV673="POSITIF"</formula>
    </cfRule>
  </conditionalFormatting>
  <conditionalFormatting sqref="A673">
    <cfRule type="expression" dxfId="585" priority="586">
      <formula>$AV673="POSITIF"</formula>
    </cfRule>
  </conditionalFormatting>
  <conditionalFormatting sqref="A673">
    <cfRule type="expression" dxfId="584" priority="585">
      <formula>$AV673="POSITIF"</formula>
    </cfRule>
  </conditionalFormatting>
  <conditionalFormatting sqref="A673">
    <cfRule type="expression" dxfId="583" priority="584">
      <formula>$AV673="POSITIF"</formula>
    </cfRule>
  </conditionalFormatting>
  <conditionalFormatting sqref="A673">
    <cfRule type="expression" dxfId="582" priority="583">
      <formula>$AV673="POSITIF"</formula>
    </cfRule>
  </conditionalFormatting>
  <conditionalFormatting sqref="A673">
    <cfRule type="expression" dxfId="581" priority="582">
      <formula>$AV673="POSITIF"</formula>
    </cfRule>
  </conditionalFormatting>
  <conditionalFormatting sqref="A673">
    <cfRule type="expression" dxfId="580" priority="580">
      <formula>$AV673="POSITIF"</formula>
    </cfRule>
    <cfRule type="expression" dxfId="579" priority="581">
      <formula>"$AU2=""POSITIF"""</formula>
    </cfRule>
  </conditionalFormatting>
  <conditionalFormatting sqref="A673">
    <cfRule type="expression" dxfId="578" priority="579">
      <formula>$AV673="POSITIF"</formula>
    </cfRule>
  </conditionalFormatting>
  <conditionalFormatting sqref="A673">
    <cfRule type="expression" dxfId="577" priority="578">
      <formula>$AV673="POSITIF"</formula>
    </cfRule>
  </conditionalFormatting>
  <conditionalFormatting sqref="A674">
    <cfRule type="expression" dxfId="576" priority="577">
      <formula>$AV674="POSITIF"</formula>
    </cfRule>
  </conditionalFormatting>
  <conditionalFormatting sqref="A674">
    <cfRule type="expression" dxfId="575" priority="576">
      <formula>$AV674="POSITIF"</formula>
    </cfRule>
  </conditionalFormatting>
  <conditionalFormatting sqref="A674">
    <cfRule type="expression" dxfId="574" priority="575">
      <formula>$AV674="POSITIF"</formula>
    </cfRule>
  </conditionalFormatting>
  <conditionalFormatting sqref="A674">
    <cfRule type="expression" dxfId="573" priority="574">
      <formula>$AV674="POSITIF"</formula>
    </cfRule>
  </conditionalFormatting>
  <conditionalFormatting sqref="A674">
    <cfRule type="expression" dxfId="572" priority="573">
      <formula>$AV674="POSITIF"</formula>
    </cfRule>
  </conditionalFormatting>
  <conditionalFormatting sqref="A674">
    <cfRule type="expression" dxfId="571" priority="572">
      <formula>$AV674="POSITIF"</formula>
    </cfRule>
  </conditionalFormatting>
  <conditionalFormatting sqref="A674">
    <cfRule type="expression" dxfId="570" priority="571">
      <formula>$AV674="POSITIF"</formula>
    </cfRule>
  </conditionalFormatting>
  <conditionalFormatting sqref="A674">
    <cfRule type="expression" dxfId="569" priority="570">
      <formula>$AV674="POSITIF"</formula>
    </cfRule>
  </conditionalFormatting>
  <conditionalFormatting sqref="A674">
    <cfRule type="expression" dxfId="568" priority="568">
      <formula>$AV674="POSITIF"</formula>
    </cfRule>
    <cfRule type="expression" dxfId="567" priority="569">
      <formula>"$AU2=""POSITIF"""</formula>
    </cfRule>
  </conditionalFormatting>
  <conditionalFormatting sqref="A674">
    <cfRule type="expression" dxfId="566" priority="567">
      <formula>$AV674="POSITIF"</formula>
    </cfRule>
  </conditionalFormatting>
  <conditionalFormatting sqref="A674">
    <cfRule type="expression" dxfId="565" priority="566">
      <formula>$AV674="POSITIF"</formula>
    </cfRule>
  </conditionalFormatting>
  <conditionalFormatting sqref="A675">
    <cfRule type="expression" dxfId="564" priority="565">
      <formula>$AV675="POSITIF"</formula>
    </cfRule>
  </conditionalFormatting>
  <conditionalFormatting sqref="A675">
    <cfRule type="expression" dxfId="563" priority="532">
      <formula>$AV675="POSITIF"</formula>
    </cfRule>
  </conditionalFormatting>
  <conditionalFormatting sqref="A675">
    <cfRule type="duplicateValues" dxfId="562" priority="560"/>
  </conditionalFormatting>
  <conditionalFormatting sqref="A675">
    <cfRule type="duplicateValues" dxfId="561" priority="559"/>
  </conditionalFormatting>
  <conditionalFormatting sqref="A675">
    <cfRule type="duplicateValues" dxfId="560" priority="558"/>
  </conditionalFormatting>
  <conditionalFormatting sqref="A675">
    <cfRule type="duplicateValues" dxfId="559" priority="557"/>
  </conditionalFormatting>
  <conditionalFormatting sqref="A675">
    <cfRule type="duplicateValues" dxfId="558" priority="556"/>
  </conditionalFormatting>
  <conditionalFormatting sqref="A675">
    <cfRule type="duplicateValues" dxfId="557" priority="555"/>
  </conditionalFormatting>
  <conditionalFormatting sqref="A675">
    <cfRule type="duplicateValues" dxfId="556" priority="554"/>
  </conditionalFormatting>
  <conditionalFormatting sqref="A675">
    <cfRule type="duplicateValues" dxfId="555" priority="553"/>
  </conditionalFormatting>
  <conditionalFormatting sqref="A675">
    <cfRule type="duplicateValues" dxfId="554" priority="552"/>
  </conditionalFormatting>
  <conditionalFormatting sqref="A675">
    <cfRule type="duplicateValues" dxfId="553" priority="551"/>
  </conditionalFormatting>
  <conditionalFormatting sqref="A675">
    <cfRule type="duplicateValues" dxfId="552" priority="550"/>
  </conditionalFormatting>
  <conditionalFormatting sqref="A675">
    <cfRule type="duplicateValues" dxfId="551" priority="549"/>
  </conditionalFormatting>
  <conditionalFormatting sqref="A675">
    <cfRule type="duplicateValues" dxfId="550" priority="548"/>
  </conditionalFormatting>
  <conditionalFormatting sqref="A675">
    <cfRule type="duplicateValues" dxfId="549" priority="547"/>
  </conditionalFormatting>
  <conditionalFormatting sqref="A675">
    <cfRule type="duplicateValues" dxfId="548" priority="546"/>
  </conditionalFormatting>
  <conditionalFormatting sqref="A675">
    <cfRule type="duplicateValues" dxfId="547" priority="545"/>
  </conditionalFormatting>
  <conditionalFormatting sqref="A675">
    <cfRule type="duplicateValues" dxfId="546" priority="544"/>
  </conditionalFormatting>
  <conditionalFormatting sqref="A675">
    <cfRule type="duplicateValues" dxfId="545" priority="543"/>
  </conditionalFormatting>
  <conditionalFormatting sqref="A675">
    <cfRule type="duplicateValues" dxfId="544" priority="542"/>
  </conditionalFormatting>
  <conditionalFormatting sqref="A675">
    <cfRule type="duplicateValues" dxfId="543" priority="541"/>
  </conditionalFormatting>
  <conditionalFormatting sqref="A675">
    <cfRule type="duplicateValues" dxfId="542" priority="540"/>
  </conditionalFormatting>
  <conditionalFormatting sqref="A675">
    <cfRule type="duplicateValues" dxfId="541" priority="539"/>
  </conditionalFormatting>
  <conditionalFormatting sqref="A675">
    <cfRule type="duplicateValues" dxfId="540" priority="538"/>
  </conditionalFormatting>
  <conditionalFormatting sqref="A675">
    <cfRule type="duplicateValues" dxfId="539" priority="537"/>
  </conditionalFormatting>
  <conditionalFormatting sqref="A675">
    <cfRule type="duplicateValues" dxfId="538" priority="536"/>
  </conditionalFormatting>
  <conditionalFormatting sqref="A675">
    <cfRule type="duplicateValues" dxfId="537" priority="535"/>
  </conditionalFormatting>
  <conditionalFormatting sqref="A675">
    <cfRule type="duplicateValues" dxfId="536" priority="534"/>
  </conditionalFormatting>
  <conditionalFormatting sqref="A675">
    <cfRule type="duplicateValues" dxfId="535" priority="533"/>
  </conditionalFormatting>
  <conditionalFormatting sqref="A675">
    <cfRule type="duplicateValues" dxfId="534" priority="561"/>
  </conditionalFormatting>
  <conditionalFormatting sqref="A675">
    <cfRule type="duplicateValues" dxfId="533" priority="562"/>
  </conditionalFormatting>
  <conditionalFormatting sqref="A675">
    <cfRule type="duplicateValues" dxfId="532" priority="563"/>
  </conditionalFormatting>
  <conditionalFormatting sqref="A675">
    <cfRule type="duplicateValues" dxfId="531" priority="564"/>
  </conditionalFormatting>
  <conditionalFormatting sqref="A675">
    <cfRule type="expression" dxfId="530" priority="531">
      <formula>$AV675="POSITIF"</formula>
    </cfRule>
  </conditionalFormatting>
  <conditionalFormatting sqref="A675">
    <cfRule type="expression" dxfId="529" priority="530">
      <formula>$AV675="POSITIF"</formula>
    </cfRule>
  </conditionalFormatting>
  <conditionalFormatting sqref="A675">
    <cfRule type="expression" dxfId="528" priority="529">
      <formula>$AV675="POSITIF"</formula>
    </cfRule>
  </conditionalFormatting>
  <conditionalFormatting sqref="A675">
    <cfRule type="expression" dxfId="527" priority="528">
      <formula>$AV675="POSITIF"</formula>
    </cfRule>
  </conditionalFormatting>
  <conditionalFormatting sqref="A675">
    <cfRule type="expression" dxfId="526" priority="527">
      <formula>$AV675="POSITIF"</formula>
    </cfRule>
  </conditionalFormatting>
  <conditionalFormatting sqref="A675">
    <cfRule type="expression" dxfId="525" priority="526">
      <formula>$AV675="POSITIF"</formula>
    </cfRule>
  </conditionalFormatting>
  <conditionalFormatting sqref="A675">
    <cfRule type="expression" dxfId="524" priority="525">
      <formula>$AV675="POSITIF"</formula>
    </cfRule>
  </conditionalFormatting>
  <conditionalFormatting sqref="A675">
    <cfRule type="expression" dxfId="523" priority="523">
      <formula>$AV675="POSITIF"</formula>
    </cfRule>
    <cfRule type="expression" dxfId="522" priority="524">
      <formula>"$AU2=""POSITIF"""</formula>
    </cfRule>
  </conditionalFormatting>
  <conditionalFormatting sqref="A675">
    <cfRule type="expression" dxfId="521" priority="522">
      <formula>$AV675="POSITIF"</formula>
    </cfRule>
  </conditionalFormatting>
  <conditionalFormatting sqref="A675">
    <cfRule type="expression" dxfId="520" priority="521">
      <formula>$AV675="POSITIF"</formula>
    </cfRule>
  </conditionalFormatting>
  <conditionalFormatting sqref="A676:A678">
    <cfRule type="expression" dxfId="519" priority="515">
      <formula>$AV676="POSITIF"</formula>
    </cfRule>
  </conditionalFormatting>
  <conditionalFormatting sqref="A676:A678">
    <cfRule type="duplicateValues" dxfId="518" priority="516"/>
  </conditionalFormatting>
  <conditionalFormatting sqref="A676:A678">
    <cfRule type="duplicateValues" dxfId="517" priority="517"/>
    <cfRule type="duplicateValues" dxfId="516" priority="518"/>
    <cfRule type="duplicateValues" dxfId="515" priority="519"/>
    <cfRule type="duplicateValues" dxfId="514" priority="520"/>
  </conditionalFormatting>
  <conditionalFormatting sqref="A676:A678">
    <cfRule type="expression" dxfId="513" priority="514">
      <formula>$AV676="POSITIF"</formula>
    </cfRule>
  </conditionalFormatting>
  <conditionalFormatting sqref="A676:A678">
    <cfRule type="expression" dxfId="512" priority="513">
      <formula>$AV676="POSITIF"</formula>
    </cfRule>
  </conditionalFormatting>
  <conditionalFormatting sqref="A676:A678">
    <cfRule type="expression" dxfId="511" priority="511">
      <formula>$AV676="POSITIF"</formula>
    </cfRule>
    <cfRule type="expression" dxfId="510" priority="512">
      <formula>"$AU2=""POSITIF"""</formula>
    </cfRule>
  </conditionalFormatting>
  <conditionalFormatting sqref="A676:A678">
    <cfRule type="expression" dxfId="509" priority="510">
      <formula>$AV676="POSITIF"</formula>
    </cfRule>
  </conditionalFormatting>
  <conditionalFormatting sqref="A676:A678">
    <cfRule type="expression" dxfId="508" priority="509">
      <formula>$AV676="POSITIF"</formula>
    </cfRule>
  </conditionalFormatting>
  <conditionalFormatting sqref="A679">
    <cfRule type="expression" dxfId="507" priority="476">
      <formula>$AV679="POSITIF"</formula>
    </cfRule>
  </conditionalFormatting>
  <conditionalFormatting sqref="A679">
    <cfRule type="duplicateValues" dxfId="506" priority="504"/>
  </conditionalFormatting>
  <conditionalFormatting sqref="A679">
    <cfRule type="duplicateValues" dxfId="505" priority="503"/>
  </conditionalFormatting>
  <conditionalFormatting sqref="A679">
    <cfRule type="duplicateValues" dxfId="504" priority="502"/>
  </conditionalFormatting>
  <conditionalFormatting sqref="A679">
    <cfRule type="duplicateValues" dxfId="503" priority="501"/>
  </conditionalFormatting>
  <conditionalFormatting sqref="A679">
    <cfRule type="duplicateValues" dxfId="502" priority="500"/>
  </conditionalFormatting>
  <conditionalFormatting sqref="A679">
    <cfRule type="duplicateValues" dxfId="501" priority="499"/>
  </conditionalFormatting>
  <conditionalFormatting sqref="A679">
    <cfRule type="duplicateValues" dxfId="500" priority="498"/>
  </conditionalFormatting>
  <conditionalFormatting sqref="A679">
    <cfRule type="duplicateValues" dxfId="499" priority="497"/>
  </conditionalFormatting>
  <conditionalFormatting sqref="A679">
    <cfRule type="duplicateValues" dxfId="498" priority="496"/>
  </conditionalFormatting>
  <conditionalFormatting sqref="A679">
    <cfRule type="duplicateValues" dxfId="497" priority="495"/>
  </conditionalFormatting>
  <conditionalFormatting sqref="A679">
    <cfRule type="duplicateValues" dxfId="496" priority="494"/>
  </conditionalFormatting>
  <conditionalFormatting sqref="A679">
    <cfRule type="duplicateValues" dxfId="495" priority="493"/>
  </conditionalFormatting>
  <conditionalFormatting sqref="A679">
    <cfRule type="duplicateValues" dxfId="494" priority="492"/>
  </conditionalFormatting>
  <conditionalFormatting sqref="A679">
    <cfRule type="duplicateValues" dxfId="493" priority="491"/>
  </conditionalFormatting>
  <conditionalFormatting sqref="A679">
    <cfRule type="duplicateValues" dxfId="492" priority="490"/>
  </conditionalFormatting>
  <conditionalFormatting sqref="A679">
    <cfRule type="duplicateValues" dxfId="491" priority="489"/>
  </conditionalFormatting>
  <conditionalFormatting sqref="A679">
    <cfRule type="duplicateValues" dxfId="490" priority="488"/>
  </conditionalFormatting>
  <conditionalFormatting sqref="A679">
    <cfRule type="duplicateValues" dxfId="489" priority="487"/>
  </conditionalFormatting>
  <conditionalFormatting sqref="A679">
    <cfRule type="duplicateValues" dxfId="488" priority="486"/>
  </conditionalFormatting>
  <conditionalFormatting sqref="A679">
    <cfRule type="duplicateValues" dxfId="487" priority="485"/>
  </conditionalFormatting>
  <conditionalFormatting sqref="A679">
    <cfRule type="duplicateValues" dxfId="486" priority="484"/>
  </conditionalFormatting>
  <conditionalFormatting sqref="A679">
    <cfRule type="duplicateValues" dxfId="485" priority="483"/>
  </conditionalFormatting>
  <conditionalFormatting sqref="A679">
    <cfRule type="duplicateValues" dxfId="484" priority="482"/>
  </conditionalFormatting>
  <conditionalFormatting sqref="A679">
    <cfRule type="duplicateValues" dxfId="483" priority="481"/>
  </conditionalFormatting>
  <conditionalFormatting sqref="A679">
    <cfRule type="duplicateValues" dxfId="482" priority="480"/>
  </conditionalFormatting>
  <conditionalFormatting sqref="A679">
    <cfRule type="duplicateValues" dxfId="481" priority="479"/>
  </conditionalFormatting>
  <conditionalFormatting sqref="A679">
    <cfRule type="duplicateValues" dxfId="480" priority="478"/>
  </conditionalFormatting>
  <conditionalFormatting sqref="A679">
    <cfRule type="duplicateValues" dxfId="479" priority="477"/>
  </conditionalFormatting>
  <conditionalFormatting sqref="A679">
    <cfRule type="duplicateValues" dxfId="478" priority="505"/>
  </conditionalFormatting>
  <conditionalFormatting sqref="A679">
    <cfRule type="duplicateValues" dxfId="477" priority="506"/>
  </conditionalFormatting>
  <conditionalFormatting sqref="A679">
    <cfRule type="duplicateValues" dxfId="476" priority="507"/>
  </conditionalFormatting>
  <conditionalFormatting sqref="A679">
    <cfRule type="duplicateValues" dxfId="475" priority="508"/>
  </conditionalFormatting>
  <conditionalFormatting sqref="A679">
    <cfRule type="expression" dxfId="474" priority="475">
      <formula>$AV679="POSITIF"</formula>
    </cfRule>
  </conditionalFormatting>
  <conditionalFormatting sqref="A679">
    <cfRule type="expression" dxfId="473" priority="474">
      <formula>$AV679="POSITIF"</formula>
    </cfRule>
  </conditionalFormatting>
  <conditionalFormatting sqref="A679">
    <cfRule type="expression" dxfId="472" priority="473">
      <formula>$AV679="POSITIF"</formula>
    </cfRule>
  </conditionalFormatting>
  <conditionalFormatting sqref="A679">
    <cfRule type="expression" dxfId="471" priority="472">
      <formula>$AV679="POSITIF"</formula>
    </cfRule>
  </conditionalFormatting>
  <conditionalFormatting sqref="A679">
    <cfRule type="expression" dxfId="470" priority="471">
      <formula>$AV679="POSITIF"</formula>
    </cfRule>
  </conditionalFormatting>
  <conditionalFormatting sqref="A679">
    <cfRule type="expression" dxfId="469" priority="470">
      <formula>$AV679="POSITIF"</formula>
    </cfRule>
  </conditionalFormatting>
  <conditionalFormatting sqref="A679">
    <cfRule type="expression" dxfId="468" priority="469">
      <formula>$AV679="POSITIF"</formula>
    </cfRule>
  </conditionalFormatting>
  <conditionalFormatting sqref="A679">
    <cfRule type="expression" dxfId="467" priority="467">
      <formula>$AV679="POSITIF"</formula>
    </cfRule>
    <cfRule type="expression" dxfId="466" priority="468">
      <formula>"$AU2=""POSITIF"""</formula>
    </cfRule>
  </conditionalFormatting>
  <conditionalFormatting sqref="A679">
    <cfRule type="expression" dxfId="465" priority="466">
      <formula>$AV679="POSITIF"</formula>
    </cfRule>
  </conditionalFormatting>
  <conditionalFormatting sqref="A679">
    <cfRule type="expression" dxfId="464" priority="465">
      <formula>$AV679="POSITIF"</formula>
    </cfRule>
  </conditionalFormatting>
  <conditionalFormatting sqref="A679">
    <cfRule type="expression" dxfId="463" priority="464">
      <formula>$AV679="POSITIF"</formula>
    </cfRule>
  </conditionalFormatting>
  <conditionalFormatting sqref="A680">
    <cfRule type="expression" dxfId="462" priority="463">
      <formula>$AV680="POSITIF"</formula>
    </cfRule>
  </conditionalFormatting>
  <conditionalFormatting sqref="A680">
    <cfRule type="expression" dxfId="461" priority="462">
      <formula>$AV680="POSITIF"</formula>
    </cfRule>
  </conditionalFormatting>
  <conditionalFormatting sqref="A680">
    <cfRule type="expression" dxfId="460" priority="429">
      <formula>$AV680="POSITIF"</formula>
    </cfRule>
  </conditionalFormatting>
  <conditionalFormatting sqref="A680">
    <cfRule type="duplicateValues" dxfId="459" priority="457"/>
  </conditionalFormatting>
  <conditionalFormatting sqref="A680">
    <cfRule type="duplicateValues" dxfId="458" priority="456"/>
  </conditionalFormatting>
  <conditionalFormatting sqref="A680">
    <cfRule type="duplicateValues" dxfId="457" priority="455"/>
  </conditionalFormatting>
  <conditionalFormatting sqref="A680">
    <cfRule type="duplicateValues" dxfId="456" priority="454"/>
  </conditionalFormatting>
  <conditionalFormatting sqref="A680">
    <cfRule type="duplicateValues" dxfId="455" priority="453"/>
  </conditionalFormatting>
  <conditionalFormatting sqref="A680">
    <cfRule type="duplicateValues" dxfId="454" priority="452"/>
  </conditionalFormatting>
  <conditionalFormatting sqref="A680">
    <cfRule type="duplicateValues" dxfId="453" priority="451"/>
  </conditionalFormatting>
  <conditionalFormatting sqref="A680">
    <cfRule type="duplicateValues" dxfId="452" priority="450"/>
  </conditionalFormatting>
  <conditionalFormatting sqref="A680">
    <cfRule type="duplicateValues" dxfId="451" priority="449"/>
  </conditionalFormatting>
  <conditionalFormatting sqref="A680">
    <cfRule type="duplicateValues" dxfId="450" priority="448"/>
  </conditionalFormatting>
  <conditionalFormatting sqref="A680">
    <cfRule type="duplicateValues" dxfId="449" priority="447"/>
  </conditionalFormatting>
  <conditionalFormatting sqref="A680">
    <cfRule type="duplicateValues" dxfId="448" priority="446"/>
  </conditionalFormatting>
  <conditionalFormatting sqref="A680">
    <cfRule type="duplicateValues" dxfId="447" priority="445"/>
  </conditionalFormatting>
  <conditionalFormatting sqref="A680">
    <cfRule type="duplicateValues" dxfId="446" priority="444"/>
  </conditionalFormatting>
  <conditionalFormatting sqref="A680">
    <cfRule type="duplicateValues" dxfId="445" priority="443"/>
  </conditionalFormatting>
  <conditionalFormatting sqref="A680">
    <cfRule type="duplicateValues" dxfId="444" priority="442"/>
  </conditionalFormatting>
  <conditionalFormatting sqref="A680">
    <cfRule type="duplicateValues" dxfId="443" priority="441"/>
  </conditionalFormatting>
  <conditionalFormatting sqref="A680">
    <cfRule type="duplicateValues" dxfId="442" priority="440"/>
  </conditionalFormatting>
  <conditionalFormatting sqref="A680">
    <cfRule type="duplicateValues" dxfId="441" priority="439"/>
  </conditionalFormatting>
  <conditionalFormatting sqref="A680">
    <cfRule type="duplicateValues" dxfId="440" priority="438"/>
  </conditionalFormatting>
  <conditionalFormatting sqref="A680">
    <cfRule type="duplicateValues" dxfId="439" priority="437"/>
  </conditionalFormatting>
  <conditionalFormatting sqref="A680">
    <cfRule type="duplicateValues" dxfId="438" priority="436"/>
  </conditionalFormatting>
  <conditionalFormatting sqref="A680">
    <cfRule type="duplicateValues" dxfId="437" priority="435"/>
  </conditionalFormatting>
  <conditionalFormatting sqref="A680">
    <cfRule type="duplicateValues" dxfId="436" priority="434"/>
  </conditionalFormatting>
  <conditionalFormatting sqref="A680">
    <cfRule type="duplicateValues" dxfId="435" priority="433"/>
  </conditionalFormatting>
  <conditionalFormatting sqref="A680">
    <cfRule type="duplicateValues" dxfId="434" priority="432"/>
  </conditionalFormatting>
  <conditionalFormatting sqref="A680">
    <cfRule type="duplicateValues" dxfId="433" priority="431"/>
  </conditionalFormatting>
  <conditionalFormatting sqref="A680">
    <cfRule type="duplicateValues" dxfId="432" priority="430"/>
  </conditionalFormatting>
  <conditionalFormatting sqref="A680">
    <cfRule type="duplicateValues" dxfId="431" priority="458"/>
  </conditionalFormatting>
  <conditionalFormatting sqref="A680">
    <cfRule type="duplicateValues" dxfId="430" priority="459"/>
  </conditionalFormatting>
  <conditionalFormatting sqref="A680">
    <cfRule type="duplicateValues" dxfId="429" priority="460"/>
  </conditionalFormatting>
  <conditionalFormatting sqref="A680">
    <cfRule type="duplicateValues" dxfId="428" priority="461"/>
  </conditionalFormatting>
  <conditionalFormatting sqref="A680">
    <cfRule type="expression" dxfId="427" priority="428">
      <formula>$AV680="POSITIF"</formula>
    </cfRule>
  </conditionalFormatting>
  <conditionalFormatting sqref="A680">
    <cfRule type="expression" dxfId="426" priority="427">
      <formula>$AV680="POSITIF"</formula>
    </cfRule>
  </conditionalFormatting>
  <conditionalFormatting sqref="A680">
    <cfRule type="expression" dxfId="425" priority="426">
      <formula>$AV680="POSITIF"</formula>
    </cfRule>
  </conditionalFormatting>
  <conditionalFormatting sqref="A680">
    <cfRule type="expression" dxfId="424" priority="425">
      <formula>$AV680="POSITIF"</formula>
    </cfRule>
  </conditionalFormatting>
  <conditionalFormatting sqref="A680">
    <cfRule type="expression" dxfId="423" priority="424">
      <formula>$AV680="POSITIF"</formula>
    </cfRule>
  </conditionalFormatting>
  <conditionalFormatting sqref="A680">
    <cfRule type="expression" dxfId="422" priority="423">
      <formula>$AV680="POSITIF"</formula>
    </cfRule>
  </conditionalFormatting>
  <conditionalFormatting sqref="A680">
    <cfRule type="expression" dxfId="421" priority="421">
      <formula>$AV680="POSITIF"</formula>
    </cfRule>
    <cfRule type="expression" dxfId="420" priority="422">
      <formula>"$AU2=""POSITIF"""</formula>
    </cfRule>
  </conditionalFormatting>
  <conditionalFormatting sqref="A680">
    <cfRule type="expression" dxfId="419" priority="420">
      <formula>$AV680="POSITIF"</formula>
    </cfRule>
  </conditionalFormatting>
  <conditionalFormatting sqref="A680">
    <cfRule type="expression" dxfId="418" priority="419">
      <formula>$AV680="POSITIF"</formula>
    </cfRule>
  </conditionalFormatting>
  <conditionalFormatting sqref="A680">
    <cfRule type="expression" dxfId="417" priority="418">
      <formula>$AV680="POSITIF"</formula>
    </cfRule>
  </conditionalFormatting>
  <conditionalFormatting sqref="B681:B706">
    <cfRule type="expression" dxfId="416" priority="4192">
      <formula>#REF!="POSITIF"</formula>
    </cfRule>
  </conditionalFormatting>
  <conditionalFormatting sqref="B681:B706">
    <cfRule type="expression" dxfId="415" priority="4193">
      <formula>#REF!="POSITIF"</formula>
    </cfRule>
    <cfRule type="expression" dxfId="414" priority="4194">
      <formula>"$AU2=""POSITIF"""</formula>
    </cfRule>
  </conditionalFormatting>
  <conditionalFormatting sqref="A681:A682">
    <cfRule type="expression" dxfId="413" priority="411">
      <formula>$AV681="POSITIF"</formula>
    </cfRule>
  </conditionalFormatting>
  <conditionalFormatting sqref="A681:A682">
    <cfRule type="expression" dxfId="412" priority="413">
      <formula>$AV681="POSITIF"</formula>
    </cfRule>
  </conditionalFormatting>
  <conditionalFormatting sqref="A681:A682">
    <cfRule type="duplicateValues" dxfId="411" priority="412"/>
  </conditionalFormatting>
  <conditionalFormatting sqref="A681:A682">
    <cfRule type="duplicateValues" dxfId="410" priority="414"/>
  </conditionalFormatting>
  <conditionalFormatting sqref="A681:A682">
    <cfRule type="duplicateValues" dxfId="409" priority="415"/>
  </conditionalFormatting>
  <conditionalFormatting sqref="A681:A682">
    <cfRule type="duplicateValues" dxfId="408" priority="416"/>
  </conditionalFormatting>
  <conditionalFormatting sqref="A681:A682">
    <cfRule type="duplicateValues" dxfId="407" priority="417"/>
  </conditionalFormatting>
  <conditionalFormatting sqref="A681:A682">
    <cfRule type="expression" dxfId="406" priority="410">
      <formula>$AV681="POSITIF"</formula>
    </cfRule>
  </conditionalFormatting>
  <conditionalFormatting sqref="A681:A682">
    <cfRule type="expression" dxfId="405" priority="409">
      <formula>$AV681="POSITIF"</formula>
    </cfRule>
  </conditionalFormatting>
  <conditionalFormatting sqref="A681:A682">
    <cfRule type="expression" dxfId="404" priority="408">
      <formula>$AV681="POSITIF"</formula>
    </cfRule>
  </conditionalFormatting>
  <conditionalFormatting sqref="A681:A682">
    <cfRule type="expression" dxfId="403" priority="407">
      <formula>$AV681="POSITIF"</formula>
    </cfRule>
  </conditionalFormatting>
  <conditionalFormatting sqref="A681:A682">
    <cfRule type="expression" dxfId="402" priority="406">
      <formula>$AV681="POSITIF"</formula>
    </cfRule>
  </conditionalFormatting>
  <conditionalFormatting sqref="A681:A682">
    <cfRule type="expression" dxfId="401" priority="405">
      <formula>$AV681="POSITIF"</formula>
    </cfRule>
  </conditionalFormatting>
  <conditionalFormatting sqref="A681:A682">
    <cfRule type="expression" dxfId="400" priority="404">
      <formula>$AV681="POSITIF"</formula>
    </cfRule>
  </conditionalFormatting>
  <conditionalFormatting sqref="A681:A682">
    <cfRule type="expression" dxfId="399" priority="402">
      <formula>$AV681="POSITIF"</formula>
    </cfRule>
    <cfRule type="expression" dxfId="398" priority="403">
      <formula>"$AU2=""POSITIF"""</formula>
    </cfRule>
  </conditionalFormatting>
  <conditionalFormatting sqref="A681:A682">
    <cfRule type="expression" dxfId="397" priority="401">
      <formula>$AV681="POSITIF"</formula>
    </cfRule>
  </conditionalFormatting>
  <conditionalFormatting sqref="A681:A682">
    <cfRule type="expression" dxfId="396" priority="400">
      <formula>$AV681="POSITIF"</formula>
    </cfRule>
  </conditionalFormatting>
  <conditionalFormatting sqref="A681:A682">
    <cfRule type="expression" dxfId="395" priority="399">
      <formula>$AV681="POSITIF"</formula>
    </cfRule>
  </conditionalFormatting>
  <conditionalFormatting sqref="S686">
    <cfRule type="expression" dxfId="394" priority="397">
      <formula>$AV686="POSITIF"</formula>
    </cfRule>
  </conditionalFormatting>
  <conditionalFormatting sqref="T686">
    <cfRule type="expression" dxfId="393" priority="396">
      <formula>$AV686="POSITIF"</formula>
    </cfRule>
  </conditionalFormatting>
  <conditionalFormatting sqref="A683">
    <cfRule type="expression" dxfId="392" priority="363">
      <formula>$AV683="POSITIF"</formula>
    </cfRule>
  </conditionalFormatting>
  <conditionalFormatting sqref="A683">
    <cfRule type="duplicateValues" dxfId="391" priority="391"/>
  </conditionalFormatting>
  <conditionalFormatting sqref="A683">
    <cfRule type="duplicateValues" dxfId="390" priority="390"/>
  </conditionalFormatting>
  <conditionalFormatting sqref="A683">
    <cfRule type="duplicateValues" dxfId="389" priority="389"/>
  </conditionalFormatting>
  <conditionalFormatting sqref="A683">
    <cfRule type="duplicateValues" dxfId="388" priority="388"/>
  </conditionalFormatting>
  <conditionalFormatting sqref="A683">
    <cfRule type="duplicateValues" dxfId="387" priority="387"/>
  </conditionalFormatting>
  <conditionalFormatting sqref="A683">
    <cfRule type="duplicateValues" dxfId="386" priority="386"/>
  </conditionalFormatting>
  <conditionalFormatting sqref="A683">
    <cfRule type="duplicateValues" dxfId="385" priority="385"/>
  </conditionalFormatting>
  <conditionalFormatting sqref="A683">
    <cfRule type="duplicateValues" dxfId="384" priority="384"/>
  </conditionalFormatting>
  <conditionalFormatting sqref="A683">
    <cfRule type="duplicateValues" dxfId="383" priority="383"/>
  </conditionalFormatting>
  <conditionalFormatting sqref="A683">
    <cfRule type="duplicateValues" dxfId="382" priority="382"/>
  </conditionalFormatting>
  <conditionalFormatting sqref="A683">
    <cfRule type="duplicateValues" dxfId="381" priority="381"/>
  </conditionalFormatting>
  <conditionalFormatting sqref="A683">
    <cfRule type="duplicateValues" dxfId="380" priority="380"/>
  </conditionalFormatting>
  <conditionalFormatting sqref="A683">
    <cfRule type="duplicateValues" dxfId="379" priority="379"/>
  </conditionalFormatting>
  <conditionalFormatting sqref="A683">
    <cfRule type="duplicateValues" dxfId="378" priority="378"/>
  </conditionalFormatting>
  <conditionalFormatting sqref="A683">
    <cfRule type="duplicateValues" dxfId="377" priority="377"/>
  </conditionalFormatting>
  <conditionalFormatting sqref="A683">
    <cfRule type="duplicateValues" dxfId="376" priority="376"/>
  </conditionalFormatting>
  <conditionalFormatting sqref="A683">
    <cfRule type="duplicateValues" dxfId="375" priority="375"/>
  </conditionalFormatting>
  <conditionalFormatting sqref="A683">
    <cfRule type="duplicateValues" dxfId="374" priority="374"/>
  </conditionalFormatting>
  <conditionalFormatting sqref="A683">
    <cfRule type="duplicateValues" dxfId="373" priority="373"/>
  </conditionalFormatting>
  <conditionalFormatting sqref="A683">
    <cfRule type="duplicateValues" dxfId="372" priority="372"/>
  </conditionalFormatting>
  <conditionalFormatting sqref="A683">
    <cfRule type="duplicateValues" dxfId="371" priority="371"/>
  </conditionalFormatting>
  <conditionalFormatting sqref="A683">
    <cfRule type="duplicateValues" dxfId="370" priority="370"/>
  </conditionalFormatting>
  <conditionalFormatting sqref="A683">
    <cfRule type="duplicateValues" dxfId="369" priority="369"/>
  </conditionalFormatting>
  <conditionalFormatting sqref="A683">
    <cfRule type="duplicateValues" dxfId="368" priority="368"/>
  </conditionalFormatting>
  <conditionalFormatting sqref="A683">
    <cfRule type="duplicateValues" dxfId="367" priority="367"/>
  </conditionalFormatting>
  <conditionalFormatting sqref="A683">
    <cfRule type="duplicateValues" dxfId="366" priority="366"/>
  </conditionalFormatting>
  <conditionalFormatting sqref="A683">
    <cfRule type="duplicateValues" dxfId="365" priority="365"/>
  </conditionalFormatting>
  <conditionalFormatting sqref="A683">
    <cfRule type="duplicateValues" dxfId="364" priority="364"/>
  </conditionalFormatting>
  <conditionalFormatting sqref="A683">
    <cfRule type="duplicateValues" dxfId="363" priority="392"/>
  </conditionalFormatting>
  <conditionalFormatting sqref="A683">
    <cfRule type="duplicateValues" dxfId="362" priority="393"/>
  </conditionalFormatting>
  <conditionalFormatting sqref="A683">
    <cfRule type="duplicateValues" dxfId="361" priority="394"/>
  </conditionalFormatting>
  <conditionalFormatting sqref="A683">
    <cfRule type="duplicateValues" dxfId="360" priority="395"/>
  </conditionalFormatting>
  <conditionalFormatting sqref="A683">
    <cfRule type="expression" dxfId="359" priority="362">
      <formula>$AV683="POSITIF"</formula>
    </cfRule>
  </conditionalFormatting>
  <conditionalFormatting sqref="A683">
    <cfRule type="expression" dxfId="358" priority="361">
      <formula>$AV683="POSITIF"</formula>
    </cfRule>
  </conditionalFormatting>
  <conditionalFormatting sqref="A683">
    <cfRule type="expression" dxfId="357" priority="360">
      <formula>$AV683="POSITIF"</formula>
    </cfRule>
  </conditionalFormatting>
  <conditionalFormatting sqref="A683">
    <cfRule type="expression" dxfId="356" priority="359">
      <formula>$AV683="POSITIF"</formula>
    </cfRule>
  </conditionalFormatting>
  <conditionalFormatting sqref="A683">
    <cfRule type="expression" dxfId="355" priority="358">
      <formula>$AV683="POSITIF"</formula>
    </cfRule>
  </conditionalFormatting>
  <conditionalFormatting sqref="A683">
    <cfRule type="expression" dxfId="354" priority="357">
      <formula>$AV683="POSITIF"</formula>
    </cfRule>
  </conditionalFormatting>
  <conditionalFormatting sqref="A683">
    <cfRule type="expression" dxfId="353" priority="356">
      <formula>$AV683="POSITIF"</formula>
    </cfRule>
  </conditionalFormatting>
  <conditionalFormatting sqref="A683">
    <cfRule type="expression" dxfId="352" priority="354">
      <formula>$AV683="POSITIF"</formula>
    </cfRule>
    <cfRule type="expression" dxfId="351" priority="355">
      <formula>"$AU2=""POSITIF"""</formula>
    </cfRule>
  </conditionalFormatting>
  <conditionalFormatting sqref="A683">
    <cfRule type="expression" dxfId="350" priority="353">
      <formula>$AV683="POSITIF"</formula>
    </cfRule>
  </conditionalFormatting>
  <conditionalFormatting sqref="A683">
    <cfRule type="expression" dxfId="349" priority="352">
      <formula>$AV683="POSITIF"</formula>
    </cfRule>
  </conditionalFormatting>
  <conditionalFormatting sqref="A683">
    <cfRule type="expression" dxfId="348" priority="351">
      <formula>$AV683="POSITIF"</formula>
    </cfRule>
  </conditionalFormatting>
  <conditionalFormatting sqref="A684">
    <cfRule type="expression" dxfId="347" priority="318">
      <formula>$AV684="POSITIF"</formula>
    </cfRule>
  </conditionalFormatting>
  <conditionalFormatting sqref="A684">
    <cfRule type="duplicateValues" dxfId="346" priority="346"/>
  </conditionalFormatting>
  <conditionalFormatting sqref="A684">
    <cfRule type="duplicateValues" dxfId="345" priority="345"/>
  </conditionalFormatting>
  <conditionalFormatting sqref="A684">
    <cfRule type="duplicateValues" dxfId="344" priority="344"/>
  </conditionalFormatting>
  <conditionalFormatting sqref="A684">
    <cfRule type="duplicateValues" dxfId="343" priority="343"/>
  </conditionalFormatting>
  <conditionalFormatting sqref="A684">
    <cfRule type="duplicateValues" dxfId="342" priority="342"/>
  </conditionalFormatting>
  <conditionalFormatting sqref="A684">
    <cfRule type="duplicateValues" dxfId="341" priority="341"/>
  </conditionalFormatting>
  <conditionalFormatting sqref="A684">
    <cfRule type="duplicateValues" dxfId="340" priority="340"/>
  </conditionalFormatting>
  <conditionalFormatting sqref="A684">
    <cfRule type="duplicateValues" dxfId="339" priority="339"/>
  </conditionalFormatting>
  <conditionalFormatting sqref="A684">
    <cfRule type="duplicateValues" dxfId="338" priority="338"/>
  </conditionalFormatting>
  <conditionalFormatting sqref="A684">
    <cfRule type="duplicateValues" dxfId="337" priority="337"/>
  </conditionalFormatting>
  <conditionalFormatting sqref="A684">
    <cfRule type="duplicateValues" dxfId="336" priority="336"/>
  </conditionalFormatting>
  <conditionalFormatting sqref="A684">
    <cfRule type="duplicateValues" dxfId="335" priority="335"/>
  </conditionalFormatting>
  <conditionalFormatting sqref="A684">
    <cfRule type="duplicateValues" dxfId="334" priority="334"/>
  </conditionalFormatting>
  <conditionalFormatting sqref="A684">
    <cfRule type="duplicateValues" dxfId="333" priority="333"/>
  </conditionalFormatting>
  <conditionalFormatting sqref="A684">
    <cfRule type="duplicateValues" dxfId="332" priority="332"/>
  </conditionalFormatting>
  <conditionalFormatting sqref="A684">
    <cfRule type="duplicateValues" dxfId="331" priority="331"/>
  </conditionalFormatting>
  <conditionalFormatting sqref="A684">
    <cfRule type="duplicateValues" dxfId="330" priority="330"/>
  </conditionalFormatting>
  <conditionalFormatting sqref="A684">
    <cfRule type="duplicateValues" dxfId="329" priority="329"/>
  </conditionalFormatting>
  <conditionalFormatting sqref="A684">
    <cfRule type="duplicateValues" dxfId="328" priority="328"/>
  </conditionalFormatting>
  <conditionalFormatting sqref="A684">
    <cfRule type="duplicateValues" dxfId="327" priority="327"/>
  </conditionalFormatting>
  <conditionalFormatting sqref="A684">
    <cfRule type="duplicateValues" dxfId="326" priority="326"/>
  </conditionalFormatting>
  <conditionalFormatting sqref="A684">
    <cfRule type="duplicateValues" dxfId="325" priority="325"/>
  </conditionalFormatting>
  <conditionalFormatting sqref="A684">
    <cfRule type="duplicateValues" dxfId="324" priority="324"/>
  </conditionalFormatting>
  <conditionalFormatting sqref="A684">
    <cfRule type="duplicateValues" dxfId="323" priority="323"/>
  </conditionalFormatting>
  <conditionalFormatting sqref="A684">
    <cfRule type="duplicateValues" dxfId="322" priority="322"/>
  </conditionalFormatting>
  <conditionalFormatting sqref="A684">
    <cfRule type="duplicateValues" dxfId="321" priority="321"/>
  </conditionalFormatting>
  <conditionalFormatting sqref="A684">
    <cfRule type="duplicateValues" dxfId="320" priority="320"/>
  </conditionalFormatting>
  <conditionalFormatting sqref="A684">
    <cfRule type="duplicateValues" dxfId="319" priority="319"/>
  </conditionalFormatting>
  <conditionalFormatting sqref="A684">
    <cfRule type="duplicateValues" dxfId="318" priority="347"/>
  </conditionalFormatting>
  <conditionalFormatting sqref="A684">
    <cfRule type="duplicateValues" dxfId="317" priority="348"/>
  </conditionalFormatting>
  <conditionalFormatting sqref="A684">
    <cfRule type="duplicateValues" dxfId="316" priority="349"/>
  </conditionalFormatting>
  <conditionalFormatting sqref="A684">
    <cfRule type="duplicateValues" dxfId="315" priority="350"/>
  </conditionalFormatting>
  <conditionalFormatting sqref="A684">
    <cfRule type="expression" dxfId="314" priority="317">
      <formula>$AV684="POSITIF"</formula>
    </cfRule>
  </conditionalFormatting>
  <conditionalFormatting sqref="A684">
    <cfRule type="expression" dxfId="313" priority="316">
      <formula>$AV684="POSITIF"</formula>
    </cfRule>
  </conditionalFormatting>
  <conditionalFormatting sqref="A684">
    <cfRule type="expression" dxfId="312" priority="315">
      <formula>$AV684="POSITIF"</formula>
    </cfRule>
  </conditionalFormatting>
  <conditionalFormatting sqref="A684">
    <cfRule type="expression" dxfId="311" priority="314">
      <formula>$AV684="POSITIF"</formula>
    </cfRule>
  </conditionalFormatting>
  <conditionalFormatting sqref="A684">
    <cfRule type="expression" dxfId="310" priority="313">
      <formula>$AV684="POSITIF"</formula>
    </cfRule>
  </conditionalFormatting>
  <conditionalFormatting sqref="A684">
    <cfRule type="expression" dxfId="309" priority="312">
      <formula>$AV684="POSITIF"</formula>
    </cfRule>
  </conditionalFormatting>
  <conditionalFormatting sqref="A684">
    <cfRule type="expression" dxfId="308" priority="311">
      <formula>$AV684="POSITIF"</formula>
    </cfRule>
  </conditionalFormatting>
  <conditionalFormatting sqref="A684">
    <cfRule type="expression" dxfId="307" priority="309">
      <formula>$AV684="POSITIF"</formula>
    </cfRule>
    <cfRule type="expression" dxfId="306" priority="310">
      <formula>"$AU2=""POSITIF"""</formula>
    </cfRule>
  </conditionalFormatting>
  <conditionalFormatting sqref="A684">
    <cfRule type="expression" dxfId="305" priority="308">
      <formula>$AV684="POSITIF"</formula>
    </cfRule>
  </conditionalFormatting>
  <conditionalFormatting sqref="A684">
    <cfRule type="expression" dxfId="304" priority="307">
      <formula>$AV684="POSITIF"</formula>
    </cfRule>
  </conditionalFormatting>
  <conditionalFormatting sqref="A684">
    <cfRule type="expression" dxfId="303" priority="306">
      <formula>$AV684="POSITIF"</formula>
    </cfRule>
  </conditionalFormatting>
  <conditionalFormatting sqref="A688">
    <cfRule type="expression" dxfId="302" priority="305">
      <formula>$AV687="POSITIF"</formula>
    </cfRule>
  </conditionalFormatting>
  <conditionalFormatting sqref="A688">
    <cfRule type="expression" dxfId="301" priority="304">
      <formula>$AV687="POSITIF"</formula>
    </cfRule>
  </conditionalFormatting>
  <conditionalFormatting sqref="A688">
    <cfRule type="expression" dxfId="300" priority="303">
      <formula>$AV687="POSITIF"</formula>
    </cfRule>
  </conditionalFormatting>
  <conditionalFormatting sqref="A688">
    <cfRule type="expression" dxfId="299" priority="302">
      <formula>$AV687="POSITIF"</formula>
    </cfRule>
  </conditionalFormatting>
  <conditionalFormatting sqref="A688">
    <cfRule type="expression" dxfId="298" priority="301">
      <formula>$AV687="POSITIF"</formula>
    </cfRule>
  </conditionalFormatting>
  <conditionalFormatting sqref="A688">
    <cfRule type="expression" dxfId="297" priority="299">
      <formula>$AV687="POSITIF"</formula>
    </cfRule>
    <cfRule type="expression" dxfId="296" priority="300">
      <formula>"$AU2=""POSITIF"""</formula>
    </cfRule>
  </conditionalFormatting>
  <conditionalFormatting sqref="A688">
    <cfRule type="expression" dxfId="295" priority="298">
      <formula>$AV687="POSITIF"</formula>
    </cfRule>
  </conditionalFormatting>
  <conditionalFormatting sqref="A688">
    <cfRule type="expression" dxfId="294" priority="297">
      <formula>$AV687="POSITIF"</formula>
    </cfRule>
  </conditionalFormatting>
  <conditionalFormatting sqref="A688">
    <cfRule type="expression" dxfId="293" priority="296">
      <formula>$AV687="POSITIF"</formula>
    </cfRule>
  </conditionalFormatting>
  <conditionalFormatting sqref="A687">
    <cfRule type="expression" dxfId="292" priority="263">
      <formula>$AV687="POSITIF"</formula>
    </cfRule>
  </conditionalFormatting>
  <conditionalFormatting sqref="A687">
    <cfRule type="duplicateValues" dxfId="291" priority="291"/>
  </conditionalFormatting>
  <conditionalFormatting sqref="A687">
    <cfRule type="duplicateValues" dxfId="290" priority="290"/>
  </conditionalFormatting>
  <conditionalFormatting sqref="A687">
    <cfRule type="duplicateValues" dxfId="289" priority="289"/>
  </conditionalFormatting>
  <conditionalFormatting sqref="A687">
    <cfRule type="duplicateValues" dxfId="288" priority="288"/>
  </conditionalFormatting>
  <conditionalFormatting sqref="A687">
    <cfRule type="duplicateValues" dxfId="287" priority="287"/>
  </conditionalFormatting>
  <conditionalFormatting sqref="A687">
    <cfRule type="duplicateValues" dxfId="286" priority="286"/>
  </conditionalFormatting>
  <conditionalFormatting sqref="A687">
    <cfRule type="duplicateValues" dxfId="285" priority="285"/>
  </conditionalFormatting>
  <conditionalFormatting sqref="A687">
    <cfRule type="duplicateValues" dxfId="284" priority="284"/>
  </conditionalFormatting>
  <conditionalFormatting sqref="A687">
    <cfRule type="duplicateValues" dxfId="283" priority="283"/>
  </conditionalFormatting>
  <conditionalFormatting sqref="A687">
    <cfRule type="duplicateValues" dxfId="282" priority="282"/>
  </conditionalFormatting>
  <conditionalFormatting sqref="A687">
    <cfRule type="duplicateValues" dxfId="281" priority="281"/>
  </conditionalFormatting>
  <conditionalFormatting sqref="A687">
    <cfRule type="duplicateValues" dxfId="280" priority="280"/>
  </conditionalFormatting>
  <conditionalFormatting sqref="A687">
    <cfRule type="duplicateValues" dxfId="279" priority="279"/>
  </conditionalFormatting>
  <conditionalFormatting sqref="A687">
    <cfRule type="duplicateValues" dxfId="278" priority="278"/>
  </conditionalFormatting>
  <conditionalFormatting sqref="A687">
    <cfRule type="duplicateValues" dxfId="277" priority="277"/>
  </conditionalFormatting>
  <conditionalFormatting sqref="A687">
    <cfRule type="duplicateValues" dxfId="276" priority="276"/>
  </conditionalFormatting>
  <conditionalFormatting sqref="A687">
    <cfRule type="duplicateValues" dxfId="275" priority="275"/>
  </conditionalFormatting>
  <conditionalFormatting sqref="A687">
    <cfRule type="duplicateValues" dxfId="274" priority="274"/>
  </conditionalFormatting>
  <conditionalFormatting sqref="A687">
    <cfRule type="duplicateValues" dxfId="273" priority="273"/>
  </conditionalFormatting>
  <conditionalFormatting sqref="A687">
    <cfRule type="duplicateValues" dxfId="272" priority="272"/>
  </conditionalFormatting>
  <conditionalFormatting sqref="A687">
    <cfRule type="duplicateValues" dxfId="271" priority="271"/>
  </conditionalFormatting>
  <conditionalFormatting sqref="A687">
    <cfRule type="duplicateValues" dxfId="270" priority="270"/>
  </conditionalFormatting>
  <conditionalFormatting sqref="A687">
    <cfRule type="duplicateValues" dxfId="269" priority="269"/>
  </conditionalFormatting>
  <conditionalFormatting sqref="A687">
    <cfRule type="duplicateValues" dxfId="268" priority="268"/>
  </conditionalFormatting>
  <conditionalFormatting sqref="A687">
    <cfRule type="duplicateValues" dxfId="267" priority="267"/>
  </conditionalFormatting>
  <conditionalFormatting sqref="A687">
    <cfRule type="duplicateValues" dxfId="266" priority="266"/>
  </conditionalFormatting>
  <conditionalFormatting sqref="A687">
    <cfRule type="duplicateValues" dxfId="265" priority="265"/>
  </conditionalFormatting>
  <conditionalFormatting sqref="A687">
    <cfRule type="duplicateValues" dxfId="264" priority="264"/>
  </conditionalFormatting>
  <conditionalFormatting sqref="A687">
    <cfRule type="duplicateValues" dxfId="263" priority="292"/>
  </conditionalFormatting>
  <conditionalFormatting sqref="A687">
    <cfRule type="duplicateValues" dxfId="262" priority="293"/>
  </conditionalFormatting>
  <conditionalFormatting sqref="A687">
    <cfRule type="duplicateValues" dxfId="261" priority="294"/>
  </conditionalFormatting>
  <conditionalFormatting sqref="A687">
    <cfRule type="duplicateValues" dxfId="260" priority="295"/>
  </conditionalFormatting>
  <conditionalFormatting sqref="A687">
    <cfRule type="duplicateValues" dxfId="259" priority="262"/>
  </conditionalFormatting>
  <conditionalFormatting sqref="A687">
    <cfRule type="duplicateValues" dxfId="258" priority="255"/>
    <cfRule type="duplicateValues" dxfId="257" priority="257"/>
    <cfRule type="duplicateValues" dxfId="256" priority="258"/>
    <cfRule type="duplicateValues" dxfId="255" priority="261"/>
  </conditionalFormatting>
  <conditionalFormatting sqref="A687">
    <cfRule type="expression" dxfId="254" priority="260">
      <formula>$AV687="POSITIF"</formula>
    </cfRule>
  </conditionalFormatting>
  <conditionalFormatting sqref="A687">
    <cfRule type="expression" dxfId="253" priority="259">
      <formula>$AV687="POSITIF"</formula>
    </cfRule>
  </conditionalFormatting>
  <conditionalFormatting sqref="A687">
    <cfRule type="expression" dxfId="252" priority="256">
      <formula>$AV687="POSITIF"</formula>
    </cfRule>
  </conditionalFormatting>
  <conditionalFormatting sqref="A687">
    <cfRule type="expression" dxfId="251" priority="254">
      <formula>$AV687="POSITIF"</formula>
    </cfRule>
  </conditionalFormatting>
  <conditionalFormatting sqref="A687">
    <cfRule type="duplicateValues" dxfId="250" priority="247"/>
    <cfRule type="duplicateValues" dxfId="249" priority="249"/>
    <cfRule type="duplicateValues" dxfId="248" priority="250"/>
    <cfRule type="duplicateValues" dxfId="247" priority="252"/>
    <cfRule type="duplicateValues" dxfId="246" priority="253"/>
  </conditionalFormatting>
  <conditionalFormatting sqref="A687">
    <cfRule type="expression" dxfId="245" priority="251">
      <formula>$AV687="POSITIF"</formula>
    </cfRule>
  </conditionalFormatting>
  <conditionalFormatting sqref="A687">
    <cfRule type="expression" dxfId="244" priority="248">
      <formula>$AV687="POSITIF"</formula>
    </cfRule>
  </conditionalFormatting>
  <conditionalFormatting sqref="A687">
    <cfRule type="expression" dxfId="243" priority="246">
      <formula>$AV687="POSITIF"</formula>
    </cfRule>
  </conditionalFormatting>
  <conditionalFormatting sqref="A687">
    <cfRule type="expression" dxfId="242" priority="244">
      <formula>$AV687="POSITIF"</formula>
    </cfRule>
    <cfRule type="expression" dxfId="241" priority="245">
      <formula>"$AU2=""POSITIF"""</formula>
    </cfRule>
  </conditionalFormatting>
  <conditionalFormatting sqref="A687">
    <cfRule type="expression" dxfId="240" priority="243">
      <formula>$AV687="POSITIF"</formula>
    </cfRule>
  </conditionalFormatting>
  <conditionalFormatting sqref="A687">
    <cfRule type="expression" dxfId="239" priority="242">
      <formula>$AV687="POSITIF"</formula>
    </cfRule>
  </conditionalFormatting>
  <conditionalFormatting sqref="A687">
    <cfRule type="expression" dxfId="238" priority="241">
      <formula>$AV687="POSITIF"</formula>
    </cfRule>
  </conditionalFormatting>
  <conditionalFormatting sqref="A1:A1048576">
    <cfRule type="duplicateValues" dxfId="237" priority="240"/>
  </conditionalFormatting>
  <conditionalFormatting sqref="A689">
    <cfRule type="expression" dxfId="236" priority="207">
      <formula>$AV689="POSITIF"</formula>
    </cfRule>
  </conditionalFormatting>
  <conditionalFormatting sqref="A689">
    <cfRule type="duplicateValues" dxfId="235" priority="235"/>
  </conditionalFormatting>
  <conditionalFormatting sqref="A689">
    <cfRule type="duplicateValues" dxfId="234" priority="234"/>
  </conditionalFormatting>
  <conditionalFormatting sqref="A689">
    <cfRule type="duplicateValues" dxfId="233" priority="233"/>
  </conditionalFormatting>
  <conditionalFormatting sqref="A689">
    <cfRule type="duplicateValues" dxfId="232" priority="232"/>
  </conditionalFormatting>
  <conditionalFormatting sqref="A689">
    <cfRule type="duplicateValues" dxfId="231" priority="231"/>
  </conditionalFormatting>
  <conditionalFormatting sqref="A689">
    <cfRule type="duplicateValues" dxfId="230" priority="230"/>
  </conditionalFormatting>
  <conditionalFormatting sqref="A689">
    <cfRule type="duplicateValues" dxfId="229" priority="229"/>
  </conditionalFormatting>
  <conditionalFormatting sqref="A689">
    <cfRule type="duplicateValues" dxfId="228" priority="228"/>
  </conditionalFormatting>
  <conditionalFormatting sqref="A689">
    <cfRule type="duplicateValues" dxfId="227" priority="227"/>
  </conditionalFormatting>
  <conditionalFormatting sqref="A689">
    <cfRule type="duplicateValues" dxfId="226" priority="226"/>
  </conditionalFormatting>
  <conditionalFormatting sqref="A689">
    <cfRule type="duplicateValues" dxfId="225" priority="225"/>
  </conditionalFormatting>
  <conditionalFormatting sqref="A689">
    <cfRule type="duplicateValues" dxfId="224" priority="224"/>
  </conditionalFormatting>
  <conditionalFormatting sqref="A689">
    <cfRule type="duplicateValues" dxfId="223" priority="223"/>
  </conditionalFormatting>
  <conditionalFormatting sqref="A689">
    <cfRule type="duplicateValues" dxfId="222" priority="222"/>
  </conditionalFormatting>
  <conditionalFormatting sqref="A689">
    <cfRule type="duplicateValues" dxfId="221" priority="221"/>
  </conditionalFormatting>
  <conditionalFormatting sqref="A689">
    <cfRule type="duplicateValues" dxfId="220" priority="220"/>
  </conditionalFormatting>
  <conditionalFormatting sqref="A689">
    <cfRule type="duplicateValues" dxfId="219" priority="219"/>
  </conditionalFormatting>
  <conditionalFormatting sqref="A689">
    <cfRule type="duplicateValues" dxfId="218" priority="218"/>
  </conditionalFormatting>
  <conditionalFormatting sqref="A689">
    <cfRule type="duplicateValues" dxfId="217" priority="217"/>
  </conditionalFormatting>
  <conditionalFormatting sqref="A689">
    <cfRule type="duplicateValues" dxfId="216" priority="216"/>
  </conditionalFormatting>
  <conditionalFormatting sqref="A689">
    <cfRule type="duplicateValues" dxfId="215" priority="215"/>
  </conditionalFormatting>
  <conditionalFormatting sqref="A689">
    <cfRule type="duplicateValues" dxfId="214" priority="214"/>
  </conditionalFormatting>
  <conditionalFormatting sqref="A689">
    <cfRule type="duplicateValues" dxfId="213" priority="213"/>
  </conditionalFormatting>
  <conditionalFormatting sqref="A689">
    <cfRule type="duplicateValues" dxfId="212" priority="212"/>
  </conditionalFormatting>
  <conditionalFormatting sqref="A689">
    <cfRule type="duplicateValues" dxfId="211" priority="211"/>
  </conditionalFormatting>
  <conditionalFormatting sqref="A689">
    <cfRule type="duplicateValues" dxfId="210" priority="210"/>
  </conditionalFormatting>
  <conditionalFormatting sqref="A689">
    <cfRule type="duplicateValues" dxfId="209" priority="209"/>
  </conditionalFormatting>
  <conditionalFormatting sqref="A689">
    <cfRule type="duplicateValues" dxfId="208" priority="208"/>
  </conditionalFormatting>
  <conditionalFormatting sqref="A689">
    <cfRule type="duplicateValues" dxfId="207" priority="236"/>
  </conditionalFormatting>
  <conditionalFormatting sqref="A689">
    <cfRule type="duplicateValues" dxfId="206" priority="237"/>
  </conditionalFormatting>
  <conditionalFormatting sqref="A689">
    <cfRule type="duplicateValues" dxfId="205" priority="238"/>
  </conditionalFormatting>
  <conditionalFormatting sqref="A689">
    <cfRule type="duplicateValues" dxfId="204" priority="239"/>
  </conditionalFormatting>
  <conditionalFormatting sqref="A689">
    <cfRule type="duplicateValues" dxfId="203" priority="206"/>
  </conditionalFormatting>
  <conditionalFormatting sqref="A689">
    <cfRule type="duplicateValues" dxfId="202" priority="199"/>
    <cfRule type="duplicateValues" dxfId="201" priority="201"/>
    <cfRule type="duplicateValues" dxfId="200" priority="202"/>
    <cfRule type="duplicateValues" dxfId="199" priority="205"/>
  </conditionalFormatting>
  <conditionalFormatting sqref="A689">
    <cfRule type="expression" dxfId="198" priority="204">
      <formula>$AV689="POSITIF"</formula>
    </cfRule>
  </conditionalFormatting>
  <conditionalFormatting sqref="A689">
    <cfRule type="expression" dxfId="197" priority="203">
      <formula>$AV689="POSITIF"</formula>
    </cfRule>
  </conditionalFormatting>
  <conditionalFormatting sqref="A689">
    <cfRule type="expression" dxfId="196" priority="200">
      <formula>$AV689="POSITIF"</formula>
    </cfRule>
  </conditionalFormatting>
  <conditionalFormatting sqref="A689">
    <cfRule type="expression" dxfId="195" priority="198">
      <formula>$AV689="POSITIF"</formula>
    </cfRule>
  </conditionalFormatting>
  <conditionalFormatting sqref="A689">
    <cfRule type="duplicateValues" dxfId="194" priority="191"/>
    <cfRule type="duplicateValues" dxfId="193" priority="193"/>
    <cfRule type="duplicateValues" dxfId="192" priority="194"/>
    <cfRule type="duplicateValues" dxfId="191" priority="196"/>
    <cfRule type="duplicateValues" dxfId="190" priority="197"/>
  </conditionalFormatting>
  <conditionalFormatting sqref="A689">
    <cfRule type="expression" dxfId="189" priority="195">
      <formula>$AV689="POSITIF"</formula>
    </cfRule>
  </conditionalFormatting>
  <conditionalFormatting sqref="A689">
    <cfRule type="expression" dxfId="188" priority="192">
      <formula>$AV689="POSITIF"</formula>
    </cfRule>
  </conditionalFormatting>
  <conditionalFormatting sqref="A689">
    <cfRule type="expression" dxfId="187" priority="190">
      <formula>$AV689="POSITIF"</formula>
    </cfRule>
  </conditionalFormatting>
  <conditionalFormatting sqref="A689">
    <cfRule type="expression" dxfId="186" priority="188">
      <formula>$AV689="POSITIF"</formula>
    </cfRule>
    <cfRule type="expression" dxfId="185" priority="189">
      <formula>"$AU2=""POSITIF"""</formula>
    </cfRule>
  </conditionalFormatting>
  <conditionalFormatting sqref="A689">
    <cfRule type="expression" dxfId="184" priority="187">
      <formula>$AV689="POSITIF"</formula>
    </cfRule>
  </conditionalFormatting>
  <conditionalFormatting sqref="A689">
    <cfRule type="expression" dxfId="183" priority="186">
      <formula>$AV689="POSITIF"</formula>
    </cfRule>
  </conditionalFormatting>
  <conditionalFormatting sqref="A689">
    <cfRule type="expression" dxfId="182" priority="185">
      <formula>$AV689="POSITIF"</formula>
    </cfRule>
  </conditionalFormatting>
  <conditionalFormatting sqref="A692">
    <cfRule type="expression" dxfId="181" priority="184">
      <formula>$AV692="POSITIF"</formula>
    </cfRule>
  </conditionalFormatting>
  <conditionalFormatting sqref="A692">
    <cfRule type="expression" dxfId="180" priority="183">
      <formula>$AV692="POSITIF"</formula>
    </cfRule>
  </conditionalFormatting>
  <conditionalFormatting sqref="A693:A699">
    <cfRule type="expression" dxfId="179" priority="182">
      <formula>$AV693="POSITIF"</formula>
    </cfRule>
  </conditionalFormatting>
  <conditionalFormatting sqref="A693:A699">
    <cfRule type="expression" dxfId="178" priority="180">
      <formula>$AV693="POSITIF"</formula>
    </cfRule>
    <cfRule type="expression" dxfId="177" priority="181">
      <formula>"$AU2=""POSITIF"""</formula>
    </cfRule>
  </conditionalFormatting>
  <conditionalFormatting sqref="A693:A699">
    <cfRule type="expression" dxfId="176" priority="179">
      <formula>$AV693="POSITIF"</formula>
    </cfRule>
  </conditionalFormatting>
  <conditionalFormatting sqref="A693:A699">
    <cfRule type="expression" dxfId="175" priority="178">
      <formula>$AV693="POSITIF"</formula>
    </cfRule>
  </conditionalFormatting>
  <conditionalFormatting sqref="A693:A699">
    <cfRule type="expression" dxfId="174" priority="177">
      <formula>$AV693="POSITIF"</formula>
    </cfRule>
  </conditionalFormatting>
  <conditionalFormatting sqref="CQ700:CQ706">
    <cfRule type="expression" dxfId="173" priority="176">
      <formula>$AV700="POSITIF"</formula>
    </cfRule>
  </conditionalFormatting>
  <conditionalFormatting sqref="A700">
    <cfRule type="expression" dxfId="172" priority="173">
      <formula>$AV700="POSITIF"</formula>
    </cfRule>
  </conditionalFormatting>
  <conditionalFormatting sqref="A700">
    <cfRule type="expression" dxfId="171" priority="167">
      <formula>$AV700="POSITIF"</formula>
    </cfRule>
  </conditionalFormatting>
  <conditionalFormatting sqref="A700">
    <cfRule type="duplicateValues" dxfId="170" priority="168"/>
  </conditionalFormatting>
  <conditionalFormatting sqref="A700">
    <cfRule type="duplicateValues" dxfId="169" priority="169"/>
    <cfRule type="duplicateValues" dxfId="168" priority="170"/>
    <cfRule type="duplicateValues" dxfId="167" priority="171"/>
    <cfRule type="duplicateValues" dxfId="166" priority="172"/>
  </conditionalFormatting>
  <conditionalFormatting sqref="A700">
    <cfRule type="expression" dxfId="165" priority="166">
      <formula>$AV700="POSITIF"</formula>
    </cfRule>
  </conditionalFormatting>
  <conditionalFormatting sqref="A700">
    <cfRule type="expression" dxfId="164" priority="165">
      <formula>$AV700="POSITIF"</formula>
    </cfRule>
  </conditionalFormatting>
  <conditionalFormatting sqref="A700">
    <cfRule type="expression" dxfId="163" priority="163">
      <formula>$AV700="POSITIF"</formula>
    </cfRule>
    <cfRule type="expression" dxfId="162" priority="164">
      <formula>"$AU2=""POSITIF"""</formula>
    </cfRule>
  </conditionalFormatting>
  <conditionalFormatting sqref="A700">
    <cfRule type="expression" dxfId="161" priority="162">
      <formula>$AV700="POSITIF"</formula>
    </cfRule>
  </conditionalFormatting>
  <conditionalFormatting sqref="A700">
    <cfRule type="expression" dxfId="160" priority="161">
      <formula>$AV700="POSITIF"</formula>
    </cfRule>
  </conditionalFormatting>
  <conditionalFormatting sqref="A700">
    <cfRule type="expression" dxfId="159" priority="160">
      <formula>$AV700="POSITIF"</formula>
    </cfRule>
  </conditionalFormatting>
  <conditionalFormatting sqref="A701">
    <cfRule type="expression" dxfId="158" priority="158">
      <formula>$AV701="POSITIF"</formula>
    </cfRule>
    <cfRule type="expression" dxfId="157" priority="159">
      <formula>"$AU2=""POSITIF"""</formula>
    </cfRule>
  </conditionalFormatting>
  <conditionalFormatting sqref="A701">
    <cfRule type="expression" dxfId="156" priority="157">
      <formula>$AV701="POSITIF"</formula>
    </cfRule>
  </conditionalFormatting>
  <conditionalFormatting sqref="A701">
    <cfRule type="expression" dxfId="155" priority="156">
      <formula>$AV701="POSITIF"</formula>
    </cfRule>
  </conditionalFormatting>
  <conditionalFormatting sqref="A701">
    <cfRule type="expression" dxfId="154" priority="155">
      <formula>$AV701="POSITIF"</formula>
    </cfRule>
  </conditionalFormatting>
  <conditionalFormatting sqref="A701">
    <cfRule type="expression" dxfId="153" priority="154">
      <formula>$AV701="POSITIF"</formula>
    </cfRule>
  </conditionalFormatting>
  <conditionalFormatting sqref="A702">
    <cfRule type="expression" dxfId="152" priority="153">
      <formula>$AV702="POSITIF"</formula>
    </cfRule>
  </conditionalFormatting>
  <conditionalFormatting sqref="A702">
    <cfRule type="expression" dxfId="151" priority="147">
      <formula>$AV702="POSITIF"</formula>
    </cfRule>
  </conditionalFormatting>
  <conditionalFormatting sqref="A702">
    <cfRule type="duplicateValues" dxfId="150" priority="148"/>
  </conditionalFormatting>
  <conditionalFormatting sqref="A702">
    <cfRule type="duplicateValues" dxfId="149" priority="149"/>
    <cfRule type="duplicateValues" dxfId="148" priority="150"/>
    <cfRule type="duplicateValues" dxfId="147" priority="151"/>
    <cfRule type="duplicateValues" dxfId="146" priority="152"/>
  </conditionalFormatting>
  <conditionalFormatting sqref="A702">
    <cfRule type="expression" dxfId="145" priority="146">
      <formula>$AV702="POSITIF"</formula>
    </cfRule>
  </conditionalFormatting>
  <conditionalFormatting sqref="A702">
    <cfRule type="expression" dxfId="144" priority="145">
      <formula>$AV702="POSITIF"</formula>
    </cfRule>
  </conditionalFormatting>
  <conditionalFormatting sqref="A702">
    <cfRule type="expression" dxfId="143" priority="143">
      <formula>$AV702="POSITIF"</formula>
    </cfRule>
    <cfRule type="expression" dxfId="142" priority="144">
      <formula>"$AU2=""POSITIF"""</formula>
    </cfRule>
  </conditionalFormatting>
  <conditionalFormatting sqref="A702">
    <cfRule type="expression" dxfId="141" priority="142">
      <formula>$AV702="POSITIF"</formula>
    </cfRule>
  </conditionalFormatting>
  <conditionalFormatting sqref="A702">
    <cfRule type="expression" dxfId="140" priority="141">
      <formula>$AV702="POSITIF"</formula>
    </cfRule>
  </conditionalFormatting>
  <conditionalFormatting sqref="A702">
    <cfRule type="expression" dxfId="139" priority="140">
      <formula>$AV702="POSITIF"</formula>
    </cfRule>
  </conditionalFormatting>
  <conditionalFormatting sqref="A703">
    <cfRule type="expression" dxfId="138" priority="139">
      <formula>$AV703="POSITIF"</formula>
    </cfRule>
  </conditionalFormatting>
  <conditionalFormatting sqref="A703">
    <cfRule type="expression" dxfId="137" priority="106">
      <formula>$AV703="POSITIF"</formula>
    </cfRule>
  </conditionalFormatting>
  <conditionalFormatting sqref="A703">
    <cfRule type="duplicateValues" dxfId="136" priority="134"/>
  </conditionalFormatting>
  <conditionalFormatting sqref="A703">
    <cfRule type="duplicateValues" dxfId="135" priority="133"/>
  </conditionalFormatting>
  <conditionalFormatting sqref="A703">
    <cfRule type="duplicateValues" dxfId="134" priority="132"/>
  </conditionalFormatting>
  <conditionalFormatting sqref="A703">
    <cfRule type="duplicateValues" dxfId="133" priority="131"/>
  </conditionalFormatting>
  <conditionalFormatting sqref="A703">
    <cfRule type="duplicateValues" dxfId="132" priority="130"/>
  </conditionalFormatting>
  <conditionalFormatting sqref="A703">
    <cfRule type="duplicateValues" dxfId="131" priority="129"/>
  </conditionalFormatting>
  <conditionalFormatting sqref="A703">
    <cfRule type="duplicateValues" dxfId="130" priority="128"/>
  </conditionalFormatting>
  <conditionalFormatting sqref="A703">
    <cfRule type="duplicateValues" dxfId="129" priority="127"/>
  </conditionalFormatting>
  <conditionalFormatting sqref="A703">
    <cfRule type="duplicateValues" dxfId="128" priority="126"/>
  </conditionalFormatting>
  <conditionalFormatting sqref="A703">
    <cfRule type="duplicateValues" dxfId="127" priority="125"/>
  </conditionalFormatting>
  <conditionalFormatting sqref="A703">
    <cfRule type="duplicateValues" dxfId="126" priority="124"/>
  </conditionalFormatting>
  <conditionalFormatting sqref="A703">
    <cfRule type="duplicateValues" dxfId="125" priority="123"/>
  </conditionalFormatting>
  <conditionalFormatting sqref="A703">
    <cfRule type="duplicateValues" dxfId="124" priority="122"/>
  </conditionalFormatting>
  <conditionalFormatting sqref="A703">
    <cfRule type="duplicateValues" dxfId="123" priority="121"/>
  </conditionalFormatting>
  <conditionalFormatting sqref="A703">
    <cfRule type="duplicateValues" dxfId="122" priority="120"/>
  </conditionalFormatting>
  <conditionalFormatting sqref="A703">
    <cfRule type="duplicateValues" dxfId="121" priority="119"/>
  </conditionalFormatting>
  <conditionalFormatting sqref="A703">
    <cfRule type="duplicateValues" dxfId="120" priority="118"/>
  </conditionalFormatting>
  <conditionalFormatting sqref="A703">
    <cfRule type="duplicateValues" dxfId="119" priority="117"/>
  </conditionalFormatting>
  <conditionalFormatting sqref="A703">
    <cfRule type="duplicateValues" dxfId="118" priority="116"/>
  </conditionalFormatting>
  <conditionalFormatting sqref="A703">
    <cfRule type="duplicateValues" dxfId="117" priority="115"/>
  </conditionalFormatting>
  <conditionalFormatting sqref="A703">
    <cfRule type="duplicateValues" dxfId="116" priority="114"/>
  </conditionalFormatting>
  <conditionalFormatting sqref="A703">
    <cfRule type="duplicateValues" dxfId="115" priority="113"/>
  </conditionalFormatting>
  <conditionalFormatting sqref="A703">
    <cfRule type="duplicateValues" dxfId="114" priority="112"/>
  </conditionalFormatting>
  <conditionalFormatting sqref="A703">
    <cfRule type="duplicateValues" dxfId="113" priority="111"/>
  </conditionalFormatting>
  <conditionalFormatting sqref="A703">
    <cfRule type="duplicateValues" dxfId="112" priority="110"/>
  </conditionalFormatting>
  <conditionalFormatting sqref="A703">
    <cfRule type="duplicateValues" dxfId="111" priority="109"/>
  </conditionalFormatting>
  <conditionalFormatting sqref="A703">
    <cfRule type="duplicateValues" dxfId="110" priority="108"/>
  </conditionalFormatting>
  <conditionalFormatting sqref="A703">
    <cfRule type="duplicateValues" dxfId="109" priority="107"/>
  </conditionalFormatting>
  <conditionalFormatting sqref="A703">
    <cfRule type="duplicateValues" dxfId="108" priority="135"/>
  </conditionalFormatting>
  <conditionalFormatting sqref="A703">
    <cfRule type="duplicateValues" dxfId="107" priority="136"/>
  </conditionalFormatting>
  <conditionalFormatting sqref="A703">
    <cfRule type="duplicateValues" dxfId="106" priority="137"/>
  </conditionalFormatting>
  <conditionalFormatting sqref="A703">
    <cfRule type="duplicateValues" dxfId="105" priority="138"/>
  </conditionalFormatting>
  <conditionalFormatting sqref="A703">
    <cfRule type="expression" dxfId="104" priority="105">
      <formula>$AV703="POSITIF"</formula>
    </cfRule>
  </conditionalFormatting>
  <conditionalFormatting sqref="A703">
    <cfRule type="expression" dxfId="103" priority="104">
      <formula>$AV703="POSITIF"</formula>
    </cfRule>
  </conditionalFormatting>
  <conditionalFormatting sqref="A703">
    <cfRule type="expression" dxfId="102" priority="103">
      <formula>$AV703="POSITIF"</formula>
    </cfRule>
  </conditionalFormatting>
  <conditionalFormatting sqref="A703">
    <cfRule type="expression" dxfId="101" priority="102">
      <formula>$AV703="POSITIF"</formula>
    </cfRule>
  </conditionalFormatting>
  <conditionalFormatting sqref="A703">
    <cfRule type="expression" dxfId="100" priority="101">
      <formula>$AV703="POSITIF"</formula>
    </cfRule>
  </conditionalFormatting>
  <conditionalFormatting sqref="A703">
    <cfRule type="expression" dxfId="99" priority="100">
      <formula>$AV703="POSITIF"</formula>
    </cfRule>
  </conditionalFormatting>
  <conditionalFormatting sqref="A703">
    <cfRule type="expression" dxfId="98" priority="99">
      <formula>$AV703="POSITIF"</formula>
    </cfRule>
  </conditionalFormatting>
  <conditionalFormatting sqref="A703">
    <cfRule type="expression" dxfId="97" priority="97">
      <formula>$AV703="POSITIF"</formula>
    </cfRule>
    <cfRule type="expression" dxfId="96" priority="98">
      <formula>"$AU2=""POSITIF"""</formula>
    </cfRule>
  </conditionalFormatting>
  <conditionalFormatting sqref="A703">
    <cfRule type="expression" dxfId="95" priority="96">
      <formula>$AV703="POSITIF"</formula>
    </cfRule>
  </conditionalFormatting>
  <conditionalFormatting sqref="A703">
    <cfRule type="expression" dxfId="94" priority="95">
      <formula>$AV703="POSITIF"</formula>
    </cfRule>
  </conditionalFormatting>
  <conditionalFormatting sqref="A703">
    <cfRule type="expression" dxfId="93" priority="87">
      <formula>$AV703="POSITIF"</formula>
    </cfRule>
  </conditionalFormatting>
  <conditionalFormatting sqref="A703">
    <cfRule type="duplicateValues" dxfId="92" priority="91"/>
  </conditionalFormatting>
  <conditionalFormatting sqref="A703">
    <cfRule type="duplicateValues" dxfId="91" priority="90"/>
  </conditionalFormatting>
  <conditionalFormatting sqref="A703">
    <cfRule type="expression" dxfId="90" priority="89">
      <formula>$AV703="POSITIF"</formula>
    </cfRule>
  </conditionalFormatting>
  <conditionalFormatting sqref="A703">
    <cfRule type="duplicateValues" dxfId="89" priority="88"/>
  </conditionalFormatting>
  <conditionalFormatting sqref="A703">
    <cfRule type="duplicateValues" dxfId="88" priority="92"/>
  </conditionalFormatting>
  <conditionalFormatting sqref="A703">
    <cfRule type="duplicateValues" dxfId="87" priority="93"/>
  </conditionalFormatting>
  <conditionalFormatting sqref="A703">
    <cfRule type="duplicateValues" dxfId="86" priority="94"/>
  </conditionalFormatting>
  <conditionalFormatting sqref="A703">
    <cfRule type="expression" dxfId="85" priority="86">
      <formula>$AV703="POSITIF"</formula>
    </cfRule>
  </conditionalFormatting>
  <conditionalFormatting sqref="A703">
    <cfRule type="expression" dxfId="84" priority="85">
      <formula>$AV703="POSITIF"</formula>
    </cfRule>
  </conditionalFormatting>
  <conditionalFormatting sqref="A703">
    <cfRule type="expression" dxfId="83" priority="84">
      <formula>$AV703="POSITIF"</formula>
    </cfRule>
  </conditionalFormatting>
  <conditionalFormatting sqref="A703">
    <cfRule type="expression" dxfId="82" priority="83">
      <formula>$AV703="POSITIF"</formula>
    </cfRule>
  </conditionalFormatting>
  <conditionalFormatting sqref="A703">
    <cfRule type="expression" dxfId="81" priority="82">
      <formula>$AV703="POSITIF"</formula>
    </cfRule>
  </conditionalFormatting>
  <conditionalFormatting sqref="A703">
    <cfRule type="expression" dxfId="80" priority="81">
      <formula>$AV703="POSITIF"</formula>
    </cfRule>
  </conditionalFormatting>
  <conditionalFormatting sqref="A704">
    <cfRule type="expression" dxfId="79" priority="80">
      <formula>$AV704="POSITIF"</formula>
    </cfRule>
  </conditionalFormatting>
  <conditionalFormatting sqref="A704">
    <cfRule type="expression" dxfId="78" priority="31">
      <formula>$AV705="POSITIF"</formula>
    </cfRule>
  </conditionalFormatting>
  <conditionalFormatting sqref="A704">
    <cfRule type="duplicateValues" dxfId="77" priority="75"/>
  </conditionalFormatting>
  <conditionalFormatting sqref="A704">
    <cfRule type="duplicateValues" dxfId="76" priority="74"/>
  </conditionalFormatting>
  <conditionalFormatting sqref="A704">
    <cfRule type="duplicateValues" dxfId="75" priority="73"/>
  </conditionalFormatting>
  <conditionalFormatting sqref="A704">
    <cfRule type="duplicateValues" dxfId="74" priority="72"/>
  </conditionalFormatting>
  <conditionalFormatting sqref="A704">
    <cfRule type="duplicateValues" dxfId="73" priority="71"/>
  </conditionalFormatting>
  <conditionalFormatting sqref="A704">
    <cfRule type="duplicateValues" dxfId="72" priority="70"/>
  </conditionalFormatting>
  <conditionalFormatting sqref="A704">
    <cfRule type="duplicateValues" dxfId="71" priority="69"/>
  </conditionalFormatting>
  <conditionalFormatting sqref="A704">
    <cfRule type="duplicateValues" dxfId="70" priority="68"/>
  </conditionalFormatting>
  <conditionalFormatting sqref="A704">
    <cfRule type="duplicateValues" dxfId="69" priority="67"/>
  </conditionalFormatting>
  <conditionalFormatting sqref="A704">
    <cfRule type="duplicateValues" dxfId="68" priority="66"/>
  </conditionalFormatting>
  <conditionalFormatting sqref="A704">
    <cfRule type="duplicateValues" dxfId="67" priority="65"/>
  </conditionalFormatting>
  <conditionalFormatting sqref="A704">
    <cfRule type="duplicateValues" dxfId="66" priority="64"/>
  </conditionalFormatting>
  <conditionalFormatting sqref="A704">
    <cfRule type="duplicateValues" dxfId="65" priority="63"/>
  </conditionalFormatting>
  <conditionalFormatting sqref="A704">
    <cfRule type="duplicateValues" dxfId="64" priority="62"/>
  </conditionalFormatting>
  <conditionalFormatting sqref="A704">
    <cfRule type="duplicateValues" dxfId="63" priority="61"/>
  </conditionalFormatting>
  <conditionalFormatting sqref="A704">
    <cfRule type="duplicateValues" dxfId="62" priority="60"/>
  </conditionalFormatting>
  <conditionalFormatting sqref="A704">
    <cfRule type="duplicateValues" dxfId="61" priority="59"/>
  </conditionalFormatting>
  <conditionalFormatting sqref="A704">
    <cfRule type="duplicateValues" dxfId="60" priority="58"/>
  </conditionalFormatting>
  <conditionalFormatting sqref="A704">
    <cfRule type="duplicateValues" dxfId="59" priority="57"/>
  </conditionalFormatting>
  <conditionalFormatting sqref="A704">
    <cfRule type="duplicateValues" dxfId="58" priority="56"/>
  </conditionalFormatting>
  <conditionalFormatting sqref="A704">
    <cfRule type="duplicateValues" dxfId="57" priority="55"/>
  </conditionalFormatting>
  <conditionalFormatting sqref="A704">
    <cfRule type="duplicateValues" dxfId="56" priority="54"/>
  </conditionalFormatting>
  <conditionalFormatting sqref="A704">
    <cfRule type="duplicateValues" dxfId="55" priority="53"/>
  </conditionalFormatting>
  <conditionalFormatting sqref="A704">
    <cfRule type="duplicateValues" dxfId="54" priority="52"/>
  </conditionalFormatting>
  <conditionalFormatting sqref="A704">
    <cfRule type="duplicateValues" dxfId="53" priority="51"/>
  </conditionalFormatting>
  <conditionalFormatting sqref="A704">
    <cfRule type="duplicateValues" dxfId="52" priority="50"/>
  </conditionalFormatting>
  <conditionalFormatting sqref="A704">
    <cfRule type="duplicateValues" dxfId="51" priority="49"/>
  </conditionalFormatting>
  <conditionalFormatting sqref="A704">
    <cfRule type="duplicateValues" dxfId="50" priority="48"/>
  </conditionalFormatting>
  <conditionalFormatting sqref="A704">
    <cfRule type="duplicateValues" dxfId="49" priority="47"/>
  </conditionalFormatting>
  <conditionalFormatting sqref="A704">
    <cfRule type="duplicateValues" dxfId="48" priority="46"/>
  </conditionalFormatting>
  <conditionalFormatting sqref="A704">
    <cfRule type="duplicateValues" dxfId="47" priority="45"/>
  </conditionalFormatting>
  <conditionalFormatting sqref="A704">
    <cfRule type="duplicateValues" dxfId="46" priority="44"/>
  </conditionalFormatting>
  <conditionalFormatting sqref="A704">
    <cfRule type="duplicateValues" dxfId="45" priority="43"/>
  </conditionalFormatting>
  <conditionalFormatting sqref="A704">
    <cfRule type="duplicateValues" dxfId="44" priority="42"/>
  </conditionalFormatting>
  <conditionalFormatting sqref="A704">
    <cfRule type="duplicateValues" dxfId="43" priority="41"/>
  </conditionalFormatting>
  <conditionalFormatting sqref="A704">
    <cfRule type="duplicateValues" dxfId="42" priority="40"/>
  </conditionalFormatting>
  <conditionalFormatting sqref="A704">
    <cfRule type="duplicateValues" dxfId="41" priority="39"/>
  </conditionalFormatting>
  <conditionalFormatting sqref="A704">
    <cfRule type="duplicateValues" dxfId="40" priority="38"/>
  </conditionalFormatting>
  <conditionalFormatting sqref="A704">
    <cfRule type="duplicateValues" dxfId="39" priority="37"/>
  </conditionalFormatting>
  <conditionalFormatting sqref="A704">
    <cfRule type="duplicateValues" dxfId="38" priority="36"/>
  </conditionalFormatting>
  <conditionalFormatting sqref="A704">
    <cfRule type="duplicateValues" dxfId="37" priority="35"/>
  </conditionalFormatting>
  <conditionalFormatting sqref="A704">
    <cfRule type="duplicateValues" dxfId="36" priority="34"/>
  </conditionalFormatting>
  <conditionalFormatting sqref="A704">
    <cfRule type="duplicateValues" dxfId="35" priority="33"/>
  </conditionalFormatting>
  <conditionalFormatting sqref="A704">
    <cfRule type="duplicateValues" dxfId="34" priority="32"/>
  </conditionalFormatting>
  <conditionalFormatting sqref="A704">
    <cfRule type="duplicateValues" dxfId="33" priority="76"/>
  </conditionalFormatting>
  <conditionalFormatting sqref="A704">
    <cfRule type="duplicateValues" dxfId="32" priority="77"/>
  </conditionalFormatting>
  <conditionalFormatting sqref="A704">
    <cfRule type="duplicateValues" dxfId="31" priority="78"/>
  </conditionalFormatting>
  <conditionalFormatting sqref="A704">
    <cfRule type="duplicateValues" dxfId="30" priority="79"/>
  </conditionalFormatting>
  <conditionalFormatting sqref="A704">
    <cfRule type="expression" dxfId="29" priority="30">
      <formula>$AV705="POSITIF"</formula>
    </cfRule>
  </conditionalFormatting>
  <conditionalFormatting sqref="A704">
    <cfRule type="expression" dxfId="28" priority="29">
      <formula>$AV705="POSITIF"</formula>
    </cfRule>
  </conditionalFormatting>
  <conditionalFormatting sqref="A704">
    <cfRule type="expression" dxfId="27" priority="28">
      <formula>$AV705="POSITIF"</formula>
    </cfRule>
  </conditionalFormatting>
  <conditionalFormatting sqref="A704">
    <cfRule type="expression" dxfId="26" priority="27">
      <formula>$AV705="POSITIF"</formula>
    </cfRule>
  </conditionalFormatting>
  <conditionalFormatting sqref="A704">
    <cfRule type="expression" dxfId="25" priority="26">
      <formula>$AV704="POSITIF"</formula>
    </cfRule>
  </conditionalFormatting>
  <conditionalFormatting sqref="A704">
    <cfRule type="expression" dxfId="24" priority="25">
      <formula>$AV704="POSITIF"</formula>
    </cfRule>
  </conditionalFormatting>
  <conditionalFormatting sqref="A704">
    <cfRule type="expression" dxfId="23" priority="24">
      <formula>$AV704="POSITIF"</formula>
    </cfRule>
  </conditionalFormatting>
  <conditionalFormatting sqref="A704">
    <cfRule type="expression" dxfId="22" priority="22">
      <formula>$AV704="POSITIF"</formula>
    </cfRule>
    <cfRule type="expression" dxfId="21" priority="23">
      <formula>"$AU2=""POSITIF"""</formula>
    </cfRule>
  </conditionalFormatting>
  <conditionalFormatting sqref="A704">
    <cfRule type="expression" dxfId="20" priority="21">
      <formula>$AV704="POSITIF"</formula>
    </cfRule>
  </conditionalFormatting>
  <conditionalFormatting sqref="A704">
    <cfRule type="expression" dxfId="19" priority="20">
      <formula>$AV704="POSITIF"</formula>
    </cfRule>
  </conditionalFormatting>
  <conditionalFormatting sqref="A704">
    <cfRule type="expression" dxfId="18" priority="19">
      <formula>$AV704="POSITIF"</formula>
    </cfRule>
  </conditionalFormatting>
  <conditionalFormatting sqref="A704">
    <cfRule type="expression" dxfId="17" priority="18">
      <formula>$AV704="POSITIF"</formula>
    </cfRule>
  </conditionalFormatting>
  <conditionalFormatting sqref="A705:A706">
    <cfRule type="expression" dxfId="16" priority="17">
      <formula>$AV705="POSITIF"</formula>
    </cfRule>
  </conditionalFormatting>
  <conditionalFormatting sqref="A705:A706">
    <cfRule type="expression" dxfId="15" priority="11">
      <formula>$AV705="POSITIF"</formula>
    </cfRule>
  </conditionalFormatting>
  <conditionalFormatting sqref="A705:A706">
    <cfRule type="duplicateValues" dxfId="14" priority="12"/>
  </conditionalFormatting>
  <conditionalFormatting sqref="A705:A706">
    <cfRule type="duplicateValues" dxfId="13" priority="13"/>
    <cfRule type="duplicateValues" dxfId="12" priority="14"/>
    <cfRule type="duplicateValues" dxfId="11" priority="15"/>
    <cfRule type="duplicateValues" dxfId="10" priority="16"/>
  </conditionalFormatting>
  <conditionalFormatting sqref="A705:A706">
    <cfRule type="expression" dxfId="9" priority="10">
      <formula>$AV705="POSITIF"</formula>
    </cfRule>
  </conditionalFormatting>
  <conditionalFormatting sqref="A705:A706">
    <cfRule type="expression" dxfId="8" priority="9">
      <formula>$AV705="POSITIF"</formula>
    </cfRule>
  </conditionalFormatting>
  <conditionalFormatting sqref="A705:A706">
    <cfRule type="expression" dxfId="7" priority="7">
      <formula>$AV705="POSITIF"</formula>
    </cfRule>
    <cfRule type="expression" dxfId="6" priority="8">
      <formula>"$AU2=""POSITIF"""</formula>
    </cfRule>
  </conditionalFormatting>
  <conditionalFormatting sqref="A705:A706">
    <cfRule type="expression" dxfId="5" priority="6">
      <formula>$AV705="POSITIF"</formula>
    </cfRule>
  </conditionalFormatting>
  <conditionalFormatting sqref="A705:A706">
    <cfRule type="expression" dxfId="4" priority="5">
      <formula>$AV705="POSITIF"</formula>
    </cfRule>
  </conditionalFormatting>
  <conditionalFormatting sqref="A705:A706">
    <cfRule type="expression" dxfId="3" priority="4">
      <formula>$AV705="POSITIF"</formula>
    </cfRule>
  </conditionalFormatting>
  <conditionalFormatting sqref="BK705:BK706">
    <cfRule type="expression" dxfId="2" priority="3">
      <formula>$AV705="POSITIF"</formula>
    </cfRule>
  </conditionalFormatting>
  <conditionalFormatting sqref="A707">
    <cfRule type="expression" dxfId="1" priority="2">
      <formula>$AV707="POSITIF"</formula>
    </cfRule>
  </conditionalFormatting>
  <conditionalFormatting sqref="A707">
    <cfRule type="expression" dxfId="0" priority="1">
      <formula>$AV707="POSITIF"</formula>
    </cfRule>
  </conditionalFormatting>
  <dataValidations count="3">
    <dataValidation type="list" allowBlank="1" showInputMessage="1" showErrorMessage="1" sqref="DC2:DC1048576" xr:uid="{CDC9151F-912E-41D9-BB43-40A00304AEA8}">
      <formula1>"PROBABLE, NON-CAS,COMPATIBLE,CONFIRME, EN COURS D'ANALYSE"</formula1>
    </dataValidation>
    <dataValidation type="list" allowBlank="1" showInputMessage="1" showErrorMessage="1" sqref="N114:N116" xr:uid="{EB9DF246-12D4-44AC-A08B-28D1490E7AE4}">
      <formula1>INDIRECT($M114)</formula1>
    </dataValidation>
    <dataValidation type="list" allowBlank="1" showInputMessage="1" showErrorMessage="1" sqref="M38 M666:M668 M2:M36 M232 M228 M226 M173 M117 M108 M100 M66 M64" xr:uid="{02134CD7-2DA8-4F72-8F17-BF539679C65A}">
      <formula1>INDIRECT($L2)</formula1>
    </dataValidation>
  </dataValidations>
  <hyperlinks>
    <hyperlink ref="O288" r:id="rId1" display="javascript:void selection.select( %22GsUrYzK3gMA%22 )" xr:uid="{A21BA4E4-0CBB-4871-8BDF-03E2DCA0260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LL_MPOX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</dc:creator>
  <cp:lastModifiedBy>BORIS</cp:lastModifiedBy>
  <dcterms:created xsi:type="dcterms:W3CDTF">2026-08-12T18:22:47Z</dcterms:created>
  <dcterms:modified xsi:type="dcterms:W3CDTF">2026-09-02T13:17:56Z</dcterms:modified>
</cp:coreProperties>
</file>